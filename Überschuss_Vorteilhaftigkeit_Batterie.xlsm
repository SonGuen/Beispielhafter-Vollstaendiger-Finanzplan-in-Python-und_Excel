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DieseArbeitsmappe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oner\Desktop\Vid\"/>
    </mc:Choice>
  </mc:AlternateContent>
  <xr:revisionPtr revIDLastSave="0" documentId="13_ncr:1_{729EEDAA-66B4-4A37-9972-4FADFB06B2E3}" xr6:coauthVersionLast="47" xr6:coauthVersionMax="47" xr10:uidLastSave="{00000000-0000-0000-0000-000000000000}"/>
  <bookViews>
    <workbookView xWindow="-108" yWindow="-108" windowWidth="23256" windowHeight="12456" tabRatio="724" activeTab="3" xr2:uid="{674FD1D3-D79F-4E76-874D-8BB8F65184ED}"/>
  </bookViews>
  <sheets>
    <sheet name="Tilgungskredit" sheetId="1" r:id="rId1"/>
    <sheet name="Überschussrechnung_1" sheetId="13" r:id="rId2"/>
    <sheet name="Endwerte_Fall_3_84" sheetId="16" r:id="rId3"/>
    <sheet name="Darstellung" sheetId="17" r:id="rId4"/>
    <sheet name="Überschussrechnung_3_84" sheetId="3" state="hidden" r:id="rId5"/>
    <sheet name="Überschussrechnung (2)" sheetId="4" state="hidden" r:id="rId6"/>
    <sheet name="Überschussrechnung (3)" sheetId="5" state="hidden" r:id="rId7"/>
    <sheet name="Überschussrechnung (4)" sheetId="6" state="hidden" r:id="rId8"/>
    <sheet name="Überschussrechnung (5)" sheetId="7" state="hidden" r:id="rId9"/>
    <sheet name="Überschussrechnung (6)" sheetId="8" state="hidden" r:id="rId10"/>
    <sheet name="Überschussrechnung (7)" sheetId="9" state="hidden" r:id="rId11"/>
    <sheet name="Überschussrechnung (8)" sheetId="10" state="hidden" r:id="rId12"/>
    <sheet name="Überschussrechnung_5" sheetId="15" state="hidden" r:id="rId13"/>
    <sheet name="Daten_EEG_Strompreis" sheetId="2" r:id="rId14"/>
    <sheet name="Daten" sheetId="12" r:id="rId15"/>
    <sheet name="Bei 7,68kwh" sheetId="11" state="hidden" r:id="rId16"/>
  </sheets>
  <externalReferences>
    <externalReference r:id="rId17"/>
  </externalReferences>
  <definedNames>
    <definedName name="a">Daten_EEG_Strompreis!$V$12</definedName>
    <definedName name="Abzug_EEG_alle_Halbe_Jahr">Daten!$H$10</definedName>
    <definedName name="Anschaffungsauszahlung_one_Batterie_16_09">Daten!$E$3:$E$5</definedName>
    <definedName name="Anschaffungsauszahlung_one_Batterie_8_05">Daten!$C$3:$C$5</definedName>
    <definedName name="Auszahlung">Daten!$C$13:$C$15</definedName>
    <definedName name="Auszahlung_mehr_10">Daten!$E$13:$E$15</definedName>
    <definedName name="Auszahlung_weniger_10">Daten!$C$13:$C$15</definedName>
    <definedName name="b">Daten_EEG_Strompreis!$V$8</definedName>
    <definedName name="Batterie_3_84_Szenario_I">Daten!$C$8</definedName>
    <definedName name="Batterie_3_84_Szenario_II">Daten!$D$8</definedName>
    <definedName name="Batterie_5_76_Szenario_I">Daten!$C$9</definedName>
    <definedName name="Batterie_5_76_Szenario_II">Daten!$D$9</definedName>
    <definedName name="Batterie_7_68_Szenario_I">Daten!$C$10</definedName>
    <definedName name="Batterie_7_68_Szenario_II">Daten!$D$10</definedName>
    <definedName name="BoS_16_09">Daten!$E$5</definedName>
    <definedName name="BoS_8_05">Daten!$C$5</definedName>
    <definedName name="C_">Daten_EEG_Strompreis!$D$2</definedName>
    <definedName name="Degredation">Daten!$H$12</definedName>
    <definedName name="dfas">[1]Daten!$K$9</definedName>
    <definedName name="ds">[1]Daten!$H$5</definedName>
    <definedName name="EEG_Vergütung_kleiner_10">Daten!$H$8</definedName>
    <definedName name="EEG_Vergütung_Kleiner_40">Daten!$I$9</definedName>
    <definedName name="Ersatz_Batterie_n_10">Daten!$H$7</definedName>
    <definedName name="Ersatz_Batterie_n_20">Daten!$H$7</definedName>
    <definedName name="Ersatz_Wechselrichter_n_10">Daten!$H$13</definedName>
    <definedName name="Festgeld">Daten!$K$9</definedName>
    <definedName name="Fremdkapitalzins">Daten!$H$5</definedName>
    <definedName name="Fremdkapitalzins_II">Daten!$K$5</definedName>
    <definedName name="Gewerbe">Daten!$H$18</definedName>
    <definedName name="Gewerbesteuer">Daten!$H$22</definedName>
    <definedName name="Gwst_Kst">Daten!$H$23</definedName>
    <definedName name="Hebessatz">Daten!$H$19</definedName>
    <definedName name="Inflation">Daten!$H$4</definedName>
    <definedName name="Kontokorrentkredit">Daten!$K$8</definedName>
    <definedName name="Körpersschaftssteuer">Daten!$H$16</definedName>
    <definedName name="Kst_Soli">Daten!$H$21</definedName>
    <definedName name="Solarmodule_16_09">Daten!$E$3</definedName>
    <definedName name="Solarmodule_8_05">Daten!$C$3</definedName>
    <definedName name="Solidaritätszuschlag">Daten!$H$17</definedName>
    <definedName name="Szenario_I_kwp">Daten!$H$2</definedName>
    <definedName name="Szenario_II_kw">Daten!$H$3</definedName>
    <definedName name="Umsatzsteuer">Daten!$H$6</definedName>
    <definedName name="Versicherung_I">Daten!$C$15</definedName>
    <definedName name="Versicherung_II">Daten!$E$15</definedName>
    <definedName name="Wartung_Instandhaltung_I">Daten!$C$13</definedName>
    <definedName name="Wartung_Instandhaltung_II">Daten!$E$13</definedName>
    <definedName name="Wechselrichter_16_09">Daten!$E$4</definedName>
    <definedName name="Wechselrichter_8_05">Daten!$C$4</definedName>
    <definedName name="Wirkungsgrad" localSheetId="1">Überschussrechnung_1!$D$69</definedName>
    <definedName name="Wirkungsgrad" localSheetId="12">Überschussrechnung_5!$D$69</definedName>
    <definedName name="Wirkungsgrad">Überschussrechnung_3_84!$D$69</definedName>
    <definedName name="Zähler_I">Daten!$C$14</definedName>
    <definedName name="Zähler_II">Daten!$E$14</definedName>
  </definedNames>
  <calcPr calcId="191029"/>
  <pivotCaches>
    <pivotCache cacheId="0" r:id="rId18"/>
    <pivotCache cacheId="1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13" l="1"/>
  <c r="C20" i="13" s="1"/>
  <c r="C35" i="13"/>
  <c r="C17" i="13"/>
  <c r="C59" i="13"/>
  <c r="C31" i="3" l="1"/>
  <c r="U136" i="15"/>
  <c r="T136" i="15"/>
  <c r="S136" i="15"/>
  <c r="R136" i="15"/>
  <c r="Q136" i="15"/>
  <c r="P136" i="15"/>
  <c r="O136" i="15"/>
  <c r="N136" i="15"/>
  <c r="M136" i="15"/>
  <c r="L136" i="15"/>
  <c r="K136" i="15"/>
  <c r="L34" i="15" s="1"/>
  <c r="J136" i="15"/>
  <c r="I136" i="15"/>
  <c r="H136" i="15"/>
  <c r="G136" i="15"/>
  <c r="F136" i="15"/>
  <c r="E136" i="15"/>
  <c r="D136" i="15"/>
  <c r="C136" i="15"/>
  <c r="B136" i="15"/>
  <c r="U129" i="15"/>
  <c r="T129" i="15"/>
  <c r="S129" i="15"/>
  <c r="R129" i="15"/>
  <c r="Q129" i="15"/>
  <c r="P129" i="15"/>
  <c r="O129" i="15"/>
  <c r="N129" i="15"/>
  <c r="M129" i="15"/>
  <c r="L129" i="15"/>
  <c r="K129" i="15"/>
  <c r="J129" i="15"/>
  <c r="I129" i="15"/>
  <c r="H129" i="15"/>
  <c r="G129" i="15"/>
  <c r="F129" i="15"/>
  <c r="E129" i="15"/>
  <c r="D129" i="15"/>
  <c r="C129" i="15"/>
  <c r="B129" i="15"/>
  <c r="A70" i="15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U62" i="15"/>
  <c r="P62" i="15"/>
  <c r="N62" i="15"/>
  <c r="K62" i="15"/>
  <c r="I62" i="15"/>
  <c r="D62" i="15"/>
  <c r="V61" i="15"/>
  <c r="V62" i="15" s="1"/>
  <c r="U61" i="15"/>
  <c r="T61" i="15"/>
  <c r="T62" i="15" s="1"/>
  <c r="S61" i="15"/>
  <c r="S62" i="15" s="1"/>
  <c r="R61" i="15"/>
  <c r="R62" i="15" s="1"/>
  <c r="Q61" i="15"/>
  <c r="Q62" i="15" s="1"/>
  <c r="P61" i="15"/>
  <c r="O61" i="15"/>
  <c r="O62" i="15" s="1"/>
  <c r="N61" i="15"/>
  <c r="M61" i="15"/>
  <c r="M62" i="15" s="1"/>
  <c r="L61" i="15"/>
  <c r="L62" i="15" s="1"/>
  <c r="K61" i="15"/>
  <c r="J61" i="15"/>
  <c r="J62" i="15" s="1"/>
  <c r="I61" i="15"/>
  <c r="H61" i="15"/>
  <c r="H62" i="15" s="1"/>
  <c r="G61" i="15"/>
  <c r="G62" i="15" s="1"/>
  <c r="F61" i="15"/>
  <c r="F62" i="15" s="1"/>
  <c r="E61" i="15"/>
  <c r="E62" i="15" s="1"/>
  <c r="D61" i="15"/>
  <c r="C61" i="15"/>
  <c r="C62" i="15" s="1"/>
  <c r="D59" i="15"/>
  <c r="D3" i="15" s="1"/>
  <c r="D5" i="15" s="1"/>
  <c r="C59" i="15"/>
  <c r="C3" i="15" s="1"/>
  <c r="C5" i="15" s="1"/>
  <c r="D58" i="15"/>
  <c r="E58" i="15" s="1"/>
  <c r="V34" i="15"/>
  <c r="U34" i="15"/>
  <c r="T34" i="15"/>
  <c r="S34" i="15"/>
  <c r="R34" i="15"/>
  <c r="Q34" i="15"/>
  <c r="P34" i="15"/>
  <c r="O34" i="15"/>
  <c r="N34" i="15"/>
  <c r="M34" i="15"/>
  <c r="K34" i="15"/>
  <c r="J34" i="15"/>
  <c r="I34" i="15"/>
  <c r="H34" i="15"/>
  <c r="G34" i="15"/>
  <c r="F34" i="15"/>
  <c r="E34" i="15"/>
  <c r="D34" i="15"/>
  <c r="C34" i="15"/>
  <c r="C31" i="15"/>
  <c r="B124" i="15" s="1"/>
  <c r="C27" i="15"/>
  <c r="B123" i="15" s="1"/>
  <c r="C21" i="15"/>
  <c r="B131" i="15" s="1"/>
  <c r="C17" i="15"/>
  <c r="B130" i="15" s="1"/>
  <c r="B10" i="15"/>
  <c r="D6" i="15"/>
  <c r="C6" i="15"/>
  <c r="B114" i="15" s="1"/>
  <c r="B6" i="15"/>
  <c r="B37" i="15" s="1"/>
  <c r="B5" i="15"/>
  <c r="B38" i="15" s="1"/>
  <c r="L4" i="15"/>
  <c r="E2" i="15"/>
  <c r="E6" i="15" s="1"/>
  <c r="D2" i="15"/>
  <c r="C2" i="15"/>
  <c r="U106" i="13"/>
  <c r="T106" i="13"/>
  <c r="S106" i="13"/>
  <c r="R106" i="13"/>
  <c r="Q106" i="13"/>
  <c r="P106" i="13"/>
  <c r="O106" i="13"/>
  <c r="N106" i="13"/>
  <c r="M106" i="13"/>
  <c r="L106" i="13"/>
  <c r="K106" i="13"/>
  <c r="J106" i="13"/>
  <c r="I106" i="13"/>
  <c r="H106" i="13"/>
  <c r="G106" i="13"/>
  <c r="F106" i="13"/>
  <c r="E106" i="13"/>
  <c r="D106" i="13"/>
  <c r="C106" i="13"/>
  <c r="B106" i="13"/>
  <c r="A118" i="13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A764" i="13" s="1"/>
  <c r="A765" i="13" s="1"/>
  <c r="A766" i="13" s="1"/>
  <c r="A767" i="13" s="1"/>
  <c r="A768" i="13" s="1"/>
  <c r="A769" i="13" s="1"/>
  <c r="A770" i="13" s="1"/>
  <c r="A771" i="13" s="1"/>
  <c r="A772" i="13" s="1"/>
  <c r="A773" i="13" s="1"/>
  <c r="A774" i="13" s="1"/>
  <c r="A775" i="13" s="1"/>
  <c r="A776" i="13" s="1"/>
  <c r="A777" i="13" s="1"/>
  <c r="A778" i="13" s="1"/>
  <c r="A779" i="13" s="1"/>
  <c r="A780" i="13" s="1"/>
  <c r="A781" i="13" s="1"/>
  <c r="A782" i="13" s="1"/>
  <c r="A783" i="13" s="1"/>
  <c r="A784" i="13" s="1"/>
  <c r="A785" i="13" s="1"/>
  <c r="A786" i="13" s="1"/>
  <c r="A787" i="13" s="1"/>
  <c r="A788" i="13" s="1"/>
  <c r="A789" i="13" s="1"/>
  <c r="A790" i="13" s="1"/>
  <c r="A791" i="13" s="1"/>
  <c r="A792" i="13" s="1"/>
  <c r="A793" i="13" s="1"/>
  <c r="A794" i="13" s="1"/>
  <c r="A795" i="13" s="1"/>
  <c r="A796" i="13" s="1"/>
  <c r="A797" i="13" s="1"/>
  <c r="A798" i="13" s="1"/>
  <c r="A799" i="13" s="1"/>
  <c r="A800" i="13" s="1"/>
  <c r="A801" i="13" s="1"/>
  <c r="A802" i="13" s="1"/>
  <c r="A803" i="13" s="1"/>
  <c r="A804" i="13" s="1"/>
  <c r="A805" i="13" s="1"/>
  <c r="A806" i="13" s="1"/>
  <c r="A807" i="13" s="1"/>
  <c r="A808" i="13" s="1"/>
  <c r="A809" i="13" s="1"/>
  <c r="A810" i="13" s="1"/>
  <c r="A811" i="13" s="1"/>
  <c r="A812" i="13" s="1"/>
  <c r="A813" i="13" s="1"/>
  <c r="A814" i="13" s="1"/>
  <c r="A815" i="13" s="1"/>
  <c r="A816" i="13" s="1"/>
  <c r="A817" i="13" s="1"/>
  <c r="A818" i="13" s="1"/>
  <c r="A819" i="13" s="1"/>
  <c r="A820" i="13" s="1"/>
  <c r="A821" i="13" s="1"/>
  <c r="A822" i="13" s="1"/>
  <c r="A823" i="13" s="1"/>
  <c r="A824" i="13" s="1"/>
  <c r="A825" i="13" s="1"/>
  <c r="A826" i="13" s="1"/>
  <c r="A827" i="13" s="1"/>
  <c r="A828" i="13" s="1"/>
  <c r="A829" i="13" s="1"/>
  <c r="A830" i="13" s="1"/>
  <c r="A831" i="13" s="1"/>
  <c r="A832" i="13" s="1"/>
  <c r="A833" i="13" s="1"/>
  <c r="A834" i="13" s="1"/>
  <c r="A835" i="13" s="1"/>
  <c r="A836" i="13" s="1"/>
  <c r="A837" i="13" s="1"/>
  <c r="A838" i="13" s="1"/>
  <c r="A839" i="13" s="1"/>
  <c r="A840" i="13" s="1"/>
  <c r="A841" i="13" s="1"/>
  <c r="A842" i="13" s="1"/>
  <c r="A843" i="13" s="1"/>
  <c r="A844" i="13" s="1"/>
  <c r="A845" i="13" s="1"/>
  <c r="A846" i="13" s="1"/>
  <c r="A847" i="13" s="1"/>
  <c r="A848" i="13" s="1"/>
  <c r="A849" i="13" s="1"/>
  <c r="A850" i="13" s="1"/>
  <c r="A851" i="13" s="1"/>
  <c r="A852" i="13" s="1"/>
  <c r="A853" i="13" s="1"/>
  <c r="A854" i="13" s="1"/>
  <c r="A855" i="13" s="1"/>
  <c r="A856" i="13" s="1"/>
  <c r="A857" i="13" s="1"/>
  <c r="A858" i="13" s="1"/>
  <c r="A859" i="13" s="1"/>
  <c r="A860" i="13" s="1"/>
  <c r="A861" i="13" s="1"/>
  <c r="A862" i="13" s="1"/>
  <c r="A863" i="13" s="1"/>
  <c r="A864" i="13" s="1"/>
  <c r="A865" i="13" s="1"/>
  <c r="A866" i="13" s="1"/>
  <c r="A867" i="13" s="1"/>
  <c r="A868" i="13" s="1"/>
  <c r="A869" i="13" s="1"/>
  <c r="A870" i="13" s="1"/>
  <c r="A871" i="13" s="1"/>
  <c r="A872" i="13" s="1"/>
  <c r="A873" i="13" s="1"/>
  <c r="A874" i="13" s="1"/>
  <c r="A875" i="13" s="1"/>
  <c r="A876" i="13" s="1"/>
  <c r="A877" i="13" s="1"/>
  <c r="A878" i="13" s="1"/>
  <c r="A879" i="13" s="1"/>
  <c r="A880" i="13" s="1"/>
  <c r="A881" i="13" s="1"/>
  <c r="A882" i="13" s="1"/>
  <c r="A883" i="13" s="1"/>
  <c r="A884" i="13" s="1"/>
  <c r="A885" i="13" s="1"/>
  <c r="A886" i="13" s="1"/>
  <c r="A887" i="13" s="1"/>
  <c r="A888" i="13" s="1"/>
  <c r="A889" i="13" s="1"/>
  <c r="A890" i="13" s="1"/>
  <c r="A891" i="13" s="1"/>
  <c r="A892" i="13" s="1"/>
  <c r="A893" i="13" s="1"/>
  <c r="A894" i="13" s="1"/>
  <c r="A895" i="13" s="1"/>
  <c r="A896" i="13" s="1"/>
  <c r="A897" i="13" s="1"/>
  <c r="A898" i="13" s="1"/>
  <c r="A899" i="13" s="1"/>
  <c r="A900" i="13" s="1"/>
  <c r="A901" i="13" s="1"/>
  <c r="A902" i="13" s="1"/>
  <c r="A903" i="13" s="1"/>
  <c r="A904" i="13" s="1"/>
  <c r="A905" i="13" s="1"/>
  <c r="A906" i="13" s="1"/>
  <c r="A907" i="13" s="1"/>
  <c r="A908" i="13" s="1"/>
  <c r="A909" i="13" s="1"/>
  <c r="A910" i="13" s="1"/>
  <c r="A911" i="13" s="1"/>
  <c r="A912" i="13" s="1"/>
  <c r="A913" i="13" s="1"/>
  <c r="A914" i="13" s="1"/>
  <c r="A915" i="13" s="1"/>
  <c r="A916" i="13" s="1"/>
  <c r="A917" i="13" s="1"/>
  <c r="A918" i="13" s="1"/>
  <c r="A919" i="13" s="1"/>
  <c r="A920" i="13" s="1"/>
  <c r="A921" i="13" s="1"/>
  <c r="A922" i="13" s="1"/>
  <c r="A923" i="13" s="1"/>
  <c r="A924" i="13" s="1"/>
  <c r="A925" i="13" s="1"/>
  <c r="A926" i="13" s="1"/>
  <c r="A927" i="13" s="1"/>
  <c r="A928" i="13" s="1"/>
  <c r="A929" i="13" s="1"/>
  <c r="A930" i="13" s="1"/>
  <c r="A931" i="13" s="1"/>
  <c r="A932" i="13" s="1"/>
  <c r="A933" i="13" s="1"/>
  <c r="A934" i="13" s="1"/>
  <c r="A935" i="13" s="1"/>
  <c r="A936" i="13" s="1"/>
  <c r="A937" i="13" s="1"/>
  <c r="A938" i="13" s="1"/>
  <c r="A939" i="13" s="1"/>
  <c r="A940" i="13" s="1"/>
  <c r="A941" i="13" s="1"/>
  <c r="A942" i="13" s="1"/>
  <c r="A943" i="13" s="1"/>
  <c r="A944" i="13" s="1"/>
  <c r="A945" i="13" s="1"/>
  <c r="A946" i="13" s="1"/>
  <c r="A947" i="13" s="1"/>
  <c r="A948" i="13" s="1"/>
  <c r="A949" i="13" s="1"/>
  <c r="A950" i="13" s="1"/>
  <c r="A951" i="13" s="1"/>
  <c r="A952" i="13" s="1"/>
  <c r="A953" i="13" s="1"/>
  <c r="A954" i="13" s="1"/>
  <c r="A955" i="13" s="1"/>
  <c r="A956" i="13" s="1"/>
  <c r="A957" i="13" s="1"/>
  <c r="A958" i="13" s="1"/>
  <c r="A959" i="13" s="1"/>
  <c r="A960" i="13" s="1"/>
  <c r="A961" i="13" s="1"/>
  <c r="A962" i="13" s="1"/>
  <c r="A963" i="13" s="1"/>
  <c r="A964" i="13" s="1"/>
  <c r="A965" i="13" s="1"/>
  <c r="A966" i="13" s="1"/>
  <c r="A967" i="13" s="1"/>
  <c r="A968" i="13" s="1"/>
  <c r="A969" i="13" s="1"/>
  <c r="A970" i="13" s="1"/>
  <c r="A971" i="13" s="1"/>
  <c r="A972" i="13" s="1"/>
  <c r="A973" i="13" s="1"/>
  <c r="A974" i="13" s="1"/>
  <c r="A975" i="13" s="1"/>
  <c r="A976" i="13" s="1"/>
  <c r="A977" i="13" s="1"/>
  <c r="A978" i="13" s="1"/>
  <c r="A979" i="13" s="1"/>
  <c r="A980" i="13" s="1"/>
  <c r="A981" i="13" s="1"/>
  <c r="A982" i="13" s="1"/>
  <c r="A983" i="13" s="1"/>
  <c r="A984" i="13" s="1"/>
  <c r="A985" i="13" s="1"/>
  <c r="A986" i="13" s="1"/>
  <c r="A987" i="13" s="1"/>
  <c r="A988" i="13" s="1"/>
  <c r="A989" i="13" s="1"/>
  <c r="A990" i="13" s="1"/>
  <c r="A991" i="13" s="1"/>
  <c r="A992" i="13" s="1"/>
  <c r="A993" i="13" s="1"/>
  <c r="A994" i="13" s="1"/>
  <c r="A995" i="13" s="1"/>
  <c r="A996" i="13" s="1"/>
  <c r="A997" i="13" s="1"/>
  <c r="A998" i="13" s="1"/>
  <c r="A999" i="13" s="1"/>
  <c r="A1000" i="13" s="1"/>
  <c r="A1001" i="13" s="1"/>
  <c r="A1002" i="13" s="1"/>
  <c r="A1003" i="13" s="1"/>
  <c r="A1004" i="13" s="1"/>
  <c r="A1005" i="13" s="1"/>
  <c r="A1006" i="13" s="1"/>
  <c r="A1007" i="13" s="1"/>
  <c r="A1008" i="13" s="1"/>
  <c r="A1009" i="13" s="1"/>
  <c r="A1010" i="13" s="1"/>
  <c r="A1011" i="13" s="1"/>
  <c r="A1012" i="13" s="1"/>
  <c r="A1013" i="13" s="1"/>
  <c r="A1014" i="13" s="1"/>
  <c r="A1015" i="13" s="1"/>
  <c r="A1016" i="13" s="1"/>
  <c r="A1017" i="13" s="1"/>
  <c r="A1018" i="13" s="1"/>
  <c r="A1019" i="13" s="1"/>
  <c r="A1020" i="13" s="1"/>
  <c r="A1021" i="13" s="1"/>
  <c r="A1022" i="13" s="1"/>
  <c r="A1023" i="13" s="1"/>
  <c r="A1024" i="13" s="1"/>
  <c r="A1025" i="13" s="1"/>
  <c r="A1026" i="13" s="1"/>
  <c r="A1027" i="13" s="1"/>
  <c r="A1028" i="13" s="1"/>
  <c r="A1029" i="13" s="1"/>
  <c r="A1030" i="13" s="1"/>
  <c r="A1031" i="13" s="1"/>
  <c r="A1032" i="13" s="1"/>
  <c r="A1033" i="13" s="1"/>
  <c r="A1034" i="13" s="1"/>
  <c r="A1035" i="13" s="1"/>
  <c r="A1036" i="13" s="1"/>
  <c r="A1037" i="13" s="1"/>
  <c r="A1038" i="13" s="1"/>
  <c r="A1039" i="13" s="1"/>
  <c r="A1040" i="13" s="1"/>
  <c r="A1041" i="13" s="1"/>
  <c r="A1042" i="13" s="1"/>
  <c r="A1043" i="13" s="1"/>
  <c r="A1044" i="13" s="1"/>
  <c r="A1045" i="13" s="1"/>
  <c r="A1046" i="13" s="1"/>
  <c r="A1047" i="13" s="1"/>
  <c r="A1048" i="13" s="1"/>
  <c r="A1049" i="13" s="1"/>
  <c r="A1050" i="13" s="1"/>
  <c r="A1051" i="13" s="1"/>
  <c r="A1052" i="13" s="1"/>
  <c r="A1053" i="13" s="1"/>
  <c r="A1054" i="13" s="1"/>
  <c r="A1055" i="13" s="1"/>
  <c r="A1056" i="13" s="1"/>
  <c r="A1057" i="13" s="1"/>
  <c r="A1058" i="13" s="1"/>
  <c r="A1059" i="13" s="1"/>
  <c r="A1060" i="13" s="1"/>
  <c r="A1061" i="13" s="1"/>
  <c r="A1062" i="13" s="1"/>
  <c r="A1063" i="13" s="1"/>
  <c r="A1064" i="13" s="1"/>
  <c r="A1065" i="13" s="1"/>
  <c r="A1066" i="13" s="1"/>
  <c r="A1067" i="13" s="1"/>
  <c r="A1068" i="13" s="1"/>
  <c r="A1069" i="13" s="1"/>
  <c r="A1070" i="13" s="1"/>
  <c r="A1071" i="13" s="1"/>
  <c r="A1072" i="13" s="1"/>
  <c r="A1073" i="13" s="1"/>
  <c r="A1074" i="13" s="1"/>
  <c r="A1075" i="13" s="1"/>
  <c r="A1076" i="13" s="1"/>
  <c r="A1077" i="13" s="1"/>
  <c r="A1078" i="13" s="1"/>
  <c r="A1079" i="13" s="1"/>
  <c r="A1080" i="13" s="1"/>
  <c r="A1081" i="13" s="1"/>
  <c r="A1082" i="13" s="1"/>
  <c r="A1083" i="13" s="1"/>
  <c r="A1084" i="13" s="1"/>
  <c r="A1085" i="13" s="1"/>
  <c r="A1086" i="13" s="1"/>
  <c r="A1087" i="13" s="1"/>
  <c r="A1088" i="13" s="1"/>
  <c r="A1089" i="13" s="1"/>
  <c r="A1090" i="13" s="1"/>
  <c r="A1091" i="13" s="1"/>
  <c r="A1092" i="13" s="1"/>
  <c r="A1093" i="13" s="1"/>
  <c r="A1094" i="13" s="1"/>
  <c r="A1095" i="13" s="1"/>
  <c r="A1096" i="13" s="1"/>
  <c r="A1097" i="13" s="1"/>
  <c r="A1098" i="13" s="1"/>
  <c r="A1099" i="13" s="1"/>
  <c r="A1100" i="13" s="1"/>
  <c r="A1101" i="13" s="1"/>
  <c r="A1102" i="13" s="1"/>
  <c r="A1103" i="13" s="1"/>
  <c r="A1104" i="13" s="1"/>
  <c r="A1105" i="13" s="1"/>
  <c r="A1106" i="13" s="1"/>
  <c r="A1107" i="13" s="1"/>
  <c r="A1108" i="13" s="1"/>
  <c r="A1109" i="13" s="1"/>
  <c r="A1110" i="13" s="1"/>
  <c r="A1111" i="13" s="1"/>
  <c r="A1112" i="13" s="1"/>
  <c r="A1113" i="13" s="1"/>
  <c r="A1114" i="13" s="1"/>
  <c r="A1115" i="13" s="1"/>
  <c r="A1116" i="13" s="1"/>
  <c r="A1117" i="13" s="1"/>
  <c r="A1118" i="13" s="1"/>
  <c r="A1119" i="13" s="1"/>
  <c r="A1120" i="13" s="1"/>
  <c r="A1121" i="13" s="1"/>
  <c r="A1122" i="13" s="1"/>
  <c r="A1123" i="13" s="1"/>
  <c r="A1124" i="13" s="1"/>
  <c r="A1125" i="13" s="1"/>
  <c r="A1126" i="13" s="1"/>
  <c r="A1127" i="13" s="1"/>
  <c r="A1128" i="13" s="1"/>
  <c r="A1129" i="13" s="1"/>
  <c r="A1130" i="13" s="1"/>
  <c r="A1131" i="13" s="1"/>
  <c r="A1132" i="13" s="1"/>
  <c r="A1133" i="13" s="1"/>
  <c r="A1134" i="13" s="1"/>
  <c r="A1135" i="13" s="1"/>
  <c r="A1136" i="13" s="1"/>
  <c r="A1137" i="13" s="1"/>
  <c r="A1138" i="13" s="1"/>
  <c r="A1139" i="13" s="1"/>
  <c r="A1140" i="13" s="1"/>
  <c r="A1141" i="13" s="1"/>
  <c r="A1142" i="13" s="1"/>
  <c r="A1143" i="13" s="1"/>
  <c r="A1144" i="13" s="1"/>
  <c r="A1145" i="13" s="1"/>
  <c r="A1146" i="13" s="1"/>
  <c r="A1147" i="13" s="1"/>
  <c r="A1148" i="13" s="1"/>
  <c r="A1149" i="13" s="1"/>
  <c r="A1150" i="13" s="1"/>
  <c r="A1151" i="13" s="1"/>
  <c r="A1152" i="13" s="1"/>
  <c r="A1153" i="13" s="1"/>
  <c r="A1154" i="13" s="1"/>
  <c r="A1155" i="13" s="1"/>
  <c r="A1156" i="13" s="1"/>
  <c r="A1157" i="13" s="1"/>
  <c r="A1158" i="13" s="1"/>
  <c r="A1159" i="13" s="1"/>
  <c r="A1160" i="13" s="1"/>
  <c r="A1161" i="13" s="1"/>
  <c r="A1162" i="13" s="1"/>
  <c r="A1163" i="13" s="1"/>
  <c r="A1164" i="13" s="1"/>
  <c r="A1165" i="13" s="1"/>
  <c r="A1166" i="13" s="1"/>
  <c r="A1167" i="13" s="1"/>
  <c r="A1168" i="13" s="1"/>
  <c r="A1169" i="13" s="1"/>
  <c r="A1170" i="13" s="1"/>
  <c r="A1171" i="13" s="1"/>
  <c r="A1172" i="13" s="1"/>
  <c r="A1173" i="13" s="1"/>
  <c r="A1174" i="13" s="1"/>
  <c r="A1175" i="13" s="1"/>
  <c r="A1176" i="13" s="1"/>
  <c r="A1177" i="13" s="1"/>
  <c r="A1178" i="13" s="1"/>
  <c r="A1179" i="13" s="1"/>
  <c r="A1180" i="13" s="1"/>
  <c r="A1181" i="13" s="1"/>
  <c r="A1182" i="13" s="1"/>
  <c r="A1183" i="13" s="1"/>
  <c r="A1184" i="13" s="1"/>
  <c r="A1185" i="13" s="1"/>
  <c r="A1186" i="13" s="1"/>
  <c r="A1187" i="13" s="1"/>
  <c r="A1188" i="13" s="1"/>
  <c r="A1189" i="13" s="1"/>
  <c r="A1190" i="13" s="1"/>
  <c r="A1191" i="13" s="1"/>
  <c r="A1192" i="13" s="1"/>
  <c r="A1193" i="13" s="1"/>
  <c r="A1194" i="13" s="1"/>
  <c r="A1195" i="13" s="1"/>
  <c r="A1196" i="13" s="1"/>
  <c r="A1197" i="13" s="1"/>
  <c r="A1198" i="13" s="1"/>
  <c r="A1199" i="13" s="1"/>
  <c r="A1200" i="13" s="1"/>
  <c r="A1201" i="13" s="1"/>
  <c r="A1202" i="13" s="1"/>
  <c r="A1203" i="13" s="1"/>
  <c r="A1204" i="13" s="1"/>
  <c r="A1205" i="13" s="1"/>
  <c r="A1206" i="13" s="1"/>
  <c r="A1207" i="13" s="1"/>
  <c r="A1208" i="13" s="1"/>
  <c r="A1209" i="13" s="1"/>
  <c r="A1210" i="13" s="1"/>
  <c r="A1211" i="13" s="1"/>
  <c r="A1212" i="13" s="1"/>
  <c r="A1213" i="13" s="1"/>
  <c r="A1214" i="13" s="1"/>
  <c r="A1215" i="13" s="1"/>
  <c r="A1216" i="13" s="1"/>
  <c r="A1217" i="13" s="1"/>
  <c r="A1218" i="13" s="1"/>
  <c r="A1219" i="13" s="1"/>
  <c r="A1220" i="13" s="1"/>
  <c r="A1221" i="13" s="1"/>
  <c r="A1222" i="13" s="1"/>
  <c r="A1223" i="13" s="1"/>
  <c r="A1224" i="13" s="1"/>
  <c r="A1225" i="13" s="1"/>
  <c r="A1226" i="13" s="1"/>
  <c r="A1227" i="13" s="1"/>
  <c r="A1228" i="13" s="1"/>
  <c r="A1229" i="13" s="1"/>
  <c r="A1230" i="13" s="1"/>
  <c r="A1231" i="13" s="1"/>
  <c r="A1232" i="13" s="1"/>
  <c r="A1233" i="13" s="1"/>
  <c r="A1234" i="13" s="1"/>
  <c r="A1235" i="13" s="1"/>
  <c r="A1236" i="13" s="1"/>
  <c r="A1237" i="13" s="1"/>
  <c r="A1238" i="13" s="1"/>
  <c r="A1239" i="13" s="1"/>
  <c r="A1240" i="13" s="1"/>
  <c r="A1241" i="13" s="1"/>
  <c r="A1242" i="13" s="1"/>
  <c r="A1243" i="13" s="1"/>
  <c r="A1244" i="13" s="1"/>
  <c r="A1245" i="13" s="1"/>
  <c r="A1246" i="13" s="1"/>
  <c r="A1247" i="13" s="1"/>
  <c r="A1248" i="13" s="1"/>
  <c r="A1249" i="13" s="1"/>
  <c r="A1250" i="13" s="1"/>
  <c r="A1251" i="13" s="1"/>
  <c r="A1252" i="13" s="1"/>
  <c r="A1253" i="13" s="1"/>
  <c r="A1254" i="13" s="1"/>
  <c r="A1255" i="13" s="1"/>
  <c r="A1256" i="13" s="1"/>
  <c r="A1257" i="13" s="1"/>
  <c r="A1258" i="13" s="1"/>
  <c r="A1259" i="13" s="1"/>
  <c r="A1260" i="13" s="1"/>
  <c r="A1261" i="13" s="1"/>
  <c r="A1262" i="13" s="1"/>
  <c r="A1263" i="13" s="1"/>
  <c r="A1264" i="13" s="1"/>
  <c r="A1265" i="13" s="1"/>
  <c r="A1266" i="13" s="1"/>
  <c r="A1267" i="13" s="1"/>
  <c r="A1268" i="13" s="1"/>
  <c r="A1269" i="13" s="1"/>
  <c r="A1270" i="13" s="1"/>
  <c r="A1271" i="13" s="1"/>
  <c r="A1272" i="13" s="1"/>
  <c r="A1273" i="13" s="1"/>
  <c r="A1274" i="13" s="1"/>
  <c r="A1275" i="13" s="1"/>
  <c r="A1276" i="13" s="1"/>
  <c r="A1277" i="13" s="1"/>
  <c r="A1278" i="13" s="1"/>
  <c r="A1279" i="13" s="1"/>
  <c r="A1280" i="13" s="1"/>
  <c r="A1281" i="13" s="1"/>
  <c r="A1282" i="13" s="1"/>
  <c r="A1283" i="13" s="1"/>
  <c r="A1284" i="13" s="1"/>
  <c r="A1285" i="13" s="1"/>
  <c r="A1286" i="13" s="1"/>
  <c r="A1287" i="13" s="1"/>
  <c r="A1288" i="13" s="1"/>
  <c r="A1289" i="13" s="1"/>
  <c r="A1290" i="13" s="1"/>
  <c r="A1291" i="13" s="1"/>
  <c r="A1292" i="13" s="1"/>
  <c r="A1293" i="13" s="1"/>
  <c r="A1294" i="13" s="1"/>
  <c r="A1295" i="13" s="1"/>
  <c r="A1296" i="13" s="1"/>
  <c r="A1297" i="13" s="1"/>
  <c r="A1298" i="13" s="1"/>
  <c r="A1299" i="13" s="1"/>
  <c r="A1300" i="13" s="1"/>
  <c r="A1301" i="13" s="1"/>
  <c r="A1302" i="13" s="1"/>
  <c r="A1303" i="13" s="1"/>
  <c r="A1304" i="13" s="1"/>
  <c r="A1305" i="13" s="1"/>
  <c r="A1306" i="13" s="1"/>
  <c r="A1307" i="13" s="1"/>
  <c r="A1308" i="13" s="1"/>
  <c r="A1309" i="13" s="1"/>
  <c r="A1310" i="13" s="1"/>
  <c r="A1311" i="13" s="1"/>
  <c r="A1312" i="13" s="1"/>
  <c r="A1313" i="13" s="1"/>
  <c r="A1314" i="13" s="1"/>
  <c r="A1315" i="13" s="1"/>
  <c r="A1316" i="13" s="1"/>
  <c r="A1317" i="13" s="1"/>
  <c r="A1318" i="13" s="1"/>
  <c r="A1319" i="13" s="1"/>
  <c r="A1320" i="13" s="1"/>
  <c r="A1321" i="13" s="1"/>
  <c r="A1322" i="13" s="1"/>
  <c r="A1323" i="13" s="1"/>
  <c r="A1324" i="13" s="1"/>
  <c r="A1325" i="13" s="1"/>
  <c r="A1326" i="13" s="1"/>
  <c r="A1327" i="13" s="1"/>
  <c r="A1328" i="13" s="1"/>
  <c r="A1329" i="13" s="1"/>
  <c r="A1330" i="13" s="1"/>
  <c r="A1331" i="13" s="1"/>
  <c r="A1332" i="13" s="1"/>
  <c r="A1333" i="13" s="1"/>
  <c r="A1334" i="13" s="1"/>
  <c r="A1335" i="13" s="1"/>
  <c r="A1336" i="13" s="1"/>
  <c r="A1337" i="13" s="1"/>
  <c r="A1338" i="13" s="1"/>
  <c r="A1339" i="13" s="1"/>
  <c r="A1340" i="13" s="1"/>
  <c r="A1341" i="13" s="1"/>
  <c r="A1342" i="13" s="1"/>
  <c r="A1343" i="13" s="1"/>
  <c r="A1344" i="13" s="1"/>
  <c r="A1345" i="13" s="1"/>
  <c r="A1346" i="13" s="1"/>
  <c r="A1347" i="13" s="1"/>
  <c r="A1348" i="13" s="1"/>
  <c r="A1349" i="13" s="1"/>
  <c r="A1350" i="13" s="1"/>
  <c r="A1351" i="13" s="1"/>
  <c r="A1352" i="13" s="1"/>
  <c r="A1353" i="13" s="1"/>
  <c r="A1354" i="13" s="1"/>
  <c r="A1355" i="13" s="1"/>
  <c r="A1356" i="13" s="1"/>
  <c r="A1357" i="13" s="1"/>
  <c r="A1358" i="13" s="1"/>
  <c r="A1359" i="13" s="1"/>
  <c r="A1360" i="13" s="1"/>
  <c r="A1361" i="13" s="1"/>
  <c r="A1362" i="13" s="1"/>
  <c r="A1363" i="13" s="1"/>
  <c r="A1364" i="13" s="1"/>
  <c r="A1365" i="13" s="1"/>
  <c r="A1366" i="13" s="1"/>
  <c r="A1367" i="13" s="1"/>
  <c r="A1368" i="13" s="1"/>
  <c r="A1369" i="13" s="1"/>
  <c r="A1370" i="13" s="1"/>
  <c r="A1371" i="13" s="1"/>
  <c r="A1372" i="13" s="1"/>
  <c r="A1373" i="13" s="1"/>
  <c r="A1374" i="13" s="1"/>
  <c r="A1375" i="13" s="1"/>
  <c r="A1376" i="13" s="1"/>
  <c r="A1377" i="13" s="1"/>
  <c r="A1378" i="13" s="1"/>
  <c r="A1379" i="13" s="1"/>
  <c r="A1380" i="13" s="1"/>
  <c r="A1381" i="13" s="1"/>
  <c r="A1382" i="13" s="1"/>
  <c r="A1383" i="13" s="1"/>
  <c r="A1384" i="13" s="1"/>
  <c r="A1385" i="13" s="1"/>
  <c r="A1386" i="13" s="1"/>
  <c r="A1387" i="13" s="1"/>
  <c r="A1388" i="13" s="1"/>
  <c r="A1389" i="13" s="1"/>
  <c r="A1390" i="13" s="1"/>
  <c r="A1391" i="13" s="1"/>
  <c r="A1392" i="13" s="1"/>
  <c r="A1393" i="13" s="1"/>
  <c r="A1394" i="13" s="1"/>
  <c r="A1395" i="13" s="1"/>
  <c r="A1396" i="13" s="1"/>
  <c r="A1397" i="13" s="1"/>
  <c r="A1398" i="13" s="1"/>
  <c r="A1399" i="13" s="1"/>
  <c r="A1400" i="13" s="1"/>
  <c r="A1401" i="13" s="1"/>
  <c r="A1402" i="13" s="1"/>
  <c r="A1403" i="13" s="1"/>
  <c r="A1404" i="13" s="1"/>
  <c r="A1405" i="13" s="1"/>
  <c r="A1406" i="13" s="1"/>
  <c r="A1407" i="13" s="1"/>
  <c r="A1408" i="13" s="1"/>
  <c r="A1409" i="13" s="1"/>
  <c r="A1410" i="13" s="1"/>
  <c r="A1411" i="13" s="1"/>
  <c r="A1412" i="13" s="1"/>
  <c r="A1413" i="13" s="1"/>
  <c r="A1414" i="13" s="1"/>
  <c r="A1415" i="13" s="1"/>
  <c r="A1416" i="13" s="1"/>
  <c r="A1417" i="13" s="1"/>
  <c r="A1418" i="13" s="1"/>
  <c r="A1419" i="13" s="1"/>
  <c r="A1420" i="13" s="1"/>
  <c r="A1421" i="13" s="1"/>
  <c r="A1422" i="13" s="1"/>
  <c r="A1423" i="13" s="1"/>
  <c r="A1424" i="13" s="1"/>
  <c r="A1425" i="13" s="1"/>
  <c r="A1426" i="13" s="1"/>
  <c r="A1427" i="13" s="1"/>
  <c r="A1428" i="13" s="1"/>
  <c r="A1429" i="13" s="1"/>
  <c r="A1430" i="13" s="1"/>
  <c r="A1431" i="13" s="1"/>
  <c r="A1432" i="13" s="1"/>
  <c r="A1433" i="13" s="1"/>
  <c r="A1434" i="13" s="1"/>
  <c r="A1435" i="13" s="1"/>
  <c r="A1436" i="13" s="1"/>
  <c r="A1437" i="13" s="1"/>
  <c r="A1438" i="13" s="1"/>
  <c r="A1439" i="13" s="1"/>
  <c r="A1440" i="13" s="1"/>
  <c r="A1441" i="13" s="1"/>
  <c r="A1442" i="13" s="1"/>
  <c r="A1443" i="13" s="1"/>
  <c r="A1444" i="13" s="1"/>
  <c r="A1445" i="13" s="1"/>
  <c r="A1446" i="13" s="1"/>
  <c r="A1447" i="13" s="1"/>
  <c r="A1448" i="13" s="1"/>
  <c r="A1449" i="13" s="1"/>
  <c r="A1450" i="13" s="1"/>
  <c r="A1451" i="13" s="1"/>
  <c r="A1452" i="13" s="1"/>
  <c r="A1453" i="13" s="1"/>
  <c r="A1454" i="13" s="1"/>
  <c r="A1455" i="13" s="1"/>
  <c r="A1456" i="13" s="1"/>
  <c r="A1457" i="13" s="1"/>
  <c r="A1458" i="13" s="1"/>
  <c r="A1459" i="13" s="1"/>
  <c r="A1460" i="13" s="1"/>
  <c r="A1461" i="13" s="1"/>
  <c r="A1462" i="13" s="1"/>
  <c r="A1463" i="13" s="1"/>
  <c r="A1464" i="13" s="1"/>
  <c r="A1465" i="13" s="1"/>
  <c r="A1466" i="13" s="1"/>
  <c r="A1467" i="13" s="1"/>
  <c r="A1468" i="13" s="1"/>
  <c r="A1469" i="13" s="1"/>
  <c r="A1470" i="13" s="1"/>
  <c r="A1471" i="13" s="1"/>
  <c r="A1472" i="13" s="1"/>
  <c r="A1473" i="13" s="1"/>
  <c r="A1474" i="13" s="1"/>
  <c r="A1475" i="13" s="1"/>
  <c r="A1476" i="13" s="1"/>
  <c r="A1477" i="13" s="1"/>
  <c r="A1478" i="13" s="1"/>
  <c r="A1479" i="13" s="1"/>
  <c r="A1480" i="13" s="1"/>
  <c r="A1481" i="13" s="1"/>
  <c r="A1482" i="13" s="1"/>
  <c r="A1483" i="13" s="1"/>
  <c r="A1484" i="13" s="1"/>
  <c r="A1485" i="13" s="1"/>
  <c r="A1486" i="13" s="1"/>
  <c r="A1487" i="13" s="1"/>
  <c r="A1488" i="13" s="1"/>
  <c r="A1489" i="13" s="1"/>
  <c r="A1490" i="13" s="1"/>
  <c r="A1491" i="13" s="1"/>
  <c r="A1492" i="13" s="1"/>
  <c r="A1493" i="13" s="1"/>
  <c r="A1494" i="13" s="1"/>
  <c r="A1495" i="13" s="1"/>
  <c r="A1496" i="13" s="1"/>
  <c r="A1497" i="13" s="1"/>
  <c r="A1498" i="13" s="1"/>
  <c r="A1499" i="13" s="1"/>
  <c r="A1500" i="13" s="1"/>
  <c r="A1501" i="13" s="1"/>
  <c r="A1502" i="13" s="1"/>
  <c r="A1503" i="13" s="1"/>
  <c r="A1504" i="13" s="1"/>
  <c r="A1505" i="13" s="1"/>
  <c r="A1506" i="13" s="1"/>
  <c r="A1507" i="13" s="1"/>
  <c r="A1508" i="13" s="1"/>
  <c r="A1509" i="13" s="1"/>
  <c r="A1510" i="13" s="1"/>
  <c r="A1511" i="13" s="1"/>
  <c r="A1512" i="13" s="1"/>
  <c r="A1513" i="13" s="1"/>
  <c r="A1514" i="13" s="1"/>
  <c r="A1515" i="13" s="1"/>
  <c r="A1516" i="13" s="1"/>
  <c r="A1517" i="13" s="1"/>
  <c r="A1518" i="13" s="1"/>
  <c r="A1519" i="13" s="1"/>
  <c r="A1520" i="13" s="1"/>
  <c r="A1521" i="13" s="1"/>
  <c r="A1522" i="13" s="1"/>
  <c r="A1523" i="13" s="1"/>
  <c r="A1524" i="13" s="1"/>
  <c r="A1525" i="13" s="1"/>
  <c r="A1526" i="13" s="1"/>
  <c r="A1527" i="13" s="1"/>
  <c r="A1528" i="13" s="1"/>
  <c r="A1529" i="13" s="1"/>
  <c r="A1530" i="13" s="1"/>
  <c r="A1531" i="13" s="1"/>
  <c r="A1532" i="13" s="1"/>
  <c r="A1533" i="13" s="1"/>
  <c r="A1534" i="13" s="1"/>
  <c r="A1535" i="13" s="1"/>
  <c r="A1536" i="13" s="1"/>
  <c r="A1537" i="13" s="1"/>
  <c r="A1538" i="13" s="1"/>
  <c r="A1539" i="13" s="1"/>
  <c r="A1540" i="13" s="1"/>
  <c r="A1541" i="13" s="1"/>
  <c r="A1542" i="13" s="1"/>
  <c r="A1543" i="13" s="1"/>
  <c r="A1544" i="13" s="1"/>
  <c r="A1545" i="13" s="1"/>
  <c r="A1546" i="13" s="1"/>
  <c r="A1547" i="13" s="1"/>
  <c r="A1548" i="13" s="1"/>
  <c r="A1549" i="13" s="1"/>
  <c r="A1550" i="13" s="1"/>
  <c r="A1551" i="13" s="1"/>
  <c r="A1552" i="13" s="1"/>
  <c r="A1553" i="13" s="1"/>
  <c r="A1554" i="13" s="1"/>
  <c r="A1555" i="13" s="1"/>
  <c r="A1556" i="13" s="1"/>
  <c r="A1557" i="13" s="1"/>
  <c r="A1558" i="13" s="1"/>
  <c r="A1559" i="13" s="1"/>
  <c r="A1560" i="13" s="1"/>
  <c r="A1561" i="13" s="1"/>
  <c r="A1562" i="13" s="1"/>
  <c r="A1563" i="13" s="1"/>
  <c r="A1564" i="13" s="1"/>
  <c r="A1565" i="13" s="1"/>
  <c r="A1566" i="13" s="1"/>
  <c r="A1567" i="13" s="1"/>
  <c r="A1568" i="13" s="1"/>
  <c r="A1569" i="13" s="1"/>
  <c r="A1570" i="13" s="1"/>
  <c r="A1571" i="13" s="1"/>
  <c r="A1572" i="13" s="1"/>
  <c r="A1573" i="13" s="1"/>
  <c r="A1574" i="13" s="1"/>
  <c r="A1575" i="13" s="1"/>
  <c r="A1576" i="13" s="1"/>
  <c r="A1577" i="13" s="1"/>
  <c r="A1578" i="13" s="1"/>
  <c r="A1579" i="13" s="1"/>
  <c r="A1580" i="13" s="1"/>
  <c r="A1581" i="13" s="1"/>
  <c r="A1582" i="13" s="1"/>
  <c r="A1583" i="13" s="1"/>
  <c r="A1584" i="13" s="1"/>
  <c r="A1585" i="13" s="1"/>
  <c r="A1586" i="13" s="1"/>
  <c r="A1587" i="13" s="1"/>
  <c r="A1588" i="13" s="1"/>
  <c r="A1589" i="13" s="1"/>
  <c r="A1590" i="13" s="1"/>
  <c r="A1591" i="13" s="1"/>
  <c r="A1592" i="13" s="1"/>
  <c r="A1593" i="13" s="1"/>
  <c r="A1594" i="13" s="1"/>
  <c r="A1595" i="13" s="1"/>
  <c r="A1596" i="13" s="1"/>
  <c r="A1597" i="13" s="1"/>
  <c r="A1598" i="13" s="1"/>
  <c r="A1599" i="13" s="1"/>
  <c r="A1600" i="13" s="1"/>
  <c r="A1601" i="13" s="1"/>
  <c r="A1602" i="13" s="1"/>
  <c r="A1603" i="13" s="1"/>
  <c r="A1604" i="13" s="1"/>
  <c r="A1605" i="13" s="1"/>
  <c r="A1606" i="13" s="1"/>
  <c r="A1607" i="13" s="1"/>
  <c r="A1608" i="13" s="1"/>
  <c r="A1609" i="13" s="1"/>
  <c r="A1610" i="13" s="1"/>
  <c r="A1611" i="13" s="1"/>
  <c r="A1612" i="13" s="1"/>
  <c r="A1613" i="13" s="1"/>
  <c r="A1614" i="13" s="1"/>
  <c r="A1615" i="13" s="1"/>
  <c r="A1616" i="13" s="1"/>
  <c r="A1617" i="13" s="1"/>
  <c r="A1618" i="13" s="1"/>
  <c r="A1619" i="13" s="1"/>
  <c r="A1620" i="13" s="1"/>
  <c r="A1621" i="13" s="1"/>
  <c r="A1622" i="13" s="1"/>
  <c r="A1623" i="13" s="1"/>
  <c r="A1624" i="13" s="1"/>
  <c r="A1625" i="13" s="1"/>
  <c r="A1626" i="13" s="1"/>
  <c r="A1627" i="13" s="1"/>
  <c r="A1628" i="13" s="1"/>
  <c r="A1629" i="13" s="1"/>
  <c r="A1630" i="13" s="1"/>
  <c r="A1631" i="13" s="1"/>
  <c r="A1632" i="13" s="1"/>
  <c r="A1633" i="13" s="1"/>
  <c r="A1634" i="13" s="1"/>
  <c r="A1635" i="13" s="1"/>
  <c r="A1636" i="13" s="1"/>
  <c r="A1637" i="13" s="1"/>
  <c r="A1638" i="13" s="1"/>
  <c r="A1639" i="13" s="1"/>
  <c r="A1640" i="13" s="1"/>
  <c r="A1641" i="13" s="1"/>
  <c r="A1642" i="13" s="1"/>
  <c r="A1643" i="13" s="1"/>
  <c r="A1644" i="13" s="1"/>
  <c r="A1645" i="13" s="1"/>
  <c r="A1646" i="13" s="1"/>
  <c r="A1647" i="13" s="1"/>
  <c r="A1648" i="13" s="1"/>
  <c r="A1649" i="13" s="1"/>
  <c r="A1650" i="13" s="1"/>
  <c r="A1651" i="13" s="1"/>
  <c r="A1652" i="13" s="1"/>
  <c r="A1653" i="13" s="1"/>
  <c r="A1654" i="13" s="1"/>
  <c r="A1655" i="13" s="1"/>
  <c r="A1656" i="13" s="1"/>
  <c r="A1657" i="13" s="1"/>
  <c r="A1658" i="13" s="1"/>
  <c r="A1659" i="13" s="1"/>
  <c r="A1660" i="13" s="1"/>
  <c r="A1661" i="13" s="1"/>
  <c r="A1662" i="13" s="1"/>
  <c r="A1663" i="13" s="1"/>
  <c r="A1664" i="13" s="1"/>
  <c r="A1665" i="13" s="1"/>
  <c r="A1666" i="13" s="1"/>
  <c r="A1667" i="13" s="1"/>
  <c r="A1668" i="13" s="1"/>
  <c r="A1669" i="13" s="1"/>
  <c r="A1670" i="13" s="1"/>
  <c r="A1671" i="13" s="1"/>
  <c r="A1672" i="13" s="1"/>
  <c r="A1673" i="13" s="1"/>
  <c r="A1674" i="13" s="1"/>
  <c r="A1675" i="13" s="1"/>
  <c r="A1676" i="13" s="1"/>
  <c r="A1677" i="13" s="1"/>
  <c r="A1678" i="13" s="1"/>
  <c r="A1679" i="13" s="1"/>
  <c r="A1680" i="13" s="1"/>
  <c r="A1681" i="13" s="1"/>
  <c r="A1682" i="13" s="1"/>
  <c r="A1683" i="13" s="1"/>
  <c r="A1684" i="13" s="1"/>
  <c r="A1685" i="13" s="1"/>
  <c r="A1686" i="13" s="1"/>
  <c r="A1687" i="13" s="1"/>
  <c r="A1688" i="13" s="1"/>
  <c r="A1689" i="13" s="1"/>
  <c r="A1690" i="13" s="1"/>
  <c r="A1691" i="13" s="1"/>
  <c r="A1692" i="13" s="1"/>
  <c r="A1693" i="13" s="1"/>
  <c r="A1694" i="13" s="1"/>
  <c r="A1695" i="13" s="1"/>
  <c r="A1696" i="13" s="1"/>
  <c r="A1697" i="13" s="1"/>
  <c r="A1698" i="13" s="1"/>
  <c r="A1699" i="13" s="1"/>
  <c r="A1700" i="13" s="1"/>
  <c r="A1701" i="13" s="1"/>
  <c r="A1702" i="13" s="1"/>
  <c r="A1703" i="13" s="1"/>
  <c r="A1704" i="13" s="1"/>
  <c r="A1705" i="13" s="1"/>
  <c r="A1706" i="13" s="1"/>
  <c r="A1707" i="13" s="1"/>
  <c r="A1708" i="13" s="1"/>
  <c r="A1709" i="13" s="1"/>
  <c r="A1710" i="13" s="1"/>
  <c r="A1711" i="13" s="1"/>
  <c r="A1712" i="13" s="1"/>
  <c r="A1713" i="13" s="1"/>
  <c r="A1714" i="13" s="1"/>
  <c r="A1715" i="13" s="1"/>
  <c r="A1716" i="13" s="1"/>
  <c r="A1717" i="13" s="1"/>
  <c r="A1718" i="13" s="1"/>
  <c r="A1719" i="13" s="1"/>
  <c r="A1720" i="13" s="1"/>
  <c r="A1721" i="13" s="1"/>
  <c r="A1722" i="13" s="1"/>
  <c r="A1723" i="13" s="1"/>
  <c r="A1724" i="13" s="1"/>
  <c r="A1725" i="13" s="1"/>
  <c r="A1726" i="13" s="1"/>
  <c r="A1727" i="13" s="1"/>
  <c r="A1728" i="13" s="1"/>
  <c r="A1729" i="13" s="1"/>
  <c r="A1730" i="13" s="1"/>
  <c r="A1731" i="13" s="1"/>
  <c r="A1732" i="13" s="1"/>
  <c r="A1733" i="13" s="1"/>
  <c r="A1734" i="13" s="1"/>
  <c r="A1735" i="13" s="1"/>
  <c r="A1736" i="13" s="1"/>
  <c r="A1737" i="13" s="1"/>
  <c r="A1738" i="13" s="1"/>
  <c r="A1739" i="13" s="1"/>
  <c r="A1740" i="13" s="1"/>
  <c r="A1741" i="13" s="1"/>
  <c r="A1742" i="13" s="1"/>
  <c r="A1743" i="13" s="1"/>
  <c r="A1744" i="13" s="1"/>
  <c r="A1745" i="13" s="1"/>
  <c r="A1746" i="13" s="1"/>
  <c r="A1747" i="13" s="1"/>
  <c r="A1748" i="13" s="1"/>
  <c r="A1749" i="13" s="1"/>
  <c r="A1750" i="13" s="1"/>
  <c r="A1751" i="13" s="1"/>
  <c r="A1752" i="13" s="1"/>
  <c r="A1753" i="13" s="1"/>
  <c r="A1754" i="13" s="1"/>
  <c r="A1755" i="13" s="1"/>
  <c r="A1756" i="13" s="1"/>
  <c r="A1757" i="13" s="1"/>
  <c r="A1758" i="13" s="1"/>
  <c r="A1759" i="13" s="1"/>
  <c r="A1760" i="13" s="1"/>
  <c r="A1761" i="13" s="1"/>
  <c r="A1762" i="13" s="1"/>
  <c r="A1763" i="13" s="1"/>
  <c r="A1764" i="13" s="1"/>
  <c r="A1765" i="13" s="1"/>
  <c r="A1766" i="13" s="1"/>
  <c r="A1767" i="13" s="1"/>
  <c r="A1768" i="13" s="1"/>
  <c r="A1769" i="13" s="1"/>
  <c r="A1770" i="13" s="1"/>
  <c r="A1771" i="13" s="1"/>
  <c r="A1772" i="13" s="1"/>
  <c r="A1773" i="13" s="1"/>
  <c r="A1774" i="13" s="1"/>
  <c r="A1775" i="13" s="1"/>
  <c r="A1776" i="13" s="1"/>
  <c r="A1777" i="13" s="1"/>
  <c r="A1778" i="13" s="1"/>
  <c r="A1779" i="13" s="1"/>
  <c r="A1780" i="13" s="1"/>
  <c r="A1781" i="13" s="1"/>
  <c r="A1782" i="13" s="1"/>
  <c r="A1783" i="13" s="1"/>
  <c r="A1784" i="13" s="1"/>
  <c r="A1785" i="13" s="1"/>
  <c r="A1786" i="13" s="1"/>
  <c r="A1787" i="13" s="1"/>
  <c r="A1788" i="13" s="1"/>
  <c r="A1789" i="13" s="1"/>
  <c r="A1790" i="13" s="1"/>
  <c r="A1791" i="13" s="1"/>
  <c r="A1792" i="13" s="1"/>
  <c r="A1793" i="13" s="1"/>
  <c r="A1794" i="13" s="1"/>
  <c r="A1795" i="13" s="1"/>
  <c r="A1796" i="13" s="1"/>
  <c r="A1797" i="13" s="1"/>
  <c r="A1798" i="13" s="1"/>
  <c r="A1799" i="13" s="1"/>
  <c r="A1800" i="13" s="1"/>
  <c r="A1801" i="13" s="1"/>
  <c r="A1802" i="13" s="1"/>
  <c r="A1803" i="13" s="1"/>
  <c r="A1804" i="13" s="1"/>
  <c r="A1805" i="13" s="1"/>
  <c r="A1806" i="13" s="1"/>
  <c r="A1807" i="13" s="1"/>
  <c r="A1808" i="13" s="1"/>
  <c r="A1809" i="13" s="1"/>
  <c r="A1810" i="13" s="1"/>
  <c r="A1811" i="13" s="1"/>
  <c r="A1812" i="13" s="1"/>
  <c r="A1813" i="13" s="1"/>
  <c r="A1814" i="13" s="1"/>
  <c r="A1815" i="13" s="1"/>
  <c r="A1816" i="13" s="1"/>
  <c r="A1817" i="13" s="1"/>
  <c r="A1818" i="13" s="1"/>
  <c r="A1819" i="13" s="1"/>
  <c r="A1820" i="13" s="1"/>
  <c r="A1821" i="13" s="1"/>
  <c r="A1822" i="13" s="1"/>
  <c r="A1823" i="13" s="1"/>
  <c r="A1824" i="13" s="1"/>
  <c r="A1825" i="13" s="1"/>
  <c r="A1826" i="13" s="1"/>
  <c r="A1827" i="13" s="1"/>
  <c r="A1828" i="13" s="1"/>
  <c r="A1829" i="13" s="1"/>
  <c r="A1830" i="13" s="1"/>
  <c r="A1831" i="13" s="1"/>
  <c r="A1832" i="13" s="1"/>
  <c r="A1833" i="13" s="1"/>
  <c r="A1834" i="13" s="1"/>
  <c r="A1835" i="13" s="1"/>
  <c r="A1836" i="13" s="1"/>
  <c r="A1837" i="13" s="1"/>
  <c r="A1838" i="13" s="1"/>
  <c r="A1839" i="13" s="1"/>
  <c r="A1840" i="13" s="1"/>
  <c r="A1841" i="13" s="1"/>
  <c r="A1842" i="13" s="1"/>
  <c r="A1843" i="13" s="1"/>
  <c r="A1844" i="13" s="1"/>
  <c r="A1845" i="13" s="1"/>
  <c r="A1846" i="13" s="1"/>
  <c r="A1847" i="13" s="1"/>
  <c r="A1848" i="13" s="1"/>
  <c r="A1849" i="13" s="1"/>
  <c r="A1850" i="13" s="1"/>
  <c r="A1851" i="13" s="1"/>
  <c r="A1852" i="13" s="1"/>
  <c r="A1853" i="13" s="1"/>
  <c r="A1854" i="13" s="1"/>
  <c r="A1855" i="13" s="1"/>
  <c r="A1856" i="13" s="1"/>
  <c r="A1857" i="13" s="1"/>
  <c r="A1858" i="13" s="1"/>
  <c r="A1859" i="13" s="1"/>
  <c r="A1860" i="13" s="1"/>
  <c r="A1861" i="13" s="1"/>
  <c r="A1862" i="13" s="1"/>
  <c r="A1863" i="13" s="1"/>
  <c r="A1864" i="13" s="1"/>
  <c r="A1865" i="13" s="1"/>
  <c r="A1866" i="13" s="1"/>
  <c r="A1867" i="13" s="1"/>
  <c r="A1868" i="13" s="1"/>
  <c r="A1869" i="13" s="1"/>
  <c r="A1870" i="13" s="1"/>
  <c r="A1871" i="13" s="1"/>
  <c r="A1872" i="13" s="1"/>
  <c r="A1873" i="13" s="1"/>
  <c r="A1874" i="13" s="1"/>
  <c r="A1875" i="13" s="1"/>
  <c r="A1876" i="13" s="1"/>
  <c r="A1877" i="13" s="1"/>
  <c r="A1878" i="13" s="1"/>
  <c r="A1879" i="13" s="1"/>
  <c r="A1880" i="13" s="1"/>
  <c r="A1881" i="13" s="1"/>
  <c r="A1882" i="13" s="1"/>
  <c r="A1883" i="13" s="1"/>
  <c r="A1884" i="13" s="1"/>
  <c r="A1885" i="13" s="1"/>
  <c r="A1886" i="13" s="1"/>
  <c r="A1887" i="13" s="1"/>
  <c r="A1888" i="13" s="1"/>
  <c r="A1889" i="13" s="1"/>
  <c r="A1890" i="13" s="1"/>
  <c r="A1891" i="13" s="1"/>
  <c r="A1892" i="13" s="1"/>
  <c r="A1893" i="13" s="1"/>
  <c r="A1894" i="13" s="1"/>
  <c r="A1895" i="13" s="1"/>
  <c r="A1896" i="13" s="1"/>
  <c r="A1897" i="13" s="1"/>
  <c r="A1898" i="13" s="1"/>
  <c r="A1899" i="13" s="1"/>
  <c r="A1900" i="13" s="1"/>
  <c r="A1901" i="13" s="1"/>
  <c r="A1902" i="13" s="1"/>
  <c r="A1903" i="13" s="1"/>
  <c r="A1904" i="13" s="1"/>
  <c r="A1905" i="13" s="1"/>
  <c r="A1906" i="13" s="1"/>
  <c r="A1907" i="13" s="1"/>
  <c r="A1908" i="13" s="1"/>
  <c r="A1909" i="13" s="1"/>
  <c r="A1910" i="13" s="1"/>
  <c r="A1911" i="13" s="1"/>
  <c r="A1912" i="13" s="1"/>
  <c r="A1913" i="13" s="1"/>
  <c r="A1914" i="13" s="1"/>
  <c r="A1915" i="13" s="1"/>
  <c r="A1916" i="13" s="1"/>
  <c r="A1917" i="13" s="1"/>
  <c r="A1918" i="13" s="1"/>
  <c r="A1919" i="13" s="1"/>
  <c r="A1920" i="13" s="1"/>
  <c r="A1921" i="13" s="1"/>
  <c r="A1922" i="13" s="1"/>
  <c r="A1923" i="13" s="1"/>
  <c r="A1924" i="13" s="1"/>
  <c r="A1925" i="13" s="1"/>
  <c r="A1926" i="13" s="1"/>
  <c r="A1927" i="13" s="1"/>
  <c r="A1928" i="13" s="1"/>
  <c r="A1929" i="13" s="1"/>
  <c r="A1930" i="13" s="1"/>
  <c r="A1931" i="13" s="1"/>
  <c r="A1932" i="13" s="1"/>
  <c r="A1933" i="13" s="1"/>
  <c r="A1934" i="13" s="1"/>
  <c r="A1935" i="13" s="1"/>
  <c r="A1936" i="13" s="1"/>
  <c r="A1937" i="13" s="1"/>
  <c r="A1938" i="13" s="1"/>
  <c r="A1939" i="13" s="1"/>
  <c r="A1940" i="13" s="1"/>
  <c r="A1941" i="13" s="1"/>
  <c r="A1942" i="13" s="1"/>
  <c r="A1943" i="13" s="1"/>
  <c r="A1944" i="13" s="1"/>
  <c r="A1945" i="13" s="1"/>
  <c r="A1946" i="13" s="1"/>
  <c r="A1947" i="13" s="1"/>
  <c r="A1948" i="13" s="1"/>
  <c r="A1949" i="13" s="1"/>
  <c r="A1950" i="13" s="1"/>
  <c r="A1951" i="13" s="1"/>
  <c r="A1952" i="13" s="1"/>
  <c r="A1953" i="13" s="1"/>
  <c r="A1954" i="13" s="1"/>
  <c r="A1955" i="13" s="1"/>
  <c r="A1956" i="13" s="1"/>
  <c r="A1957" i="13" s="1"/>
  <c r="A1958" i="13" s="1"/>
  <c r="A1959" i="13" s="1"/>
  <c r="A1960" i="13" s="1"/>
  <c r="A1961" i="13" s="1"/>
  <c r="A1962" i="13" s="1"/>
  <c r="A1963" i="13" s="1"/>
  <c r="A1964" i="13" s="1"/>
  <c r="A1965" i="13" s="1"/>
  <c r="A1966" i="13" s="1"/>
  <c r="A1967" i="13" s="1"/>
  <c r="A1968" i="13" s="1"/>
  <c r="A1969" i="13" s="1"/>
  <c r="A1970" i="13" s="1"/>
  <c r="A1971" i="13" s="1"/>
  <c r="A1972" i="13" s="1"/>
  <c r="A1973" i="13" s="1"/>
  <c r="A1974" i="13" s="1"/>
  <c r="A1975" i="13" s="1"/>
  <c r="A1976" i="13" s="1"/>
  <c r="A1977" i="13" s="1"/>
  <c r="A1978" i="13" s="1"/>
  <c r="A1979" i="13" s="1"/>
  <c r="A1980" i="13" s="1"/>
  <c r="A1981" i="13" s="1"/>
  <c r="A1982" i="13" s="1"/>
  <c r="A1983" i="13" s="1"/>
  <c r="A1984" i="13" s="1"/>
  <c r="A1985" i="13" s="1"/>
  <c r="A1986" i="13" s="1"/>
  <c r="A1987" i="13" s="1"/>
  <c r="A1988" i="13" s="1"/>
  <c r="A1989" i="13" s="1"/>
  <c r="A1990" i="13" s="1"/>
  <c r="A1991" i="13" s="1"/>
  <c r="A1992" i="13" s="1"/>
  <c r="A1993" i="13" s="1"/>
  <c r="A1994" i="13" s="1"/>
  <c r="A1995" i="13" s="1"/>
  <c r="A1996" i="13" s="1"/>
  <c r="A1997" i="13" s="1"/>
  <c r="A1998" i="13" s="1"/>
  <c r="A1999" i="13" s="1"/>
  <c r="A2000" i="13" s="1"/>
  <c r="A2001" i="13" s="1"/>
  <c r="A2002" i="13" s="1"/>
  <c r="A2003" i="13" s="1"/>
  <c r="A2004" i="13" s="1"/>
  <c r="A2005" i="13" s="1"/>
  <c r="A2006" i="13" s="1"/>
  <c r="A2007" i="13" s="1"/>
  <c r="A2008" i="13" s="1"/>
  <c r="A2009" i="13" s="1"/>
  <c r="A2010" i="13" s="1"/>
  <c r="A2011" i="13" s="1"/>
  <c r="A2012" i="13" s="1"/>
  <c r="A2013" i="13" s="1"/>
  <c r="A2014" i="13" s="1"/>
  <c r="A2015" i="13" s="1"/>
  <c r="A2016" i="13" s="1"/>
  <c r="A2017" i="13" s="1"/>
  <c r="A2018" i="13" s="1"/>
  <c r="A2019" i="13" s="1"/>
  <c r="A2020" i="13" s="1"/>
  <c r="A2021" i="13" s="1"/>
  <c r="A2022" i="13" s="1"/>
  <c r="A2023" i="13" s="1"/>
  <c r="A2024" i="13" s="1"/>
  <c r="A2025" i="13" s="1"/>
  <c r="A2026" i="13" s="1"/>
  <c r="A2027" i="13" s="1"/>
  <c r="A2028" i="13" s="1"/>
  <c r="A2029" i="13" s="1"/>
  <c r="A2030" i="13" s="1"/>
  <c r="A2031" i="13" s="1"/>
  <c r="A2032" i="13" s="1"/>
  <c r="A2033" i="13" s="1"/>
  <c r="A2034" i="13" s="1"/>
  <c r="A2035" i="13" s="1"/>
  <c r="A2036" i="13" s="1"/>
  <c r="A2037" i="13" s="1"/>
  <c r="A2038" i="13" s="1"/>
  <c r="A2039" i="13" s="1"/>
  <c r="A2040" i="13" s="1"/>
  <c r="A2041" i="13" s="1"/>
  <c r="A2042" i="13" s="1"/>
  <c r="A2043" i="13" s="1"/>
  <c r="A2044" i="13" s="1"/>
  <c r="A2045" i="13" s="1"/>
  <c r="A2046" i="13" s="1"/>
  <c r="A2047" i="13" s="1"/>
  <c r="A2048" i="13" s="1"/>
  <c r="A2049" i="13" s="1"/>
  <c r="A2050" i="13" s="1"/>
  <c r="A2051" i="13" s="1"/>
  <c r="A2052" i="13" s="1"/>
  <c r="A2053" i="13" s="1"/>
  <c r="A2054" i="13" s="1"/>
  <c r="A2055" i="13" s="1"/>
  <c r="A2056" i="13" s="1"/>
  <c r="A2057" i="13" s="1"/>
  <c r="A2058" i="13" s="1"/>
  <c r="A2059" i="13" s="1"/>
  <c r="A2060" i="13" s="1"/>
  <c r="A2061" i="13" s="1"/>
  <c r="A2062" i="13" s="1"/>
  <c r="A2063" i="13" s="1"/>
  <c r="A2064" i="13" s="1"/>
  <c r="A2065" i="13" s="1"/>
  <c r="A2066" i="13" s="1"/>
  <c r="A2067" i="13" s="1"/>
  <c r="A2068" i="13" s="1"/>
  <c r="A2069" i="13" s="1"/>
  <c r="A2070" i="13" s="1"/>
  <c r="A2071" i="13" s="1"/>
  <c r="A2072" i="13" s="1"/>
  <c r="A2073" i="13" s="1"/>
  <c r="A2074" i="13" s="1"/>
  <c r="A2075" i="13" s="1"/>
  <c r="A2076" i="13" s="1"/>
  <c r="A2077" i="13" s="1"/>
  <c r="A2078" i="13" s="1"/>
  <c r="A2079" i="13" s="1"/>
  <c r="A2080" i="13" s="1"/>
  <c r="A2081" i="13" s="1"/>
  <c r="A2082" i="13" s="1"/>
  <c r="A2083" i="13" s="1"/>
  <c r="A2084" i="13" s="1"/>
  <c r="A2085" i="13" s="1"/>
  <c r="A2086" i="13" s="1"/>
  <c r="A2087" i="13" s="1"/>
  <c r="A2088" i="13" s="1"/>
  <c r="A2089" i="13" s="1"/>
  <c r="A2090" i="13" s="1"/>
  <c r="A2091" i="13" s="1"/>
  <c r="A2092" i="13" s="1"/>
  <c r="A2093" i="13" s="1"/>
  <c r="A2094" i="13" s="1"/>
  <c r="A2095" i="13" s="1"/>
  <c r="A2096" i="13" s="1"/>
  <c r="A2097" i="13" s="1"/>
  <c r="A2098" i="13" s="1"/>
  <c r="A2099" i="13" s="1"/>
  <c r="A2100" i="13" s="1"/>
  <c r="A2101" i="13" s="1"/>
  <c r="A2102" i="13" s="1"/>
  <c r="A2103" i="13" s="1"/>
  <c r="A2104" i="13" s="1"/>
  <c r="A2105" i="13" s="1"/>
  <c r="A2106" i="13" s="1"/>
  <c r="A2107" i="13" s="1"/>
  <c r="A2108" i="13" s="1"/>
  <c r="A2109" i="13" s="1"/>
  <c r="A2110" i="13" s="1"/>
  <c r="A2111" i="13" s="1"/>
  <c r="A2112" i="13" s="1"/>
  <c r="A2113" i="13" s="1"/>
  <c r="A2114" i="13" s="1"/>
  <c r="A2115" i="13" s="1"/>
  <c r="A2116" i="13" s="1"/>
  <c r="A2117" i="13" s="1"/>
  <c r="A2118" i="13" s="1"/>
  <c r="A2119" i="13" s="1"/>
  <c r="A2120" i="13" s="1"/>
  <c r="A2121" i="13" s="1"/>
  <c r="A2122" i="13" s="1"/>
  <c r="A2123" i="13" s="1"/>
  <c r="A2124" i="13" s="1"/>
  <c r="A2125" i="13" s="1"/>
  <c r="A2126" i="13" s="1"/>
  <c r="A2127" i="13" s="1"/>
  <c r="A2128" i="13" s="1"/>
  <c r="A2129" i="13" s="1"/>
  <c r="A2130" i="13" s="1"/>
  <c r="A2131" i="13" s="1"/>
  <c r="A2132" i="13" s="1"/>
  <c r="A2133" i="13" s="1"/>
  <c r="A2134" i="13" s="1"/>
  <c r="A2135" i="13" s="1"/>
  <c r="A2136" i="13" s="1"/>
  <c r="A2137" i="13" s="1"/>
  <c r="A2138" i="13" s="1"/>
  <c r="A2139" i="13" s="1"/>
  <c r="A2140" i="13" s="1"/>
  <c r="A2141" i="13" s="1"/>
  <c r="A2142" i="13" s="1"/>
  <c r="A2143" i="13" s="1"/>
  <c r="A2144" i="13" s="1"/>
  <c r="A2145" i="13" s="1"/>
  <c r="A2146" i="13" s="1"/>
  <c r="A2147" i="13" s="1"/>
  <c r="A2148" i="13" s="1"/>
  <c r="A2149" i="13" s="1"/>
  <c r="A2150" i="13" s="1"/>
  <c r="A2151" i="13" s="1"/>
  <c r="A2152" i="13" s="1"/>
  <c r="A2153" i="13" s="1"/>
  <c r="A2154" i="13" s="1"/>
  <c r="A2155" i="13" s="1"/>
  <c r="A2156" i="13" s="1"/>
  <c r="A2157" i="13" s="1"/>
  <c r="A2158" i="13" s="1"/>
  <c r="A2159" i="13" s="1"/>
  <c r="A2160" i="13" s="1"/>
  <c r="A2161" i="13" s="1"/>
  <c r="A2162" i="13" s="1"/>
  <c r="A2163" i="13" s="1"/>
  <c r="A2164" i="13" s="1"/>
  <c r="A2165" i="13" s="1"/>
  <c r="A2166" i="13" s="1"/>
  <c r="A2167" i="13" s="1"/>
  <c r="A2168" i="13" s="1"/>
  <c r="A2169" i="13" s="1"/>
  <c r="A2170" i="13" s="1"/>
  <c r="A2171" i="13" s="1"/>
  <c r="A2172" i="13" s="1"/>
  <c r="A2173" i="13" s="1"/>
  <c r="A2174" i="13" s="1"/>
  <c r="A2175" i="13" s="1"/>
  <c r="A2176" i="13" s="1"/>
  <c r="A2177" i="13" s="1"/>
  <c r="A2178" i="13" s="1"/>
  <c r="A2179" i="13" s="1"/>
  <c r="A2180" i="13" s="1"/>
  <c r="A2181" i="13" s="1"/>
  <c r="A2182" i="13" s="1"/>
  <c r="A2183" i="13" s="1"/>
  <c r="A2184" i="13" s="1"/>
  <c r="A2185" i="13" s="1"/>
  <c r="A2186" i="13" s="1"/>
  <c r="A2187" i="13" s="1"/>
  <c r="A2188" i="13" s="1"/>
  <c r="A2189" i="13" s="1"/>
  <c r="A2190" i="13" s="1"/>
  <c r="A2191" i="13" s="1"/>
  <c r="A2192" i="13" s="1"/>
  <c r="A2193" i="13" s="1"/>
  <c r="A2194" i="13" s="1"/>
  <c r="A2195" i="13" s="1"/>
  <c r="A2196" i="13" s="1"/>
  <c r="A2197" i="13" s="1"/>
  <c r="A2198" i="13" s="1"/>
  <c r="A2199" i="13" s="1"/>
  <c r="A2200" i="13" s="1"/>
  <c r="A2201" i="13" s="1"/>
  <c r="A2202" i="13" s="1"/>
  <c r="A2203" i="13" s="1"/>
  <c r="A2204" i="13" s="1"/>
  <c r="A2205" i="13" s="1"/>
  <c r="A2206" i="13" s="1"/>
  <c r="A2207" i="13" s="1"/>
  <c r="A2208" i="13" s="1"/>
  <c r="A2209" i="13" s="1"/>
  <c r="A2210" i="13" s="1"/>
  <c r="A2211" i="13" s="1"/>
  <c r="A2212" i="13" s="1"/>
  <c r="A2213" i="13" s="1"/>
  <c r="A2214" i="13" s="1"/>
  <c r="A2215" i="13" s="1"/>
  <c r="A2216" i="13" s="1"/>
  <c r="A2217" i="13" s="1"/>
  <c r="A2218" i="13" s="1"/>
  <c r="A2219" i="13" s="1"/>
  <c r="A2220" i="13" s="1"/>
  <c r="A2221" i="13" s="1"/>
  <c r="A2222" i="13" s="1"/>
  <c r="A2223" i="13" s="1"/>
  <c r="A2224" i="13" s="1"/>
  <c r="A2225" i="13" s="1"/>
  <c r="A2226" i="13" s="1"/>
  <c r="A2227" i="13" s="1"/>
  <c r="A2228" i="13" s="1"/>
  <c r="A2229" i="13" s="1"/>
  <c r="A2230" i="13" s="1"/>
  <c r="A2231" i="13" s="1"/>
  <c r="A2232" i="13" s="1"/>
  <c r="A2233" i="13" s="1"/>
  <c r="A2234" i="13" s="1"/>
  <c r="A2235" i="13" s="1"/>
  <c r="A2236" i="13" s="1"/>
  <c r="A2237" i="13" s="1"/>
  <c r="A2238" i="13" s="1"/>
  <c r="A2239" i="13" s="1"/>
  <c r="A2240" i="13" s="1"/>
  <c r="A2241" i="13" s="1"/>
  <c r="A2242" i="13" s="1"/>
  <c r="A2243" i="13" s="1"/>
  <c r="A2244" i="13" s="1"/>
  <c r="A2245" i="13" s="1"/>
  <c r="A2246" i="13" s="1"/>
  <c r="A2247" i="13" s="1"/>
  <c r="A2248" i="13" s="1"/>
  <c r="A2249" i="13" s="1"/>
  <c r="A2250" i="13" s="1"/>
  <c r="A2251" i="13" s="1"/>
  <c r="A2252" i="13" s="1"/>
  <c r="A2253" i="13" s="1"/>
  <c r="A2254" i="13" s="1"/>
  <c r="A2255" i="13" s="1"/>
  <c r="A2256" i="13" s="1"/>
  <c r="A2257" i="13" s="1"/>
  <c r="A2258" i="13" s="1"/>
  <c r="A2259" i="13" s="1"/>
  <c r="A2260" i="13" s="1"/>
  <c r="A2261" i="13" s="1"/>
  <c r="A2262" i="13" s="1"/>
  <c r="A2263" i="13" s="1"/>
  <c r="A2264" i="13" s="1"/>
  <c r="A2265" i="13" s="1"/>
  <c r="A2266" i="13" s="1"/>
  <c r="A2267" i="13" s="1"/>
  <c r="A2268" i="13" s="1"/>
  <c r="A2269" i="13" s="1"/>
  <c r="A2270" i="13" s="1"/>
  <c r="A2271" i="13" s="1"/>
  <c r="A2272" i="13" s="1"/>
  <c r="A2273" i="13" s="1"/>
  <c r="A2274" i="13" s="1"/>
  <c r="A2275" i="13" s="1"/>
  <c r="A2276" i="13" s="1"/>
  <c r="A2277" i="13" s="1"/>
  <c r="A2278" i="13" s="1"/>
  <c r="A2279" i="13" s="1"/>
  <c r="A2280" i="13" s="1"/>
  <c r="A2281" i="13" s="1"/>
  <c r="A2282" i="13" s="1"/>
  <c r="A2283" i="13" s="1"/>
  <c r="A2284" i="13" s="1"/>
  <c r="A2285" i="13" s="1"/>
  <c r="A2286" i="13" s="1"/>
  <c r="A2287" i="13" s="1"/>
  <c r="A2288" i="13" s="1"/>
  <c r="A2289" i="13" s="1"/>
  <c r="A2290" i="13" s="1"/>
  <c r="A2291" i="13" s="1"/>
  <c r="A2292" i="13" s="1"/>
  <c r="A2293" i="13" s="1"/>
  <c r="A2294" i="13" s="1"/>
  <c r="A2295" i="13" s="1"/>
  <c r="A2296" i="13" s="1"/>
  <c r="A2297" i="13" s="1"/>
  <c r="A2298" i="13" s="1"/>
  <c r="A2299" i="13" s="1"/>
  <c r="A2300" i="13" s="1"/>
  <c r="A2301" i="13" s="1"/>
  <c r="A2302" i="13" s="1"/>
  <c r="A2303" i="13" s="1"/>
  <c r="A2304" i="13" s="1"/>
  <c r="A2305" i="13" s="1"/>
  <c r="A2306" i="13" s="1"/>
  <c r="A2307" i="13" s="1"/>
  <c r="A2308" i="13" s="1"/>
  <c r="A2309" i="13" s="1"/>
  <c r="A2310" i="13" s="1"/>
  <c r="A2311" i="13" s="1"/>
  <c r="A2312" i="13" s="1"/>
  <c r="A2313" i="13" s="1"/>
  <c r="A2314" i="13" s="1"/>
  <c r="A2315" i="13" s="1"/>
  <c r="A2316" i="13" s="1"/>
  <c r="A2317" i="13" s="1"/>
  <c r="A2318" i="13" s="1"/>
  <c r="A2319" i="13" s="1"/>
  <c r="A2320" i="13" s="1"/>
  <c r="A2321" i="13" s="1"/>
  <c r="A2322" i="13" s="1"/>
  <c r="A2323" i="13" s="1"/>
  <c r="A2324" i="13" s="1"/>
  <c r="A2325" i="13" s="1"/>
  <c r="A2326" i="13" s="1"/>
  <c r="A2327" i="13" s="1"/>
  <c r="A2328" i="13" s="1"/>
  <c r="A2329" i="13" s="1"/>
  <c r="A2330" i="13" s="1"/>
  <c r="A2331" i="13" s="1"/>
  <c r="A2332" i="13" s="1"/>
  <c r="A2333" i="13" s="1"/>
  <c r="A2334" i="13" s="1"/>
  <c r="A2335" i="13" s="1"/>
  <c r="A2336" i="13" s="1"/>
  <c r="A2337" i="13" s="1"/>
  <c r="A2338" i="13" s="1"/>
  <c r="A2339" i="13" s="1"/>
  <c r="A2340" i="13" s="1"/>
  <c r="A2341" i="13" s="1"/>
  <c r="A2342" i="13" s="1"/>
  <c r="A2343" i="13" s="1"/>
  <c r="A2344" i="13" s="1"/>
  <c r="A2345" i="13" s="1"/>
  <c r="A2346" i="13" s="1"/>
  <c r="A2347" i="13" s="1"/>
  <c r="A2348" i="13" s="1"/>
  <c r="A2349" i="13" s="1"/>
  <c r="A2350" i="13" s="1"/>
  <c r="A2351" i="13" s="1"/>
  <c r="A2352" i="13" s="1"/>
  <c r="A2353" i="13" s="1"/>
  <c r="A2354" i="13" s="1"/>
  <c r="A2355" i="13" s="1"/>
  <c r="A2356" i="13" s="1"/>
  <c r="A2357" i="13" s="1"/>
  <c r="A2358" i="13" s="1"/>
  <c r="A2359" i="13" s="1"/>
  <c r="A2360" i="13" s="1"/>
  <c r="V61" i="13"/>
  <c r="V62" i="13" s="1"/>
  <c r="U61" i="13"/>
  <c r="U62" i="13" s="1"/>
  <c r="T61" i="13"/>
  <c r="T62" i="13" s="1"/>
  <c r="S61" i="13"/>
  <c r="S62" i="13" s="1"/>
  <c r="R61" i="13"/>
  <c r="R62" i="13" s="1"/>
  <c r="Q61" i="13"/>
  <c r="Q62" i="13" s="1"/>
  <c r="P61" i="13"/>
  <c r="P62" i="13" s="1"/>
  <c r="O61" i="13"/>
  <c r="O62" i="13" s="1"/>
  <c r="N61" i="13"/>
  <c r="N62" i="13" s="1"/>
  <c r="M61" i="13"/>
  <c r="M62" i="13" s="1"/>
  <c r="L61" i="13"/>
  <c r="L62" i="13" s="1"/>
  <c r="K61" i="13"/>
  <c r="K62" i="13" s="1"/>
  <c r="J61" i="13"/>
  <c r="J62" i="13" s="1"/>
  <c r="I61" i="13"/>
  <c r="I62" i="13" s="1"/>
  <c r="H61" i="13"/>
  <c r="H62" i="13" s="1"/>
  <c r="G61" i="13"/>
  <c r="G62" i="13" s="1"/>
  <c r="F61" i="13"/>
  <c r="F62" i="13" s="1"/>
  <c r="E61" i="13"/>
  <c r="E62" i="13" s="1"/>
  <c r="D61" i="13"/>
  <c r="D62" i="13" s="1"/>
  <c r="C61" i="13"/>
  <c r="C62" i="13" s="1"/>
  <c r="C31" i="13"/>
  <c r="B101" i="13" s="1"/>
  <c r="C27" i="13"/>
  <c r="B100" i="13" s="1"/>
  <c r="C21" i="13"/>
  <c r="B108" i="13" s="1"/>
  <c r="B107" i="13"/>
  <c r="B10" i="13"/>
  <c r="B6" i="13"/>
  <c r="B37" i="13" s="1"/>
  <c r="C107" i="15" l="1"/>
  <c r="D114" i="15"/>
  <c r="C22" i="15"/>
  <c r="B128" i="15"/>
  <c r="B132" i="15" s="1"/>
  <c r="B116" i="15"/>
  <c r="B117" i="15"/>
  <c r="B115" i="15"/>
  <c r="C114" i="15"/>
  <c r="C16" i="15"/>
  <c r="C20" i="15"/>
  <c r="F58" i="15"/>
  <c r="E59" i="15"/>
  <c r="E3" i="15" s="1"/>
  <c r="E5" i="15" s="1"/>
  <c r="C15" i="15"/>
  <c r="C42" i="15" s="1"/>
  <c r="B107" i="15"/>
  <c r="B45" i="15"/>
  <c r="C45" i="15" s="1"/>
  <c r="D45" i="15" s="1"/>
  <c r="E45" i="15" s="1"/>
  <c r="F45" i="15" s="1"/>
  <c r="G45" i="15" s="1"/>
  <c r="H45" i="15" s="1"/>
  <c r="I45" i="15" s="1"/>
  <c r="J45" i="15" s="1"/>
  <c r="K45" i="15" s="1"/>
  <c r="L45" i="15" s="1"/>
  <c r="M45" i="15" s="1"/>
  <c r="N45" i="15" s="1"/>
  <c r="O45" i="15" s="1"/>
  <c r="P45" i="15" s="1"/>
  <c r="Q45" i="15" s="1"/>
  <c r="R45" i="15" s="1"/>
  <c r="S45" i="15" s="1"/>
  <c r="T45" i="15" s="1"/>
  <c r="U45" i="15" s="1"/>
  <c r="V45" i="15" s="1"/>
  <c r="B102" i="15"/>
  <c r="B45" i="13"/>
  <c r="C45" i="13" s="1"/>
  <c r="D45" i="13" s="1"/>
  <c r="E45" i="13" s="1"/>
  <c r="F45" i="13" s="1"/>
  <c r="G45" i="13" s="1"/>
  <c r="H45" i="13" s="1"/>
  <c r="I45" i="13" s="1"/>
  <c r="J45" i="13" s="1"/>
  <c r="K45" i="13" s="1"/>
  <c r="L45" i="13" s="1"/>
  <c r="M45" i="13" s="1"/>
  <c r="N45" i="13" s="1"/>
  <c r="O45" i="13" s="1"/>
  <c r="P45" i="13" s="1"/>
  <c r="Q45" i="13" s="1"/>
  <c r="R45" i="13" s="1"/>
  <c r="S45" i="13" s="1"/>
  <c r="T45" i="13" s="1"/>
  <c r="U45" i="13" s="1"/>
  <c r="V45" i="13" s="1"/>
  <c r="B79" i="13"/>
  <c r="L4" i="13"/>
  <c r="B5" i="13"/>
  <c r="B38" i="13" s="1"/>
  <c r="C27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C122" i="3"/>
  <c r="D122" i="3"/>
  <c r="E122" i="3"/>
  <c r="F122" i="3"/>
  <c r="G122" i="3"/>
  <c r="H122" i="3"/>
  <c r="I122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C104" i="3"/>
  <c r="D104" i="3"/>
  <c r="C102" i="3"/>
  <c r="D102" i="3"/>
  <c r="D45" i="3"/>
  <c r="E45" i="3"/>
  <c r="F45" i="3" s="1"/>
  <c r="G45" i="3" s="1"/>
  <c r="H45" i="3" s="1"/>
  <c r="I45" i="3" s="1"/>
  <c r="J45" i="3" s="1"/>
  <c r="K45" i="3" s="1"/>
  <c r="L45" i="3" s="1"/>
  <c r="M45" i="3" s="1"/>
  <c r="N45" i="3" s="1"/>
  <c r="O45" i="3" s="1"/>
  <c r="P45" i="3" s="1"/>
  <c r="Q45" i="3" s="1"/>
  <c r="R45" i="3" s="1"/>
  <c r="S45" i="3" s="1"/>
  <c r="T45" i="3" s="1"/>
  <c r="U45" i="3" s="1"/>
  <c r="V45" i="3" s="1"/>
  <c r="C45" i="3"/>
  <c r="T3" i="1"/>
  <c r="J82" i="1"/>
  <c r="B123" i="3"/>
  <c r="B124" i="3"/>
  <c r="C3" i="13" l="1"/>
  <c r="C5" i="13" s="1"/>
  <c r="B84" i="13" s="1"/>
  <c r="B98" i="13" s="1"/>
  <c r="D58" i="13"/>
  <c r="C2" i="13"/>
  <c r="C6" i="13" s="1"/>
  <c r="C37" i="15"/>
  <c r="D128" i="15"/>
  <c r="D17" i="15"/>
  <c r="C41" i="15"/>
  <c r="Q103" i="15"/>
  <c r="E103" i="15"/>
  <c r="P103" i="15"/>
  <c r="D103" i="15"/>
  <c r="O103" i="15"/>
  <c r="C103" i="15"/>
  <c r="N103" i="15"/>
  <c r="B103" i="15"/>
  <c r="M103" i="15"/>
  <c r="L103" i="15"/>
  <c r="K103" i="15"/>
  <c r="B104" i="15"/>
  <c r="J103" i="15"/>
  <c r="U103" i="15"/>
  <c r="I103" i="15"/>
  <c r="T103" i="15"/>
  <c r="H103" i="15"/>
  <c r="R103" i="15"/>
  <c r="F103" i="15"/>
  <c r="S103" i="15"/>
  <c r="G103" i="15"/>
  <c r="C128" i="15"/>
  <c r="B121" i="15"/>
  <c r="B108" i="15"/>
  <c r="B109" i="15"/>
  <c r="B110" i="15"/>
  <c r="D107" i="15"/>
  <c r="G58" i="15"/>
  <c r="F2" i="15"/>
  <c r="F6" i="15" s="1"/>
  <c r="F59" i="15"/>
  <c r="F3" i="15" s="1"/>
  <c r="F5" i="15" s="1"/>
  <c r="C121" i="15"/>
  <c r="Q80" i="13"/>
  <c r="E80" i="13"/>
  <c r="P80" i="13"/>
  <c r="D80" i="13"/>
  <c r="O80" i="13"/>
  <c r="C80" i="13"/>
  <c r="N80" i="13"/>
  <c r="B80" i="13"/>
  <c r="B81" i="13" s="1"/>
  <c r="M80" i="13"/>
  <c r="L80" i="13"/>
  <c r="K80" i="13"/>
  <c r="J80" i="13"/>
  <c r="U80" i="13"/>
  <c r="I80" i="13"/>
  <c r="R80" i="13"/>
  <c r="F80" i="13"/>
  <c r="H80" i="13"/>
  <c r="G80" i="13"/>
  <c r="T80" i="13"/>
  <c r="S80" i="13"/>
  <c r="E102" i="3"/>
  <c r="B87" i="13" l="1"/>
  <c r="B86" i="13"/>
  <c r="B85" i="13"/>
  <c r="B91" i="13"/>
  <c r="E58" i="13"/>
  <c r="D2" i="13"/>
  <c r="D6" i="13" s="1"/>
  <c r="C91" i="13" s="1"/>
  <c r="D59" i="13"/>
  <c r="D3" i="13" s="1"/>
  <c r="D5" i="13" s="1"/>
  <c r="C84" i="13" s="1"/>
  <c r="C98" i="13" s="1"/>
  <c r="C130" i="15"/>
  <c r="B122" i="15"/>
  <c r="B125" i="15" s="1"/>
  <c r="C102" i="15"/>
  <c r="C104" i="15" s="1"/>
  <c r="C43" i="15"/>
  <c r="D21" i="15"/>
  <c r="D16" i="15"/>
  <c r="E107" i="15"/>
  <c r="E114" i="15"/>
  <c r="D121" i="15"/>
  <c r="H58" i="15"/>
  <c r="G59" i="15"/>
  <c r="G3" i="15" s="1"/>
  <c r="G5" i="15" s="1"/>
  <c r="G2" i="15"/>
  <c r="G6" i="15" s="1"/>
  <c r="B99" i="13"/>
  <c r="B102" i="13" s="1"/>
  <c r="C79" i="13"/>
  <c r="C81" i="13" s="1"/>
  <c r="E104" i="3"/>
  <c r="F102" i="3" s="1"/>
  <c r="C105" i="13" l="1"/>
  <c r="B94" i="13"/>
  <c r="B92" i="13"/>
  <c r="B105" i="13"/>
  <c r="B109" i="13" s="1"/>
  <c r="B93" i="13"/>
  <c r="E2" i="13"/>
  <c r="E6" i="13" s="1"/>
  <c r="D91" i="13" s="1"/>
  <c r="D105" i="13" s="1"/>
  <c r="F58" i="13"/>
  <c r="E59" i="13"/>
  <c r="E3" i="13" s="1"/>
  <c r="E5" i="13" s="1"/>
  <c r="D84" i="13" s="1"/>
  <c r="D98" i="13" s="1"/>
  <c r="C131" i="15"/>
  <c r="D20" i="15"/>
  <c r="D22" i="15"/>
  <c r="I58" i="15"/>
  <c r="H59" i="15"/>
  <c r="H3" i="15" s="1"/>
  <c r="H5" i="15" s="1"/>
  <c r="H2" i="15"/>
  <c r="H6" i="15" s="1"/>
  <c r="C115" i="15"/>
  <c r="C116" i="15"/>
  <c r="C122" i="15"/>
  <c r="D102" i="15"/>
  <c r="D104" i="15" s="1"/>
  <c r="F114" i="15"/>
  <c r="E128" i="15"/>
  <c r="E121" i="15"/>
  <c r="D15" i="15"/>
  <c r="F107" i="15"/>
  <c r="C99" i="13"/>
  <c r="D79" i="13"/>
  <c r="D81" i="13" s="1"/>
  <c r="F104" i="3"/>
  <c r="G102" i="3" s="1"/>
  <c r="G58" i="13" l="1"/>
  <c r="F2" i="13"/>
  <c r="F6" i="13" s="1"/>
  <c r="E91" i="13" s="1"/>
  <c r="E105" i="13" s="1"/>
  <c r="F59" i="13"/>
  <c r="F3" i="13" s="1"/>
  <c r="F5" i="13" s="1"/>
  <c r="E84" i="13" s="1"/>
  <c r="E98" i="13" s="1"/>
  <c r="J58" i="15"/>
  <c r="I59" i="15"/>
  <c r="I3" i="15" s="1"/>
  <c r="I5" i="15" s="1"/>
  <c r="I2" i="15"/>
  <c r="I6" i="15" s="1"/>
  <c r="F121" i="15"/>
  <c r="F128" i="15"/>
  <c r="G114" i="15"/>
  <c r="D37" i="15"/>
  <c r="D42" i="15"/>
  <c r="G107" i="15"/>
  <c r="D41" i="15"/>
  <c r="D122" i="15"/>
  <c r="E102" i="15"/>
  <c r="E104" i="15" s="1"/>
  <c r="C117" i="15"/>
  <c r="C132" i="15"/>
  <c r="D99" i="13"/>
  <c r="E79" i="13"/>
  <c r="E81" i="13" s="1"/>
  <c r="G104" i="3"/>
  <c r="H102" i="3" s="1"/>
  <c r="H58" i="13" l="1"/>
  <c r="G59" i="13"/>
  <c r="G3" i="13" s="1"/>
  <c r="G5" i="13" s="1"/>
  <c r="F84" i="13" s="1"/>
  <c r="F98" i="13" s="1"/>
  <c r="G2" i="13"/>
  <c r="G6" i="13" s="1"/>
  <c r="F91" i="13" s="1"/>
  <c r="F105" i="13" s="1"/>
  <c r="H107" i="15"/>
  <c r="E21" i="15"/>
  <c r="D43" i="15"/>
  <c r="K58" i="15"/>
  <c r="J59" i="15"/>
  <c r="J3" i="15" s="1"/>
  <c r="J5" i="15" s="1"/>
  <c r="J2" i="15"/>
  <c r="J6" i="15" s="1"/>
  <c r="G128" i="15"/>
  <c r="E122" i="15"/>
  <c r="F102" i="15"/>
  <c r="F104" i="15" s="1"/>
  <c r="H114" i="15"/>
  <c r="G121" i="15"/>
  <c r="E17" i="15"/>
  <c r="E16" i="15" s="1"/>
  <c r="E15" i="15"/>
  <c r="E99" i="13"/>
  <c r="F79" i="13"/>
  <c r="F81" i="13" s="1"/>
  <c r="H104" i="3"/>
  <c r="I102" i="3" s="1"/>
  <c r="I58" i="13" l="1"/>
  <c r="H59" i="13"/>
  <c r="H3" i="13" s="1"/>
  <c r="H5" i="13" s="1"/>
  <c r="G84" i="13" s="1"/>
  <c r="G98" i="13" s="1"/>
  <c r="H2" i="13"/>
  <c r="H6" i="13" s="1"/>
  <c r="G91" i="13" s="1"/>
  <c r="G105" i="13" s="1"/>
  <c r="K59" i="15"/>
  <c r="K3" i="15" s="1"/>
  <c r="K5" i="15" s="1"/>
  <c r="K2" i="15"/>
  <c r="K6" i="15" s="1"/>
  <c r="L58" i="15"/>
  <c r="H128" i="15"/>
  <c r="D130" i="15"/>
  <c r="E22" i="15"/>
  <c r="E42" i="15"/>
  <c r="I107" i="15"/>
  <c r="F122" i="15"/>
  <c r="G102" i="15"/>
  <c r="G104" i="15" s="1"/>
  <c r="I114" i="15"/>
  <c r="D131" i="15"/>
  <c r="D117" i="15" s="1"/>
  <c r="E20" i="15"/>
  <c r="H121" i="15"/>
  <c r="F99" i="13"/>
  <c r="G79" i="13"/>
  <c r="G81" i="13" s="1"/>
  <c r="J102" i="3"/>
  <c r="I104" i="3"/>
  <c r="I2" i="13" l="1"/>
  <c r="I6" i="13" s="1"/>
  <c r="H91" i="13" s="1"/>
  <c r="H105" i="13" s="1"/>
  <c r="J58" i="13"/>
  <c r="I59" i="13"/>
  <c r="I3" i="13" s="1"/>
  <c r="I5" i="13" s="1"/>
  <c r="H84" i="13" s="1"/>
  <c r="H98" i="13" s="1"/>
  <c r="E41" i="15"/>
  <c r="E37" i="15"/>
  <c r="D116" i="15"/>
  <c r="D115" i="15"/>
  <c r="D132" i="15"/>
  <c r="I121" i="15"/>
  <c r="L59" i="15"/>
  <c r="L3" i="15" s="1"/>
  <c r="L5" i="15" s="1"/>
  <c r="M58" i="15"/>
  <c r="L2" i="15"/>
  <c r="L6" i="15" s="1"/>
  <c r="G122" i="15"/>
  <c r="H102" i="15"/>
  <c r="H104" i="15" s="1"/>
  <c r="J114" i="15"/>
  <c r="I128" i="15"/>
  <c r="F17" i="15"/>
  <c r="J107" i="15"/>
  <c r="G99" i="13"/>
  <c r="H79" i="13"/>
  <c r="H81" i="13" s="1"/>
  <c r="J104" i="3"/>
  <c r="K102" i="3" s="1"/>
  <c r="J59" i="13" l="1"/>
  <c r="J3" i="13" s="1"/>
  <c r="J5" i="13" s="1"/>
  <c r="I84" i="13" s="1"/>
  <c r="I98" i="13" s="1"/>
  <c r="J2" i="13"/>
  <c r="J6" i="13" s="1"/>
  <c r="I91" i="13" s="1"/>
  <c r="I105" i="13" s="1"/>
  <c r="K58" i="13"/>
  <c r="J121" i="15"/>
  <c r="H122" i="15"/>
  <c r="I102" i="15"/>
  <c r="I104" i="15" s="1"/>
  <c r="K114" i="15"/>
  <c r="E130" i="15"/>
  <c r="M59" i="15"/>
  <c r="M3" i="15" s="1"/>
  <c r="M5" i="15" s="1"/>
  <c r="M2" i="15"/>
  <c r="M6" i="15" s="1"/>
  <c r="N58" i="15"/>
  <c r="J128" i="15"/>
  <c r="K107" i="15"/>
  <c r="F21" i="15"/>
  <c r="F16" i="15"/>
  <c r="E43" i="15"/>
  <c r="H99" i="13"/>
  <c r="I79" i="13"/>
  <c r="I81" i="13" s="1"/>
  <c r="K104" i="3"/>
  <c r="L102" i="3" s="1"/>
  <c r="K59" i="13" l="1"/>
  <c r="K3" i="13" s="1"/>
  <c r="K5" i="13" s="1"/>
  <c r="J84" i="13" s="1"/>
  <c r="J98" i="13" s="1"/>
  <c r="K2" i="13"/>
  <c r="K6" i="13" s="1"/>
  <c r="J91" i="13" s="1"/>
  <c r="J105" i="13" s="1"/>
  <c r="L58" i="13"/>
  <c r="I122" i="15"/>
  <c r="J102" i="15"/>
  <c r="J104" i="15" s="1"/>
  <c r="E131" i="15"/>
  <c r="E117" i="15" s="1"/>
  <c r="F20" i="15"/>
  <c r="K128" i="15"/>
  <c r="N59" i="15"/>
  <c r="N3" i="15" s="1"/>
  <c r="N5" i="15" s="1"/>
  <c r="O58" i="15"/>
  <c r="N2" i="15"/>
  <c r="N6" i="15" s="1"/>
  <c r="L107" i="15"/>
  <c r="F22" i="15"/>
  <c r="K110" i="15"/>
  <c r="K121" i="15"/>
  <c r="K108" i="15"/>
  <c r="K109" i="15"/>
  <c r="F15" i="15"/>
  <c r="L114" i="15"/>
  <c r="E115" i="15"/>
  <c r="E116" i="15"/>
  <c r="E132" i="15"/>
  <c r="I99" i="13"/>
  <c r="J79" i="13"/>
  <c r="J81" i="13" s="1"/>
  <c r="M102" i="3"/>
  <c r="L104" i="3"/>
  <c r="L59" i="13" l="1"/>
  <c r="L3" i="13" s="1"/>
  <c r="L5" i="13" s="1"/>
  <c r="K84" i="13" s="1"/>
  <c r="L2" i="13"/>
  <c r="L6" i="13" s="1"/>
  <c r="K91" i="13" s="1"/>
  <c r="K105" i="13" s="1"/>
  <c r="M58" i="13"/>
  <c r="L121" i="15"/>
  <c r="L128" i="15"/>
  <c r="F37" i="15"/>
  <c r="F42" i="15"/>
  <c r="M114" i="15"/>
  <c r="K102" i="15"/>
  <c r="K104" i="15" s="1"/>
  <c r="J122" i="15"/>
  <c r="O59" i="15"/>
  <c r="O3" i="15" s="1"/>
  <c r="O5" i="15" s="1"/>
  <c r="P58" i="15"/>
  <c r="O2" i="15"/>
  <c r="O6" i="15" s="1"/>
  <c r="F41" i="15"/>
  <c r="M107" i="15"/>
  <c r="K79" i="13"/>
  <c r="K81" i="13" s="1"/>
  <c r="J99" i="13"/>
  <c r="M104" i="3"/>
  <c r="N102" i="3" s="1"/>
  <c r="M59" i="13" l="1"/>
  <c r="M3" i="13" s="1"/>
  <c r="M5" i="13" s="1"/>
  <c r="L84" i="13" s="1"/>
  <c r="L98" i="13" s="1"/>
  <c r="M2" i="13"/>
  <c r="M6" i="13" s="1"/>
  <c r="L91" i="13" s="1"/>
  <c r="L105" i="13" s="1"/>
  <c r="N58" i="13"/>
  <c r="K87" i="13"/>
  <c r="K86" i="13"/>
  <c r="K98" i="13"/>
  <c r="K85" i="13"/>
  <c r="L102" i="15"/>
  <c r="L104" i="15" s="1"/>
  <c r="K122" i="15"/>
  <c r="M128" i="15"/>
  <c r="G17" i="15"/>
  <c r="G15" i="15" s="1"/>
  <c r="N114" i="15"/>
  <c r="M121" i="15"/>
  <c r="G21" i="15"/>
  <c r="F43" i="15"/>
  <c r="Q58" i="15"/>
  <c r="P2" i="15"/>
  <c r="P6" i="15" s="1"/>
  <c r="P59" i="15"/>
  <c r="P3" i="15" s="1"/>
  <c r="P5" i="15" s="1"/>
  <c r="N107" i="15"/>
  <c r="L79" i="13"/>
  <c r="L81" i="13" s="1"/>
  <c r="K99" i="13"/>
  <c r="N104" i="3"/>
  <c r="O102" i="3" s="1"/>
  <c r="O58" i="13" l="1"/>
  <c r="N59" i="13"/>
  <c r="N3" i="13" s="1"/>
  <c r="N5" i="13" s="1"/>
  <c r="M84" i="13" s="1"/>
  <c r="M98" i="13" s="1"/>
  <c r="N2" i="13"/>
  <c r="N6" i="13" s="1"/>
  <c r="M91" i="13" s="1"/>
  <c r="M105" i="13" s="1"/>
  <c r="F130" i="15"/>
  <c r="G22" i="15"/>
  <c r="O107" i="15"/>
  <c r="N121" i="15"/>
  <c r="R58" i="15"/>
  <c r="Q59" i="15"/>
  <c r="Q3" i="15" s="1"/>
  <c r="Q5" i="15" s="1"/>
  <c r="Q2" i="15"/>
  <c r="Q6" i="15" s="1"/>
  <c r="F131" i="15"/>
  <c r="F117" i="15" s="1"/>
  <c r="G20" i="15"/>
  <c r="G41" i="15" s="1"/>
  <c r="M102" i="15"/>
  <c r="M104" i="15" s="1"/>
  <c r="L122" i="15"/>
  <c r="G42" i="15"/>
  <c r="O114" i="15"/>
  <c r="G16" i="15"/>
  <c r="G37" i="15" s="1"/>
  <c r="N128" i="15"/>
  <c r="M79" i="13"/>
  <c r="M81" i="13" s="1"/>
  <c r="L99" i="13"/>
  <c r="O104" i="3"/>
  <c r="P102" i="3" s="1"/>
  <c r="O2" i="13" l="1"/>
  <c r="O6" i="13" s="1"/>
  <c r="N91" i="13" s="1"/>
  <c r="N105" i="13" s="1"/>
  <c r="P58" i="13"/>
  <c r="O59" i="13"/>
  <c r="O3" i="13" s="1"/>
  <c r="O5" i="13" s="1"/>
  <c r="N84" i="13" s="1"/>
  <c r="N98" i="13" s="1"/>
  <c r="G43" i="15"/>
  <c r="H21" i="15"/>
  <c r="H17" i="15"/>
  <c r="H15" i="15"/>
  <c r="M122" i="15"/>
  <c r="N102" i="15"/>
  <c r="N104" i="15" s="1"/>
  <c r="P114" i="15"/>
  <c r="S58" i="15"/>
  <c r="R59" i="15"/>
  <c r="R3" i="15" s="1"/>
  <c r="R5" i="15" s="1"/>
  <c r="R2" i="15"/>
  <c r="R6" i="15" s="1"/>
  <c r="O128" i="15"/>
  <c r="O121" i="15"/>
  <c r="P107" i="15"/>
  <c r="F115" i="15"/>
  <c r="F116" i="15"/>
  <c r="F132" i="15"/>
  <c r="M99" i="13"/>
  <c r="N79" i="13"/>
  <c r="N81" i="13" s="1"/>
  <c r="P104" i="3"/>
  <c r="Q102" i="3" s="1"/>
  <c r="P2" i="13" l="1"/>
  <c r="P6" i="13" s="1"/>
  <c r="O91" i="13" s="1"/>
  <c r="O105" i="13" s="1"/>
  <c r="Q58" i="13"/>
  <c r="P59" i="13"/>
  <c r="P3" i="13" s="1"/>
  <c r="P5" i="13" s="1"/>
  <c r="O84" i="13" s="1"/>
  <c r="O98" i="13" s="1"/>
  <c r="G130" i="15"/>
  <c r="H22" i="15"/>
  <c r="H42" i="15"/>
  <c r="N122" i="15"/>
  <c r="O102" i="15"/>
  <c r="O104" i="15" s="1"/>
  <c r="Q114" i="15"/>
  <c r="G131" i="15"/>
  <c r="G117" i="15" s="1"/>
  <c r="H20" i="15"/>
  <c r="H37" i="15" s="1"/>
  <c r="P121" i="15"/>
  <c r="H16" i="15"/>
  <c r="P128" i="15"/>
  <c r="Q107" i="15"/>
  <c r="T58" i="15"/>
  <c r="S59" i="15"/>
  <c r="S3" i="15" s="1"/>
  <c r="S5" i="15" s="1"/>
  <c r="S2" i="15"/>
  <c r="S6" i="15" s="1"/>
  <c r="N99" i="13"/>
  <c r="O79" i="13"/>
  <c r="O81" i="13" s="1"/>
  <c r="Q104" i="3"/>
  <c r="R102" i="3" s="1"/>
  <c r="R58" i="13" l="1"/>
  <c r="Q59" i="13"/>
  <c r="Q3" i="13" s="1"/>
  <c r="Q5" i="13" s="1"/>
  <c r="P84" i="13" s="1"/>
  <c r="P98" i="13" s="1"/>
  <c r="Q2" i="13"/>
  <c r="Q6" i="13" s="1"/>
  <c r="P91" i="13" s="1"/>
  <c r="P105" i="13" s="1"/>
  <c r="Q121" i="15"/>
  <c r="G115" i="15"/>
  <c r="G116" i="15"/>
  <c r="G132" i="15"/>
  <c r="R114" i="15"/>
  <c r="I17" i="15"/>
  <c r="H41" i="15"/>
  <c r="R107" i="15"/>
  <c r="U58" i="15"/>
  <c r="T59" i="15"/>
  <c r="T3" i="15" s="1"/>
  <c r="T5" i="15" s="1"/>
  <c r="T2" i="15"/>
  <c r="T6" i="15" s="1"/>
  <c r="Q128" i="15"/>
  <c r="O122" i="15"/>
  <c r="P102" i="15"/>
  <c r="P104" i="15" s="1"/>
  <c r="O99" i="13"/>
  <c r="P79" i="13"/>
  <c r="P81" i="13" s="1"/>
  <c r="R104" i="3"/>
  <c r="S102" i="3" s="1"/>
  <c r="S58" i="13" l="1"/>
  <c r="R59" i="13"/>
  <c r="R3" i="13" s="1"/>
  <c r="R5" i="13" s="1"/>
  <c r="Q84" i="13" s="1"/>
  <c r="Q98" i="13" s="1"/>
  <c r="R2" i="13"/>
  <c r="R6" i="13" s="1"/>
  <c r="Q91" i="13" s="1"/>
  <c r="Q105" i="13" s="1"/>
  <c r="R121" i="15"/>
  <c r="V58" i="15"/>
  <c r="U59" i="15"/>
  <c r="U3" i="15" s="1"/>
  <c r="U5" i="15" s="1"/>
  <c r="U2" i="15"/>
  <c r="U6" i="15" s="1"/>
  <c r="R128" i="15"/>
  <c r="S114" i="15"/>
  <c r="P122" i="15"/>
  <c r="Q102" i="15"/>
  <c r="Q104" i="15" s="1"/>
  <c r="H43" i="15"/>
  <c r="I16" i="15"/>
  <c r="I21" i="15"/>
  <c r="H130" i="15"/>
  <c r="I22" i="15"/>
  <c r="S107" i="15"/>
  <c r="P99" i="13"/>
  <c r="Q79" i="13"/>
  <c r="Q81" i="13" s="1"/>
  <c r="S104" i="3"/>
  <c r="T102" i="3" s="1"/>
  <c r="S59" i="13" l="1"/>
  <c r="S3" i="13" s="1"/>
  <c r="S5" i="13" s="1"/>
  <c r="R84" i="13" s="1"/>
  <c r="R98" i="13" s="1"/>
  <c r="S2" i="13"/>
  <c r="S6" i="13" s="1"/>
  <c r="R91" i="13" s="1"/>
  <c r="R105" i="13" s="1"/>
  <c r="T58" i="13"/>
  <c r="H131" i="15"/>
  <c r="H117" i="15" s="1"/>
  <c r="I20" i="15"/>
  <c r="I41" i="15" s="1"/>
  <c r="I15" i="15"/>
  <c r="V59" i="15"/>
  <c r="V3" i="15" s="1"/>
  <c r="V5" i="15" s="1"/>
  <c r="V2" i="15"/>
  <c r="V6" i="15" s="1"/>
  <c r="S128" i="15"/>
  <c r="H116" i="15"/>
  <c r="H115" i="15"/>
  <c r="H132" i="15"/>
  <c r="Q122" i="15"/>
  <c r="R102" i="15"/>
  <c r="R104" i="15" s="1"/>
  <c r="T114" i="15"/>
  <c r="S121" i="15"/>
  <c r="T107" i="15"/>
  <c r="Q99" i="13"/>
  <c r="R79" i="13"/>
  <c r="R81" i="13" s="1"/>
  <c r="T104" i="3"/>
  <c r="U102" i="3" s="1"/>
  <c r="U104" i="3" s="1"/>
  <c r="T2" i="13" l="1"/>
  <c r="T6" i="13" s="1"/>
  <c r="S91" i="13" s="1"/>
  <c r="S105" i="13" s="1"/>
  <c r="T59" i="13"/>
  <c r="T3" i="13" s="1"/>
  <c r="T5" i="13" s="1"/>
  <c r="S84" i="13" s="1"/>
  <c r="S98" i="13" s="1"/>
  <c r="U58" i="13"/>
  <c r="R122" i="15"/>
  <c r="S102" i="15"/>
  <c r="S104" i="15" s="1"/>
  <c r="T121" i="15"/>
  <c r="U114" i="15"/>
  <c r="T128" i="15"/>
  <c r="U107" i="15"/>
  <c r="I37" i="15"/>
  <c r="I42" i="15"/>
  <c r="I43" i="15"/>
  <c r="J21" i="15"/>
  <c r="R99" i="13"/>
  <c r="S79" i="13"/>
  <c r="S81" i="13" s="1"/>
  <c r="C59" i="3"/>
  <c r="C3" i="3" s="1"/>
  <c r="I34" i="3"/>
  <c r="U34" i="3"/>
  <c r="C21" i="3"/>
  <c r="C17" i="3"/>
  <c r="B130" i="3" s="1"/>
  <c r="B131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P129" i="3"/>
  <c r="Q129" i="3"/>
  <c r="R129" i="3"/>
  <c r="S129" i="3"/>
  <c r="T129" i="3"/>
  <c r="U129" i="3"/>
  <c r="B129" i="3"/>
  <c r="U136" i="3"/>
  <c r="V34" i="3" s="1"/>
  <c r="T136" i="3"/>
  <c r="S136" i="3"/>
  <c r="T34" i="3" s="1"/>
  <c r="R136" i="3"/>
  <c r="S34" i="3" s="1"/>
  <c r="Q136" i="3"/>
  <c r="R34" i="3" s="1"/>
  <c r="P136" i="3"/>
  <c r="Q34" i="3" s="1"/>
  <c r="O136" i="3"/>
  <c r="P34" i="3" s="1"/>
  <c r="N136" i="3"/>
  <c r="O34" i="3" s="1"/>
  <c r="M136" i="3"/>
  <c r="N34" i="3" s="1"/>
  <c r="L136" i="3"/>
  <c r="M34" i="3" s="1"/>
  <c r="K136" i="3"/>
  <c r="L34" i="3" s="1"/>
  <c r="J136" i="3"/>
  <c r="K34" i="3" s="1"/>
  <c r="I136" i="3"/>
  <c r="J34" i="3" s="1"/>
  <c r="H136" i="3"/>
  <c r="G136" i="3"/>
  <c r="H34" i="3" s="1"/>
  <c r="F136" i="3"/>
  <c r="G34" i="3" s="1"/>
  <c r="E136" i="3"/>
  <c r="F34" i="3" s="1"/>
  <c r="D136" i="3"/>
  <c r="E34" i="3" s="1"/>
  <c r="C136" i="3"/>
  <c r="D34" i="3" s="1"/>
  <c r="B136" i="3"/>
  <c r="C34" i="3" s="1"/>
  <c r="B6" i="3"/>
  <c r="B37" i="3" s="1"/>
  <c r="C8" i="12"/>
  <c r="D8" i="12"/>
  <c r="C9" i="12"/>
  <c r="D9" i="12"/>
  <c r="I9" i="12"/>
  <c r="C10" i="12"/>
  <c r="D10" i="12"/>
  <c r="D20" i="12"/>
  <c r="E20" i="12"/>
  <c r="D21" i="12"/>
  <c r="E5" i="12" s="1"/>
  <c r="E21" i="12"/>
  <c r="C5" i="12" s="1"/>
  <c r="H21" i="12"/>
  <c r="D22" i="12"/>
  <c r="E3" i="12" s="1"/>
  <c r="E22" i="12"/>
  <c r="C3" i="12" s="1"/>
  <c r="H22" i="12"/>
  <c r="D23" i="12"/>
  <c r="E4" i="12" s="1"/>
  <c r="E23" i="12"/>
  <c r="C4" i="12" s="1"/>
  <c r="U59" i="13" l="1"/>
  <c r="U3" i="13" s="1"/>
  <c r="U5" i="13" s="1"/>
  <c r="T84" i="13" s="1"/>
  <c r="T98" i="13" s="1"/>
  <c r="V58" i="13"/>
  <c r="U2" i="13"/>
  <c r="U6" i="13" s="1"/>
  <c r="T91" i="13" s="1"/>
  <c r="T105" i="13" s="1"/>
  <c r="B133" i="15"/>
  <c r="B126" i="15"/>
  <c r="C133" i="15"/>
  <c r="D133" i="15"/>
  <c r="E133" i="15"/>
  <c r="F133" i="15"/>
  <c r="G133" i="15"/>
  <c r="B118" i="15"/>
  <c r="B111" i="15"/>
  <c r="C118" i="15"/>
  <c r="D118" i="15"/>
  <c r="K111" i="15"/>
  <c r="E118" i="15"/>
  <c r="F118" i="15"/>
  <c r="G118" i="15"/>
  <c r="H133" i="15"/>
  <c r="H118" i="15"/>
  <c r="U121" i="15"/>
  <c r="I131" i="15"/>
  <c r="I117" i="15" s="1"/>
  <c r="J20" i="15"/>
  <c r="S122" i="15"/>
  <c r="T102" i="15"/>
  <c r="T104" i="15" s="1"/>
  <c r="J17" i="15"/>
  <c r="J15" i="15" s="1"/>
  <c r="U128" i="15"/>
  <c r="B95" i="13"/>
  <c r="B88" i="13"/>
  <c r="K88" i="13"/>
  <c r="H23" i="12"/>
  <c r="B110" i="13"/>
  <c r="B103" i="13"/>
  <c r="S99" i="13"/>
  <c r="T79" i="13"/>
  <c r="T81" i="13" s="1"/>
  <c r="C17" i="12"/>
  <c r="B113" i="13" l="1"/>
  <c r="V2" i="13"/>
  <c r="V6" i="13" s="1"/>
  <c r="U91" i="13" s="1"/>
  <c r="U105" i="13" s="1"/>
  <c r="V59" i="13"/>
  <c r="V3" i="13" s="1"/>
  <c r="V5" i="13" s="1"/>
  <c r="U84" i="13" s="1"/>
  <c r="U98" i="13" s="1"/>
  <c r="B135" i="15"/>
  <c r="C35" i="15" s="1"/>
  <c r="I130" i="15"/>
  <c r="J22" i="15"/>
  <c r="J41" i="15" s="1"/>
  <c r="J16" i="15"/>
  <c r="J37" i="15" s="1"/>
  <c r="J42" i="15"/>
  <c r="T122" i="15"/>
  <c r="U102" i="15"/>
  <c r="U104" i="15" s="1"/>
  <c r="U122" i="15" s="1"/>
  <c r="B112" i="13"/>
  <c r="T99" i="13"/>
  <c r="U79" i="13"/>
  <c r="U81" i="13" s="1"/>
  <c r="U99" i="13" s="1"/>
  <c r="A70" i="3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C14" i="10"/>
  <c r="C16" i="13" l="1"/>
  <c r="C15" i="13"/>
  <c r="C42" i="13" s="1"/>
  <c r="C22" i="13"/>
  <c r="C25" i="15"/>
  <c r="C26" i="15"/>
  <c r="C30" i="15" s="1"/>
  <c r="C32" i="15"/>
  <c r="J43" i="15"/>
  <c r="K21" i="15"/>
  <c r="K17" i="15"/>
  <c r="I115" i="15"/>
  <c r="I116" i="15"/>
  <c r="I132" i="15"/>
  <c r="I133" i="15" s="1"/>
  <c r="C32" i="13"/>
  <c r="C26" i="13"/>
  <c r="C30" i="13" s="1"/>
  <c r="C25" i="13"/>
  <c r="C12" i="9"/>
  <c r="D12" i="9" s="1"/>
  <c r="E12" i="9" s="1"/>
  <c r="F12" i="9" s="1"/>
  <c r="G12" i="9" s="1"/>
  <c r="H12" i="9" s="1"/>
  <c r="I12" i="9" s="1"/>
  <c r="J12" i="9" s="1"/>
  <c r="K12" i="9" s="1"/>
  <c r="L12" i="9" s="1"/>
  <c r="M12" i="9" s="1"/>
  <c r="N12" i="9" s="1"/>
  <c r="O12" i="9" s="1"/>
  <c r="P12" i="9" s="1"/>
  <c r="Q12" i="9" s="1"/>
  <c r="R12" i="9" s="1"/>
  <c r="S12" i="9" s="1"/>
  <c r="T12" i="9" s="1"/>
  <c r="U12" i="9" s="1"/>
  <c r="V12" i="9" s="1"/>
  <c r="C12" i="8"/>
  <c r="D12" i="8" s="1"/>
  <c r="E12" i="8" s="1"/>
  <c r="F12" i="8" s="1"/>
  <c r="G12" i="8" s="1"/>
  <c r="H12" i="8" s="1"/>
  <c r="I12" i="8" s="1"/>
  <c r="J12" i="8" s="1"/>
  <c r="K12" i="8" s="1"/>
  <c r="L12" i="8" s="1"/>
  <c r="M12" i="8" s="1"/>
  <c r="N12" i="8" s="1"/>
  <c r="O12" i="8" s="1"/>
  <c r="P12" i="8" s="1"/>
  <c r="Q12" i="8" s="1"/>
  <c r="R12" i="8" s="1"/>
  <c r="S12" i="8" s="1"/>
  <c r="T12" i="8" s="1"/>
  <c r="U12" i="8" s="1"/>
  <c r="V12" i="8" s="1"/>
  <c r="C12" i="7"/>
  <c r="D12" i="7" s="1"/>
  <c r="E12" i="7" s="1"/>
  <c r="F12" i="7" s="1"/>
  <c r="G12" i="7" s="1"/>
  <c r="H12" i="7" s="1"/>
  <c r="I12" i="7" s="1"/>
  <c r="J12" i="7" s="1"/>
  <c r="K12" i="7" s="1"/>
  <c r="L12" i="7" s="1"/>
  <c r="M12" i="7" s="1"/>
  <c r="N12" i="7" s="1"/>
  <c r="O12" i="7" s="1"/>
  <c r="P12" i="7" s="1"/>
  <c r="Q12" i="7" s="1"/>
  <c r="R12" i="7" s="1"/>
  <c r="S12" i="7" s="1"/>
  <c r="T12" i="7" s="1"/>
  <c r="U12" i="7" s="1"/>
  <c r="V12" i="7" s="1"/>
  <c r="C12" i="6"/>
  <c r="D12" i="6" s="1"/>
  <c r="E12" i="6" s="1"/>
  <c r="F12" i="6" s="1"/>
  <c r="G12" i="6" s="1"/>
  <c r="H12" i="6" s="1"/>
  <c r="I12" i="6" s="1"/>
  <c r="J12" i="6" s="1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V12" i="6" s="1"/>
  <c r="C12" i="5"/>
  <c r="D12" i="5" s="1"/>
  <c r="E12" i="5" s="1"/>
  <c r="F12" i="5" s="1"/>
  <c r="G12" i="5" s="1"/>
  <c r="H12" i="5" s="1"/>
  <c r="I12" i="5" s="1"/>
  <c r="J12" i="5" s="1"/>
  <c r="K12" i="5" s="1"/>
  <c r="L12" i="5" s="1"/>
  <c r="M12" i="5" s="1"/>
  <c r="N12" i="5" s="1"/>
  <c r="O12" i="5" s="1"/>
  <c r="P12" i="5" s="1"/>
  <c r="Q12" i="5" s="1"/>
  <c r="R12" i="5" s="1"/>
  <c r="S12" i="5" s="1"/>
  <c r="T12" i="5" s="1"/>
  <c r="U12" i="5" s="1"/>
  <c r="V12" i="5" s="1"/>
  <c r="C12" i="4"/>
  <c r="D12" i="4" s="1"/>
  <c r="E12" i="4" s="1"/>
  <c r="F12" i="4" s="1"/>
  <c r="G12" i="4" s="1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K12" i="11"/>
  <c r="L12" i="11" s="1"/>
  <c r="M12" i="11" s="1"/>
  <c r="N12" i="11" s="1"/>
  <c r="O12" i="11" s="1"/>
  <c r="P12" i="11" s="1"/>
  <c r="Q12" i="11" s="1"/>
  <c r="R12" i="11" s="1"/>
  <c r="S12" i="11" s="1"/>
  <c r="T12" i="11" s="1"/>
  <c r="U12" i="11" s="1"/>
  <c r="V12" i="11" s="1"/>
  <c r="W12" i="11" s="1"/>
  <c r="X12" i="11" s="1"/>
  <c r="Y12" i="11" s="1"/>
  <c r="Z12" i="11" s="1"/>
  <c r="AA12" i="11" s="1"/>
  <c r="AB12" i="11" s="1"/>
  <c r="J12" i="11"/>
  <c r="R4" i="11"/>
  <c r="M3" i="1"/>
  <c r="M4" i="1"/>
  <c r="M5" i="1"/>
  <c r="M6" i="1"/>
  <c r="M7" i="1"/>
  <c r="M8" i="1"/>
  <c r="M9" i="1"/>
  <c r="M10" i="1"/>
  <c r="M11" i="1"/>
  <c r="M12" i="1"/>
  <c r="M13" i="1"/>
  <c r="M2" i="1"/>
  <c r="O3" i="1"/>
  <c r="O4" i="1"/>
  <c r="O5" i="1"/>
  <c r="B22" i="11"/>
  <c r="D22" i="11"/>
  <c r="S22" i="11"/>
  <c r="S23" i="11" s="1"/>
  <c r="S24" i="11" s="1"/>
  <c r="S25" i="11" s="1"/>
  <c r="S26" i="11" s="1"/>
  <c r="S27" i="11" s="1"/>
  <c r="S28" i="11" s="1"/>
  <c r="S29" i="11" s="1"/>
  <c r="L4" i="10"/>
  <c r="L4" i="9"/>
  <c r="L4" i="8"/>
  <c r="L4" i="7"/>
  <c r="L4" i="6"/>
  <c r="L4" i="5"/>
  <c r="L4" i="4"/>
  <c r="P17" i="11"/>
  <c r="AB16" i="11"/>
  <c r="AB17" i="11" s="1"/>
  <c r="AA16" i="11"/>
  <c r="AA17" i="11" s="1"/>
  <c r="Z16" i="11"/>
  <c r="Z17" i="11" s="1"/>
  <c r="Y16" i="11"/>
  <c r="Y17" i="11" s="1"/>
  <c r="X16" i="11"/>
  <c r="X17" i="11" s="1"/>
  <c r="W16" i="11"/>
  <c r="W17" i="11" s="1"/>
  <c r="V16" i="11"/>
  <c r="V17" i="11" s="1"/>
  <c r="U16" i="11"/>
  <c r="U17" i="11" s="1"/>
  <c r="T16" i="11"/>
  <c r="T17" i="11" s="1"/>
  <c r="S16" i="11"/>
  <c r="S17" i="11" s="1"/>
  <c r="R16" i="11"/>
  <c r="R17" i="11" s="1"/>
  <c r="Q16" i="11"/>
  <c r="Q17" i="11" s="1"/>
  <c r="P16" i="11"/>
  <c r="O16" i="11"/>
  <c r="O17" i="11" s="1"/>
  <c r="N16" i="11"/>
  <c r="N17" i="11" s="1"/>
  <c r="M16" i="11"/>
  <c r="M17" i="11" s="1"/>
  <c r="L16" i="11"/>
  <c r="L17" i="11" s="1"/>
  <c r="K16" i="11"/>
  <c r="K17" i="11" s="1"/>
  <c r="J16" i="11"/>
  <c r="J17" i="11" s="1"/>
  <c r="I16" i="11"/>
  <c r="I17" i="11" s="1"/>
  <c r="H11" i="11"/>
  <c r="H7" i="11"/>
  <c r="B10" i="3"/>
  <c r="C14" i="9"/>
  <c r="M22" i="10"/>
  <c r="M23" i="10" s="1"/>
  <c r="M24" i="10" s="1"/>
  <c r="M25" i="10" s="1"/>
  <c r="M26" i="10" s="1"/>
  <c r="M27" i="10" s="1"/>
  <c r="M28" i="10" s="1"/>
  <c r="V17" i="10"/>
  <c r="U17" i="10"/>
  <c r="P17" i="10"/>
  <c r="N17" i="10"/>
  <c r="K17" i="10"/>
  <c r="J17" i="10"/>
  <c r="I17" i="10"/>
  <c r="G17" i="10"/>
  <c r="D17" i="10"/>
  <c r="V16" i="10"/>
  <c r="U16" i="10"/>
  <c r="T16" i="10"/>
  <c r="T17" i="10" s="1"/>
  <c r="S16" i="10"/>
  <c r="S17" i="10" s="1"/>
  <c r="R16" i="10"/>
  <c r="R17" i="10" s="1"/>
  <c r="Q16" i="10"/>
  <c r="Q17" i="10" s="1"/>
  <c r="P16" i="10"/>
  <c r="O16" i="10"/>
  <c r="O17" i="10" s="1"/>
  <c r="N16" i="10"/>
  <c r="M16" i="10"/>
  <c r="M17" i="10" s="1"/>
  <c r="L16" i="10"/>
  <c r="L17" i="10" s="1"/>
  <c r="K16" i="10"/>
  <c r="J16" i="10"/>
  <c r="I16" i="10"/>
  <c r="H16" i="10"/>
  <c r="H17" i="10" s="1"/>
  <c r="G16" i="10"/>
  <c r="F16" i="10"/>
  <c r="F17" i="10" s="1"/>
  <c r="E16" i="10"/>
  <c r="E17" i="10" s="1"/>
  <c r="D16" i="10"/>
  <c r="C16" i="10"/>
  <c r="C17" i="10" s="1"/>
  <c r="B11" i="10"/>
  <c r="B7" i="10"/>
  <c r="M22" i="9"/>
  <c r="M23" i="9"/>
  <c r="M24" i="9" s="1"/>
  <c r="M25" i="9" s="1"/>
  <c r="M26" i="9" s="1"/>
  <c r="M27" i="9" s="1"/>
  <c r="V17" i="9"/>
  <c r="U17" i="9"/>
  <c r="S17" i="9"/>
  <c r="M17" i="9"/>
  <c r="K17" i="9"/>
  <c r="J17" i="9"/>
  <c r="I17" i="9"/>
  <c r="G17" i="9"/>
  <c r="V16" i="9"/>
  <c r="U16" i="9"/>
  <c r="T16" i="9"/>
  <c r="T17" i="9" s="1"/>
  <c r="S16" i="9"/>
  <c r="R16" i="9"/>
  <c r="R17" i="9" s="1"/>
  <c r="Q16" i="9"/>
  <c r="Q17" i="9" s="1"/>
  <c r="P16" i="9"/>
  <c r="P17" i="9" s="1"/>
  <c r="O16" i="9"/>
  <c r="O17" i="9" s="1"/>
  <c r="N16" i="9"/>
  <c r="N17" i="9" s="1"/>
  <c r="M16" i="9"/>
  <c r="L16" i="9"/>
  <c r="L17" i="9" s="1"/>
  <c r="K16" i="9"/>
  <c r="J16" i="9"/>
  <c r="I16" i="9"/>
  <c r="H16" i="9"/>
  <c r="H17" i="9" s="1"/>
  <c r="G16" i="9"/>
  <c r="F16" i="9"/>
  <c r="F17" i="9" s="1"/>
  <c r="E16" i="9"/>
  <c r="E17" i="9" s="1"/>
  <c r="D16" i="9"/>
  <c r="D17" i="9" s="1"/>
  <c r="C16" i="9"/>
  <c r="C17" i="9" s="1"/>
  <c r="B11" i="9"/>
  <c r="B7" i="9"/>
  <c r="C14" i="8"/>
  <c r="M22" i="8"/>
  <c r="M23" i="8" s="1"/>
  <c r="M24" i="8" s="1"/>
  <c r="M25" i="8" s="1"/>
  <c r="M26" i="8" s="1"/>
  <c r="V17" i="8"/>
  <c r="T17" i="8"/>
  <c r="S17" i="8"/>
  <c r="M17" i="8"/>
  <c r="L17" i="8"/>
  <c r="K17" i="8"/>
  <c r="J17" i="8"/>
  <c r="H17" i="8"/>
  <c r="G17" i="8"/>
  <c r="V16" i="8"/>
  <c r="U16" i="8"/>
  <c r="U17" i="8" s="1"/>
  <c r="T16" i="8"/>
  <c r="S16" i="8"/>
  <c r="R16" i="8"/>
  <c r="R17" i="8" s="1"/>
  <c r="Q16" i="8"/>
  <c r="Q17" i="8" s="1"/>
  <c r="P16" i="8"/>
  <c r="P17" i="8" s="1"/>
  <c r="O16" i="8"/>
  <c r="O17" i="8" s="1"/>
  <c r="N16" i="8"/>
  <c r="N17" i="8" s="1"/>
  <c r="M16" i="8"/>
  <c r="L16" i="8"/>
  <c r="K16" i="8"/>
  <c r="J16" i="8"/>
  <c r="I16" i="8"/>
  <c r="I17" i="8" s="1"/>
  <c r="H16" i="8"/>
  <c r="G16" i="8"/>
  <c r="F16" i="8"/>
  <c r="F17" i="8" s="1"/>
  <c r="E16" i="8"/>
  <c r="E17" i="8" s="1"/>
  <c r="D16" i="8"/>
  <c r="D17" i="8" s="1"/>
  <c r="C16" i="8"/>
  <c r="C17" i="8" s="1"/>
  <c r="B11" i="8"/>
  <c r="B7" i="8"/>
  <c r="C14" i="7"/>
  <c r="M22" i="7"/>
  <c r="M23" i="7" s="1"/>
  <c r="M24" i="7" s="1"/>
  <c r="M25" i="7" s="1"/>
  <c r="V17" i="7"/>
  <c r="U17" i="7"/>
  <c r="T17" i="7"/>
  <c r="S17" i="7"/>
  <c r="N17" i="7"/>
  <c r="M17" i="7"/>
  <c r="L17" i="7"/>
  <c r="K17" i="7"/>
  <c r="J17" i="7"/>
  <c r="I17" i="7"/>
  <c r="H17" i="7"/>
  <c r="G17" i="7"/>
  <c r="V16" i="7"/>
  <c r="U16" i="7"/>
  <c r="T16" i="7"/>
  <c r="S16" i="7"/>
  <c r="R16" i="7"/>
  <c r="R17" i="7" s="1"/>
  <c r="Q16" i="7"/>
  <c r="Q17" i="7" s="1"/>
  <c r="P16" i="7"/>
  <c r="P17" i="7" s="1"/>
  <c r="O16" i="7"/>
  <c r="O17" i="7" s="1"/>
  <c r="N16" i="7"/>
  <c r="M16" i="7"/>
  <c r="L16" i="7"/>
  <c r="K16" i="7"/>
  <c r="J16" i="7"/>
  <c r="I16" i="7"/>
  <c r="H16" i="7"/>
  <c r="G16" i="7"/>
  <c r="F16" i="7"/>
  <c r="F17" i="7" s="1"/>
  <c r="E16" i="7"/>
  <c r="E17" i="7" s="1"/>
  <c r="D16" i="7"/>
  <c r="D17" i="7" s="1"/>
  <c r="C16" i="7"/>
  <c r="C17" i="7" s="1"/>
  <c r="B11" i="7"/>
  <c r="B7" i="7"/>
  <c r="C14" i="6"/>
  <c r="M23" i="6"/>
  <c r="M24" i="6" s="1"/>
  <c r="M22" i="6"/>
  <c r="V17" i="6"/>
  <c r="U17" i="6"/>
  <c r="S17" i="6"/>
  <c r="R17" i="6"/>
  <c r="Q17" i="6"/>
  <c r="P17" i="6"/>
  <c r="K17" i="6"/>
  <c r="J17" i="6"/>
  <c r="I17" i="6"/>
  <c r="G17" i="6"/>
  <c r="F17" i="6"/>
  <c r="E17" i="6"/>
  <c r="D17" i="6"/>
  <c r="V16" i="6"/>
  <c r="U16" i="6"/>
  <c r="T16" i="6"/>
  <c r="T17" i="6" s="1"/>
  <c r="S16" i="6"/>
  <c r="R16" i="6"/>
  <c r="Q16" i="6"/>
  <c r="P16" i="6"/>
  <c r="O16" i="6"/>
  <c r="O17" i="6" s="1"/>
  <c r="N16" i="6"/>
  <c r="N17" i="6" s="1"/>
  <c r="M16" i="6"/>
  <c r="M17" i="6" s="1"/>
  <c r="L16" i="6"/>
  <c r="L17" i="6" s="1"/>
  <c r="K16" i="6"/>
  <c r="J16" i="6"/>
  <c r="I16" i="6"/>
  <c r="H16" i="6"/>
  <c r="H17" i="6" s="1"/>
  <c r="G16" i="6"/>
  <c r="F16" i="6"/>
  <c r="E16" i="6"/>
  <c r="D16" i="6"/>
  <c r="C16" i="6"/>
  <c r="C17" i="6" s="1"/>
  <c r="B11" i="6"/>
  <c r="B7" i="6"/>
  <c r="C14" i="5"/>
  <c r="M23" i="5"/>
  <c r="M24" i="5" s="1"/>
  <c r="M25" i="5" s="1"/>
  <c r="M26" i="5" s="1"/>
  <c r="M27" i="5" s="1"/>
  <c r="M28" i="5" s="1"/>
  <c r="M29" i="5" s="1"/>
  <c r="M30" i="5" s="1"/>
  <c r="M31" i="5" s="1"/>
  <c r="M32" i="5" s="1"/>
  <c r="M33" i="5" s="1"/>
  <c r="M34" i="5" s="1"/>
  <c r="M35" i="5" s="1"/>
  <c r="M36" i="5" s="1"/>
  <c r="M37" i="5" s="1"/>
  <c r="M38" i="5" s="1"/>
  <c r="M39" i="5" s="1"/>
  <c r="M40" i="5" s="1"/>
  <c r="M41" i="5" s="1"/>
  <c r="M22" i="5"/>
  <c r="V17" i="5"/>
  <c r="U17" i="5"/>
  <c r="S17" i="5"/>
  <c r="L17" i="5"/>
  <c r="K17" i="5"/>
  <c r="J17" i="5"/>
  <c r="I17" i="5"/>
  <c r="G17" i="5"/>
  <c r="V16" i="5"/>
  <c r="U16" i="5"/>
  <c r="T16" i="5"/>
  <c r="T17" i="5" s="1"/>
  <c r="S16" i="5"/>
  <c r="R16" i="5"/>
  <c r="R17" i="5" s="1"/>
  <c r="Q16" i="5"/>
  <c r="Q17" i="5" s="1"/>
  <c r="P16" i="5"/>
  <c r="P17" i="5" s="1"/>
  <c r="O16" i="5"/>
  <c r="O17" i="5" s="1"/>
  <c r="N16" i="5"/>
  <c r="N17" i="5" s="1"/>
  <c r="M16" i="5"/>
  <c r="M17" i="5" s="1"/>
  <c r="L16" i="5"/>
  <c r="K16" i="5"/>
  <c r="J16" i="5"/>
  <c r="I16" i="5"/>
  <c r="H16" i="5"/>
  <c r="H17" i="5" s="1"/>
  <c r="G16" i="5"/>
  <c r="F16" i="5"/>
  <c r="F17" i="5" s="1"/>
  <c r="E16" i="5"/>
  <c r="E17" i="5" s="1"/>
  <c r="D16" i="5"/>
  <c r="D17" i="5" s="1"/>
  <c r="C16" i="5"/>
  <c r="C17" i="5" s="1"/>
  <c r="B11" i="5"/>
  <c r="B7" i="5"/>
  <c r="C14" i="4"/>
  <c r="M22" i="4"/>
  <c r="M23" i="4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V17" i="4"/>
  <c r="T17" i="4"/>
  <c r="O17" i="4"/>
  <c r="N17" i="4"/>
  <c r="M17" i="4"/>
  <c r="K17" i="4"/>
  <c r="J17" i="4"/>
  <c r="H17" i="4"/>
  <c r="C17" i="4"/>
  <c r="V16" i="4"/>
  <c r="U16" i="4"/>
  <c r="U17" i="4" s="1"/>
  <c r="T16" i="4"/>
  <c r="S16" i="4"/>
  <c r="S17" i="4" s="1"/>
  <c r="R16" i="4"/>
  <c r="R17" i="4" s="1"/>
  <c r="Q16" i="4"/>
  <c r="Q17" i="4" s="1"/>
  <c r="P16" i="4"/>
  <c r="P17" i="4" s="1"/>
  <c r="O16" i="4"/>
  <c r="N16" i="4"/>
  <c r="M16" i="4"/>
  <c r="L16" i="4"/>
  <c r="L17" i="4" s="1"/>
  <c r="K16" i="4"/>
  <c r="J16" i="4"/>
  <c r="I16" i="4"/>
  <c r="I17" i="4" s="1"/>
  <c r="H16" i="4"/>
  <c r="G16" i="4"/>
  <c r="G17" i="4" s="1"/>
  <c r="F16" i="4"/>
  <c r="F17" i="4" s="1"/>
  <c r="E16" i="4"/>
  <c r="E17" i="4" s="1"/>
  <c r="D16" i="4"/>
  <c r="D17" i="4" s="1"/>
  <c r="C16" i="4"/>
  <c r="C2" i="4"/>
  <c r="C11" i="4" s="1"/>
  <c r="B11" i="4"/>
  <c r="B7" i="4"/>
  <c r="D17" i="13" l="1"/>
  <c r="C37" i="13"/>
  <c r="C41" i="13"/>
  <c r="C46" i="13"/>
  <c r="D31" i="13" s="1"/>
  <c r="C101" i="13" s="1"/>
  <c r="C87" i="13" s="1"/>
  <c r="C46" i="15"/>
  <c r="C47" i="15"/>
  <c r="C38" i="15"/>
  <c r="I118" i="15"/>
  <c r="J130" i="15"/>
  <c r="K22" i="15"/>
  <c r="K15" i="15"/>
  <c r="J131" i="15"/>
  <c r="J117" i="15" s="1"/>
  <c r="K20" i="15"/>
  <c r="K16" i="15"/>
  <c r="C38" i="13"/>
  <c r="C47" i="13"/>
  <c r="B5" i="3"/>
  <c r="B38" i="3" s="1"/>
  <c r="B45" i="3"/>
  <c r="B102" i="3"/>
  <c r="L4" i="3"/>
  <c r="C2" i="3"/>
  <c r="C6" i="3" s="1"/>
  <c r="I14" i="11"/>
  <c r="I3" i="11" s="1"/>
  <c r="I12" i="11" s="1"/>
  <c r="S30" i="11"/>
  <c r="S31" i="11" s="1"/>
  <c r="S32" i="11" s="1"/>
  <c r="S33" i="11" s="1"/>
  <c r="S34" i="11" s="1"/>
  <c r="S35" i="11" s="1"/>
  <c r="S36" i="11" s="1"/>
  <c r="S37" i="11" s="1"/>
  <c r="S38" i="11" s="1"/>
  <c r="S39" i="11" s="1"/>
  <c r="S40" i="11" s="1"/>
  <c r="S41" i="11" s="1"/>
  <c r="C3" i="10"/>
  <c r="C12" i="10" s="1"/>
  <c r="M29" i="10"/>
  <c r="M30" i="10" s="1"/>
  <c r="M31" i="10" s="1"/>
  <c r="M32" i="10" s="1"/>
  <c r="M33" i="10" s="1"/>
  <c r="M34" i="10" s="1"/>
  <c r="M35" i="10" s="1"/>
  <c r="M36" i="10" s="1"/>
  <c r="M37" i="10" s="1"/>
  <c r="M38" i="10" s="1"/>
  <c r="M39" i="10" s="1"/>
  <c r="M40" i="10" s="1"/>
  <c r="M41" i="10" s="1"/>
  <c r="M28" i="9"/>
  <c r="M29" i="9" s="1"/>
  <c r="M30" i="9" s="1"/>
  <c r="M31" i="9" s="1"/>
  <c r="M32" i="9" s="1"/>
  <c r="M33" i="9" s="1"/>
  <c r="M34" i="9" s="1"/>
  <c r="M35" i="9" s="1"/>
  <c r="M36" i="9" s="1"/>
  <c r="M37" i="9" s="1"/>
  <c r="M38" i="9" s="1"/>
  <c r="M39" i="9" s="1"/>
  <c r="M40" i="9" s="1"/>
  <c r="M41" i="9" s="1"/>
  <c r="M27" i="8"/>
  <c r="M28" i="8" s="1"/>
  <c r="M29" i="8" s="1"/>
  <c r="M30" i="8" s="1"/>
  <c r="M31" i="8" s="1"/>
  <c r="M32" i="8" s="1"/>
  <c r="M33" i="8" s="1"/>
  <c r="M34" i="8" s="1"/>
  <c r="M35" i="8" s="1"/>
  <c r="M36" i="8" s="1"/>
  <c r="M37" i="8" s="1"/>
  <c r="M38" i="8" s="1"/>
  <c r="M39" i="8" s="1"/>
  <c r="M40" i="8" s="1"/>
  <c r="M41" i="8" s="1"/>
  <c r="M26" i="7"/>
  <c r="M27" i="7" s="1"/>
  <c r="M28" i="7" s="1"/>
  <c r="M29" i="7" s="1"/>
  <c r="M30" i="7" s="1"/>
  <c r="M31" i="7" s="1"/>
  <c r="M32" i="7" s="1"/>
  <c r="M33" i="7" s="1"/>
  <c r="M34" i="7" s="1"/>
  <c r="M35" i="7" s="1"/>
  <c r="M36" i="7" s="1"/>
  <c r="M37" i="7" s="1"/>
  <c r="M38" i="7" s="1"/>
  <c r="M39" i="7" s="1"/>
  <c r="M40" i="7" s="1"/>
  <c r="M41" i="7" s="1"/>
  <c r="C3" i="6"/>
  <c r="M25" i="6"/>
  <c r="M26" i="6" s="1"/>
  <c r="M27" i="6" s="1"/>
  <c r="M28" i="6" s="1"/>
  <c r="M29" i="6" s="1"/>
  <c r="M30" i="6" s="1"/>
  <c r="M31" i="6" s="1"/>
  <c r="M32" i="6" s="1"/>
  <c r="M33" i="6" s="1"/>
  <c r="M34" i="6" s="1"/>
  <c r="M35" i="6" s="1"/>
  <c r="M36" i="6" s="1"/>
  <c r="M37" i="6" s="1"/>
  <c r="M38" i="6" s="1"/>
  <c r="M39" i="6" s="1"/>
  <c r="M40" i="6" s="1"/>
  <c r="M41" i="6" s="1"/>
  <c r="C3" i="5"/>
  <c r="C3" i="4"/>
  <c r="D14" i="4"/>
  <c r="D3" i="4" s="1"/>
  <c r="D21" i="13" l="1"/>
  <c r="C108" i="13" s="1"/>
  <c r="C94" i="13" s="1"/>
  <c r="C43" i="13"/>
  <c r="C107" i="13"/>
  <c r="C48" i="13"/>
  <c r="D27" i="15"/>
  <c r="C123" i="15" s="1"/>
  <c r="D31" i="15"/>
  <c r="C124" i="15" s="1"/>
  <c r="C110" i="15" s="1"/>
  <c r="C48" i="15"/>
  <c r="K41" i="15"/>
  <c r="K37" i="15"/>
  <c r="K42" i="15"/>
  <c r="J116" i="15"/>
  <c r="J115" i="15"/>
  <c r="J132" i="15"/>
  <c r="J133" i="15" s="1"/>
  <c r="D27" i="13"/>
  <c r="C100" i="13" s="1"/>
  <c r="C102" i="13" s="1"/>
  <c r="C103" i="13" s="1"/>
  <c r="C22" i="3"/>
  <c r="C16" i="3"/>
  <c r="C20" i="3"/>
  <c r="C15" i="3"/>
  <c r="B103" i="3"/>
  <c r="B114" i="3"/>
  <c r="C5" i="3"/>
  <c r="I2" i="11"/>
  <c r="I11" i="11" s="1"/>
  <c r="J14" i="11"/>
  <c r="C2" i="10"/>
  <c r="C11" i="10" s="1"/>
  <c r="D14" i="10"/>
  <c r="C2" i="9"/>
  <c r="C11" i="9" s="1"/>
  <c r="D14" i="9"/>
  <c r="C3" i="9"/>
  <c r="C2" i="8"/>
  <c r="C11" i="8" s="1"/>
  <c r="D14" i="8"/>
  <c r="C3" i="8"/>
  <c r="C2" i="7"/>
  <c r="C11" i="7" s="1"/>
  <c r="D14" i="7"/>
  <c r="C3" i="7"/>
  <c r="C2" i="6"/>
  <c r="C11" i="6" s="1"/>
  <c r="D14" i="6"/>
  <c r="C2" i="5"/>
  <c r="C11" i="5" s="1"/>
  <c r="D14" i="5"/>
  <c r="D2" i="4"/>
  <c r="D11" i="4" s="1"/>
  <c r="E14" i="4"/>
  <c r="D58" i="3"/>
  <c r="C93" i="13" l="1"/>
  <c r="C92" i="13"/>
  <c r="C95" i="13" s="1"/>
  <c r="C109" i="13"/>
  <c r="C110" i="13" s="1"/>
  <c r="C109" i="15"/>
  <c r="C125" i="15"/>
  <c r="C126" i="15" s="1"/>
  <c r="C108" i="15"/>
  <c r="C111" i="15" s="1"/>
  <c r="J118" i="15"/>
  <c r="L17" i="15"/>
  <c r="K43" i="15"/>
  <c r="L16" i="15"/>
  <c r="L21" i="15"/>
  <c r="C85" i="13"/>
  <c r="C86" i="13"/>
  <c r="B107" i="3"/>
  <c r="C42" i="3"/>
  <c r="D17" i="3" s="1"/>
  <c r="C130" i="3" s="1"/>
  <c r="C37" i="3"/>
  <c r="C41" i="3"/>
  <c r="D21" i="3" s="1"/>
  <c r="B128" i="3"/>
  <c r="B132" i="3" s="1"/>
  <c r="B133" i="3" s="1"/>
  <c r="B116" i="3"/>
  <c r="B117" i="3"/>
  <c r="B115" i="3"/>
  <c r="B104" i="3"/>
  <c r="D2" i="3"/>
  <c r="D6" i="3" s="1"/>
  <c r="D59" i="3"/>
  <c r="E58" i="3"/>
  <c r="J2" i="11"/>
  <c r="J11" i="11" s="1"/>
  <c r="K14" i="11"/>
  <c r="J3" i="11"/>
  <c r="D2" i="10"/>
  <c r="D11" i="10" s="1"/>
  <c r="E14" i="10"/>
  <c r="D3" i="10"/>
  <c r="D12" i="10" s="1"/>
  <c r="D2" i="9"/>
  <c r="D11" i="9" s="1"/>
  <c r="E14" i="9"/>
  <c r="D3" i="9"/>
  <c r="D2" i="8"/>
  <c r="D11" i="8" s="1"/>
  <c r="E14" i="8"/>
  <c r="D3" i="8"/>
  <c r="D2" i="7"/>
  <c r="D11" i="7" s="1"/>
  <c r="E14" i="7"/>
  <c r="D3" i="7"/>
  <c r="E14" i="6"/>
  <c r="D2" i="6"/>
  <c r="D11" i="6" s="1"/>
  <c r="D3" i="6"/>
  <c r="D2" i="5"/>
  <c r="D11" i="5" s="1"/>
  <c r="E14" i="5"/>
  <c r="D3" i="5"/>
  <c r="E2" i="4"/>
  <c r="E11" i="4" s="1"/>
  <c r="F14" i="4"/>
  <c r="E3" i="4"/>
  <c r="C113" i="13" l="1"/>
  <c r="D34" i="13" s="1"/>
  <c r="C88" i="13"/>
  <c r="C135" i="15"/>
  <c r="D35" i="15" s="1"/>
  <c r="K131" i="15"/>
  <c r="K117" i="15" s="1"/>
  <c r="L20" i="15"/>
  <c r="K130" i="15"/>
  <c r="L22" i="15"/>
  <c r="L15" i="15"/>
  <c r="B118" i="3"/>
  <c r="B121" i="3"/>
  <c r="B125" i="3" s="1"/>
  <c r="B126" i="3" s="1"/>
  <c r="B109" i="3"/>
  <c r="B122" i="3"/>
  <c r="B108" i="3"/>
  <c r="B110" i="3"/>
  <c r="C43" i="3"/>
  <c r="D16" i="3"/>
  <c r="C131" i="3"/>
  <c r="D22" i="3"/>
  <c r="D15" i="3"/>
  <c r="D20" i="3"/>
  <c r="C114" i="3"/>
  <c r="C116" i="3" s="1"/>
  <c r="D3" i="3"/>
  <c r="E2" i="3"/>
  <c r="E6" i="3" s="1"/>
  <c r="E59" i="3"/>
  <c r="F58" i="3"/>
  <c r="K2" i="11"/>
  <c r="K11" i="11" s="1"/>
  <c r="L14" i="11"/>
  <c r="K3" i="11"/>
  <c r="E2" i="10"/>
  <c r="E11" i="10" s="1"/>
  <c r="F14" i="10"/>
  <c r="E3" i="10"/>
  <c r="E12" i="10" s="1"/>
  <c r="E2" i="9"/>
  <c r="E11" i="9" s="1"/>
  <c r="F14" i="9"/>
  <c r="E3" i="9"/>
  <c r="E2" i="8"/>
  <c r="E11" i="8" s="1"/>
  <c r="F14" i="8"/>
  <c r="E3" i="8"/>
  <c r="E2" i="7"/>
  <c r="E11" i="7" s="1"/>
  <c r="F14" i="7"/>
  <c r="E3" i="7"/>
  <c r="E2" i="6"/>
  <c r="E11" i="6" s="1"/>
  <c r="F14" i="6"/>
  <c r="E3" i="6"/>
  <c r="E2" i="5"/>
  <c r="E11" i="5" s="1"/>
  <c r="F14" i="5"/>
  <c r="E3" i="5"/>
  <c r="F2" i="4"/>
  <c r="F11" i="4" s="1"/>
  <c r="G14" i="4"/>
  <c r="F3" i="4"/>
  <c r="C112" i="13" l="1"/>
  <c r="D35" i="13" s="1"/>
  <c r="C115" i="3"/>
  <c r="D32" i="15"/>
  <c r="D25" i="15"/>
  <c r="D26" i="15"/>
  <c r="D30" i="15" s="1"/>
  <c r="D46" i="15" s="1"/>
  <c r="K116" i="15"/>
  <c r="K115" i="15"/>
  <c r="K118" i="15" s="1"/>
  <c r="K132" i="15"/>
  <c r="K133" i="15" s="1"/>
  <c r="L41" i="15"/>
  <c r="L37" i="15"/>
  <c r="L42" i="15"/>
  <c r="D37" i="3"/>
  <c r="D42" i="3"/>
  <c r="E17" i="3" s="1"/>
  <c r="B111" i="3"/>
  <c r="B135" i="3" s="1"/>
  <c r="C35" i="3" s="1"/>
  <c r="C32" i="3" s="1"/>
  <c r="C117" i="3"/>
  <c r="D114" i="3"/>
  <c r="D128" i="3" s="1"/>
  <c r="C128" i="3"/>
  <c r="C132" i="3" s="1"/>
  <c r="C133" i="3" s="1"/>
  <c r="E3" i="3"/>
  <c r="D5" i="3"/>
  <c r="F2" i="3"/>
  <c r="F6" i="3" s="1"/>
  <c r="F59" i="3"/>
  <c r="G58" i="3"/>
  <c r="L2" i="11"/>
  <c r="L11" i="11" s="1"/>
  <c r="M14" i="11"/>
  <c r="L3" i="11"/>
  <c r="F2" i="10"/>
  <c r="F11" i="10" s="1"/>
  <c r="G14" i="10"/>
  <c r="F3" i="10"/>
  <c r="F12" i="10" s="1"/>
  <c r="F2" i="9"/>
  <c r="F11" i="9" s="1"/>
  <c r="G14" i="9"/>
  <c r="F3" i="9"/>
  <c r="F2" i="8"/>
  <c r="F11" i="8" s="1"/>
  <c r="G14" i="8"/>
  <c r="F3" i="8"/>
  <c r="F2" i="7"/>
  <c r="F11" i="7" s="1"/>
  <c r="G14" i="7"/>
  <c r="F3" i="7"/>
  <c r="G14" i="6"/>
  <c r="F2" i="6"/>
  <c r="F11" i="6" s="1"/>
  <c r="F3" i="6"/>
  <c r="F2" i="5"/>
  <c r="F11" i="5" s="1"/>
  <c r="G14" i="5"/>
  <c r="F3" i="5"/>
  <c r="G2" i="4"/>
  <c r="G11" i="4" s="1"/>
  <c r="H14" i="4"/>
  <c r="G3" i="4"/>
  <c r="D15" i="13" l="1"/>
  <c r="D16" i="13"/>
  <c r="D25" i="13"/>
  <c r="D26" i="13" s="1"/>
  <c r="D30" i="13" s="1"/>
  <c r="D32" i="13"/>
  <c r="D20" i="13"/>
  <c r="D42" i="13"/>
  <c r="D22" i="13"/>
  <c r="C118" i="3"/>
  <c r="E31" i="15"/>
  <c r="D124" i="15" s="1"/>
  <c r="D110" i="15" s="1"/>
  <c r="D38" i="15"/>
  <c r="D47" i="15"/>
  <c r="L43" i="15"/>
  <c r="M21" i="15"/>
  <c r="M17" i="15"/>
  <c r="M15" i="15"/>
  <c r="M42" i="15" s="1"/>
  <c r="C26" i="3"/>
  <c r="C30" i="3" s="1"/>
  <c r="C25" i="3"/>
  <c r="C47" i="3" s="1"/>
  <c r="D27" i="3" s="1"/>
  <c r="C107" i="3"/>
  <c r="C121" i="3" s="1"/>
  <c r="D47" i="13"/>
  <c r="D130" i="3"/>
  <c r="D116" i="3" s="1"/>
  <c r="E114" i="3"/>
  <c r="E128" i="3" s="1"/>
  <c r="D41" i="3"/>
  <c r="E16" i="3" s="1"/>
  <c r="E5" i="3"/>
  <c r="D107" i="3" s="1"/>
  <c r="D121" i="3" s="1"/>
  <c r="F3" i="3"/>
  <c r="F5" i="3" s="1"/>
  <c r="E107" i="3" s="1"/>
  <c r="E121" i="3" s="1"/>
  <c r="G2" i="3"/>
  <c r="G6" i="3" s="1"/>
  <c r="G59" i="3"/>
  <c r="H58" i="3"/>
  <c r="M2" i="11"/>
  <c r="M11" i="11" s="1"/>
  <c r="N14" i="11"/>
  <c r="M3" i="11"/>
  <c r="G2" i="10"/>
  <c r="G11" i="10" s="1"/>
  <c r="H14" i="10"/>
  <c r="G3" i="10"/>
  <c r="G12" i="10" s="1"/>
  <c r="G2" i="9"/>
  <c r="G11" i="9" s="1"/>
  <c r="H14" i="9"/>
  <c r="G3" i="9"/>
  <c r="G2" i="8"/>
  <c r="G11" i="8" s="1"/>
  <c r="H14" i="8"/>
  <c r="G3" i="8"/>
  <c r="G2" i="7"/>
  <c r="G11" i="7" s="1"/>
  <c r="H14" i="7"/>
  <c r="G3" i="7"/>
  <c r="H14" i="6"/>
  <c r="G2" i="6"/>
  <c r="G11" i="6" s="1"/>
  <c r="G3" i="6"/>
  <c r="H14" i="5"/>
  <c r="G2" i="5"/>
  <c r="G11" i="5" s="1"/>
  <c r="G3" i="5"/>
  <c r="H2" i="4"/>
  <c r="H11" i="4" s="1"/>
  <c r="I14" i="4"/>
  <c r="H3" i="4"/>
  <c r="E17" i="13" l="1"/>
  <c r="D38" i="13"/>
  <c r="D46" i="13"/>
  <c r="E31" i="13" s="1"/>
  <c r="D101" i="13" s="1"/>
  <c r="D87" i="13" s="1"/>
  <c r="D41" i="13"/>
  <c r="D37" i="13"/>
  <c r="D107" i="13"/>
  <c r="E27" i="15"/>
  <c r="D123" i="15" s="1"/>
  <c r="D48" i="15"/>
  <c r="N17" i="15"/>
  <c r="L130" i="15"/>
  <c r="M22" i="15"/>
  <c r="L131" i="15"/>
  <c r="L117" i="15" s="1"/>
  <c r="M20" i="15"/>
  <c r="M16" i="15"/>
  <c r="E27" i="13"/>
  <c r="D100" i="13" s="1"/>
  <c r="C123" i="3"/>
  <c r="C109" i="3" s="1"/>
  <c r="C46" i="3"/>
  <c r="D31" i="3" s="1"/>
  <c r="C38" i="3"/>
  <c r="E21" i="3"/>
  <c r="E15" i="3" s="1"/>
  <c r="F114" i="3"/>
  <c r="F128" i="3" s="1"/>
  <c r="D43" i="3"/>
  <c r="G3" i="3"/>
  <c r="H2" i="3"/>
  <c r="H6" i="3" s="1"/>
  <c r="H59" i="3"/>
  <c r="I58" i="3"/>
  <c r="N2" i="11"/>
  <c r="N11" i="11" s="1"/>
  <c r="O14" i="11"/>
  <c r="N3" i="11"/>
  <c r="H2" i="10"/>
  <c r="H11" i="10" s="1"/>
  <c r="I14" i="10"/>
  <c r="H3" i="10"/>
  <c r="H12" i="10" s="1"/>
  <c r="H2" i="9"/>
  <c r="H11" i="9" s="1"/>
  <c r="I14" i="9"/>
  <c r="H3" i="9"/>
  <c r="H2" i="8"/>
  <c r="H11" i="8" s="1"/>
  <c r="I14" i="8"/>
  <c r="H3" i="8"/>
  <c r="H2" i="7"/>
  <c r="H11" i="7" s="1"/>
  <c r="I14" i="7"/>
  <c r="H3" i="7"/>
  <c r="I14" i="6"/>
  <c r="H2" i="6"/>
  <c r="H11" i="6" s="1"/>
  <c r="H3" i="6"/>
  <c r="H2" i="5"/>
  <c r="H11" i="5" s="1"/>
  <c r="I14" i="5"/>
  <c r="H3" i="5"/>
  <c r="I2" i="4"/>
  <c r="I11" i="4" s="1"/>
  <c r="J14" i="4"/>
  <c r="I3" i="4"/>
  <c r="D48" i="13" l="1"/>
  <c r="E21" i="13"/>
  <c r="D108" i="13" s="1"/>
  <c r="D94" i="13" s="1"/>
  <c r="D43" i="13"/>
  <c r="D93" i="13"/>
  <c r="D92" i="13"/>
  <c r="D109" i="13"/>
  <c r="D110" i="13" s="1"/>
  <c r="C48" i="3"/>
  <c r="M37" i="15"/>
  <c r="D109" i="15"/>
  <c r="D125" i="15"/>
  <c r="D126" i="15" s="1"/>
  <c r="D108" i="15"/>
  <c r="D111" i="15" s="1"/>
  <c r="L115" i="15"/>
  <c r="L116" i="15"/>
  <c r="L132" i="15"/>
  <c r="L133" i="15" s="1"/>
  <c r="M41" i="15"/>
  <c r="M130" i="15"/>
  <c r="D85" i="13"/>
  <c r="D86" i="13"/>
  <c r="D102" i="13"/>
  <c r="D103" i="13" s="1"/>
  <c r="E22" i="3"/>
  <c r="G114" i="3"/>
  <c r="G128" i="3" s="1"/>
  <c r="E20" i="3"/>
  <c r="E42" i="3"/>
  <c r="D131" i="3"/>
  <c r="G5" i="3"/>
  <c r="F107" i="3" s="1"/>
  <c r="F121" i="3" s="1"/>
  <c r="H3" i="3"/>
  <c r="I2" i="3"/>
  <c r="I6" i="3" s="1"/>
  <c r="I59" i="3"/>
  <c r="J58" i="3"/>
  <c r="P14" i="11"/>
  <c r="O2" i="11"/>
  <c r="O11" i="11" s="1"/>
  <c r="O3" i="11"/>
  <c r="J14" i="10"/>
  <c r="I2" i="10"/>
  <c r="I11" i="10" s="1"/>
  <c r="I3" i="10"/>
  <c r="I12" i="10" s="1"/>
  <c r="J14" i="9"/>
  <c r="I2" i="9"/>
  <c r="I11" i="9" s="1"/>
  <c r="I3" i="9"/>
  <c r="J14" i="8"/>
  <c r="I2" i="8"/>
  <c r="I11" i="8" s="1"/>
  <c r="I3" i="8"/>
  <c r="J14" i="7"/>
  <c r="I2" i="7"/>
  <c r="I11" i="7" s="1"/>
  <c r="I3" i="7"/>
  <c r="I2" i="6"/>
  <c r="I11" i="6" s="1"/>
  <c r="J14" i="6"/>
  <c r="I3" i="6"/>
  <c r="J14" i="5"/>
  <c r="I2" i="5"/>
  <c r="I11" i="5" s="1"/>
  <c r="I3" i="5"/>
  <c r="K14" i="4"/>
  <c r="J3" i="4"/>
  <c r="J2" i="4"/>
  <c r="J11" i="4" s="1"/>
  <c r="D95" i="13" l="1"/>
  <c r="L118" i="15"/>
  <c r="D135" i="15"/>
  <c r="E35" i="15" s="1"/>
  <c r="M116" i="15"/>
  <c r="M43" i="15"/>
  <c r="N21" i="15"/>
  <c r="N16" i="15"/>
  <c r="D88" i="13"/>
  <c r="D112" i="13" s="1"/>
  <c r="E35" i="13" s="1"/>
  <c r="C124" i="3"/>
  <c r="C110" i="3" s="1"/>
  <c r="E37" i="3"/>
  <c r="E41" i="3"/>
  <c r="E43" i="3" s="1"/>
  <c r="H114" i="3"/>
  <c r="H128" i="3" s="1"/>
  <c r="F17" i="3"/>
  <c r="D115" i="3"/>
  <c r="D117" i="3"/>
  <c r="D132" i="3"/>
  <c r="D133" i="3" s="1"/>
  <c r="H5" i="3"/>
  <c r="G107" i="3" s="1"/>
  <c r="G121" i="3" s="1"/>
  <c r="I3" i="3"/>
  <c r="J2" i="3"/>
  <c r="J6" i="3" s="1"/>
  <c r="J59" i="3"/>
  <c r="K58" i="3"/>
  <c r="P2" i="11"/>
  <c r="P11" i="11" s="1"/>
  <c r="Q14" i="11"/>
  <c r="P3" i="11"/>
  <c r="J2" i="10"/>
  <c r="J11" i="10" s="1"/>
  <c r="K14" i="10"/>
  <c r="J3" i="10"/>
  <c r="J12" i="10" s="1"/>
  <c r="J2" i="9"/>
  <c r="J11" i="9" s="1"/>
  <c r="K14" i="9"/>
  <c r="J3" i="9"/>
  <c r="J2" i="8"/>
  <c r="J11" i="8" s="1"/>
  <c r="K14" i="8"/>
  <c r="J3" i="8"/>
  <c r="J3" i="7"/>
  <c r="K14" i="7"/>
  <c r="J2" i="7"/>
  <c r="J11" i="7" s="1"/>
  <c r="J3" i="6"/>
  <c r="J2" i="6"/>
  <c r="J11" i="6" s="1"/>
  <c r="K14" i="6"/>
  <c r="J2" i="5"/>
  <c r="J11" i="5" s="1"/>
  <c r="K14" i="5"/>
  <c r="J3" i="5"/>
  <c r="K2" i="4"/>
  <c r="K11" i="4" s="1"/>
  <c r="L14" i="4"/>
  <c r="K3" i="4"/>
  <c r="D113" i="13" l="1"/>
  <c r="E34" i="13" s="1"/>
  <c r="E25" i="15"/>
  <c r="E32" i="15"/>
  <c r="M131" i="15"/>
  <c r="N20" i="15"/>
  <c r="N15" i="15"/>
  <c r="N22" i="15"/>
  <c r="C125" i="3"/>
  <c r="C126" i="3" s="1"/>
  <c r="C108" i="3"/>
  <c r="C111" i="3" s="1"/>
  <c r="E25" i="13"/>
  <c r="E26" i="13" s="1"/>
  <c r="E30" i="13" s="1"/>
  <c r="E32" i="13"/>
  <c r="F21" i="3"/>
  <c r="F20" i="3" s="1"/>
  <c r="F16" i="3"/>
  <c r="I114" i="3"/>
  <c r="I128" i="3" s="1"/>
  <c r="E130" i="3"/>
  <c r="E116" i="3" s="1"/>
  <c r="D118" i="3"/>
  <c r="I5" i="3"/>
  <c r="H107" i="3" s="1"/>
  <c r="H121" i="3" s="1"/>
  <c r="J3" i="3"/>
  <c r="J5" i="3" s="1"/>
  <c r="I107" i="3" s="1"/>
  <c r="I121" i="3" s="1"/>
  <c r="K2" i="3"/>
  <c r="K6" i="3" s="1"/>
  <c r="K59" i="3"/>
  <c r="L58" i="3"/>
  <c r="Q2" i="11"/>
  <c r="Q11" i="11" s="1"/>
  <c r="R14" i="11"/>
  <c r="Q3" i="11"/>
  <c r="K2" i="10"/>
  <c r="K11" i="10" s="1"/>
  <c r="L14" i="10"/>
  <c r="K3" i="10"/>
  <c r="K12" i="10" s="1"/>
  <c r="K3" i="9"/>
  <c r="K2" i="9"/>
  <c r="K11" i="9" s="1"/>
  <c r="L14" i="9"/>
  <c r="L14" i="8"/>
  <c r="K3" i="8"/>
  <c r="K2" i="8"/>
  <c r="K11" i="8" s="1"/>
  <c r="K3" i="7"/>
  <c r="K2" i="7"/>
  <c r="K11" i="7" s="1"/>
  <c r="L14" i="7"/>
  <c r="K2" i="6"/>
  <c r="K11" i="6" s="1"/>
  <c r="L14" i="6"/>
  <c r="K3" i="6"/>
  <c r="K2" i="5"/>
  <c r="K11" i="5" s="1"/>
  <c r="L14" i="5"/>
  <c r="K3" i="5"/>
  <c r="L2" i="4"/>
  <c r="L11" i="4" s="1"/>
  <c r="M14" i="4"/>
  <c r="L3" i="4"/>
  <c r="E15" i="13" l="1"/>
  <c r="E16" i="13"/>
  <c r="E20" i="13"/>
  <c r="E22" i="13"/>
  <c r="C135" i="3"/>
  <c r="D35" i="3" s="1"/>
  <c r="D32" i="3" s="1"/>
  <c r="E46" i="13"/>
  <c r="F31" i="13" s="1"/>
  <c r="E101" i="13" s="1"/>
  <c r="E87" i="13" s="1"/>
  <c r="N41" i="15"/>
  <c r="E131" i="3"/>
  <c r="E117" i="3" s="1"/>
  <c r="F15" i="3"/>
  <c r="F42" i="3" s="1"/>
  <c r="G17" i="3" s="1"/>
  <c r="F130" i="3" s="1"/>
  <c r="F116" i="3" s="1"/>
  <c r="E47" i="15"/>
  <c r="F22" i="3"/>
  <c r="E26" i="15"/>
  <c r="E30" i="15" s="1"/>
  <c r="E46" i="15" s="1"/>
  <c r="N37" i="15"/>
  <c r="N42" i="15"/>
  <c r="N43" i="15" s="1"/>
  <c r="O21" i="15"/>
  <c r="M117" i="15"/>
  <c r="M115" i="15"/>
  <c r="M118" i="15" s="1"/>
  <c r="M132" i="15"/>
  <c r="M133" i="15" s="1"/>
  <c r="E38" i="13"/>
  <c r="E47" i="13"/>
  <c r="J114" i="3"/>
  <c r="J128" i="3" s="1"/>
  <c r="K3" i="3"/>
  <c r="K5" i="3" s="1"/>
  <c r="J107" i="3" s="1"/>
  <c r="J121" i="3" s="1"/>
  <c r="L2" i="3"/>
  <c r="L6" i="3" s="1"/>
  <c r="L59" i="3"/>
  <c r="M58" i="3"/>
  <c r="R3" i="11"/>
  <c r="S14" i="11"/>
  <c r="R2" i="11"/>
  <c r="R11" i="11" s="1"/>
  <c r="L2" i="10"/>
  <c r="L11" i="10" s="1"/>
  <c r="M14" i="10"/>
  <c r="L3" i="10"/>
  <c r="L12" i="10" s="1"/>
  <c r="L2" i="9"/>
  <c r="L11" i="9" s="1"/>
  <c r="M14" i="9"/>
  <c r="L3" i="9"/>
  <c r="L3" i="8"/>
  <c r="L2" i="8"/>
  <c r="L11" i="8" s="1"/>
  <c r="M14" i="8"/>
  <c r="M14" i="7"/>
  <c r="L2" i="7"/>
  <c r="L11" i="7" s="1"/>
  <c r="L3" i="7"/>
  <c r="L2" i="6"/>
  <c r="L11" i="6" s="1"/>
  <c r="M14" i="6"/>
  <c r="L3" i="6"/>
  <c r="L3" i="5"/>
  <c r="L2" i="5"/>
  <c r="L11" i="5" s="1"/>
  <c r="M14" i="5"/>
  <c r="M2" i="4"/>
  <c r="M11" i="4" s="1"/>
  <c r="N14" i="4"/>
  <c r="M3" i="4"/>
  <c r="E41" i="13" l="1"/>
  <c r="E37" i="13"/>
  <c r="E42" i="13"/>
  <c r="F21" i="13"/>
  <c r="E108" i="13" s="1"/>
  <c r="E94" i="13" s="1"/>
  <c r="F37" i="3"/>
  <c r="D25" i="3"/>
  <c r="D26" i="3" s="1"/>
  <c r="D30" i="3" s="1"/>
  <c r="D46" i="3" s="1"/>
  <c r="E31" i="3" s="1"/>
  <c r="E132" i="3"/>
  <c r="E133" i="3" s="1"/>
  <c r="E115" i="3"/>
  <c r="E118" i="3" s="1"/>
  <c r="F31" i="15"/>
  <c r="E124" i="15" s="1"/>
  <c r="E110" i="15" s="1"/>
  <c r="E48" i="15"/>
  <c r="E38" i="15"/>
  <c r="F41" i="3"/>
  <c r="F43" i="3" s="1"/>
  <c r="F27" i="15"/>
  <c r="E123" i="15" s="1"/>
  <c r="N131" i="15"/>
  <c r="N117" i="15" s="1"/>
  <c r="O20" i="15"/>
  <c r="O17" i="15"/>
  <c r="O15" i="15" s="1"/>
  <c r="F27" i="13"/>
  <c r="E100" i="13" s="1"/>
  <c r="E48" i="13"/>
  <c r="K114" i="3"/>
  <c r="K128" i="3" s="1"/>
  <c r="L3" i="3"/>
  <c r="M2" i="3"/>
  <c r="M6" i="3" s="1"/>
  <c r="M59" i="3"/>
  <c r="N58" i="3"/>
  <c r="T14" i="11"/>
  <c r="S2" i="11"/>
  <c r="S11" i="11" s="1"/>
  <c r="S3" i="11"/>
  <c r="N14" i="10"/>
  <c r="M2" i="10"/>
  <c r="M11" i="10" s="1"/>
  <c r="M3" i="10"/>
  <c r="M12" i="10" s="1"/>
  <c r="N14" i="9"/>
  <c r="M2" i="9"/>
  <c r="M11" i="9" s="1"/>
  <c r="M3" i="9"/>
  <c r="M2" i="8"/>
  <c r="M11" i="8" s="1"/>
  <c r="N14" i="8"/>
  <c r="M3" i="8"/>
  <c r="M3" i="7"/>
  <c r="M2" i="7"/>
  <c r="M11" i="7" s="1"/>
  <c r="N14" i="7"/>
  <c r="N14" i="6"/>
  <c r="M2" i="6"/>
  <c r="M11" i="6" s="1"/>
  <c r="M3" i="6"/>
  <c r="N14" i="5"/>
  <c r="M2" i="5"/>
  <c r="M11" i="5" s="1"/>
  <c r="M3" i="5"/>
  <c r="N2" i="4"/>
  <c r="N11" i="4" s="1"/>
  <c r="N3" i="4"/>
  <c r="O14" i="4"/>
  <c r="E43" i="13" l="1"/>
  <c r="F17" i="13"/>
  <c r="E107" i="13" s="1"/>
  <c r="D47" i="3"/>
  <c r="E27" i="3" s="1"/>
  <c r="D123" i="3" s="1"/>
  <c r="G16" i="3"/>
  <c r="G21" i="3"/>
  <c r="G20" i="3" s="1"/>
  <c r="E108" i="15"/>
  <c r="E109" i="15"/>
  <c r="E125" i="15"/>
  <c r="E126" i="15" s="1"/>
  <c r="O42" i="15"/>
  <c r="N130" i="15"/>
  <c r="O22" i="15"/>
  <c r="O16" i="15"/>
  <c r="O41" i="15"/>
  <c r="E85" i="13"/>
  <c r="E102" i="13"/>
  <c r="E103" i="13" s="1"/>
  <c r="E86" i="13"/>
  <c r="D124" i="3"/>
  <c r="D110" i="3" s="1"/>
  <c r="D38" i="3"/>
  <c r="D48" i="3"/>
  <c r="L5" i="3"/>
  <c r="K107" i="3" s="1"/>
  <c r="L114" i="3"/>
  <c r="L128" i="3" s="1"/>
  <c r="M3" i="3"/>
  <c r="N2" i="3"/>
  <c r="N6" i="3" s="1"/>
  <c r="N59" i="3"/>
  <c r="O58" i="3"/>
  <c r="U14" i="11"/>
  <c r="T2" i="11"/>
  <c r="T11" i="11" s="1"/>
  <c r="T3" i="11"/>
  <c r="O14" i="10"/>
  <c r="N2" i="10"/>
  <c r="N11" i="10" s="1"/>
  <c r="N3" i="10"/>
  <c r="N12" i="10" s="1"/>
  <c r="N2" i="9"/>
  <c r="N11" i="9" s="1"/>
  <c r="O14" i="9"/>
  <c r="N3" i="9"/>
  <c r="N2" i="8"/>
  <c r="N11" i="8" s="1"/>
  <c r="O14" i="8"/>
  <c r="N3" i="8"/>
  <c r="N2" i="7"/>
  <c r="N11" i="7" s="1"/>
  <c r="O14" i="7"/>
  <c r="N3" i="7"/>
  <c r="N2" i="6"/>
  <c r="N11" i="6" s="1"/>
  <c r="O14" i="6"/>
  <c r="N3" i="6"/>
  <c r="N2" i="5"/>
  <c r="N11" i="5" s="1"/>
  <c r="O14" i="5"/>
  <c r="N3" i="5"/>
  <c r="O2" i="4"/>
  <c r="O11" i="4" s="1"/>
  <c r="P14" i="4"/>
  <c r="O3" i="4"/>
  <c r="E93" i="13" l="1"/>
  <c r="E109" i="13"/>
  <c r="E110" i="13" s="1"/>
  <c r="E92" i="13"/>
  <c r="F131" i="3"/>
  <c r="F115" i="3" s="1"/>
  <c r="G22" i="3"/>
  <c r="G41" i="3" s="1"/>
  <c r="G15" i="3"/>
  <c r="G42" i="3" s="1"/>
  <c r="H17" i="3" s="1"/>
  <c r="O37" i="15"/>
  <c r="E111" i="15"/>
  <c r="E135" i="15" s="1"/>
  <c r="F35" i="15" s="1"/>
  <c r="O43" i="15"/>
  <c r="P21" i="15"/>
  <c r="P17" i="15"/>
  <c r="N116" i="15"/>
  <c r="N115" i="15"/>
  <c r="N118" i="15" s="1"/>
  <c r="N132" i="15"/>
  <c r="N133" i="15" s="1"/>
  <c r="K109" i="3"/>
  <c r="K121" i="3"/>
  <c r="K110" i="3"/>
  <c r="K108" i="3"/>
  <c r="E88" i="13"/>
  <c r="E112" i="13" s="1"/>
  <c r="F35" i="13" s="1"/>
  <c r="D109" i="3"/>
  <c r="D108" i="3"/>
  <c r="D125" i="3"/>
  <c r="D126" i="3" s="1"/>
  <c r="F117" i="3"/>
  <c r="F118" i="3" s="1"/>
  <c r="F132" i="3"/>
  <c r="F133" i="3" s="1"/>
  <c r="M114" i="3"/>
  <c r="M128" i="3" s="1"/>
  <c r="M5" i="3"/>
  <c r="L107" i="3" s="1"/>
  <c r="L121" i="3" s="1"/>
  <c r="N3" i="3"/>
  <c r="O2" i="3"/>
  <c r="O6" i="3" s="1"/>
  <c r="O59" i="3"/>
  <c r="P58" i="3"/>
  <c r="U2" i="11"/>
  <c r="U11" i="11" s="1"/>
  <c r="V14" i="11"/>
  <c r="U3" i="11"/>
  <c r="O2" i="10"/>
  <c r="O11" i="10" s="1"/>
  <c r="P14" i="10"/>
  <c r="O3" i="10"/>
  <c r="O12" i="10" s="1"/>
  <c r="O2" i="9"/>
  <c r="O11" i="9" s="1"/>
  <c r="P14" i="9"/>
  <c r="O3" i="9"/>
  <c r="O2" i="8"/>
  <c r="O11" i="8" s="1"/>
  <c r="P14" i="8"/>
  <c r="O3" i="8"/>
  <c r="O2" i="7"/>
  <c r="O11" i="7" s="1"/>
  <c r="P14" i="7"/>
  <c r="O3" i="7"/>
  <c r="O2" i="6"/>
  <c r="O11" i="6" s="1"/>
  <c r="P14" i="6"/>
  <c r="O3" i="6"/>
  <c r="P14" i="5"/>
  <c r="O2" i="5"/>
  <c r="O11" i="5" s="1"/>
  <c r="O3" i="5"/>
  <c r="P2" i="4"/>
  <c r="P11" i="4" s="1"/>
  <c r="Q14" i="4"/>
  <c r="P3" i="4"/>
  <c r="E95" i="13" l="1"/>
  <c r="G37" i="3"/>
  <c r="K111" i="3"/>
  <c r="G43" i="3"/>
  <c r="D111" i="3"/>
  <c r="D135" i="3" s="1"/>
  <c r="E35" i="3" s="1"/>
  <c r="E32" i="3" s="1"/>
  <c r="F32" i="15"/>
  <c r="F25" i="15"/>
  <c r="O130" i="15"/>
  <c r="P22" i="15"/>
  <c r="P15" i="15"/>
  <c r="O131" i="15"/>
  <c r="O117" i="15" s="1"/>
  <c r="P20" i="15"/>
  <c r="P16" i="15"/>
  <c r="F25" i="13"/>
  <c r="F32" i="13"/>
  <c r="H16" i="3"/>
  <c r="H21" i="3"/>
  <c r="H20" i="3" s="1"/>
  <c r="N114" i="3"/>
  <c r="N128" i="3" s="1"/>
  <c r="G130" i="3"/>
  <c r="G116" i="3" s="1"/>
  <c r="N5" i="3"/>
  <c r="M107" i="3" s="1"/>
  <c r="M121" i="3" s="1"/>
  <c r="O3" i="3"/>
  <c r="O5" i="3" s="1"/>
  <c r="N107" i="3" s="1"/>
  <c r="N121" i="3" s="1"/>
  <c r="P2" i="3"/>
  <c r="P6" i="3" s="1"/>
  <c r="P59" i="3"/>
  <c r="Q58" i="3"/>
  <c r="W14" i="11"/>
  <c r="V2" i="11"/>
  <c r="V11" i="11" s="1"/>
  <c r="V3" i="11"/>
  <c r="P2" i="10"/>
  <c r="P11" i="10" s="1"/>
  <c r="Q14" i="10"/>
  <c r="P3" i="10"/>
  <c r="P12" i="10" s="1"/>
  <c r="P2" i="9"/>
  <c r="P11" i="9" s="1"/>
  <c r="Q14" i="9"/>
  <c r="P3" i="9"/>
  <c r="P2" i="8"/>
  <c r="P11" i="8" s="1"/>
  <c r="Q14" i="8"/>
  <c r="P3" i="8"/>
  <c r="P2" i="7"/>
  <c r="P11" i="7" s="1"/>
  <c r="Q14" i="7"/>
  <c r="P3" i="7"/>
  <c r="P2" i="6"/>
  <c r="P11" i="6" s="1"/>
  <c r="Q14" i="6"/>
  <c r="P3" i="6"/>
  <c r="P2" i="5"/>
  <c r="P11" i="5" s="1"/>
  <c r="Q14" i="5"/>
  <c r="P3" i="5"/>
  <c r="Q2" i="4"/>
  <c r="Q11" i="4" s="1"/>
  <c r="R14" i="4"/>
  <c r="Q3" i="4"/>
  <c r="E113" i="13" l="1"/>
  <c r="F34" i="13" s="1"/>
  <c r="F26" i="15"/>
  <c r="F30" i="15" s="1"/>
  <c r="F46" i="15" s="1"/>
  <c r="F47" i="15"/>
  <c r="P37" i="15"/>
  <c r="P42" i="15"/>
  <c r="P41" i="15"/>
  <c r="O115" i="15"/>
  <c r="O116" i="15"/>
  <c r="O132" i="15"/>
  <c r="O133" i="15" s="1"/>
  <c r="F26" i="13"/>
  <c r="F30" i="13" s="1"/>
  <c r="F46" i="13" s="1"/>
  <c r="F47" i="13"/>
  <c r="E25" i="3"/>
  <c r="E26" i="3" s="1"/>
  <c r="H15" i="3"/>
  <c r="H42" i="3" s="1"/>
  <c r="I17" i="3" s="1"/>
  <c r="G131" i="3"/>
  <c r="G115" i="3" s="1"/>
  <c r="H22" i="3"/>
  <c r="H41" i="3" s="1"/>
  <c r="O114" i="3"/>
  <c r="O128" i="3" s="1"/>
  <c r="P3" i="3"/>
  <c r="Q2" i="3"/>
  <c r="Q6" i="3" s="1"/>
  <c r="Q59" i="3"/>
  <c r="R58" i="3"/>
  <c r="W2" i="11"/>
  <c r="W11" i="11" s="1"/>
  <c r="X14" i="11"/>
  <c r="W3" i="11"/>
  <c r="Q2" i="10"/>
  <c r="Q11" i="10" s="1"/>
  <c r="R14" i="10"/>
  <c r="Q3" i="10"/>
  <c r="Q12" i="10" s="1"/>
  <c r="Q2" i="9"/>
  <c r="Q11" i="9" s="1"/>
  <c r="R14" i="9"/>
  <c r="Q3" i="9"/>
  <c r="Q2" i="8"/>
  <c r="Q11" i="8" s="1"/>
  <c r="R14" i="8"/>
  <c r="Q3" i="8"/>
  <c r="Q2" i="7"/>
  <c r="Q11" i="7" s="1"/>
  <c r="R14" i="7"/>
  <c r="Q3" i="7"/>
  <c r="Q2" i="6"/>
  <c r="Q11" i="6" s="1"/>
  <c r="R14" i="6"/>
  <c r="Q3" i="6"/>
  <c r="Q2" i="5"/>
  <c r="Q11" i="5" s="1"/>
  <c r="R14" i="5"/>
  <c r="Q3" i="5"/>
  <c r="R2" i="4"/>
  <c r="R11" i="4" s="1"/>
  <c r="S14" i="4"/>
  <c r="R3" i="4"/>
  <c r="F15" i="13" l="1"/>
  <c r="F42" i="13" s="1"/>
  <c r="F16" i="13"/>
  <c r="F20" i="13"/>
  <c r="F22" i="13"/>
  <c r="G132" i="3"/>
  <c r="G133" i="3" s="1"/>
  <c r="G27" i="15"/>
  <c r="F123" i="15" s="1"/>
  <c r="E47" i="3"/>
  <c r="F27" i="3" s="1"/>
  <c r="H43" i="3"/>
  <c r="F38" i="15"/>
  <c r="F38" i="13"/>
  <c r="G31" i="15"/>
  <c r="F124" i="15" s="1"/>
  <c r="F110" i="15" s="1"/>
  <c r="F48" i="15"/>
  <c r="Q21" i="15"/>
  <c r="P43" i="15"/>
  <c r="O118" i="15"/>
  <c r="Q17" i="15"/>
  <c r="G27" i="13"/>
  <c r="F100" i="13" s="1"/>
  <c r="G31" i="13"/>
  <c r="F101" i="13" s="1"/>
  <c r="F87" i="13" s="1"/>
  <c r="F48" i="13"/>
  <c r="E30" i="3"/>
  <c r="E46" i="3" s="1"/>
  <c r="F31" i="3" s="1"/>
  <c r="H37" i="3"/>
  <c r="G117" i="3"/>
  <c r="G118" i="3" s="1"/>
  <c r="I21" i="3"/>
  <c r="H131" i="3" s="1"/>
  <c r="I16" i="3"/>
  <c r="P114" i="3"/>
  <c r="P128" i="3" s="1"/>
  <c r="H130" i="3"/>
  <c r="H116" i="3" s="1"/>
  <c r="P5" i="3"/>
  <c r="O107" i="3" s="1"/>
  <c r="O121" i="3" s="1"/>
  <c r="Q3" i="3"/>
  <c r="Q5" i="3" s="1"/>
  <c r="P107" i="3" s="1"/>
  <c r="P121" i="3" s="1"/>
  <c r="R2" i="3"/>
  <c r="R6" i="3" s="1"/>
  <c r="R59" i="3"/>
  <c r="S58" i="3"/>
  <c r="X2" i="11"/>
  <c r="X11" i="11" s="1"/>
  <c r="Y14" i="11"/>
  <c r="X3" i="11"/>
  <c r="R2" i="10"/>
  <c r="R11" i="10" s="1"/>
  <c r="S14" i="10"/>
  <c r="R3" i="10"/>
  <c r="R12" i="10" s="1"/>
  <c r="R2" i="9"/>
  <c r="R11" i="9" s="1"/>
  <c r="S14" i="9"/>
  <c r="R3" i="9"/>
  <c r="R2" i="8"/>
  <c r="R11" i="8" s="1"/>
  <c r="S14" i="8"/>
  <c r="R3" i="8"/>
  <c r="R2" i="7"/>
  <c r="R11" i="7" s="1"/>
  <c r="S14" i="7"/>
  <c r="R3" i="7"/>
  <c r="S14" i="6"/>
  <c r="R2" i="6"/>
  <c r="R11" i="6" s="1"/>
  <c r="R3" i="6"/>
  <c r="R2" i="5"/>
  <c r="R11" i="5" s="1"/>
  <c r="S14" i="5"/>
  <c r="R3" i="5"/>
  <c r="T14" i="4"/>
  <c r="S2" i="4"/>
  <c r="S11" i="4" s="1"/>
  <c r="S3" i="4"/>
  <c r="G17" i="13" l="1"/>
  <c r="F107" i="13" s="1"/>
  <c r="F37" i="13"/>
  <c r="F41" i="13"/>
  <c r="F108" i="15"/>
  <c r="F109" i="15"/>
  <c r="F125" i="15"/>
  <c r="F126" i="15" s="1"/>
  <c r="P130" i="15"/>
  <c r="Q22" i="15"/>
  <c r="Q15" i="15"/>
  <c r="Q16" i="15"/>
  <c r="P131" i="15"/>
  <c r="P117" i="15" s="1"/>
  <c r="Q20" i="15"/>
  <c r="Q41" i="15" s="1"/>
  <c r="F85" i="13"/>
  <c r="F102" i="13"/>
  <c r="F103" i="13" s="1"/>
  <c r="F86" i="13"/>
  <c r="E38" i="3"/>
  <c r="E123" i="3"/>
  <c r="E48" i="3"/>
  <c r="E124" i="3"/>
  <c r="I15" i="3"/>
  <c r="I22" i="3"/>
  <c r="I20" i="3"/>
  <c r="Q114" i="3"/>
  <c r="Q128" i="3" s="1"/>
  <c r="H117" i="3"/>
  <c r="H115" i="3"/>
  <c r="H132" i="3"/>
  <c r="H133" i="3" s="1"/>
  <c r="R3" i="3"/>
  <c r="R5" i="3" s="1"/>
  <c r="Q107" i="3" s="1"/>
  <c r="Q121" i="3" s="1"/>
  <c r="S2" i="3"/>
  <c r="S6" i="3" s="1"/>
  <c r="S59" i="3"/>
  <c r="T58" i="3"/>
  <c r="Y2" i="11"/>
  <c r="Y11" i="11" s="1"/>
  <c r="Z14" i="11"/>
  <c r="Y3" i="11"/>
  <c r="S2" i="10"/>
  <c r="S11" i="10" s="1"/>
  <c r="T14" i="10"/>
  <c r="S3" i="10"/>
  <c r="S12" i="10" s="1"/>
  <c r="S2" i="9"/>
  <c r="S11" i="9" s="1"/>
  <c r="T14" i="9"/>
  <c r="S3" i="9"/>
  <c r="S2" i="8"/>
  <c r="S11" i="8" s="1"/>
  <c r="T14" i="8"/>
  <c r="S3" i="8"/>
  <c r="S2" i="7"/>
  <c r="S11" i="7" s="1"/>
  <c r="T14" i="7"/>
  <c r="S3" i="7"/>
  <c r="S2" i="6"/>
  <c r="S11" i="6" s="1"/>
  <c r="T14" i="6"/>
  <c r="S3" i="6"/>
  <c r="S2" i="5"/>
  <c r="S11" i="5" s="1"/>
  <c r="T14" i="5"/>
  <c r="S3" i="5"/>
  <c r="T2" i="4"/>
  <c r="T11" i="4" s="1"/>
  <c r="U14" i="4"/>
  <c r="T3" i="4"/>
  <c r="G21" i="13" l="1"/>
  <c r="F108" i="13" s="1"/>
  <c r="F94" i="13" s="1"/>
  <c r="F43" i="13"/>
  <c r="F93" i="13"/>
  <c r="F92" i="13"/>
  <c r="F109" i="13"/>
  <c r="F110" i="13" s="1"/>
  <c r="I41" i="3"/>
  <c r="I37" i="3"/>
  <c r="I42" i="3"/>
  <c r="J17" i="3" s="1"/>
  <c r="I130" i="3" s="1"/>
  <c r="I116" i="3" s="1"/>
  <c r="F111" i="15"/>
  <c r="F135" i="15" s="1"/>
  <c r="G35" i="15" s="1"/>
  <c r="R21" i="15"/>
  <c r="Q37" i="15"/>
  <c r="Q42" i="15"/>
  <c r="P115" i="15"/>
  <c r="P116" i="15"/>
  <c r="P132" i="15"/>
  <c r="P133" i="15" s="1"/>
  <c r="F88" i="13"/>
  <c r="F112" i="13" s="1"/>
  <c r="G35" i="13" s="1"/>
  <c r="E125" i="3"/>
  <c r="E126" i="3" s="1"/>
  <c r="E110" i="3"/>
  <c r="E109" i="3"/>
  <c r="E108" i="3"/>
  <c r="R114" i="3"/>
  <c r="R128" i="3" s="1"/>
  <c r="H118" i="3"/>
  <c r="S3" i="3"/>
  <c r="T2" i="3"/>
  <c r="T6" i="3" s="1"/>
  <c r="T59" i="3"/>
  <c r="U58" i="3"/>
  <c r="Z2" i="11"/>
  <c r="Z11" i="11" s="1"/>
  <c r="AA14" i="11"/>
  <c r="Z3" i="11"/>
  <c r="T2" i="10"/>
  <c r="T11" i="10" s="1"/>
  <c r="U14" i="10"/>
  <c r="T3" i="10"/>
  <c r="T12" i="10" s="1"/>
  <c r="T2" i="9"/>
  <c r="T11" i="9" s="1"/>
  <c r="U14" i="9"/>
  <c r="T3" i="9"/>
  <c r="T2" i="8"/>
  <c r="T11" i="8" s="1"/>
  <c r="U14" i="8"/>
  <c r="T3" i="8"/>
  <c r="T2" i="7"/>
  <c r="T11" i="7" s="1"/>
  <c r="U14" i="7"/>
  <c r="T3" i="7"/>
  <c r="T2" i="6"/>
  <c r="T11" i="6" s="1"/>
  <c r="U14" i="6"/>
  <c r="T3" i="6"/>
  <c r="U14" i="5"/>
  <c r="T2" i="5"/>
  <c r="T11" i="5" s="1"/>
  <c r="T3" i="5"/>
  <c r="U2" i="4"/>
  <c r="U11" i="4" s="1"/>
  <c r="V14" i="4"/>
  <c r="U3" i="4"/>
  <c r="F95" i="13" l="1"/>
  <c r="F113" i="13" s="1"/>
  <c r="G34" i="13" s="1"/>
  <c r="I43" i="3"/>
  <c r="J21" i="3"/>
  <c r="J20" i="3" s="1"/>
  <c r="J16" i="3"/>
  <c r="G25" i="15"/>
  <c r="G32" i="15"/>
  <c r="P118" i="15"/>
  <c r="R17" i="15"/>
  <c r="R15" i="15" s="1"/>
  <c r="Q43" i="15"/>
  <c r="Q131" i="15"/>
  <c r="Q117" i="15" s="1"/>
  <c r="R20" i="15"/>
  <c r="G32" i="13"/>
  <c r="G25" i="13"/>
  <c r="G26" i="13" s="1"/>
  <c r="G30" i="13" s="1"/>
  <c r="E111" i="3"/>
  <c r="E135" i="3" s="1"/>
  <c r="F35" i="3" s="1"/>
  <c r="F32" i="3" s="1"/>
  <c r="S114" i="3"/>
  <c r="S128" i="3" s="1"/>
  <c r="U59" i="3"/>
  <c r="U3" i="3" s="1"/>
  <c r="S5" i="3"/>
  <c r="R107" i="3" s="1"/>
  <c r="R121" i="3" s="1"/>
  <c r="T3" i="3"/>
  <c r="T5" i="3" s="1"/>
  <c r="S107" i="3" s="1"/>
  <c r="S121" i="3" s="1"/>
  <c r="V58" i="3"/>
  <c r="U2" i="3"/>
  <c r="U6" i="3" s="1"/>
  <c r="AB14" i="11"/>
  <c r="AA2" i="11"/>
  <c r="AA11" i="11" s="1"/>
  <c r="AA3" i="11"/>
  <c r="V14" i="10"/>
  <c r="U2" i="10"/>
  <c r="U11" i="10" s="1"/>
  <c r="U3" i="10"/>
  <c r="U12" i="10" s="1"/>
  <c r="V14" i="9"/>
  <c r="U2" i="9"/>
  <c r="U11" i="9" s="1"/>
  <c r="U3" i="9"/>
  <c r="V14" i="8"/>
  <c r="U2" i="8"/>
  <c r="U11" i="8" s="1"/>
  <c r="U3" i="8"/>
  <c r="V14" i="7"/>
  <c r="U2" i="7"/>
  <c r="U11" i="7" s="1"/>
  <c r="U3" i="7"/>
  <c r="V14" i="6"/>
  <c r="U2" i="6"/>
  <c r="U11" i="6" s="1"/>
  <c r="U3" i="6"/>
  <c r="V14" i="5"/>
  <c r="U2" i="5"/>
  <c r="U11" i="5" s="1"/>
  <c r="U3" i="5"/>
  <c r="V3" i="4"/>
  <c r="V2" i="4"/>
  <c r="V11" i="4" s="1"/>
  <c r="G15" i="13" l="1"/>
  <c r="G42" i="13" s="1"/>
  <c r="G16" i="13"/>
  <c r="G22" i="13"/>
  <c r="G20" i="13"/>
  <c r="I131" i="3"/>
  <c r="J15" i="3"/>
  <c r="J42" i="3" s="1"/>
  <c r="K17" i="3" s="1"/>
  <c r="J22" i="3"/>
  <c r="G46" i="13"/>
  <c r="H31" i="13" s="1"/>
  <c r="G101" i="13" s="1"/>
  <c r="G87" i="13" s="1"/>
  <c r="G47" i="15"/>
  <c r="G26" i="15"/>
  <c r="G30" i="15" s="1"/>
  <c r="G46" i="15" s="1"/>
  <c r="R42" i="15"/>
  <c r="Q130" i="15"/>
  <c r="R22" i="15"/>
  <c r="R41" i="15" s="1"/>
  <c r="R16" i="15"/>
  <c r="R37" i="15" s="1"/>
  <c r="G38" i="13"/>
  <c r="G47" i="13"/>
  <c r="F25" i="3"/>
  <c r="F26" i="3" s="1"/>
  <c r="T114" i="3"/>
  <c r="T128" i="3" s="1"/>
  <c r="I117" i="3"/>
  <c r="I115" i="3"/>
  <c r="I132" i="3"/>
  <c r="I133" i="3" s="1"/>
  <c r="U5" i="3"/>
  <c r="T107" i="3" s="1"/>
  <c r="T121" i="3" s="1"/>
  <c r="V2" i="3"/>
  <c r="V59" i="3"/>
  <c r="AB2" i="11"/>
  <c r="AB11" i="11" s="1"/>
  <c r="AB3" i="11"/>
  <c r="V2" i="10"/>
  <c r="V11" i="10" s="1"/>
  <c r="V3" i="10"/>
  <c r="V12" i="10" s="1"/>
  <c r="V2" i="9"/>
  <c r="V11" i="9" s="1"/>
  <c r="V3" i="9"/>
  <c r="V2" i="8"/>
  <c r="V11" i="8" s="1"/>
  <c r="V3" i="8"/>
  <c r="V3" i="7"/>
  <c r="V2" i="7"/>
  <c r="V11" i="7" s="1"/>
  <c r="V3" i="6"/>
  <c r="V2" i="6"/>
  <c r="V11" i="6" s="1"/>
  <c r="V2" i="5"/>
  <c r="V11" i="5" s="1"/>
  <c r="V3" i="5"/>
  <c r="H17" i="13" l="1"/>
  <c r="G37" i="13"/>
  <c r="G41" i="13"/>
  <c r="J37" i="3"/>
  <c r="G38" i="15"/>
  <c r="H31" i="15"/>
  <c r="G124" i="15" s="1"/>
  <c r="G110" i="15" s="1"/>
  <c r="G48" i="15"/>
  <c r="H27" i="15"/>
  <c r="G123" i="15" s="1"/>
  <c r="R43" i="15"/>
  <c r="S21" i="15"/>
  <c r="S17" i="15"/>
  <c r="S16" i="15" s="1"/>
  <c r="S15" i="15"/>
  <c r="Q115" i="15"/>
  <c r="Q116" i="15"/>
  <c r="Q132" i="15"/>
  <c r="Q133" i="15" s="1"/>
  <c r="H27" i="13"/>
  <c r="G100" i="13" s="1"/>
  <c r="F47" i="3"/>
  <c r="G27" i="3" s="1"/>
  <c r="G48" i="13"/>
  <c r="I118" i="3"/>
  <c r="J41" i="3"/>
  <c r="K21" i="3" s="1"/>
  <c r="J130" i="3"/>
  <c r="V3" i="3"/>
  <c r="V5" i="3" s="1"/>
  <c r="V6" i="3"/>
  <c r="C61" i="3"/>
  <c r="C62" i="3" s="1"/>
  <c r="D61" i="3"/>
  <c r="D62" i="3" s="1"/>
  <c r="V61" i="3"/>
  <c r="V62" i="3" s="1"/>
  <c r="U61" i="3"/>
  <c r="U62" i="3" s="1"/>
  <c r="T61" i="3"/>
  <c r="T62" i="3" s="1"/>
  <c r="S61" i="3"/>
  <c r="S62" i="3" s="1"/>
  <c r="R61" i="3"/>
  <c r="R62" i="3" s="1"/>
  <c r="Q61" i="3"/>
  <c r="Q62" i="3" s="1"/>
  <c r="P61" i="3"/>
  <c r="P62" i="3" s="1"/>
  <c r="O61" i="3"/>
  <c r="O62" i="3" s="1"/>
  <c r="N61" i="3"/>
  <c r="N62" i="3" s="1"/>
  <c r="M61" i="3"/>
  <c r="M62" i="3" s="1"/>
  <c r="L61" i="3"/>
  <c r="L62" i="3" s="1"/>
  <c r="K61" i="3"/>
  <c r="K62" i="3" s="1"/>
  <c r="J61" i="3"/>
  <c r="J62" i="3" s="1"/>
  <c r="I61" i="3"/>
  <c r="I62" i="3" s="1"/>
  <c r="H61" i="3"/>
  <c r="H62" i="3" s="1"/>
  <c r="G61" i="3"/>
  <c r="G62" i="3" s="1"/>
  <c r="F61" i="3"/>
  <c r="F62" i="3" s="1"/>
  <c r="E61" i="3"/>
  <c r="E62" i="3" s="1"/>
  <c r="D2" i="2"/>
  <c r="F8" i="2"/>
  <c r="G8" i="2"/>
  <c r="H8" i="2"/>
  <c r="I8" i="2"/>
  <c r="J8" i="2"/>
  <c r="L8" i="2"/>
  <c r="M8" i="2"/>
  <c r="R8" i="2"/>
  <c r="S8" i="2"/>
  <c r="T8" i="2"/>
  <c r="U8" i="2"/>
  <c r="B8" i="2"/>
  <c r="C7" i="2"/>
  <c r="C8" i="2" s="1"/>
  <c r="D7" i="2"/>
  <c r="D8" i="2" s="1"/>
  <c r="E7" i="2"/>
  <c r="E8" i="2" s="1"/>
  <c r="F7" i="2"/>
  <c r="G7" i="2"/>
  <c r="H7" i="2"/>
  <c r="I7" i="2"/>
  <c r="J7" i="2"/>
  <c r="K7" i="2"/>
  <c r="K8" i="2" s="1"/>
  <c r="L7" i="2"/>
  <c r="M7" i="2"/>
  <c r="N7" i="2"/>
  <c r="N8" i="2" s="1"/>
  <c r="O7" i="2"/>
  <c r="O8" i="2" s="1"/>
  <c r="P7" i="2"/>
  <c r="P8" i="2" s="1"/>
  <c r="Q7" i="2"/>
  <c r="Q8" i="2" s="1"/>
  <c r="R7" i="2"/>
  <c r="S7" i="2"/>
  <c r="T7" i="2"/>
  <c r="U7" i="2"/>
  <c r="B7" i="2"/>
  <c r="H21" i="13" l="1"/>
  <c r="G108" i="13" s="1"/>
  <c r="G94" i="13" s="1"/>
  <c r="G43" i="13"/>
  <c r="G107" i="13"/>
  <c r="U107" i="3"/>
  <c r="U121" i="3" s="1"/>
  <c r="G109" i="15"/>
  <c r="G108" i="15"/>
  <c r="G111" i="15" s="1"/>
  <c r="G125" i="15"/>
  <c r="G126" i="15" s="1"/>
  <c r="G135" i="15" s="1"/>
  <c r="H35" i="15" s="1"/>
  <c r="Q118" i="15"/>
  <c r="R131" i="15"/>
  <c r="R117" i="15" s="1"/>
  <c r="S20" i="15"/>
  <c r="R130" i="15"/>
  <c r="S22" i="15"/>
  <c r="S42" i="15"/>
  <c r="G85" i="13"/>
  <c r="G86" i="13"/>
  <c r="G102" i="13"/>
  <c r="G103" i="13" s="1"/>
  <c r="F30" i="3"/>
  <c r="F46" i="3" s="1"/>
  <c r="G31" i="3" s="1"/>
  <c r="K22" i="3"/>
  <c r="K16" i="3"/>
  <c r="U114" i="3"/>
  <c r="U128" i="3" s="1"/>
  <c r="J43" i="3"/>
  <c r="J131" i="3"/>
  <c r="J117" i="3" s="1"/>
  <c r="K20" i="3"/>
  <c r="J116" i="3"/>
  <c r="O2" i="1"/>
  <c r="K11" i="1" s="1"/>
  <c r="L11" i="1" s="1"/>
  <c r="G92" i="13" l="1"/>
  <c r="G93" i="13"/>
  <c r="G109" i="13"/>
  <c r="G110" i="13" s="1"/>
  <c r="S41" i="15"/>
  <c r="H25" i="15"/>
  <c r="H32" i="15"/>
  <c r="H26" i="15"/>
  <c r="H30" i="15" s="1"/>
  <c r="H46" i="15" s="1"/>
  <c r="S43" i="15"/>
  <c r="T21" i="15"/>
  <c r="R115" i="15"/>
  <c r="R116" i="15"/>
  <c r="R132" i="15"/>
  <c r="R133" i="15" s="1"/>
  <c r="S37" i="15"/>
  <c r="T17" i="15"/>
  <c r="T16" i="15" s="1"/>
  <c r="G88" i="13"/>
  <c r="G112" i="13" s="1"/>
  <c r="H35" i="13" s="1"/>
  <c r="F38" i="3"/>
  <c r="F123" i="3"/>
  <c r="F109" i="3" s="1"/>
  <c r="F48" i="3"/>
  <c r="F124" i="3"/>
  <c r="F110" i="3" s="1"/>
  <c r="J132" i="3"/>
  <c r="J133" i="3" s="1"/>
  <c r="J115" i="3"/>
  <c r="J118" i="3" s="1"/>
  <c r="K41" i="3"/>
  <c r="L21" i="3" s="1"/>
  <c r="K15" i="3"/>
  <c r="K37" i="3" s="1"/>
  <c r="J52" i="1"/>
  <c r="K5" i="1"/>
  <c r="L5" i="1" s="1"/>
  <c r="K4" i="1"/>
  <c r="L4" i="1" s="1"/>
  <c r="K7" i="1"/>
  <c r="L7" i="1" s="1"/>
  <c r="K9" i="1"/>
  <c r="L9" i="1" s="1"/>
  <c r="K10" i="1"/>
  <c r="L10" i="1" s="1"/>
  <c r="K14" i="1"/>
  <c r="K6" i="1"/>
  <c r="L6" i="1" s="1"/>
  <c r="K8" i="1"/>
  <c r="L8" i="1" s="1"/>
  <c r="K3" i="1"/>
  <c r="L3" i="1" s="1"/>
  <c r="K12" i="1"/>
  <c r="L12" i="1" s="1"/>
  <c r="G95" i="13" l="1"/>
  <c r="G113" i="13" s="1"/>
  <c r="H34" i="13" s="1"/>
  <c r="R118" i="15"/>
  <c r="I31" i="15"/>
  <c r="H124" i="15" s="1"/>
  <c r="H110" i="15" s="1"/>
  <c r="H38" i="15"/>
  <c r="H47" i="15"/>
  <c r="S130" i="15"/>
  <c r="T22" i="15"/>
  <c r="S131" i="15"/>
  <c r="S117" i="15" s="1"/>
  <c r="T20" i="15"/>
  <c r="T41" i="15" s="1"/>
  <c r="T15" i="15"/>
  <c r="H32" i="13"/>
  <c r="H25" i="13"/>
  <c r="F108" i="3"/>
  <c r="F111" i="3" s="1"/>
  <c r="F125" i="3"/>
  <c r="F126" i="3" s="1"/>
  <c r="K42" i="3"/>
  <c r="K131" i="3"/>
  <c r="K117" i="3" s="1"/>
  <c r="J23" i="1"/>
  <c r="J58" i="1"/>
  <c r="J80" i="1"/>
  <c r="J17" i="1"/>
  <c r="J55" i="1"/>
  <c r="J54" i="1"/>
  <c r="J43" i="1"/>
  <c r="J73" i="1"/>
  <c r="J63" i="1"/>
  <c r="J42" i="1"/>
  <c r="J69" i="1"/>
  <c r="J35" i="1"/>
  <c r="J15" i="1"/>
  <c r="J77" i="1"/>
  <c r="J71" i="1"/>
  <c r="J39" i="1"/>
  <c r="J78" i="1"/>
  <c r="J67" i="1"/>
  <c r="J30" i="1"/>
  <c r="J50" i="1"/>
  <c r="J41" i="1"/>
  <c r="J31" i="1"/>
  <c r="J65" i="1"/>
  <c r="J45" i="1"/>
  <c r="J37" i="1"/>
  <c r="J26" i="1"/>
  <c r="J53" i="1"/>
  <c r="J66" i="1"/>
  <c r="J81" i="1"/>
  <c r="J72" i="1"/>
  <c r="J32" i="1"/>
  <c r="K2" i="1"/>
  <c r="J51" i="1"/>
  <c r="J22" i="1"/>
  <c r="J27" i="1"/>
  <c r="J59" i="1"/>
  <c r="J29" i="1"/>
  <c r="J16" i="1"/>
  <c r="J24" i="1"/>
  <c r="J68" i="1"/>
  <c r="J33" i="1"/>
  <c r="J61" i="1"/>
  <c r="J18" i="1"/>
  <c r="J76" i="1"/>
  <c r="J48" i="1"/>
  <c r="J75" i="1"/>
  <c r="J20" i="1"/>
  <c r="J25" i="1"/>
  <c r="J49" i="1"/>
  <c r="J14" i="1"/>
  <c r="M14" i="1" s="1"/>
  <c r="M15" i="1" s="1"/>
  <c r="K16" i="1" s="1"/>
  <c r="L16" i="1" s="1"/>
  <c r="J47" i="1"/>
  <c r="J34" i="1"/>
  <c r="J70" i="1"/>
  <c r="J38" i="1"/>
  <c r="J40" i="1"/>
  <c r="J64" i="1"/>
  <c r="J28" i="1"/>
  <c r="J36" i="1"/>
  <c r="J79" i="1"/>
  <c r="J46" i="1"/>
  <c r="J21" i="1"/>
  <c r="J74" i="1"/>
  <c r="J60" i="1"/>
  <c r="J57" i="1"/>
  <c r="J44" i="1"/>
  <c r="J56" i="1"/>
  <c r="J19" i="1"/>
  <c r="J62" i="1"/>
  <c r="K13" i="1"/>
  <c r="L13" i="1" s="1"/>
  <c r="H15" i="13" l="1"/>
  <c r="H16" i="13"/>
  <c r="H20" i="13"/>
  <c r="H22" i="13"/>
  <c r="I27" i="15"/>
  <c r="H123" i="15" s="1"/>
  <c r="H48" i="15"/>
  <c r="U21" i="15"/>
  <c r="T37" i="15"/>
  <c r="T42" i="15"/>
  <c r="S116" i="15"/>
  <c r="S115" i="15"/>
  <c r="S132" i="15"/>
  <c r="S133" i="15" s="1"/>
  <c r="H26" i="13"/>
  <c r="H30" i="13" s="1"/>
  <c r="H46" i="13" s="1"/>
  <c r="H47" i="13"/>
  <c r="L2" i="1"/>
  <c r="F135" i="3"/>
  <c r="G35" i="3" s="1"/>
  <c r="G32" i="3" s="1"/>
  <c r="L20" i="3"/>
  <c r="L17" i="3"/>
  <c r="K43" i="3"/>
  <c r="L14" i="1"/>
  <c r="M16" i="1"/>
  <c r="K17" i="1" s="1"/>
  <c r="L17" i="1" s="1"/>
  <c r="K15" i="1"/>
  <c r="L15" i="1" s="1"/>
  <c r="J83" i="1"/>
  <c r="H41" i="13" l="1"/>
  <c r="H37" i="13"/>
  <c r="H42" i="13"/>
  <c r="S118" i="15"/>
  <c r="H108" i="15"/>
  <c r="H109" i="15"/>
  <c r="H125" i="15"/>
  <c r="H126" i="15" s="1"/>
  <c r="U17" i="15"/>
  <c r="U15" i="15"/>
  <c r="T131" i="15"/>
  <c r="T117" i="15" s="1"/>
  <c r="U20" i="15"/>
  <c r="T43" i="15"/>
  <c r="I27" i="13"/>
  <c r="H100" i="13" s="1"/>
  <c r="H38" i="13"/>
  <c r="I31" i="13"/>
  <c r="H101" i="13" s="1"/>
  <c r="H87" i="13" s="1"/>
  <c r="H48" i="13"/>
  <c r="G25" i="3"/>
  <c r="G26" i="3" s="1"/>
  <c r="L22" i="3"/>
  <c r="L41" i="3" s="1"/>
  <c r="M21" i="3" s="1"/>
  <c r="L16" i="3"/>
  <c r="L15" i="3"/>
  <c r="K130" i="3"/>
  <c r="M17" i="1"/>
  <c r="M18" i="1" s="1"/>
  <c r="I17" i="13" l="1"/>
  <c r="I21" i="13"/>
  <c r="H108" i="13" s="1"/>
  <c r="H94" i="13" s="1"/>
  <c r="H43" i="13"/>
  <c r="H111" i="15"/>
  <c r="H135" i="15" s="1"/>
  <c r="I35" i="15" s="1"/>
  <c r="U42" i="15"/>
  <c r="T130" i="15"/>
  <c r="U22" i="15"/>
  <c r="U41" i="15" s="1"/>
  <c r="U16" i="15"/>
  <c r="U37" i="15" s="1"/>
  <c r="G47" i="3"/>
  <c r="H27" i="3" s="1"/>
  <c r="G123" i="3" s="1"/>
  <c r="G109" i="3" s="1"/>
  <c r="H85" i="13"/>
  <c r="H102" i="13"/>
  <c r="H103" i="13" s="1"/>
  <c r="H86" i="13"/>
  <c r="G30" i="3"/>
  <c r="L37" i="3"/>
  <c r="K116" i="3"/>
  <c r="K115" i="3"/>
  <c r="K132" i="3"/>
  <c r="K133" i="3" s="1"/>
  <c r="L42" i="3"/>
  <c r="L131" i="3"/>
  <c r="K18" i="1"/>
  <c r="K19" i="1"/>
  <c r="L19" i="1" s="1"/>
  <c r="M19" i="1"/>
  <c r="H107" i="13" l="1"/>
  <c r="I32" i="15"/>
  <c r="I25" i="15"/>
  <c r="I26" i="15"/>
  <c r="I30" i="15" s="1"/>
  <c r="I46" i="15" s="1"/>
  <c r="U43" i="15"/>
  <c r="V21" i="15"/>
  <c r="V17" i="15"/>
  <c r="V16" i="15" s="1"/>
  <c r="T116" i="15"/>
  <c r="T115" i="15"/>
  <c r="T118" i="15" s="1"/>
  <c r="T132" i="15"/>
  <c r="T133" i="15" s="1"/>
  <c r="L18" i="1"/>
  <c r="H88" i="13"/>
  <c r="H112" i="13" s="1"/>
  <c r="I35" i="13" s="1"/>
  <c r="G46" i="3"/>
  <c r="H31" i="3" s="1"/>
  <c r="M17" i="3"/>
  <c r="L130" i="3" s="1"/>
  <c r="K118" i="3"/>
  <c r="L43" i="3"/>
  <c r="M20" i="3"/>
  <c r="L117" i="3"/>
  <c r="M20" i="1"/>
  <c r="K20" i="1"/>
  <c r="L20" i="1" s="1"/>
  <c r="H93" i="13" l="1"/>
  <c r="H92" i="13"/>
  <c r="H109" i="13"/>
  <c r="H110" i="13" s="1"/>
  <c r="V15" i="15"/>
  <c r="V42" i="15" s="1"/>
  <c r="J31" i="15"/>
  <c r="I124" i="15" s="1"/>
  <c r="I110" i="15" s="1"/>
  <c r="I38" i="15"/>
  <c r="I47" i="15"/>
  <c r="U130" i="15"/>
  <c r="V22" i="15"/>
  <c r="U131" i="15"/>
  <c r="U117" i="15" s="1"/>
  <c r="V20" i="15"/>
  <c r="V37" i="15" s="1"/>
  <c r="I32" i="13"/>
  <c r="I25" i="13"/>
  <c r="G124" i="3"/>
  <c r="G38" i="3"/>
  <c r="G48" i="3"/>
  <c r="M15" i="3"/>
  <c r="M42" i="3" s="1"/>
  <c r="N17" i="3" s="1"/>
  <c r="L116" i="3"/>
  <c r="L115" i="3"/>
  <c r="L132" i="3"/>
  <c r="L133" i="3" s="1"/>
  <c r="M22" i="3"/>
  <c r="M41" i="3" s="1"/>
  <c r="M16" i="3"/>
  <c r="M21" i="1"/>
  <c r="K21" i="1"/>
  <c r="L21" i="1" s="1"/>
  <c r="H95" i="13" l="1"/>
  <c r="H113" i="13" s="1"/>
  <c r="I34" i="13" s="1"/>
  <c r="L118" i="3"/>
  <c r="J27" i="15"/>
  <c r="I123" i="15" s="1"/>
  <c r="I48" i="15"/>
  <c r="V41" i="15"/>
  <c r="V43" i="15" s="1"/>
  <c r="U115" i="15"/>
  <c r="U116" i="15"/>
  <c r="U132" i="15"/>
  <c r="U133" i="15" s="1"/>
  <c r="I26" i="13"/>
  <c r="I30" i="13" s="1"/>
  <c r="I46" i="13" s="1"/>
  <c r="J31" i="13" s="1"/>
  <c r="I101" i="13" s="1"/>
  <c r="I87" i="13" s="1"/>
  <c r="I47" i="13"/>
  <c r="G125" i="3"/>
  <c r="G126" i="3" s="1"/>
  <c r="G108" i="3"/>
  <c r="G110" i="3"/>
  <c r="M37" i="3"/>
  <c r="M43" i="3"/>
  <c r="N21" i="3"/>
  <c r="N22" i="3" s="1"/>
  <c r="N16" i="3"/>
  <c r="M130" i="3"/>
  <c r="M116" i="3" s="1"/>
  <c r="K22" i="1"/>
  <c r="L22" i="1" s="1"/>
  <c r="M22" i="1"/>
  <c r="I15" i="13" l="1"/>
  <c r="I16" i="13"/>
  <c r="I22" i="13"/>
  <c r="I20" i="13"/>
  <c r="I42" i="13"/>
  <c r="I108" i="15"/>
  <c r="I111" i="15" s="1"/>
  <c r="I135" i="15" s="1"/>
  <c r="J35" i="15" s="1"/>
  <c r="I125" i="15"/>
  <c r="I126" i="15" s="1"/>
  <c r="I109" i="15"/>
  <c r="U118" i="15"/>
  <c r="I48" i="13"/>
  <c r="J27" i="13"/>
  <c r="I100" i="13" s="1"/>
  <c r="I38" i="13"/>
  <c r="G111" i="3"/>
  <c r="G135" i="3" s="1"/>
  <c r="H35" i="3" s="1"/>
  <c r="H32" i="3" s="1"/>
  <c r="N20" i="3"/>
  <c r="N41" i="3" s="1"/>
  <c r="O21" i="3" s="1"/>
  <c r="N131" i="3" s="1"/>
  <c r="M131" i="3"/>
  <c r="M117" i="3" s="1"/>
  <c r="N15" i="3"/>
  <c r="M23" i="1"/>
  <c r="K23" i="1"/>
  <c r="L23" i="1" s="1"/>
  <c r="J17" i="13" l="1"/>
  <c r="I37" i="13"/>
  <c r="I41" i="13"/>
  <c r="J32" i="15"/>
  <c r="J25" i="15"/>
  <c r="J26" i="15"/>
  <c r="J30" i="15" s="1"/>
  <c r="J46" i="15" s="1"/>
  <c r="I102" i="13"/>
  <c r="I103" i="13" s="1"/>
  <c r="I85" i="13"/>
  <c r="I86" i="13"/>
  <c r="M132" i="3"/>
  <c r="M133" i="3" s="1"/>
  <c r="H25" i="3"/>
  <c r="H26" i="3" s="1"/>
  <c r="N42" i="3"/>
  <c r="N43" i="3" s="1"/>
  <c r="N37" i="3"/>
  <c r="M115" i="3"/>
  <c r="M118" i="3" s="1"/>
  <c r="N117" i="3"/>
  <c r="M24" i="1"/>
  <c r="K24" i="1"/>
  <c r="L24" i="1" s="1"/>
  <c r="J21" i="13" l="1"/>
  <c r="I108" i="13" s="1"/>
  <c r="I94" i="13" s="1"/>
  <c r="I43" i="13"/>
  <c r="I107" i="13"/>
  <c r="K31" i="15"/>
  <c r="J124" i="15" s="1"/>
  <c r="J110" i="15" s="1"/>
  <c r="J38" i="15"/>
  <c r="J47" i="15"/>
  <c r="O20" i="3"/>
  <c r="I88" i="13"/>
  <c r="I112" i="13" s="1"/>
  <c r="J35" i="13" s="1"/>
  <c r="O17" i="3"/>
  <c r="O22" i="3" s="1"/>
  <c r="H47" i="3"/>
  <c r="K25" i="1"/>
  <c r="L25" i="1" s="1"/>
  <c r="M25" i="1"/>
  <c r="I93" i="13" l="1"/>
  <c r="I92" i="13"/>
  <c r="I109" i="13"/>
  <c r="I110" i="13" s="1"/>
  <c r="O41" i="3"/>
  <c r="P21" i="3" s="1"/>
  <c r="K27" i="15"/>
  <c r="J123" i="15" s="1"/>
  <c r="N130" i="3"/>
  <c r="N116" i="3" s="1"/>
  <c r="J48" i="15"/>
  <c r="O16" i="3"/>
  <c r="O15" i="3"/>
  <c r="O42" i="3" s="1"/>
  <c r="J32" i="13"/>
  <c r="J25" i="13"/>
  <c r="I27" i="3"/>
  <c r="H123" i="3" s="1"/>
  <c r="H109" i="3" s="1"/>
  <c r="H30" i="3"/>
  <c r="H46" i="3" s="1"/>
  <c r="I31" i="3" s="1"/>
  <c r="N115" i="3"/>
  <c r="N132" i="3"/>
  <c r="N133" i="3" s="1"/>
  <c r="O131" i="3"/>
  <c r="M26" i="1"/>
  <c r="K26" i="1"/>
  <c r="L26" i="1" s="1"/>
  <c r="I95" i="13" l="1"/>
  <c r="I113" i="13" s="1"/>
  <c r="J34" i="13" s="1"/>
  <c r="P20" i="3"/>
  <c r="O43" i="3"/>
  <c r="O37" i="3"/>
  <c r="J125" i="15"/>
  <c r="J126" i="15" s="1"/>
  <c r="J108" i="15"/>
  <c r="J109" i="15"/>
  <c r="J47" i="13"/>
  <c r="P17" i="3"/>
  <c r="P15" i="3" s="1"/>
  <c r="J26" i="13"/>
  <c r="J30" i="13" s="1"/>
  <c r="J46" i="13" s="1"/>
  <c r="H48" i="3"/>
  <c r="H38" i="3"/>
  <c r="N118" i="3"/>
  <c r="O117" i="3"/>
  <c r="M27" i="1"/>
  <c r="K27" i="1"/>
  <c r="L27" i="1" s="1"/>
  <c r="J15" i="13" l="1"/>
  <c r="J16" i="13"/>
  <c r="J20" i="13"/>
  <c r="J22" i="13"/>
  <c r="J111" i="15"/>
  <c r="J135" i="15" s="1"/>
  <c r="K35" i="15" s="1"/>
  <c r="P16" i="3"/>
  <c r="K31" i="13"/>
  <c r="J101" i="13" s="1"/>
  <c r="J87" i="13" s="1"/>
  <c r="J48" i="13"/>
  <c r="K27" i="13"/>
  <c r="J100" i="13" s="1"/>
  <c r="P22" i="3"/>
  <c r="P41" i="3" s="1"/>
  <c r="Q21" i="3" s="1"/>
  <c r="O130" i="3"/>
  <c r="O116" i="3" s="1"/>
  <c r="J38" i="13"/>
  <c r="H124" i="3"/>
  <c r="P42" i="3"/>
  <c r="Q17" i="3" s="1"/>
  <c r="K28" i="1"/>
  <c r="L28" i="1" s="1"/>
  <c r="M28" i="1"/>
  <c r="J41" i="13" l="1"/>
  <c r="J37" i="13"/>
  <c r="J42" i="13"/>
  <c r="K25" i="15"/>
  <c r="K32" i="15"/>
  <c r="K26" i="15"/>
  <c r="K30" i="15" s="1"/>
  <c r="K46" i="15" s="1"/>
  <c r="L31" i="15" s="1"/>
  <c r="K124" i="15" s="1"/>
  <c r="P37" i="3"/>
  <c r="O115" i="3"/>
  <c r="O118" i="3" s="1"/>
  <c r="J102" i="13"/>
  <c r="J103" i="13" s="1"/>
  <c r="J86" i="13"/>
  <c r="J85" i="13"/>
  <c r="O132" i="3"/>
  <c r="O133" i="3" s="1"/>
  <c r="H108" i="3"/>
  <c r="H125" i="3"/>
  <c r="H126" i="3" s="1"/>
  <c r="H110" i="3"/>
  <c r="Q22" i="3"/>
  <c r="Q16" i="3"/>
  <c r="P130" i="3"/>
  <c r="P116" i="3" s="1"/>
  <c r="P43" i="3"/>
  <c r="Q20" i="3"/>
  <c r="Q15" i="3"/>
  <c r="P131" i="3"/>
  <c r="M29" i="1"/>
  <c r="K29" i="1"/>
  <c r="L29" i="1" s="1"/>
  <c r="K17" i="13" l="1"/>
  <c r="K21" i="13"/>
  <c r="J108" i="13" s="1"/>
  <c r="J94" i="13" s="1"/>
  <c r="J43" i="13"/>
  <c r="H111" i="3"/>
  <c r="H135" i="3" s="1"/>
  <c r="I35" i="3" s="1"/>
  <c r="I32" i="3" s="1"/>
  <c r="J88" i="13"/>
  <c r="J112" i="13" s="1"/>
  <c r="K35" i="13" s="1"/>
  <c r="K38" i="15"/>
  <c r="K47" i="15"/>
  <c r="Q37" i="3"/>
  <c r="Q41" i="3"/>
  <c r="R21" i="3" s="1"/>
  <c r="P117" i="3"/>
  <c r="P132" i="3"/>
  <c r="P133" i="3" s="1"/>
  <c r="P115" i="3"/>
  <c r="Q42" i="3"/>
  <c r="M30" i="1"/>
  <c r="K30" i="1"/>
  <c r="L30" i="1" s="1"/>
  <c r="J107" i="13" l="1"/>
  <c r="K48" i="15"/>
  <c r="L27" i="15"/>
  <c r="K123" i="15" s="1"/>
  <c r="K125" i="15" s="1"/>
  <c r="K126" i="15" s="1"/>
  <c r="K135" i="15" s="1"/>
  <c r="L35" i="15" s="1"/>
  <c r="K32" i="13"/>
  <c r="K25" i="13"/>
  <c r="K26" i="13" s="1"/>
  <c r="K30" i="13" s="1"/>
  <c r="I25" i="3"/>
  <c r="I26" i="3" s="1"/>
  <c r="R17" i="3"/>
  <c r="R15" i="3" s="1"/>
  <c r="P118" i="3"/>
  <c r="Q131" i="3"/>
  <c r="Q117" i="3" s="1"/>
  <c r="R20" i="3"/>
  <c r="Q43" i="3"/>
  <c r="K31" i="1"/>
  <c r="L31" i="1" s="1"/>
  <c r="M31" i="1"/>
  <c r="J92" i="13" l="1"/>
  <c r="J93" i="13"/>
  <c r="J109" i="13"/>
  <c r="J110" i="13" s="1"/>
  <c r="K46" i="13"/>
  <c r="L31" i="13" s="1"/>
  <c r="K101" i="13" s="1"/>
  <c r="L32" i="15"/>
  <c r="L25" i="15"/>
  <c r="I47" i="3"/>
  <c r="J27" i="3" s="1"/>
  <c r="I123" i="3" s="1"/>
  <c r="I109" i="3" s="1"/>
  <c r="K38" i="13"/>
  <c r="K47" i="13"/>
  <c r="I30" i="3"/>
  <c r="I46" i="3" s="1"/>
  <c r="J31" i="3" s="1"/>
  <c r="Q130" i="3"/>
  <c r="Q132" i="3" s="1"/>
  <c r="Q133" i="3" s="1"/>
  <c r="R22" i="3"/>
  <c r="R16" i="3"/>
  <c r="M32" i="1"/>
  <c r="K32" i="1"/>
  <c r="L32" i="1" s="1"/>
  <c r="J95" i="13" l="1"/>
  <c r="J113" i="13" s="1"/>
  <c r="K34" i="13" s="1"/>
  <c r="L26" i="15"/>
  <c r="L30" i="15" s="1"/>
  <c r="L46" i="15" s="1"/>
  <c r="L38" i="15"/>
  <c r="L47" i="15"/>
  <c r="L27" i="13"/>
  <c r="K100" i="13" s="1"/>
  <c r="K102" i="13" s="1"/>
  <c r="K103" i="13" s="1"/>
  <c r="K112" i="13" s="1"/>
  <c r="L35" i="13" s="1"/>
  <c r="Q115" i="3"/>
  <c r="Q116" i="3"/>
  <c r="K48" i="13"/>
  <c r="I124" i="3"/>
  <c r="I38" i="3"/>
  <c r="I48" i="3"/>
  <c r="R37" i="3"/>
  <c r="R41" i="3"/>
  <c r="S21" i="3" s="1"/>
  <c r="R42" i="3"/>
  <c r="M33" i="1"/>
  <c r="K33" i="1"/>
  <c r="L33" i="1" s="1"/>
  <c r="K16" i="13" l="1"/>
  <c r="K15" i="13"/>
  <c r="K20" i="13"/>
  <c r="K22" i="13"/>
  <c r="Q118" i="3"/>
  <c r="M27" i="15"/>
  <c r="L123" i="15" s="1"/>
  <c r="M31" i="15"/>
  <c r="L124" i="15" s="1"/>
  <c r="L110" i="15" s="1"/>
  <c r="L48" i="15"/>
  <c r="L32" i="13"/>
  <c r="L25" i="13"/>
  <c r="L26" i="13" s="1"/>
  <c r="L30" i="13" s="1"/>
  <c r="I125" i="3"/>
  <c r="I126" i="3" s="1"/>
  <c r="I108" i="3"/>
  <c r="I110" i="3"/>
  <c r="S17" i="3"/>
  <c r="S15" i="3" s="1"/>
  <c r="R131" i="3"/>
  <c r="R117" i="3" s="1"/>
  <c r="S20" i="3"/>
  <c r="R43" i="3"/>
  <c r="K34" i="1"/>
  <c r="L34" i="1" s="1"/>
  <c r="M34" i="1"/>
  <c r="K41" i="13" l="1"/>
  <c r="K37" i="13"/>
  <c r="K42" i="13"/>
  <c r="L46" i="13"/>
  <c r="M31" i="13" s="1"/>
  <c r="L101" i="13" s="1"/>
  <c r="L87" i="13" s="1"/>
  <c r="L108" i="15"/>
  <c r="L109" i="15"/>
  <c r="L125" i="15"/>
  <c r="L126" i="15" s="1"/>
  <c r="L38" i="13"/>
  <c r="L47" i="13"/>
  <c r="R130" i="3"/>
  <c r="R115" i="3" s="1"/>
  <c r="I111" i="3"/>
  <c r="I135" i="3" s="1"/>
  <c r="J35" i="3" s="1"/>
  <c r="J32" i="3" s="1"/>
  <c r="S22" i="3"/>
  <c r="S16" i="3"/>
  <c r="M35" i="1"/>
  <c r="K35" i="1"/>
  <c r="L35" i="1" s="1"/>
  <c r="L17" i="13" l="1"/>
  <c r="L21" i="13"/>
  <c r="K108" i="13" s="1"/>
  <c r="K94" i="13" s="1"/>
  <c r="K43" i="13"/>
  <c r="R116" i="3"/>
  <c r="R118" i="3" s="1"/>
  <c r="L111" i="15"/>
  <c r="L135" i="15" s="1"/>
  <c r="M35" i="15" s="1"/>
  <c r="M27" i="13"/>
  <c r="L100" i="13" s="1"/>
  <c r="R132" i="3"/>
  <c r="R133" i="3" s="1"/>
  <c r="L48" i="13"/>
  <c r="J25" i="3"/>
  <c r="J47" i="3" s="1"/>
  <c r="S37" i="3"/>
  <c r="S41" i="3"/>
  <c r="T21" i="3" s="1"/>
  <c r="S42" i="3"/>
  <c r="M36" i="1"/>
  <c r="K36" i="1"/>
  <c r="L36" i="1" s="1"/>
  <c r="K107" i="13" l="1"/>
  <c r="M32" i="15"/>
  <c r="M26" i="15"/>
  <c r="M30" i="15" s="1"/>
  <c r="M25" i="15"/>
  <c r="J26" i="3"/>
  <c r="J30" i="3" s="1"/>
  <c r="J38" i="3" s="1"/>
  <c r="L85" i="13"/>
  <c r="L102" i="13"/>
  <c r="L103" i="13" s="1"/>
  <c r="L86" i="13"/>
  <c r="K27" i="3"/>
  <c r="J123" i="3" s="1"/>
  <c r="J109" i="3" s="1"/>
  <c r="T17" i="3"/>
  <c r="T15" i="3" s="1"/>
  <c r="S131" i="3"/>
  <c r="S117" i="3" s="1"/>
  <c r="T20" i="3"/>
  <c r="S43" i="3"/>
  <c r="K37" i="1"/>
  <c r="L37" i="1" s="1"/>
  <c r="M37" i="1"/>
  <c r="K92" i="13" l="1"/>
  <c r="K109" i="13"/>
  <c r="K110" i="13" s="1"/>
  <c r="K93" i="13"/>
  <c r="M38" i="15"/>
  <c r="M47" i="15"/>
  <c r="M46" i="15"/>
  <c r="L88" i="13"/>
  <c r="L112" i="13" s="1"/>
  <c r="M35" i="13" s="1"/>
  <c r="J46" i="3"/>
  <c r="K31" i="3" s="1"/>
  <c r="S130" i="3"/>
  <c r="S132" i="3" s="1"/>
  <c r="S133" i="3" s="1"/>
  <c r="T22" i="3"/>
  <c r="T16" i="3"/>
  <c r="S115" i="3"/>
  <c r="S116" i="3"/>
  <c r="M38" i="1"/>
  <c r="K38" i="1"/>
  <c r="L38" i="1" s="1"/>
  <c r="K95" i="13" l="1"/>
  <c r="K113" i="13" s="1"/>
  <c r="L34" i="13" s="1"/>
  <c r="N31" i="15"/>
  <c r="M124" i="15" s="1"/>
  <c r="M110" i="15" s="1"/>
  <c r="M48" i="15"/>
  <c r="N27" i="15"/>
  <c r="M123" i="15" s="1"/>
  <c r="M25" i="13"/>
  <c r="M26" i="13" s="1"/>
  <c r="M30" i="13" s="1"/>
  <c r="M32" i="13"/>
  <c r="J124" i="3"/>
  <c r="J108" i="3" s="1"/>
  <c r="J48" i="3"/>
  <c r="T37" i="3"/>
  <c r="T41" i="3"/>
  <c r="U21" i="3" s="1"/>
  <c r="S118" i="3"/>
  <c r="T42" i="3"/>
  <c r="M39" i="1"/>
  <c r="K39" i="1"/>
  <c r="L39" i="1" s="1"/>
  <c r="L16" i="13" l="1"/>
  <c r="L15" i="13"/>
  <c r="L20" i="13"/>
  <c r="L22" i="13"/>
  <c r="J125" i="3"/>
  <c r="J126" i="3" s="1"/>
  <c r="M109" i="15"/>
  <c r="M125" i="15"/>
  <c r="M126" i="15" s="1"/>
  <c r="M108" i="15"/>
  <c r="M111" i="15" s="1"/>
  <c r="J110" i="3"/>
  <c r="J111" i="3" s="1"/>
  <c r="M38" i="13"/>
  <c r="M47" i="13"/>
  <c r="M46" i="13"/>
  <c r="U17" i="3"/>
  <c r="T130" i="3" s="1"/>
  <c r="T43" i="3"/>
  <c r="K40" i="1"/>
  <c r="L40" i="1" s="1"/>
  <c r="M40" i="1"/>
  <c r="L41" i="13" l="1"/>
  <c r="L37" i="13"/>
  <c r="L42" i="13"/>
  <c r="J135" i="3"/>
  <c r="K35" i="3" s="1"/>
  <c r="K32" i="3" s="1"/>
  <c r="M135" i="15"/>
  <c r="N35" i="15" s="1"/>
  <c r="M48" i="13"/>
  <c r="N27" i="13"/>
  <c r="M100" i="13" s="1"/>
  <c r="U15" i="3"/>
  <c r="U22" i="3"/>
  <c r="U16" i="3"/>
  <c r="T131" i="3"/>
  <c r="T117" i="3" s="1"/>
  <c r="U20" i="3"/>
  <c r="T116" i="3"/>
  <c r="M41" i="1"/>
  <c r="K41" i="1"/>
  <c r="L41" i="1" s="1"/>
  <c r="M17" i="13" l="1"/>
  <c r="M21" i="13"/>
  <c r="L108" i="13" s="1"/>
  <c r="L94" i="13" s="1"/>
  <c r="L43" i="13"/>
  <c r="N26" i="15"/>
  <c r="N30" i="15" s="1"/>
  <c r="N46" i="15" s="1"/>
  <c r="N32" i="15"/>
  <c r="N25" i="15"/>
  <c r="T132" i="3"/>
  <c r="T133" i="3" s="1"/>
  <c r="T115" i="3"/>
  <c r="T118" i="3" s="1"/>
  <c r="M86" i="13"/>
  <c r="K25" i="3"/>
  <c r="K26" i="3" s="1"/>
  <c r="U37" i="3"/>
  <c r="U41" i="3"/>
  <c r="V21" i="3" s="1"/>
  <c r="U42" i="3"/>
  <c r="M42" i="1"/>
  <c r="K42" i="1"/>
  <c r="L42" i="1" s="1"/>
  <c r="L107" i="13" l="1"/>
  <c r="N38" i="15"/>
  <c r="N47" i="15"/>
  <c r="O31" i="15"/>
  <c r="N124" i="15" s="1"/>
  <c r="N110" i="15" s="1"/>
  <c r="N48" i="15"/>
  <c r="K47" i="3"/>
  <c r="V17" i="3"/>
  <c r="V15" i="3" s="1"/>
  <c r="U131" i="3"/>
  <c r="U117" i="3" s="1"/>
  <c r="V20" i="3"/>
  <c r="U43" i="3"/>
  <c r="K43" i="1"/>
  <c r="L43" i="1" s="1"/>
  <c r="M43" i="1"/>
  <c r="L109" i="13" l="1"/>
  <c r="L110" i="13" s="1"/>
  <c r="L92" i="13"/>
  <c r="L93" i="13"/>
  <c r="O27" i="15"/>
  <c r="N123" i="15" s="1"/>
  <c r="L27" i="3"/>
  <c r="K123" i="3" s="1"/>
  <c r="K30" i="3"/>
  <c r="K46" i="3" s="1"/>
  <c r="L31" i="3" s="1"/>
  <c r="U130" i="3"/>
  <c r="U115" i="3" s="1"/>
  <c r="V22" i="3"/>
  <c r="V16" i="3"/>
  <c r="M44" i="1"/>
  <c r="K44" i="1"/>
  <c r="L44" i="1" s="1"/>
  <c r="L95" i="13" l="1"/>
  <c r="L113" i="13" s="1"/>
  <c r="M34" i="13" s="1"/>
  <c r="U116" i="3"/>
  <c r="U118" i="3" s="1"/>
  <c r="N109" i="15"/>
  <c r="N125" i="15"/>
  <c r="N126" i="15" s="1"/>
  <c r="N108" i="15"/>
  <c r="N111" i="15" s="1"/>
  <c r="N135" i="15" s="1"/>
  <c r="O35" i="15" s="1"/>
  <c r="U132" i="3"/>
  <c r="U133" i="3" s="1"/>
  <c r="K48" i="3"/>
  <c r="K38" i="3"/>
  <c r="V37" i="3"/>
  <c r="V41" i="3"/>
  <c r="V42" i="3"/>
  <c r="M45" i="1"/>
  <c r="K45" i="1"/>
  <c r="L45" i="1" s="1"/>
  <c r="M15" i="13" l="1"/>
  <c r="M16" i="13"/>
  <c r="M20" i="13"/>
  <c r="M22" i="13"/>
  <c r="M42" i="13"/>
  <c r="O26" i="15"/>
  <c r="O30" i="15" s="1"/>
  <c r="O46" i="15" s="1"/>
  <c r="O32" i="15"/>
  <c r="O25" i="15"/>
  <c r="K124" i="3"/>
  <c r="K125" i="3" s="1"/>
  <c r="K126" i="3" s="1"/>
  <c r="K135" i="3" s="1"/>
  <c r="L35" i="3" s="1"/>
  <c r="L32" i="3" s="1"/>
  <c r="V43" i="3"/>
  <c r="K46" i="1"/>
  <c r="L46" i="1" s="1"/>
  <c r="M46" i="1"/>
  <c r="N17" i="13" l="1"/>
  <c r="M41" i="13"/>
  <c r="M37" i="13"/>
  <c r="N31" i="13" s="1"/>
  <c r="M101" i="13" s="1"/>
  <c r="O38" i="15"/>
  <c r="O47" i="15"/>
  <c r="P31" i="15"/>
  <c r="O124" i="15" s="1"/>
  <c r="O110" i="15" s="1"/>
  <c r="O48" i="15"/>
  <c r="L25" i="3"/>
  <c r="L26" i="3" s="1"/>
  <c r="L30" i="3" s="1"/>
  <c r="M47" i="1"/>
  <c r="K47" i="1"/>
  <c r="L47" i="1" s="1"/>
  <c r="N21" i="13" l="1"/>
  <c r="M108" i="13" s="1"/>
  <c r="M94" i="13" s="1"/>
  <c r="M43" i="13"/>
  <c r="M87" i="13"/>
  <c r="M85" i="13"/>
  <c r="M102" i="13"/>
  <c r="M103" i="13" s="1"/>
  <c r="M107" i="13"/>
  <c r="P27" i="15"/>
  <c r="O123" i="15" s="1"/>
  <c r="L47" i="3"/>
  <c r="M27" i="3" s="1"/>
  <c r="L123" i="3" s="1"/>
  <c r="L46" i="3"/>
  <c r="M31" i="3" s="1"/>
  <c r="L38" i="3"/>
  <c r="M48" i="1"/>
  <c r="K48" i="1"/>
  <c r="L48" i="1" s="1"/>
  <c r="M88" i="13" l="1"/>
  <c r="M112" i="13" s="1"/>
  <c r="N35" i="13" s="1"/>
  <c r="M93" i="13"/>
  <c r="M92" i="13"/>
  <c r="M109" i="13"/>
  <c r="M110" i="13" s="1"/>
  <c r="L124" i="3"/>
  <c r="L48" i="3"/>
  <c r="O109" i="15"/>
  <c r="O125" i="15"/>
  <c r="O126" i="15" s="1"/>
  <c r="O108" i="15"/>
  <c r="O111" i="15" s="1"/>
  <c r="O135" i="15" s="1"/>
  <c r="P35" i="15" s="1"/>
  <c r="L109" i="3"/>
  <c r="K49" i="1"/>
  <c r="L49" i="1" s="1"/>
  <c r="M49" i="1"/>
  <c r="N32" i="13" l="1"/>
  <c r="N25" i="13"/>
  <c r="N47" i="13" s="1"/>
  <c r="O27" i="13" s="1"/>
  <c r="N100" i="13" s="1"/>
  <c r="M95" i="13"/>
  <c r="M113" i="13" s="1"/>
  <c r="N34" i="13" s="1"/>
  <c r="L110" i="3"/>
  <c r="L108" i="3"/>
  <c r="L125" i="3"/>
  <c r="L126" i="3" s="1"/>
  <c r="P32" i="15"/>
  <c r="P25" i="15"/>
  <c r="P26" i="15"/>
  <c r="P30" i="15" s="1"/>
  <c r="P46" i="15" s="1"/>
  <c r="M50" i="1"/>
  <c r="K50" i="1"/>
  <c r="L50" i="1" s="1"/>
  <c r="N15" i="13" l="1"/>
  <c r="N16" i="13"/>
  <c r="N26" i="13"/>
  <c r="N30" i="13" s="1"/>
  <c r="N46" i="13" s="1"/>
  <c r="N48" i="13" s="1"/>
  <c r="N86" i="13"/>
  <c r="N22" i="13"/>
  <c r="N20" i="13"/>
  <c r="L111" i="3"/>
  <c r="L135" i="3" s="1"/>
  <c r="M35" i="3" s="1"/>
  <c r="M32" i="3" s="1"/>
  <c r="Q31" i="15"/>
  <c r="P124" i="15" s="1"/>
  <c r="P110" i="15" s="1"/>
  <c r="P38" i="15"/>
  <c r="P47" i="15"/>
  <c r="M51" i="1"/>
  <c r="K51" i="1"/>
  <c r="L51" i="1" s="1"/>
  <c r="N38" i="13" l="1"/>
  <c r="N41" i="13"/>
  <c r="N37" i="13"/>
  <c r="O31" i="13" s="1"/>
  <c r="N101" i="13" s="1"/>
  <c r="N42" i="13"/>
  <c r="M25" i="3"/>
  <c r="M26" i="3" s="1"/>
  <c r="M30" i="3" s="1"/>
  <c r="M46" i="3" s="1"/>
  <c r="N31" i="3" s="1"/>
  <c r="Q27" i="15"/>
  <c r="P123" i="15" s="1"/>
  <c r="P48" i="15"/>
  <c r="K52" i="1"/>
  <c r="L52" i="1" s="1"/>
  <c r="M52" i="1"/>
  <c r="O17" i="13" l="1"/>
  <c r="O21" i="13"/>
  <c r="N108" i="13" s="1"/>
  <c r="N94" i="13" s="1"/>
  <c r="N87" i="13"/>
  <c r="N85" i="13"/>
  <c r="N102" i="13"/>
  <c r="N103" i="13" s="1"/>
  <c r="N43" i="13"/>
  <c r="M38" i="3"/>
  <c r="M47" i="3"/>
  <c r="N27" i="3" s="1"/>
  <c r="M123" i="3" s="1"/>
  <c r="P108" i="15"/>
  <c r="P109" i="15"/>
  <c r="P125" i="15"/>
  <c r="P126" i="15" s="1"/>
  <c r="M124" i="3"/>
  <c r="M110" i="3" s="1"/>
  <c r="M53" i="1"/>
  <c r="K53" i="1"/>
  <c r="L53" i="1" s="1"/>
  <c r="N88" i="13" l="1"/>
  <c r="N112" i="13" s="1"/>
  <c r="N107" i="13"/>
  <c r="M108" i="3"/>
  <c r="M48" i="3"/>
  <c r="P111" i="15"/>
  <c r="P135" i="15" s="1"/>
  <c r="Q35" i="15" s="1"/>
  <c r="M109" i="3"/>
  <c r="M125" i="3"/>
  <c r="M126" i="3" s="1"/>
  <c r="M54" i="1"/>
  <c r="K54" i="1"/>
  <c r="L54" i="1" s="1"/>
  <c r="O35" i="13" l="1"/>
  <c r="O25" i="13" s="1"/>
  <c r="O32" i="13"/>
  <c r="N93" i="13"/>
  <c r="N92" i="13"/>
  <c r="N109" i="13"/>
  <c r="N110" i="13" s="1"/>
  <c r="M111" i="3"/>
  <c r="M135" i="3" s="1"/>
  <c r="N35" i="3" s="1"/>
  <c r="N32" i="3" s="1"/>
  <c r="Q25" i="15"/>
  <c r="Q32" i="15"/>
  <c r="Q26" i="15"/>
  <c r="Q30" i="15" s="1"/>
  <c r="Q46" i="15" s="1"/>
  <c r="K55" i="1"/>
  <c r="L55" i="1" s="1"/>
  <c r="M55" i="1"/>
  <c r="O26" i="13" l="1"/>
  <c r="O30" i="13" s="1"/>
  <c r="O46" i="13" s="1"/>
  <c r="O48" i="13" s="1"/>
  <c r="O47" i="13"/>
  <c r="P27" i="13" s="1"/>
  <c r="O100" i="13" s="1"/>
  <c r="N95" i="13"/>
  <c r="N113" i="13" s="1"/>
  <c r="O34" i="13" s="1"/>
  <c r="O86" i="13"/>
  <c r="R31" i="15"/>
  <c r="Q124" i="15" s="1"/>
  <c r="Q110" i="15" s="1"/>
  <c r="Q38" i="15"/>
  <c r="Q47" i="15"/>
  <c r="N25" i="3"/>
  <c r="N26" i="3" s="1"/>
  <c r="M56" i="1"/>
  <c r="K56" i="1"/>
  <c r="L56" i="1" s="1"/>
  <c r="O38" i="13" l="1"/>
  <c r="O15" i="13"/>
  <c r="O42" i="13" s="1"/>
  <c r="O16" i="13"/>
  <c r="O22" i="13"/>
  <c r="O20" i="13"/>
  <c r="R27" i="15"/>
  <c r="Q123" i="15" s="1"/>
  <c r="Q48" i="15"/>
  <c r="N47" i="3"/>
  <c r="N30" i="3"/>
  <c r="N46" i="3" s="1"/>
  <c r="O31" i="3" s="1"/>
  <c r="M57" i="1"/>
  <c r="K57" i="1"/>
  <c r="L57" i="1" s="1"/>
  <c r="P17" i="13" l="1"/>
  <c r="O41" i="13"/>
  <c r="O37" i="13"/>
  <c r="P31" i="13" s="1"/>
  <c r="O101" i="13" s="1"/>
  <c r="O87" i="13" s="1"/>
  <c r="Q109" i="15"/>
  <c r="Q108" i="15"/>
  <c r="Q111" i="15" s="1"/>
  <c r="Q125" i="15"/>
  <c r="Q126" i="15" s="1"/>
  <c r="O27" i="3"/>
  <c r="N123" i="3" s="1"/>
  <c r="N38" i="3"/>
  <c r="N124" i="3"/>
  <c r="N48" i="3"/>
  <c r="K58" i="1"/>
  <c r="L58" i="1" s="1"/>
  <c r="M58" i="1"/>
  <c r="P21" i="13" l="1"/>
  <c r="O108" i="13" s="1"/>
  <c r="O94" i="13" s="1"/>
  <c r="O43" i="13"/>
  <c r="O85" i="13"/>
  <c r="O88" i="13" s="1"/>
  <c r="O102" i="13"/>
  <c r="O103" i="13" s="1"/>
  <c r="O107" i="13"/>
  <c r="Q135" i="15"/>
  <c r="R35" i="15" s="1"/>
  <c r="N125" i="3"/>
  <c r="N126" i="3" s="1"/>
  <c r="N110" i="3"/>
  <c r="N109" i="3"/>
  <c r="N108" i="3"/>
  <c r="M59" i="1"/>
  <c r="K59" i="1"/>
  <c r="L59" i="1" s="1"/>
  <c r="O112" i="13" l="1"/>
  <c r="O93" i="13"/>
  <c r="O109" i="13"/>
  <c r="O110" i="13" s="1"/>
  <c r="O92" i="13"/>
  <c r="R32" i="15"/>
  <c r="R25" i="15"/>
  <c r="N111" i="3"/>
  <c r="N135" i="3" s="1"/>
  <c r="O35" i="3" s="1"/>
  <c r="O32" i="3" s="1"/>
  <c r="M60" i="1"/>
  <c r="K60" i="1"/>
  <c r="L60" i="1" s="1"/>
  <c r="P35" i="13" l="1"/>
  <c r="P32" i="13" s="1"/>
  <c r="P25" i="13"/>
  <c r="P26" i="13" s="1"/>
  <c r="P30" i="13" s="1"/>
  <c r="O95" i="13"/>
  <c r="O113" i="13" s="1"/>
  <c r="P34" i="13" s="1"/>
  <c r="R47" i="15"/>
  <c r="R26" i="15"/>
  <c r="R30" i="15" s="1"/>
  <c r="R46" i="15" s="1"/>
  <c r="O25" i="3"/>
  <c r="O26" i="3" s="1"/>
  <c r="K61" i="1"/>
  <c r="L61" i="1" s="1"/>
  <c r="M61" i="1"/>
  <c r="P46" i="13" l="1"/>
  <c r="P15" i="13"/>
  <c r="P16" i="13"/>
  <c r="P47" i="13"/>
  <c r="Q27" i="13" s="1"/>
  <c r="P100" i="13" s="1"/>
  <c r="P86" i="13" s="1"/>
  <c r="P38" i="13"/>
  <c r="P20" i="13"/>
  <c r="P22" i="13"/>
  <c r="S31" i="15"/>
  <c r="R124" i="15" s="1"/>
  <c r="R110" i="15" s="1"/>
  <c r="R48" i="15"/>
  <c r="S27" i="15"/>
  <c r="R123" i="15" s="1"/>
  <c r="R38" i="15"/>
  <c r="O47" i="3"/>
  <c r="O30" i="3"/>
  <c r="O46" i="3" s="1"/>
  <c r="P31" i="3" s="1"/>
  <c r="M62" i="1"/>
  <c r="K62" i="1"/>
  <c r="L62" i="1" s="1"/>
  <c r="P48" i="13" l="1"/>
  <c r="P37" i="13"/>
  <c r="Q31" i="13" s="1"/>
  <c r="P101" i="13" s="1"/>
  <c r="P42" i="13"/>
  <c r="P41" i="13"/>
  <c r="R109" i="15"/>
  <c r="R108" i="15"/>
  <c r="R111" i="15" s="1"/>
  <c r="R135" i="15" s="1"/>
  <c r="S35" i="15" s="1"/>
  <c r="R125" i="15"/>
  <c r="R126" i="15" s="1"/>
  <c r="P27" i="3"/>
  <c r="O123" i="3" s="1"/>
  <c r="O48" i="3"/>
  <c r="O124" i="3"/>
  <c r="O38" i="3"/>
  <c r="M63" i="1"/>
  <c r="K63" i="1"/>
  <c r="L63" i="1" s="1"/>
  <c r="Q17" i="13" l="1"/>
  <c r="P87" i="13"/>
  <c r="P85" i="13"/>
  <c r="P102" i="13"/>
  <c r="P103" i="13" s="1"/>
  <c r="P43" i="13"/>
  <c r="Q21" i="13"/>
  <c r="P108" i="13" s="1"/>
  <c r="P94" i="13" s="1"/>
  <c r="S32" i="15"/>
  <c r="S25" i="15"/>
  <c r="S26" i="15"/>
  <c r="S30" i="15" s="1"/>
  <c r="S46" i="15" s="1"/>
  <c r="T31" i="15" s="1"/>
  <c r="S124" i="15" s="1"/>
  <c r="S110" i="15" s="1"/>
  <c r="O109" i="3"/>
  <c r="O108" i="3"/>
  <c r="O125" i="3"/>
  <c r="O126" i="3" s="1"/>
  <c r="O110" i="3"/>
  <c r="K64" i="1"/>
  <c r="L64" i="1" s="1"/>
  <c r="M64" i="1"/>
  <c r="P88" i="13" l="1"/>
  <c r="P112" i="13" s="1"/>
  <c r="Q35" i="13" s="1"/>
  <c r="P107" i="13"/>
  <c r="S38" i="15"/>
  <c r="S47" i="15"/>
  <c r="O111" i="3"/>
  <c r="O135" i="3" s="1"/>
  <c r="P35" i="3" s="1"/>
  <c r="P32" i="3" s="1"/>
  <c r="M65" i="1"/>
  <c r="K65" i="1"/>
  <c r="L65" i="1" s="1"/>
  <c r="Q25" i="13" l="1"/>
  <c r="Q26" i="13" s="1"/>
  <c r="Q30" i="13" s="1"/>
  <c r="Q32" i="13"/>
  <c r="P109" i="13"/>
  <c r="P110" i="13" s="1"/>
  <c r="P93" i="13"/>
  <c r="P92" i="13"/>
  <c r="S48" i="15"/>
  <c r="T27" i="15"/>
  <c r="S123" i="15" s="1"/>
  <c r="P25" i="3"/>
  <c r="P47" i="3" s="1"/>
  <c r="M66" i="1"/>
  <c r="K66" i="1"/>
  <c r="L66" i="1" s="1"/>
  <c r="P95" i="13" l="1"/>
  <c r="P113" i="13" s="1"/>
  <c r="Q34" i="13" s="1"/>
  <c r="Q46" i="13"/>
  <c r="Q47" i="13"/>
  <c r="Q38" i="13"/>
  <c r="P26" i="3"/>
  <c r="S109" i="15"/>
  <c r="S125" i="15"/>
  <c r="S126" i="15" s="1"/>
  <c r="S135" i="15" s="1"/>
  <c r="T35" i="15" s="1"/>
  <c r="S108" i="15"/>
  <c r="S111" i="15" s="1"/>
  <c r="Q27" i="3"/>
  <c r="P123" i="3" s="1"/>
  <c r="P109" i="3" s="1"/>
  <c r="K67" i="1"/>
  <c r="L67" i="1" s="1"/>
  <c r="M67" i="1"/>
  <c r="Q15" i="13" l="1"/>
  <c r="Q16" i="13"/>
  <c r="R27" i="13"/>
  <c r="Q100" i="13" s="1"/>
  <c r="Q48" i="13"/>
  <c r="Q22" i="13"/>
  <c r="Q20" i="13"/>
  <c r="T32" i="15"/>
  <c r="T25" i="15"/>
  <c r="P30" i="3"/>
  <c r="P46" i="3" s="1"/>
  <c r="Q31" i="3" s="1"/>
  <c r="M68" i="1"/>
  <c r="K68" i="1"/>
  <c r="L68" i="1" s="1"/>
  <c r="Q41" i="13" l="1"/>
  <c r="Q86" i="13"/>
  <c r="Q37" i="13"/>
  <c r="R31" i="13" s="1"/>
  <c r="Q101" i="13" s="1"/>
  <c r="Q87" i="13" s="1"/>
  <c r="Q42" i="13"/>
  <c r="T47" i="15"/>
  <c r="T26" i="15"/>
  <c r="T30" i="15" s="1"/>
  <c r="T46" i="15" s="1"/>
  <c r="U31" i="15" s="1"/>
  <c r="T124" i="15" s="1"/>
  <c r="T110" i="15" s="1"/>
  <c r="P38" i="3"/>
  <c r="P124" i="3"/>
  <c r="P48" i="3"/>
  <c r="M69" i="1"/>
  <c r="K69" i="1"/>
  <c r="L69" i="1" s="1"/>
  <c r="R17" i="13" l="1"/>
  <c r="R21" i="13"/>
  <c r="Q108" i="13" s="1"/>
  <c r="Q94" i="13" s="1"/>
  <c r="Q43" i="13"/>
  <c r="Q102" i="13"/>
  <c r="Q103" i="13" s="1"/>
  <c r="Q85" i="13"/>
  <c r="Q88" i="13" s="1"/>
  <c r="T48" i="15"/>
  <c r="U27" i="15"/>
  <c r="T123" i="15" s="1"/>
  <c r="T38" i="15"/>
  <c r="P125" i="3"/>
  <c r="P126" i="3" s="1"/>
  <c r="P110" i="3"/>
  <c r="P108" i="3"/>
  <c r="K70" i="1"/>
  <c r="L70" i="1" s="1"/>
  <c r="M70" i="1"/>
  <c r="Q112" i="13" l="1"/>
  <c r="Q107" i="13"/>
  <c r="T109" i="15"/>
  <c r="T125" i="15"/>
  <c r="T126" i="15" s="1"/>
  <c r="T108" i="15"/>
  <c r="T111" i="15" s="1"/>
  <c r="P111" i="3"/>
  <c r="P135" i="3" s="1"/>
  <c r="Q35" i="3" s="1"/>
  <c r="Q32" i="3" s="1"/>
  <c r="M71" i="1"/>
  <c r="K71" i="1"/>
  <c r="L71" i="1" s="1"/>
  <c r="R35" i="13" l="1"/>
  <c r="R32" i="13" s="1"/>
  <c r="R25" i="13"/>
  <c r="R47" i="13" s="1"/>
  <c r="Q92" i="13"/>
  <c r="Q109" i="13"/>
  <c r="Q110" i="13" s="1"/>
  <c r="Q93" i="13"/>
  <c r="T135" i="15"/>
  <c r="U35" i="15" s="1"/>
  <c r="Q25" i="3"/>
  <c r="Q47" i="3" s="1"/>
  <c r="R27" i="3" s="1"/>
  <c r="Q123" i="3" s="1"/>
  <c r="Q109" i="3" s="1"/>
  <c r="M72" i="1"/>
  <c r="K72" i="1"/>
  <c r="L72" i="1" s="1"/>
  <c r="R26" i="13" l="1"/>
  <c r="R30" i="13" s="1"/>
  <c r="R46" i="13" s="1"/>
  <c r="R48" i="13" s="1"/>
  <c r="S27" i="13"/>
  <c r="R100" i="13" s="1"/>
  <c r="Q95" i="13"/>
  <c r="Q113" i="13" s="1"/>
  <c r="R34" i="13" s="1"/>
  <c r="U25" i="15"/>
  <c r="U32" i="15"/>
  <c r="U26" i="15"/>
  <c r="U30" i="15" s="1"/>
  <c r="U46" i="15" s="1"/>
  <c r="Q26" i="3"/>
  <c r="Q30" i="3" s="1"/>
  <c r="Q46" i="3" s="1"/>
  <c r="R31" i="3" s="1"/>
  <c r="K73" i="1"/>
  <c r="L73" i="1" s="1"/>
  <c r="M73" i="1"/>
  <c r="R15" i="13" l="1"/>
  <c r="R16" i="13"/>
  <c r="R38" i="13"/>
  <c r="R86" i="13"/>
  <c r="R20" i="13"/>
  <c r="R22" i="13"/>
  <c r="Q48" i="3"/>
  <c r="Q124" i="3"/>
  <c r="V31" i="15"/>
  <c r="U124" i="15" s="1"/>
  <c r="U110" i="15" s="1"/>
  <c r="U38" i="15"/>
  <c r="U47" i="15"/>
  <c r="Q38" i="3"/>
  <c r="M74" i="1"/>
  <c r="K74" i="1"/>
  <c r="L74" i="1" s="1"/>
  <c r="R41" i="13" l="1"/>
  <c r="R37" i="13"/>
  <c r="S31" i="13" s="1"/>
  <c r="R101" i="13" s="1"/>
  <c r="R42" i="13"/>
  <c r="Q110" i="3"/>
  <c r="Q108" i="3"/>
  <c r="Q125" i="3"/>
  <c r="Q126" i="3" s="1"/>
  <c r="V27" i="15"/>
  <c r="U123" i="15" s="1"/>
  <c r="U48" i="15"/>
  <c r="M75" i="1"/>
  <c r="K75" i="1"/>
  <c r="L75" i="1" s="1"/>
  <c r="S17" i="13" l="1"/>
  <c r="S21" i="13"/>
  <c r="R108" i="13" s="1"/>
  <c r="R94" i="13" s="1"/>
  <c r="R87" i="13"/>
  <c r="R85" i="13"/>
  <c r="R102" i="13"/>
  <c r="R103" i="13" s="1"/>
  <c r="R43" i="13"/>
  <c r="Q111" i="3"/>
  <c r="Q135" i="3" s="1"/>
  <c r="R35" i="3" s="1"/>
  <c r="U125" i="15"/>
  <c r="U126" i="15" s="1"/>
  <c r="U109" i="15"/>
  <c r="U108" i="15"/>
  <c r="U111" i="15" s="1"/>
  <c r="K76" i="1"/>
  <c r="L76" i="1" s="1"/>
  <c r="M76" i="1"/>
  <c r="R88" i="13" l="1"/>
  <c r="R112" i="13" s="1"/>
  <c r="S35" i="13" s="1"/>
  <c r="R107" i="13"/>
  <c r="R32" i="3"/>
  <c r="R25" i="3"/>
  <c r="R47" i="3" s="1"/>
  <c r="S27" i="3" s="1"/>
  <c r="R123" i="3" s="1"/>
  <c r="R109" i="3" s="1"/>
  <c r="U135" i="15"/>
  <c r="V35" i="15" s="1"/>
  <c r="M77" i="1"/>
  <c r="K77" i="1"/>
  <c r="L77" i="1" s="1"/>
  <c r="S32" i="13" l="1"/>
  <c r="S25" i="13"/>
  <c r="S26" i="13" s="1"/>
  <c r="S30" i="13" s="1"/>
  <c r="R109" i="13"/>
  <c r="R110" i="13" s="1"/>
  <c r="R93" i="13"/>
  <c r="R92" i="13"/>
  <c r="R26" i="3"/>
  <c r="R30" i="3" s="1"/>
  <c r="R46" i="3" s="1"/>
  <c r="S31" i="3" s="1"/>
  <c r="V32" i="15"/>
  <c r="V25" i="15"/>
  <c r="M78" i="1"/>
  <c r="K78" i="1"/>
  <c r="L78" i="1" s="1"/>
  <c r="S46" i="13" l="1"/>
  <c r="S47" i="13"/>
  <c r="R95" i="13"/>
  <c r="R113" i="13" s="1"/>
  <c r="S34" i="13" s="1"/>
  <c r="S38" i="13"/>
  <c r="R38" i="3"/>
  <c r="R124" i="3"/>
  <c r="R48" i="3"/>
  <c r="V47" i="15"/>
  <c r="V26" i="15"/>
  <c r="V30" i="15" s="1"/>
  <c r="V46" i="15" s="1"/>
  <c r="K79" i="1"/>
  <c r="L79" i="1" s="1"/>
  <c r="M79" i="1"/>
  <c r="S22" i="13" l="1"/>
  <c r="S15" i="13"/>
  <c r="S16" i="13"/>
  <c r="S48" i="13"/>
  <c r="T27" i="13"/>
  <c r="S100" i="13" s="1"/>
  <c r="S86" i="13" s="1"/>
  <c r="S42" i="13"/>
  <c r="S20" i="13"/>
  <c r="S41" i="13" s="1"/>
  <c r="R110" i="3"/>
  <c r="R125" i="3"/>
  <c r="R126" i="3" s="1"/>
  <c r="R108" i="3"/>
  <c r="V48" i="15"/>
  <c r="V38" i="15"/>
  <c r="M80" i="1"/>
  <c r="K80" i="1"/>
  <c r="L80" i="1" s="1"/>
  <c r="T21" i="13" l="1"/>
  <c r="S108" i="13" s="1"/>
  <c r="S94" i="13" s="1"/>
  <c r="T17" i="13"/>
  <c r="S37" i="13"/>
  <c r="T31" i="13" s="1"/>
  <c r="S101" i="13" s="1"/>
  <c r="S87" i="13" s="1"/>
  <c r="S43" i="13"/>
  <c r="R111" i="3"/>
  <c r="R135" i="3" s="1"/>
  <c r="S35" i="3" s="1"/>
  <c r="S32" i="3" s="1"/>
  <c r="M81" i="1"/>
  <c r="K81" i="1"/>
  <c r="K82" i="1" s="1"/>
  <c r="S85" i="13" l="1"/>
  <c r="S88" i="13" s="1"/>
  <c r="S102" i="13"/>
  <c r="S103" i="13" s="1"/>
  <c r="S107" i="13"/>
  <c r="S25" i="3"/>
  <c r="S47" i="3" s="1"/>
  <c r="T27" i="3" s="1"/>
  <c r="S123" i="3" s="1"/>
  <c r="S109" i="3" s="1"/>
  <c r="L81" i="1"/>
  <c r="L83" i="1" s="1"/>
  <c r="K83" i="1"/>
  <c r="S112" i="13" l="1"/>
  <c r="S93" i="13"/>
  <c r="S109" i="13"/>
  <c r="S110" i="13" s="1"/>
  <c r="S92" i="13"/>
  <c r="S26" i="3"/>
  <c r="S30" i="3" s="1"/>
  <c r="S46" i="3" s="1"/>
  <c r="T31" i="3" s="1"/>
  <c r="T35" i="13" l="1"/>
  <c r="T32" i="13" s="1"/>
  <c r="S95" i="13"/>
  <c r="S113" i="13" s="1"/>
  <c r="T34" i="13" s="1"/>
  <c r="T25" i="13"/>
  <c r="T26" i="13" s="1"/>
  <c r="T30" i="13" s="1"/>
  <c r="S38" i="3"/>
  <c r="S124" i="3"/>
  <c r="S48" i="3"/>
  <c r="T46" i="13" l="1"/>
  <c r="T22" i="13"/>
  <c r="T15" i="13"/>
  <c r="T16" i="13"/>
  <c r="T47" i="13"/>
  <c r="U27" i="13" s="1"/>
  <c r="T100" i="13" s="1"/>
  <c r="T86" i="13" s="1"/>
  <c r="T38" i="13"/>
  <c r="T42" i="13"/>
  <c r="T20" i="13"/>
  <c r="T41" i="13" s="1"/>
  <c r="S110" i="3"/>
  <c r="S108" i="3"/>
  <c r="S125" i="3"/>
  <c r="S126" i="3" s="1"/>
  <c r="U17" i="13" l="1"/>
  <c r="U21" i="13"/>
  <c r="T108" i="13" s="1"/>
  <c r="T94" i="13" s="1"/>
  <c r="T48" i="13"/>
  <c r="T37" i="13"/>
  <c r="U31" i="13" s="1"/>
  <c r="T101" i="13" s="1"/>
  <c r="T87" i="13" s="1"/>
  <c r="T43" i="13"/>
  <c r="S111" i="3"/>
  <c r="S135" i="3" s="1"/>
  <c r="T35" i="3" s="1"/>
  <c r="T25" i="3" s="1"/>
  <c r="T85" i="13" l="1"/>
  <c r="T88" i="13" s="1"/>
  <c r="T102" i="13"/>
  <c r="T103" i="13" s="1"/>
  <c r="T107" i="13"/>
  <c r="T32" i="3"/>
  <c r="T47" i="3"/>
  <c r="U27" i="3" s="1"/>
  <c r="T123" i="3" s="1"/>
  <c r="T26" i="3"/>
  <c r="T30" i="3" s="1"/>
  <c r="T112" i="13" l="1"/>
  <c r="T92" i="13"/>
  <c r="T93" i="13"/>
  <c r="T109" i="13"/>
  <c r="T110" i="13" s="1"/>
  <c r="T46" i="3"/>
  <c r="U31" i="3" s="1"/>
  <c r="T124" i="3" s="1"/>
  <c r="T110" i="3" s="1"/>
  <c r="T38" i="3"/>
  <c r="T109" i="3"/>
  <c r="U35" i="13" l="1"/>
  <c r="U32" i="13" s="1"/>
  <c r="U25" i="13"/>
  <c r="U47" i="13" s="1"/>
  <c r="V27" i="13" s="1"/>
  <c r="U100" i="13" s="1"/>
  <c r="T95" i="13"/>
  <c r="T113" i="13" s="1"/>
  <c r="U34" i="13" s="1"/>
  <c r="T48" i="3"/>
  <c r="T108" i="3"/>
  <c r="T111" i="3" s="1"/>
  <c r="T125" i="3"/>
  <c r="T126" i="3" s="1"/>
  <c r="U15" i="13" l="1"/>
  <c r="U16" i="13"/>
  <c r="U26" i="13"/>
  <c r="U30" i="13" s="1"/>
  <c r="U46" i="13" s="1"/>
  <c r="U48" i="13" s="1"/>
  <c r="U86" i="13"/>
  <c r="U20" i="13"/>
  <c r="U22" i="13"/>
  <c r="T135" i="3"/>
  <c r="U35" i="3" s="1"/>
  <c r="U38" i="13" l="1"/>
  <c r="U37" i="13"/>
  <c r="V31" i="13" s="1"/>
  <c r="U101" i="13" s="1"/>
  <c r="U42" i="13"/>
  <c r="U41" i="13"/>
  <c r="U32" i="3"/>
  <c r="U25" i="3"/>
  <c r="V17" i="13" l="1"/>
  <c r="U87" i="13"/>
  <c r="U85" i="13"/>
  <c r="U102" i="13"/>
  <c r="U103" i="13" s="1"/>
  <c r="V21" i="13"/>
  <c r="U108" i="13" s="1"/>
  <c r="U94" i="13" s="1"/>
  <c r="U43" i="13"/>
  <c r="U26" i="3"/>
  <c r="U47" i="3"/>
  <c r="V27" i="3" s="1"/>
  <c r="U123" i="3" s="1"/>
  <c r="U109" i="3" s="1"/>
  <c r="U88" i="13" l="1"/>
  <c r="U112" i="13" s="1"/>
  <c r="U107" i="13"/>
  <c r="U30" i="3"/>
  <c r="U46" i="3" s="1"/>
  <c r="V31" i="3" s="1"/>
  <c r="V35" i="13" l="1"/>
  <c r="V25" i="13" s="1"/>
  <c r="U93" i="13"/>
  <c r="U92" i="13"/>
  <c r="U109" i="13"/>
  <c r="U110" i="13" s="1"/>
  <c r="U124" i="3"/>
  <c r="U48" i="3"/>
  <c r="U38" i="3"/>
  <c r="V26" i="13" l="1"/>
  <c r="V30" i="13" s="1"/>
  <c r="V47" i="13"/>
  <c r="V32" i="13"/>
  <c r="V38" i="13" s="1"/>
  <c r="U95" i="13"/>
  <c r="U113" i="13" s="1"/>
  <c r="V34" i="13" s="1"/>
  <c r="U110" i="3"/>
  <c r="U108" i="3"/>
  <c r="U125" i="3"/>
  <c r="U126" i="3" s="1"/>
  <c r="V46" i="13" l="1"/>
  <c r="V48" i="13" s="1"/>
  <c r="V15" i="13"/>
  <c r="V16" i="13"/>
  <c r="V22" i="13"/>
  <c r="V20" i="13"/>
  <c r="U111" i="3"/>
  <c r="U135" i="3" s="1"/>
  <c r="V35" i="3" s="1"/>
  <c r="V25" i="3" s="1"/>
  <c r="V47" i="3" s="1"/>
  <c r="V41" i="13" l="1"/>
  <c r="V37" i="13"/>
  <c r="V42" i="13"/>
  <c r="V32" i="3"/>
  <c r="V26" i="3"/>
  <c r="V30" i="3" s="1"/>
  <c r="V43" i="13" l="1"/>
  <c r="V46" i="3"/>
  <c r="V48" i="3" s="1"/>
  <c r="V38" i="3"/>
</calcChain>
</file>

<file path=xl/sharedStrings.xml><?xml version="1.0" encoding="utf-8"?>
<sst xmlns="http://schemas.openxmlformats.org/spreadsheetml/2006/main" count="1160" uniqueCount="142">
  <si>
    <t>Jahr</t>
  </si>
  <si>
    <t>Viertel</t>
  </si>
  <si>
    <t>Tilgung</t>
  </si>
  <si>
    <t>Zinsen</t>
  </si>
  <si>
    <t>Rate</t>
  </si>
  <si>
    <t>Restschuld</t>
  </si>
  <si>
    <t>Ergebnis</t>
  </si>
  <si>
    <t xml:space="preserve">EEG </t>
  </si>
  <si>
    <t>Strompreis</t>
  </si>
  <si>
    <t>Einspeisung</t>
  </si>
  <si>
    <t>Umsatzsteuer</t>
  </si>
  <si>
    <t>Batterie</t>
  </si>
  <si>
    <t>Strompreis-Umsatz</t>
  </si>
  <si>
    <t xml:space="preserve">Jahr 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</si>
  <si>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</si>
  <si>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</si>
  <si>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</si>
  <si>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</si>
  <si>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</si>
  <si>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</si>
  <si>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</si>
  <si>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</si>
  <si>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</si>
  <si>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</si>
  <si>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</si>
  <si>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</si>
  <si>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</si>
  <si>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</si>
  <si>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</si>
  <si>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</si>
  <si>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</si>
  <si>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</si>
  <si>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</si>
  <si>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</si>
  <si>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</si>
  <si>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-</t>
  </si>
  <si>
    <t>EEG Verütung</t>
  </si>
  <si>
    <t>Zahlung für einen Wechsel einer Batterie</t>
  </si>
  <si>
    <t>Aufnahme</t>
  </si>
  <si>
    <t>Sollzins</t>
  </si>
  <si>
    <t>Zeilenbeschriftungen</t>
  </si>
  <si>
    <t>Gesamtergebnis</t>
  </si>
  <si>
    <t>Summe von Tilgung</t>
  </si>
  <si>
    <t>Summe von Zinsen</t>
  </si>
  <si>
    <t>Einsparung durch Eigenverbrauch mit Umsatzstuer</t>
  </si>
  <si>
    <t>Endergebnis EEG</t>
  </si>
  <si>
    <t>Strompreis unter Berücksichtigung der Umsatzsteuer</t>
  </si>
  <si>
    <t>Berechnung der Battiergröße auf heuristische Basis</t>
  </si>
  <si>
    <t>Batterie bei einem Jahr</t>
  </si>
  <si>
    <t>KfW Kredit (Batterie)</t>
  </si>
  <si>
    <t>Eigenverbrauch unter Berücksichtigung mit Umsatzsteuer</t>
  </si>
  <si>
    <t>EEG Vergütung</t>
  </si>
  <si>
    <t>Einsparung durch Eigenverbrauch mit Umsatzsteuer</t>
  </si>
  <si>
    <t>Batteriepreis</t>
  </si>
  <si>
    <t>Batterie bei einem Jahr nach der heuristischen Gleichung</t>
  </si>
  <si>
    <t>Überschussannahmen</t>
  </si>
  <si>
    <t>Batterieeinspeisung</t>
  </si>
  <si>
    <t>Wikungsgrad der Batterie</t>
  </si>
  <si>
    <t>Nebenrechnung</t>
  </si>
  <si>
    <t>Steuern</t>
  </si>
  <si>
    <t>Abschreibung</t>
  </si>
  <si>
    <t>Buchwert (01.01)</t>
  </si>
  <si>
    <t>Buchwert (31.12)</t>
  </si>
  <si>
    <t>Gewerbesteuer (unter 10 kWp Befreit)                                                                                         (siehe Abschnitt 3.3)</t>
  </si>
  <si>
    <t>Einzahlüberschuss</t>
  </si>
  <si>
    <t>Zinsaufwand</t>
  </si>
  <si>
    <t>Zinsertrag</t>
  </si>
  <si>
    <t>Körperschaftsteuern</t>
  </si>
  <si>
    <t>zu versteuerendes Einkommen</t>
  </si>
  <si>
    <t>Körperschaftsteuer mit Solidaritätszuschlag</t>
  </si>
  <si>
    <t>Gewerbesteuer+ Körperschaftssteuer</t>
  </si>
  <si>
    <t>Wechselrichter in €/kW</t>
  </si>
  <si>
    <t>Gewerbesteuer</t>
  </si>
  <si>
    <t>Solarmodul in €/kW</t>
  </si>
  <si>
    <t>Körperschaftssteuer+Solidaritätszuschlag</t>
  </si>
  <si>
    <t>BoS in €/kW</t>
  </si>
  <si>
    <t>Anlage in kW</t>
  </si>
  <si>
    <t>Hebesatz</t>
  </si>
  <si>
    <t>Lineare Interpolation zu obiger Berechnung</t>
  </si>
  <si>
    <t>&lt;30</t>
  </si>
  <si>
    <t>&lt;5</t>
  </si>
  <si>
    <t>Gewerbesatz</t>
  </si>
  <si>
    <t>Solidaritätszuschlag</t>
  </si>
  <si>
    <t>Körperschaftssteuer</t>
  </si>
  <si>
    <t>Ertragssteuer</t>
  </si>
  <si>
    <t>Versicherung</t>
  </si>
  <si>
    <t>Zähler</t>
  </si>
  <si>
    <t>Ersatzinvestition Wechselrichter</t>
  </si>
  <si>
    <t>Wartung und Instandhaltung</t>
  </si>
  <si>
    <t>Degredation</t>
  </si>
  <si>
    <t>&lt;10</t>
  </si>
  <si>
    <t>&gt;10</t>
  </si>
  <si>
    <t>Zahlungsströme</t>
  </si>
  <si>
    <t>Abzug alle 6 Monate ab 2024</t>
  </si>
  <si>
    <t>7_68</t>
  </si>
  <si>
    <t>Festgeld</t>
  </si>
  <si>
    <t>EEG Einspeisevergütung ab 2023 &lt;40 kW</t>
  </si>
  <si>
    <t>5_76</t>
  </si>
  <si>
    <t>Kontokorrent</t>
  </si>
  <si>
    <t>EEG Einspeisevergütung ab 2023 &lt;10 kW</t>
  </si>
  <si>
    <t>3_84</t>
  </si>
  <si>
    <t>Ersatzinvestition Batterie</t>
  </si>
  <si>
    <t>€/kWp</t>
  </si>
  <si>
    <t>kWp</t>
  </si>
  <si>
    <t>[5-10[</t>
  </si>
  <si>
    <t>]5</t>
  </si>
  <si>
    <t>Fremdkapitalzins II</t>
  </si>
  <si>
    <t>Fremdkapitalzins</t>
  </si>
  <si>
    <t>BoS</t>
  </si>
  <si>
    <t>KfW Unternehmerskredit [alt]</t>
  </si>
  <si>
    <t>Inflation</t>
  </si>
  <si>
    <t>Wechselrichter</t>
  </si>
  <si>
    <t>Szenario II(16,09 kW)</t>
  </si>
  <si>
    <t>Solarmodule</t>
  </si>
  <si>
    <t>Szenario_I (8,05 kW)</t>
  </si>
  <si>
    <t xml:space="preserve">PV-Anlage </t>
  </si>
  <si>
    <t>Weitere Parameter</t>
  </si>
  <si>
    <t>EZÜ Batterie</t>
  </si>
  <si>
    <t>EZÜ EEG Vergütung</t>
  </si>
  <si>
    <t>Hinzurechnung von Zinsen                                                                                                  (25% Anteil nach § 8 Abs. 1 GewStG)</t>
  </si>
  <si>
    <t>Gewerbesteuer                                                                                                                (auf volle 100 abrunden nach § 11 Abs. 1 Satz 3  GewStG)</t>
  </si>
  <si>
    <t>Ertragsteuer Batterie</t>
  </si>
  <si>
    <t>Ertragsteuer Einsparung durch Eigenverbrauch</t>
  </si>
  <si>
    <t>Körperschaftsteuer mit Solidaritätszuschlag Batterie</t>
  </si>
  <si>
    <t>Kontokorrentkredit</t>
  </si>
  <si>
    <t>Festgeldkonto</t>
  </si>
  <si>
    <t>Anlage</t>
  </si>
  <si>
    <t>Habenzins</t>
  </si>
  <si>
    <t>Auflösung</t>
  </si>
  <si>
    <t>Saldo Batterie</t>
  </si>
  <si>
    <t>Saldo EEG</t>
  </si>
  <si>
    <t>Ertragsteuer EEG</t>
  </si>
  <si>
    <t>Bestandsgrößen</t>
  </si>
  <si>
    <t>KfW Kredit</t>
  </si>
  <si>
    <t>Bestandssaldo</t>
  </si>
  <si>
    <t>EEG</t>
  </si>
  <si>
    <t>Spalte1</t>
  </si>
  <si>
    <t>Typ</t>
  </si>
  <si>
    <t>Überschuss</t>
  </si>
  <si>
    <t>Summe von 20</t>
  </si>
  <si>
    <t>Spaltenbeschriftungen</t>
  </si>
  <si>
    <t>Änderung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</si>
</sst>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_-* #,##0.00\ [$€-407]_-;\-* #,##0.00\ [$€-407]_-;_-* &quot;-&quot;??\ [$€-407]_-;_-@_-"/>
    <numFmt numFmtId="165" formatCode="#,##0.00\ &quot;€&quot;"/>
    <numFmt numFmtId="166" formatCode="0.000%"/>
    <numFmt numFmtId="167" formatCode="0.0000000000000000"/>
  </numFmts>
  <fonts count="9" x14ac:knownFonts="1">
    <font>
      <sz val="11"/>
      <color theme="1"/>
      <name val="Times New Roman"/>
      <family val="2"/>
    </font>
    <font>
      <sz val="11"/>
      <color theme="1"/>
      <name val="Times New Roman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8"/>
      <name val="Times New Roman"/>
      <family val="2"/>
    </font>
    <font>
      <b/>
      <sz val="11"/>
      <color theme="1"/>
      <name val="Times New Roman"/>
      <family val="1"/>
    </font>
    <font>
      <sz val="11"/>
      <color rgb="FF000000"/>
      <name val="Times New Roman"/>
      <family val="1"/>
    </font>
    <font>
      <sz val="12"/>
      <color theme="1"/>
      <name val="Times New Roman"/>
      <family val="2"/>
    </font>
    <font>
      <sz val="26"/>
      <color theme="1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1D1D1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theme="0" tint="-0.14999847407452621"/>
      </patternFill>
    </fill>
    <fill>
      <patternFill patternType="solid">
        <fgColor theme="4" tint="0.59999389629810485"/>
        <bgColor theme="0" tint="-0.1499984740745262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34998626667073579"/>
        <bgColor theme="0" tint="-0.14999847407452621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0" xfId="0" applyFont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3" borderId="4" xfId="0" applyFont="1" applyFill="1" applyBorder="1"/>
    <xf numFmtId="0" fontId="2" fillId="3" borderId="0" xfId="0" applyFont="1" applyFill="1" applyBorder="1"/>
    <xf numFmtId="0" fontId="2" fillId="3" borderId="5" xfId="0" applyFont="1" applyFill="1" applyBorder="1"/>
    <xf numFmtId="0" fontId="2" fillId="0" borderId="0" xfId="0" applyFont="1" applyFill="1" applyBorder="1"/>
    <xf numFmtId="44" fontId="2" fillId="0" borderId="0" xfId="1" applyFont="1" applyBorder="1"/>
    <xf numFmtId="44" fontId="2" fillId="2" borderId="0" xfId="1" applyFont="1" applyFill="1" applyBorder="1"/>
    <xf numFmtId="44" fontId="2" fillId="3" borderId="0" xfId="1" applyFont="1" applyFill="1" applyBorder="1"/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44" fontId="3" fillId="0" borderId="0" xfId="1" applyFont="1" applyBorder="1"/>
    <xf numFmtId="0" fontId="3" fillId="0" borderId="0" xfId="0" applyFont="1" applyBorder="1"/>
    <xf numFmtId="44" fontId="3" fillId="0" borderId="0" xfId="1" applyFont="1" applyFill="1" applyBorder="1"/>
    <xf numFmtId="44" fontId="2" fillId="2" borderId="0" xfId="1" applyFont="1" applyFill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0" fillId="0" borderId="7" xfId="0" applyBorder="1"/>
    <xf numFmtId="0" fontId="2" fillId="0" borderId="0" xfId="0" applyFont="1" applyAlignment="1">
      <alignment wrapText="1"/>
    </xf>
    <xf numFmtId="0" fontId="3" fillId="0" borderId="0" xfId="0" applyFont="1"/>
    <xf numFmtId="0" fontId="3" fillId="0" borderId="13" xfId="0" applyFont="1" applyBorder="1"/>
    <xf numFmtId="0" fontId="3" fillId="0" borderId="13" xfId="0" applyFont="1" applyBorder="1" applyAlignment="1">
      <alignment horizontal="center" vertical="center"/>
    </xf>
    <xf numFmtId="0" fontId="3" fillId="0" borderId="7" xfId="0" applyFont="1" applyBorder="1"/>
    <xf numFmtId="164" fontId="2" fillId="4" borderId="12" xfId="0" applyNumberFormat="1" applyFont="1" applyFill="1" applyBorder="1"/>
    <xf numFmtId="165" fontId="2" fillId="5" borderId="14" xfId="0" applyNumberFormat="1" applyFont="1" applyFill="1" applyBorder="1"/>
    <xf numFmtId="165" fontId="2" fillId="5" borderId="15" xfId="0" applyNumberFormat="1" applyFont="1" applyFill="1" applyBorder="1"/>
    <xf numFmtId="165" fontId="2" fillId="6" borderId="14" xfId="0" applyNumberFormat="1" applyFont="1" applyFill="1" applyBorder="1"/>
    <xf numFmtId="165" fontId="2" fillId="6" borderId="15" xfId="0" applyNumberFormat="1" applyFont="1" applyFill="1" applyBorder="1"/>
    <xf numFmtId="165" fontId="2" fillId="0" borderId="0" xfId="0" applyNumberFormat="1" applyFont="1"/>
    <xf numFmtId="164" fontId="3" fillId="4" borderId="12" xfId="0" applyNumberFormat="1" applyFont="1" applyFill="1" applyBorder="1"/>
    <xf numFmtId="0" fontId="0" fillId="0" borderId="14" xfId="0" applyBorder="1"/>
    <xf numFmtId="0" fontId="2" fillId="7" borderId="8" xfId="0" applyFont="1" applyFill="1" applyBorder="1"/>
    <xf numFmtId="0" fontId="2" fillId="7" borderId="7" xfId="0" applyFont="1" applyFill="1" applyBorder="1"/>
    <xf numFmtId="0" fontId="2" fillId="7" borderId="6" xfId="0" applyFont="1" applyFill="1" applyBorder="1"/>
    <xf numFmtId="0" fontId="2" fillId="7" borderId="5" xfId="0" applyFont="1" applyFill="1" applyBorder="1"/>
    <xf numFmtId="0" fontId="2" fillId="7" borderId="0" xfId="0" applyFont="1" applyFill="1"/>
    <xf numFmtId="0" fontId="2" fillId="7" borderId="4" xfId="0" applyFont="1" applyFill="1" applyBorder="1"/>
    <xf numFmtId="10" fontId="0" fillId="7" borderId="8" xfId="2" applyNumberFormat="1" applyFont="1" applyFill="1" applyBorder="1"/>
    <xf numFmtId="0" fontId="0" fillId="7" borderId="6" xfId="0" applyFill="1" applyBorder="1" applyAlignment="1">
      <alignment wrapText="1"/>
    </xf>
    <xf numFmtId="166" fontId="0" fillId="7" borderId="5" xfId="2" applyNumberFormat="1" applyFont="1" applyFill="1" applyBorder="1"/>
    <xf numFmtId="0" fontId="0" fillId="7" borderId="4" xfId="0" applyFill="1" applyBorder="1"/>
    <xf numFmtId="0" fontId="0" fillId="7" borderId="4" xfId="0" applyFill="1" applyBorder="1" applyAlignment="1">
      <alignment wrapText="1"/>
    </xf>
    <xf numFmtId="0" fontId="0" fillId="7" borderId="5" xfId="0" applyFill="1" applyBorder="1"/>
    <xf numFmtId="0" fontId="2" fillId="7" borderId="16" xfId="0" applyFont="1" applyFill="1" applyBorder="1"/>
    <xf numFmtId="0" fontId="2" fillId="7" borderId="17" xfId="0" applyFont="1" applyFill="1" applyBorder="1"/>
    <xf numFmtId="10" fontId="0" fillId="7" borderId="5" xfId="2" applyNumberFormat="1" applyFont="1" applyFill="1" applyBorder="1"/>
    <xf numFmtId="0" fontId="0" fillId="7" borderId="3" xfId="0" applyFill="1" applyBorder="1"/>
    <xf numFmtId="0" fontId="0" fillId="7" borderId="1" xfId="0" applyFill="1" applyBorder="1"/>
    <xf numFmtId="0" fontId="0" fillId="7" borderId="8" xfId="0" applyFill="1" applyBorder="1"/>
    <xf numFmtId="0" fontId="0" fillId="7" borderId="7" xfId="0" applyFill="1" applyBorder="1"/>
    <xf numFmtId="0" fontId="0" fillId="7" borderId="6" xfId="0" applyFill="1" applyBorder="1"/>
    <xf numFmtId="0" fontId="0" fillId="7" borderId="0" xfId="0" applyFill="1"/>
    <xf numFmtId="0" fontId="0" fillId="7" borderId="18" xfId="0" applyFill="1" applyBorder="1"/>
    <xf numFmtId="9" fontId="0" fillId="7" borderId="7" xfId="2" applyFont="1" applyFill="1" applyBorder="1"/>
    <xf numFmtId="0" fontId="0" fillId="7" borderId="0" xfId="0" applyFill="1" applyAlignment="1">
      <alignment wrapText="1"/>
    </xf>
    <xf numFmtId="0" fontId="0" fillId="7" borderId="19" xfId="0" applyFill="1" applyBorder="1"/>
    <xf numFmtId="10" fontId="0" fillId="7" borderId="0" xfId="0" applyNumberFormat="1" applyFill="1"/>
    <xf numFmtId="9" fontId="0" fillId="7" borderId="0" xfId="0" applyNumberFormat="1" applyFill="1"/>
    <xf numFmtId="0" fontId="0" fillId="7" borderId="20" xfId="0" applyFill="1" applyBorder="1"/>
    <xf numFmtId="0" fontId="0" fillId="7" borderId="21" xfId="0" applyFill="1" applyBorder="1"/>
    <xf numFmtId="0" fontId="0" fillId="7" borderId="22" xfId="0" applyFill="1" applyBorder="1"/>
    <xf numFmtId="167" fontId="0" fillId="7" borderId="19" xfId="0" applyNumberFormat="1" applyFill="1" applyBorder="1"/>
    <xf numFmtId="9" fontId="0" fillId="7" borderId="0" xfId="2" applyFont="1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23" xfId="0" applyFill="1" applyBorder="1"/>
    <xf numFmtId="10" fontId="0" fillId="7" borderId="5" xfId="0" applyNumberFormat="1" applyFill="1" applyBorder="1"/>
    <xf numFmtId="10" fontId="0" fillId="7" borderId="0" xfId="2" applyNumberFormat="1" applyFont="1" applyFill="1" applyBorder="1"/>
    <xf numFmtId="0" fontId="5" fillId="7" borderId="0" xfId="0" applyFont="1" applyFill="1"/>
    <xf numFmtId="0" fontId="5" fillId="7" borderId="4" xfId="0" applyFont="1" applyFill="1" applyBorder="1"/>
    <xf numFmtId="0" fontId="0" fillId="7" borderId="2" xfId="0" applyFill="1" applyBorder="1"/>
    <xf numFmtId="0" fontId="0" fillId="7" borderId="24" xfId="0" applyFill="1" applyBorder="1"/>
    <xf numFmtId="0" fontId="5" fillId="7" borderId="5" xfId="0" applyFont="1" applyFill="1" applyBorder="1"/>
    <xf numFmtId="44" fontId="3" fillId="3" borderId="0" xfId="1" applyFont="1" applyFill="1" applyBorder="1"/>
    <xf numFmtId="44" fontId="3" fillId="2" borderId="0" xfId="1" applyFont="1" applyFill="1" applyBorder="1"/>
    <xf numFmtId="164" fontId="2" fillId="8" borderId="12" xfId="0" applyNumberFormat="1" applyFont="1" applyFill="1" applyBorder="1"/>
    <xf numFmtId="165" fontId="2" fillId="3" borderId="14" xfId="0" applyNumberFormat="1" applyFont="1" applyFill="1" applyBorder="1"/>
    <xf numFmtId="165" fontId="2" fillId="3" borderId="15" xfId="0" applyNumberFormat="1" applyFont="1" applyFill="1" applyBorder="1"/>
    <xf numFmtId="164" fontId="3" fillId="8" borderId="12" xfId="0" applyNumberFormat="1" applyFont="1" applyFill="1" applyBorder="1"/>
    <xf numFmtId="164" fontId="2" fillId="8" borderId="12" xfId="0" applyNumberFormat="1" applyFont="1" applyFill="1" applyBorder="1" applyAlignment="1">
      <alignment wrapText="1"/>
    </xf>
    <xf numFmtId="164" fontId="3" fillId="8" borderId="12" xfId="0" applyNumberFormat="1" applyFont="1" applyFill="1" applyBorder="1" applyAlignment="1">
      <alignment wrapText="1"/>
    </xf>
    <xf numFmtId="165" fontId="2" fillId="3" borderId="0" xfId="0" applyNumberFormat="1" applyFont="1" applyFill="1" applyBorder="1"/>
    <xf numFmtId="164" fontId="2" fillId="9" borderId="12" xfId="0" applyNumberFormat="1" applyFont="1" applyFill="1" applyBorder="1" applyAlignment="1">
      <alignment wrapText="1"/>
    </xf>
    <xf numFmtId="165" fontId="2" fillId="2" borderId="14" xfId="0" applyNumberFormat="1" applyFont="1" applyFill="1" applyBorder="1"/>
    <xf numFmtId="165" fontId="2" fillId="2" borderId="15" xfId="0" applyNumberFormat="1" applyFont="1" applyFill="1" applyBorder="1"/>
    <xf numFmtId="164" fontId="2" fillId="9" borderId="12" xfId="0" applyNumberFormat="1" applyFont="1" applyFill="1" applyBorder="1"/>
    <xf numFmtId="164" fontId="3" fillId="9" borderId="12" xfId="0" applyNumberFormat="1" applyFont="1" applyFill="1" applyBorder="1" applyAlignment="1">
      <alignment wrapText="1"/>
    </xf>
    <xf numFmtId="164" fontId="3" fillId="9" borderId="12" xfId="0" applyNumberFormat="1" applyFont="1" applyFill="1" applyBorder="1"/>
    <xf numFmtId="165" fontId="3" fillId="2" borderId="25" xfId="0" applyNumberFormat="1" applyFont="1" applyFill="1" applyBorder="1"/>
    <xf numFmtId="165" fontId="2" fillId="2" borderId="25" xfId="0" applyNumberFormat="1" applyFont="1" applyFill="1" applyBorder="1"/>
    <xf numFmtId="165" fontId="7" fillId="2" borderId="25" xfId="0" applyNumberFormat="1" applyFont="1" applyFill="1" applyBorder="1"/>
    <xf numFmtId="165" fontId="3" fillId="10" borderId="25" xfId="0" applyNumberFormat="1" applyFont="1" applyFill="1" applyBorder="1"/>
    <xf numFmtId="165" fontId="2" fillId="10" borderId="14" xfId="0" applyNumberFormat="1" applyFont="1" applyFill="1" applyBorder="1"/>
    <xf numFmtId="165" fontId="2" fillId="10" borderId="25" xfId="0" applyNumberFormat="1" applyFont="1" applyFill="1" applyBorder="1"/>
    <xf numFmtId="165" fontId="7" fillId="10" borderId="25" xfId="0" applyNumberFormat="1" applyFont="1" applyFill="1" applyBorder="1"/>
    <xf numFmtId="44" fontId="2" fillId="0" borderId="0" xfId="1" applyFont="1"/>
    <xf numFmtId="165" fontId="3" fillId="11" borderId="25" xfId="0" applyNumberFormat="1" applyFont="1" applyFill="1" applyBorder="1"/>
    <xf numFmtId="44" fontId="2" fillId="11" borderId="0" xfId="1" applyFont="1" applyFill="1"/>
    <xf numFmtId="165" fontId="2" fillId="11" borderId="25" xfId="0" applyNumberFormat="1" applyFont="1" applyFill="1" applyBorder="1"/>
    <xf numFmtId="165" fontId="2" fillId="11" borderId="14" xfId="0" applyNumberFormat="1" applyFont="1" applyFill="1" applyBorder="1"/>
    <xf numFmtId="164" fontId="2" fillId="12" borderId="12" xfId="0" applyNumberFormat="1" applyFont="1" applyFill="1" applyBorder="1"/>
    <xf numFmtId="165" fontId="2" fillId="11" borderId="15" xfId="0" applyNumberFormat="1" applyFont="1" applyFill="1" applyBorder="1"/>
    <xf numFmtId="164" fontId="3" fillId="12" borderId="12" xfId="0" applyNumberFormat="1" applyFont="1" applyFill="1" applyBorder="1"/>
    <xf numFmtId="44" fontId="3" fillId="11" borderId="0" xfId="1" applyFont="1" applyFill="1" applyBorder="1"/>
    <xf numFmtId="44" fontId="2" fillId="11" borderId="0" xfId="1" applyFont="1" applyFill="1" applyBorder="1"/>
    <xf numFmtId="165" fontId="3" fillId="11" borderId="4" xfId="0" applyNumberFormat="1" applyFont="1" applyFill="1" applyBorder="1"/>
    <xf numFmtId="44" fontId="3" fillId="11" borderId="0" xfId="1" applyFont="1" applyFill="1"/>
    <xf numFmtId="165" fontId="3" fillId="2" borderId="4" xfId="0" applyNumberFormat="1" applyFont="1" applyFill="1" applyBorder="1"/>
    <xf numFmtId="44" fontId="3" fillId="2" borderId="0" xfId="1" applyFont="1" applyFill="1"/>
    <xf numFmtId="44" fontId="0" fillId="0" borderId="0" xfId="1" applyFont="1"/>
    <xf numFmtId="44" fontId="1" fillId="0" borderId="0" xfId="1" applyNumberFormat="1" applyFont="1"/>
    <xf numFmtId="0" fontId="0" fillId="0" borderId="0" xfId="1" applyNumberFormat="1" applyFont="1"/>
    <xf numFmtId="0" fontId="3" fillId="0" borderId="13" xfId="0" applyFont="1" applyBorder="1" applyAlignment="1">
      <alignment wrapText="1"/>
    </xf>
    <xf numFmtId="164" fontId="2" fillId="4" borderId="12" xfId="0" applyNumberFormat="1" applyFont="1" applyFill="1" applyBorder="1" applyAlignment="1">
      <alignment wrapText="1"/>
    </xf>
    <xf numFmtId="164" fontId="2" fillId="12" borderId="12" xfId="0" applyNumberFormat="1" applyFont="1" applyFill="1" applyBorder="1" applyAlignment="1">
      <alignment wrapText="1"/>
    </xf>
    <xf numFmtId="164" fontId="3" fillId="12" borderId="12" xfId="0" applyNumberFormat="1" applyFont="1" applyFill="1" applyBorder="1" applyAlignment="1">
      <alignment wrapText="1"/>
    </xf>
    <xf numFmtId="164" fontId="3" fillId="4" borderId="12" xfId="0" applyNumberFormat="1" applyFont="1" applyFill="1" applyBorder="1" applyAlignment="1">
      <alignment wrapText="1"/>
    </xf>
    <xf numFmtId="0" fontId="7" fillId="0" borderId="0" xfId="0" applyFont="1"/>
    <xf numFmtId="7" fontId="7" fillId="0" borderId="0" xfId="0" applyNumberFormat="1" applyFont="1"/>
    <xf numFmtId="0" fontId="7" fillId="0" borderId="0" xfId="0" applyNumberFormat="1" applyFont="1"/>
    <xf numFmtId="0" fontId="2" fillId="13" borderId="0" xfId="0" applyFont="1" applyFill="1" applyAlignment="1">
      <alignment wrapText="1"/>
    </xf>
    <xf numFmtId="0" fontId="2" fillId="13" borderId="0" xfId="0" applyFont="1" applyFill="1"/>
  </cellXfs>
  <cellStyles count="3">
    <cellStyle name="Prozent" xfId="2" builtinId="5"/>
    <cellStyle name="Standard" xfId="0" builtinId="0"/>
    <cellStyle name="Währung" xfId="1" builtinId="4"/>
  </cellStyles>
  <dxfs count="3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34" formatCode="_-* #,##0.00\ &quot;€&quot;_-;\-* #,##0.00\ &quot;€&quot;_-;_-* &quot;-&quot;??\ &quot;€&quot;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</dxf>
    <dxf>
      <numFmt numFmtId="0" formatCode="General"/>
    </dxf>
  </dxfs>
  <tableStyles count="1" defaultTableStyle="TableStyleMedium2" defaultPivotStyle="PivotStyleLight16">
    <tableStyle name="Invisible" pivot="0" table="0" count="0" xr9:uid="{0E7F039E-D54A-4D6D-AE05-D7902143A1A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[Überschuss_BLALBALBLAL.xlsm]Endwerte_Fall_3_84!PivotTable5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Beispielrechnung (Batterie mit 3,84 kWh)</a:t>
            </a:r>
          </a:p>
          <a:p>
            <a:pPr>
              <a:defRPr/>
            </a:pPr>
            <a:r>
              <a:rPr lang="en-US"/>
              <a:t>  Vorteilhaftigkeit einer Batterie gegenüber der EEG-Vergütung </a:t>
            </a:r>
          </a:p>
          <a:p>
            <a:pPr>
              <a:defRPr/>
            </a:pPr>
            <a:r>
              <a:rPr lang="en-US"/>
              <a:t>mit der Variation des Stromüberschusses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38100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38100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8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9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2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3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4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6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7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8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9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1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4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6"/>
        <c:spPr>
          <a:solidFill>
            <a:schemeClr val="accent1"/>
          </a:solidFill>
          <a:ln w="38100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38100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9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0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1"/>
        <c:spPr>
          <a:ln w="38100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38100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4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5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9.1977940271154773E-2"/>
          <c:y val="0.22338036836405367"/>
          <c:w val="0.8898083391741104"/>
          <c:h val="0.65454446909147634"/>
        </c:manualLayout>
      </c:layout>
      <c:lineChart>
        <c:grouping val="standard"/>
        <c:varyColors val="0"/>
        <c:ser>
          <c:idx val="0"/>
          <c:order val="0"/>
          <c:tx>
            <c:strRef>
              <c:f>Endwerte_Fall_3_84!$AD$1:$AD$2</c:f>
              <c:strCache>
                <c:ptCount val="1"/>
                <c:pt idx="0">
                  <c:v>Batterie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F4-42B9-9A98-B3C19CA9E9B1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6F4-42B9-9A98-B3C19CA9E9B1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6F4-42B9-9A98-B3C19CA9E9B1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135F-40EF-AFC9-6CF867262F42}"/>
              </c:ext>
            </c:extLst>
          </c:dPt>
          <c:dPt>
            <c:idx val="15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135F-40EF-AFC9-6CF867262F42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135F-40EF-AFC9-6CF867262F42}"/>
              </c:ext>
            </c:extLst>
          </c:dPt>
          <c:cat>
            <c:strRef>
              <c:f>Endwerte_Fall_3_84!$AC$3:$AC$32</c:f>
              <c:strCache>
                <c:ptCount val="29"/>
                <c:pt idx="0">
                  <c:v>3,19999999999982</c:v>
                </c:pt>
                <c:pt idx="1">
                  <c:v>103,2</c:v>
                </c:pt>
                <c:pt idx="2">
                  <c:v>203,2</c:v>
                </c:pt>
                <c:pt idx="3">
                  <c:v>303,2</c:v>
                </c:pt>
                <c:pt idx="4">
                  <c:v>403,2</c:v>
                </c:pt>
                <c:pt idx="5">
                  <c:v>503,2</c:v>
                </c:pt>
                <c:pt idx="6">
                  <c:v>603,2</c:v>
                </c:pt>
                <c:pt idx="7">
                  <c:v>703,2</c:v>
                </c:pt>
                <c:pt idx="8">
                  <c:v>803,2</c:v>
                </c:pt>
                <c:pt idx="9">
                  <c:v>903,2</c:v>
                </c:pt>
                <c:pt idx="10">
                  <c:v>1003,2</c:v>
                </c:pt>
                <c:pt idx="11">
                  <c:v>1103,2</c:v>
                </c:pt>
                <c:pt idx="12">
                  <c:v>1203,2</c:v>
                </c:pt>
                <c:pt idx="13">
                  <c:v>1303,2</c:v>
                </c:pt>
                <c:pt idx="14">
                  <c:v>1403,2</c:v>
                </c:pt>
                <c:pt idx="15">
                  <c:v>1503,2</c:v>
                </c:pt>
                <c:pt idx="16">
                  <c:v>1603,2</c:v>
                </c:pt>
                <c:pt idx="17">
                  <c:v>1703,2</c:v>
                </c:pt>
                <c:pt idx="18">
                  <c:v>1803,2</c:v>
                </c:pt>
                <c:pt idx="19">
                  <c:v>1903,2</c:v>
                </c:pt>
                <c:pt idx="20">
                  <c:v>2003,2</c:v>
                </c:pt>
                <c:pt idx="21">
                  <c:v>2103,2</c:v>
                </c:pt>
                <c:pt idx="22">
                  <c:v>2203,2</c:v>
                </c:pt>
                <c:pt idx="23">
                  <c:v>2303,2</c:v>
                </c:pt>
                <c:pt idx="24">
                  <c:v>2403,2</c:v>
                </c:pt>
                <c:pt idx="25">
                  <c:v>2503,2</c:v>
                </c:pt>
                <c:pt idx="26">
                  <c:v>2603,2</c:v>
                </c:pt>
                <c:pt idx="27">
                  <c:v>2703,2</c:v>
                </c:pt>
                <c:pt idx="28">
                  <c:v>2803,2</c:v>
                </c:pt>
              </c:strCache>
            </c:strRef>
          </c:cat>
          <c:val>
            <c:numRef>
              <c:f>Endwerte_Fall_3_84!$AD$3:$AD$32</c:f>
              <c:numCache>
                <c:formatCode>General</c:formatCode>
                <c:ptCount val="29"/>
                <c:pt idx="0">
                  <c:v>-15234.08</c:v>
                </c:pt>
                <c:pt idx="1">
                  <c:v>-14612.05</c:v>
                </c:pt>
                <c:pt idx="2">
                  <c:v>-14001.9</c:v>
                </c:pt>
                <c:pt idx="3">
                  <c:v>-13354.69</c:v>
                </c:pt>
                <c:pt idx="4">
                  <c:v>-12708.72</c:v>
                </c:pt>
                <c:pt idx="5">
                  <c:v>-12108.96</c:v>
                </c:pt>
                <c:pt idx="6">
                  <c:v>-11428.37</c:v>
                </c:pt>
                <c:pt idx="7">
                  <c:v>-10816.84</c:v>
                </c:pt>
                <c:pt idx="8">
                  <c:v>-10194.02</c:v>
                </c:pt>
                <c:pt idx="9">
                  <c:v>-9559.3700000000008</c:v>
                </c:pt>
                <c:pt idx="10">
                  <c:v>-8913.19</c:v>
                </c:pt>
                <c:pt idx="11">
                  <c:v>-8290.76</c:v>
                </c:pt>
                <c:pt idx="12">
                  <c:v>-7666.03</c:v>
                </c:pt>
                <c:pt idx="13">
                  <c:v>-7009.91</c:v>
                </c:pt>
                <c:pt idx="14">
                  <c:v>-6408.66</c:v>
                </c:pt>
                <c:pt idx="15">
                  <c:v>-5730.89</c:v>
                </c:pt>
                <c:pt idx="16">
                  <c:v>-5149.83</c:v>
                </c:pt>
                <c:pt idx="17">
                  <c:v>-4470.8900000000003</c:v>
                </c:pt>
                <c:pt idx="18">
                  <c:v>562.79</c:v>
                </c:pt>
                <c:pt idx="19">
                  <c:v>718.22</c:v>
                </c:pt>
                <c:pt idx="20">
                  <c:v>4736.22</c:v>
                </c:pt>
                <c:pt idx="21">
                  <c:v>8246.86</c:v>
                </c:pt>
                <c:pt idx="22">
                  <c:v>11233.1</c:v>
                </c:pt>
                <c:pt idx="23">
                  <c:v>10444.85</c:v>
                </c:pt>
                <c:pt idx="24">
                  <c:v>12699.27</c:v>
                </c:pt>
                <c:pt idx="25">
                  <c:v>11757.93</c:v>
                </c:pt>
                <c:pt idx="26">
                  <c:v>13560.7</c:v>
                </c:pt>
                <c:pt idx="27">
                  <c:v>14950.7</c:v>
                </c:pt>
                <c:pt idx="28">
                  <c:v>13801.89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F4-42B9-9A98-B3C19CA9E9B1}"/>
            </c:ext>
          </c:extLst>
        </c:ser>
        <c:ser>
          <c:idx val="1"/>
          <c:order val="1"/>
          <c:tx>
            <c:strRef>
              <c:f>Endwerte_Fall_3_84!$AE$1:$AE$2</c:f>
              <c:strCache>
                <c:ptCount val="1"/>
                <c:pt idx="0">
                  <c:v>EEG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38100">
                <a:noFill/>
              </a:ln>
              <a:effectLst/>
            </c:spPr>
          </c:marker>
          <c:cat>
            <c:strRef>
              <c:f>Endwerte_Fall_3_84!$AC$3:$AC$32</c:f>
              <c:strCache>
                <c:ptCount val="29"/>
                <c:pt idx="0">
                  <c:v>3,19999999999982</c:v>
                </c:pt>
                <c:pt idx="1">
                  <c:v>103,2</c:v>
                </c:pt>
                <c:pt idx="2">
                  <c:v>203,2</c:v>
                </c:pt>
                <c:pt idx="3">
                  <c:v>303,2</c:v>
                </c:pt>
                <c:pt idx="4">
                  <c:v>403,2</c:v>
                </c:pt>
                <c:pt idx="5">
                  <c:v>503,2</c:v>
                </c:pt>
                <c:pt idx="6">
                  <c:v>603,2</c:v>
                </c:pt>
                <c:pt idx="7">
                  <c:v>703,2</c:v>
                </c:pt>
                <c:pt idx="8">
                  <c:v>803,2</c:v>
                </c:pt>
                <c:pt idx="9">
                  <c:v>903,2</c:v>
                </c:pt>
                <c:pt idx="10">
                  <c:v>1003,2</c:v>
                </c:pt>
                <c:pt idx="11">
                  <c:v>1103,2</c:v>
                </c:pt>
                <c:pt idx="12">
                  <c:v>1203,2</c:v>
                </c:pt>
                <c:pt idx="13">
                  <c:v>1303,2</c:v>
                </c:pt>
                <c:pt idx="14">
                  <c:v>1403,2</c:v>
                </c:pt>
                <c:pt idx="15">
                  <c:v>1503,2</c:v>
                </c:pt>
                <c:pt idx="16">
                  <c:v>1603,2</c:v>
                </c:pt>
                <c:pt idx="17">
                  <c:v>1703,2</c:v>
                </c:pt>
                <c:pt idx="18">
                  <c:v>1803,2</c:v>
                </c:pt>
                <c:pt idx="19">
                  <c:v>1903,2</c:v>
                </c:pt>
                <c:pt idx="20">
                  <c:v>2003,2</c:v>
                </c:pt>
                <c:pt idx="21">
                  <c:v>2103,2</c:v>
                </c:pt>
                <c:pt idx="22">
                  <c:v>2203,2</c:v>
                </c:pt>
                <c:pt idx="23">
                  <c:v>2303,2</c:v>
                </c:pt>
                <c:pt idx="24">
                  <c:v>2403,2</c:v>
                </c:pt>
                <c:pt idx="25">
                  <c:v>2503,2</c:v>
                </c:pt>
                <c:pt idx="26">
                  <c:v>2603,2</c:v>
                </c:pt>
                <c:pt idx="27">
                  <c:v>2703,2</c:v>
                </c:pt>
                <c:pt idx="28">
                  <c:v>2803,2</c:v>
                </c:pt>
              </c:strCache>
            </c:strRef>
          </c:cat>
          <c:val>
            <c:numRef>
              <c:f>Endwerte_Fall_3_84!$AE$3:$AE$32</c:f>
              <c:numCache>
                <c:formatCode>General</c:formatCode>
                <c:ptCount val="29"/>
                <c:pt idx="0">
                  <c:v>4.04</c:v>
                </c:pt>
                <c:pt idx="1">
                  <c:v>131.51</c:v>
                </c:pt>
                <c:pt idx="2">
                  <c:v>258.94</c:v>
                </c:pt>
                <c:pt idx="3">
                  <c:v>386.37</c:v>
                </c:pt>
                <c:pt idx="4">
                  <c:v>513.79999999999995</c:v>
                </c:pt>
                <c:pt idx="5">
                  <c:v>641.23</c:v>
                </c:pt>
                <c:pt idx="6">
                  <c:v>768.66</c:v>
                </c:pt>
                <c:pt idx="7">
                  <c:v>896.1</c:v>
                </c:pt>
                <c:pt idx="8">
                  <c:v>1023.53</c:v>
                </c:pt>
                <c:pt idx="9">
                  <c:v>1150.96</c:v>
                </c:pt>
                <c:pt idx="10">
                  <c:v>1278.3900000000001</c:v>
                </c:pt>
                <c:pt idx="11">
                  <c:v>1405.82</c:v>
                </c:pt>
                <c:pt idx="12">
                  <c:v>1533.25</c:v>
                </c:pt>
                <c:pt idx="13">
                  <c:v>1581.57</c:v>
                </c:pt>
                <c:pt idx="14">
                  <c:v>1635.31</c:v>
                </c:pt>
                <c:pt idx="15">
                  <c:v>1680.96</c:v>
                </c:pt>
                <c:pt idx="16">
                  <c:v>1757.61</c:v>
                </c:pt>
                <c:pt idx="17">
                  <c:v>1885.04</c:v>
                </c:pt>
                <c:pt idx="18">
                  <c:v>2012.47</c:v>
                </c:pt>
                <c:pt idx="19">
                  <c:v>2139.9</c:v>
                </c:pt>
                <c:pt idx="20">
                  <c:v>2267.33</c:v>
                </c:pt>
                <c:pt idx="21">
                  <c:v>2394.77</c:v>
                </c:pt>
                <c:pt idx="22">
                  <c:v>2522.1999999999998</c:v>
                </c:pt>
                <c:pt idx="23">
                  <c:v>2649.63</c:v>
                </c:pt>
                <c:pt idx="24">
                  <c:v>2777.06</c:v>
                </c:pt>
                <c:pt idx="25">
                  <c:v>2872.17</c:v>
                </c:pt>
                <c:pt idx="26">
                  <c:v>2952.81</c:v>
                </c:pt>
                <c:pt idx="27">
                  <c:v>3050.13</c:v>
                </c:pt>
                <c:pt idx="28">
                  <c:v>3133.98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6F4-42B9-9A98-B3C19CA9E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4435568"/>
        <c:axId val="1824428496"/>
      </c:lineChart>
      <c:catAx>
        <c:axId val="1824435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/>
                  <a:t>Stromüberschüss in kWh</a:t>
                </a:r>
              </a:p>
            </c:rich>
          </c:tx>
          <c:layout>
            <c:manualLayout>
              <c:xMode val="edge"/>
              <c:yMode val="edge"/>
              <c:x val="0.48742210262930741"/>
              <c:y val="0.943616433430540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#,##0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824428496"/>
        <c:crosses val="autoZero"/>
        <c:auto val="1"/>
        <c:lblAlgn val="ctr"/>
        <c:lblOffset val="50"/>
        <c:tickMarkSkip val="100"/>
        <c:noMultiLvlLbl val="0"/>
      </c:catAx>
      <c:valAx>
        <c:axId val="1824428496"/>
        <c:scaling>
          <c:orientation val="minMax"/>
          <c:max val="1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/>
                  <a:t>Endwerte in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#,##0.0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82443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4179559329423423"/>
          <c:y val="0.77401197223535567"/>
          <c:w val="4.7330543688013628E-2"/>
          <c:h val="9.54648489756846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2177</xdr:colOff>
          <xdr:row>118</xdr:row>
          <xdr:rowOff>150224</xdr:rowOff>
        </xdr:from>
        <xdr:to>
          <xdr:col>3</xdr:col>
          <xdr:colOff>892628</xdr:colOff>
          <xdr:row>122</xdr:row>
          <xdr:rowOff>54429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de-DE" sz="2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Sensi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20781</xdr:rowOff>
    </xdr:from>
    <xdr:to>
      <xdr:col>29</xdr:col>
      <xdr:colOff>457200</xdr:colOff>
      <xdr:row>43</xdr:row>
      <xdr:rowOff>80701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32</xdr:col>
      <xdr:colOff>325888</xdr:colOff>
      <xdr:row>0</xdr:row>
      <xdr:rowOff>0</xdr:rowOff>
    </xdr:from>
    <xdr:to>
      <xdr:col>62</xdr:col>
      <xdr:colOff>19911</xdr:colOff>
      <xdr:row>42</xdr:row>
      <xdr:rowOff>80465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570500" y="0"/>
          <a:ext cx="23360846" cy="76108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449580</xdr:colOff>
          <xdr:row>0</xdr:row>
          <xdr:rowOff>7620</xdr:rowOff>
        </xdr:from>
        <xdr:to>
          <xdr:col>15</xdr:col>
          <xdr:colOff>373380</xdr:colOff>
          <xdr:row>5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E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Startseite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1b5cc62f251c91/04_Masterarbeit/99_Abgabe_Masterarbeit_Soner_G&#252;naydin/00_Wirtschaftliche_Auswertung/VOFIs%20(version%20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haltsangabe"/>
      <sheetName val="Szenario_SuedOst_ohne_Batterie"/>
      <sheetName val="Szenario_SuedOst_3_84_Batter"/>
      <sheetName val="Szenario_SuedOst_5_76_Batterie"/>
      <sheetName val="Szenario_Gesamt_7_84_Batter"/>
      <sheetName val="Szenario_Gesamt_5_78_Batter"/>
      <sheetName val="Szenario_Gesamt_ohne_Batterie"/>
      <sheetName val="Szenario_Gesamt_3_84_Batter"/>
      <sheetName val="Strompreis_Gemittelt"/>
      <sheetName val="Daten"/>
      <sheetName val="Grafische_Darstellung"/>
      <sheetName val="Tabelle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5">
          <cell r="H5">
            <v>5.3800000000000001E-2</v>
          </cell>
        </row>
        <row r="9">
          <cell r="K9">
            <v>1.7000000000000001E-2</v>
          </cell>
        </row>
      </sheetData>
      <sheetData sheetId="10" refreshError="1"/>
      <sheetData sheetId="1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ner Günaydin" refreshedDate="44888.596468055555" createdVersion="8" refreshedVersion="8" minRefreshableVersion="3" recordCount="562" xr:uid="{8DFFED95-4050-4997-8946-F5E15E1EAD1E}">
  <cacheSource type="worksheet">
    <worksheetSource name="Tabelle13"/>
  </cacheSource>
  <cacheFields count="24">
    <cacheField name="Spalte1" numFmtId="0">
      <sharedItems containsBlank="1"/>
    </cacheField>
    <cacheField name="0" numFmtId="0">
      <sharedItems containsNonDate="0" containsString="0" containsBlank="1"/>
    </cacheField>
    <cacheField name="1" numFmtId="7">
      <sharedItems containsString="0" containsBlank="1" containsNumber="1" minValue="-1018.3" maxValue="168.25"/>
    </cacheField>
    <cacheField name="2" numFmtId="7">
      <sharedItems containsString="0" containsBlank="1" containsNumber="1" minValue="-1985.17" maxValue="334.12"/>
    </cacheField>
    <cacheField name="3" numFmtId="7">
      <sharedItems containsString="0" containsBlank="1" containsNumber="1" minValue="-2901.05" maxValue="497.69"/>
    </cacheField>
    <cacheField name="4" numFmtId="7">
      <sharedItems containsString="0" containsBlank="1" containsNumber="1" minValue="-4066.28" maxValue="659.05"/>
    </cacheField>
    <cacheField name="5" numFmtId="7">
      <sharedItems containsString="0" containsBlank="1" containsNumber="1" minValue="-5164.4399999999996" maxValue="818.28"/>
    </cacheField>
    <cacheField name="6" numFmtId="7">
      <sharedItems containsString="0" containsBlank="1" containsNumber="1" minValue="-6196.09" maxValue="975.45"/>
    </cacheField>
    <cacheField name="7" numFmtId="7">
      <sharedItems containsString="0" containsBlank="1" containsNumber="1" minValue="-7149.38" maxValue="1130.6500000000001"/>
    </cacheField>
    <cacheField name="8" numFmtId="7">
      <sharedItems containsString="0" containsBlank="1" containsNumber="1" minValue="-8037.41" maxValue="1283.95"/>
    </cacheField>
    <cacheField name="9" numFmtId="7">
      <sharedItems containsString="0" containsBlank="1" containsNumber="1" minValue="-8860.7099999999991" maxValue="1435.43"/>
    </cacheField>
    <cacheField name="10" numFmtId="7">
      <sharedItems containsString="0" containsBlank="1" containsNumber="1" minValue="-11417.38" maxValue="1585.16"/>
    </cacheField>
    <cacheField name="11" numFmtId="7">
      <sharedItems containsString="0" containsBlank="1" containsNumber="1" minValue="-12085.18" maxValue="1745.63"/>
    </cacheField>
    <cacheField name="12" numFmtId="7">
      <sharedItems containsString="0" containsBlank="1" containsNumber="1" minValue="-12690.13" maxValue="1904.68"/>
    </cacheField>
    <cacheField name="13" numFmtId="7">
      <sharedItems containsString="0" containsBlank="1" containsNumber="1" minValue="-13220.35" maxValue="2062.37"/>
    </cacheField>
    <cacheField name="14" numFmtId="7">
      <sharedItems containsString="0" containsBlank="1" containsNumber="1" minValue="-13688.89" maxValue="2218.77"/>
    </cacheField>
    <cacheField name="15" numFmtId="7">
      <sharedItems containsString="0" containsBlank="1" containsNumber="1" minValue="-14096.29" maxValue="3200.27"/>
    </cacheField>
    <cacheField name="16" numFmtId="7">
      <sharedItems containsString="0" containsBlank="1" containsNumber="1" minValue="-14443.05" maxValue="5817.19"/>
    </cacheField>
    <cacheField name="17" numFmtId="7">
      <sharedItems containsString="0" containsBlank="1" containsNumber="1" minValue="-14729.71" maxValue="8293.32"/>
    </cacheField>
    <cacheField name="18" numFmtId="7">
      <sharedItems containsString="0" containsBlank="1" containsNumber="1" minValue="-14956.77" maxValue="10636.24"/>
    </cacheField>
    <cacheField name="19" numFmtId="7">
      <sharedItems containsString="0" containsBlank="1" containsNumber="1" minValue="-15124.72" maxValue="12853.1"/>
    </cacheField>
    <cacheField name="20" numFmtId="7">
      <sharedItems containsString="0" containsBlank="1" containsNumber="1" minValue="-15234.08" maxValue="14950.7"/>
    </cacheField>
    <cacheField name="Typ" numFmtId="0">
      <sharedItems containsBlank="1" count="3">
        <s v="Batterie"/>
        <s v="EEG"/>
        <m/>
      </sharedItems>
    </cacheField>
    <cacheField name="Überschuss" numFmtId="0">
      <sharedItems containsString="0" containsBlank="1" containsNumber="1" minValue="3.1999999999998181" maxValue="2803.2" count="282">
        <n v="2803.2"/>
        <n v="2703.2"/>
        <n v="2603.1999999999998"/>
        <n v="2503.1999999999998"/>
        <n v="2403.1999999999998"/>
        <n v="2303.1999999999998"/>
        <n v="2203.1999999999998"/>
        <n v="2103.1999999999998"/>
        <n v="2003.1999999999998"/>
        <n v="1903.1999999999998"/>
        <n v="1803.1999999999998"/>
        <n v="1703.1999999999998"/>
        <n v="1603.1999999999998"/>
        <n v="1503.1999999999998"/>
        <n v="1403.1999999999998"/>
        <n v="1303.1999999999998"/>
        <n v="1203.1999999999998"/>
        <n v="1103.1999999999998"/>
        <n v="1003.1999999999998"/>
        <n v="903.19999999999982"/>
        <n v="803.19999999999982"/>
        <n v="703.19999999999982"/>
        <n v="603.19999999999982"/>
        <n v="503.19999999999982"/>
        <n v="403.19999999999982"/>
        <n v="303.19999999999982"/>
        <n v="203.19999999999982"/>
        <n v="103.19999999999982"/>
        <n v="3.1999999999998181"/>
        <m/>
        <n v="523.19999999999982" u="1"/>
        <n v="1583.1999999999998" u="1"/>
        <n v="2463.1999999999998" u="1"/>
        <n v="723.19999999999982" u="1"/>
        <n v="1273.1999999999998" u="1"/>
        <n v="1983.1999999999998" u="1"/>
        <n v="2553.1999999999998" u="1"/>
        <n v="923.19999999999982" u="1"/>
        <n v="1673.1999999999998" u="1"/>
        <n v="2643.2" u="1"/>
        <n v="73.199999999999818" u="1"/>
        <n v="1363.1999999999998" u="1"/>
        <n v="2733.2" u="1"/>
        <n v="613.19999999999982" u="1"/>
        <n v="1053.1999999999998" u="1"/>
        <n v="1763.1999999999998" u="1"/>
        <n v="2113.1999999999998" u="1"/>
        <n v="123.19999999999982" u="1"/>
        <n v="133.19999999999982" u="1"/>
        <n v="333.19999999999982" u="1"/>
        <n v="813.19999999999982" u="1"/>
        <n v="1453.1999999999998" u="1"/>
        <n v="183.19999999999982" u="1"/>
        <n v="433.19999999999982" u="1"/>
        <n v="1013.1999999999998" u="1"/>
        <n v="1143.1999999999998" u="1"/>
        <n v="1853.1999999999998" u="1"/>
        <n v="2293.1999999999998" u="1"/>
        <n v="233.19999999999982" u="1"/>
        <n v="1543.1999999999998" u="1"/>
        <n v="2383.1999999999998" u="1"/>
        <n v="1233.1999999999998" u="1"/>
        <n v="1943.1999999999998" u="1"/>
        <n v="2473.1999999999998" u="1"/>
        <n v="1633.1999999999998" u="1"/>
        <n v="2563.1999999999998" u="1"/>
        <n v="53.199999999999818" u="1"/>
        <n v="1323.1999999999998" u="1"/>
        <n v="2033.1999999999998" u="1"/>
        <n v="2653.2" u="1"/>
        <n v="593.19999999999982" u="1"/>
        <n v="1723.1999999999998" u="1"/>
        <n v="2743.2" u="1"/>
        <n v="323.19999999999982" u="1"/>
        <n v="793.19999999999982" u="1"/>
        <n v="1413.1999999999998" u="1"/>
        <n v="2123.1999999999998" u="1"/>
        <n v="423.19999999999982" u="1"/>
        <n v="993.19999999999982" u="1"/>
        <n v="1813.1999999999998" u="1"/>
        <n v="2213.1999999999998" u="1"/>
        <n v="683.19999999999982" u="1"/>
        <n v="1193.1999999999998" u="1"/>
        <n v="2393.1999999999998" u="1"/>
        <n v="883.19999999999982" u="1"/>
        <n v="1593.1999999999998" u="1"/>
        <n v="2483.1999999999998" u="1"/>
        <n v="1283.1999999999998" u="1"/>
        <n v="1993.1999999999998" u="1"/>
        <n v="2573.1999999999998" u="1"/>
        <n v="93.199999999999818" u="1"/>
        <n v="573.19999999999982" u="1"/>
        <n v="1683.1999999999998" u="1"/>
        <n v="2663.2" u="1"/>
        <n v="313.19999999999982" u="1"/>
        <n v="773.19999999999982" u="1"/>
        <n v="1373.1999999999998" u="1"/>
        <n v="2753.2" u="1"/>
        <n v="173.19999999999982" u="1"/>
        <n v="413.19999999999982" u="1"/>
        <n v="973.19999999999982" u="1"/>
        <n v="1063.1999999999998" u="1"/>
        <n v="1773.1999999999998" u="1"/>
        <n v="2133.1999999999998" u="1"/>
        <n v="223.19999999999982" u="1"/>
        <n v="1463.1999999999998" u="1"/>
        <n v="2223.1999999999998" u="1"/>
        <n v="663.19999999999982" u="1"/>
        <n v="1153.1999999999998" u="1"/>
        <n v="1863.1999999999998" u="1"/>
        <n v="2313.1999999999998" u="1"/>
        <n v="863.19999999999982" u="1"/>
        <n v="1553.1999999999998" u="1"/>
        <n v="1243.1999999999998" u="1"/>
        <n v="1953.1999999999998" u="1"/>
        <n v="2493.1999999999998" u="1"/>
        <n v="63.199999999999818" u="1"/>
        <n v="553.19999999999982" u="1"/>
        <n v="1643.1999999999998" u="1"/>
        <n v="2583.1999999999998" u="1"/>
        <n v="753.19999999999982" u="1"/>
        <n v="1333.1999999999998" u="1"/>
        <n v="2043.1999999999998" u="1"/>
        <n v="2673.2" u="1"/>
        <n v="953.19999999999982" u="1"/>
        <n v="1733.1999999999998" u="1"/>
        <n v="2053.1999999999998" u="1"/>
        <n v="2763.2" u="1"/>
        <n v="1423.1999999999998" u="1"/>
        <n v="2143.1999999999998" u="1"/>
        <n v="643.19999999999982" u="1"/>
        <n v="1113.1999999999998" u="1"/>
        <n v="1823.1999999999998" u="1"/>
        <n v="2233.1999999999998" u="1"/>
        <n v="843.19999999999982" u="1"/>
        <n v="1513.1999999999998" u="1"/>
        <n v="2323.1999999999998" u="1"/>
        <n v="1913.1999999999998" u="1"/>
        <n v="2413.1999999999998" u="1"/>
        <n v="533.19999999999982" u="1"/>
        <n v="113.19999999999982" u="1"/>
        <n v="293.19999999999982" u="1"/>
        <n v="733.19999999999982" u="1"/>
        <n v="1293.1999999999998" u="1"/>
        <n v="2593.1999999999998" u="1"/>
        <n v="163.19999999999982" u="1"/>
        <n v="393.19999999999982" u="1"/>
        <n v="933.19999999999982" u="1"/>
        <n v="1693.1999999999998" u="1"/>
        <n v="2683.2" u="1"/>
        <n v="213.19999999999982" u="1"/>
        <n v="493.19999999999982" u="1"/>
        <n v="1383.1999999999998" u="1"/>
        <n v="2063.1999999999998" u="1"/>
        <n v="2773.2" u="1"/>
        <n v="623.19999999999982" u="1"/>
        <n v="1073.1999999999998" u="1"/>
        <n v="1783.1999999999998" u="1"/>
        <n v="2153.1999999999998" u="1"/>
        <n v="823.19999999999982" u="1"/>
        <n v="1473.1999999999998" u="1"/>
        <n v="2243.1999999999998" u="1"/>
        <n v="1023.1999999999998" u="1"/>
        <n v="1163.1999999999998" u="1"/>
        <n v="1873.1999999999998" u="1"/>
        <n v="2333.1999999999998" u="1"/>
        <n v="513.19999999999982" u="1"/>
        <n v="1563.1999999999998" u="1"/>
        <n v="2423.1999999999998" u="1"/>
        <n v="283.19999999999982" u="1"/>
        <n v="713.19999999999982" u="1"/>
        <n v="1253.1999999999998" u="1"/>
        <n v="1963.1999999999998" u="1"/>
        <n v="2513.1999999999998" u="1"/>
        <n v="383.19999999999982" u="1"/>
        <n v="913.19999999999982" u="1"/>
        <n v="1653.1999999999998" u="1"/>
        <n v="483.19999999999982" u="1"/>
        <n v="1343.1999999999998" u="1"/>
        <n v="2693.2" u="1"/>
        <n v="1033.1999999999998" u="1"/>
        <n v="1743.1999999999998" u="1"/>
        <n v="2073.1999999999998" u="1"/>
        <n v="2783.2" u="1"/>
        <n v="1433.1999999999998" u="1"/>
        <n v="2163.1999999999998" u="1"/>
        <n v="1123.1999999999998" u="1"/>
        <n v="1833.1999999999998" u="1"/>
        <n v="2253.1999999999998" u="1"/>
        <n v="83.199999999999818" u="1"/>
        <n v="1523.1999999999998" u="1"/>
        <n v="2343.1999999999998" u="1"/>
        <n v="273.19999999999982" u="1"/>
        <n v="693.19999999999982" u="1"/>
        <n v="1213.1999999999998" u="1"/>
        <n v="1923.1999999999998" u="1"/>
        <n v="2433.1999999999998" u="1"/>
        <n v="13.199999999999818" u="1"/>
        <n v="153.19999999999982" u="1"/>
        <n v="373.19999999999982" u="1"/>
        <n v="893.19999999999982" u="1"/>
        <n v="1613.1999999999998" u="1"/>
        <n v="2523.1999999999998" u="1"/>
        <n v="473.19999999999982" u="1"/>
        <n v="2013.1999999999998" u="1"/>
        <n v="2613.1999999999998" u="1"/>
        <n v="253.19999999999982" u="1"/>
        <n v="583.19999999999982" u="1"/>
        <n v="33.199999999999818" u="1"/>
        <n v="783.19999999999982" u="1"/>
        <n v="1393.1999999999998" u="1"/>
        <n v="2083.1999999999998" u="1"/>
        <n v="2793.2" u="1"/>
        <n v="983.19999999999982" u="1"/>
        <n v="1083.1999999999998" u="1"/>
        <n v="1793.1999999999998" u="1"/>
        <n v="2173.1999999999998" u="1"/>
        <n v="1483.1999999999998" u="1"/>
        <n v="2263.1999999999998" u="1"/>
        <n v="263.19999999999982" u="1"/>
        <n v="673.19999999999982" u="1"/>
        <n v="1173.1999999999998" u="1"/>
        <n v="1883.1999999999998" u="1"/>
        <n v="2353.1999999999998" u="1"/>
        <n v="363.19999999999982" u="1"/>
        <n v="873.19999999999982" u="1"/>
        <n v="1573.1999999999998" u="1"/>
        <n v="2443.1999999999998" u="1"/>
        <n v="463.19999999999982" u="1"/>
        <n v="1263.1999999999998" u="1"/>
        <n v="1973.1999999999998" u="1"/>
        <n v="2533.1999999999998" u="1"/>
        <n v="563.19999999999982" u="1"/>
        <n v="1663.1999999999998" u="1"/>
        <n v="2623.2" u="1"/>
        <n v="763.19999999999982" u="1"/>
        <n v="1353.1999999999998" u="1"/>
        <n v="2713.2" u="1"/>
        <n v="963.19999999999982" u="1"/>
        <n v="1043.1999999999998" u="1"/>
        <n v="1753.1999999999998" u="1"/>
        <n v="2093.1999999999998" u="1"/>
        <n v="1443.1999999999998" u="1"/>
        <n v="2183.1999999999998" u="1"/>
        <n v="653.19999999999982" u="1"/>
        <n v="1133.1999999999998" u="1"/>
        <n v="1843.1999999999998" u="1"/>
        <n v="2273.1999999999998" u="1"/>
        <n v="143.19999999999982" u="1"/>
        <n v="353.19999999999982" u="1"/>
        <n v="853.19999999999982" u="1"/>
        <n v="1533.1999999999998" u="1"/>
        <n v="2363.1999999999998" u="1"/>
        <n v="193.19999999999982" u="1"/>
        <n v="453.19999999999982" u="1"/>
        <n v="1223.1999999999998" u="1"/>
        <n v="1933.1999999999998" u="1"/>
        <n v="2453.1999999999998" u="1"/>
        <n v="243.19999999999982" u="1"/>
        <n v="543.19999999999982" u="1"/>
        <n v="1623.1999999999998" u="1"/>
        <n v="2543.1999999999998" u="1"/>
        <n v="23.199999999999818" u="1"/>
        <n v="743.19999999999982" u="1"/>
        <n v="1313.1999999999998" u="1"/>
        <n v="2023.1999999999998" u="1"/>
        <n v="2633.2" u="1"/>
        <n v="43.199999999999818" u="1"/>
        <n v="943.19999999999982" u="1"/>
        <n v="1713.1999999999998" u="1"/>
        <n v="2723.2" u="1"/>
        <n v="633.19999999999982" u="1"/>
        <n v="1093.1999999999998" u="1"/>
        <n v="2193.1999999999998" u="1"/>
        <n v="343.19999999999982" u="1"/>
        <n v="833.19999999999982" u="1"/>
        <n v="1493.1999999999998" u="1"/>
        <n v="2283.1999999999998" u="1"/>
        <n v="443.19999999999982" u="1"/>
        <n v="1183.1999999999998" u="1"/>
        <n v="1893.1999999999998" u="1"/>
        <n v="2373.199999999999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ner Günaydin" refreshedDate="44889.716637847225" createdVersion="8" refreshedVersion="8" minRefreshableVersion="3" recordCount="80" xr:uid="{6C81FB74-87AF-4513-AF35-4E1911A06607}">
  <cacheSource type="worksheet">
    <worksheetSource name="Tabelle1"/>
  </cacheSource>
  <cacheFields count="6">
    <cacheField name="Jahr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Viertel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Tilgung" numFmtId="44">
      <sharedItems containsSemiMixedTypes="0" containsString="0" containsNumber="1" minValue="-133.41176470588235" maxValue="0"/>
    </cacheField>
    <cacheField name="Zinsen" numFmtId="44">
      <sharedItems containsSemiMixedTypes="0" containsString="0" containsNumber="1" minValue="-122.0184" maxValue="-1.7943882352942087"/>
    </cacheField>
    <cacheField name="Rate" numFmtId="44">
      <sharedItems containsSemiMixedTypes="0" containsString="0" containsNumber="1" minValue="-255.43016470588236" maxValue="-120.22401176470588"/>
    </cacheField>
    <cacheField name="Restschuld" numFmtId="44">
      <sharedItems containsSemiMixedTypes="0" containsString="0" containsNumber="1" minValue="-9072" maxValue="-6.7643668444361538E-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2">
  <r>
    <s v="Bestandssaldo"/>
    <m/>
    <n v="-217.78"/>
    <n v="-369.11"/>
    <n v="-458.81"/>
    <n v="-796.68"/>
    <n v="-1054.1500000000001"/>
    <n v="-1241.81"/>
    <n v="-1348.81"/>
    <n v="-1375.97"/>
    <n v="-1334.46"/>
    <n v="-2986.54"/>
    <n v="-2769.13"/>
    <n v="-2470.71"/>
    <n v="-2104.66"/>
    <n v="561.44000000000005"/>
    <n v="3084.1"/>
    <n v="5471.04"/>
    <n v="7729.57"/>
    <n v="9866.58"/>
    <n v="11888.63"/>
    <n v="13801.89"/>
    <x v="0"/>
    <x v="0"/>
  </r>
  <r>
    <s v="Bestandssaldo"/>
    <m/>
    <n v="168.25"/>
    <n v="334.12"/>
    <n v="497.69"/>
    <n v="659.05"/>
    <n v="818.28"/>
    <n v="975.45"/>
    <n v="1130.6500000000001"/>
    <n v="1283.95"/>
    <n v="1435.43"/>
    <n v="1585.16"/>
    <n v="1745.63"/>
    <n v="1904.68"/>
    <n v="2062.37"/>
    <n v="2218.77"/>
    <n v="2373.96"/>
    <n v="2527.9899999999998"/>
    <n v="2680.95"/>
    <n v="2832.89"/>
    <n v="2983.88"/>
    <n v="3133.98"/>
    <x v="1"/>
    <x v="0"/>
  </r>
  <r>
    <s v="Bestandssaldo"/>
    <m/>
    <n v="-239.27"/>
    <n v="-412.69"/>
    <n v="-524.91"/>
    <n v="-898.28"/>
    <n v="-1191.68"/>
    <n v="-1403.35"/>
    <n v="-1547.36"/>
    <n v="-1611.99"/>
    <n v="-1596.05"/>
    <n v="-3274.3"/>
    <n v="-3083.73"/>
    <n v="-2825.61"/>
    <n v="-2488.4299999999998"/>
    <n v="434.55"/>
    <n v="3200.27"/>
    <n v="5817.19"/>
    <n v="8293.32"/>
    <n v="10636.24"/>
    <n v="12853.1"/>
    <n v="14950.7"/>
    <x v="0"/>
    <x v="1"/>
  </r>
  <r>
    <s v="Bestandssaldo"/>
    <m/>
    <n v="161.36000000000001"/>
    <n v="320.42"/>
    <n v="477.24"/>
    <n v="631.91999999999996"/>
    <n v="784.53"/>
    <n v="935.14"/>
    <n v="1083.8399999999999"/>
    <n v="1243.1199999999999"/>
    <n v="1400.8"/>
    <n v="1556.96"/>
    <n v="1711.68"/>
    <n v="1865.01"/>
    <n v="2017.04"/>
    <n v="2167.8200000000002"/>
    <n v="2317.4299999999998"/>
    <n v="2465.9299999999998"/>
    <n v="2613.39"/>
    <n v="2759.87"/>
    <n v="2905.43"/>
    <n v="3050.13"/>
    <x v="1"/>
    <x v="1"/>
  </r>
  <r>
    <s v="Bestandssaldo"/>
    <m/>
    <n v="-273.18"/>
    <n v="-481.01"/>
    <n v="-627.97"/>
    <n v="-1024.0999999999999"/>
    <n v="-1340.79"/>
    <n v="-1588.79"/>
    <n v="-1757.19"/>
    <n v="-1846.78"/>
    <n v="-1868.85"/>
    <n v="-3585.58"/>
    <n v="-3434.08"/>
    <n v="-3203.31"/>
    <n v="-2906.9"/>
    <n v="-2529.48"/>
    <n v="536.13"/>
    <n v="3436.81"/>
    <n v="6181.44"/>
    <n v="8778.41"/>
    <n v="11235.65"/>
    <n v="13560.7"/>
    <x v="0"/>
    <x v="2"/>
  </r>
  <r>
    <s v="Bestandssaldo"/>
    <m/>
    <n v="154.47"/>
    <n v="306.70999999999998"/>
    <n v="456.79"/>
    <n v="604.79"/>
    <n v="750.78"/>
    <n v="907.26"/>
    <n v="1062.06"/>
    <n v="1215.24"/>
    <n v="1366.89"/>
    <n v="1517.08"/>
    <n v="1665.86"/>
    <n v="1813.31"/>
    <n v="1959.5"/>
    <n v="2104.4899999999998"/>
    <n v="2248.35"/>
    <n v="2391.13"/>
    <n v="2532.91"/>
    <n v="2673.74"/>
    <n v="2813.69"/>
    <n v="2952.81"/>
    <x v="1"/>
    <x v="2"/>
  </r>
  <r>
    <s v="Bestandssaldo"/>
    <m/>
    <n v="-294.67"/>
    <n v="-537.01"/>
    <n v="-718.82"/>
    <n v="-1150.23"/>
    <n v="-1502.63"/>
    <n v="-1774.44"/>
    <n v="-1967.22"/>
    <n v="-2094.1799999999998"/>
    <n v="-2141.7399999999998"/>
    <n v="-3884.53"/>
    <n v="-3759.78"/>
    <n v="-3568.85"/>
    <n v="-3300.79"/>
    <n v="-2965.26"/>
    <n v="-2547.44"/>
    <n v="638.49"/>
    <n v="3653.01"/>
    <n v="6505.35"/>
    <n v="9204.24"/>
    <n v="11757.93"/>
    <x v="0"/>
    <x v="3"/>
  </r>
  <r>
    <s v="Bestandssaldo"/>
    <m/>
    <n v="147.59"/>
    <n v="293.01"/>
    <n v="448.76"/>
    <n v="602.67999999999995"/>
    <n v="754.83"/>
    <n v="905.3"/>
    <n v="1054.1400000000001"/>
    <n v="1201.44"/>
    <n v="1347.26"/>
    <n v="1491.66"/>
    <n v="1634.72"/>
    <n v="1776.51"/>
    <n v="1917.07"/>
    <n v="2056.4899999999998"/>
    <n v="2194.81"/>
    <n v="2332.1"/>
    <n v="2468.4299999999998"/>
    <n v="2603.84"/>
    <n v="2738.4"/>
    <n v="2872.17"/>
    <x v="1"/>
    <x v="3"/>
  </r>
  <r>
    <s v="Bestandssaldo"/>
    <m/>
    <n v="-328.59"/>
    <n v="-592.91"/>
    <n v="-797.14"/>
    <n v="-1251.52"/>
    <n v="-1627.42"/>
    <n v="-1935.77"/>
    <n v="-2165.56"/>
    <n v="-2317.58"/>
    <n v="-2390.8200000000002"/>
    <n v="-4172.29"/>
    <n v="-4074.39"/>
    <n v="-3910.99"/>
    <n v="-3671.07"/>
    <n v="-3364.82"/>
    <n v="-2977.5"/>
    <n v="513.85"/>
    <n v="3817.37"/>
    <n v="6943.15"/>
    <n v="9900.77"/>
    <n v="12699.27"/>
    <x v="0"/>
    <x v="4"/>
  </r>
  <r>
    <s v="Bestandssaldo"/>
    <m/>
    <n v="153.12"/>
    <n v="304.33"/>
    <n v="453.7"/>
    <n v="601.29999999999995"/>
    <n v="747.2"/>
    <n v="891.48"/>
    <n v="1034.2"/>
    <n v="1175.43"/>
    <n v="1315.25"/>
    <n v="1453.7"/>
    <n v="1590.86"/>
    <n v="1726.79"/>
    <n v="1861.54"/>
    <n v="1995.19"/>
    <n v="2127.79"/>
    <n v="2259.4"/>
    <n v="2390.08"/>
    <n v="2519.87"/>
    <n v="2648.85"/>
    <n v="2777.06"/>
    <x v="1"/>
    <x v="4"/>
  </r>
  <r>
    <s v="Bestandssaldo"/>
    <m/>
    <n v="-362.5"/>
    <n v="-661.23"/>
    <n v="-900.2"/>
    <n v="-1389.76"/>
    <n v="-1801.28"/>
    <n v="-2133.33"/>
    <n v="-2387.4"/>
    <n v="-2576.69"/>
    <n v="-2687.74"/>
    <n v="-4495.0600000000004"/>
    <n v="-4436.1400000000003"/>
    <n v="-4299.8500000000004"/>
    <n v="-4100.1099999999997"/>
    <n v="-3822.49"/>
    <n v="-3477.48"/>
    <n v="-3056.17"/>
    <n v="604.01"/>
    <n v="4067.27"/>
    <n v="7344.21"/>
    <n v="10444.85"/>
    <x v="0"/>
    <x v="5"/>
  </r>
  <r>
    <s v="Bestandssaldo"/>
    <m/>
    <n v="146.22999999999999"/>
    <n v="290.62"/>
    <n v="433.24"/>
    <n v="574.16"/>
    <n v="713.45"/>
    <n v="851.17"/>
    <n v="987.39"/>
    <n v="1122.17"/>
    <n v="1255.5899999999999"/>
    <n v="1387.69"/>
    <n v="1518.55"/>
    <n v="1648.21"/>
    <n v="1776.75"/>
    <n v="1904.22"/>
    <n v="2030.67"/>
    <n v="2156.16"/>
    <n v="2280.75"/>
    <n v="2404.4899999999998"/>
    <n v="2527.4299999999998"/>
    <n v="2649.63"/>
    <x v="1"/>
    <x v="5"/>
  </r>
  <r>
    <s v="Bestandssaldo"/>
    <m/>
    <n v="-383.99"/>
    <n v="-704.81"/>
    <n v="-966.31"/>
    <n v="-1478.94"/>
    <n v="-1926.48"/>
    <n v="-2295.0700000000002"/>
    <n v="-2586.15"/>
    <n v="-2800.49"/>
    <n v="-2937.22"/>
    <n v="-4783.2299999999996"/>
    <n v="-4751.1499999999996"/>
    <n v="-4654.8"/>
    <n v="-4483.1000000000004"/>
    <n v="-4234.26"/>
    <n v="-3919.27"/>
    <n v="-3529.05"/>
    <n v="473.03"/>
    <n v="4259.79"/>
    <n v="7842.83"/>
    <n v="11233.1"/>
    <x v="0"/>
    <x v="6"/>
  </r>
  <r>
    <s v="Bestandssaldo"/>
    <m/>
    <n v="139.34"/>
    <n v="276.92"/>
    <n v="412.79"/>
    <n v="547.03"/>
    <n v="679.7"/>
    <n v="810.86"/>
    <n v="940.58"/>
    <n v="1068.9100000000001"/>
    <n v="1195.93"/>
    <n v="1321.69"/>
    <n v="1446.24"/>
    <n v="1569.64"/>
    <n v="1691.96"/>
    <n v="1813.24"/>
    <n v="1933.55"/>
    <n v="2052.92"/>
    <n v="2171.4299999999998"/>
    <n v="2289.1"/>
    <n v="2406.0100000000002"/>
    <n v="2522.1999999999998"/>
    <x v="1"/>
    <x v="6"/>
  </r>
  <r>
    <s v="Bestandssaldo"/>
    <m/>
    <n v="-417.91"/>
    <n v="-773.13"/>
    <n v="-1069.3699999999999"/>
    <n v="-1617.19"/>
    <n v="-2087.91"/>
    <n v="-2480.3000000000002"/>
    <n v="-2795.77"/>
    <n v="-3047.49"/>
    <n v="-3222.13"/>
    <n v="-5094.1000000000004"/>
    <n v="-5101.09"/>
    <n v="-5031.96"/>
    <n v="-4888.1099999999997"/>
    <n v="-4680.28"/>
    <n v="-4394.66"/>
    <n v="-4047.35"/>
    <n v="-3625.2"/>
    <n v="552.9"/>
    <n v="4506.22"/>
    <n v="8246.86"/>
    <x v="0"/>
    <x v="7"/>
  </r>
  <r>
    <s v="Bestandssaldo"/>
    <m/>
    <n v="132.46"/>
    <n v="263.20999999999998"/>
    <n v="392.34"/>
    <n v="519.9"/>
    <n v="645.94000000000005"/>
    <n v="770.55"/>
    <n v="893.76"/>
    <n v="1015.65"/>
    <n v="1136.27"/>
    <n v="1255.68"/>
    <n v="1373.93"/>
    <n v="1491.07"/>
    <n v="1607.17"/>
    <n v="1722.27"/>
    <n v="1836.43"/>
    <n v="1949.69"/>
    <n v="2062.1"/>
    <n v="2173.7199999999998"/>
    <n v="2284.59"/>
    <n v="2394.77"/>
    <x v="1"/>
    <x v="7"/>
  </r>
  <r>
    <s v="Bestandssaldo"/>
    <m/>
    <n v="-439.4"/>
    <n v="-816.71"/>
    <n v="-1135.47"/>
    <n v="-1706.36"/>
    <n v="-2213.11"/>
    <n v="-2642.05"/>
    <n v="-2994.52"/>
    <n v="-3271.29"/>
    <n v="-3471.61"/>
    <n v="-5382.26"/>
    <n v="-5416.1"/>
    <n v="-5374.49"/>
    <n v="-5271.21"/>
    <n v="-5092.1499999999996"/>
    <n v="-4848.55"/>
    <n v="-4531.68"/>
    <n v="-4141.1000000000004"/>
    <n v="-3687.55"/>
    <n v="640.76"/>
    <n v="4736.22"/>
    <x v="0"/>
    <x v="8"/>
  </r>
  <r>
    <s v="Bestandssaldo"/>
    <m/>
    <n v="125.57"/>
    <n v="249.51"/>
    <n v="371.89"/>
    <n v="492.76"/>
    <n v="612.19000000000005"/>
    <n v="730.24"/>
    <n v="846.95"/>
    <n v="962.39"/>
    <n v="1076.6199999999999"/>
    <n v="1189.67"/>
    <n v="1301.6199999999999"/>
    <n v="1412.5"/>
    <n v="1522.38"/>
    <n v="1631.3"/>
    <n v="1739.3"/>
    <n v="1846.45"/>
    <n v="1952.78"/>
    <n v="2058.34"/>
    <n v="2163.17"/>
    <n v="2267.33"/>
    <x v="1"/>
    <x v="8"/>
  </r>
  <r>
    <s v="Bestandssaldo"/>
    <m/>
    <n v="-473.31"/>
    <n v="-885.03"/>
    <n v="-1238.53"/>
    <n v="-1844.61"/>
    <n v="-2374.54"/>
    <n v="-2827.28"/>
    <n v="-3204.14"/>
    <n v="-3505.87"/>
    <n v="-3744.2"/>
    <n v="-5680.92"/>
    <n v="-5741.51"/>
    <n v="-5739.74"/>
    <n v="-5664.42"/>
    <n v="-5514.05"/>
    <n v="-5299.96"/>
    <n v="-5013.26"/>
    <n v="-4666.42"/>
    <n v="-4245.3999999999996"/>
    <n v="-3758.53"/>
    <n v="718.22"/>
    <x v="0"/>
    <x v="9"/>
  </r>
  <r>
    <s v="Bestandssaldo"/>
    <m/>
    <n v="118.68"/>
    <n v="235.8"/>
    <n v="351.43"/>
    <n v="465.63"/>
    <n v="578.44000000000005"/>
    <n v="689.93"/>
    <n v="800.14"/>
    <n v="909.13"/>
    <n v="1016.96"/>
    <n v="1123.67"/>
    <n v="1229.31"/>
    <n v="1333.93"/>
    <n v="1437.59"/>
    <n v="1540.32"/>
    <n v="1642.18"/>
    <n v="1743.21"/>
    <n v="1843.45"/>
    <n v="1942.95"/>
    <n v="2041.75"/>
    <n v="2139.9"/>
    <x v="1"/>
    <x v="9"/>
  </r>
  <r>
    <s v="Bestandssaldo"/>
    <m/>
    <n v="-507.23"/>
    <n v="-953.35"/>
    <n v="-1341.6"/>
    <n v="-1982.85"/>
    <n v="-2548.4"/>
    <n v="-3037.26"/>
    <n v="-3450.72"/>
    <n v="-3789.52"/>
    <n v="-4053.02"/>
    <n v="-6027.91"/>
    <n v="-6127.27"/>
    <n v="-6152.42"/>
    <n v="-6104.64"/>
    <n v="-5994.99"/>
    <n v="-5809.91"/>
    <n v="-5565.3"/>
    <n v="-5248.72"/>
    <n v="-4859.24"/>
    <n v="-4405.37"/>
    <n v="562.79"/>
    <x v="0"/>
    <x v="10"/>
  </r>
  <r>
    <s v="Bestandssaldo"/>
    <m/>
    <n v="111.79"/>
    <n v="222.1"/>
    <n v="330.98"/>
    <n v="438.49"/>
    <n v="544.69000000000005"/>
    <n v="649.61"/>
    <n v="753.33"/>
    <n v="855.87"/>
    <n v="957.3"/>
    <n v="1057.6600000000001"/>
    <n v="1157"/>
    <n v="1255.3599999999999"/>
    <n v="1352.8"/>
    <n v="1449.35"/>
    <n v="1545.06"/>
    <n v="1639.97"/>
    <n v="1734.13"/>
    <n v="1827.57"/>
    <n v="1920.34"/>
    <n v="2012.47"/>
    <x v="1"/>
    <x v="10"/>
  </r>
  <r>
    <s v="Bestandssaldo"/>
    <m/>
    <n v="-528.72"/>
    <n v="-996.92"/>
    <n v="-1407.7"/>
    <n v="-2072.0300000000002"/>
    <n v="-2661.18"/>
    <n v="-3174.26"/>
    <n v="-3612.52"/>
    <n v="-3976.67"/>
    <n v="-4278.6000000000004"/>
    <n v="-6279.95"/>
    <n v="-6406.46"/>
    <n v="-6459.43"/>
    <n v="-6452.52"/>
    <n v="-6371.95"/>
    <n v="-6216.76"/>
    <n v="-6002.7"/>
    <n v="-5717.35"/>
    <n v="-5372.41"/>
    <n v="-4952.1000000000004"/>
    <n v="-4470.8900000000003"/>
    <x v="0"/>
    <x v="11"/>
  </r>
  <r>
    <s v="Bestandssaldo"/>
    <m/>
    <n v="104.9"/>
    <n v="208.39"/>
    <n v="310.52999999999997"/>
    <n v="411.36"/>
    <n v="510.94"/>
    <n v="609.29999999999995"/>
    <n v="706.51"/>
    <n v="802.61"/>
    <n v="897.64"/>
    <n v="991.65"/>
    <n v="1084.69"/>
    <n v="1176.79"/>
    <n v="1268.01"/>
    <n v="1358.38"/>
    <n v="1447.94"/>
    <n v="1536.73"/>
    <n v="1624.8"/>
    <n v="1712.18"/>
    <n v="1798.92"/>
    <n v="1885.04"/>
    <x v="1"/>
    <x v="11"/>
  </r>
  <r>
    <s v="Bestandssaldo"/>
    <m/>
    <n v="-562.63"/>
    <n v="-1065.24"/>
    <n v="-1510.76"/>
    <n v="-2210.27"/>
    <n v="-2835.03"/>
    <n v="-3384.24"/>
    <n v="-3859.1"/>
    <n v="-4260.32"/>
    <n v="-4587.42"/>
    <n v="-6626.95"/>
    <n v="-6792.22"/>
    <n v="-6884.53"/>
    <n v="-6905.07"/>
    <n v="-6852.67"/>
    <n v="-6738.92"/>
    <n v="-6554.43"/>
    <n v="-6299.33"/>
    <n v="-5985.41"/>
    <n v="-5597.38"/>
    <n v="-5149.83"/>
    <x v="0"/>
    <x v="12"/>
  </r>
  <r>
    <s v="Bestandssaldo"/>
    <m/>
    <n v="98.01"/>
    <n v="194.69"/>
    <n v="290.08"/>
    <n v="384.23"/>
    <n v="477.18"/>
    <n v="568.99"/>
    <n v="659.7"/>
    <n v="749.35"/>
    <n v="837.99"/>
    <n v="925.65"/>
    <n v="1012.38"/>
    <n v="1098.22"/>
    <n v="1183.22"/>
    <n v="1267.4000000000001"/>
    <n v="1350.81"/>
    <n v="1433.49"/>
    <n v="1515.47"/>
    <n v="1596.8"/>
    <n v="1677.5"/>
    <n v="1757.61"/>
    <x v="1"/>
    <x v="12"/>
  </r>
  <r>
    <s v="Bestandssaldo"/>
    <m/>
    <n v="-584.12"/>
    <n v="-1108.82"/>
    <n v="-1576.87"/>
    <n v="-2299.4499999999998"/>
    <n v="-2947.81"/>
    <n v="-3521.24"/>
    <n v="-4020.89"/>
    <n v="-4447.4799999999996"/>
    <n v="-4800.57"/>
    <n v="-6866.66"/>
    <n v="-7059.2"/>
    <n v="-7179.43"/>
    <n v="-7228.52"/>
    <n v="-7217.83"/>
    <n v="-7134.07"/>
    <n v="-6980.23"/>
    <n v="-6768.88"/>
    <n v="-6486.93"/>
    <n v="-6144.25"/>
    <n v="-5730.89"/>
    <x v="0"/>
    <x v="13"/>
  </r>
  <r>
    <s v="Bestandssaldo"/>
    <m/>
    <n v="91.12"/>
    <n v="180.98"/>
    <n v="269.63"/>
    <n v="357.09"/>
    <n v="443.43"/>
    <n v="528.67999999999995"/>
    <n v="612.89"/>
    <n v="696.09"/>
    <n v="778.33"/>
    <n v="859.64"/>
    <n v="940.07"/>
    <n v="1019.65"/>
    <n v="1098.43"/>
    <n v="1176.43"/>
    <n v="1253.69"/>
    <n v="1330.25"/>
    <n v="1418.57"/>
    <n v="1506.44"/>
    <n v="1593.89"/>
    <n v="1680.96"/>
    <x v="1"/>
    <x v="13"/>
  </r>
  <r>
    <s v="Bestandssaldo"/>
    <m/>
    <n v="-618.04"/>
    <n v="-1177.1400000000001"/>
    <n v="-1679.93"/>
    <n v="-2437.69"/>
    <n v="-3121.67"/>
    <n v="-3731.22"/>
    <n v="-4267.47"/>
    <n v="-4731.12"/>
    <n v="-5121.8100000000004"/>
    <n v="-7225.98"/>
    <n v="-7444.75"/>
    <n v="-7591.9"/>
    <n v="-7680.96"/>
    <n v="-7698.46"/>
    <n v="-7643.71"/>
    <n v="-7531.96"/>
    <n v="-7350.87"/>
    <n v="-7099.93"/>
    <n v="-6789.23"/>
    <n v="-6408.66"/>
    <x v="0"/>
    <x v="14"/>
  </r>
  <r>
    <s v="Bestandssaldo"/>
    <m/>
    <n v="84.24"/>
    <n v="167.28"/>
    <n v="249.17"/>
    <n v="329.96"/>
    <n v="409.68"/>
    <n v="488.37"/>
    <n v="566.08000000000004"/>
    <n v="642.83000000000004"/>
    <n v="718.67"/>
    <n v="793.64"/>
    <n v="880.19"/>
    <n v="966.11"/>
    <n v="1051.45"/>
    <n v="1136.23"/>
    <n v="1220.5"/>
    <n v="1304.28"/>
    <n v="1387.62"/>
    <n v="1470.55"/>
    <n v="1553.1"/>
    <n v="1635.31"/>
    <x v="1"/>
    <x v="14"/>
  </r>
  <r>
    <s v="Bestandssaldo"/>
    <m/>
    <n v="-651.95000000000005"/>
    <n v="-1233.04"/>
    <n v="-1758.25"/>
    <n v="-2538.98"/>
    <n v="-3246.45"/>
    <n v="-3880.12"/>
    <n v="-4441.07"/>
    <n v="-4929.9799999999996"/>
    <n v="-5346.56"/>
    <n v="-7489.63"/>
    <n v="-7747.88"/>
    <n v="-7935.07"/>
    <n v="-8052.27"/>
    <n v="-8098.64"/>
    <n v="-8086.01"/>
    <n v="-8004.51"/>
    <n v="-7854.35"/>
    <n v="-7635.09"/>
    <n v="-7357.02"/>
    <n v="-7009.91"/>
    <x v="0"/>
    <x v="15"/>
  </r>
  <r>
    <s v="Bestandssaldo"/>
    <m/>
    <n v="77.349999999999994"/>
    <n v="153.57"/>
    <n v="228.72"/>
    <n v="302.83"/>
    <n v="375.93"/>
    <n v="460.49"/>
    <n v="544.29"/>
    <n v="627.38"/>
    <n v="709.79"/>
    <n v="791.56"/>
    <n v="872.72"/>
    <n v="953.31"/>
    <n v="1033.3699999999999"/>
    <n v="1112.92"/>
    <n v="1192.01"/>
    <n v="1270.6600000000001"/>
    <n v="1348.91"/>
    <n v="1426.79"/>
    <n v="1504.33"/>
    <n v="1581.57"/>
    <x v="1"/>
    <x v="15"/>
  </r>
  <r>
    <s v="Bestandssaldo"/>
    <m/>
    <n v="-673.44"/>
    <n v="-1289.04"/>
    <n v="-1849.09"/>
    <n v="-2665.11"/>
    <n v="-3408.3"/>
    <n v="-4078.2"/>
    <n v="-4675.8500000000004"/>
    <n v="-5201.92"/>
    <n v="-5656.2"/>
    <n v="-7825.01"/>
    <n v="-8109.7"/>
    <n v="-8324.01"/>
    <n v="-8468.9599999999991"/>
    <n v="-8556.25"/>
    <n v="-8572.83"/>
    <n v="-8521.2000000000007"/>
    <n v="-8401.58"/>
    <n v="-8226.06"/>
    <n v="-7980.15"/>
    <n v="-7666.03"/>
    <x v="0"/>
    <x v="16"/>
  </r>
  <r>
    <s v="Bestandssaldo"/>
    <m/>
    <n v="82.88"/>
    <n v="164.9"/>
    <n v="246.08"/>
    <n v="326.47000000000003"/>
    <n v="406.1"/>
    <n v="485.02"/>
    <n v="563.25"/>
    <n v="640.83000000000004"/>
    <n v="717.8"/>
    <n v="794.19"/>
    <n v="870.03"/>
    <n v="945.36"/>
    <n v="1020.2"/>
    <n v="1094.5999999999999"/>
    <n v="1168.58"/>
    <n v="1242.17"/>
    <n v="1315.4"/>
    <n v="1388.31"/>
    <n v="1460.91"/>
    <n v="1533.25"/>
    <x v="1"/>
    <x v="16"/>
  </r>
  <r>
    <s v="Bestandssaldo"/>
    <m/>
    <n v="-707.36"/>
    <n v="-1357.36"/>
    <n v="-1939.73"/>
    <n v="-2778.61"/>
    <n v="-3545.2"/>
    <n v="-4239.1099999999997"/>
    <n v="-4861.3500000000004"/>
    <n v="-5412.59"/>
    <n v="-5892.66"/>
    <n v="-8100.26"/>
    <n v="-8411.91"/>
    <n v="-8666.26"/>
    <n v="-8851.7900000000009"/>
    <n v="-8967.85"/>
    <n v="-9014.0300000000007"/>
    <n v="-8992.66"/>
    <n v="-8916.41"/>
    <n v="-8772.4599999999991"/>
    <n v="-8559.1"/>
    <n v="-8290.76"/>
    <x v="0"/>
    <x v="17"/>
  </r>
  <r>
    <s v="Bestandssaldo"/>
    <m/>
    <n v="75.989999999999995"/>
    <n v="151.19"/>
    <n v="225.63"/>
    <n v="299.33999999999997"/>
    <n v="372.35"/>
    <n v="444.71"/>
    <n v="516.44000000000005"/>
    <n v="587.57000000000005"/>
    <n v="658.14"/>
    <n v="728.18"/>
    <n v="797.72"/>
    <n v="866.79"/>
    <n v="935.41"/>
    <n v="1003.62"/>
    <n v="1071.45"/>
    <n v="1138.93"/>
    <n v="1206.07"/>
    <n v="1272.92"/>
    <n v="1339.49"/>
    <n v="1405.82"/>
    <x v="1"/>
    <x v="17"/>
  </r>
  <r>
    <s v="Bestandssaldo"/>
    <m/>
    <n v="-728.85"/>
    <n v="-1400.94"/>
    <n v="-2018.26"/>
    <n v="-2892.53"/>
    <n v="-3694.93"/>
    <n v="-4425.18"/>
    <n v="-5084.22"/>
    <n v="-5660.3"/>
    <n v="-6165.85"/>
    <n v="-8399.51"/>
    <n v="-8750.33"/>
    <n v="-9032"/>
    <n v="-9245.4699999999993"/>
    <n v="-9390.2199999999993"/>
    <n v="-9465.91"/>
    <n v="-9487.1200000000008"/>
    <n v="-9441.6200000000008"/>
    <n v="-9329.17"/>
    <n v="-9148.26"/>
    <n v="-8913.19"/>
    <x v="0"/>
    <x v="18"/>
  </r>
  <r>
    <s v="Bestandssaldo"/>
    <m/>
    <n v="69.11"/>
    <n v="137.49"/>
    <n v="205.18"/>
    <n v="272.2"/>
    <n v="338.6"/>
    <n v="404.4"/>
    <n v="469.62"/>
    <n v="534.30999999999995"/>
    <n v="598.48"/>
    <n v="662.17"/>
    <n v="725.41"/>
    <n v="788.22"/>
    <n v="850.62"/>
    <n v="912.65"/>
    <n v="974.33"/>
    <n v="1035.69"/>
    <n v="1096.75"/>
    <n v="1157.54"/>
    <n v="1218.08"/>
    <n v="1278.3900000000001"/>
    <x v="1"/>
    <x v="18"/>
  </r>
  <r>
    <s v="Bestandssaldo"/>
    <m/>
    <n v="-762.77"/>
    <n v="-1469.26"/>
    <n v="-2121.3200000000002"/>
    <n v="-3018.35"/>
    <n v="-3844.05"/>
    <n v="-4598.2"/>
    <n v="-5281.73"/>
    <n v="-5895.3"/>
    <n v="-6438.86"/>
    <n v="-8711"/>
    <n v="-9088.4599999999991"/>
    <n v="-9397.4500000000007"/>
    <n v="-9638.8799999999992"/>
    <n v="-9824.74"/>
    <n v="-9942.25"/>
    <n v="-9993.42"/>
    <n v="-9978.56"/>
    <n v="-9897.51"/>
    <n v="-9761.3700000000008"/>
    <n v="-9559.3700000000008"/>
    <x v="0"/>
    <x v="19"/>
  </r>
  <r>
    <s v="Bestandssaldo"/>
    <m/>
    <n v="62.22"/>
    <n v="123.78"/>
    <n v="184.72"/>
    <n v="245.07"/>
    <n v="304.85000000000002"/>
    <n v="364.09"/>
    <n v="422.81"/>
    <n v="481.05"/>
    <n v="538.83000000000004"/>
    <n v="596.16999999999996"/>
    <n v="653.1"/>
    <n v="709.65"/>
    <n v="765.83"/>
    <n v="821.68"/>
    <n v="877.21"/>
    <n v="932.45"/>
    <n v="987.42"/>
    <n v="1042.1500000000001"/>
    <n v="1096.6600000000001"/>
    <n v="1150.96"/>
    <x v="1"/>
    <x v="19"/>
  </r>
  <r>
    <s v="Bestandssaldo"/>
    <m/>
    <n v="-796.68"/>
    <n v="-1525.15"/>
    <n v="-2199.64"/>
    <n v="-3132.06"/>
    <n v="-3993.58"/>
    <n v="-4784.0600000000004"/>
    <n v="-5491.97"/>
    <n v="-6130.49"/>
    <n v="-6699.63"/>
    <n v="-8997.94"/>
    <n v="-9414.68"/>
    <n v="-9763.52"/>
    <n v="-10045.31"/>
    <n v="-10259.75"/>
    <n v="-10406.66"/>
    <n v="-10487.89"/>
    <n v="-10503.76"/>
    <n v="-10466.64"/>
    <n v="-10362.85"/>
    <n v="-10194.02"/>
    <x v="0"/>
    <x v="20"/>
  </r>
  <r>
    <s v="Bestandssaldo"/>
    <m/>
    <n v="55.33"/>
    <n v="110.08"/>
    <n v="164.27"/>
    <n v="217.94"/>
    <n v="271.10000000000002"/>
    <n v="323.77999999999997"/>
    <n v="376"/>
    <n v="427.79"/>
    <n v="479.17"/>
    <n v="530.16"/>
    <n v="580.79"/>
    <n v="631.08000000000004"/>
    <n v="681.04"/>
    <n v="730.7"/>
    <n v="780.09"/>
    <n v="829.21"/>
    <n v="878.1"/>
    <n v="926.77"/>
    <n v="975.24"/>
    <n v="1023.53"/>
    <x v="1"/>
    <x v="20"/>
  </r>
  <r>
    <s v="Bestandssaldo"/>
    <m/>
    <n v="-818.17"/>
    <n v="-1581.16"/>
    <n v="-2290.4899999999998"/>
    <n v="-3245.77"/>
    <n v="-4130.68"/>
    <n v="-4945.18"/>
    <n v="-5690.11"/>
    <n v="-6366.1"/>
    <n v="-6973.25"/>
    <n v="-9310.0400000000009"/>
    <n v="-9753.42"/>
    <n v="-10129.56"/>
    <n v="-10439.299999999999"/>
    <n v="-10682.42"/>
    <n v="-10858.84"/>
    <n v="-10970.23"/>
    <n v="-11029.38"/>
    <n v="-11023.74"/>
    <n v="-10952.4"/>
    <n v="-10816.84"/>
    <x v="0"/>
    <x v="21"/>
  </r>
  <r>
    <s v="Bestandssaldo"/>
    <m/>
    <n v="48.44"/>
    <n v="96.37"/>
    <n v="143.82"/>
    <n v="190.8"/>
    <n v="237.34"/>
    <n v="283.47000000000003"/>
    <n v="329.19"/>
    <n v="374.53"/>
    <n v="419.51"/>
    <n v="464.16"/>
    <n v="508.48"/>
    <n v="552.51"/>
    <n v="596.25"/>
    <n v="639.73"/>
    <n v="682.96"/>
    <n v="725.97"/>
    <n v="768.77"/>
    <n v="811.38"/>
    <n v="853.82"/>
    <n v="896.1"/>
    <x v="1"/>
    <x v="21"/>
  </r>
  <r>
    <s v="Bestandssaldo"/>
    <m/>
    <n v="-852.09"/>
    <n v="-1637.05"/>
    <n v="-2368.81"/>
    <n v="-3359.48"/>
    <n v="-4280.21"/>
    <n v="-5131.04"/>
    <n v="-5900.35"/>
    <n v="-6601.29"/>
    <n v="-7234.03"/>
    <n v="-9596.9699999999993"/>
    <n v="-10067.209999999999"/>
    <n v="-10470.879999999999"/>
    <n v="-10808.78"/>
    <n v="-11080.79"/>
    <n v="-11299.34"/>
    <n v="-11453.42"/>
    <n v="-11543.4"/>
    <n v="-11569.36"/>
    <n v="-11530.57"/>
    <n v="-11428.37"/>
    <x v="0"/>
    <x v="22"/>
  </r>
  <r>
    <s v="Bestandssaldo"/>
    <m/>
    <n v="41.55"/>
    <n v="82.67"/>
    <n v="123.37"/>
    <n v="163.66999999999999"/>
    <n v="203.59"/>
    <n v="243.15"/>
    <n v="282.37"/>
    <n v="321.27"/>
    <n v="359.85"/>
    <n v="398.15"/>
    <n v="436.17"/>
    <n v="473.94"/>
    <n v="511.46"/>
    <n v="548.75"/>
    <n v="585.84"/>
    <n v="622.74"/>
    <n v="659.45"/>
    <n v="696"/>
    <n v="732.4"/>
    <n v="768.66"/>
    <x v="1"/>
    <x v="22"/>
  </r>
  <r>
    <s v="Bestandssaldo"/>
    <m/>
    <n v="-873.58"/>
    <n v="-1693.05"/>
    <n v="-2459.65"/>
    <n v="-3485.62"/>
    <n v="-4429.63"/>
    <n v="-5304.37"/>
    <n v="-6110.59"/>
    <n v="-6848.91"/>
    <n v="-7519.55"/>
    <n v="-9920.8700000000008"/>
    <n v="-10430.07"/>
    <n v="-10873.28"/>
    <n v="-11251.23"/>
    <n v="-11563.94"/>
    <n v="-11811.48"/>
    <n v="-11995.21"/>
    <n v="-12115.53"/>
    <n v="-12172.58"/>
    <n v="-12165.85"/>
    <n v="-12108.96"/>
    <x v="0"/>
    <x v="23"/>
  </r>
  <r>
    <s v="Bestandssaldo"/>
    <m/>
    <n v="34.659999999999997"/>
    <n v="68.959999999999994"/>
    <n v="102.92"/>
    <n v="136.54"/>
    <n v="169.84"/>
    <n v="202.84"/>
    <n v="235.56"/>
    <n v="268.01"/>
    <n v="300.2"/>
    <n v="332.14"/>
    <n v="363.86"/>
    <n v="395.37"/>
    <n v="426.67"/>
    <n v="457.78"/>
    <n v="488.72"/>
    <n v="519.5"/>
    <n v="550.12"/>
    <n v="580.61"/>
    <n v="610.98"/>
    <n v="641.23"/>
    <x v="1"/>
    <x v="23"/>
  </r>
  <r>
    <s v="Bestandssaldo"/>
    <m/>
    <n v="-907.49"/>
    <n v="-1761.38"/>
    <n v="-2550.29"/>
    <n v="-3599.12"/>
    <n v="-4578.95"/>
    <n v="-5490.02"/>
    <n v="-6320.63"/>
    <n v="-7083.9"/>
    <n v="-7780.12"/>
    <n v="-10207.61"/>
    <n v="-10743.67"/>
    <n v="-11214.4"/>
    <n v="-11620.51"/>
    <n v="-11962.11"/>
    <n v="-12239.37"/>
    <n v="-12453.47"/>
    <n v="-12604.84"/>
    <n v="-12693.69"/>
    <n v="-12732.14"/>
    <n v="-12708.72"/>
    <x v="0"/>
    <x v="24"/>
  </r>
  <r>
    <s v="Bestandssaldo"/>
    <m/>
    <n v="27.77"/>
    <n v="55.26"/>
    <n v="82.46"/>
    <n v="109.4"/>
    <n v="136.09"/>
    <n v="162.53"/>
    <n v="188.75"/>
    <n v="214.75"/>
    <n v="240.54"/>
    <n v="266.14"/>
    <n v="291.55"/>
    <n v="316.79000000000002"/>
    <n v="341.88"/>
    <n v="366.81"/>
    <n v="391.6"/>
    <n v="416.26"/>
    <n v="440.8"/>
    <n v="465.23"/>
    <n v="489.56"/>
    <n v="513.79999999999995"/>
    <x v="1"/>
    <x v="24"/>
  </r>
  <r>
    <s v="Bestandssaldo"/>
    <m/>
    <n v="-941.41"/>
    <n v="-1817.27"/>
    <n v="-2641.03"/>
    <n v="-3725.15"/>
    <n v="-4728.2700000000004"/>
    <n v="-5663.25"/>
    <n v="-6530.77"/>
    <n v="-7331.41"/>
    <n v="-8053.12"/>
    <n v="-10519.09"/>
    <n v="-11094.22"/>
    <n v="-11592.16"/>
    <n v="-12026.12"/>
    <n v="-12396.3"/>
    <n v="-12702.96"/>
    <n v="-12947.13"/>
    <n v="-13141.67"/>
    <n v="-13274.35"/>
    <n v="-13345.05"/>
    <n v="-13354.69"/>
    <x v="0"/>
    <x v="25"/>
  </r>
  <r>
    <s v="Bestandssaldo"/>
    <m/>
    <n v="20.89"/>
    <n v="41.55"/>
    <n v="62.01"/>
    <n v="82.27"/>
    <n v="102.34"/>
    <n v="122.22"/>
    <n v="141.94"/>
    <n v="161.49"/>
    <n v="180.88"/>
    <n v="200.13"/>
    <n v="219.24"/>
    <n v="238.22"/>
    <n v="257.08999999999997"/>
    <n v="275.83"/>
    <n v="294.48"/>
    <n v="313.02"/>
    <n v="331.47"/>
    <n v="349.85"/>
    <n v="368.14"/>
    <n v="386.37"/>
    <x v="1"/>
    <x v="25"/>
  </r>
  <r>
    <s v="Bestandssaldo"/>
    <m/>
    <n v="-962.9"/>
    <n v="-1873.27"/>
    <n v="-2719.46"/>
    <n v="-3826.54"/>
    <n v="-4865.59"/>
    <n v="-5837"/>
    <n v="-6729"/>
    <n v="-7554.7"/>
    <n v="-8314.52"/>
    <n v="-10806.64"/>
    <n v="-11408.62"/>
    <n v="-11946.51"/>
    <n v="-12420.94"/>
    <n v="-12832.22"/>
    <n v="-13180.7"/>
    <n v="-13467.24"/>
    <n v="-13692.3"/>
    <n v="-13856.25"/>
    <n v="-13959.19"/>
    <n v="-14001.9"/>
    <x v="0"/>
    <x v="26"/>
  </r>
  <r>
    <s v="Bestandssaldo"/>
    <m/>
    <n v="14"/>
    <n v="27.85"/>
    <n v="41.56"/>
    <n v="55.14"/>
    <n v="68.58"/>
    <n v="81.91"/>
    <n v="95.12"/>
    <n v="108.23"/>
    <n v="121.22"/>
    <n v="134.12"/>
    <n v="146.93"/>
    <n v="159.65"/>
    <n v="172.29"/>
    <n v="184.86"/>
    <n v="197.35"/>
    <n v="209.78"/>
    <n v="222.15"/>
    <n v="234.46"/>
    <n v="246.72"/>
    <n v="258.94"/>
    <x v="1"/>
    <x v="26"/>
  </r>
  <r>
    <s v="Bestandssaldo"/>
    <m/>
    <n v="-996.81"/>
    <n v="-1929.17"/>
    <n v="-2810.2"/>
    <n v="-3952.57"/>
    <n v="-5014.91"/>
    <n v="-6010.23"/>
    <n v="-6939.14"/>
    <n v="-7802.22"/>
    <n v="-8587.51"/>
    <n v="-11118.12"/>
    <n v="-11746.74"/>
    <n v="-12311.95"/>
    <n v="-12814.33"/>
    <n v="-13254.3"/>
    <n v="-13632.29"/>
    <n v="-13949"/>
    <n v="-14204.91"/>
    <n v="-14400.46"/>
    <n v="-14535.96"/>
    <n v="-14612.05"/>
    <x v="0"/>
    <x v="27"/>
  </r>
  <r>
    <s v="Bestandssaldo"/>
    <m/>
    <n v="7.11"/>
    <n v="14.14"/>
    <n v="21.11"/>
    <n v="28"/>
    <n v="34.83"/>
    <n v="41.6"/>
    <n v="48.31"/>
    <n v="54.96"/>
    <n v="61.57"/>
    <n v="68.12"/>
    <n v="74.62"/>
    <n v="81.08"/>
    <n v="87.5"/>
    <n v="93.89"/>
    <n v="100.23"/>
    <n v="106.54"/>
    <n v="112.82"/>
    <n v="119.08"/>
    <n v="125.3"/>
    <n v="131.51"/>
    <x v="1"/>
    <x v="27"/>
  </r>
  <r>
    <s v="Bestandssaldo"/>
    <m/>
    <n v="-1018.3"/>
    <n v="-1985.17"/>
    <n v="-2901.05"/>
    <n v="-4066.28"/>
    <n v="-5164.4399999999996"/>
    <n v="-6196.09"/>
    <n v="-7149.38"/>
    <n v="-8037.41"/>
    <n v="-8860.7099999999991"/>
    <n v="-11417.38"/>
    <n v="-12085.18"/>
    <n v="-12690.13"/>
    <n v="-13220.35"/>
    <n v="-13688.89"/>
    <n v="-14096.29"/>
    <n v="-14443.05"/>
    <n v="-14729.71"/>
    <n v="-14956.77"/>
    <n v="-15124.72"/>
    <n v="-15234.08"/>
    <x v="0"/>
    <x v="28"/>
  </r>
  <r>
    <s v="Bestandssaldo"/>
    <m/>
    <n v="0.22"/>
    <n v="0.44"/>
    <n v="0.65"/>
    <n v="0.85"/>
    <n v="1.05"/>
    <n v="1.26"/>
    <n v="1.47"/>
    <n v="1.67"/>
    <n v="1.88"/>
    <n v="2.08"/>
    <n v="2.2799999999999998"/>
    <n v="2.48"/>
    <n v="2.68"/>
    <n v="2.88"/>
    <n v="3.07"/>
    <n v="3.27"/>
    <n v="3.46"/>
    <n v="3.65"/>
    <n v="3.85"/>
    <n v="4.04"/>
    <x v="1"/>
    <x v="28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  <r>
    <m/>
    <m/>
    <m/>
    <m/>
    <m/>
    <m/>
    <m/>
    <m/>
    <m/>
    <m/>
    <m/>
    <m/>
    <m/>
    <m/>
    <m/>
    <m/>
    <m/>
    <m/>
    <m/>
    <m/>
    <m/>
    <m/>
    <x v="2"/>
    <x v="2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x v="0"/>
    <n v="0"/>
    <n v="-122.0184"/>
    <n v="-122.0184"/>
    <n v="-9072"/>
  </r>
  <r>
    <x v="0"/>
    <x v="1"/>
    <n v="0"/>
    <n v="-122.0184"/>
    <n v="-122.0184"/>
    <n v="-9072"/>
  </r>
  <r>
    <x v="0"/>
    <x v="2"/>
    <n v="0"/>
    <n v="-122.0184"/>
    <n v="-122.0184"/>
    <n v="-9072"/>
  </r>
  <r>
    <x v="0"/>
    <x v="3"/>
    <n v="0"/>
    <n v="-122.0184"/>
    <n v="-122.0184"/>
    <n v="-9072"/>
  </r>
  <r>
    <x v="1"/>
    <x v="0"/>
    <n v="0"/>
    <n v="-122.0184"/>
    <n v="-122.0184"/>
    <n v="-9072"/>
  </r>
  <r>
    <x v="1"/>
    <x v="1"/>
    <n v="0"/>
    <n v="-122.0184"/>
    <n v="-122.0184"/>
    <n v="-9072"/>
  </r>
  <r>
    <x v="1"/>
    <x v="2"/>
    <n v="0"/>
    <n v="-122.0184"/>
    <n v="-122.0184"/>
    <n v="-9072"/>
  </r>
  <r>
    <x v="1"/>
    <x v="3"/>
    <n v="0"/>
    <n v="-122.0184"/>
    <n v="-122.0184"/>
    <n v="-9072"/>
  </r>
  <r>
    <x v="2"/>
    <x v="0"/>
    <n v="0"/>
    <n v="-122.0184"/>
    <n v="-122.0184"/>
    <n v="-9072"/>
  </r>
  <r>
    <x v="2"/>
    <x v="1"/>
    <n v="0"/>
    <n v="-122.0184"/>
    <n v="-122.0184"/>
    <n v="-9072"/>
  </r>
  <r>
    <x v="2"/>
    <x v="2"/>
    <n v="0"/>
    <n v="-122.0184"/>
    <n v="-122.0184"/>
    <n v="-9072"/>
  </r>
  <r>
    <x v="2"/>
    <x v="3"/>
    <n v="0"/>
    <n v="-122.0184"/>
    <n v="-122.0184"/>
    <n v="-9072"/>
  </r>
  <r>
    <x v="3"/>
    <x v="0"/>
    <n v="-133.41176470588235"/>
    <n v="-122.0184"/>
    <n v="-255.43016470588236"/>
    <n v="-8938.5882352941171"/>
  </r>
  <r>
    <x v="3"/>
    <x v="1"/>
    <n v="-133.41176470588235"/>
    <n v="-120.22401176470588"/>
    <n v="-120.22401176470588"/>
    <n v="-8805.1764705882342"/>
  </r>
  <r>
    <x v="3"/>
    <x v="2"/>
    <n v="-133.41176470588235"/>
    <n v="-118.42962352941176"/>
    <n v="-251.84138823529412"/>
    <n v="-8671.7647058823513"/>
  </r>
  <r>
    <x v="3"/>
    <x v="3"/>
    <n v="-133.41176470588235"/>
    <n v="-116.63523529411762"/>
    <n v="-250.04699999999997"/>
    <n v="-8538.3529411764684"/>
  </r>
  <r>
    <x v="4"/>
    <x v="0"/>
    <n v="-133.41176470588235"/>
    <n v="-114.8408470588235"/>
    <n v="-248.25261176470585"/>
    <n v="-8404.9411764705856"/>
  </r>
  <r>
    <x v="4"/>
    <x v="1"/>
    <n v="-133.41176470588235"/>
    <n v="-113.04645882352938"/>
    <n v="-246.45822352941173"/>
    <n v="-8271.5294117647027"/>
  </r>
  <r>
    <x v="4"/>
    <x v="2"/>
    <n v="-133.41176470588235"/>
    <n v="-111.25207058823526"/>
    <n v="-244.6638352941176"/>
    <n v="-8138.1176470588207"/>
  </r>
  <r>
    <x v="4"/>
    <x v="3"/>
    <n v="-133.41176470588235"/>
    <n v="-109.45768235294113"/>
    <n v="-242.86944705882348"/>
    <n v="-8004.7058823529387"/>
  </r>
  <r>
    <x v="5"/>
    <x v="0"/>
    <n v="-133.41176470588235"/>
    <n v="-107.66329411764703"/>
    <n v="-241.07505882352939"/>
    <n v="-7871.2941176470567"/>
  </r>
  <r>
    <x v="5"/>
    <x v="1"/>
    <n v="-133.41176470588235"/>
    <n v="-105.86890588235292"/>
    <n v="-239.28067058823527"/>
    <n v="-7737.8823529411748"/>
  </r>
  <r>
    <x v="5"/>
    <x v="2"/>
    <n v="-133.41176470588235"/>
    <n v="-104.0745176470588"/>
    <n v="-237.48628235294115"/>
    <n v="-7604.4705882352928"/>
  </r>
  <r>
    <x v="5"/>
    <x v="3"/>
    <n v="-133.41176470588235"/>
    <n v="-102.28012941176469"/>
    <n v="-235.69189411764705"/>
    <n v="-7471.0588235294108"/>
  </r>
  <r>
    <x v="6"/>
    <x v="0"/>
    <n v="-133.41176470588235"/>
    <n v="-100.48574117647058"/>
    <n v="-233.89750588235293"/>
    <n v="-7337.6470588235288"/>
  </r>
  <r>
    <x v="6"/>
    <x v="1"/>
    <n v="-133.41176470588235"/>
    <n v="-98.691352941176461"/>
    <n v="-232.10311764705881"/>
    <n v="-7204.2352941176468"/>
  </r>
  <r>
    <x v="6"/>
    <x v="2"/>
    <n v="-133.41176470588235"/>
    <n v="-96.896964705882354"/>
    <n v="-230.30872941176472"/>
    <n v="-7070.8235294117649"/>
  </r>
  <r>
    <x v="6"/>
    <x v="3"/>
    <n v="-133.41176470588235"/>
    <n v="-95.102576470588232"/>
    <n v="-228.51434117647057"/>
    <n v="-6937.4117647058829"/>
  </r>
  <r>
    <x v="7"/>
    <x v="0"/>
    <n v="-133.41176470588235"/>
    <n v="-93.308188235294125"/>
    <n v="-226.71995294117647"/>
    <n v="-6804.0000000000009"/>
  </r>
  <r>
    <x v="7"/>
    <x v="1"/>
    <n v="-133.41176470588235"/>
    <n v="-91.513800000000018"/>
    <n v="-224.92556470588238"/>
    <n v="-6670.5882352941189"/>
  </r>
  <r>
    <x v="7"/>
    <x v="2"/>
    <n v="-133.41176470588235"/>
    <n v="-89.719411764705896"/>
    <n v="-223.13117647058823"/>
    <n v="-6537.176470588237"/>
  </r>
  <r>
    <x v="7"/>
    <x v="3"/>
    <n v="-133.41176470588235"/>
    <n v="-87.925023529411789"/>
    <n v="-221.33678823529414"/>
    <n v="-6403.764705882355"/>
  </r>
  <r>
    <x v="8"/>
    <x v="0"/>
    <n v="-133.41176470588235"/>
    <n v="-86.130635294117681"/>
    <n v="-219.54240000000004"/>
    <n v="-6270.352941176473"/>
  </r>
  <r>
    <x v="8"/>
    <x v="1"/>
    <n v="-133.41176470588235"/>
    <n v="-84.33624705882356"/>
    <n v="-217.74801176470589"/>
    <n v="-6136.941176470591"/>
  </r>
  <r>
    <x v="8"/>
    <x v="2"/>
    <n v="-133.41176470588235"/>
    <n v="-82.541858823529452"/>
    <n v="-215.9536235294118"/>
    <n v="-6003.529411764709"/>
  </r>
  <r>
    <x v="8"/>
    <x v="3"/>
    <n v="-133.41176470588235"/>
    <n v="-80.747470588235331"/>
    <n v="-214.15923529411768"/>
    <n v="-5870.1176470588271"/>
  </r>
  <r>
    <x v="9"/>
    <x v="0"/>
    <n v="-133.41176470588235"/>
    <n v="-78.953082352941223"/>
    <n v="-212.36484705882356"/>
    <n v="-5736.7058823529451"/>
  </r>
  <r>
    <x v="9"/>
    <x v="1"/>
    <n v="-133.41176470588235"/>
    <n v="-77.158694117647116"/>
    <n v="-210.57045882352946"/>
    <n v="-5603.2941176470631"/>
  </r>
  <r>
    <x v="9"/>
    <x v="2"/>
    <n v="-133.41176470588235"/>
    <n v="-75.364305882352994"/>
    <n v="-208.77607058823534"/>
    <n v="-5469.8823529411811"/>
  </r>
  <r>
    <x v="9"/>
    <x v="3"/>
    <n v="-133.41176470588235"/>
    <n v="-73.569917647058887"/>
    <n v="-206.98168235294122"/>
    <n v="-5336.4705882352991"/>
  </r>
  <r>
    <x v="10"/>
    <x v="0"/>
    <n v="-133.41176470588235"/>
    <n v="-71.775529411764779"/>
    <n v="-205.18729411764713"/>
    <n v="-5203.0588235294172"/>
  </r>
  <r>
    <x v="10"/>
    <x v="1"/>
    <n v="-133.41176470588235"/>
    <n v="-69.981141176470658"/>
    <n v="-203.39290588235301"/>
    <n v="-5069.6470588235352"/>
  </r>
  <r>
    <x v="10"/>
    <x v="2"/>
    <n v="-133.41176470588235"/>
    <n v="-68.18675294117655"/>
    <n v="-201.59851764705888"/>
    <n v="-4936.2352941176532"/>
  </r>
  <r>
    <x v="10"/>
    <x v="3"/>
    <n v="-133.41176470588235"/>
    <n v="-66.392364705882443"/>
    <n v="-199.80412941176479"/>
    <n v="-4802.8235294117712"/>
  </r>
  <r>
    <x v="11"/>
    <x v="0"/>
    <n v="-133.41176470588235"/>
    <n v="-64.597976470588321"/>
    <n v="-198.00974117647067"/>
    <n v="-4669.4117647058893"/>
  </r>
  <r>
    <x v="11"/>
    <x v="1"/>
    <n v="-133.41176470588235"/>
    <n v="-62.803588235294214"/>
    <n v="-196.21535294117655"/>
    <n v="-4536.0000000000073"/>
  </r>
  <r>
    <x v="11"/>
    <x v="2"/>
    <n v="-133.41176470588235"/>
    <n v="-61.009200000000099"/>
    <n v="-194.42096470588245"/>
    <n v="-4402.5882352941253"/>
  </r>
  <r>
    <x v="11"/>
    <x v="3"/>
    <n v="-133.41176470588235"/>
    <n v="-59.214811764705985"/>
    <n v="-192.62657647058833"/>
    <n v="-4269.1764705882433"/>
  </r>
  <r>
    <x v="12"/>
    <x v="0"/>
    <n v="-133.41176470588235"/>
    <n v="-57.42042352941187"/>
    <n v="-190.83218823529421"/>
    <n v="-4135.7647058823613"/>
  </r>
  <r>
    <x v="12"/>
    <x v="1"/>
    <n v="-133.41176470588235"/>
    <n v="-55.626035294117763"/>
    <n v="-189.03780000000012"/>
    <n v="-4002.3529411764789"/>
  </r>
  <r>
    <x v="12"/>
    <x v="2"/>
    <n v="-133.41176470588235"/>
    <n v="-53.831647058823641"/>
    <n v="-187.243411764706"/>
    <n v="-3868.9411764705965"/>
  </r>
  <r>
    <x v="12"/>
    <x v="3"/>
    <n v="-133.41176470588235"/>
    <n v="-52.03725882352952"/>
    <n v="-185.44902352941187"/>
    <n v="-3735.529411764714"/>
  </r>
  <r>
    <x v="13"/>
    <x v="0"/>
    <n v="-133.41176470588235"/>
    <n v="-50.242870588235405"/>
    <n v="-183.65463529411775"/>
    <n v="-3602.1176470588316"/>
  </r>
  <r>
    <x v="13"/>
    <x v="1"/>
    <n v="-133.41176470588235"/>
    <n v="-48.448482352941284"/>
    <n v="-181.86024705882363"/>
    <n v="-3468.7058823529492"/>
  </r>
  <r>
    <x v="13"/>
    <x v="2"/>
    <n v="-133.41176470588235"/>
    <n v="-46.654094117647169"/>
    <n v="-180.06585882352951"/>
    <n v="-3335.2941176470667"/>
  </r>
  <r>
    <x v="13"/>
    <x v="3"/>
    <n v="-133.41176470588235"/>
    <n v="-44.859705882353047"/>
    <n v="-178.27147058823539"/>
    <n v="-3201.8823529411843"/>
  </r>
  <r>
    <x v="14"/>
    <x v="0"/>
    <n v="-133.41176470588235"/>
    <n v="-43.065317647058933"/>
    <n v="-176.4770823529413"/>
    <n v="-3068.4705882353019"/>
  </r>
  <r>
    <x v="14"/>
    <x v="1"/>
    <n v="-133.41176470588235"/>
    <n v="-41.270929411764811"/>
    <n v="-174.68269411764715"/>
    <n v="-2935.0588235294194"/>
  </r>
  <r>
    <x v="14"/>
    <x v="2"/>
    <n v="-133.41176470588235"/>
    <n v="-39.47654117647069"/>
    <n v="-172.88830588235305"/>
    <n v="-2801.647058823537"/>
  </r>
  <r>
    <x v="14"/>
    <x v="3"/>
    <n v="-133.41176470588235"/>
    <n v="-37.682152941176575"/>
    <n v="-171.09391764705893"/>
    <n v="-2668.2352941176546"/>
  </r>
  <r>
    <x v="15"/>
    <x v="0"/>
    <n v="-133.41176470588235"/>
    <n v="-35.887764705882454"/>
    <n v="-169.29952941176481"/>
    <n v="-2534.8235294117721"/>
  </r>
  <r>
    <x v="15"/>
    <x v="1"/>
    <n v="-133.41176470588235"/>
    <n v="-34.093376470588339"/>
    <n v="-167.50514117647069"/>
    <n v="-2401.4117647058897"/>
  </r>
  <r>
    <x v="15"/>
    <x v="2"/>
    <n v="-133.41176470588235"/>
    <n v="-32.298988235294217"/>
    <n v="-165.71075294117657"/>
    <n v="-2268.0000000000073"/>
  </r>
  <r>
    <x v="15"/>
    <x v="3"/>
    <n v="-133.41176470588235"/>
    <n v="-30.504600000000099"/>
    <n v="-163.91636470588244"/>
    <n v="-2134.5882352941248"/>
  </r>
  <r>
    <x v="16"/>
    <x v="0"/>
    <n v="-133.41176470588235"/>
    <n v="-28.710211764705978"/>
    <n v="-162.12197647058832"/>
    <n v="-2001.1764705882424"/>
  </r>
  <r>
    <x v="16"/>
    <x v="1"/>
    <n v="-133.41176470588235"/>
    <n v="-26.91582352941186"/>
    <n v="-160.3275882352942"/>
    <n v="-1867.76470588236"/>
  </r>
  <r>
    <x v="16"/>
    <x v="2"/>
    <n v="-133.41176470588235"/>
    <n v="-25.121435294117742"/>
    <n v="-158.53320000000008"/>
    <n v="-1734.3529411764775"/>
  </r>
  <r>
    <x v="16"/>
    <x v="3"/>
    <n v="-133.41176470588235"/>
    <n v="-23.327047058823624"/>
    <n v="-156.73881176470599"/>
    <n v="-1600.9411764705951"/>
  </r>
  <r>
    <x v="17"/>
    <x v="0"/>
    <n v="-133.41176470588235"/>
    <n v="-21.532658823529506"/>
    <n v="-154.94442352941186"/>
    <n v="-1467.5294117647127"/>
  </r>
  <r>
    <x v="17"/>
    <x v="1"/>
    <n v="-133.41176470588235"/>
    <n v="-19.738270588235387"/>
    <n v="-153.15003529411774"/>
    <n v="-1334.1176470588302"/>
  </r>
  <r>
    <x v="17"/>
    <x v="2"/>
    <n v="-133.41176470588235"/>
    <n v="-17.943882352941266"/>
    <n v="-151.35564705882362"/>
    <n v="-1200.7058823529478"/>
  </r>
  <r>
    <x v="17"/>
    <x v="3"/>
    <n v="-133.41176470588235"/>
    <n v="-16.149494117647148"/>
    <n v="-149.5612588235295"/>
    <n v="-1067.2941176470654"/>
  </r>
  <r>
    <x v="18"/>
    <x v="0"/>
    <n v="-133.41176470588235"/>
    <n v="-14.35510588235303"/>
    <n v="-147.76687058823538"/>
    <n v="-933.88235294118306"/>
  </r>
  <r>
    <x v="18"/>
    <x v="1"/>
    <n v="-133.41176470588235"/>
    <n v="-12.560717647058912"/>
    <n v="-145.97248235294126"/>
    <n v="-800.47058823530074"/>
  </r>
  <r>
    <x v="18"/>
    <x v="2"/>
    <n v="-133.41176470588235"/>
    <n v="-10.766329411764795"/>
    <n v="-144.17809411764713"/>
    <n v="-667.05882352941842"/>
  </r>
  <r>
    <x v="18"/>
    <x v="3"/>
    <n v="-133.41176470588235"/>
    <n v="-8.9719411764706773"/>
    <n v="-142.38370588235301"/>
    <n v="-533.6470588235361"/>
  </r>
  <r>
    <x v="19"/>
    <x v="0"/>
    <n v="-133.41176470588235"/>
    <n v="-7.1775529411765602"/>
    <n v="-140.58931764705892"/>
    <n v="-400.23529411765378"/>
  </r>
  <r>
    <x v="19"/>
    <x v="1"/>
    <n v="-133.41176470588235"/>
    <n v="-5.383164705882443"/>
    <n v="-138.7949294117648"/>
    <n v="-266.82352941177146"/>
  </r>
  <r>
    <x v="19"/>
    <x v="2"/>
    <n v="-133.41176470588235"/>
    <n v="-3.5887764705883263"/>
    <n v="-137.00054117647068"/>
    <n v="-133.41176470588911"/>
  </r>
  <r>
    <x v="19"/>
    <x v="3"/>
    <n v="-133.41176470588235"/>
    <n v="-1.7943882352942087"/>
    <n v="-135.20615294117655"/>
    <n v="-6.7643668444361538E-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4810A0-B589-4FAE-B137-48201F3F5DCA}" name="PivotTable2" cacheId="1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1">
  <location ref="Q12:S33" firstHeaderRow="0" firstDataRow="1" firstDataCol="1"/>
  <pivotFields count="6">
    <pivotField axis="axisRow" showAll="0">
      <items count="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  <pivotField dataField="1" showAll="0"/>
    <pivotField showAll="0"/>
    <pivotField showAll="0"/>
  </pivotFields>
  <rowFields count="2">
    <field x="0"/>
    <field x="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Summe von Tilgung" fld="2" baseField="0" baseItem="0"/>
    <dataField name="Summe von Zinsen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D01F87-6FC4-4FDE-B6D9-C92E50602F4F}" name="PivotTable5" cacheId="0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9">
  <location ref="AC1:AF32" firstHeaderRow="1" firstDataRow="2" firstDataCol="1"/>
  <pivotFields count="24">
    <pivotField showAll="0"/>
    <pivotField showAll="0"/>
    <pivotField numFmtId="7" showAll="0"/>
    <pivotField numFmtId="7" showAll="0"/>
    <pivotField numFmtId="7" showAll="0"/>
    <pivotField numFmtId="7" showAll="0"/>
    <pivotField numFmtId="7" showAll="0"/>
    <pivotField numFmtId="7" showAll="0"/>
    <pivotField numFmtId="7" showAll="0"/>
    <pivotField numFmtId="7" showAll="0"/>
    <pivotField numFmtId="7" showAll="0"/>
    <pivotField numFmtId="7" showAll="0"/>
    <pivotField numFmtId="7" showAll="0"/>
    <pivotField numFmtId="7" showAll="0"/>
    <pivotField numFmtId="7" showAll="0"/>
    <pivotField numFmtId="7" showAll="0"/>
    <pivotField numFmtId="7" showAll="0"/>
    <pivotField numFmtId="7" showAll="0"/>
    <pivotField numFmtId="7" showAll="0"/>
    <pivotField numFmtId="7" showAll="0"/>
    <pivotField numFmtId="7" showAll="0"/>
    <pivotField dataField="1" numFmtId="7" showAll="0"/>
    <pivotField axis="axisCol" showAll="0">
      <items count="4">
        <item x="0"/>
        <item x="1"/>
        <item x="2"/>
        <item t="default"/>
      </items>
    </pivotField>
    <pivotField axis="axisRow" showAll="0" sortType="ascending">
      <items count="283">
        <item x="28"/>
        <item m="1" x="197"/>
        <item m="1" x="262"/>
        <item m="1" x="208"/>
        <item m="1" x="267"/>
        <item m="1" x="66"/>
        <item m="1" x="116"/>
        <item m="1" x="40"/>
        <item m="1" x="189"/>
        <item m="1" x="90"/>
        <item x="27"/>
        <item m="1" x="140"/>
        <item m="1" x="47"/>
        <item m="1" x="48"/>
        <item m="1" x="248"/>
        <item m="1" x="198"/>
        <item m="1" x="145"/>
        <item m="1" x="98"/>
        <item m="1" x="52"/>
        <item m="1" x="253"/>
        <item x="26"/>
        <item m="1" x="150"/>
        <item m="1" x="104"/>
        <item m="1" x="58"/>
        <item m="1" x="258"/>
        <item m="1" x="206"/>
        <item m="1" x="219"/>
        <item m="1" x="192"/>
        <item m="1" x="169"/>
        <item m="1" x="141"/>
        <item x="25"/>
        <item m="1" x="94"/>
        <item m="1" x="73"/>
        <item m="1" x="49"/>
        <item m="1" x="274"/>
        <item m="1" x="249"/>
        <item m="1" x="224"/>
        <item m="1" x="199"/>
        <item m="1" x="174"/>
        <item m="1" x="146"/>
        <item x="24"/>
        <item m="1" x="99"/>
        <item m="1" x="77"/>
        <item m="1" x="53"/>
        <item m="1" x="278"/>
        <item m="1" x="254"/>
        <item m="1" x="228"/>
        <item m="1" x="203"/>
        <item m="1" x="177"/>
        <item m="1" x="151"/>
        <item x="23"/>
        <item m="1" x="166"/>
        <item m="1" x="30"/>
        <item m="1" x="139"/>
        <item m="1" x="259"/>
        <item m="1" x="117"/>
        <item m="1" x="232"/>
        <item m="1" x="91"/>
        <item m="1" x="207"/>
        <item m="1" x="70"/>
        <item x="22"/>
        <item m="1" x="43"/>
        <item m="1" x="155"/>
        <item m="1" x="271"/>
        <item m="1" x="130"/>
        <item m="1" x="244"/>
        <item m="1" x="107"/>
        <item m="1" x="220"/>
        <item m="1" x="81"/>
        <item m="1" x="193"/>
        <item x="21"/>
        <item m="1" x="170"/>
        <item m="1" x="33"/>
        <item m="1" x="142"/>
        <item m="1" x="263"/>
        <item m="1" x="120"/>
        <item m="1" x="235"/>
        <item m="1" x="95"/>
        <item m="1" x="209"/>
        <item m="1" x="74"/>
        <item x="20"/>
        <item m="1" x="50"/>
        <item m="1" x="159"/>
        <item m="1" x="275"/>
        <item m="1" x="134"/>
        <item m="1" x="250"/>
        <item m="1" x="111"/>
        <item m="1" x="225"/>
        <item m="1" x="84"/>
        <item m="1" x="200"/>
        <item x="19"/>
        <item m="1" x="175"/>
        <item m="1" x="37"/>
        <item m="1" x="147"/>
        <item m="1" x="268"/>
        <item m="1" x="124"/>
        <item m="1" x="238"/>
        <item m="1" x="100"/>
        <item m="1" x="213"/>
        <item m="1" x="78"/>
        <item x="18"/>
        <item m="1" x="54"/>
        <item m="1" x="162"/>
        <item m="1" x="180"/>
        <item m="1" x="239"/>
        <item m="1" x="44"/>
        <item m="1" x="101"/>
        <item m="1" x="156"/>
        <item m="1" x="214"/>
        <item m="1" x="272"/>
        <item x="17"/>
        <item m="1" x="131"/>
        <item m="1" x="186"/>
        <item m="1" x="245"/>
        <item m="1" x="55"/>
        <item m="1" x="108"/>
        <item m="1" x="163"/>
        <item m="1" x="221"/>
        <item m="1" x="279"/>
        <item m="1" x="82"/>
        <item x="16"/>
        <item m="1" x="194"/>
        <item m="1" x="255"/>
        <item m="1" x="61"/>
        <item m="1" x="113"/>
        <item m="1" x="171"/>
        <item m="1" x="229"/>
        <item m="1" x="34"/>
        <item m="1" x="87"/>
        <item m="1" x="143"/>
        <item x="15"/>
        <item m="1" x="264"/>
        <item m="1" x="67"/>
        <item m="1" x="121"/>
        <item m="1" x="178"/>
        <item m="1" x="236"/>
        <item m="1" x="41"/>
        <item m="1" x="96"/>
        <item m="1" x="152"/>
        <item m="1" x="210"/>
        <item x="14"/>
        <item m="1" x="75"/>
        <item m="1" x="128"/>
        <item m="1" x="184"/>
        <item m="1" x="242"/>
        <item m="1" x="51"/>
        <item m="1" x="105"/>
        <item m="1" x="160"/>
        <item m="1" x="217"/>
        <item m="1" x="276"/>
        <item x="13"/>
        <item m="1" x="135"/>
        <item m="1" x="190"/>
        <item m="1" x="251"/>
        <item m="1" x="59"/>
        <item m="1" x="112"/>
        <item m="1" x="167"/>
        <item m="1" x="226"/>
        <item m="1" x="31"/>
        <item m="1" x="85"/>
        <item x="12"/>
        <item m="1" x="201"/>
        <item m="1" x="260"/>
        <item m="1" x="64"/>
        <item m="1" x="118"/>
        <item m="1" x="176"/>
        <item m="1" x="233"/>
        <item m="1" x="38"/>
        <item m="1" x="92"/>
        <item m="1" x="148"/>
        <item x="11"/>
        <item m="1" x="269"/>
        <item m="1" x="71"/>
        <item m="1" x="125"/>
        <item m="1" x="181"/>
        <item m="1" x="240"/>
        <item m="1" x="45"/>
        <item m="1" x="102"/>
        <item m="1" x="157"/>
        <item m="1" x="215"/>
        <item x="10"/>
        <item m="1" x="79"/>
        <item m="1" x="132"/>
        <item m="1" x="187"/>
        <item m="1" x="246"/>
        <item m="1" x="56"/>
        <item m="1" x="109"/>
        <item m="1" x="164"/>
        <item m="1" x="222"/>
        <item m="1" x="280"/>
        <item x="9"/>
        <item m="1" x="137"/>
        <item m="1" x="195"/>
        <item m="1" x="256"/>
        <item m="1" x="62"/>
        <item m="1" x="114"/>
        <item m="1" x="172"/>
        <item m="1" x="230"/>
        <item m="1" x="35"/>
        <item m="1" x="88"/>
        <item x="8"/>
        <item m="1" x="204"/>
        <item m="1" x="265"/>
        <item m="1" x="68"/>
        <item m="1" x="122"/>
        <item m="1" x="126"/>
        <item m="1" x="153"/>
        <item m="1" x="182"/>
        <item m="1" x="211"/>
        <item m="1" x="241"/>
        <item x="7"/>
        <item m="1" x="46"/>
        <item m="1" x="76"/>
        <item m="1" x="103"/>
        <item m="1" x="129"/>
        <item m="1" x="158"/>
        <item m="1" x="185"/>
        <item m="1" x="216"/>
        <item m="1" x="243"/>
        <item m="1" x="273"/>
        <item x="6"/>
        <item m="1" x="80"/>
        <item m="1" x="106"/>
        <item m="1" x="133"/>
        <item m="1" x="161"/>
        <item m="1" x="188"/>
        <item m="1" x="218"/>
        <item m="1" x="247"/>
        <item m="1" x="277"/>
        <item m="1" x="57"/>
        <item x="5"/>
        <item m="1" x="110"/>
        <item m="1" x="136"/>
        <item m="1" x="165"/>
        <item m="1" x="191"/>
        <item m="1" x="223"/>
        <item m="1" x="252"/>
        <item m="1" x="281"/>
        <item m="1" x="60"/>
        <item m="1" x="83"/>
        <item x="4"/>
        <item m="1" x="138"/>
        <item m="1" x="168"/>
        <item m="1" x="196"/>
        <item m="1" x="227"/>
        <item m="1" x="257"/>
        <item m="1" x="32"/>
        <item m="1" x="63"/>
        <item m="1" x="86"/>
        <item m="1" x="115"/>
        <item x="3"/>
        <item m="1" x="173"/>
        <item m="1" x="202"/>
        <item m="1" x="231"/>
        <item m="1" x="261"/>
        <item m="1" x="36"/>
        <item m="1" x="65"/>
        <item m="1" x="89"/>
        <item m="1" x="119"/>
        <item m="1" x="144"/>
        <item x="2"/>
        <item m="1" x="205"/>
        <item m="1" x="234"/>
        <item m="1" x="266"/>
        <item m="1" x="39"/>
        <item m="1" x="69"/>
        <item m="1" x="93"/>
        <item m="1" x="123"/>
        <item m="1" x="149"/>
        <item m="1" x="179"/>
        <item x="1"/>
        <item m="1" x="237"/>
        <item m="1" x="270"/>
        <item m="1" x="42"/>
        <item m="1" x="72"/>
        <item m="1" x="97"/>
        <item m="1" x="127"/>
        <item m="1" x="154"/>
        <item m="1" x="183"/>
        <item m="1" x="212"/>
        <item x="0"/>
        <item h="1" x="29"/>
        <item t="default"/>
      </items>
    </pivotField>
  </pivotFields>
  <rowFields count="1">
    <field x="23"/>
  </rowFields>
  <rowItems count="30">
    <i>
      <x/>
    </i>
    <i>
      <x v="10"/>
    </i>
    <i>
      <x v="20"/>
    </i>
    <i>
      <x v="30"/>
    </i>
    <i>
      <x v="40"/>
    </i>
    <i>
      <x v="50"/>
    </i>
    <i>
      <x v="60"/>
    </i>
    <i>
      <x v="70"/>
    </i>
    <i>
      <x v="80"/>
    </i>
    <i>
      <x v="90"/>
    </i>
    <i>
      <x v="100"/>
    </i>
    <i>
      <x v="110"/>
    </i>
    <i>
      <x v="120"/>
    </i>
    <i>
      <x v="130"/>
    </i>
    <i>
      <x v="140"/>
    </i>
    <i>
      <x v="150"/>
    </i>
    <i>
      <x v="160"/>
    </i>
    <i>
      <x v="170"/>
    </i>
    <i>
      <x v="180"/>
    </i>
    <i>
      <x v="190"/>
    </i>
    <i>
      <x v="200"/>
    </i>
    <i>
      <x v="210"/>
    </i>
    <i>
      <x v="220"/>
    </i>
    <i>
      <x v="230"/>
    </i>
    <i>
      <x v="240"/>
    </i>
    <i>
      <x v="250"/>
    </i>
    <i>
      <x v="260"/>
    </i>
    <i>
      <x v="270"/>
    </i>
    <i>
      <x v="280"/>
    </i>
    <i t="grand">
      <x/>
    </i>
  </rowItems>
  <colFields count="1">
    <field x="22"/>
  </colFields>
  <colItems count="3">
    <i>
      <x/>
    </i>
    <i>
      <x v="1"/>
    </i>
    <i t="grand">
      <x/>
    </i>
  </colItems>
  <dataFields count="1">
    <dataField name="Summe von 20" fld="21" baseField="0" baseItem="0"/>
  </dataFields>
  <chartFormats count="9"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2" format="48">
      <pivotArea type="data" outline="0" fieldPosition="0">
        <references count="3">
          <reference field="4294967294" count="1" selected="0">
            <x v="0"/>
          </reference>
          <reference field="22" count="1" selected="0">
            <x v="0"/>
          </reference>
          <reference field="23" count="1" selected="0">
            <x v="140"/>
          </reference>
        </references>
      </pivotArea>
    </chartFormat>
    <chartFormat chart="2" format="49">
      <pivotArea type="data" outline="0" fieldPosition="0">
        <references count="3">
          <reference field="4294967294" count="1" selected="0">
            <x v="0"/>
          </reference>
          <reference field="22" count="1" selected="0">
            <x v="0"/>
          </reference>
          <reference field="23" count="1" selected="0">
            <x v="150"/>
          </reference>
        </references>
      </pivotArea>
    </chartFormat>
    <chartFormat chart="2" format="50">
      <pivotArea type="data" outline="0" fieldPosition="0">
        <references count="3">
          <reference field="4294967294" count="1" selected="0">
            <x v="0"/>
          </reference>
          <reference field="22" count="1" selected="0">
            <x v="0"/>
          </reference>
          <reference field="23" count="1" selected="0">
            <x v="160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2" format="53">
      <pivotArea type="data" outline="0" fieldPosition="0">
        <references count="3">
          <reference field="4294967294" count="1" selected="0">
            <x v="0"/>
          </reference>
          <reference field="22" count="1" selected="0">
            <x v="0"/>
          </reference>
          <reference field="23" count="1" selected="0">
            <x v="110"/>
          </reference>
        </references>
      </pivotArea>
    </chartFormat>
    <chartFormat chart="2" format="54">
      <pivotArea type="data" outline="0" fieldPosition="0">
        <references count="3">
          <reference field="4294967294" count="1" selected="0">
            <x v="0"/>
          </reference>
          <reference field="22" count="1" selected="0">
            <x v="0"/>
          </reference>
          <reference field="23" count="1" selected="0">
            <x v="120"/>
          </reference>
        </references>
      </pivotArea>
    </chartFormat>
    <chartFormat chart="2" format="55">
      <pivotArea type="data" outline="0" fieldPosition="0">
        <references count="3">
          <reference field="4294967294" count="1" selected="0">
            <x v="0"/>
          </reference>
          <reference field="22" count="1" selected="0">
            <x v="0"/>
          </reference>
          <reference field="23" count="1" selected="0">
            <x v="13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184664-2D66-428D-A4CE-F56032CB2E2F}" name="Tabelle1" displayName="Tabelle1" ref="H1:M82" totalsRowCount="1">
  <autoFilter ref="H1:M81" xr:uid="{C3184664-2D66-428D-A4CE-F56032CB2E2F}"/>
  <tableColumns count="6">
    <tableColumn id="1" xr3:uid="{FE1AF260-2773-4719-8AF8-0AAB87517126}" name="Jahr" dataDxfId="300" totalsRowDxfId="299" dataCellStyle="Währung" totalsRowCellStyle="Währung"/>
    <tableColumn id="2" xr3:uid="{E8AAE826-88B0-4D86-BED3-03B5A7A21C9A}" name="Viertel" dataDxfId="298" totalsRowDxfId="297" dataCellStyle="Währung" totalsRowCellStyle="Währung"/>
    <tableColumn id="3" xr3:uid="{E72F58D7-30E3-4996-8827-9DB7C4B9F7C2}" name="Tilgung" totalsRowFunction="sum" totalsRowDxfId="296" dataCellStyle="Währung" totalsRowCellStyle="Währung">
      <calculatedColumnFormula>$M$2/(17*4)</calculatedColumnFormula>
    </tableColumn>
    <tableColumn id="4" xr3:uid="{34501EDE-C96D-4025-8058-ED85B9F92A07}" name="Zinsen" totalsRowFunction="sum" totalsRowDxfId="295" dataCellStyle="Währung" totalsRowCellStyle="Währung">
      <calculatedColumnFormula>M1/4*Fremdkapitalzins</calculatedColumnFormula>
    </tableColumn>
    <tableColumn id="5" xr3:uid="{9AE75765-C42A-42CA-B785-40B7F58DCC03}" name="Rate" totalsRowDxfId="294" dataCellStyle="Währung" totalsRowCellStyle="Währung">
      <calculatedColumnFormula>SUM(J2:K2)</calculatedColumnFormula>
    </tableColumn>
    <tableColumn id="6" xr3:uid="{5FA70133-DD5C-4766-BB47-26F2ED1E50B2}" name="Restschuld" totalsRowDxfId="293" dataCellStyle="Währung" totalsRowCellStyle="Währung">
      <calculatedColumnFormula>M1-J2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EC2B46-B0D0-4666-9E97-47C302608D92}" name="Tabelle212" displayName="Tabelle212" ref="A1:V48" totalsRowShown="0" headerRowDxfId="292" dataDxfId="291" tableBorderDxfId="290" dataCellStyle="Währung">
  <autoFilter ref="A1:V48" xr:uid="{3760A512-64E6-4ED8-94D2-9449E07762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72E6D5D6-E535-45A8-8C8B-3893CD59F87C}" name="Jahr " dataDxfId="289"/>
    <tableColumn id="2" xr3:uid="{C1079843-0B93-4E2F-9056-8D3E70C27962}" name="0" dataDxfId="288" dataCellStyle="Währung"/>
    <tableColumn id="3" xr3:uid="{DC53254F-B546-4A12-BC08-A0F8C111E576}" name="1" dataDxfId="287" dataCellStyle="Währung"/>
    <tableColumn id="4" xr3:uid="{F11352CC-F981-41D6-BCE0-23B5678BF11F}" name="2" dataDxfId="286" dataCellStyle="Währung"/>
    <tableColumn id="5" xr3:uid="{486D1451-ED86-412D-90E6-2F2D36768470}" name="3" dataDxfId="285" dataCellStyle="Währung"/>
    <tableColumn id="6" xr3:uid="{5A306F17-680B-4C65-A4E4-E537103308E6}" name="4" dataDxfId="284" dataCellStyle="Währung"/>
    <tableColumn id="7" xr3:uid="{C67C2B4E-89D1-49EB-8FD8-610EAE49BEF3}" name="5" dataDxfId="283" dataCellStyle="Währung"/>
    <tableColumn id="8" xr3:uid="{153A26E0-56C4-4E5B-B229-9B9D1B1DA2DD}" name="6" dataDxfId="282" dataCellStyle="Währung"/>
    <tableColumn id="9" xr3:uid="{22A480D1-A15D-4805-ACF2-2D3E27C105B9}" name="7" dataDxfId="281" dataCellStyle="Währung"/>
    <tableColumn id="10" xr3:uid="{37C00750-A0B8-436D-88F6-75AA05128A63}" name="8" dataDxfId="280" dataCellStyle="Währung"/>
    <tableColumn id="11" xr3:uid="{285EC84A-2CCA-4FEE-A0A2-9F20360CA96A}" name="9" dataDxfId="279" dataCellStyle="Währung"/>
    <tableColumn id="12" xr3:uid="{53C93032-8153-462F-AF34-E0FA9EBE51ED}" name="10" dataDxfId="278" dataCellStyle="Währung"/>
    <tableColumn id="13" xr3:uid="{8B894648-A3B0-4A5A-951F-B7BCBE94A771}" name="11" dataDxfId="277" dataCellStyle="Währung"/>
    <tableColumn id="14" xr3:uid="{5BC6F9E5-9570-4F63-A338-3924DB311FB0}" name="12" dataDxfId="276" dataCellStyle="Währung"/>
    <tableColumn id="15" xr3:uid="{8322F239-E9B9-4E3D-8935-3ECCA300DA49}" name="13" dataDxfId="275" dataCellStyle="Währung"/>
    <tableColumn id="16" xr3:uid="{028CAD78-EAA2-4CB9-8166-ED449A1BA2D0}" name="14" dataDxfId="274" dataCellStyle="Währung"/>
    <tableColumn id="17" xr3:uid="{8368E5E8-E39E-4C55-A476-EFA9AB47A090}" name="15" dataDxfId="273" dataCellStyle="Währung"/>
    <tableColumn id="18" xr3:uid="{AD02EC78-C528-46FA-B5C3-F4FC233FF3C5}" name="16" dataDxfId="272" dataCellStyle="Währung"/>
    <tableColumn id="19" xr3:uid="{4F21708D-24BE-472F-BD67-A245CF17AEED}" name="17" dataDxfId="271" dataCellStyle="Währung"/>
    <tableColumn id="20" xr3:uid="{49E6F504-3411-48F4-83B0-00AEA3CFFB76}" name="18" dataDxfId="270" dataCellStyle="Währung"/>
    <tableColumn id="21" xr3:uid="{0B684332-BFB3-4C59-A283-46697F820367}" name="19" dataDxfId="269" dataCellStyle="Währung"/>
    <tableColumn id="22" xr3:uid="{C1EA1F30-7BC2-4B11-AC4A-29F273D5A1A9}" name="20" dataDxfId="268" dataCellStyle="Währung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0C34868-C027-484F-A54D-FD63AF6B4BAD}" name="Tabelle13" displayName="Tabelle13" ref="A1:X1383" totalsRowShown="0" headerRowDxfId="267" dataDxfId="266">
  <autoFilter ref="A1:X1383" xr:uid="{30C34868-C027-484F-A54D-FD63AF6B4BAD}"/>
  <tableColumns count="24">
    <tableColumn id="1" xr3:uid="{C39FB03D-3192-4572-A7DE-FE8E60DF2B59}" name="Spalte1" dataDxfId="265"/>
    <tableColumn id="2" xr3:uid="{FDB22BFC-9BFF-4115-A6C4-38188013EC08}" name="0" dataDxfId="264"/>
    <tableColumn id="3" xr3:uid="{EE53BCBB-DBE4-4E40-9B92-6C7753600115}" name="1" dataDxfId="263"/>
    <tableColumn id="4" xr3:uid="{E51CF034-DBFE-4FF5-B80F-BE83C3D208B3}" name="2" dataDxfId="262"/>
    <tableColumn id="5" xr3:uid="{3E21215E-EF02-4133-96BD-2BFDFCAFF167}" name="3" dataDxfId="261"/>
    <tableColumn id="6" xr3:uid="{F7A9F2C6-3C34-423F-939F-24245AD33671}" name="4" dataDxfId="260"/>
    <tableColumn id="7" xr3:uid="{52E3E76E-3DF1-40F8-8203-690E6FFD8804}" name="5" dataDxfId="259"/>
    <tableColumn id="8" xr3:uid="{A5F6EC28-25F4-47C9-A52F-057BBBB5F531}" name="6" dataDxfId="258"/>
    <tableColumn id="9" xr3:uid="{E8C384BB-1FA1-4C34-98DF-1995BD4C0A20}" name="7" dataDxfId="257"/>
    <tableColumn id="10" xr3:uid="{828FADF5-41C9-443E-A31C-3F175D09A8F7}" name="8" dataDxfId="256"/>
    <tableColumn id="11" xr3:uid="{33DB05D5-51EB-4306-8BCE-3A3269348626}" name="9" dataDxfId="255"/>
    <tableColumn id="12" xr3:uid="{0D02F515-AED2-48D2-AE74-605A6AE48CAA}" name="10" dataDxfId="254"/>
    <tableColumn id="13" xr3:uid="{B91AF3A5-27BD-4D19-BF95-3896F5592A0A}" name="11" dataDxfId="253"/>
    <tableColumn id="14" xr3:uid="{38173FE4-B8AE-435C-A617-5683D6A6071C}" name="12" dataDxfId="252"/>
    <tableColumn id="15" xr3:uid="{256509DC-A020-4E0C-A9B7-D8C7033B91A0}" name="13" dataDxfId="251"/>
    <tableColumn id="16" xr3:uid="{26B3DEA6-1B67-42F5-A94D-160648A8C4CF}" name="14" dataDxfId="250"/>
    <tableColumn id="17" xr3:uid="{48D0854E-3177-4280-9964-728E7CEC170B}" name="15" dataDxfId="249"/>
    <tableColumn id="18" xr3:uid="{28896E64-7FDC-4B15-BC54-E6F38A717E3F}" name="16" dataDxfId="248"/>
    <tableColumn id="19" xr3:uid="{28AA1557-816E-4335-9C03-CDFAAE34CB4F}" name="17" dataDxfId="247"/>
    <tableColumn id="20" xr3:uid="{F801A726-7053-4378-A402-502D749AFE7D}" name="18" dataDxfId="246"/>
    <tableColumn id="21" xr3:uid="{D95E6E61-3B2C-4825-A65B-5B8746D1AAD1}" name="19" dataDxfId="245"/>
    <tableColumn id="22" xr3:uid="{26AE6CC5-D3B5-470C-B062-B53D4884E557}" name="20" dataDxfId="244"/>
    <tableColumn id="23" xr3:uid="{B362A015-A107-43F6-AE02-04D0E96ABCCE}" name="Typ" dataDxfId="243"/>
    <tableColumn id="24" xr3:uid="{8C8D5F09-6B33-47E8-834F-E8E68E479AA6}" name="Überschuss" dataDxfId="24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60A512-64E6-4ED8-94D2-9449E07762D2}" name="Tabelle2" displayName="Tabelle2" ref="A1:V48" totalsRowShown="0" headerRowDxfId="241" dataDxfId="240" tableBorderDxfId="239" dataCellStyle="Währung">
  <autoFilter ref="A1:V48" xr:uid="{3760A512-64E6-4ED8-94D2-9449E07762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DD47CBEA-C965-4A22-9B72-0FEB1230F68F}" name="Jahr " dataDxfId="238"/>
    <tableColumn id="2" xr3:uid="{3CA0FDBD-0B83-475A-958C-18E8412509C5}" name="0" dataDxfId="237" dataCellStyle="Währung"/>
    <tableColumn id="3" xr3:uid="{DAABB054-D378-4080-BF76-7A77A10B5F14}" name="1" dataDxfId="236" dataCellStyle="Währung"/>
    <tableColumn id="4" xr3:uid="{B5F51DF5-62C2-4395-8E20-8574F01ED0F0}" name="2" dataDxfId="235" dataCellStyle="Währung"/>
    <tableColumn id="5" xr3:uid="{0C06E18F-7638-4CC8-9D5F-609AFFB313C1}" name="3" dataDxfId="234" dataCellStyle="Währung"/>
    <tableColumn id="6" xr3:uid="{01C63DCE-77B0-4D55-8534-A3859FC20FD8}" name="4" dataDxfId="233" dataCellStyle="Währung"/>
    <tableColumn id="7" xr3:uid="{939AEBD8-86B2-4393-9E71-F1D978E57D2B}" name="5" dataDxfId="232" dataCellStyle="Währung"/>
    <tableColumn id="8" xr3:uid="{335214E5-888F-400D-B1DB-B6C4E1AD607F}" name="6" dataDxfId="231" dataCellStyle="Währung"/>
    <tableColumn id="9" xr3:uid="{F9D8FEF3-70F0-4725-A76C-97CA0FE8F31E}" name="7" dataDxfId="230" dataCellStyle="Währung"/>
    <tableColumn id="10" xr3:uid="{827D3073-32FF-4597-9DD1-5A02CD08281E}" name="8" dataDxfId="229" dataCellStyle="Währung"/>
    <tableColumn id="11" xr3:uid="{E99E5B00-E7D6-42E1-ACAC-FD5435AC6030}" name="9" dataDxfId="228" dataCellStyle="Währung"/>
    <tableColumn id="12" xr3:uid="{6E721620-DA7D-4124-8457-6F12EA96CB95}" name="10" dataDxfId="227" dataCellStyle="Währung"/>
    <tableColumn id="13" xr3:uid="{5EC70ACA-31D1-42D3-A264-577D0A7BF9FD}" name="11" dataDxfId="226" dataCellStyle="Währung"/>
    <tableColumn id="14" xr3:uid="{4D86A2C4-7C6D-4E27-814E-90D17080618B}" name="12" dataDxfId="225" dataCellStyle="Währung"/>
    <tableColumn id="15" xr3:uid="{B4C97770-1BCF-402F-89F1-AD28B396CA41}" name="13" dataDxfId="224" dataCellStyle="Währung"/>
    <tableColumn id="16" xr3:uid="{4F299972-54AE-4E77-ACA7-2264D13852B7}" name="14" dataDxfId="223" dataCellStyle="Währung"/>
    <tableColumn id="17" xr3:uid="{8D469045-09AC-4FD5-9174-E9667F1D9C6A}" name="15" dataDxfId="222" dataCellStyle="Währung"/>
    <tableColumn id="18" xr3:uid="{FA483AD7-71B4-45C0-80A4-5489ECCE93AA}" name="16" dataDxfId="221" dataCellStyle="Währung"/>
    <tableColumn id="19" xr3:uid="{71FA8614-C36D-4D0D-974F-CF2491654672}" name="17" dataDxfId="220" dataCellStyle="Währung"/>
    <tableColumn id="20" xr3:uid="{407791A8-1805-4018-B017-2C2A40F7D71E}" name="18" dataDxfId="219" dataCellStyle="Währung"/>
    <tableColumn id="21" xr3:uid="{2A3554A9-83D3-43F2-9B12-A48E871369B3}" name="19" dataDxfId="218" dataCellStyle="Währung"/>
    <tableColumn id="22" xr3:uid="{09540E1C-AC20-448B-9739-E4D312478284}" name="20" dataDxfId="217" dataCellStyle="Währung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9CB5BB9-4599-465B-B4C6-BABFF062035E}" name="Tabelle25" displayName="Tabelle25" ref="A1:V12" totalsRowShown="0" headerRowDxfId="216" dataDxfId="215" tableBorderDxfId="214" dataCellStyle="Währung">
  <autoFilter ref="A1:V12" xr:uid="{3760A512-64E6-4ED8-94D2-9449E07762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842542ED-75BD-4722-BE11-6F4DA167CA0F}" name="Jahr "/>
    <tableColumn id="2" xr3:uid="{A913DB42-AD05-4166-95B1-665503F33A71}" name="0" dataDxfId="213" dataCellStyle="Währung"/>
    <tableColumn id="3" xr3:uid="{3374F803-460D-4548-8592-1F642F20ED93}" name="1" dataDxfId="212" dataCellStyle="Währung"/>
    <tableColumn id="4" xr3:uid="{AEB7FD83-4DB1-4B6D-AC0A-AD697C41E4B9}" name="2" dataDxfId="211" dataCellStyle="Währung"/>
    <tableColumn id="5" xr3:uid="{E5B03E7A-2D05-4C8C-952D-C12839791A30}" name="3" dataDxfId="210" dataCellStyle="Währung"/>
    <tableColumn id="6" xr3:uid="{A6AFBAED-B1E3-4651-A57C-C5E82C8F7B5F}" name="4" dataDxfId="209" dataCellStyle="Währung"/>
    <tableColumn id="7" xr3:uid="{7DFD8EF2-D5AE-4A55-86D5-9D2D830FBD4E}" name="5" dataDxfId="208" dataCellStyle="Währung"/>
    <tableColumn id="8" xr3:uid="{48A1C60F-86D7-4EAA-B885-C3F9A973D308}" name="6" dataDxfId="207" dataCellStyle="Währung"/>
    <tableColumn id="9" xr3:uid="{46B79F33-A275-4AE6-AB7C-8833E870884F}" name="7" dataDxfId="206" dataCellStyle="Währung"/>
    <tableColumn id="10" xr3:uid="{127C4469-F140-44F5-8E4E-F097E35D527D}" name="8" dataDxfId="205" dataCellStyle="Währung"/>
    <tableColumn id="11" xr3:uid="{6CCAD392-3069-454D-BD1A-59FE73610679}" name="9" dataDxfId="204" dataCellStyle="Währung"/>
    <tableColumn id="12" xr3:uid="{6F203CC1-0791-43D7-8367-CF6C02145ECD}" name="10" dataDxfId="203" dataCellStyle="Währung"/>
    <tableColumn id="13" xr3:uid="{513DB937-290A-4FD3-B930-97A3B61157B8}" name="11" dataDxfId="202" dataCellStyle="Währung"/>
    <tableColumn id="14" xr3:uid="{88BCD002-38F7-451F-86B6-7A3A61D0660B}" name="12" dataDxfId="201" dataCellStyle="Währung"/>
    <tableColumn id="15" xr3:uid="{CF1C2294-E188-4481-B3C9-E2B5134F3F00}" name="13" dataDxfId="200" dataCellStyle="Währung"/>
    <tableColumn id="16" xr3:uid="{C987019D-F59B-43B3-A2FE-1175286A2F9D}" name="14" dataDxfId="199" dataCellStyle="Währung"/>
    <tableColumn id="17" xr3:uid="{51B46752-3BBC-40C3-BB10-FE0B9A45F008}" name="15" dataDxfId="198" dataCellStyle="Währung"/>
    <tableColumn id="18" xr3:uid="{C84B140E-22DE-4791-B395-21AC2BA6E4E9}" name="16" dataDxfId="197" dataCellStyle="Währung"/>
    <tableColumn id="19" xr3:uid="{C8A60EB1-5BEF-4642-BA3E-164E319AC6C6}" name="17" dataDxfId="196" dataCellStyle="Währung"/>
    <tableColumn id="20" xr3:uid="{7ED8DC18-B048-4512-A2D9-0CC205E008A2}" name="18" dataDxfId="195" dataCellStyle="Währung"/>
    <tableColumn id="21" xr3:uid="{DD5312F8-EE02-4D18-ABE8-3B544445D09D}" name="19" dataDxfId="194" dataCellStyle="Währung"/>
    <tableColumn id="22" xr3:uid="{6F690F21-EC0D-4EC5-919D-DE1BD592DAA9}" name="20" dataDxfId="193" dataCellStyle="Währung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39B8CDB-44C7-4342-9528-A65B1C29747C}" name="Tabelle256" displayName="Tabelle256" ref="A1:V12" totalsRowShown="0" headerRowDxfId="192" dataDxfId="191" tableBorderDxfId="190" dataCellStyle="Währung">
  <autoFilter ref="A1:V12" xr:uid="{3760A512-64E6-4ED8-94D2-9449E07762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68E02883-D56D-4CE7-A4BE-8703D95F2E20}" name="Jahr "/>
    <tableColumn id="2" xr3:uid="{1B734063-B0AD-4FE3-97FD-5B0CEB2156FA}" name="0" dataDxfId="189" dataCellStyle="Währung"/>
    <tableColumn id="3" xr3:uid="{D2664A9C-4AED-422B-AD15-CB5F25D29D2D}" name="1" dataDxfId="188" dataCellStyle="Währung"/>
    <tableColumn id="4" xr3:uid="{736475D9-1667-48AE-87C3-3ACA5DD65B2D}" name="2" dataDxfId="187" dataCellStyle="Währung"/>
    <tableColumn id="5" xr3:uid="{3E75E88B-DEC0-4E12-8B32-A98256215726}" name="3" dataDxfId="186" dataCellStyle="Währung"/>
    <tableColumn id="6" xr3:uid="{6D5A245A-38AF-45CA-BD31-407850FCB1CD}" name="4" dataDxfId="185" dataCellStyle="Währung"/>
    <tableColumn id="7" xr3:uid="{F0A59FC9-7763-473A-940A-F8E2B7CF89A8}" name="5" dataDxfId="184" dataCellStyle="Währung"/>
    <tableColumn id="8" xr3:uid="{F8A86E2D-6279-4343-B022-2CFD32FCDE82}" name="6" dataDxfId="183" dataCellStyle="Währung"/>
    <tableColumn id="9" xr3:uid="{D1FCCC2C-968D-41D7-AF5C-6D73F8107BE2}" name="7" dataDxfId="182" dataCellStyle="Währung"/>
    <tableColumn id="10" xr3:uid="{E374D23C-278E-444D-B744-F0A8D5EC79A0}" name="8" dataDxfId="181" dataCellStyle="Währung"/>
    <tableColumn id="11" xr3:uid="{3CF62FDC-6A59-4215-A206-58EB5DA12545}" name="9" dataDxfId="180" dataCellStyle="Währung"/>
    <tableColumn id="12" xr3:uid="{54F1746C-2CC5-4D8E-8F80-AC0F2E3F0505}" name="10" dataDxfId="179" dataCellStyle="Währung"/>
    <tableColumn id="13" xr3:uid="{2913FD3D-186E-409C-A07C-662D84C6AC62}" name="11" dataDxfId="178" dataCellStyle="Währung"/>
    <tableColumn id="14" xr3:uid="{E9ADDE43-40E2-43E8-B59E-04850BC656B1}" name="12" dataDxfId="177" dataCellStyle="Währung"/>
    <tableColumn id="15" xr3:uid="{716448DF-A8C9-4C03-BB29-DCBA061AEC31}" name="13" dataDxfId="176" dataCellStyle="Währung"/>
    <tableColumn id="16" xr3:uid="{8F91EAC4-00E0-47A7-AB2C-9FC1522A1185}" name="14" dataDxfId="175" dataCellStyle="Währung"/>
    <tableColumn id="17" xr3:uid="{D4025E06-4567-4FF9-B7F7-EF2D437C70A1}" name="15" dataDxfId="174" dataCellStyle="Währung"/>
    <tableColumn id="18" xr3:uid="{D30E6D2B-611C-4452-9EA1-99700CB016E2}" name="16" dataDxfId="173" dataCellStyle="Währung"/>
    <tableColumn id="19" xr3:uid="{750A08E8-BA86-49D0-B330-B68C6D9E0E5D}" name="17" dataDxfId="172" dataCellStyle="Währung"/>
    <tableColumn id="20" xr3:uid="{FAC21ACD-227F-48F1-8A86-1AFEB2C90CD7}" name="18" dataDxfId="171" dataCellStyle="Währung"/>
    <tableColumn id="21" xr3:uid="{D07C7269-5517-4D24-A1B8-C04C469A3392}" name="19" dataDxfId="170" dataCellStyle="Währung"/>
    <tableColumn id="22" xr3:uid="{6C89D901-5D3B-417A-A8D6-612837A7F738}" name="20" dataDxfId="169" dataCellStyle="Währung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3DDE4E-904D-442F-9AAC-95F66B79567F}" name="Tabelle2567" displayName="Tabelle2567" ref="A1:V12" totalsRowShown="0" headerRowDxfId="168" dataDxfId="167" tableBorderDxfId="166" dataCellStyle="Währung">
  <autoFilter ref="A1:V12" xr:uid="{3760A512-64E6-4ED8-94D2-9449E07762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0A50AE32-9B25-4A4A-B733-ECCA4C12757E}" name="Jahr "/>
    <tableColumn id="2" xr3:uid="{B523087E-6EC2-435E-9094-0AC0DEF4F13F}" name="0" dataDxfId="165" dataCellStyle="Währung"/>
    <tableColumn id="3" xr3:uid="{0088E69F-2B24-41DA-8710-24F3C2578466}" name="1" dataDxfId="164" dataCellStyle="Währung"/>
    <tableColumn id="4" xr3:uid="{F0D7B282-5EC1-47E8-943A-ADF137DFCF0B}" name="2" dataDxfId="163" dataCellStyle="Währung"/>
    <tableColumn id="5" xr3:uid="{27EE59B8-CA63-46A6-8A75-39D2E256EA0A}" name="3" dataDxfId="162" dataCellStyle="Währung"/>
    <tableColumn id="6" xr3:uid="{74773B86-0612-43AE-8068-A16ADFEF858B}" name="4" dataDxfId="161" dataCellStyle="Währung"/>
    <tableColumn id="7" xr3:uid="{CDE711F2-0D4F-4558-AE9F-D8EE60D85417}" name="5" dataDxfId="160" dataCellStyle="Währung"/>
    <tableColumn id="8" xr3:uid="{41F65E59-0855-4029-BA16-8723F80345E3}" name="6" dataDxfId="159" dataCellStyle="Währung"/>
    <tableColumn id="9" xr3:uid="{3F1FFCE4-A2B3-4500-8035-32C7D12392BE}" name="7" dataDxfId="158" dataCellStyle="Währung"/>
    <tableColumn id="10" xr3:uid="{5FB60521-267E-4C90-AA1F-3491708FD775}" name="8" dataDxfId="157" dataCellStyle="Währung"/>
    <tableColumn id="11" xr3:uid="{4F614882-BCCF-4025-9F5D-AEB36790BE08}" name="9" dataDxfId="156" dataCellStyle="Währung"/>
    <tableColumn id="12" xr3:uid="{F124E55A-EB43-4A3A-B9EA-B5130B0786F1}" name="10" dataDxfId="155" dataCellStyle="Währung"/>
    <tableColumn id="13" xr3:uid="{606A3ECB-0989-4276-B909-E9CAC6BDC522}" name="11" dataDxfId="154" dataCellStyle="Währung"/>
    <tableColumn id="14" xr3:uid="{AE9F679A-79C4-4EAE-B742-B15597648261}" name="12" dataDxfId="153" dataCellStyle="Währung"/>
    <tableColumn id="15" xr3:uid="{150FE739-7848-4877-8398-E21BCD4BE305}" name="13" dataDxfId="152" dataCellStyle="Währung"/>
    <tableColumn id="16" xr3:uid="{F743FA20-6CAE-42D1-B343-5824977E7014}" name="14" dataDxfId="151" dataCellStyle="Währung"/>
    <tableColumn id="17" xr3:uid="{E97EFF75-2D6D-4B0C-8BF1-B9EF470D0357}" name="15" dataDxfId="150" dataCellStyle="Währung"/>
    <tableColumn id="18" xr3:uid="{BF08D1DE-F511-437F-BC54-FCAC0E23D1B3}" name="16" dataDxfId="149" dataCellStyle="Währung"/>
    <tableColumn id="19" xr3:uid="{9FA45A88-276D-4F8F-9571-140A07A54E4D}" name="17" dataDxfId="148" dataCellStyle="Währung"/>
    <tableColumn id="20" xr3:uid="{A140425F-381D-4E7B-8776-643D968307DC}" name="18" dataDxfId="147" dataCellStyle="Währung"/>
    <tableColumn id="21" xr3:uid="{41C8C4A4-63C3-4265-A33A-946AC4BA09D0}" name="19" dataDxfId="146" dataCellStyle="Währung"/>
    <tableColumn id="22" xr3:uid="{7FC41B6D-662C-449A-8572-71F35F21E041}" name="20" dataDxfId="145" dataCellStyle="Währung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76178F0-CADA-45F4-A521-3941D5904861}" name="Tabelle25678" displayName="Tabelle25678" ref="A1:V12" totalsRowShown="0" headerRowDxfId="144" dataDxfId="143" tableBorderDxfId="142" dataCellStyle="Währung">
  <autoFilter ref="A1:V12" xr:uid="{3760A512-64E6-4ED8-94D2-9449E07762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3CE25AAC-E490-48E5-963C-FCFB7191A165}" name="Jahr "/>
    <tableColumn id="2" xr3:uid="{93BC894B-BB1C-4A13-8052-1DE4F0C17529}" name="0" dataDxfId="141" dataCellStyle="Währung"/>
    <tableColumn id="3" xr3:uid="{A2D69318-FAB4-4EB4-9392-662F1F480D82}" name="1" dataDxfId="140" dataCellStyle="Währung"/>
    <tableColumn id="4" xr3:uid="{08E73DE0-4376-40CB-8FE3-1FD2354CEFE4}" name="2" dataDxfId="139" dataCellStyle="Währung"/>
    <tableColumn id="5" xr3:uid="{0B672CB5-5CF1-451D-BF9B-6D78EDA47BA4}" name="3" dataDxfId="138" dataCellStyle="Währung"/>
    <tableColumn id="6" xr3:uid="{579E4F06-4BD8-44E7-B1FE-C14CC702BEB0}" name="4" dataDxfId="137" dataCellStyle="Währung"/>
    <tableColumn id="7" xr3:uid="{73BF7A77-1506-4392-9899-0A365E76AB76}" name="5" dataDxfId="136" dataCellStyle="Währung"/>
    <tableColumn id="8" xr3:uid="{6B5C57BE-A7C8-467F-BE62-28FDA0F11955}" name="6" dataDxfId="135" dataCellStyle="Währung"/>
    <tableColumn id="9" xr3:uid="{0017EFA7-F643-43CA-8B23-00FE466BB46D}" name="7" dataDxfId="134" dataCellStyle="Währung"/>
    <tableColumn id="10" xr3:uid="{2F1291B6-BF2B-421D-90A4-4BB6D7CD3940}" name="8" dataDxfId="133" dataCellStyle="Währung"/>
    <tableColumn id="11" xr3:uid="{4E541DDC-22B5-4F0D-9A24-D8D2F51A84B1}" name="9" dataDxfId="132" dataCellStyle="Währung"/>
    <tableColumn id="12" xr3:uid="{670E8CB7-7423-46B8-A7AC-49926E9D935F}" name="10" dataDxfId="131" dataCellStyle="Währung"/>
    <tableColumn id="13" xr3:uid="{AAB8FB00-0FA2-4C67-8079-9780608FAD79}" name="11" dataDxfId="130" dataCellStyle="Währung"/>
    <tableColumn id="14" xr3:uid="{11131297-9ABA-42E2-BB4B-514BFB29DCA3}" name="12" dataDxfId="129" dataCellStyle="Währung"/>
    <tableColumn id="15" xr3:uid="{53912D21-46D2-4B72-977E-B070729C4323}" name="13" dataDxfId="128" dataCellStyle="Währung"/>
    <tableColumn id="16" xr3:uid="{C4DFCFC8-9B67-43BE-99FC-5BA31E904857}" name="14" dataDxfId="127" dataCellStyle="Währung"/>
    <tableColumn id="17" xr3:uid="{22FC37E4-9ADC-45F3-99E6-FD40F7A2A1E8}" name="15" dataDxfId="126" dataCellStyle="Währung"/>
    <tableColumn id="18" xr3:uid="{22EBD925-956D-41D4-B674-00D44225E022}" name="16" dataDxfId="125" dataCellStyle="Währung"/>
    <tableColumn id="19" xr3:uid="{89A621F8-BF51-4FE2-BD8A-9E550DB84073}" name="17" dataDxfId="124" dataCellStyle="Währung"/>
    <tableColumn id="20" xr3:uid="{2894B49F-2C8D-48F6-8631-73E22DFB4C65}" name="18" dataDxfId="123" dataCellStyle="Währung"/>
    <tableColumn id="21" xr3:uid="{6DEC5A7C-BDFC-426C-84D6-B333A80C6E9A}" name="19" dataDxfId="122" dataCellStyle="Währung"/>
    <tableColumn id="22" xr3:uid="{1C2F0B35-937D-49BF-B9AC-CA908259320E}" name="20" dataDxfId="121" dataCellStyle="Währung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00F5ABE-3699-40DA-9A86-30EFE4F367CE}" name="Tabelle256789" displayName="Tabelle256789" ref="A1:V12" totalsRowShown="0" headerRowDxfId="120" dataDxfId="119" tableBorderDxfId="118" dataCellStyle="Währung">
  <autoFilter ref="A1:V12" xr:uid="{3760A512-64E6-4ED8-94D2-9449E07762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101D85F0-CA13-46F1-8C81-3B3D0EB113E7}" name="Jahr "/>
    <tableColumn id="2" xr3:uid="{A2747903-28A0-42A9-A5B7-5C2140FEDB12}" name="0" dataDxfId="117" dataCellStyle="Währung"/>
    <tableColumn id="3" xr3:uid="{3AFDE3B0-3E3F-4B4C-8169-D7302A128487}" name="1" dataDxfId="116" dataCellStyle="Währung"/>
    <tableColumn id="4" xr3:uid="{44ACF145-BF01-4E5B-818C-15E603BA2064}" name="2" dataDxfId="115" dataCellStyle="Währung"/>
    <tableColumn id="5" xr3:uid="{E5103260-9B5D-4E0B-9B89-0AA321788E97}" name="3" dataDxfId="114" dataCellStyle="Währung"/>
    <tableColumn id="6" xr3:uid="{F900B802-A373-46F5-BFC5-C7F18564A539}" name="4" dataDxfId="113" dataCellStyle="Währung"/>
    <tableColumn id="7" xr3:uid="{C223C650-46F6-45EA-B160-E6A9A3D8AD7C}" name="5" dataDxfId="112" dataCellStyle="Währung"/>
    <tableColumn id="8" xr3:uid="{ECF2120D-95F5-42A6-B968-95D55BDEB977}" name="6" dataDxfId="111" dataCellStyle="Währung"/>
    <tableColumn id="9" xr3:uid="{87DA4A01-7442-4877-B072-8DFB76DC3CC3}" name="7" dataDxfId="110" dataCellStyle="Währung"/>
    <tableColumn id="10" xr3:uid="{A9C7A53A-764A-4916-92C8-61AE479E7F63}" name="8" dataDxfId="109" dataCellStyle="Währung"/>
    <tableColumn id="11" xr3:uid="{B4600EFA-4B97-46B4-AC35-AF91F4B19094}" name="9" dataDxfId="108" dataCellStyle="Währung"/>
    <tableColumn id="12" xr3:uid="{24845E19-7BAF-4DE3-A52B-96C634E5B751}" name="10" dataDxfId="107" dataCellStyle="Währung"/>
    <tableColumn id="13" xr3:uid="{D1464928-5455-4E10-90D4-62F92216E205}" name="11" dataDxfId="106" dataCellStyle="Währung"/>
    <tableColumn id="14" xr3:uid="{7CE4625B-EA7B-4595-819D-CA62C20A8C6D}" name="12" dataDxfId="105" dataCellStyle="Währung"/>
    <tableColumn id="15" xr3:uid="{0C797307-96DD-4309-8911-11E77DD02832}" name="13" dataDxfId="104" dataCellStyle="Währung"/>
    <tableColumn id="16" xr3:uid="{7EAD004A-56D1-4EFA-89E4-638D23C305A1}" name="14" dataDxfId="103" dataCellStyle="Währung"/>
    <tableColumn id="17" xr3:uid="{AD9C55A0-4CF2-4057-AC73-9F2ABFA75C3B}" name="15" dataDxfId="102" dataCellStyle="Währung"/>
    <tableColumn id="18" xr3:uid="{00DD46A0-C0C9-4A50-BEC0-C6E0B0E0D30B}" name="16" dataDxfId="101" dataCellStyle="Währung"/>
    <tableColumn id="19" xr3:uid="{2CA1BA7C-3641-4AD2-8440-C630ED6352F6}" name="17" dataDxfId="100" dataCellStyle="Währung"/>
    <tableColumn id="20" xr3:uid="{DE1DA174-7663-4145-A322-E0F10A32C528}" name="18" dataDxfId="99" dataCellStyle="Währung"/>
    <tableColumn id="21" xr3:uid="{4E09EC31-9D80-4EC2-85EA-B795C02726C3}" name="19" dataDxfId="98" dataCellStyle="Währung"/>
    <tableColumn id="22" xr3:uid="{E7B4D7C4-EE0B-434E-B0D5-D330AAF86F44}" name="20" dataDxfId="97" dataCellStyle="Währung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96ACBEE-862C-4BEA-BE5B-23CE9524DAE6}" name="Tabelle25678910" displayName="Tabelle25678910" ref="A1:V12" totalsRowShown="0" headerRowDxfId="96" dataDxfId="95" tableBorderDxfId="94" dataCellStyle="Währung">
  <autoFilter ref="A1:V12" xr:uid="{3760A512-64E6-4ED8-94D2-9449E07762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EC1EB42D-56EB-47EC-8976-173F822C241A}" name="Jahr "/>
    <tableColumn id="2" xr3:uid="{B76E43EB-F13D-4BD1-BC1A-49321D097D00}" name="0" dataDxfId="93" dataCellStyle="Währung"/>
    <tableColumn id="3" xr3:uid="{080AE0EA-4A71-47F0-B1E5-570B827E74B8}" name="1" dataDxfId="92" dataCellStyle="Währung"/>
    <tableColumn id="4" xr3:uid="{3EF8868F-DF85-446A-9BE9-D3DC229DCE1D}" name="2" dataDxfId="91" dataCellStyle="Währung"/>
    <tableColumn id="5" xr3:uid="{59A3BB88-DDF9-4A0E-B5CD-514C60D642DE}" name="3" dataDxfId="90" dataCellStyle="Währung"/>
    <tableColumn id="6" xr3:uid="{4195343B-1392-4C45-B5FA-6E23F843BA81}" name="4" dataDxfId="89" dataCellStyle="Währung"/>
    <tableColumn id="7" xr3:uid="{F5ACBDB4-1170-4514-B897-E6EA5248547D}" name="5" dataDxfId="88" dataCellStyle="Währung"/>
    <tableColumn id="8" xr3:uid="{329DF32F-790C-4962-8B41-E49CA70D7EA2}" name="6" dataDxfId="87" dataCellStyle="Währung"/>
    <tableColumn id="9" xr3:uid="{084F87F0-813F-4100-811D-5FDF57215EB5}" name="7" dataDxfId="86" dataCellStyle="Währung"/>
    <tableColumn id="10" xr3:uid="{A25B7C64-2684-442E-ABDE-E21560959B5E}" name="8" dataDxfId="85" dataCellStyle="Währung"/>
    <tableColumn id="11" xr3:uid="{0FF18387-9135-45D1-902B-3B8A12BCB6FE}" name="9" dataDxfId="84" dataCellStyle="Währung"/>
    <tableColumn id="12" xr3:uid="{C863CD70-545D-432A-B66D-E978823CA065}" name="10" dataDxfId="83" dataCellStyle="Währung"/>
    <tableColumn id="13" xr3:uid="{EFE74099-B761-4D5E-9A5E-EE5BF429AB80}" name="11" dataDxfId="82" dataCellStyle="Währung"/>
    <tableColumn id="14" xr3:uid="{DF047E79-E61D-4D46-854F-BDE8A69FD4E8}" name="12" dataDxfId="81" dataCellStyle="Währung"/>
    <tableColumn id="15" xr3:uid="{951BECD4-577D-46AF-A7F3-526403E7AB9E}" name="13" dataDxfId="80" dataCellStyle="Währung"/>
    <tableColumn id="16" xr3:uid="{04807DCF-4685-4F38-8B1D-AD58F0C38370}" name="14" dataDxfId="79" dataCellStyle="Währung"/>
    <tableColumn id="17" xr3:uid="{48F0F16B-A019-4838-8352-0A3BEEBEFEFC}" name="15" dataDxfId="78" dataCellStyle="Währung"/>
    <tableColumn id="18" xr3:uid="{EEE25266-CB79-406D-A235-13CBB335D5B3}" name="16" dataDxfId="77" dataCellStyle="Währung"/>
    <tableColumn id="19" xr3:uid="{DD8FBEAE-3C08-4EA0-A0A6-E4A16798AA40}" name="17" dataDxfId="76" dataCellStyle="Währung"/>
    <tableColumn id="20" xr3:uid="{614C9977-357A-4D69-83FA-570D1987D712}" name="18" dataDxfId="75" dataCellStyle="Währung"/>
    <tableColumn id="21" xr3:uid="{F1C45D5B-C22F-4CD4-8BC6-DE3FCD1547A3}" name="19" dataDxfId="74" dataCellStyle="Währung"/>
    <tableColumn id="22" xr3:uid="{BD03DDCC-949E-4049-AADF-6FC6D2F1EDC7}" name="20" dataDxfId="73" dataCellStyle="Währung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BEBE726-D6B0-4C32-AAF9-FE5FBB8F23BD}" name="Tabelle2567891011" displayName="Tabelle2567891011" ref="A1:V12" totalsRowShown="0" headerRowDxfId="72" dataDxfId="71" tableBorderDxfId="70" dataCellStyle="Währung">
  <autoFilter ref="A1:V12" xr:uid="{3760A512-64E6-4ED8-94D2-9449E07762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38DB2DA7-2B21-4D49-BD05-B2CB16A650B8}" name="Jahr "/>
    <tableColumn id="2" xr3:uid="{452A35AC-D0B0-4733-A481-106961BC6F0B}" name="0" dataDxfId="69" dataCellStyle="Währung"/>
    <tableColumn id="3" xr3:uid="{617476C7-1336-4F0B-8B82-E8EA1C3D9AFF}" name="1" dataDxfId="68" dataCellStyle="Währung"/>
    <tableColumn id="4" xr3:uid="{F573D70D-59D6-415A-9AE8-6C3133639C42}" name="2" dataDxfId="67" dataCellStyle="Währung"/>
    <tableColumn id="5" xr3:uid="{8C192FCD-61B4-443E-879D-91B17E07ED7A}" name="3" dataDxfId="66" dataCellStyle="Währung"/>
    <tableColumn id="6" xr3:uid="{79EF321C-37B1-461E-B1BF-742E49183A3F}" name="4" dataDxfId="65" dataCellStyle="Währung"/>
    <tableColumn id="7" xr3:uid="{BA7EA793-195B-41E1-936D-F18B9C4BCC1E}" name="5" dataDxfId="64" dataCellStyle="Währung"/>
    <tableColumn id="8" xr3:uid="{241F502C-F7BC-4247-9537-80D17C3DBFDA}" name="6" dataDxfId="63" dataCellStyle="Währung"/>
    <tableColumn id="9" xr3:uid="{62A0AC41-1570-484A-A044-48342676B93E}" name="7" dataDxfId="62" dataCellStyle="Währung"/>
    <tableColumn id="10" xr3:uid="{6E976AFE-E75D-4FC5-9C20-EB6565E72F55}" name="8" dataDxfId="61" dataCellStyle="Währung"/>
    <tableColumn id="11" xr3:uid="{7E59FBC3-1A08-49AC-ADAC-A9D891D13556}" name="9" dataDxfId="60" dataCellStyle="Währung"/>
    <tableColumn id="12" xr3:uid="{4D38FBF9-0814-4619-BFB8-CCBF724538BB}" name="10" dataDxfId="59" dataCellStyle="Währung"/>
    <tableColumn id="13" xr3:uid="{CB85545E-F45D-4D07-9013-C837551F59F9}" name="11" dataDxfId="58" dataCellStyle="Währung"/>
    <tableColumn id="14" xr3:uid="{2A8453B7-5336-477C-AFCF-09935D3FCCEE}" name="12" dataDxfId="57" dataCellStyle="Währung"/>
    <tableColumn id="15" xr3:uid="{DDB77D2F-FE2B-4F14-A301-BB00F397803E}" name="13" dataDxfId="56" dataCellStyle="Währung"/>
    <tableColumn id="16" xr3:uid="{20285F2F-7EFB-42FF-B87E-FC0B0FF61CB7}" name="14" dataDxfId="55" dataCellStyle="Währung"/>
    <tableColumn id="17" xr3:uid="{EAD9B444-7D97-488A-B2F3-4B1A10D2FBB9}" name="15" dataDxfId="54" dataCellStyle="Währung"/>
    <tableColumn id="18" xr3:uid="{5DF7B496-9FEA-493F-884D-3CD15CCCE808}" name="16" dataDxfId="53" dataCellStyle="Währung"/>
    <tableColumn id="19" xr3:uid="{C4DDDAFD-9657-4055-901F-F34D1B7BDB87}" name="17" dataDxfId="52" dataCellStyle="Währung"/>
    <tableColumn id="20" xr3:uid="{FA408275-5005-486C-BF2B-B4CCD3912389}" name="18" dataDxfId="51" dataCellStyle="Währung"/>
    <tableColumn id="21" xr3:uid="{350B0FE6-AD06-4751-896C-92910995DAB5}" name="19" dataDxfId="50" dataCellStyle="Währung"/>
    <tableColumn id="22" xr3:uid="{EBBAB842-1AB2-4F76-A77C-176BC5B35391}" name="20" dataDxfId="49" dataCellStyle="Währung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3834D6A-6C2C-43D4-9DB3-0DD6E28EFD2A}" name="Tabelle21213" displayName="Tabelle21213" ref="A1:V48" totalsRowShown="0" headerRowDxfId="48" dataDxfId="47" tableBorderDxfId="46" dataCellStyle="Währung">
  <autoFilter ref="A1:V48" xr:uid="{3760A512-64E6-4ED8-94D2-9449E07762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05AF1FEF-0768-4FAF-ABEC-C50FED5F6BCC}" name="Jahr " dataDxfId="45"/>
    <tableColumn id="2" xr3:uid="{15C8ECCC-1DDE-4B63-BA74-DE9EEB3D265D}" name="0" dataDxfId="44" dataCellStyle="Währung"/>
    <tableColumn id="3" xr3:uid="{E27416C2-8FB1-4F0D-B530-33AAB7CA5AA4}" name="1" dataDxfId="43" dataCellStyle="Währung"/>
    <tableColumn id="4" xr3:uid="{1E2C5D17-DDD9-4634-91DD-7E131FCA407C}" name="2" dataDxfId="42" dataCellStyle="Währung"/>
    <tableColumn id="5" xr3:uid="{BFF547C1-1CB1-4336-9202-30A59FDFC2B2}" name="3" dataDxfId="41" dataCellStyle="Währung"/>
    <tableColumn id="6" xr3:uid="{FF8685C7-D69A-486A-863C-2FF63C5B2EA0}" name="4" dataDxfId="40" dataCellStyle="Währung"/>
    <tableColumn id="7" xr3:uid="{A36BB6AE-0710-4A21-B73C-9C57B4224C27}" name="5" dataDxfId="39" dataCellStyle="Währung"/>
    <tableColumn id="8" xr3:uid="{36E259CC-4158-4702-A100-9AC5EC4837F6}" name="6" dataDxfId="38" dataCellStyle="Währung"/>
    <tableColumn id="9" xr3:uid="{CC3B3B4B-B60E-490E-9087-7C3150B47543}" name="7" dataDxfId="37" dataCellStyle="Währung"/>
    <tableColumn id="10" xr3:uid="{89990B64-A8EF-4586-B517-1A9A00BDA0C3}" name="8" dataDxfId="36" dataCellStyle="Währung"/>
    <tableColumn id="11" xr3:uid="{EA5AF6B2-B94D-47F2-992A-C20F7A835AB5}" name="9" dataDxfId="35" dataCellStyle="Währung"/>
    <tableColumn id="12" xr3:uid="{3939CB0F-F61C-4825-9694-EF7849847D59}" name="10" dataDxfId="34" dataCellStyle="Währung"/>
    <tableColumn id="13" xr3:uid="{48F8370F-94E1-4452-9499-4275BC5C568D}" name="11" dataDxfId="33" dataCellStyle="Währung"/>
    <tableColumn id="14" xr3:uid="{40535939-B1AA-4F2B-B418-577D83E77498}" name="12" dataDxfId="32" dataCellStyle="Währung"/>
    <tableColumn id="15" xr3:uid="{6CB5E81F-1C6D-491D-8E37-C465C60DAC8E}" name="13" dataDxfId="31" dataCellStyle="Währung"/>
    <tableColumn id="16" xr3:uid="{D6EC621A-EF40-45D3-A64E-A86FC9098D9E}" name="14" dataDxfId="30" dataCellStyle="Währung"/>
    <tableColumn id="17" xr3:uid="{C6B57F3F-F36D-4753-A350-E7B1B64F3792}" name="15" dataDxfId="29" dataCellStyle="Währung"/>
    <tableColumn id="18" xr3:uid="{68531358-8FB2-449F-8B39-AF1ED55824A8}" name="16" dataDxfId="28" dataCellStyle="Währung"/>
    <tableColumn id="19" xr3:uid="{7B5A1C77-AAAC-44E5-BB9F-D8CA188A6ABF}" name="17" dataDxfId="27" dataCellStyle="Währung"/>
    <tableColumn id="20" xr3:uid="{50ABCC7C-3D03-4A65-9FEF-6DBA3EE7FBEE}" name="18" dataDxfId="26" dataCellStyle="Währung"/>
    <tableColumn id="21" xr3:uid="{04E3BD3B-5734-43C8-B2DB-6FB01206B342}" name="19" dataDxfId="25" dataCellStyle="Währung"/>
    <tableColumn id="22" xr3:uid="{E7F65787-4DB0-49D0-A3D6-083B623E0E1F}" name="20" dataDxfId="24" dataCellStyle="Währung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02A806-3548-4F85-A602-589FEA3AEA35}" name="Tabelle25678910114" displayName="Tabelle25678910114" ref="G1:AB12" totalsRowShown="0" headerRowDxfId="23" dataDxfId="22" tableBorderDxfId="21" dataCellStyle="Währung">
  <autoFilter ref="G1:AB12" xr:uid="{3760A512-64E6-4ED8-94D2-9449E07762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CE7D3A40-FB46-41AA-A8D5-4BA7214CF3DF}" name="Jahr "/>
    <tableColumn id="2" xr3:uid="{45D56341-992A-4B19-8939-38C965A6D7B2}" name="0" dataDxfId="20" dataCellStyle="Währung"/>
    <tableColumn id="3" xr3:uid="{1F740FA1-C63D-47B2-A2D3-F6DCCD34C093}" name="1" dataDxfId="19" dataCellStyle="Währung"/>
    <tableColumn id="4" xr3:uid="{D9D2D96A-48D3-404F-8892-9B7EB902834D}" name="2" dataDxfId="18" dataCellStyle="Währung"/>
    <tableColumn id="5" xr3:uid="{2F88878C-37E1-427C-A774-16190B79C170}" name="3" dataDxfId="17" dataCellStyle="Währung"/>
    <tableColumn id="6" xr3:uid="{ACCF0CE0-5A70-4504-B905-91671C28DAF7}" name="4" dataDxfId="16" dataCellStyle="Währung"/>
    <tableColumn id="7" xr3:uid="{DD8806D6-7355-41D0-B94E-5AA01F7B5881}" name="5" dataDxfId="15" dataCellStyle="Währung"/>
    <tableColumn id="8" xr3:uid="{B81FCA70-D71D-423F-86D4-157C0F9C4B39}" name="6" dataDxfId="14" dataCellStyle="Währung"/>
    <tableColumn id="9" xr3:uid="{F79BA495-C81A-479D-B862-8652B1B1D380}" name="7" dataDxfId="13" dataCellStyle="Währung"/>
    <tableColumn id="10" xr3:uid="{6742895B-5D17-40A3-8BC9-B5431054A84B}" name="8" dataDxfId="12" dataCellStyle="Währung"/>
    <tableColumn id="11" xr3:uid="{AB85C830-25B9-4DB9-B07B-A87BBC8EAD37}" name="9" dataDxfId="11" dataCellStyle="Währung"/>
    <tableColumn id="12" xr3:uid="{431C468F-83C2-4089-BEF5-E760EA77E939}" name="10" dataDxfId="10" dataCellStyle="Währung"/>
    <tableColumn id="13" xr3:uid="{B6FF0F49-04D4-450C-AD3A-15845C408E26}" name="11" dataDxfId="9" dataCellStyle="Währung"/>
    <tableColumn id="14" xr3:uid="{2711DFF1-7D62-46D4-B76A-9A83D70D1116}" name="12" dataDxfId="8" dataCellStyle="Währung"/>
    <tableColumn id="15" xr3:uid="{DA20E02B-FCE0-46F8-B7E4-7DC56F9CA657}" name="13" dataDxfId="7" dataCellStyle="Währung"/>
    <tableColumn id="16" xr3:uid="{55E663CC-0D51-4771-B7C5-24210AF0764F}" name="14" dataDxfId="6" dataCellStyle="Währung"/>
    <tableColumn id="17" xr3:uid="{C1B1B134-B5DD-4D28-AA58-7602F5FC852A}" name="15" dataDxfId="5" dataCellStyle="Währung"/>
    <tableColumn id="18" xr3:uid="{2F75FAFA-7141-4BA5-A2DB-ACEEFEAC7F33}" name="16" dataDxfId="4" dataCellStyle="Währung"/>
    <tableColumn id="19" xr3:uid="{70F3EA75-7BA5-49EF-A434-8DFACC819FB3}" name="17" dataDxfId="3" dataCellStyle="Währung"/>
    <tableColumn id="20" xr3:uid="{A3F42686-6EF9-4AE6-A24E-E4C2A9D14D04}" name="18" dataDxfId="2" dataCellStyle="Währung"/>
    <tableColumn id="21" xr3:uid="{1A558DA2-EBD6-4839-B023-D06393B7C7A5}" name="19" dataDxfId="1" dataCellStyle="Währung"/>
    <tableColumn id="22" xr3:uid="{7C4EAB02-C7DB-498A-871D-D3F902F155C5}" name="20" dataDxfId="0" dataCellStyle="Währung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95217-45E8-431C-A39C-7DA44AC5B272}">
  <sheetPr codeName="Tabelle2"/>
  <dimension ref="H1:V83"/>
  <sheetViews>
    <sheetView topLeftCell="F1" workbookViewId="0">
      <selection activeCell="Q10" sqref="Q10"/>
    </sheetView>
  </sheetViews>
  <sheetFormatPr baseColWidth="10" defaultRowHeight="13.8" x14ac:dyDescent="0.25"/>
  <cols>
    <col min="13" max="13" width="14" bestFit="1" customWidth="1"/>
    <col min="17" max="17" width="21.21875" bestFit="1" customWidth="1"/>
    <col min="18" max="18" width="18.44140625" bestFit="1" customWidth="1"/>
    <col min="19" max="19" width="17.5546875" bestFit="1" customWidth="1"/>
  </cols>
  <sheetData>
    <row r="1" spans="8:22" ht="15" x14ac:dyDescent="0.25">
      <c r="H1" t="s">
        <v>0</v>
      </c>
      <c r="I1" t="s">
        <v>1</v>
      </c>
      <c r="J1" t="s">
        <v>2</v>
      </c>
      <c r="K1" t="s">
        <v>3</v>
      </c>
      <c r="L1" t="s">
        <v>4</v>
      </c>
      <c r="M1" t="s">
        <v>5</v>
      </c>
      <c r="P1" t="s">
        <v>53</v>
      </c>
      <c r="Q1">
        <v>1750</v>
      </c>
      <c r="R1">
        <v>1200</v>
      </c>
    </row>
    <row r="2" spans="8:22" ht="15.75" x14ac:dyDescent="0.25">
      <c r="H2" s="122">
        <v>1</v>
      </c>
      <c r="I2" s="122">
        <v>1</v>
      </c>
      <c r="J2" s="120">
        <v>0</v>
      </c>
      <c r="K2" s="120">
        <f t="shared" ref="K2:K12" si="0">M2/4*Fremdkapitalzins</f>
        <v>-122.0184</v>
      </c>
      <c r="L2" s="120">
        <f t="shared" ref="L2:L14" si="1">SUM(J2:K2)</f>
        <v>-122.0184</v>
      </c>
      <c r="M2" s="120">
        <f>$O$3*(-1)</f>
        <v>-9072</v>
      </c>
      <c r="O2">
        <f>Q1*P2</f>
        <v>6720</v>
      </c>
      <c r="P2">
        <v>3.84</v>
      </c>
      <c r="S2" s="7" t="s">
        <v>54</v>
      </c>
      <c r="T2" s="7"/>
      <c r="U2" s="7"/>
      <c r="V2" s="7"/>
    </row>
    <row r="3" spans="8:22" ht="15.75" x14ac:dyDescent="0.25">
      <c r="H3" s="122">
        <v>1</v>
      </c>
      <c r="I3" s="122">
        <v>2</v>
      </c>
      <c r="J3" s="120">
        <v>0</v>
      </c>
      <c r="K3" s="120">
        <f t="shared" si="0"/>
        <v>-122.0184</v>
      </c>
      <c r="L3" s="120">
        <f t="shared" si="1"/>
        <v>-122.0184</v>
      </c>
      <c r="M3" s="120">
        <f t="shared" ref="M3:M13" si="2">$O$3*(-1)</f>
        <v>-9072</v>
      </c>
      <c r="O3">
        <f>P3*R1</f>
        <v>9072</v>
      </c>
      <c r="P3">
        <v>7.56</v>
      </c>
      <c r="S3" s="7"/>
      <c r="T3" s="7">
        <f>P2*365*2</f>
        <v>2803.2</v>
      </c>
      <c r="U3" s="7"/>
      <c r="V3" s="7"/>
    </row>
    <row r="4" spans="8:22" ht="15" x14ac:dyDescent="0.25">
      <c r="H4" s="122">
        <v>1</v>
      </c>
      <c r="I4" s="122">
        <v>3</v>
      </c>
      <c r="J4" s="120">
        <v>0</v>
      </c>
      <c r="K4" s="120">
        <f t="shared" si="0"/>
        <v>-122.0184</v>
      </c>
      <c r="L4" s="120">
        <f t="shared" si="1"/>
        <v>-122.0184</v>
      </c>
      <c r="M4" s="120">
        <f t="shared" si="2"/>
        <v>-9072</v>
      </c>
      <c r="O4">
        <f>P4*R1</f>
        <v>12000</v>
      </c>
      <c r="P4">
        <v>10</v>
      </c>
    </row>
    <row r="5" spans="8:22" ht="15" x14ac:dyDescent="0.25">
      <c r="H5" s="122">
        <v>1</v>
      </c>
      <c r="I5" s="122">
        <v>4</v>
      </c>
      <c r="J5" s="120">
        <v>0</v>
      </c>
      <c r="K5" s="120">
        <f t="shared" si="0"/>
        <v>-122.0184</v>
      </c>
      <c r="L5" s="120">
        <f t="shared" si="1"/>
        <v>-122.0184</v>
      </c>
      <c r="M5" s="120">
        <f t="shared" si="2"/>
        <v>-9072</v>
      </c>
      <c r="O5">
        <f>P5*R1</f>
        <v>6936</v>
      </c>
      <c r="P5">
        <v>5.78</v>
      </c>
    </row>
    <row r="6" spans="8:22" ht="15" x14ac:dyDescent="0.25">
      <c r="H6" s="122">
        <v>2</v>
      </c>
      <c r="I6" s="122">
        <v>1</v>
      </c>
      <c r="J6" s="120">
        <v>0</v>
      </c>
      <c r="K6" s="120">
        <f t="shared" si="0"/>
        <v>-122.0184</v>
      </c>
      <c r="L6" s="120">
        <f t="shared" si="1"/>
        <v>-122.0184</v>
      </c>
      <c r="M6" s="120">
        <f t="shared" si="2"/>
        <v>-9072</v>
      </c>
    </row>
    <row r="7" spans="8:22" ht="15" x14ac:dyDescent="0.25">
      <c r="H7" s="122">
        <v>2</v>
      </c>
      <c r="I7" s="122">
        <v>2</v>
      </c>
      <c r="J7" s="120">
        <v>0</v>
      </c>
      <c r="K7" s="120">
        <f t="shared" si="0"/>
        <v>-122.0184</v>
      </c>
      <c r="L7" s="120">
        <f t="shared" si="1"/>
        <v>-122.0184</v>
      </c>
      <c r="M7" s="120">
        <f t="shared" si="2"/>
        <v>-9072</v>
      </c>
    </row>
    <row r="8" spans="8:22" ht="15" x14ac:dyDescent="0.25">
      <c r="H8" s="122">
        <v>2</v>
      </c>
      <c r="I8" s="122">
        <v>3</v>
      </c>
      <c r="J8" s="120">
        <v>0</v>
      </c>
      <c r="K8" s="120">
        <f t="shared" si="0"/>
        <v>-122.0184</v>
      </c>
      <c r="L8" s="120">
        <f t="shared" si="1"/>
        <v>-122.0184</v>
      </c>
      <c r="M8" s="120">
        <f t="shared" si="2"/>
        <v>-9072</v>
      </c>
    </row>
    <row r="9" spans="8:22" ht="15" x14ac:dyDescent="0.25">
      <c r="H9" s="122">
        <v>2</v>
      </c>
      <c r="I9" s="122">
        <v>4</v>
      </c>
      <c r="J9" s="120">
        <v>0</v>
      </c>
      <c r="K9" s="120">
        <f t="shared" si="0"/>
        <v>-122.0184</v>
      </c>
      <c r="L9" s="120">
        <f t="shared" si="1"/>
        <v>-122.0184</v>
      </c>
      <c r="M9" s="120">
        <f t="shared" si="2"/>
        <v>-9072</v>
      </c>
    </row>
    <row r="10" spans="8:22" ht="15" x14ac:dyDescent="0.25">
      <c r="H10" s="122">
        <v>3</v>
      </c>
      <c r="I10" s="122">
        <v>1</v>
      </c>
      <c r="J10" s="120">
        <v>0</v>
      </c>
      <c r="K10" s="120">
        <f t="shared" si="0"/>
        <v>-122.0184</v>
      </c>
      <c r="L10" s="120">
        <f t="shared" si="1"/>
        <v>-122.0184</v>
      </c>
      <c r="M10" s="120">
        <f t="shared" si="2"/>
        <v>-9072</v>
      </c>
    </row>
    <row r="11" spans="8:22" ht="15" x14ac:dyDescent="0.25">
      <c r="H11" s="122">
        <v>3</v>
      </c>
      <c r="I11" s="122">
        <v>2</v>
      </c>
      <c r="J11" s="120">
        <v>0</v>
      </c>
      <c r="K11" s="120">
        <f t="shared" si="0"/>
        <v>-122.0184</v>
      </c>
      <c r="L11" s="120">
        <f t="shared" si="1"/>
        <v>-122.0184</v>
      </c>
      <c r="M11" s="120">
        <f t="shared" si="2"/>
        <v>-9072</v>
      </c>
    </row>
    <row r="12" spans="8:22" x14ac:dyDescent="0.25">
      <c r="H12" s="122">
        <v>3</v>
      </c>
      <c r="I12" s="122">
        <v>3</v>
      </c>
      <c r="J12" s="120">
        <v>0</v>
      </c>
      <c r="K12" s="120">
        <f t="shared" si="0"/>
        <v>-122.0184</v>
      </c>
      <c r="L12" s="120">
        <f t="shared" si="1"/>
        <v>-122.0184</v>
      </c>
      <c r="M12" s="120">
        <f t="shared" si="2"/>
        <v>-9072</v>
      </c>
      <c r="Q12" s="1" t="s">
        <v>40</v>
      </c>
      <c r="R12" t="s">
        <v>42</v>
      </c>
      <c r="S12" t="s">
        <v>43</v>
      </c>
    </row>
    <row r="13" spans="8:22" x14ac:dyDescent="0.25">
      <c r="H13" s="122">
        <v>3</v>
      </c>
      <c r="I13" s="122">
        <v>4</v>
      </c>
      <c r="J13" s="120">
        <v>0</v>
      </c>
      <c r="K13" s="120">
        <f t="shared" ref="K13:K77" si="3">M12/4*Fremdkapitalzins</f>
        <v>-122.0184</v>
      </c>
      <c r="L13" s="120">
        <f t="shared" si="1"/>
        <v>-122.0184</v>
      </c>
      <c r="M13" s="120">
        <f t="shared" si="2"/>
        <v>-9072</v>
      </c>
      <c r="Q13" s="2">
        <v>1</v>
      </c>
      <c r="R13" s="3">
        <v>0</v>
      </c>
      <c r="S13" s="3">
        <v>-488.0736</v>
      </c>
    </row>
    <row r="14" spans="8:22" x14ac:dyDescent="0.25">
      <c r="H14" s="122">
        <v>4</v>
      </c>
      <c r="I14" s="122">
        <v>1</v>
      </c>
      <c r="J14" s="120">
        <f>$M$2/(17*4)</f>
        <v>-133.41176470588235</v>
      </c>
      <c r="K14" s="120">
        <f t="shared" si="3"/>
        <v>-122.0184</v>
      </c>
      <c r="L14" s="120">
        <f t="shared" si="1"/>
        <v>-255.43016470588236</v>
      </c>
      <c r="M14" s="120">
        <f>M13-J14</f>
        <v>-8938.5882352941171</v>
      </c>
      <c r="Q14" s="2">
        <v>2</v>
      </c>
      <c r="R14" s="3">
        <v>0</v>
      </c>
      <c r="S14" s="3">
        <v>-488.0736</v>
      </c>
    </row>
    <row r="15" spans="8:22" x14ac:dyDescent="0.25">
      <c r="H15" s="122">
        <v>4</v>
      </c>
      <c r="I15" s="122">
        <v>2</v>
      </c>
      <c r="J15" s="120">
        <f t="shared" ref="J15:J78" si="4">$M$2/(17*4)</f>
        <v>-133.41176470588235</v>
      </c>
      <c r="K15" s="120">
        <f t="shared" si="3"/>
        <v>-120.22401176470588</v>
      </c>
      <c r="L15" s="120">
        <f>SUM($AL$14,K15)</f>
        <v>-120.22401176470588</v>
      </c>
      <c r="M15" s="120">
        <f>M14-J14</f>
        <v>-8805.1764705882342</v>
      </c>
      <c r="Q15" s="2">
        <v>3</v>
      </c>
      <c r="R15" s="3">
        <v>0</v>
      </c>
      <c r="S15" s="3">
        <v>-488.0736</v>
      </c>
    </row>
    <row r="16" spans="8:22" x14ac:dyDescent="0.25">
      <c r="H16" s="122">
        <v>4</v>
      </c>
      <c r="I16" s="122">
        <v>3</v>
      </c>
      <c r="J16" s="120">
        <f t="shared" si="4"/>
        <v>-133.41176470588235</v>
      </c>
      <c r="K16" s="120">
        <f t="shared" si="3"/>
        <v>-118.42962352941176</v>
      </c>
      <c r="L16" s="120">
        <f t="shared" ref="L16:L79" si="5">SUM(J16:K16)</f>
        <v>-251.84138823529412</v>
      </c>
      <c r="M16" s="120">
        <f>M15-J14</f>
        <v>-8671.7647058823513</v>
      </c>
      <c r="Q16" s="2">
        <v>4</v>
      </c>
      <c r="R16" s="3">
        <v>-533.64705882352939</v>
      </c>
      <c r="S16" s="3">
        <v>-477.30727058823527</v>
      </c>
    </row>
    <row r="17" spans="8:19" x14ac:dyDescent="0.25">
      <c r="H17" s="122">
        <v>4</v>
      </c>
      <c r="I17" s="122">
        <v>4</v>
      </c>
      <c r="J17" s="120">
        <f t="shared" si="4"/>
        <v>-133.41176470588235</v>
      </c>
      <c r="K17" s="120">
        <f t="shared" si="3"/>
        <v>-116.63523529411762</v>
      </c>
      <c r="L17" s="120">
        <f t="shared" si="5"/>
        <v>-250.04699999999997</v>
      </c>
      <c r="M17" s="120">
        <f>M16-J14</f>
        <v>-8538.3529411764684</v>
      </c>
      <c r="Q17" s="2">
        <v>5</v>
      </c>
      <c r="R17" s="3">
        <v>-533.64705882352939</v>
      </c>
      <c r="S17" s="3">
        <v>-448.59705882352921</v>
      </c>
    </row>
    <row r="18" spans="8:19" x14ac:dyDescent="0.25">
      <c r="H18" s="122">
        <v>5</v>
      </c>
      <c r="I18" s="122">
        <v>1</v>
      </c>
      <c r="J18" s="120">
        <f t="shared" si="4"/>
        <v>-133.41176470588235</v>
      </c>
      <c r="K18" s="120">
        <f t="shared" si="3"/>
        <v>-114.8408470588235</v>
      </c>
      <c r="L18" s="120">
        <f t="shared" si="5"/>
        <v>-248.25261176470585</v>
      </c>
      <c r="M18" s="120">
        <f>M17-J18</f>
        <v>-8404.9411764705856</v>
      </c>
      <c r="Q18" s="2">
        <v>6</v>
      </c>
      <c r="R18" s="3">
        <v>-533.64705882352939</v>
      </c>
      <c r="S18" s="3">
        <v>-419.88684705882343</v>
      </c>
    </row>
    <row r="19" spans="8:19" x14ac:dyDescent="0.25">
      <c r="H19" s="122">
        <v>5</v>
      </c>
      <c r="I19" s="122">
        <v>2</v>
      </c>
      <c r="J19" s="120">
        <f t="shared" si="4"/>
        <v>-133.41176470588235</v>
      </c>
      <c r="K19" s="120">
        <f t="shared" si="3"/>
        <v>-113.04645882352938</v>
      </c>
      <c r="L19" s="120">
        <f t="shared" si="5"/>
        <v>-246.45822352941173</v>
      </c>
      <c r="M19" s="120">
        <f>M18-J18</f>
        <v>-8271.5294117647027</v>
      </c>
      <c r="Q19" s="2">
        <v>7</v>
      </c>
      <c r="R19" s="3">
        <v>-533.64705882352939</v>
      </c>
      <c r="S19" s="3">
        <v>-391.17663529411766</v>
      </c>
    </row>
    <row r="20" spans="8:19" x14ac:dyDescent="0.25">
      <c r="H20" s="122">
        <v>5</v>
      </c>
      <c r="I20" s="122">
        <v>3</v>
      </c>
      <c r="J20" s="120">
        <f t="shared" si="4"/>
        <v>-133.41176470588235</v>
      </c>
      <c r="K20" s="120">
        <f t="shared" si="3"/>
        <v>-111.25207058823526</v>
      </c>
      <c r="L20" s="120">
        <f t="shared" si="5"/>
        <v>-244.6638352941176</v>
      </c>
      <c r="M20" s="120">
        <f>M19-J18</f>
        <v>-8138.1176470588207</v>
      </c>
      <c r="Q20" s="2">
        <v>8</v>
      </c>
      <c r="R20" s="3">
        <v>-533.64705882352939</v>
      </c>
      <c r="S20" s="3">
        <v>-362.46642352941183</v>
      </c>
    </row>
    <row r="21" spans="8:19" x14ac:dyDescent="0.25">
      <c r="H21" s="122">
        <v>5</v>
      </c>
      <c r="I21" s="122">
        <v>4</v>
      </c>
      <c r="J21" s="120">
        <f t="shared" si="4"/>
        <v>-133.41176470588235</v>
      </c>
      <c r="K21" s="120">
        <f t="shared" si="3"/>
        <v>-109.45768235294113</v>
      </c>
      <c r="L21" s="120">
        <f t="shared" si="5"/>
        <v>-242.86944705882348</v>
      </c>
      <c r="M21" s="120">
        <f>M20-J18</f>
        <v>-8004.7058823529387</v>
      </c>
      <c r="Q21" s="2">
        <v>9</v>
      </c>
      <c r="R21" s="3">
        <v>-533.64705882352939</v>
      </c>
      <c r="S21" s="3">
        <v>-333.75621176470599</v>
      </c>
    </row>
    <row r="22" spans="8:19" x14ac:dyDescent="0.25">
      <c r="H22" s="122">
        <v>6</v>
      </c>
      <c r="I22" s="122">
        <v>1</v>
      </c>
      <c r="J22" s="120">
        <f t="shared" si="4"/>
        <v>-133.41176470588235</v>
      </c>
      <c r="K22" s="120">
        <f t="shared" si="3"/>
        <v>-107.66329411764703</v>
      </c>
      <c r="L22" s="120">
        <f t="shared" si="5"/>
        <v>-241.07505882352939</v>
      </c>
      <c r="M22" s="120">
        <f>M21-J22</f>
        <v>-7871.2941176470567</v>
      </c>
      <c r="Q22" s="2">
        <v>10</v>
      </c>
      <c r="R22" s="3">
        <v>-533.64705882352939</v>
      </c>
      <c r="S22" s="3">
        <v>-305.04600000000022</v>
      </c>
    </row>
    <row r="23" spans="8:19" x14ac:dyDescent="0.25">
      <c r="H23" s="122">
        <v>6</v>
      </c>
      <c r="I23" s="122">
        <v>2</v>
      </c>
      <c r="J23" s="120">
        <f t="shared" si="4"/>
        <v>-133.41176470588235</v>
      </c>
      <c r="K23" s="120">
        <f t="shared" si="3"/>
        <v>-105.86890588235292</v>
      </c>
      <c r="L23" s="120">
        <f t="shared" si="5"/>
        <v>-239.28067058823527</v>
      </c>
      <c r="M23" s="120">
        <f>M22-J22</f>
        <v>-7737.8823529411748</v>
      </c>
      <c r="Q23" s="2">
        <v>11</v>
      </c>
      <c r="R23" s="3">
        <v>-533.64705882352939</v>
      </c>
      <c r="S23" s="3">
        <v>-276.33578823529444</v>
      </c>
    </row>
    <row r="24" spans="8:19" x14ac:dyDescent="0.25">
      <c r="H24" s="122">
        <v>6</v>
      </c>
      <c r="I24" s="122">
        <v>3</v>
      </c>
      <c r="J24" s="120">
        <f t="shared" si="4"/>
        <v>-133.41176470588235</v>
      </c>
      <c r="K24" s="120">
        <f t="shared" si="3"/>
        <v>-104.0745176470588</v>
      </c>
      <c r="L24" s="120">
        <f t="shared" si="5"/>
        <v>-237.48628235294115</v>
      </c>
      <c r="M24" s="120">
        <f>M23-J22</f>
        <v>-7604.4705882352928</v>
      </c>
      <c r="Q24" s="2">
        <v>12</v>
      </c>
      <c r="R24" s="3">
        <v>-533.64705882352939</v>
      </c>
      <c r="S24" s="3">
        <v>-247.62557647058861</v>
      </c>
    </row>
    <row r="25" spans="8:19" x14ac:dyDescent="0.25">
      <c r="H25" s="122">
        <v>6</v>
      </c>
      <c r="I25" s="122">
        <v>4</v>
      </c>
      <c r="J25" s="120">
        <f t="shared" si="4"/>
        <v>-133.41176470588235</v>
      </c>
      <c r="K25" s="120">
        <f t="shared" si="3"/>
        <v>-102.28012941176469</v>
      </c>
      <c r="L25" s="120">
        <f t="shared" si="5"/>
        <v>-235.69189411764705</v>
      </c>
      <c r="M25" s="120">
        <f>M24-J22</f>
        <v>-7471.0588235294108</v>
      </c>
      <c r="Q25" s="2">
        <v>13</v>
      </c>
      <c r="R25" s="3">
        <v>-533.64705882352939</v>
      </c>
      <c r="S25" s="3">
        <v>-218.91536470588281</v>
      </c>
    </row>
    <row r="26" spans="8:19" x14ac:dyDescent="0.25">
      <c r="H26" s="122">
        <v>7</v>
      </c>
      <c r="I26" s="122">
        <v>1</v>
      </c>
      <c r="J26" s="120">
        <f t="shared" si="4"/>
        <v>-133.41176470588235</v>
      </c>
      <c r="K26" s="120">
        <f t="shared" si="3"/>
        <v>-100.48574117647058</v>
      </c>
      <c r="L26" s="120">
        <f t="shared" si="5"/>
        <v>-233.89750588235293</v>
      </c>
      <c r="M26" s="120">
        <f>M25-J26</f>
        <v>-7337.6470588235288</v>
      </c>
      <c r="Q26" s="2">
        <v>14</v>
      </c>
      <c r="R26" s="3">
        <v>-533.64705882352939</v>
      </c>
      <c r="S26" s="3">
        <v>-190.20515294117689</v>
      </c>
    </row>
    <row r="27" spans="8:19" x14ac:dyDescent="0.25">
      <c r="H27" s="122">
        <v>7</v>
      </c>
      <c r="I27" s="122">
        <v>2</v>
      </c>
      <c r="J27" s="120">
        <f t="shared" si="4"/>
        <v>-133.41176470588235</v>
      </c>
      <c r="K27" s="120">
        <f t="shared" si="3"/>
        <v>-98.691352941176461</v>
      </c>
      <c r="L27" s="120">
        <f t="shared" si="5"/>
        <v>-232.10311764705881</v>
      </c>
      <c r="M27" s="120">
        <f>M26-J26</f>
        <v>-7204.2352941176468</v>
      </c>
      <c r="Q27" s="2">
        <v>15</v>
      </c>
      <c r="R27" s="3">
        <v>-533.64705882352939</v>
      </c>
      <c r="S27" s="3">
        <v>-161.494941176471</v>
      </c>
    </row>
    <row r="28" spans="8:19" x14ac:dyDescent="0.25">
      <c r="H28" s="122">
        <v>7</v>
      </c>
      <c r="I28" s="122">
        <v>3</v>
      </c>
      <c r="J28" s="120">
        <f t="shared" si="4"/>
        <v>-133.41176470588235</v>
      </c>
      <c r="K28" s="120">
        <f t="shared" si="3"/>
        <v>-96.896964705882354</v>
      </c>
      <c r="L28" s="120">
        <f t="shared" si="5"/>
        <v>-230.30872941176472</v>
      </c>
      <c r="M28" s="120">
        <f>M27-J26</f>
        <v>-7070.8235294117649</v>
      </c>
      <c r="Q28" s="2">
        <v>16</v>
      </c>
      <c r="R28" s="3">
        <v>-533.64705882352939</v>
      </c>
      <c r="S28" s="3">
        <v>-132.78472941176511</v>
      </c>
    </row>
    <row r="29" spans="8:19" x14ac:dyDescent="0.25">
      <c r="H29" s="122">
        <v>7</v>
      </c>
      <c r="I29" s="122">
        <v>4</v>
      </c>
      <c r="J29" s="120">
        <f t="shared" si="4"/>
        <v>-133.41176470588235</v>
      </c>
      <c r="K29" s="120">
        <f t="shared" si="3"/>
        <v>-95.102576470588232</v>
      </c>
      <c r="L29" s="120">
        <f t="shared" si="5"/>
        <v>-228.51434117647057</v>
      </c>
      <c r="M29" s="120">
        <f>M28-J26</f>
        <v>-6937.4117647058829</v>
      </c>
      <c r="Q29" s="2">
        <v>17</v>
      </c>
      <c r="R29" s="3">
        <v>-533.64705882352939</v>
      </c>
      <c r="S29" s="3">
        <v>-104.07451764705921</v>
      </c>
    </row>
    <row r="30" spans="8:19" x14ac:dyDescent="0.25">
      <c r="H30" s="122">
        <v>8</v>
      </c>
      <c r="I30" s="122">
        <v>1</v>
      </c>
      <c r="J30" s="120">
        <f t="shared" si="4"/>
        <v>-133.41176470588235</v>
      </c>
      <c r="K30" s="120">
        <f t="shared" si="3"/>
        <v>-93.308188235294125</v>
      </c>
      <c r="L30" s="120">
        <f t="shared" si="5"/>
        <v>-226.71995294117647</v>
      </c>
      <c r="M30" s="120">
        <f>M29-J30</f>
        <v>-6804.0000000000009</v>
      </c>
      <c r="Q30" s="2">
        <v>18</v>
      </c>
      <c r="R30" s="3">
        <v>-533.64705882352939</v>
      </c>
      <c r="S30" s="3">
        <v>-75.364305882353307</v>
      </c>
    </row>
    <row r="31" spans="8:19" x14ac:dyDescent="0.25">
      <c r="H31" s="122">
        <v>8</v>
      </c>
      <c r="I31" s="122">
        <v>2</v>
      </c>
      <c r="J31" s="120">
        <f t="shared" si="4"/>
        <v>-133.41176470588235</v>
      </c>
      <c r="K31" s="120">
        <f t="shared" si="3"/>
        <v>-91.513800000000018</v>
      </c>
      <c r="L31" s="120">
        <f t="shared" si="5"/>
        <v>-224.92556470588238</v>
      </c>
      <c r="M31" s="120">
        <f>M30-J31</f>
        <v>-6670.5882352941189</v>
      </c>
      <c r="Q31" s="2">
        <v>19</v>
      </c>
      <c r="R31" s="3">
        <v>-533.64705882352939</v>
      </c>
      <c r="S31" s="3">
        <v>-46.654094117647418</v>
      </c>
    </row>
    <row r="32" spans="8:19" x14ac:dyDescent="0.25">
      <c r="H32" s="122">
        <v>8</v>
      </c>
      <c r="I32" s="122">
        <v>3</v>
      </c>
      <c r="J32" s="120">
        <f t="shared" si="4"/>
        <v>-133.41176470588235</v>
      </c>
      <c r="K32" s="120">
        <f t="shared" si="3"/>
        <v>-89.719411764705896</v>
      </c>
      <c r="L32" s="120">
        <f t="shared" si="5"/>
        <v>-223.13117647058823</v>
      </c>
      <c r="M32" s="120">
        <f>M31-J32</f>
        <v>-6537.176470588237</v>
      </c>
      <c r="Q32" s="2">
        <v>20</v>
      </c>
      <c r="R32" s="3">
        <v>-533.64705882352939</v>
      </c>
      <c r="S32" s="3">
        <v>-17.943882352941536</v>
      </c>
    </row>
    <row r="33" spans="8:19" x14ac:dyDescent="0.25">
      <c r="H33" s="122">
        <v>8</v>
      </c>
      <c r="I33" s="122">
        <v>4</v>
      </c>
      <c r="J33" s="120">
        <f t="shared" si="4"/>
        <v>-133.41176470588235</v>
      </c>
      <c r="K33" s="120">
        <f t="shared" si="3"/>
        <v>-87.925023529411789</v>
      </c>
      <c r="L33" s="120">
        <f t="shared" si="5"/>
        <v>-221.33678823529414</v>
      </c>
      <c r="M33" s="120">
        <f>M32-J33</f>
        <v>-6403.764705882355</v>
      </c>
      <c r="Q33" s="2" t="s">
        <v>41</v>
      </c>
      <c r="R33" s="3">
        <v>-9072.0000000000018</v>
      </c>
      <c r="S33" s="3">
        <v>-5673.8556000000044</v>
      </c>
    </row>
    <row r="34" spans="8:19" x14ac:dyDescent="0.25">
      <c r="H34" s="122">
        <v>9</v>
      </c>
      <c r="I34" s="122">
        <v>1</v>
      </c>
      <c r="J34" s="120">
        <f t="shared" si="4"/>
        <v>-133.41176470588235</v>
      </c>
      <c r="K34" s="120">
        <f t="shared" si="3"/>
        <v>-86.130635294117681</v>
      </c>
      <c r="L34" s="120">
        <f t="shared" si="5"/>
        <v>-219.54240000000004</v>
      </c>
      <c r="M34" s="120">
        <f>M33-J34</f>
        <v>-6270.352941176473</v>
      </c>
    </row>
    <row r="35" spans="8:19" x14ac:dyDescent="0.25">
      <c r="H35" s="122">
        <v>9</v>
      </c>
      <c r="I35" s="122">
        <v>2</v>
      </c>
      <c r="J35" s="120">
        <f t="shared" si="4"/>
        <v>-133.41176470588235</v>
      </c>
      <c r="K35" s="120">
        <f t="shared" si="3"/>
        <v>-84.33624705882356</v>
      </c>
      <c r="L35" s="120">
        <f t="shared" si="5"/>
        <v>-217.74801176470589</v>
      </c>
      <c r="M35" s="120">
        <f>M34-J34</f>
        <v>-6136.941176470591</v>
      </c>
    </row>
    <row r="36" spans="8:19" x14ac:dyDescent="0.25">
      <c r="H36" s="122">
        <v>9</v>
      </c>
      <c r="I36" s="122">
        <v>3</v>
      </c>
      <c r="J36" s="120">
        <f t="shared" si="4"/>
        <v>-133.41176470588235</v>
      </c>
      <c r="K36" s="120">
        <f t="shared" si="3"/>
        <v>-82.541858823529452</v>
      </c>
      <c r="L36" s="120">
        <f t="shared" si="5"/>
        <v>-215.9536235294118</v>
      </c>
      <c r="M36" s="120">
        <f>M35-J34</f>
        <v>-6003.529411764709</v>
      </c>
    </row>
    <row r="37" spans="8:19" x14ac:dyDescent="0.25">
      <c r="H37" s="122">
        <v>9</v>
      </c>
      <c r="I37" s="122">
        <v>4</v>
      </c>
      <c r="J37" s="120">
        <f t="shared" si="4"/>
        <v>-133.41176470588235</v>
      </c>
      <c r="K37" s="120">
        <f t="shared" si="3"/>
        <v>-80.747470588235331</v>
      </c>
      <c r="L37" s="120">
        <f t="shared" si="5"/>
        <v>-214.15923529411768</v>
      </c>
      <c r="M37" s="120">
        <f>M36-J34</f>
        <v>-5870.1176470588271</v>
      </c>
    </row>
    <row r="38" spans="8:19" x14ac:dyDescent="0.25">
      <c r="H38" s="122">
        <v>10</v>
      </c>
      <c r="I38" s="122">
        <v>1</v>
      </c>
      <c r="J38" s="120">
        <f t="shared" si="4"/>
        <v>-133.41176470588235</v>
      </c>
      <c r="K38" s="120">
        <f t="shared" si="3"/>
        <v>-78.953082352941223</v>
      </c>
      <c r="L38" s="120">
        <f t="shared" si="5"/>
        <v>-212.36484705882356</v>
      </c>
      <c r="M38" s="120">
        <f>M37-J38</f>
        <v>-5736.7058823529451</v>
      </c>
    </row>
    <row r="39" spans="8:19" x14ac:dyDescent="0.25">
      <c r="H39" s="122">
        <v>10</v>
      </c>
      <c r="I39" s="122">
        <v>2</v>
      </c>
      <c r="J39" s="120">
        <f t="shared" si="4"/>
        <v>-133.41176470588235</v>
      </c>
      <c r="K39" s="120">
        <f t="shared" si="3"/>
        <v>-77.158694117647116</v>
      </c>
      <c r="L39" s="120">
        <f t="shared" si="5"/>
        <v>-210.57045882352946</v>
      </c>
      <c r="M39" s="120">
        <f>M38-J38</f>
        <v>-5603.2941176470631</v>
      </c>
    </row>
    <row r="40" spans="8:19" x14ac:dyDescent="0.25">
      <c r="H40" s="122">
        <v>10</v>
      </c>
      <c r="I40" s="122">
        <v>3</v>
      </c>
      <c r="J40" s="120">
        <f t="shared" si="4"/>
        <v>-133.41176470588235</v>
      </c>
      <c r="K40" s="120">
        <f t="shared" si="3"/>
        <v>-75.364305882352994</v>
      </c>
      <c r="L40" s="120">
        <f t="shared" si="5"/>
        <v>-208.77607058823534</v>
      </c>
      <c r="M40" s="120">
        <f>M39-J38</f>
        <v>-5469.8823529411811</v>
      </c>
    </row>
    <row r="41" spans="8:19" x14ac:dyDescent="0.25">
      <c r="H41" s="122">
        <v>10</v>
      </c>
      <c r="I41" s="122">
        <v>4</v>
      </c>
      <c r="J41" s="120">
        <f t="shared" si="4"/>
        <v>-133.41176470588235</v>
      </c>
      <c r="K41" s="120">
        <f t="shared" si="3"/>
        <v>-73.569917647058887</v>
      </c>
      <c r="L41" s="120">
        <f t="shared" si="5"/>
        <v>-206.98168235294122</v>
      </c>
      <c r="M41" s="120">
        <f>M40-J38</f>
        <v>-5336.4705882352991</v>
      </c>
    </row>
    <row r="42" spans="8:19" x14ac:dyDescent="0.25">
      <c r="H42" s="122">
        <v>11</v>
      </c>
      <c r="I42" s="122">
        <v>1</v>
      </c>
      <c r="J42" s="120">
        <f t="shared" si="4"/>
        <v>-133.41176470588235</v>
      </c>
      <c r="K42" s="120">
        <f t="shared" si="3"/>
        <v>-71.775529411764779</v>
      </c>
      <c r="L42" s="120">
        <f t="shared" si="5"/>
        <v>-205.18729411764713</v>
      </c>
      <c r="M42" s="120">
        <f>M41-J42</f>
        <v>-5203.0588235294172</v>
      </c>
    </row>
    <row r="43" spans="8:19" x14ac:dyDescent="0.25">
      <c r="H43" s="122">
        <v>11</v>
      </c>
      <c r="I43" s="122">
        <v>2</v>
      </c>
      <c r="J43" s="120">
        <f t="shared" si="4"/>
        <v>-133.41176470588235</v>
      </c>
      <c r="K43" s="120">
        <f t="shared" si="3"/>
        <v>-69.981141176470658</v>
      </c>
      <c r="L43" s="120">
        <f t="shared" si="5"/>
        <v>-203.39290588235301</v>
      </c>
      <c r="M43" s="120">
        <f>M42-J42</f>
        <v>-5069.6470588235352</v>
      </c>
    </row>
    <row r="44" spans="8:19" x14ac:dyDescent="0.25">
      <c r="H44" s="122">
        <v>11</v>
      </c>
      <c r="I44" s="122">
        <v>3</v>
      </c>
      <c r="J44" s="120">
        <f t="shared" si="4"/>
        <v>-133.41176470588235</v>
      </c>
      <c r="K44" s="120">
        <f t="shared" si="3"/>
        <v>-68.18675294117655</v>
      </c>
      <c r="L44" s="120">
        <f t="shared" si="5"/>
        <v>-201.59851764705888</v>
      </c>
      <c r="M44" s="120">
        <f>M43-J42</f>
        <v>-4936.2352941176532</v>
      </c>
    </row>
    <row r="45" spans="8:19" x14ac:dyDescent="0.25">
      <c r="H45" s="122">
        <v>11</v>
      </c>
      <c r="I45" s="122">
        <v>4</v>
      </c>
      <c r="J45" s="120">
        <f t="shared" si="4"/>
        <v>-133.41176470588235</v>
      </c>
      <c r="K45" s="120">
        <f t="shared" si="3"/>
        <v>-66.392364705882443</v>
      </c>
      <c r="L45" s="120">
        <f t="shared" si="5"/>
        <v>-199.80412941176479</v>
      </c>
      <c r="M45" s="120">
        <f>M44-J42</f>
        <v>-4802.8235294117712</v>
      </c>
    </row>
    <row r="46" spans="8:19" x14ac:dyDescent="0.25">
      <c r="H46" s="122">
        <v>12</v>
      </c>
      <c r="I46" s="122">
        <v>1</v>
      </c>
      <c r="J46" s="120">
        <f t="shared" si="4"/>
        <v>-133.41176470588235</v>
      </c>
      <c r="K46" s="120">
        <f t="shared" si="3"/>
        <v>-64.597976470588321</v>
      </c>
      <c r="L46" s="120">
        <f t="shared" si="5"/>
        <v>-198.00974117647067</v>
      </c>
      <c r="M46" s="120">
        <f>M45-J46</f>
        <v>-4669.4117647058893</v>
      </c>
    </row>
    <row r="47" spans="8:19" x14ac:dyDescent="0.25">
      <c r="H47" s="122">
        <v>12</v>
      </c>
      <c r="I47" s="122">
        <v>2</v>
      </c>
      <c r="J47" s="120">
        <f t="shared" si="4"/>
        <v>-133.41176470588235</v>
      </c>
      <c r="K47" s="120">
        <f t="shared" si="3"/>
        <v>-62.803588235294214</v>
      </c>
      <c r="L47" s="120">
        <f t="shared" si="5"/>
        <v>-196.21535294117655</v>
      </c>
      <c r="M47" s="120">
        <f>M46-J46</f>
        <v>-4536.0000000000073</v>
      </c>
    </row>
    <row r="48" spans="8:19" x14ac:dyDescent="0.25">
      <c r="H48" s="122">
        <v>12</v>
      </c>
      <c r="I48" s="122">
        <v>3</v>
      </c>
      <c r="J48" s="120">
        <f t="shared" si="4"/>
        <v>-133.41176470588235</v>
      </c>
      <c r="K48" s="120">
        <f t="shared" si="3"/>
        <v>-61.009200000000099</v>
      </c>
      <c r="L48" s="120">
        <f t="shared" si="5"/>
        <v>-194.42096470588245</v>
      </c>
      <c r="M48" s="120">
        <f>M47-J46</f>
        <v>-4402.5882352941253</v>
      </c>
    </row>
    <row r="49" spans="8:13" x14ac:dyDescent="0.25">
      <c r="H49" s="122">
        <v>12</v>
      </c>
      <c r="I49" s="122">
        <v>4</v>
      </c>
      <c r="J49" s="120">
        <f t="shared" si="4"/>
        <v>-133.41176470588235</v>
      </c>
      <c r="K49" s="120">
        <f t="shared" si="3"/>
        <v>-59.214811764705985</v>
      </c>
      <c r="L49" s="120">
        <f t="shared" si="5"/>
        <v>-192.62657647058833</v>
      </c>
      <c r="M49" s="120">
        <f>M48-J46</f>
        <v>-4269.1764705882433</v>
      </c>
    </row>
    <row r="50" spans="8:13" x14ac:dyDescent="0.25">
      <c r="H50" s="122">
        <v>13</v>
      </c>
      <c r="I50" s="122">
        <v>1</v>
      </c>
      <c r="J50" s="120">
        <f t="shared" si="4"/>
        <v>-133.41176470588235</v>
      </c>
      <c r="K50" s="120">
        <f t="shared" si="3"/>
        <v>-57.42042352941187</v>
      </c>
      <c r="L50" s="120">
        <f t="shared" si="5"/>
        <v>-190.83218823529421</v>
      </c>
      <c r="M50" s="120">
        <f>M49-J50</f>
        <v>-4135.7647058823613</v>
      </c>
    </row>
    <row r="51" spans="8:13" x14ac:dyDescent="0.25">
      <c r="H51" s="122">
        <v>13</v>
      </c>
      <c r="I51" s="122">
        <v>2</v>
      </c>
      <c r="J51" s="120">
        <f t="shared" si="4"/>
        <v>-133.41176470588235</v>
      </c>
      <c r="K51" s="120">
        <f t="shared" si="3"/>
        <v>-55.626035294117763</v>
      </c>
      <c r="L51" s="120">
        <f t="shared" si="5"/>
        <v>-189.03780000000012</v>
      </c>
      <c r="M51" s="120">
        <f>M50-J50</f>
        <v>-4002.3529411764789</v>
      </c>
    </row>
    <row r="52" spans="8:13" x14ac:dyDescent="0.25">
      <c r="H52" s="122">
        <v>13</v>
      </c>
      <c r="I52" s="122">
        <v>3</v>
      </c>
      <c r="J52" s="120">
        <f t="shared" si="4"/>
        <v>-133.41176470588235</v>
      </c>
      <c r="K52" s="120">
        <f t="shared" si="3"/>
        <v>-53.831647058823641</v>
      </c>
      <c r="L52" s="120">
        <f t="shared" si="5"/>
        <v>-187.243411764706</v>
      </c>
      <c r="M52" s="120">
        <f>M51-J50</f>
        <v>-3868.9411764705965</v>
      </c>
    </row>
    <row r="53" spans="8:13" x14ac:dyDescent="0.25">
      <c r="H53" s="122">
        <v>13</v>
      </c>
      <c r="I53" s="122">
        <v>4</v>
      </c>
      <c r="J53" s="120">
        <f t="shared" si="4"/>
        <v>-133.41176470588235</v>
      </c>
      <c r="K53" s="120">
        <f t="shared" si="3"/>
        <v>-52.03725882352952</v>
      </c>
      <c r="L53" s="120">
        <f t="shared" si="5"/>
        <v>-185.44902352941187</v>
      </c>
      <c r="M53" s="120">
        <f>M52-J50</f>
        <v>-3735.529411764714</v>
      </c>
    </row>
    <row r="54" spans="8:13" x14ac:dyDescent="0.25">
      <c r="H54" s="122">
        <v>14</v>
      </c>
      <c r="I54" s="122">
        <v>1</v>
      </c>
      <c r="J54" s="120">
        <f t="shared" si="4"/>
        <v>-133.41176470588235</v>
      </c>
      <c r="K54" s="120">
        <f t="shared" si="3"/>
        <v>-50.242870588235405</v>
      </c>
      <c r="L54" s="120">
        <f t="shared" si="5"/>
        <v>-183.65463529411775</v>
      </c>
      <c r="M54" s="120">
        <f>M53-J54</f>
        <v>-3602.1176470588316</v>
      </c>
    </row>
    <row r="55" spans="8:13" x14ac:dyDescent="0.25">
      <c r="H55" s="122">
        <v>14</v>
      </c>
      <c r="I55" s="122">
        <v>2</v>
      </c>
      <c r="J55" s="120">
        <f t="shared" si="4"/>
        <v>-133.41176470588235</v>
      </c>
      <c r="K55" s="120">
        <f t="shared" si="3"/>
        <v>-48.448482352941284</v>
      </c>
      <c r="L55" s="120">
        <f t="shared" si="5"/>
        <v>-181.86024705882363</v>
      </c>
      <c r="M55" s="120">
        <f>M54-J54</f>
        <v>-3468.7058823529492</v>
      </c>
    </row>
    <row r="56" spans="8:13" x14ac:dyDescent="0.25">
      <c r="H56" s="122">
        <v>14</v>
      </c>
      <c r="I56" s="122">
        <v>3</v>
      </c>
      <c r="J56" s="120">
        <f t="shared" si="4"/>
        <v>-133.41176470588235</v>
      </c>
      <c r="K56" s="120">
        <f t="shared" si="3"/>
        <v>-46.654094117647169</v>
      </c>
      <c r="L56" s="120">
        <f t="shared" si="5"/>
        <v>-180.06585882352951</v>
      </c>
      <c r="M56" s="120">
        <f>M55-J54</f>
        <v>-3335.2941176470667</v>
      </c>
    </row>
    <row r="57" spans="8:13" x14ac:dyDescent="0.25">
      <c r="H57" s="122">
        <v>14</v>
      </c>
      <c r="I57" s="122">
        <v>4</v>
      </c>
      <c r="J57" s="120">
        <f t="shared" si="4"/>
        <v>-133.41176470588235</v>
      </c>
      <c r="K57" s="120">
        <f t="shared" si="3"/>
        <v>-44.859705882353047</v>
      </c>
      <c r="L57" s="120">
        <f t="shared" si="5"/>
        <v>-178.27147058823539</v>
      </c>
      <c r="M57" s="120">
        <f>M56-J54</f>
        <v>-3201.8823529411843</v>
      </c>
    </row>
    <row r="58" spans="8:13" x14ac:dyDescent="0.25">
      <c r="H58" s="122">
        <v>15</v>
      </c>
      <c r="I58" s="122">
        <v>1</v>
      </c>
      <c r="J58" s="120">
        <f t="shared" si="4"/>
        <v>-133.41176470588235</v>
      </c>
      <c r="K58" s="120">
        <f t="shared" si="3"/>
        <v>-43.065317647058933</v>
      </c>
      <c r="L58" s="120">
        <f t="shared" si="5"/>
        <v>-176.4770823529413</v>
      </c>
      <c r="M58" s="120">
        <f>M57-J58</f>
        <v>-3068.4705882353019</v>
      </c>
    </row>
    <row r="59" spans="8:13" x14ac:dyDescent="0.25">
      <c r="H59" s="122">
        <v>15</v>
      </c>
      <c r="I59" s="122">
        <v>2</v>
      </c>
      <c r="J59" s="120">
        <f t="shared" si="4"/>
        <v>-133.41176470588235</v>
      </c>
      <c r="K59" s="120">
        <f t="shared" si="3"/>
        <v>-41.270929411764811</v>
      </c>
      <c r="L59" s="120">
        <f t="shared" si="5"/>
        <v>-174.68269411764715</v>
      </c>
      <c r="M59" s="120">
        <f>M58-J58</f>
        <v>-2935.0588235294194</v>
      </c>
    </row>
    <row r="60" spans="8:13" x14ac:dyDescent="0.25">
      <c r="H60" s="122">
        <v>15</v>
      </c>
      <c r="I60" s="122">
        <v>3</v>
      </c>
      <c r="J60" s="120">
        <f t="shared" si="4"/>
        <v>-133.41176470588235</v>
      </c>
      <c r="K60" s="120">
        <f t="shared" si="3"/>
        <v>-39.47654117647069</v>
      </c>
      <c r="L60" s="120">
        <f t="shared" si="5"/>
        <v>-172.88830588235305</v>
      </c>
      <c r="M60" s="120">
        <f>M59-J58</f>
        <v>-2801.647058823537</v>
      </c>
    </row>
    <row r="61" spans="8:13" x14ac:dyDescent="0.25">
      <c r="H61" s="122">
        <v>15</v>
      </c>
      <c r="I61" s="122">
        <v>4</v>
      </c>
      <c r="J61" s="120">
        <f t="shared" si="4"/>
        <v>-133.41176470588235</v>
      </c>
      <c r="K61" s="120">
        <f t="shared" si="3"/>
        <v>-37.682152941176575</v>
      </c>
      <c r="L61" s="120">
        <f t="shared" si="5"/>
        <v>-171.09391764705893</v>
      </c>
      <c r="M61" s="120">
        <f>M60-J58</f>
        <v>-2668.2352941176546</v>
      </c>
    </row>
    <row r="62" spans="8:13" x14ac:dyDescent="0.25">
      <c r="H62" s="122">
        <v>16</v>
      </c>
      <c r="I62" s="122">
        <v>1</v>
      </c>
      <c r="J62" s="120">
        <f t="shared" si="4"/>
        <v>-133.41176470588235</v>
      </c>
      <c r="K62" s="120">
        <f t="shared" si="3"/>
        <v>-35.887764705882454</v>
      </c>
      <c r="L62" s="120">
        <f t="shared" si="5"/>
        <v>-169.29952941176481</v>
      </c>
      <c r="M62" s="120">
        <f>M61-J62</f>
        <v>-2534.8235294117721</v>
      </c>
    </row>
    <row r="63" spans="8:13" x14ac:dyDescent="0.25">
      <c r="H63" s="122">
        <v>16</v>
      </c>
      <c r="I63" s="122">
        <v>2</v>
      </c>
      <c r="J63" s="120">
        <f t="shared" si="4"/>
        <v>-133.41176470588235</v>
      </c>
      <c r="K63" s="120">
        <f t="shared" si="3"/>
        <v>-34.093376470588339</v>
      </c>
      <c r="L63" s="120">
        <f t="shared" si="5"/>
        <v>-167.50514117647069</v>
      </c>
      <c r="M63" s="120">
        <f t="shared" ref="M63:M81" si="6">M62-J63</f>
        <v>-2401.4117647058897</v>
      </c>
    </row>
    <row r="64" spans="8:13" x14ac:dyDescent="0.25">
      <c r="H64" s="122">
        <v>16</v>
      </c>
      <c r="I64" s="122">
        <v>3</v>
      </c>
      <c r="J64" s="120">
        <f t="shared" si="4"/>
        <v>-133.41176470588235</v>
      </c>
      <c r="K64" s="120">
        <f t="shared" si="3"/>
        <v>-32.298988235294217</v>
      </c>
      <c r="L64" s="120">
        <f t="shared" si="5"/>
        <v>-165.71075294117657</v>
      </c>
      <c r="M64" s="120">
        <f t="shared" si="6"/>
        <v>-2268.0000000000073</v>
      </c>
    </row>
    <row r="65" spans="8:13" x14ac:dyDescent="0.25">
      <c r="H65" s="122">
        <v>16</v>
      </c>
      <c r="I65" s="122">
        <v>4</v>
      </c>
      <c r="J65" s="120">
        <f t="shared" si="4"/>
        <v>-133.41176470588235</v>
      </c>
      <c r="K65" s="120">
        <f t="shared" si="3"/>
        <v>-30.504600000000099</v>
      </c>
      <c r="L65" s="120">
        <f t="shared" si="5"/>
        <v>-163.91636470588244</v>
      </c>
      <c r="M65" s="120">
        <f t="shared" si="6"/>
        <v>-2134.5882352941248</v>
      </c>
    </row>
    <row r="66" spans="8:13" x14ac:dyDescent="0.25">
      <c r="H66" s="122">
        <v>17</v>
      </c>
      <c r="I66" s="122">
        <v>1</v>
      </c>
      <c r="J66" s="120">
        <f t="shared" si="4"/>
        <v>-133.41176470588235</v>
      </c>
      <c r="K66" s="120">
        <f t="shared" si="3"/>
        <v>-28.710211764705978</v>
      </c>
      <c r="L66" s="120">
        <f t="shared" si="5"/>
        <v>-162.12197647058832</v>
      </c>
      <c r="M66" s="120">
        <f t="shared" si="6"/>
        <v>-2001.1764705882424</v>
      </c>
    </row>
    <row r="67" spans="8:13" x14ac:dyDescent="0.25">
      <c r="H67" s="122">
        <v>17</v>
      </c>
      <c r="I67" s="122">
        <v>2</v>
      </c>
      <c r="J67" s="120">
        <f t="shared" si="4"/>
        <v>-133.41176470588235</v>
      </c>
      <c r="K67" s="120">
        <f t="shared" si="3"/>
        <v>-26.91582352941186</v>
      </c>
      <c r="L67" s="120">
        <f t="shared" si="5"/>
        <v>-160.3275882352942</v>
      </c>
      <c r="M67" s="120">
        <f t="shared" si="6"/>
        <v>-1867.76470588236</v>
      </c>
    </row>
    <row r="68" spans="8:13" x14ac:dyDescent="0.25">
      <c r="H68" s="122">
        <v>17</v>
      </c>
      <c r="I68" s="122">
        <v>3</v>
      </c>
      <c r="J68" s="120">
        <f t="shared" si="4"/>
        <v>-133.41176470588235</v>
      </c>
      <c r="K68" s="120">
        <f t="shared" si="3"/>
        <v>-25.121435294117742</v>
      </c>
      <c r="L68" s="120">
        <f t="shared" si="5"/>
        <v>-158.53320000000008</v>
      </c>
      <c r="M68" s="120">
        <f t="shared" si="6"/>
        <v>-1734.3529411764775</v>
      </c>
    </row>
    <row r="69" spans="8:13" x14ac:dyDescent="0.25">
      <c r="H69" s="122">
        <v>17</v>
      </c>
      <c r="I69" s="122">
        <v>4</v>
      </c>
      <c r="J69" s="120">
        <f t="shared" si="4"/>
        <v>-133.41176470588235</v>
      </c>
      <c r="K69" s="120">
        <f t="shared" si="3"/>
        <v>-23.327047058823624</v>
      </c>
      <c r="L69" s="120">
        <f t="shared" si="5"/>
        <v>-156.73881176470599</v>
      </c>
      <c r="M69" s="120">
        <f t="shared" si="6"/>
        <v>-1600.9411764705951</v>
      </c>
    </row>
    <row r="70" spans="8:13" x14ac:dyDescent="0.25">
      <c r="H70" s="122">
        <v>18</v>
      </c>
      <c r="I70" s="122">
        <v>1</v>
      </c>
      <c r="J70" s="120">
        <f t="shared" si="4"/>
        <v>-133.41176470588235</v>
      </c>
      <c r="K70" s="120">
        <f t="shared" si="3"/>
        <v>-21.532658823529506</v>
      </c>
      <c r="L70" s="120">
        <f t="shared" si="5"/>
        <v>-154.94442352941186</v>
      </c>
      <c r="M70" s="120">
        <f t="shared" si="6"/>
        <v>-1467.5294117647127</v>
      </c>
    </row>
    <row r="71" spans="8:13" x14ac:dyDescent="0.25">
      <c r="H71" s="122">
        <v>18</v>
      </c>
      <c r="I71" s="122">
        <v>2</v>
      </c>
      <c r="J71" s="120">
        <f t="shared" si="4"/>
        <v>-133.41176470588235</v>
      </c>
      <c r="K71" s="120">
        <f t="shared" si="3"/>
        <v>-19.738270588235387</v>
      </c>
      <c r="L71" s="120">
        <f t="shared" si="5"/>
        <v>-153.15003529411774</v>
      </c>
      <c r="M71" s="120">
        <f t="shared" si="6"/>
        <v>-1334.1176470588302</v>
      </c>
    </row>
    <row r="72" spans="8:13" x14ac:dyDescent="0.25">
      <c r="H72" s="122">
        <v>18</v>
      </c>
      <c r="I72" s="122">
        <v>3</v>
      </c>
      <c r="J72" s="120">
        <f t="shared" si="4"/>
        <v>-133.41176470588235</v>
      </c>
      <c r="K72" s="120">
        <f t="shared" si="3"/>
        <v>-17.943882352941266</v>
      </c>
      <c r="L72" s="120">
        <f t="shared" si="5"/>
        <v>-151.35564705882362</v>
      </c>
      <c r="M72" s="120">
        <f t="shared" si="6"/>
        <v>-1200.7058823529478</v>
      </c>
    </row>
    <row r="73" spans="8:13" x14ac:dyDescent="0.25">
      <c r="H73" s="122">
        <v>18</v>
      </c>
      <c r="I73" s="122">
        <v>4</v>
      </c>
      <c r="J73" s="120">
        <f t="shared" si="4"/>
        <v>-133.41176470588235</v>
      </c>
      <c r="K73" s="120">
        <f t="shared" si="3"/>
        <v>-16.149494117647148</v>
      </c>
      <c r="L73" s="120">
        <f t="shared" si="5"/>
        <v>-149.5612588235295</v>
      </c>
      <c r="M73" s="120">
        <f t="shared" si="6"/>
        <v>-1067.2941176470654</v>
      </c>
    </row>
    <row r="74" spans="8:13" x14ac:dyDescent="0.25">
      <c r="H74" s="122">
        <v>19</v>
      </c>
      <c r="I74" s="122">
        <v>1</v>
      </c>
      <c r="J74" s="120">
        <f t="shared" si="4"/>
        <v>-133.41176470588235</v>
      </c>
      <c r="K74" s="120">
        <f t="shared" si="3"/>
        <v>-14.35510588235303</v>
      </c>
      <c r="L74" s="120">
        <f t="shared" si="5"/>
        <v>-147.76687058823538</v>
      </c>
      <c r="M74" s="120">
        <f t="shared" si="6"/>
        <v>-933.88235294118306</v>
      </c>
    </row>
    <row r="75" spans="8:13" x14ac:dyDescent="0.25">
      <c r="H75" s="122">
        <v>19</v>
      </c>
      <c r="I75" s="122">
        <v>2</v>
      </c>
      <c r="J75" s="120">
        <f t="shared" si="4"/>
        <v>-133.41176470588235</v>
      </c>
      <c r="K75" s="120">
        <f t="shared" si="3"/>
        <v>-12.560717647058912</v>
      </c>
      <c r="L75" s="120">
        <f t="shared" si="5"/>
        <v>-145.97248235294126</v>
      </c>
      <c r="M75" s="120">
        <f t="shared" si="6"/>
        <v>-800.47058823530074</v>
      </c>
    </row>
    <row r="76" spans="8:13" x14ac:dyDescent="0.25">
      <c r="H76" s="122">
        <v>19</v>
      </c>
      <c r="I76" s="122">
        <v>3</v>
      </c>
      <c r="J76" s="120">
        <f t="shared" si="4"/>
        <v>-133.41176470588235</v>
      </c>
      <c r="K76" s="120">
        <f t="shared" si="3"/>
        <v>-10.766329411764795</v>
      </c>
      <c r="L76" s="120">
        <f t="shared" si="5"/>
        <v>-144.17809411764713</v>
      </c>
      <c r="M76" s="120">
        <f t="shared" si="6"/>
        <v>-667.05882352941842</v>
      </c>
    </row>
    <row r="77" spans="8:13" x14ac:dyDescent="0.25">
      <c r="H77" s="122">
        <v>19</v>
      </c>
      <c r="I77" s="122">
        <v>4</v>
      </c>
      <c r="J77" s="120">
        <f t="shared" si="4"/>
        <v>-133.41176470588235</v>
      </c>
      <c r="K77" s="120">
        <f t="shared" si="3"/>
        <v>-8.9719411764706773</v>
      </c>
      <c r="L77" s="120">
        <f t="shared" si="5"/>
        <v>-142.38370588235301</v>
      </c>
      <c r="M77" s="120">
        <f t="shared" si="6"/>
        <v>-533.6470588235361</v>
      </c>
    </row>
    <row r="78" spans="8:13" x14ac:dyDescent="0.25">
      <c r="H78" s="122">
        <v>20</v>
      </c>
      <c r="I78" s="122">
        <v>1</v>
      </c>
      <c r="J78" s="120">
        <f t="shared" si="4"/>
        <v>-133.41176470588235</v>
      </c>
      <c r="K78" s="120">
        <f>M77/4*Fremdkapitalzins</f>
        <v>-7.1775529411765602</v>
      </c>
      <c r="L78" s="120">
        <f t="shared" si="5"/>
        <v>-140.58931764705892</v>
      </c>
      <c r="M78" s="120">
        <f t="shared" si="6"/>
        <v>-400.23529411765378</v>
      </c>
    </row>
    <row r="79" spans="8:13" x14ac:dyDescent="0.25">
      <c r="H79" s="122">
        <v>20</v>
      </c>
      <c r="I79" s="122">
        <v>2</v>
      </c>
      <c r="J79" s="120">
        <f t="shared" ref="J79:J81" si="7">$M$2/(17*4)</f>
        <v>-133.41176470588235</v>
      </c>
      <c r="K79" s="120">
        <f>M78/4*Fremdkapitalzins</f>
        <v>-5.383164705882443</v>
      </c>
      <c r="L79" s="120">
        <f t="shared" si="5"/>
        <v>-138.7949294117648</v>
      </c>
      <c r="M79" s="120">
        <f t="shared" si="6"/>
        <v>-266.82352941177146</v>
      </c>
    </row>
    <row r="80" spans="8:13" x14ac:dyDescent="0.25">
      <c r="H80" s="122">
        <v>20</v>
      </c>
      <c r="I80" s="122">
        <v>3</v>
      </c>
      <c r="J80" s="120">
        <f t="shared" si="7"/>
        <v>-133.41176470588235</v>
      </c>
      <c r="K80" s="120">
        <f>M79/4*Fremdkapitalzins</f>
        <v>-3.5887764705883263</v>
      </c>
      <c r="L80" s="120">
        <f>SUM(J80:K80)</f>
        <v>-137.00054117647068</v>
      </c>
      <c r="M80" s="120">
        <f t="shared" si="6"/>
        <v>-133.41176470588911</v>
      </c>
    </row>
    <row r="81" spans="8:13" x14ac:dyDescent="0.25">
      <c r="H81" s="122">
        <v>20</v>
      </c>
      <c r="I81" s="122">
        <v>4</v>
      </c>
      <c r="J81" s="120">
        <f t="shared" si="7"/>
        <v>-133.41176470588235</v>
      </c>
      <c r="K81" s="120">
        <f>M80/4*Fremdkapitalzins</f>
        <v>-1.7943882352942087</v>
      </c>
      <c r="L81" s="120">
        <f>SUM(J81:K81)</f>
        <v>-135.20615294117655</v>
      </c>
      <c r="M81" s="120">
        <f t="shared" si="6"/>
        <v>-6.7643668444361538E-12</v>
      </c>
    </row>
    <row r="82" spans="8:13" x14ac:dyDescent="0.25">
      <c r="H82" s="120"/>
      <c r="I82" s="121"/>
      <c r="J82" s="121">
        <f>SUBTOTAL(109,Tabelle1[Tilgung])</f>
        <v>-9071.9999999999927</v>
      </c>
      <c r="K82" s="121">
        <f>SUBTOTAL(109,Tabelle1[Zinsen])</f>
        <v>-5673.8556000000044</v>
      </c>
      <c r="L82" s="120"/>
      <c r="M82" s="120"/>
    </row>
    <row r="83" spans="8:13" x14ac:dyDescent="0.25">
      <c r="H83" t="s">
        <v>6</v>
      </c>
      <c r="J83">
        <f>SUM(J2:J81)</f>
        <v>-9071.9999999999927</v>
      </c>
      <c r="K83">
        <f t="shared" ref="K83:L83" si="8">SUM(K2:K81)</f>
        <v>-5673.8556000000044</v>
      </c>
      <c r="L83">
        <f t="shared" si="8"/>
        <v>-14612.44383529412</v>
      </c>
    </row>
  </sheetData>
  <pageMargins left="0.7" right="0.7" top="0.78740157499999996" bottom="0.78740157499999996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FD759-0CC9-43E8-A801-F0A016F45A94}">
  <sheetPr codeName="Tabelle13"/>
  <dimension ref="A1:W2360"/>
  <sheetViews>
    <sheetView topLeftCell="A40" zoomScaleNormal="100" workbookViewId="0">
      <selection activeCell="B116" sqref="B116"/>
    </sheetView>
  </sheetViews>
  <sheetFormatPr baseColWidth="10" defaultColWidth="11.44140625" defaultRowHeight="15.6" x14ac:dyDescent="0.3"/>
  <cols>
    <col min="1" max="1" width="49.21875" style="7" customWidth="1"/>
    <col min="2" max="2" width="13" style="7" bestFit="1" customWidth="1"/>
    <col min="3" max="3" width="24.109375" style="7" bestFit="1" customWidth="1"/>
    <col min="4" max="10" width="15.5546875" style="7" bestFit="1" customWidth="1"/>
    <col min="11" max="16" width="16.109375" style="7" bestFit="1" customWidth="1"/>
    <col min="17" max="18" width="15.5546875" style="7" bestFit="1" customWidth="1"/>
    <col min="19" max="20" width="16.109375" style="7" bestFit="1" customWidth="1"/>
    <col min="21" max="22" width="16.5546875" style="7" bestFit="1" customWidth="1"/>
    <col min="23" max="16384" width="11.44140625" style="7"/>
  </cols>
  <sheetData>
    <row r="1" spans="1:23" x14ac:dyDescent="0.3">
      <c r="A1" s="22" t="s">
        <v>13</v>
      </c>
      <c r="B1" s="22" t="s">
        <v>14</v>
      </c>
      <c r="C1" s="22" t="s">
        <v>15</v>
      </c>
      <c r="D1" s="22" t="s">
        <v>16</v>
      </c>
      <c r="E1" s="22" t="s">
        <v>17</v>
      </c>
      <c r="F1" s="22" t="s">
        <v>18</v>
      </c>
      <c r="G1" s="22" t="s">
        <v>19</v>
      </c>
      <c r="H1" s="22" t="s">
        <v>20</v>
      </c>
      <c r="I1" s="22" t="s">
        <v>21</v>
      </c>
      <c r="J1" s="22" t="s">
        <v>22</v>
      </c>
      <c r="K1" s="22" t="s">
        <v>23</v>
      </c>
      <c r="L1" s="22" t="s">
        <v>24</v>
      </c>
      <c r="M1" s="22" t="s">
        <v>25</v>
      </c>
      <c r="N1" s="22" t="s">
        <v>26</v>
      </c>
      <c r="O1" s="22" t="s">
        <v>27</v>
      </c>
      <c r="P1" s="22" t="s">
        <v>28</v>
      </c>
      <c r="Q1" s="22" t="s">
        <v>29</v>
      </c>
      <c r="R1" s="22" t="s">
        <v>30</v>
      </c>
      <c r="S1" s="22" t="s">
        <v>31</v>
      </c>
      <c r="T1" s="22" t="s">
        <v>32</v>
      </c>
      <c r="U1" s="22" t="s">
        <v>33</v>
      </c>
      <c r="V1" s="22" t="s">
        <v>34</v>
      </c>
    </row>
    <row r="2" spans="1:23" x14ac:dyDescent="0.3">
      <c r="A2" s="16" t="s">
        <v>36</v>
      </c>
      <c r="B2" s="16"/>
      <c r="C2" s="24">
        <f t="shared" ref="C2:V2" si="0">C64*C58</f>
        <v>0.26187694220010937</v>
      </c>
      <c r="D2" s="24">
        <f t="shared" si="0"/>
        <v>0.25538226309507556</v>
      </c>
      <c r="E2" s="24">
        <f t="shared" si="0"/>
        <v>0.24904865527918615</v>
      </c>
      <c r="F2" s="24">
        <f t="shared" si="0"/>
        <v>0.24287212410393469</v>
      </c>
      <c r="G2" s="24">
        <f t="shared" si="0"/>
        <v>0.23684877399009507</v>
      </c>
      <c r="H2" s="24">
        <f t="shared" si="0"/>
        <v>0.23097480597075373</v>
      </c>
      <c r="I2" s="24">
        <f t="shared" si="0"/>
        <v>0.22524651529527606</v>
      </c>
      <c r="J2" s="24">
        <f t="shared" si="0"/>
        <v>0.21966028909269553</v>
      </c>
      <c r="K2" s="24">
        <f t="shared" si="0"/>
        <v>0.21421260409305212</v>
      </c>
      <c r="L2" s="24">
        <f t="shared" si="0"/>
        <v>0.20890002440524238</v>
      </c>
      <c r="M2" s="24">
        <f t="shared" si="0"/>
        <v>0.20371919934998012</v>
      </c>
      <c r="N2" s="24">
        <f t="shared" si="0"/>
        <v>0.19866686134650094</v>
      </c>
      <c r="O2" s="24">
        <f t="shared" si="0"/>
        <v>0.19373982385167701</v>
      </c>
      <c r="P2" s="24">
        <f t="shared" si="0"/>
        <v>0.18893497935024348</v>
      </c>
      <c r="Q2" s="24">
        <f t="shared" si="0"/>
        <v>0.18424929739486776</v>
      </c>
      <c r="R2" s="24">
        <f t="shared" si="0"/>
        <v>0.17967982269482632</v>
      </c>
      <c r="S2" s="24">
        <f t="shared" si="0"/>
        <v>0.1752236732520833</v>
      </c>
      <c r="T2" s="24">
        <f t="shared" si="0"/>
        <v>0.17087803854359501</v>
      </c>
      <c r="U2" s="24">
        <f t="shared" si="0"/>
        <v>0.16664017774869458</v>
      </c>
      <c r="V2" s="24">
        <f t="shared" si="0"/>
        <v>0.16250741802043805</v>
      </c>
    </row>
    <row r="3" spans="1:23" x14ac:dyDescent="0.3">
      <c r="A3" s="17" t="s">
        <v>52</v>
      </c>
      <c r="B3" s="17"/>
      <c r="C3" s="17">
        <f>C60*C59</f>
        <v>1.2893222790339687</v>
      </c>
      <c r="D3" s="17">
        <f t="shared" ref="D3:V3" si="1">D60*D59</f>
        <v>1.3189462914151602</v>
      </c>
      <c r="E3" s="17">
        <f t="shared" si="1"/>
        <v>1.3428371764103997</v>
      </c>
      <c r="F3" s="17">
        <f t="shared" si="1"/>
        <v>1.3708559753899887</v>
      </c>
      <c r="G3" s="17">
        <f t="shared" si="1"/>
        <v>1.3985117602461412</v>
      </c>
      <c r="H3" s="17">
        <f t="shared" si="1"/>
        <v>1.4295904427474768</v>
      </c>
      <c r="I3" s="17">
        <f t="shared" si="1"/>
        <v>1.4593404489593473</v>
      </c>
      <c r="J3" s="17">
        <f t="shared" si="1"/>
        <v>1.4888996536299397</v>
      </c>
      <c r="K3" s="17">
        <f t="shared" si="1"/>
        <v>1.5211001890835134</v>
      </c>
      <c r="L3" s="17">
        <f t="shared" si="1"/>
        <v>1.5513359239469529</v>
      </c>
      <c r="M3" s="17">
        <f t="shared" si="1"/>
        <v>1.5861038684055973</v>
      </c>
      <c r="N3" s="17">
        <f t="shared" si="1"/>
        <v>1.6203304676187347</v>
      </c>
      <c r="O3" s="17">
        <f t="shared" si="1"/>
        <v>1.6531920337273973</v>
      </c>
      <c r="P3" s="17">
        <f t="shared" si="1"/>
        <v>1.6902401729074896</v>
      </c>
      <c r="Q3" s="17">
        <f t="shared" si="1"/>
        <v>1.7307990486269973</v>
      </c>
      <c r="R3" s="17">
        <f t="shared" si="1"/>
        <v>1.7653708181822423</v>
      </c>
      <c r="S3" s="17">
        <f t="shared" si="1"/>
        <v>1.8010480436120651</v>
      </c>
      <c r="T3" s="17">
        <f t="shared" si="1"/>
        <v>1.839685806600071</v>
      </c>
      <c r="U3" s="17">
        <f t="shared" si="1"/>
        <v>1.8862762857732158</v>
      </c>
      <c r="V3" s="17">
        <f t="shared" si="1"/>
        <v>1.9279369485150653</v>
      </c>
    </row>
    <row r="4" spans="1:23" x14ac:dyDescent="0.3">
      <c r="A4" s="17" t="s">
        <v>37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>
        <f>0.45*B10*(-1)</f>
        <v>-2430.678082191781</v>
      </c>
      <c r="M4" s="17"/>
      <c r="N4" s="17"/>
      <c r="O4" s="17"/>
      <c r="P4" s="17"/>
      <c r="Q4" s="17"/>
      <c r="R4" s="17"/>
      <c r="S4" s="17"/>
      <c r="T4" s="17"/>
      <c r="U4" s="17"/>
      <c r="V4" s="17"/>
    </row>
    <row r="5" spans="1:23" x14ac:dyDescent="0.3">
      <c r="A5" s="84" t="s">
        <v>117</v>
      </c>
      <c r="B5" s="17">
        <f>B10*(-1)</f>
        <v>-5401.5068493150684</v>
      </c>
      <c r="C5" s="17">
        <f t="shared" ref="C5:V5" si="2">SUM(C3:C4)</f>
        <v>1.2893222790339687</v>
      </c>
      <c r="D5" s="17">
        <f t="shared" si="2"/>
        <v>1.3189462914151602</v>
      </c>
      <c r="E5" s="17">
        <f t="shared" si="2"/>
        <v>1.3428371764103997</v>
      </c>
      <c r="F5" s="17">
        <f t="shared" si="2"/>
        <v>1.3708559753899887</v>
      </c>
      <c r="G5" s="17">
        <f t="shared" si="2"/>
        <v>1.3985117602461412</v>
      </c>
      <c r="H5" s="17">
        <f t="shared" si="2"/>
        <v>1.4295904427474768</v>
      </c>
      <c r="I5" s="17">
        <f t="shared" si="2"/>
        <v>1.4593404489593473</v>
      </c>
      <c r="J5" s="17">
        <f t="shared" si="2"/>
        <v>1.4888996536299397</v>
      </c>
      <c r="K5" s="17">
        <f t="shared" si="2"/>
        <v>1.5211001890835134</v>
      </c>
      <c r="L5" s="17">
        <f t="shared" si="2"/>
        <v>-2429.1267462678338</v>
      </c>
      <c r="M5" s="17">
        <f t="shared" si="2"/>
        <v>1.5861038684055973</v>
      </c>
      <c r="N5" s="17">
        <f t="shared" si="2"/>
        <v>1.6203304676187347</v>
      </c>
      <c r="O5" s="17">
        <f t="shared" si="2"/>
        <v>1.6531920337273973</v>
      </c>
      <c r="P5" s="17">
        <f t="shared" si="2"/>
        <v>1.6902401729074896</v>
      </c>
      <c r="Q5" s="17">
        <f t="shared" si="2"/>
        <v>1.7307990486269973</v>
      </c>
      <c r="R5" s="17">
        <f t="shared" si="2"/>
        <v>1.7653708181822423</v>
      </c>
      <c r="S5" s="17">
        <f t="shared" si="2"/>
        <v>1.8010480436120651</v>
      </c>
      <c r="T5" s="17">
        <f t="shared" si="2"/>
        <v>1.839685806600071</v>
      </c>
      <c r="U5" s="17">
        <f t="shared" si="2"/>
        <v>1.8862762857732158</v>
      </c>
      <c r="V5" s="17">
        <f t="shared" si="2"/>
        <v>1.9279369485150653</v>
      </c>
    </row>
    <row r="6" spans="1:23" x14ac:dyDescent="0.3">
      <c r="A6" s="85" t="s">
        <v>118</v>
      </c>
      <c r="B6" s="16">
        <f>SUM(B2)</f>
        <v>0</v>
      </c>
      <c r="C6" s="16">
        <f t="shared" ref="C6:V6" si="3">SUM(C2)</f>
        <v>0.26187694220010937</v>
      </c>
      <c r="D6" s="16">
        <f t="shared" si="3"/>
        <v>0.25538226309507556</v>
      </c>
      <c r="E6" s="16">
        <f t="shared" si="3"/>
        <v>0.24904865527918615</v>
      </c>
      <c r="F6" s="16">
        <f t="shared" si="3"/>
        <v>0.24287212410393469</v>
      </c>
      <c r="G6" s="16">
        <f t="shared" si="3"/>
        <v>0.23684877399009507</v>
      </c>
      <c r="H6" s="16">
        <f t="shared" si="3"/>
        <v>0.23097480597075373</v>
      </c>
      <c r="I6" s="16">
        <f t="shared" si="3"/>
        <v>0.22524651529527606</v>
      </c>
      <c r="J6" s="16">
        <f t="shared" si="3"/>
        <v>0.21966028909269553</v>
      </c>
      <c r="K6" s="16">
        <f t="shared" si="3"/>
        <v>0.21421260409305212</v>
      </c>
      <c r="L6" s="16">
        <f t="shared" si="3"/>
        <v>0.20890002440524238</v>
      </c>
      <c r="M6" s="16">
        <f t="shared" si="3"/>
        <v>0.20371919934998012</v>
      </c>
      <c r="N6" s="16">
        <f t="shared" si="3"/>
        <v>0.19866686134650094</v>
      </c>
      <c r="O6" s="16">
        <f t="shared" si="3"/>
        <v>0.19373982385167701</v>
      </c>
      <c r="P6" s="16">
        <f t="shared" si="3"/>
        <v>0.18893497935024348</v>
      </c>
      <c r="Q6" s="16">
        <f t="shared" si="3"/>
        <v>0.18424929739486776</v>
      </c>
      <c r="R6" s="16">
        <f t="shared" si="3"/>
        <v>0.17967982269482632</v>
      </c>
      <c r="S6" s="16">
        <f t="shared" si="3"/>
        <v>0.1752236732520833</v>
      </c>
      <c r="T6" s="16">
        <f t="shared" si="3"/>
        <v>0.17087803854359501</v>
      </c>
      <c r="U6" s="16">
        <f t="shared" si="3"/>
        <v>0.16664017774869458</v>
      </c>
      <c r="V6" s="16">
        <f t="shared" si="3"/>
        <v>0.16250741802043805</v>
      </c>
    </row>
    <row r="7" spans="1:23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3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</row>
    <row r="9" spans="1:23" x14ac:dyDescent="0.3">
      <c r="A9" s="114" t="s">
        <v>49</v>
      </c>
      <c r="B9" s="115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</row>
    <row r="10" spans="1:23" x14ac:dyDescent="0.3">
      <c r="A10" s="115" t="s">
        <v>38</v>
      </c>
      <c r="B10" s="115">
        <f>-SUM(C11:V11)</f>
        <v>5401.5068493150684</v>
      </c>
      <c r="C10" s="115" t="s">
        <v>35</v>
      </c>
      <c r="D10" s="115" t="s">
        <v>35</v>
      </c>
      <c r="E10" s="115" t="s">
        <v>35</v>
      </c>
      <c r="F10" s="115" t="s">
        <v>35</v>
      </c>
      <c r="G10" s="115" t="s">
        <v>35</v>
      </c>
      <c r="H10" s="115" t="s">
        <v>35</v>
      </c>
      <c r="I10" s="115" t="s">
        <v>35</v>
      </c>
      <c r="J10" s="115" t="s">
        <v>35</v>
      </c>
      <c r="K10" s="115" t="s">
        <v>35</v>
      </c>
      <c r="L10" s="115" t="s">
        <v>35</v>
      </c>
      <c r="M10" s="115" t="s">
        <v>35</v>
      </c>
      <c r="N10" s="115" t="s">
        <v>35</v>
      </c>
      <c r="O10" s="115" t="s">
        <v>35</v>
      </c>
      <c r="P10" s="115" t="s">
        <v>35</v>
      </c>
      <c r="Q10" s="115" t="s">
        <v>35</v>
      </c>
      <c r="R10" s="115" t="s">
        <v>35</v>
      </c>
      <c r="S10" s="115" t="s">
        <v>35</v>
      </c>
      <c r="T10" s="115" t="s">
        <v>35</v>
      </c>
      <c r="U10" s="115" t="s">
        <v>35</v>
      </c>
      <c r="V10" s="115" t="s">
        <v>35</v>
      </c>
    </row>
    <row r="11" spans="1:23" x14ac:dyDescent="0.3">
      <c r="A11" s="115" t="s">
        <v>2</v>
      </c>
      <c r="B11" s="115"/>
      <c r="C11" s="115">
        <v>0</v>
      </c>
      <c r="D11" s="115">
        <v>0</v>
      </c>
      <c r="E11" s="115">
        <v>0</v>
      </c>
      <c r="F11" s="115">
        <v>-317.73569701853341</v>
      </c>
      <c r="G11" s="115">
        <v>-317.73569701853341</v>
      </c>
      <c r="H11" s="115">
        <v>-317.73569701853341</v>
      </c>
      <c r="I11" s="115">
        <v>-317.73569701853341</v>
      </c>
      <c r="J11" s="115">
        <v>-317.73569701853341</v>
      </c>
      <c r="K11" s="115">
        <v>-317.73569701853341</v>
      </c>
      <c r="L11" s="115">
        <v>-317.73569701853341</v>
      </c>
      <c r="M11" s="115">
        <v>-317.73569701853341</v>
      </c>
      <c r="N11" s="115">
        <v>-317.73569701853341</v>
      </c>
      <c r="O11" s="115">
        <v>-317.73569701853341</v>
      </c>
      <c r="P11" s="115">
        <v>-317.73569701853341</v>
      </c>
      <c r="Q11" s="115">
        <v>-317.73569701853341</v>
      </c>
      <c r="R11" s="115">
        <v>-317.73569701853341</v>
      </c>
      <c r="S11" s="115">
        <v>-317.73569701853341</v>
      </c>
      <c r="T11" s="115">
        <v>-317.73569701853341</v>
      </c>
      <c r="U11" s="115">
        <v>-317.73569701853341</v>
      </c>
      <c r="V11" s="115">
        <v>-317.73569701853341</v>
      </c>
      <c r="W11" s="14"/>
    </row>
    <row r="12" spans="1:23" x14ac:dyDescent="0.3">
      <c r="A12" s="115" t="s">
        <v>39</v>
      </c>
      <c r="B12" s="115"/>
      <c r="C12" s="115">
        <v>-290.60106849315071</v>
      </c>
      <c r="D12" s="115">
        <v>-290.60106849315071</v>
      </c>
      <c r="E12" s="115">
        <v>-290.60106849315071</v>
      </c>
      <c r="F12" s="115">
        <v>-284.19075080580183</v>
      </c>
      <c r="G12" s="115">
        <v>-267.0965703062048</v>
      </c>
      <c r="H12" s="115">
        <v>-250.00238980660777</v>
      </c>
      <c r="I12" s="115">
        <v>-232.90820930701074</v>
      </c>
      <c r="J12" s="115">
        <v>-215.81402880741371</v>
      </c>
      <c r="K12" s="115">
        <v>-198.71984830781656</v>
      </c>
      <c r="L12" s="115">
        <v>-181.62566780821945</v>
      </c>
      <c r="M12" s="115">
        <v>-164.53148730862233</v>
      </c>
      <c r="N12" s="115">
        <v>-147.43730680902524</v>
      </c>
      <c r="O12" s="115">
        <v>-130.3431263094281</v>
      </c>
      <c r="P12" s="115">
        <v>-113.24894580983099</v>
      </c>
      <c r="Q12" s="115">
        <v>-96.15476531023387</v>
      </c>
      <c r="R12" s="115">
        <v>-79.060584810636755</v>
      </c>
      <c r="S12" s="115">
        <v>-61.966404311039646</v>
      </c>
      <c r="T12" s="115">
        <v>-44.872223811442538</v>
      </c>
      <c r="U12" s="115">
        <v>-27.778043311845451</v>
      </c>
      <c r="V12" s="115">
        <v>-10.683862812248357</v>
      </c>
      <c r="W12" s="14"/>
    </row>
    <row r="13" spans="1:23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4"/>
    </row>
    <row r="14" spans="1:23" x14ac:dyDescent="0.3">
      <c r="A14" s="99" t="s">
        <v>124</v>
      </c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14"/>
    </row>
    <row r="15" spans="1:23" x14ac:dyDescent="0.3">
      <c r="A15" s="100" t="s">
        <v>38</v>
      </c>
      <c r="B15" s="94"/>
      <c r="C15" s="94">
        <f t="shared" ref="C15:V15" si="4">-IF(SUM(C6,C34,C17,C21)+B42&lt;0,SUM(C6,C34,C17,C21)+B42,0)</f>
        <v>0</v>
      </c>
      <c r="D15" s="94">
        <f t="shared" si="4"/>
        <v>0</v>
      </c>
      <c r="E15" s="94">
        <f t="shared" si="4"/>
        <v>0</v>
      </c>
      <c r="F15" s="94">
        <f t="shared" si="4"/>
        <v>0</v>
      </c>
      <c r="G15" s="94">
        <f t="shared" si="4"/>
        <v>0</v>
      </c>
      <c r="H15" s="94">
        <f t="shared" si="4"/>
        <v>0</v>
      </c>
      <c r="I15" s="94">
        <f t="shared" si="4"/>
        <v>0</v>
      </c>
      <c r="J15" s="94">
        <f t="shared" si="4"/>
        <v>0</v>
      </c>
      <c r="K15" s="94">
        <f t="shared" si="4"/>
        <v>0</v>
      </c>
      <c r="L15" s="94">
        <f t="shared" si="4"/>
        <v>0</v>
      </c>
      <c r="M15" s="94">
        <f t="shared" si="4"/>
        <v>0</v>
      </c>
      <c r="N15" s="94">
        <f t="shared" si="4"/>
        <v>0</v>
      </c>
      <c r="O15" s="94">
        <f t="shared" si="4"/>
        <v>0</v>
      </c>
      <c r="P15" s="94">
        <f t="shared" si="4"/>
        <v>0</v>
      </c>
      <c r="Q15" s="94">
        <f t="shared" si="4"/>
        <v>0</v>
      </c>
      <c r="R15" s="94">
        <f t="shared" si="4"/>
        <v>0</v>
      </c>
      <c r="S15" s="94">
        <f t="shared" si="4"/>
        <v>0</v>
      </c>
      <c r="T15" s="94">
        <f t="shared" si="4"/>
        <v>0</v>
      </c>
      <c r="U15" s="94">
        <f t="shared" si="4"/>
        <v>0</v>
      </c>
      <c r="V15" s="94">
        <f t="shared" si="4"/>
        <v>0</v>
      </c>
      <c r="W15" s="14"/>
    </row>
    <row r="16" spans="1:23" x14ac:dyDescent="0.3">
      <c r="A16" s="100" t="s">
        <v>2</v>
      </c>
      <c r="B16" s="94"/>
      <c r="C16" s="94">
        <f>IF(-SUM(C6,C17,C34)+B41&lt;0,0,-IF(+B41&lt;0,IF(C15=0,IF(SUM(C6,C17,C34)+B41&gt;0,(SUM(C6,C17,C34)+B41),0),0),0))</f>
        <v>0</v>
      </c>
      <c r="D16" s="94">
        <f t="shared" ref="D16:V16" si="5">IF(-SUM(D6,D17,D34)+C41&lt;0,0,-IF(+C41&lt;0,IF(D15=0,IF(SUM(D6,D17,D34)+C41&gt;0,(SUM(D6,D17,D34)+C41),0),0),0))</f>
        <v>0</v>
      </c>
      <c r="E16" s="94">
        <f t="shared" si="5"/>
        <v>0</v>
      </c>
      <c r="F16" s="94">
        <f t="shared" si="5"/>
        <v>0</v>
      </c>
      <c r="G16" s="94">
        <f t="shared" si="5"/>
        <v>0</v>
      </c>
      <c r="H16" s="94">
        <f t="shared" si="5"/>
        <v>0</v>
      </c>
      <c r="I16" s="94">
        <f t="shared" si="5"/>
        <v>0</v>
      </c>
      <c r="J16" s="94">
        <f t="shared" si="5"/>
        <v>0</v>
      </c>
      <c r="K16" s="94">
        <f t="shared" si="5"/>
        <v>0</v>
      </c>
      <c r="L16" s="94">
        <f t="shared" si="5"/>
        <v>0</v>
      </c>
      <c r="M16" s="94">
        <f t="shared" si="5"/>
        <v>0</v>
      </c>
      <c r="N16" s="94">
        <f t="shared" si="5"/>
        <v>0</v>
      </c>
      <c r="O16" s="94">
        <f t="shared" si="5"/>
        <v>0</v>
      </c>
      <c r="P16" s="94">
        <f t="shared" si="5"/>
        <v>0</v>
      </c>
      <c r="Q16" s="94">
        <f t="shared" si="5"/>
        <v>0</v>
      </c>
      <c r="R16" s="94">
        <f t="shared" si="5"/>
        <v>0</v>
      </c>
      <c r="S16" s="94">
        <f t="shared" si="5"/>
        <v>0</v>
      </c>
      <c r="T16" s="94">
        <f t="shared" si="5"/>
        <v>0</v>
      </c>
      <c r="U16" s="94">
        <f t="shared" si="5"/>
        <v>0</v>
      </c>
      <c r="V16" s="94">
        <f t="shared" si="5"/>
        <v>0</v>
      </c>
      <c r="W16" s="14"/>
    </row>
    <row r="17" spans="1:23" x14ac:dyDescent="0.3">
      <c r="A17" s="100" t="s">
        <v>39</v>
      </c>
      <c r="B17" s="94"/>
      <c r="C17" s="94">
        <f t="shared" ref="C17:V17" si="6">B42*Fremdkapitalzins</f>
        <v>0</v>
      </c>
      <c r="D17" s="94">
        <f t="shared" si="6"/>
        <v>0</v>
      </c>
      <c r="E17" s="94">
        <f t="shared" si="6"/>
        <v>0</v>
      </c>
      <c r="F17" s="94">
        <f t="shared" si="6"/>
        <v>0</v>
      </c>
      <c r="G17" s="94">
        <f t="shared" si="6"/>
        <v>0</v>
      </c>
      <c r="H17" s="94">
        <f t="shared" si="6"/>
        <v>0</v>
      </c>
      <c r="I17" s="94">
        <f t="shared" si="6"/>
        <v>0</v>
      </c>
      <c r="J17" s="94">
        <f t="shared" si="6"/>
        <v>0</v>
      </c>
      <c r="K17" s="94">
        <f t="shared" si="6"/>
        <v>0</v>
      </c>
      <c r="L17" s="94">
        <f t="shared" si="6"/>
        <v>0</v>
      </c>
      <c r="M17" s="94">
        <f t="shared" si="6"/>
        <v>0</v>
      </c>
      <c r="N17" s="94">
        <f t="shared" si="6"/>
        <v>0</v>
      </c>
      <c r="O17" s="94">
        <f t="shared" si="6"/>
        <v>0</v>
      </c>
      <c r="P17" s="94">
        <f t="shared" si="6"/>
        <v>0</v>
      </c>
      <c r="Q17" s="94">
        <f t="shared" si="6"/>
        <v>0</v>
      </c>
      <c r="R17" s="94">
        <f t="shared" si="6"/>
        <v>0</v>
      </c>
      <c r="S17" s="94">
        <f t="shared" si="6"/>
        <v>0</v>
      </c>
      <c r="T17" s="94">
        <f t="shared" si="6"/>
        <v>0</v>
      </c>
      <c r="U17" s="94">
        <f t="shared" si="6"/>
        <v>0</v>
      </c>
      <c r="V17" s="94">
        <f t="shared" si="6"/>
        <v>0</v>
      </c>
      <c r="W17" s="14"/>
    </row>
    <row r="18" spans="1:23" x14ac:dyDescent="0.3">
      <c r="A18" s="100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14"/>
    </row>
    <row r="19" spans="1:23" x14ac:dyDescent="0.3">
      <c r="A19" s="99" t="s">
        <v>125</v>
      </c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14"/>
    </row>
    <row r="20" spans="1:23" x14ac:dyDescent="0.3">
      <c r="A20" s="100" t="s">
        <v>126</v>
      </c>
      <c r="B20" s="94"/>
      <c r="C20" s="94">
        <f>IF(AND(C6+C34+C21&gt;0,B42&lt;=0),-(C6+C34+C21),IF(AND(C6+C34+C21&gt;0,B42&gt;0,C6+C34+C21&gt;B42),-((C6+C34+C21)-B42),0))</f>
        <v>-0.22043491609694207</v>
      </c>
      <c r="D20" s="94">
        <f>IF(AND(D6+D34+D21&gt;0,C42&lt;=0),-(D6+D34+D21),IF(AND(D6+D34+D21&gt;0,C42&gt;0,D6+D34+D21&gt;C42),-((D6+D34+D21)-C42),0))</f>
        <v>-0.21496801996027987</v>
      </c>
      <c r="E20" s="94">
        <f>IF(AND(E6+E34+E21&gt;0,D42&lt;=0),-(E6+E34+E21),IF(AND(E6+E34+E21&gt;0,D42&gt;0,E6+E34+E21&gt;D42),-((E6+E34+E21)-D42),0))</f>
        <v>-0.20963670558125497</v>
      </c>
      <c r="F20" s="94">
        <f>IF(AND(F6+F34+F21&gt;0,E42&lt;=0),-(F6+F34+F21),IF(AND(F6+F34+F21&gt;0,E42&gt;0,F6+F34+F21&gt;E42),-((F6+F34+F21)-E42),0))</f>
        <v>-0.20443761046448702</v>
      </c>
      <c r="G20" s="94">
        <f>IF(AND(G6+G34+G21&gt;0,F42&lt;=0),-(G6+G34+G21),IF(AND(G6+G34+G21&gt;0,F42&gt;0,G6+G34+G21&gt;F42),-((G6+G34+G21)-F42),0))</f>
        <v>-0.19936745550616253</v>
      </c>
      <c r="H20" s="94">
        <f>IF(AND(H6+H34+H21&gt;0,G42&lt;=0),-(H6+H34+H21),IF(AND(H6+H34+H21&gt;0,G42&gt;0,H6+H34+H21&gt;G42),-((H6+H34+H21)-G42),0))</f>
        <v>-0.20943174848059165</v>
      </c>
      <c r="I20" s="94">
        <f>IF(AND(I6+I34+I21&gt;0,H42&lt;=0),-(I6+I34+I21),IF(AND(I6+I34+I21&gt;0,H42&gt;0,I6+I34+I21&gt;H42),-((I6+I34+I21)-H42),0))</f>
        <v>-0.20760687576732847</v>
      </c>
      <c r="J20" s="94">
        <f>IF(AND(J6+J34+J21&gt;0,I42&lt;=0),-(J6+J34+J21),IF(AND(J6+J34+J21&gt;0,I42&gt;0,J6+J34+J21&gt;I42),-((J6+J34+J21)-I42),0))</f>
        <v>-0.20587547235181783</v>
      </c>
      <c r="K20" s="94">
        <f>IF(AND(K6+K34+K21&gt;0,J42&lt;=0),-(K6+K34+K21),IF(AND(K6+K34+K21&gt;0,J42&gt;0,K6+K34+K21&gt;J42),-((K6+K34+K21)-J42),0))</f>
        <v>-0.20423591004385444</v>
      </c>
      <c r="L20" s="94">
        <f>IF(AND(L6+L34+L21&gt;0,K42&lt;=0),-(L6+L34+L21),IF(AND(L6+L34+L21&gt;0,K42&gt;0,L6+L34+L21&gt;K42),-((L6+L34+L21)-K42),0))</f>
        <v>-0.20268661090539064</v>
      </c>
      <c r="M20" s="94">
        <f>IF(AND(M6+M34+M21&gt;0,L42&lt;=0),-(M6+M34+M21),IF(AND(M6+M34+M21&gt;0,L42&gt;0,M6+M34+M21&gt;L42),-((M6+M34+M21)-L42),0))</f>
        <v>-0.20122604614552703</v>
      </c>
      <c r="N20" s="94">
        <f>IF(AND(N6+N34+N21&gt;0,M42&lt;=0),-(N6+N34+N21),IF(AND(N6+N34+N21&gt;0,M42&gt;0,N6+N34+N21&gt;M42),-((N6+N34+N21)-M42),0))</f>
        <v>-0.1998527350449294</v>
      </c>
      <c r="O20" s="94">
        <f>IF(AND(O6+O34+O21&gt;0,N42&lt;=0),-(O6+O34+O21),IF(AND(O6+O34+O21&gt;0,N42&gt;0,O6+O34+O21&gt;N42),-((O6+O34+O21)-N42),0))</f>
        <v>-0.19856524390897054</v>
      </c>
      <c r="P20" s="94">
        <f>IF(AND(P6+P34+P21&gt;0,O42&lt;=0),-(P6+P34+P21),IF(AND(P6+P34+P21&gt;0,O42&gt;0,P6+P34+P21&gt;O42),-((P6+P34+P21)-O42),0))</f>
        <v>-0.19736218504891523</v>
      </c>
      <c r="Q20" s="94">
        <f>IF(AND(Q6+Q34+Q21&gt;0,P42&lt;=0),-(Q6+Q34+Q21),IF(AND(Q6+Q34+Q21&gt;0,P42&gt;0,Q6+Q34+Q21&gt;P42),-((Q6+Q34+Q21)-P42),0))</f>
        <v>-0.19624221579048146</v>
      </c>
      <c r="R20" s="94">
        <f>IF(AND(R6+R34+R21&gt;0,Q42&lt;=0),-(R6+R34+R21),IF(AND(R6+R34+R21&gt;0,Q42&gt;0,R6+R34+R21&gt;Q42),-((R6+R34+R21)-Q42),0))</f>
        <v>-0.19520403750912943</v>
      </c>
      <c r="S20" s="94">
        <f>IF(AND(S6+S34+S21&gt;0,R42&lt;=0),-(S6+S34+S21),IF(AND(S6+S34+S21&gt;0,R42&gt;0,S6+S34+S21&gt;R42),-((S6+S34+S21)-R42),0))</f>
        <v>-0.19424639469144672</v>
      </c>
      <c r="T20" s="94">
        <f>IF(AND(T6+T34+T21&gt;0,S42&lt;=0),-(T6+T34+T21),IF(AND(T6+T34+T21&gt;0,S42&gt;0,T6+T34+T21&gt;S42),-((T6+T34+T21)-S42),0))</f>
        <v>-0.19336807402201264</v>
      </c>
      <c r="U20" s="94">
        <f>IF(AND(U6+U34+U21&gt;0,T42&lt;=0),-(U6+U34+U21),IF(AND(U6+U34+U21&gt;0,T42&gt;0,U6+U34+U21&gt;T42),-((U6+U34+U21)-T42),0))</f>
        <v>-0.19256790349514169</v>
      </c>
      <c r="V20" s="94">
        <f>IF(AND(V6+V34+V21&gt;0,U42&lt;=0),-(V6+V34+V21),IF(AND(V6+V34+V21&gt;0,U42&gt;0,V6+V34+V21&gt;U42),-((V6+V34+V21)-U42),0))</f>
        <v>-0.1918447515509214</v>
      </c>
      <c r="W20" s="14"/>
    </row>
    <row r="21" spans="1:23" x14ac:dyDescent="0.3">
      <c r="A21" s="101" t="s">
        <v>127</v>
      </c>
      <c r="B21" s="94"/>
      <c r="C21" s="94">
        <f t="shared" ref="C21:V21" si="7">IF(B41&gt;=1,B41*Festgeld,0)</f>
        <v>0</v>
      </c>
      <c r="D21" s="94">
        <f t="shared" si="7"/>
        <v>0</v>
      </c>
      <c r="E21" s="94">
        <f t="shared" si="7"/>
        <v>0</v>
      </c>
      <c r="F21" s="94">
        <f t="shared" si="7"/>
        <v>0</v>
      </c>
      <c r="G21" s="94">
        <f t="shared" si="7"/>
        <v>0</v>
      </c>
      <c r="H21" s="94">
        <f t="shared" si="7"/>
        <v>1.7830360029355154E-2</v>
      </c>
      <c r="I21" s="94">
        <f t="shared" si="7"/>
        <v>2.139069975352521E-2</v>
      </c>
      <c r="J21" s="94">
        <f t="shared" si="7"/>
        <v>2.4920016641569794E-2</v>
      </c>
      <c r="K21" s="94">
        <f t="shared" si="7"/>
        <v>2.8419899671550699E-2</v>
      </c>
      <c r="L21" s="94">
        <f t="shared" si="7"/>
        <v>3.1891910142296226E-2</v>
      </c>
      <c r="M21" s="94">
        <f t="shared" si="7"/>
        <v>3.5337582527687872E-2</v>
      </c>
      <c r="N21" s="94">
        <f t="shared" si="7"/>
        <v>3.875842531216183E-2</v>
      </c>
      <c r="O21" s="94">
        <f t="shared" si="7"/>
        <v>4.2155921807925628E-2</v>
      </c>
      <c r="P21" s="94">
        <f t="shared" si="7"/>
        <v>4.5531530954378126E-2</v>
      </c>
      <c r="Q21" s="94">
        <f t="shared" si="7"/>
        <v>4.8886688100209692E-2</v>
      </c>
      <c r="R21" s="94">
        <f t="shared" si="7"/>
        <v>5.2222805768647872E-2</v>
      </c>
      <c r="S21" s="94">
        <f t="shared" si="7"/>
        <v>5.5541274406303076E-2</v>
      </c>
      <c r="T21" s="94">
        <f t="shared" si="7"/>
        <v>5.8843463116057669E-2</v>
      </c>
      <c r="U21" s="94">
        <f t="shared" si="7"/>
        <v>6.2130720374431882E-2</v>
      </c>
      <c r="V21" s="94">
        <f t="shared" si="7"/>
        <v>6.5404374733849288E-2</v>
      </c>
      <c r="W21" s="14"/>
    </row>
    <row r="22" spans="1:23" x14ac:dyDescent="0.3">
      <c r="A22" s="100" t="s">
        <v>128</v>
      </c>
      <c r="B22" s="94"/>
      <c r="C22" s="94">
        <f>IF(AND(C6+C34+C17+C21&lt;0,B41&gt;=0,C6+C34+C17+C21&gt;(-B41)),-(C6+C34+C17+C21),IF(AND(C6+C34+C17+C21&lt;0,B41&gt;=0,C6+C34+C17+C21&lt;(-B41)),B41,0))</f>
        <v>0</v>
      </c>
      <c r="D22" s="94">
        <f>IF(AND(D6+D34+D17+D21&lt;0,C41&gt;=0,D6+D34+D17+D21&gt;(-C41)),-(D6+D34+D17+D21),IF(AND(D6+D34+D17+D21&lt;0,C41&gt;=0,D6+D34+D17+D21&lt;(-C41)),C41,0))</f>
        <v>0</v>
      </c>
      <c r="E22" s="94">
        <f>IF(AND(E6+E34+E17+E21&lt;0,D41&gt;=0,E6+E34+E17+E21&gt;(-D41)),-(E6+E34+E17+E21),IF(AND(E6+E34+E17+E21&lt;0,D41&gt;=0,E6+E34+E17+E21&lt;(-D41)),D41,0))</f>
        <v>0</v>
      </c>
      <c r="F22" s="94">
        <f>IF(AND(F6+F34+F17+F21&lt;0,E41&gt;=0,F6+F34+F17+F21&gt;(-E41)),-(F6+F34+F17+F21),IF(AND(F6+F34+F17+F21&lt;0,E41&gt;=0,F6+F34+F17+F21&lt;(-E41)),E41,0))</f>
        <v>0</v>
      </c>
      <c r="G22" s="94">
        <f>IF(AND(G6+G34+G17+G21&lt;0,F41&gt;=0,G6+G34+G17+G21&gt;(-F41)),-(G6+G34+G17+G21),IF(AND(G6+G34+G17+G21&lt;0,F41&gt;=0,G6+G34+G17+G21&lt;(-F41)),F41,0))</f>
        <v>0</v>
      </c>
      <c r="H22" s="94">
        <f>IF(AND(H6+H34+H17+H21&lt;0,G41&gt;=0,H6+H34+H17+H21&gt;(-G41)),-(H6+H34+H17+H21),IF(AND(H6+H34+H17+H21&lt;0,G41&gt;=0,H6+H34+H17+H21&lt;(-G41)),G41,0))</f>
        <v>0</v>
      </c>
      <c r="I22" s="94">
        <f>IF(AND(I6+I34+I17+I21&lt;0,H41&gt;=0,I6+I34+I17+I21&gt;(-H41)),-(I6+I34+I17+I21),IF(AND(I6+I34+I17+I21&lt;0,H41&gt;=0,I6+I34+I17+I21&lt;(-H41)),H41,0))</f>
        <v>0</v>
      </c>
      <c r="J22" s="94">
        <f>IF(AND(J6+J34+J17+J21&lt;0,I41&gt;=0,J6+J34+J17+J21&gt;(-I41)),-(J6+J34+J17+J21),IF(AND(J6+J34+J17+J21&lt;0,I41&gt;=0,J6+J34+J17+J21&lt;(-I41)),I41,0))</f>
        <v>0</v>
      </c>
      <c r="K22" s="94">
        <f>IF(AND(K6+K34+K17+K21&lt;0,J41&gt;=0,K6+K34+K17+K21&gt;(-J41)),-(K6+K34+K17+K21),IF(AND(K6+K34+K17+K21&lt;0,J41&gt;=0,K6+K34+K17+K21&lt;(-J41)),J41,0))</f>
        <v>0</v>
      </c>
      <c r="L22" s="94">
        <f>IF(AND(L6+L34+L17+L21&lt;0,K41&gt;=0,L6+L34+L17+L21&gt;(-K41)),-(L6+L34+L17+L21),IF(AND(L6+L34+L17+L21&lt;0,K41&gt;=0,L6+L34+L17+L21&lt;(-K41)),K41,0))</f>
        <v>0</v>
      </c>
      <c r="M22" s="94">
        <f>IF(AND(M6+M34+M17+M21&lt;0,L41&gt;=0,M6+M34+M17+M21&gt;(-L41)),-(M6+M34+M17+M21),IF(AND(M6+M34+M17+M21&lt;0,L41&gt;=0,M6+M34+M17+M21&lt;(-L41)),L41,0))</f>
        <v>0</v>
      </c>
      <c r="N22" s="94">
        <f>IF(AND(N6+N34+N17+N21&lt;0,M41&gt;=0,N6+N34+N17+N21&gt;(-M41)),-(N6+N34+N17+N21),IF(AND(N6+N34+N17+N21&lt;0,M41&gt;=0,N6+N34+N17+N21&lt;(-M41)),M41,0))</f>
        <v>0</v>
      </c>
      <c r="O22" s="94">
        <f>IF(AND(O6+O34+O17+O21&lt;0,N41&gt;=0,O6+O34+O17+O21&gt;(-N41)),-(O6+O34+O17+O21),IF(AND(O6+O34+O17+O21&lt;0,N41&gt;=0,O6+O34+O17+O21&lt;(-N41)),N41,0))</f>
        <v>0</v>
      </c>
      <c r="P22" s="94">
        <f>IF(AND(P6+P34+P17+P21&lt;0,O41&gt;=0,P6+P34+P17+P21&gt;(-O41)),-(P6+P34+P17+P21),IF(AND(P6+P34+P17+P21&lt;0,O41&gt;=0,P6+P34+P17+P21&lt;(-O41)),O41,0))</f>
        <v>0</v>
      </c>
      <c r="Q22" s="94">
        <f>IF(AND(Q6+Q34+Q17+Q21&lt;0,P41&gt;=0,Q6+Q34+Q17+Q21&gt;(-P41)),-(Q6+Q34+Q17+Q21),IF(AND(Q6+Q34+Q17+Q21&lt;0,P41&gt;=0,Q6+Q34+Q17+Q21&lt;(-P41)),P41,0))</f>
        <v>0</v>
      </c>
      <c r="R22" s="94">
        <f>IF(AND(R6+R34+R17+R21&lt;0,Q41&gt;=0,R6+R34+R17+R21&gt;(-Q41)),-(R6+R34+R17+R21),IF(AND(R6+R34+R17+R21&lt;0,Q41&gt;=0,R6+R34+R17+R21&lt;(-Q41)),Q41,0))</f>
        <v>0</v>
      </c>
      <c r="S22" s="94">
        <f>IF(AND(S6+S34+S17+S21&lt;0,R41&gt;=0,S6+S34+S17+S21&gt;(-R41)),-(S6+S34+S17+S21),IF(AND(S6+S34+S17+S21&lt;0,R41&gt;=0,S6+S34+S17+S21&lt;(-R41)),R41,0))</f>
        <v>0</v>
      </c>
      <c r="T22" s="94">
        <f>IF(AND(T6+T34+T17+T21&lt;0,S41&gt;=0,T6+T34+T17+T21&gt;(-S41)),-(T6+T34+T17+T21),IF(AND(T6+T34+T17+T21&lt;0,S41&gt;=0,T6+T34+T17+T21&lt;(-S41)),S41,0))</f>
        <v>0</v>
      </c>
      <c r="U22" s="94">
        <f>IF(AND(U6+U34+U17+U21&lt;0,T41&gt;=0,U6+U34+U17+U21&gt;(-T41)),-(U6+U34+U17+U21),IF(AND(U6+U34+U17+U21&lt;0,T41&gt;=0,U6+U34+U17+U21&lt;(-T41)),T41,0))</f>
        <v>0</v>
      </c>
      <c r="V22" s="94">
        <f>IF(AND(V6+V34+V17+V21&lt;0,U41&gt;=0,V6+V34+V17+V21&gt;(-U41)),-(V6+V34+V17+V21),IF(AND(V6+V34+V17+V21&lt;0,U41&gt;=0,V6+V34+V17+V21&lt;(-U41)),U41,0))</f>
        <v>0</v>
      </c>
      <c r="W22" s="14"/>
    </row>
    <row r="23" spans="1:23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4"/>
    </row>
    <row r="24" spans="1:23" x14ac:dyDescent="0.3">
      <c r="A24" s="102" t="s">
        <v>124</v>
      </c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4"/>
    </row>
    <row r="25" spans="1:23" x14ac:dyDescent="0.3">
      <c r="A25" s="104" t="s">
        <v>38</v>
      </c>
      <c r="B25" s="103">
        <v>0</v>
      </c>
      <c r="C25" s="103">
        <f>-IF(SUM(C5,C35,C11,C12,C27,C31)+B46&lt;0,SUM(C5,C35,C11,C12,C27,C31)+B46,0)</f>
        <v>1018.3021983346368</v>
      </c>
      <c r="D25" s="103">
        <f>-IF(SUM(D5,D35,D11,D12,D27,D31)+C46&lt;0,SUM(D5,D35,D11,D12,D27,D31)+C46,0)</f>
        <v>1021.6528254761216</v>
      </c>
      <c r="E25" s="103">
        <f>-IF(SUM(E5,E35,E11,E12,E27,E31)+D46&lt;0,SUM(E5,E35,E11,E12,E27,E31)+D46,0)</f>
        <v>1022.6790292287747</v>
      </c>
      <c r="F25" s="103">
        <f>-IF(SUM(F5,F35,F11,F12,F27,F31)+E46&lt;0,SUM(F5,F35,F11,F12,F27,F31)+E46,0)</f>
        <v>1321.3073705895656</v>
      </c>
      <c r="G25" s="103">
        <f>-IF(SUM(G5,G35,G11,G12,G27,G31)+F46&lt;0,SUM(G5,G35,G11,G12,G27,G31)+F46,0)</f>
        <v>1316.9244691459321</v>
      </c>
      <c r="H25" s="103">
        <f>-IF(SUM(H5,H35,H11,H12,H27,H31)+G46&lt;0,SUM(H5,H35,H11,H12,H27,H31)+G46,0)</f>
        <v>1309.5012388429564</v>
      </c>
      <c r="I25" s="103">
        <f>-IF(SUM(I5,I35,I11,I12,I27,I31)+H46&lt;0,SUM(I5,I35,I11,I12,I27,I31)+H46,0)</f>
        <v>1286.6424092120008</v>
      </c>
      <c r="J25" s="103">
        <f>-IF(SUM(J5,J35,J11,J12,J27,J31)+I46&lt;0,SUM(J5,J35,J11,J12,J27,J31)+I46,0)</f>
        <v>1272.6600339949682</v>
      </c>
      <c r="K25" s="103">
        <f>-IF(SUM(K5,K35,K11,K12,K27,K31)+J46&lt;0,SUM(K5,K35,K11,K12,K27,K31)+J46,0)</f>
        <v>1255.7196300837302</v>
      </c>
      <c r="L25" s="103">
        <f>-IF(SUM(L5,L35,L11,L12,L27,L31)+K46&lt;0,SUM(L5,L35,L11,L12,L27,L31)+K46,0)</f>
        <v>3033.3734149711972</v>
      </c>
      <c r="M25" s="103">
        <f>-IF(SUM(M5,M35,M11,M12,M27,M31)+L46&lt;0,SUM(M5,M35,M11,M12,M27,M31)+L46,0)</f>
        <v>1282.0490282200519</v>
      </c>
      <c r="N25" s="103">
        <f>-IF(SUM(N5,N35,N11,N12,N27,N31)+M46&lt;0,SUM(N5,N35,N11,N12,N27,N31)+M46,0)</f>
        <v>1255.1335836464586</v>
      </c>
      <c r="O25" s="103">
        <f>-IF(SUM(O5,O35,O11,O12,O27,O31)+N46&lt;0,SUM(O5,O35,O11,O12,O27,O31)+N46,0)</f>
        <v>1212.9483815796739</v>
      </c>
      <c r="P25" s="103">
        <f>-IF(SUM(P5,P35,P11,P12,P27,P31)+O46&lt;0,SUM(P5,P35,P11,P12,P27,P31)+O46,0)</f>
        <v>1179.8003501971266</v>
      </c>
      <c r="Q25" s="103">
        <f>-IF(SUM(Q5,Q35,Q11,Q12,Q27,Q31)+P46&lt;0,SUM(Q5,Q35,Q11,Q12,Q27,Q31)+P46,0)</f>
        <v>1143.8563926748116</v>
      </c>
      <c r="R25" s="103">
        <f>-IF(SUM(R5,R35,R11,R12,R27,R31)+Q46&lt;0,SUM(R5,R35,R11,R12,R27,R31)+Q46,0)</f>
        <v>1105.148148929848</v>
      </c>
      <c r="S25" s="103">
        <f>-IF(SUM(S5,S35,S11,S12,S27,S31)+R46&lt;0,SUM(S5,S35,S11,S12,S27,S31)+R46,0)</f>
        <v>1063.6934546493844</v>
      </c>
      <c r="T25" s="103">
        <f>-IF(SUM(T5,T35,T11,T12,T27,T31)+S46&lt;0,SUM(T5,T35,T11,T12,T27,T31)+S46,0)</f>
        <v>1019.5140811244648</v>
      </c>
      <c r="U25" s="103">
        <f>-IF(SUM(U5,U35,U11,U12,U27,U31)+T46&lt;0,SUM(U5,U35,U11,U12,U27,U31)+T46,0)</f>
        <v>972.62888962776719</v>
      </c>
      <c r="V25" s="103">
        <f>-IF(SUM(V5,V35,V11,V12,V27,V31)+U46&lt;0,SUM(V5,V35,V11,V12,V27,V31)+U46,0)</f>
        <v>923.07140081156251</v>
      </c>
      <c r="W25" s="14"/>
    </row>
    <row r="26" spans="1:23" x14ac:dyDescent="0.3">
      <c r="A26" s="104" t="s">
        <v>2</v>
      </c>
      <c r="B26" s="103"/>
      <c r="C26" s="103">
        <f>IF(-SUM(C11:C12,C5,C35,C27)+B46&lt;0,0,-IF(B47&lt;0,IF(C25=0,IF(SUM(C11:C12,C5,C35,C27)+B46&gt;0,(SUM(C11:C12,C5,C35,C27)+B47),0),0),0))</f>
        <v>0</v>
      </c>
      <c r="D26" s="103">
        <f>IF(-SUM(D11:D12,D5,D35,D27)+C46&lt;0,0,-IF(C47&lt;0,IF(D25=0,IF(SUM(D11:D12,D5,D35,D27)+C46&gt;0,(SUM(D11:D12,D5,D35,D27)+C47),0),0),0))</f>
        <v>0</v>
      </c>
      <c r="E26" s="103">
        <f>IF(-SUM(E11:E12,E5,E35,E27)+D46&lt;0,0,-IF(D47&lt;0,IF(E25=0,IF(SUM(E11:E12,E5,E35,E27)+D46&gt;0,(SUM(E11:E12,E5,E35,E27)+D47),0),0),0))</f>
        <v>0</v>
      </c>
      <c r="F26" s="103">
        <f>IF(-SUM(F11:F12,F5,F35,F27)+E46&lt;0,0,-IF(E47&lt;0,IF(F25=0,IF(SUM(F11:F12,F5,F35,F27)+E46&gt;0,(SUM(F11:F12,F5,F35,F27)+E47),0),0),0))</f>
        <v>0</v>
      </c>
      <c r="G26" s="103">
        <f>IF(-SUM(G11:G12,G5,G35,G27)+F46&lt;0,0,-IF(F47&lt;0,IF(G25=0,IF(SUM(G11:G12,G5,G35,G27)+F46&gt;0,(SUM(G11:G12,G5,G35,G27)+F47),0),0),0))</f>
        <v>0</v>
      </c>
      <c r="H26" s="103">
        <f>IF(-SUM(H11:H12,H5,H35,H27)+G46&lt;0,0,-IF(G47&lt;0,IF(H25=0,IF(SUM(H11:H12,H5,H35,H27)+G46&gt;0,(SUM(H11:H12,H5,H35,H27)+G47),0),0),0))</f>
        <v>0</v>
      </c>
      <c r="I26" s="103">
        <f>IF(-SUM(I11:I12,I5,I35,I27)+H46&lt;0,0,-IF(H47&lt;0,IF(I25=0,IF(SUM(I11:I12,I5,I35,I27)+H46&gt;0,(SUM(I11:I12,I5,I35,I27)+H47),0),0),0))</f>
        <v>0</v>
      </c>
      <c r="J26" s="103">
        <f>IF(-SUM(J11:J12,J5,J35,J27)+I46&lt;0,0,-IF(I47&lt;0,IF(J25=0,IF(SUM(J11:J12,J5,J35,J27)+I46&gt;0,(SUM(J11:J12,J5,J35,J27)+I47),0),0),0))</f>
        <v>0</v>
      </c>
      <c r="K26" s="103">
        <f>IF(-SUM(K11:K12,K5,K35,K27)+J46&lt;0,0,-IF(J47&lt;0,IF(K25=0,IF(SUM(K11:K12,K5,K35,K27)+J46&gt;0,(SUM(K11:K12,K5,K35,K27)+J47),0),0),0))</f>
        <v>0</v>
      </c>
      <c r="L26" s="103">
        <f>IF(-SUM(L11:L12,L5,L35,L27)+K46&lt;0,0,-IF(K47&lt;0,IF(L25=0,IF(SUM(L11:L12,L5,L35,L27)+K46&gt;0,(SUM(L11:L12,L5,L35,L27)+K47),0),0),0))</f>
        <v>0</v>
      </c>
      <c r="M26" s="103">
        <f>IF(-SUM(M11:M12,M5,M35,M27)+L46&lt;0,0,-IF(L47&lt;0,IF(M25=0,IF(SUM(M11:M12,M5,M35,M27)+L46&gt;0,(SUM(M11:M12,M5,M35,M27)+L47),0),0),0))</f>
        <v>0</v>
      </c>
      <c r="N26" s="103">
        <f>IF(-SUM(N11:N12,N5,N35,N27)+M46&lt;0,0,-IF(M47&lt;0,IF(N25=0,IF(SUM(N11:N12,N5,N35,N27)+M46&gt;0,(SUM(N11:N12,N5,N35,N27)+M47),0),0),0))</f>
        <v>0</v>
      </c>
      <c r="O26" s="103">
        <f>IF(-SUM(O11:O12,O5,O35,O27)+N46&lt;0,0,-IF(N47&lt;0,IF(O25=0,IF(SUM(O11:O12,O5,O35,O27)+N46&gt;0,(SUM(O11:O12,O5,O35,O27)+N47),0),0),0))</f>
        <v>0</v>
      </c>
      <c r="P26" s="103">
        <f>IF(-SUM(P11:P12,P5,P35,P27)+O46&lt;0,0,-IF(O47&lt;0,IF(P25=0,IF(SUM(P11:P12,P5,P35,P27)+O46&gt;0,(SUM(P11:P12,P5,P35,P27)+O47),0),0),0))</f>
        <v>0</v>
      </c>
      <c r="Q26" s="103">
        <f>IF(-SUM(Q11:Q12,Q5,Q35,Q27)+P46&lt;0,0,-IF(P47&lt;0,IF(Q25=0,IF(SUM(Q11:Q12,Q5,Q35,Q27)+P46&gt;0,(SUM(Q11:Q12,Q5,Q35,Q27)+P47),0),0),0))</f>
        <v>0</v>
      </c>
      <c r="R26" s="103">
        <f>IF(-SUM(R11:R12,R5,R35,R27)+Q46&lt;0,0,-IF(Q47&lt;0,IF(R25=0,IF(SUM(R11:R12,R5,R35,R27)+Q46&gt;0,(SUM(R11:R12,R5,R35,R27)+Q47),0),0),0))</f>
        <v>0</v>
      </c>
      <c r="S26" s="103">
        <f>IF(-SUM(S11:S12,S5,S35,S27)+R46&lt;0,0,-IF(R47&lt;0,IF(S25=0,IF(SUM(S11:S12,S5,S35,S27)+R46&gt;0,(SUM(S11:S12,S5,S35,S27)+R47),0),0),0))</f>
        <v>0</v>
      </c>
      <c r="T26" s="103">
        <f>IF(-SUM(T11:T12,T5,T35,T27)+S46&lt;0,0,-IF(S47&lt;0,IF(T25=0,IF(SUM(T11:T12,T5,T35,T27)+S46&gt;0,(SUM(T11:T12,T5,T35,T27)+S47),0),0),0))</f>
        <v>0</v>
      </c>
      <c r="U26" s="103">
        <f>IF(-SUM(U11:U12,U5,U35,U27)+T46&lt;0,0,-IF(T47&lt;0,IF(U25=0,IF(SUM(U11:U12,U5,U35,U27)+T46&gt;0,(SUM(U11:U12,U5,U35,U27)+T47),0),0),0))</f>
        <v>0</v>
      </c>
      <c r="V26" s="103">
        <f>IF(-SUM(V11:V12,V5,V35,V27)+U46&lt;0,0,-IF(U47&lt;0,IF(V25=0,IF(SUM(V11:V12,V5,V35,V27)+U46&gt;0,(SUM(V11:V12,V5,V35,V27)+U47),0),0),0))</f>
        <v>0</v>
      </c>
      <c r="W26" s="14"/>
    </row>
    <row r="27" spans="1:23" x14ac:dyDescent="0.3">
      <c r="A27" s="104" t="s">
        <v>39</v>
      </c>
      <c r="B27" s="103"/>
      <c r="C27" s="103">
        <f t="shared" ref="C27:V27" si="8">B47*Fremdkapitalzins</f>
        <v>0</v>
      </c>
      <c r="D27" s="103">
        <f t="shared" si="8"/>
        <v>-54.784658270403462</v>
      </c>
      <c r="E27" s="103">
        <f t="shared" si="8"/>
        <v>-106.8021656660711</v>
      </c>
      <c r="F27" s="103">
        <f t="shared" si="8"/>
        <v>-156.07634092574455</v>
      </c>
      <c r="G27" s="103">
        <f t="shared" si="8"/>
        <v>-218.76577032165812</v>
      </c>
      <c r="H27" s="103">
        <f t="shared" si="8"/>
        <v>-277.84670831840407</v>
      </c>
      <c r="I27" s="103">
        <f t="shared" si="8"/>
        <v>-333.34972206062497</v>
      </c>
      <c r="J27" s="103">
        <f t="shared" si="8"/>
        <v>-384.63686862936896</v>
      </c>
      <c r="K27" s="103">
        <f t="shared" si="8"/>
        <v>-432.41251492603828</v>
      </c>
      <c r="L27" s="103">
        <f t="shared" si="8"/>
        <v>-476.70643772152209</v>
      </c>
      <c r="M27" s="103">
        <f t="shared" si="8"/>
        <v>-614.25512109755459</v>
      </c>
      <c r="N27" s="103">
        <f t="shared" si="8"/>
        <v>-650.18243330074495</v>
      </c>
      <c r="O27" s="103">
        <f t="shared" si="8"/>
        <v>-682.72880518934437</v>
      </c>
      <c r="P27" s="103">
        <f t="shared" si="8"/>
        <v>-711.25461839914408</v>
      </c>
      <c r="Q27" s="103">
        <f t="shared" si="8"/>
        <v>-736.46237876987561</v>
      </c>
      <c r="R27" s="103">
        <f t="shared" si="8"/>
        <v>-758.38017671796115</v>
      </c>
      <c r="S27" s="103">
        <f t="shared" si="8"/>
        <v>-777.03629362296067</v>
      </c>
      <c r="T27" s="103">
        <f t="shared" si="8"/>
        <v>-792.45844888618228</v>
      </c>
      <c r="U27" s="103">
        <f t="shared" si="8"/>
        <v>-804.67404190060188</v>
      </c>
      <c r="V27" s="103">
        <f t="shared" si="8"/>
        <v>-813.71001270832346</v>
      </c>
      <c r="W27" s="14"/>
    </row>
    <row r="28" spans="1:23" x14ac:dyDescent="0.3">
      <c r="A28" s="104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4"/>
    </row>
    <row r="29" spans="1:23" x14ac:dyDescent="0.3">
      <c r="A29" s="102" t="s">
        <v>125</v>
      </c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4"/>
    </row>
    <row r="30" spans="1:23" x14ac:dyDescent="0.3">
      <c r="A30" s="104" t="s">
        <v>126</v>
      </c>
      <c r="B30" s="103"/>
      <c r="C30" s="103">
        <f>IF(AND(C5+C35+C11+C12+C27+C31+C26&gt;0,B47&lt;=0),-(C5+C35+C11+C12+C27+C31+C26),IF(AND(C5+C35+C11+C12+C27+C31+C26&gt;0,B47&gt;0,C5+C35+C11+C12+C27+C31+C26&gt;B47),-((C5+C35+C11+C12+C27+C31)-B47-C26),0))</f>
        <v>0</v>
      </c>
      <c r="D30" s="103">
        <f>IF(AND(D5+D35+D11+D12+D27+D31+D26&gt;0,C47&lt;=0),-(D5+D35+D11+D12+D27+D31+D26),IF(AND(D5+D35+D11+D12+D27+D31+D26&gt;0,C47&gt;0,D5+D35+D11+D12+D27+D31+D26&gt;C47),-((D5+D35+D11+D12+D27+D31)-C47-D26),0))</f>
        <v>0</v>
      </c>
      <c r="E30" s="103">
        <f>IF(AND(E5+E35+E11+E12+E27+E31+E26&gt;0,D47&lt;=0),-(E5+E35+E11+E12+E27+E31+E26),IF(AND(E5+E35+E11+E12+E27+E31+E26&gt;0,D47&gt;0,E5+E35+E11+E12+E27+E31+E26&gt;D47),-((E5+E35+E11+E12+E27+E31)-D47-E26),0))</f>
        <v>0</v>
      </c>
      <c r="F30" s="103">
        <f>IF(AND(F5+F35+F11+F12+F27+F31+F26&gt;0,E47&lt;=0),-(F5+F35+F11+F12+F27+F31+F26),IF(AND(F5+F35+F11+F12+F27+F31+F26&gt;0,E47&gt;0,F5+F35+F11+F12+F27+F31+F26&gt;E47),-((F5+F35+F11+F12+F27+F31)-E47-F26),0))</f>
        <v>0</v>
      </c>
      <c r="G30" s="103">
        <f>IF(AND(G5+G35+G11+G12+G27+G31+G26&gt;0,F47&lt;=0),-(G5+G35+G11+G12+G27+G31+G26),IF(AND(G5+G35+G11+G12+G27+G31+G26&gt;0,F47&gt;0,G5+G35+G11+G12+G27+G31+G26&gt;F47),-((G5+G35+G11+G12+G27+G31)-F47-G26),0))</f>
        <v>0</v>
      </c>
      <c r="H30" s="103">
        <f>IF(AND(H5+H35+H11+H12+H27+H31+H26&gt;0,G47&lt;=0),-(H5+H35+H11+H12+H27+H31+H26),IF(AND(H5+H35+H11+H12+H27+H31+H26&gt;0,G47&gt;0,H5+H35+H11+H12+H27+H31+H26&gt;G47),-((H5+H35+H11+H12+H27+H31)-G47-H26),0))</f>
        <v>0</v>
      </c>
      <c r="I30" s="103">
        <f>IF(AND(I5+I35+I11+I12+I27+I31+I26&gt;0,H47&lt;=0),-(I5+I35+I11+I12+I27+I31+I26),IF(AND(I5+I35+I11+I12+I27+I31+I26&gt;0,H47&gt;0,I5+I35+I11+I12+I27+I31+I26&gt;H47),-((I5+I35+I11+I12+I27+I31)-H47-I26),0))</f>
        <v>0</v>
      </c>
      <c r="J30" s="103">
        <f>IF(AND(J5+J35+J11+J12+J27+J31+J26&gt;0,I47&lt;=0),-(J5+J35+J11+J12+J27+J31+J26),IF(AND(J5+J35+J11+J12+J27+J31+J26&gt;0,I47&gt;0,J5+J35+J11+J12+J27+J31+J26&gt;I47),-((J5+J35+J11+J12+J27+J31)-I47-J26),0))</f>
        <v>0</v>
      </c>
      <c r="K30" s="103">
        <f>IF(AND(K5+K35+K11+K12+K27+K31+K26&gt;0,J47&lt;=0),-(K5+K35+K11+K12+K27+K31+K26),IF(AND(K5+K35+K11+K12+K27+K31+K26&gt;0,J47&gt;0,K5+K35+K11+K12+K27+K31+K26&gt;J47),-((K5+K35+K11+K12+K27+K31)-J47-K26),0))</f>
        <v>0</v>
      </c>
      <c r="L30" s="103">
        <f>IF(AND(L5+L35+L11+L12+L27+L31+L26&gt;0,K47&lt;=0),-(L5+L35+L11+L12+L27+L31+L26),IF(AND(L5+L35+L11+L12+L27+L31+L26&gt;0,K47&gt;0,L5+L35+L11+L12+L27+L31+L26&gt;K47),-((L5+L35+L11+L12+L27+L31)-K47-L26),0))</f>
        <v>0</v>
      </c>
      <c r="M30" s="103">
        <f>IF(AND(M5+M35+M11+M12+M27+M31+M26&gt;0,L47&lt;=0),-(M5+M35+M11+M12+M27+M31+M26),IF(AND(M5+M35+M11+M12+M27+M31+M26&gt;0,L47&gt;0,M5+M35+M11+M12+M27+M31+M26&gt;L47),-((M5+M35+M11+M12+M27+M31)-L47-M26),0))</f>
        <v>0</v>
      </c>
      <c r="N30" s="103">
        <f>IF(AND(N5+N35+N11+N12+N27+N31+N26&gt;0,M47&lt;=0),-(N5+N35+N11+N12+N27+N31+N26),IF(AND(N5+N35+N11+N12+N27+N31+N26&gt;0,M47&gt;0,N5+N35+N11+N12+N27+N31+N26&gt;M47),-((N5+N35+N11+N12+N27+N31)-M47-N26),0))</f>
        <v>0</v>
      </c>
      <c r="O30" s="103">
        <f>IF(AND(O5+O35+O11+O12+O27+O31+O26&gt;0,N47&lt;=0),-(O5+O35+O11+O12+O27+O31+O26),IF(AND(O5+O35+O11+O12+O27+O31+O26&gt;0,N47&gt;0,O5+O35+O11+O12+O27+O31+O26&gt;N47),-((O5+O35+O11+O12+O27+O31)-N47-O26),0))</f>
        <v>0</v>
      </c>
      <c r="P30" s="103">
        <f>IF(AND(P5+P35+P11+P12+P27+P31+P26&gt;0,O47&lt;=0),-(P5+P35+P11+P12+P27+P31+P26),IF(AND(P5+P35+P11+P12+P27+P31+P26&gt;0,O47&gt;0,P5+P35+P11+P12+P27+P31+P26&gt;O47),-((P5+P35+P11+P12+P27+P31)-O47-P26),0))</f>
        <v>0</v>
      </c>
      <c r="Q30" s="103">
        <f>IF(AND(Q5+Q35+Q11+Q12+Q27+Q31+Q26&gt;0,P47&lt;=0),-(Q5+Q35+Q11+Q12+Q27+Q31+Q26),IF(AND(Q5+Q35+Q11+Q12+Q27+Q31+Q26&gt;0,P47&gt;0,Q5+Q35+Q11+Q12+Q27+Q31+Q26&gt;P47),-((Q5+Q35+Q11+Q12+Q27+Q31)-P47-Q26),0))</f>
        <v>0</v>
      </c>
      <c r="R30" s="103">
        <f>IF(AND(R5+R35+R11+R12+R27+R31+R26&gt;0,Q47&lt;=0),-(R5+R35+R11+R12+R27+R31+R26),IF(AND(R5+R35+R11+R12+R27+R31+R26&gt;0,Q47&gt;0,R5+R35+R11+R12+R27+R31+R26&gt;Q47),-((R5+R35+R11+R12+R27+R31)-Q47-R26),0))</f>
        <v>0</v>
      </c>
      <c r="S30" s="103">
        <f>IF(AND(S5+S35+S11+S12+S27+S31+S26&gt;0,R47&lt;=0),-(S5+S35+S11+S12+S27+S31+S26),IF(AND(S5+S35+S11+S12+S27+S31+S26&gt;0,R47&gt;0,S5+S35+S11+S12+S27+S31+S26&gt;R47),-((S5+S35+S11+S12+S27+S31)-R47-S26),0))</f>
        <v>0</v>
      </c>
      <c r="T30" s="103">
        <f>IF(AND(T5+T35+T11+T12+T27+T31+T26&gt;0,S47&lt;=0),-(T5+T35+T11+T12+T27+T31+T26),IF(AND(T5+T35+T11+T12+T27+T31+T26&gt;0,S47&gt;0,T5+T35+T11+T12+T27+T31+T26&gt;S47),-((T5+T35+T11+T12+T27+T31)-S47-T26),0))</f>
        <v>0</v>
      </c>
      <c r="U30" s="103">
        <f>IF(AND(U5+U35+U11+U12+U27+U31+U26&gt;0,T47&lt;=0),-(U5+U35+U11+U12+U27+U31+U26),IF(AND(U5+U35+U11+U12+U27+U31+U26&gt;0,T47&gt;0,U5+U35+U11+U12+U27+U31+U26&gt;T47),-((U5+U35+U11+U12+U27+U31)-T47-U26),0))</f>
        <v>0</v>
      </c>
      <c r="V30" s="103">
        <f>IF(AND(V5+V35+V11+V12+V27+V31+V26&gt;0,U47&lt;=0),-(V5+V35+V11+V12+V27+V31+V26),IF(AND(V5+V35+V11+V12+V27+V31+V26&gt;0,U47&gt;0,V5+V35+V11+V12+V27+V31+V26&gt;U47),-((V5+V35+V11+V12+V27+V31)-U47-V26),0))</f>
        <v>0</v>
      </c>
      <c r="W30" s="14"/>
    </row>
    <row r="31" spans="1:23" x14ac:dyDescent="0.3">
      <c r="A31" s="105" t="s">
        <v>127</v>
      </c>
      <c r="B31" s="103"/>
      <c r="C31" s="103">
        <f t="shared" ref="C31:V31" si="9">IF(B46&gt;=1,B37*Festgeld,0)</f>
        <v>0</v>
      </c>
      <c r="D31" s="103">
        <f t="shared" si="9"/>
        <v>0</v>
      </c>
      <c r="E31" s="103">
        <f t="shared" si="9"/>
        <v>0</v>
      </c>
      <c r="F31" s="103">
        <f t="shared" si="9"/>
        <v>0</v>
      </c>
      <c r="G31" s="103">
        <f t="shared" si="9"/>
        <v>0</v>
      </c>
      <c r="H31" s="103">
        <f t="shared" si="9"/>
        <v>0</v>
      </c>
      <c r="I31" s="103">
        <f t="shared" si="9"/>
        <v>0</v>
      </c>
      <c r="J31" s="103">
        <f t="shared" si="9"/>
        <v>0</v>
      </c>
      <c r="K31" s="103">
        <f t="shared" si="9"/>
        <v>0</v>
      </c>
      <c r="L31" s="103">
        <f t="shared" si="9"/>
        <v>0</v>
      </c>
      <c r="M31" s="103">
        <f t="shared" si="9"/>
        <v>0</v>
      </c>
      <c r="N31" s="103">
        <f t="shared" si="9"/>
        <v>0</v>
      </c>
      <c r="O31" s="103">
        <f t="shared" si="9"/>
        <v>0</v>
      </c>
      <c r="P31" s="103">
        <f t="shared" si="9"/>
        <v>0</v>
      </c>
      <c r="Q31" s="103">
        <f t="shared" si="9"/>
        <v>0</v>
      </c>
      <c r="R31" s="103">
        <f t="shared" si="9"/>
        <v>0</v>
      </c>
      <c r="S31" s="103">
        <f t="shared" si="9"/>
        <v>0</v>
      </c>
      <c r="T31" s="103">
        <f t="shared" si="9"/>
        <v>0</v>
      </c>
      <c r="U31" s="103">
        <f t="shared" si="9"/>
        <v>0</v>
      </c>
      <c r="V31" s="103">
        <f t="shared" si="9"/>
        <v>0</v>
      </c>
      <c r="W31" s="14"/>
    </row>
    <row r="32" spans="1:23" x14ac:dyDescent="0.3">
      <c r="A32" s="104" t="s">
        <v>128</v>
      </c>
      <c r="B32" s="103"/>
      <c r="C32" s="103">
        <f>IF(AND(C5+C35+C11+C12+C27+C31&lt;0,B46&gt;=0,C5+C35+C11+C12+C27+C31&gt;(-B46)),-(C5+C35+C11+C12+C27+C31),IF(AND(C5+C35+C11+C12+C27+C31&lt;0,B46&gt;=0,C5+C35+C11+C12+C27+C31&lt;(-B46)),B46,0))</f>
        <v>0</v>
      </c>
      <c r="D32" s="103">
        <f>IF(AND(D5+D35+D11+D12+D27+D31&lt;0,C46&gt;=0,D5+D35+D11+D12+D27+D31&gt;(-C46)),-(D5+D35+D11+D12+D27+D31),IF(AND(D5+D35+D11+D12+D27+D31&lt;0,C46&gt;=0,D5+D35+D11+D12+D27+D31&lt;(-C46)),C46,0))</f>
        <v>0</v>
      </c>
      <c r="E32" s="103">
        <f>IF(AND(E5+E35+E11+E12+E27+E31&lt;0,D46&gt;=0,E5+E35+E11+E12+E27+E31&gt;(-D46)),-(E5+E35+E11+E12+E27+E31),IF(AND(E5+E35+E11+E12+E27+E31&lt;0,D46&gt;=0,E5+E35+E11+E12+E27+E31&lt;(-D46)),D46,0))</f>
        <v>0</v>
      </c>
      <c r="F32" s="103">
        <f>IF(AND(F5+F35+F11+F12+F27+F31&lt;0,E46&gt;=0,F5+F35+F11+F12+F27+F31&gt;(-E46)),-(F5+F35+F11+F12+F27+F31),IF(AND(F5+F35+F11+F12+F27+F31&lt;0,E46&gt;=0,F5+F35+F11+F12+F27+F31&lt;(-E46)),E46,0))</f>
        <v>0</v>
      </c>
      <c r="G32" s="103">
        <f>IF(AND(G5+G35+G11+G12+G27+G31&lt;0,F46&gt;=0,G5+G35+G11+G12+G27+G31&gt;(-F46)),-(G5+G35+G11+G12+G27+G31),IF(AND(G5+G35+G11+G12+G27+G31&lt;0,F46&gt;=0,G5+G35+G11+G12+G27+G31&lt;(-F46)),F46,0))</f>
        <v>0</v>
      </c>
      <c r="H32" s="103">
        <f>IF(AND(H5+H35+H11+H12+H27+H31&lt;0,G46&gt;=0,H5+H35+H11+H12+H27+H31&gt;(-G46)),-(H5+H35+H11+H12+H27+H31),IF(AND(H5+H35+H11+H12+H27+H31&lt;0,G46&gt;=0,H5+H35+H11+H12+H27+H31&lt;(-G46)),G46,0))</f>
        <v>0</v>
      </c>
      <c r="I32" s="103">
        <f>IF(AND(I5+I35+I11+I12+I27+I31&lt;0,H46&gt;=0,I5+I35+I11+I12+I27+I31&gt;(-H46)),-(I5+I35+I11+I12+I27+I31),IF(AND(I5+I35+I11+I12+I27+I31&lt;0,H46&gt;=0,I5+I35+I11+I12+I27+I31&lt;(-H46)),H46,0))</f>
        <v>0</v>
      </c>
      <c r="J32" s="103">
        <f>IF(AND(J5+J35+J11+J12+J27+J31&lt;0,I46&gt;=0,J5+J35+J11+J12+J27+J31&gt;(-I46)),-(J5+J35+J11+J12+J27+J31),IF(AND(J5+J35+J11+J12+J27+J31&lt;0,I46&gt;=0,J5+J35+J11+J12+J27+J31&lt;(-I46)),I46,0))</f>
        <v>0</v>
      </c>
      <c r="K32" s="103">
        <f>IF(AND(K5+K35+K11+K12+K27+K31&lt;0,J46&gt;=0,K5+K35+K11+K12+K27+K31&gt;(-J46)),-(K5+K35+K11+K12+K27+K31),IF(AND(K5+K35+K11+K12+K27+K31&lt;0,J46&gt;=0,K5+K35+K11+K12+K27+K31&lt;(-J46)),J46,0))</f>
        <v>0</v>
      </c>
      <c r="L32" s="103">
        <f>IF(AND(L5+L35+L11+L12+L27+L31&lt;0,K46&gt;=0,L5+L35+L11+L12+L27+L31&gt;(-K46)),-(L5+L35+L11+L12+L27+L31),IF(AND(L5+L35+L11+L12+L27+L31&lt;0,K46&gt;=0,L5+L35+L11+L12+L27+L31&lt;(-K46)),K46,0))</f>
        <v>0</v>
      </c>
      <c r="M32" s="103">
        <f>IF(AND(M5+M35+M11+M12+M27+M31&lt;0,L46&gt;=0,M5+M35+M11+M12+M27+M31&gt;(-L46)),-(M5+M35+M11+M12+M27+M31),IF(AND(M5+M35+M11+M12+M27+M31&lt;0,L46&gt;=0,M5+M35+M11+M12+M27+M31&lt;(-L46)),L46,0))</f>
        <v>0</v>
      </c>
      <c r="N32" s="103">
        <f>IF(AND(N5+N35+N11+N12+N27+N31&lt;0,M46&gt;=0,N5+N35+N11+N12+N27+N31&gt;(-M46)),-(N5+N35+N11+N12+N27+N31),IF(AND(N5+N35+N11+N12+N27+N31&lt;0,M46&gt;=0,N5+N35+N11+N12+N27+N31&lt;(-M46)),M46,0))</f>
        <v>0</v>
      </c>
      <c r="O32" s="103">
        <f>IF(AND(O5+O35+O11+O12+O27+O31&lt;0,N46&gt;=0,O5+O35+O11+O12+O27+O31&gt;(-N46)),-(O5+O35+O11+O12+O27+O31),IF(AND(O5+O35+O11+O12+O27+O31&lt;0,N46&gt;=0,O5+O35+O11+O12+O27+O31&lt;(-N46)),N46,0))</f>
        <v>0</v>
      </c>
      <c r="P32" s="103">
        <f>IF(AND(P5+P35+P11+P12+P27+P31&lt;0,O46&gt;=0,P5+P35+P11+P12+P27+P31&gt;(-O46)),-(P5+P35+P11+P12+P27+P31),IF(AND(P5+P35+P11+P12+P27+P31&lt;0,O46&gt;=0,P5+P35+P11+P12+P27+P31&lt;(-O46)),O46,0))</f>
        <v>0</v>
      </c>
      <c r="Q32" s="103">
        <f>IF(AND(Q5+Q35+Q11+Q12+Q27+Q31&lt;0,P46&gt;=0,Q5+Q35+Q11+Q12+Q27+Q31&gt;(-P46)),-(Q5+Q35+Q11+Q12+Q27+Q31),IF(AND(Q5+Q35+Q11+Q12+Q27+Q31&lt;0,P46&gt;=0,Q5+Q35+Q11+Q12+Q27+Q31&lt;(-P46)),P46,0))</f>
        <v>0</v>
      </c>
      <c r="R32" s="103">
        <f>IF(AND(R5+R35+R11+R12+R27+R31&lt;0,Q46&gt;=0,R5+R35+R11+R12+R27+R31&gt;(-Q46)),-(R5+R35+R11+R12+R27+R31),IF(AND(R5+R35+R11+R12+R27+R31&lt;0,Q46&gt;=0,R5+R35+R11+R12+R27+R31&lt;(-Q46)),Q46,0))</f>
        <v>0</v>
      </c>
      <c r="S32" s="103">
        <f>IF(AND(S5+S35+S11+S12+S27+S31&lt;0,R46&gt;=0,S5+S35+S11+S12+S27+S31&gt;(-R46)),-(S5+S35+S11+S12+S27+S31),IF(AND(S5+S35+S11+S12+S27+S31&lt;0,R46&gt;=0,S5+S35+S11+S12+S27+S31&lt;(-R46)),R46,0))</f>
        <v>0</v>
      </c>
      <c r="T32" s="103">
        <f>IF(AND(T5+T35+T11+T12+T27+T31&lt;0,S46&gt;=0,T5+T35+T11+T12+T27+T31&gt;(-S46)),-(T5+T35+T11+T12+T27+T31),IF(AND(T5+T35+T11+T12+T27+T31&lt;0,S46&gt;=0,T5+T35+T11+T12+T27+T31&lt;(-S46)),S46,0))</f>
        <v>0</v>
      </c>
      <c r="U32" s="103">
        <f>IF(AND(U5+U35+U11+U12+U27+U31&lt;0,T46&gt;=0,U5+U35+U11+U12+U27+U31&gt;(-T46)),-(U5+U35+U11+U12+U27+U31),IF(AND(U5+U35+U11+U12+U27+U31&lt;0,T46&gt;=0,U5+U35+U11+U12+U27+U31&lt;(-T46)),T46,0))</f>
        <v>0</v>
      </c>
      <c r="V32" s="103">
        <f>IF(AND(V5+V35+V11+V12+V27+V31&lt;0,U46&gt;=0,V5+V35+V11+V12+V27+V31&gt;(-U46)),-(V5+V35+V11+V12+V27+V31),IF(AND(V5+V35+V11+V12+V27+V31&lt;0,U46&gt;=0,V5+V35+V11+V12+V27+V31&lt;(-U46)),U46,0))</f>
        <v>0</v>
      </c>
    </row>
    <row r="33" spans="1:22" x14ac:dyDescent="0.3">
      <c r="A33" s="104"/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103"/>
      <c r="V33" s="103"/>
    </row>
    <row r="34" spans="1:22" x14ac:dyDescent="0.3">
      <c r="A34" s="99" t="s">
        <v>131</v>
      </c>
      <c r="B34" s="94"/>
      <c r="C34" s="94">
        <f>B113</f>
        <v>-4.1442026103167301E-2</v>
      </c>
      <c r="D34" s="94">
        <f t="shared" ref="D34:V34" si="10">C113</f>
        <v>-4.0414243134795698E-2</v>
      </c>
      <c r="E34" s="94">
        <f t="shared" si="10"/>
        <v>-3.9411949697931201E-2</v>
      </c>
      <c r="F34" s="94">
        <f t="shared" si="10"/>
        <v>-3.8434513639447658E-2</v>
      </c>
      <c r="G34" s="94">
        <f t="shared" si="10"/>
        <v>-3.7481318483932539E-2</v>
      </c>
      <c r="H34" s="94">
        <f t="shared" si="10"/>
        <v>-3.9373417519517222E-2</v>
      </c>
      <c r="I34" s="94">
        <f t="shared" si="10"/>
        <v>-3.9030339281472794E-2</v>
      </c>
      <c r="J34" s="94">
        <f t="shared" si="10"/>
        <v>-3.8704833382447477E-2</v>
      </c>
      <c r="K34" s="94">
        <f t="shared" si="10"/>
        <v>-3.8396593720748391E-2</v>
      </c>
      <c r="L34" s="94">
        <f t="shared" si="10"/>
        <v>-3.8105323642147977E-2</v>
      </c>
      <c r="M34" s="94">
        <f t="shared" si="10"/>
        <v>-3.7830735732140956E-2</v>
      </c>
      <c r="N34" s="94">
        <f t="shared" si="10"/>
        <v>-3.7572551613733379E-2</v>
      </c>
      <c r="O34" s="94">
        <f t="shared" si="10"/>
        <v>-3.7330501750632114E-2</v>
      </c>
      <c r="P34" s="94">
        <f t="shared" si="10"/>
        <v>-3.7104325255706359E-2</v>
      </c>
      <c r="Q34" s="94">
        <f t="shared" si="10"/>
        <v>-3.6893769704595999E-2</v>
      </c>
      <c r="R34" s="94">
        <f t="shared" si="10"/>
        <v>-3.6698590954344787E-2</v>
      </c>
      <c r="S34" s="94">
        <f t="shared" si="10"/>
        <v>-3.6518552966939635E-2</v>
      </c>
      <c r="T34" s="94">
        <f t="shared" si="10"/>
        <v>-3.6353427637640032E-2</v>
      </c>
      <c r="U34" s="94">
        <f t="shared" si="10"/>
        <v>-3.6202994627984757E-2</v>
      </c>
      <c r="V34" s="94">
        <f t="shared" si="10"/>
        <v>-3.6067041203365971E-2</v>
      </c>
    </row>
    <row r="35" spans="1:22" x14ac:dyDescent="0.3">
      <c r="A35" s="102" t="s">
        <v>121</v>
      </c>
      <c r="B35" s="103"/>
      <c r="C35" s="103">
        <f>B112</f>
        <v>-728.9904521205201</v>
      </c>
      <c r="D35" s="103">
        <f t="shared" ref="D35:U35" si="11">C112</f>
        <v>-677.58604500398258</v>
      </c>
      <c r="E35" s="103">
        <f>D112</f>
        <v>-626.61863224596323</v>
      </c>
      <c r="F35" s="103">
        <f t="shared" si="11"/>
        <v>-564.67543781487598</v>
      </c>
      <c r="G35" s="103">
        <f t="shared" si="11"/>
        <v>-514.72494325978175</v>
      </c>
      <c r="H35" s="103">
        <f t="shared" si="11"/>
        <v>-465.34603414215843</v>
      </c>
      <c r="I35" s="103">
        <f t="shared" si="11"/>
        <v>-404.10812127479079</v>
      </c>
      <c r="J35" s="103">
        <f t="shared" si="11"/>
        <v>-355.96233919328199</v>
      </c>
      <c r="K35" s="103">
        <f t="shared" si="11"/>
        <v>-308.3726700204254</v>
      </c>
      <c r="L35" s="103">
        <f t="shared" si="11"/>
        <v>371.82113384491123</v>
      </c>
      <c r="M35" s="103">
        <f t="shared" si="11"/>
        <v>-187.11282666374723</v>
      </c>
      <c r="N35" s="103">
        <f t="shared" si="11"/>
        <v>-141.3984769857737</v>
      </c>
      <c r="O35" s="103">
        <f t="shared" si="11"/>
        <v>-83.793945096095285</v>
      </c>
      <c r="P35" s="103">
        <f>O112</f>
        <v>-39.251329142525506</v>
      </c>
      <c r="Q35" s="103">
        <f>P112</f>
        <v>4.7656493752044042</v>
      </c>
      <c r="R35" s="103">
        <f t="shared" si="11"/>
        <v>48.262938799101057</v>
      </c>
      <c r="S35" s="103">
        <f t="shared" si="11"/>
        <v>91.243892259537205</v>
      </c>
      <c r="T35" s="103">
        <f t="shared" si="11"/>
        <v>133.7126027850934</v>
      </c>
      <c r="U35" s="103">
        <f t="shared" si="11"/>
        <v>175.67261631744037</v>
      </c>
      <c r="V35" s="103">
        <f>U112</f>
        <v>217.13023477902766</v>
      </c>
    </row>
    <row r="36" spans="1:22" x14ac:dyDescent="0.3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22" x14ac:dyDescent="0.3">
      <c r="A37" s="99" t="s">
        <v>130</v>
      </c>
      <c r="B37" s="94">
        <f>SUM(B6,B15:B22,B34)</f>
        <v>0</v>
      </c>
      <c r="C37" s="94">
        <f>SUM(C6,C15:C22,C34)</f>
        <v>0</v>
      </c>
      <c r="D37" s="94">
        <f>SUM(D6,D15:D22,D34)</f>
        <v>0</v>
      </c>
      <c r="E37" s="94">
        <f>SUM(E6,E15:E22,E34)</f>
        <v>0</v>
      </c>
      <c r="F37" s="94">
        <f>SUM(F6,F15:F22,F34)</f>
        <v>0</v>
      </c>
      <c r="G37" s="94">
        <f>SUM(G6,G15:G22,G34)</f>
        <v>0</v>
      </c>
      <c r="H37" s="94">
        <f>SUM(H6,H15:H22,H34)</f>
        <v>0</v>
      </c>
      <c r="I37" s="94">
        <f>SUM(I6,I15:I22,I34)</f>
        <v>0</v>
      </c>
      <c r="J37" s="94">
        <f>SUM(J6,J15:J22,J34)</f>
        <v>0</v>
      </c>
      <c r="K37" s="94">
        <f>SUM(K6,K15:K22,K34)</f>
        <v>0</v>
      </c>
      <c r="L37" s="94">
        <f>SUM(L6,L15:L22,L34)</f>
        <v>0</v>
      </c>
      <c r="M37" s="94">
        <f>SUM(M6,M15:M22,M34)</f>
        <v>0</v>
      </c>
      <c r="N37" s="94">
        <f>SUM(N6,N15:N22,N34)</f>
        <v>0</v>
      </c>
      <c r="O37" s="94">
        <f>SUM(O6,O15:O22,O34)</f>
        <v>0</v>
      </c>
      <c r="P37" s="94">
        <f>SUM(P6,P15:P22,P34)</f>
        <v>0</v>
      </c>
      <c r="Q37" s="94">
        <f>SUM(Q6,Q15:Q22,Q34)</f>
        <v>0</v>
      </c>
      <c r="R37" s="94">
        <f>SUM(R6,R15:R22,R34)</f>
        <v>0</v>
      </c>
      <c r="S37" s="94">
        <f>SUM(S6,S15:S22,S34)</f>
        <v>0</v>
      </c>
      <c r="T37" s="94">
        <f>SUM(T6,T15:T22,T34)</f>
        <v>0</v>
      </c>
      <c r="U37" s="94">
        <f>SUM(U6,U15:U22,U34)</f>
        <v>0</v>
      </c>
      <c r="V37" s="94">
        <f>SUM(V6,V15:V22,V34)</f>
        <v>0</v>
      </c>
    </row>
    <row r="38" spans="1:22" x14ac:dyDescent="0.3">
      <c r="A38" s="84" t="s">
        <v>129</v>
      </c>
      <c r="B38" s="17">
        <f>SUM(B5,B10:B12,B25:B32,B35)</f>
        <v>0</v>
      </c>
      <c r="C38" s="17">
        <f>SUM(C5,C10:C12,C25:C32,C35)</f>
        <v>0</v>
      </c>
      <c r="D38" s="17">
        <f>SUM(D5,D10:D12,D25:D32,D35)</f>
        <v>0</v>
      </c>
      <c r="E38" s="17">
        <f>SUM(E5,E10:E12,E25:E32,E35)</f>
        <v>0</v>
      </c>
      <c r="F38" s="17">
        <f>SUM(F5,F10:F12,F25:F32,F35)</f>
        <v>0</v>
      </c>
      <c r="G38" s="17">
        <f>SUM(G5,G10:G12,G25:G32,G35)</f>
        <v>0</v>
      </c>
      <c r="H38" s="17">
        <f>SUM(H5,H10:H12,H25:H32,H35)</f>
        <v>0</v>
      </c>
      <c r="I38" s="17">
        <f>SUM(I5,I10:I12,I25:I32,I35)</f>
        <v>0</v>
      </c>
      <c r="J38" s="17">
        <f>SUM(J5,J10:J12,J25:J32,J35)</f>
        <v>0</v>
      </c>
      <c r="K38" s="17">
        <f>SUM(K5,K10:K12,K25:K32,K35)</f>
        <v>0</v>
      </c>
      <c r="L38" s="17">
        <f>SUM(L5,L10:L12,L25:L32,L35)</f>
        <v>0</v>
      </c>
      <c r="M38" s="17">
        <f>SUM(M5,M10:M12,M25:M32,M35)</f>
        <v>0</v>
      </c>
      <c r="N38" s="17">
        <f>SUM(N5,N10:N12,N25:N32,N35)</f>
        <v>0</v>
      </c>
      <c r="O38" s="17">
        <f>SUM(O5,O10:O12,O25:O32,O35)</f>
        <v>1.1368683772161603E-13</v>
      </c>
      <c r="P38" s="17">
        <f>SUM(P5,P10:P12,P25:P32,P35)</f>
        <v>9.9475983006414026E-14</v>
      </c>
      <c r="Q38" s="17">
        <f>SUM(Q5,Q10:Q12,Q25:Q32,Q35)</f>
        <v>4.2632564145606011E-14</v>
      </c>
      <c r="R38" s="17">
        <f>SUM(R5,R10:R12,R25:R32,R35)</f>
        <v>6.3948846218409017E-14</v>
      </c>
      <c r="S38" s="17">
        <f>SUM(S5,S10:S12,S25:S32,S35)</f>
        <v>0</v>
      </c>
      <c r="T38" s="17">
        <f>SUM(T5,T10:T12,T25:T32,T35)</f>
        <v>0</v>
      </c>
      <c r="U38" s="17">
        <f>SUM(U5,U10:U12,U25:U32,U35)</f>
        <v>0</v>
      </c>
      <c r="V38" s="17">
        <f>SUM(V5,V10:V12,V25:V32,V35)</f>
        <v>0</v>
      </c>
    </row>
    <row r="39" spans="1:22" x14ac:dyDescent="0.3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</row>
    <row r="40" spans="1:22" x14ac:dyDescent="0.3">
      <c r="A40" s="99" t="s">
        <v>132</v>
      </c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85"/>
    </row>
    <row r="41" spans="1:22" x14ac:dyDescent="0.3">
      <c r="A41" s="100" t="s">
        <v>125</v>
      </c>
      <c r="B41" s="24"/>
      <c r="C41" s="24">
        <f>Tabelle212[[#This Row],[0]]-C20-C22</f>
        <v>0.22043491609694207</v>
      </c>
      <c r="D41" s="24">
        <f>Tabelle212[[#This Row],[1]]-D20-D22</f>
        <v>0.43540293605722191</v>
      </c>
      <c r="E41" s="24">
        <f>Tabelle212[[#This Row],[2]]-E20-E22</f>
        <v>0.64503964163847693</v>
      </c>
      <c r="F41" s="24">
        <f>Tabelle212[[#This Row],[3]]-F20-F22</f>
        <v>0.84947725210296399</v>
      </c>
      <c r="G41" s="24">
        <f>Tabelle212[[#This Row],[4]]-G20-G22</f>
        <v>1.0488447076091265</v>
      </c>
      <c r="H41" s="24">
        <f>Tabelle212[[#This Row],[5]]-H20-H22</f>
        <v>1.2582764560897182</v>
      </c>
      <c r="I41" s="24">
        <f>Tabelle212[[#This Row],[6]]-I20-I22</f>
        <v>1.4658833318570466</v>
      </c>
      <c r="J41" s="24">
        <f>Tabelle212[[#This Row],[7]]-J20-J22</f>
        <v>1.6717588042088645</v>
      </c>
      <c r="K41" s="24">
        <f>Tabelle212[[#This Row],[8]]-K20-K22</f>
        <v>1.8759947142527189</v>
      </c>
      <c r="L41" s="24">
        <f>Tabelle212[[#This Row],[9]]-L20-L22</f>
        <v>2.0786813251581098</v>
      </c>
      <c r="M41" s="24">
        <f>Tabelle212[[#This Row],[10]]-M20-M22</f>
        <v>2.2799073713036369</v>
      </c>
      <c r="N41" s="24">
        <f>Tabelle212[[#This Row],[11]]-N20-N22</f>
        <v>2.4797601063485661</v>
      </c>
      <c r="O41" s="24">
        <f>Tabelle212[[#This Row],[12]]-O20-O22</f>
        <v>2.6783253502575368</v>
      </c>
      <c r="P41" s="24">
        <f>Tabelle212[[#This Row],[13]]-P20-P22</f>
        <v>2.8756875353064522</v>
      </c>
      <c r="Q41" s="24">
        <f>Tabelle212[[#This Row],[14]]-Q20-Q22</f>
        <v>3.0719297510969334</v>
      </c>
      <c r="R41" s="24">
        <f>Tabelle212[[#This Row],[15]]-R20-R22</f>
        <v>3.267133788606063</v>
      </c>
      <c r="S41" s="24">
        <f>Tabelle212[[#This Row],[16]]-S20-S22</f>
        <v>3.4613801832975097</v>
      </c>
      <c r="T41" s="24">
        <f>Tabelle212[[#This Row],[17]]-T20-T22</f>
        <v>3.6547482573195222</v>
      </c>
      <c r="U41" s="24">
        <f>Tabelle212[[#This Row],[18]]-U20-U22</f>
        <v>3.847316160814664</v>
      </c>
      <c r="V41" s="24">
        <f>Tabelle212[[#This Row],[19]]-V20-V22</f>
        <v>4.0391609123655856</v>
      </c>
    </row>
    <row r="42" spans="1:22" x14ac:dyDescent="0.3">
      <c r="A42" s="94" t="s">
        <v>124</v>
      </c>
      <c r="B42" s="24">
        <v>0</v>
      </c>
      <c r="C42" s="24">
        <f>IF(B42-C15-C17&gt;0,0,B42-C15-C17)</f>
        <v>0</v>
      </c>
      <c r="D42" s="24">
        <f>IF(C42-D15-D17&gt;0,0,C42-D15-D17)</f>
        <v>0</v>
      </c>
      <c r="E42" s="24">
        <f>IF(D42-E15-E17&gt;0,0,D42-E15-E17)</f>
        <v>0</v>
      </c>
      <c r="F42" s="24">
        <f>IF(E42-F15-F17&gt;0,0,E42-F15-F17)</f>
        <v>0</v>
      </c>
      <c r="G42" s="24">
        <f>IF(F42-G15-G17&gt;0,0,F42-G15-G17)</f>
        <v>0</v>
      </c>
      <c r="H42" s="24">
        <f>IF(G42-H15-H17&gt;0,0,G42-H15-H17)</f>
        <v>0</v>
      </c>
      <c r="I42" s="24">
        <f>IF(H42-I15-I17&gt;0,0,H42-I15-I17)</f>
        <v>0</v>
      </c>
      <c r="J42" s="24">
        <f>IF(I42-J15-J17&gt;0,0,I42-J15-J17)</f>
        <v>0</v>
      </c>
      <c r="K42" s="24">
        <f>IF(J42-K15-K17&gt;0,0,J42-K15-K17)</f>
        <v>0</v>
      </c>
      <c r="L42" s="24">
        <f>IF(K42-L15-L17&gt;0,0,K42-L15-L17)</f>
        <v>0</v>
      </c>
      <c r="M42" s="24">
        <f>IF(L42-M15-M17&gt;0,0,L42-M15-M17)</f>
        <v>0</v>
      </c>
      <c r="N42" s="24">
        <f>IF(M42-N15-N17&gt;0,0,M42-N15-N17)</f>
        <v>0</v>
      </c>
      <c r="O42" s="24">
        <f>IF(N42-O15-O17&gt;0,0,N42-O15-O17)</f>
        <v>0</v>
      </c>
      <c r="P42" s="24">
        <f>IF(O42-P15-P17&gt;0,0,O42-P15-P17)</f>
        <v>0</v>
      </c>
      <c r="Q42" s="24">
        <f>IF(P42-Q15-Q17&gt;0,0,P42-Q15-Q17)</f>
        <v>0</v>
      </c>
      <c r="R42" s="24">
        <f>IF(Q42-R15-R17&gt;0,0,Q42-R15-R17)</f>
        <v>0</v>
      </c>
      <c r="S42" s="24">
        <f>IF(R42-S15-S17&gt;0,0,R42-S15-S17)</f>
        <v>0</v>
      </c>
      <c r="T42" s="24">
        <f>IF(S42-T15-T17&gt;0,0,S42-T15-T17)</f>
        <v>0</v>
      </c>
      <c r="U42" s="24">
        <f>IF(T42-U15-U17&gt;0,0,T42-U15-U17)</f>
        <v>0</v>
      </c>
      <c r="V42" s="24">
        <f>IF(U42-V15-V17&gt;0,0,U42-V15-V17)</f>
        <v>0</v>
      </c>
    </row>
    <row r="43" spans="1:22" x14ac:dyDescent="0.3">
      <c r="A43" s="118" t="s">
        <v>134</v>
      </c>
      <c r="B43" s="119"/>
      <c r="C43" s="119">
        <f t="shared" ref="C43:V43" si="12">SUM(C41:C42)</f>
        <v>0.22043491609694207</v>
      </c>
      <c r="D43" s="119">
        <f t="shared" si="12"/>
        <v>0.43540293605722191</v>
      </c>
      <c r="E43" s="119">
        <f t="shared" si="12"/>
        <v>0.64503964163847693</v>
      </c>
      <c r="F43" s="119">
        <f t="shared" si="12"/>
        <v>0.84947725210296399</v>
      </c>
      <c r="G43" s="119">
        <f t="shared" si="12"/>
        <v>1.0488447076091265</v>
      </c>
      <c r="H43" s="119">
        <f t="shared" si="12"/>
        <v>1.2582764560897182</v>
      </c>
      <c r="I43" s="119">
        <f t="shared" si="12"/>
        <v>1.4658833318570466</v>
      </c>
      <c r="J43" s="119">
        <f t="shared" si="12"/>
        <v>1.6717588042088645</v>
      </c>
      <c r="K43" s="119">
        <f t="shared" si="12"/>
        <v>1.8759947142527189</v>
      </c>
      <c r="L43" s="119">
        <f t="shared" si="12"/>
        <v>2.0786813251581098</v>
      </c>
      <c r="M43" s="119">
        <f t="shared" si="12"/>
        <v>2.2799073713036369</v>
      </c>
      <c r="N43" s="119">
        <f t="shared" si="12"/>
        <v>2.4797601063485661</v>
      </c>
      <c r="O43" s="119">
        <f t="shared" si="12"/>
        <v>2.6783253502575368</v>
      </c>
      <c r="P43" s="119">
        <f t="shared" si="12"/>
        <v>2.8756875353064522</v>
      </c>
      <c r="Q43" s="119">
        <f t="shared" si="12"/>
        <v>3.0719297510969334</v>
      </c>
      <c r="R43" s="119">
        <f t="shared" si="12"/>
        <v>3.267133788606063</v>
      </c>
      <c r="S43" s="119">
        <f t="shared" si="12"/>
        <v>3.4613801832975097</v>
      </c>
      <c r="T43" s="119">
        <f t="shared" si="12"/>
        <v>3.6547482573195222</v>
      </c>
      <c r="U43" s="119">
        <f t="shared" si="12"/>
        <v>3.847316160814664</v>
      </c>
      <c r="V43" s="119">
        <f t="shared" si="12"/>
        <v>4.0391609123655856</v>
      </c>
    </row>
    <row r="44" spans="1:22" x14ac:dyDescent="0.3">
      <c r="A44" s="107" t="s">
        <v>132</v>
      </c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</row>
    <row r="45" spans="1:22" x14ac:dyDescent="0.3">
      <c r="A45" s="109" t="s">
        <v>133</v>
      </c>
      <c r="B45" s="108">
        <f>-B10</f>
        <v>-5401.5068493150684</v>
      </c>
      <c r="C45" s="108">
        <f>B45-SUM(C11)</f>
        <v>-5401.5068493150684</v>
      </c>
      <c r="D45" s="108">
        <f>C45-SUM(D11)</f>
        <v>-5401.5068493150684</v>
      </c>
      <c r="E45" s="108">
        <f>D45-SUM(E11)</f>
        <v>-5401.5068493150684</v>
      </c>
      <c r="F45" s="108">
        <f>E45-SUM(F11)</f>
        <v>-5083.7711522965346</v>
      </c>
      <c r="G45" s="108">
        <f>F45-SUM(G11)</f>
        <v>-4766.0354552780009</v>
      </c>
      <c r="H45" s="108">
        <f>G45-SUM(H11)</f>
        <v>-4448.2997582594671</v>
      </c>
      <c r="I45" s="108">
        <f>H45-SUM(I11)</f>
        <v>-4130.5640612409334</v>
      </c>
      <c r="J45" s="108">
        <f>I45-SUM(J11)</f>
        <v>-3812.8283642224001</v>
      </c>
      <c r="K45" s="108">
        <f>J45-SUM(K11)</f>
        <v>-3495.0926672038668</v>
      </c>
      <c r="L45" s="108">
        <f>K45-SUM(L11)</f>
        <v>-3177.3569701853335</v>
      </c>
      <c r="M45" s="108">
        <f>L45-SUM(M11)</f>
        <v>-2859.6212731668002</v>
      </c>
      <c r="N45" s="108">
        <f>M45-SUM(N11)</f>
        <v>-2541.8855761482669</v>
      </c>
      <c r="O45" s="108">
        <f>N45-SUM(O11)</f>
        <v>-2224.1498791297336</v>
      </c>
      <c r="P45" s="108">
        <f>O45-SUM(P11)</f>
        <v>-1906.4141821112003</v>
      </c>
      <c r="Q45" s="108">
        <f>P45-SUM(Q11)</f>
        <v>-1588.678485092667</v>
      </c>
      <c r="R45" s="108">
        <f>Q45-SUM(R11)</f>
        <v>-1270.9427880741337</v>
      </c>
      <c r="S45" s="108">
        <f>R45-SUM(S11)</f>
        <v>-953.20709105560024</v>
      </c>
      <c r="T45" s="108">
        <f>S45-SUM(T11)</f>
        <v>-635.47139403706683</v>
      </c>
      <c r="U45" s="108">
        <f>T45-SUM(U11)</f>
        <v>-317.73569701853341</v>
      </c>
      <c r="V45" s="108">
        <f>U45-SUM(V11)</f>
        <v>0</v>
      </c>
    </row>
    <row r="46" spans="1:22" x14ac:dyDescent="0.3">
      <c r="A46" s="109" t="s">
        <v>125</v>
      </c>
      <c r="B46" s="108"/>
      <c r="C46" s="108">
        <f>Tabelle212[[#This Row],[0]]-C30-C32</f>
        <v>0</v>
      </c>
      <c r="D46" s="108">
        <f>Tabelle212[[#This Row],[1]]-D30-D32</f>
        <v>0</v>
      </c>
      <c r="E46" s="108">
        <f>Tabelle212[[#This Row],[2]]-E30-E32</f>
        <v>0</v>
      </c>
      <c r="F46" s="108">
        <f>Tabelle212[[#This Row],[3]]-F30-F32</f>
        <v>0</v>
      </c>
      <c r="G46" s="108">
        <f>Tabelle212[[#This Row],[4]]-G30-G32</f>
        <v>0</v>
      </c>
      <c r="H46" s="108">
        <f>Tabelle212[[#This Row],[5]]-H30-H32</f>
        <v>0</v>
      </c>
      <c r="I46" s="108">
        <f>Tabelle212[[#This Row],[6]]-I30-I32</f>
        <v>0</v>
      </c>
      <c r="J46" s="108">
        <f>Tabelle212[[#This Row],[7]]-J30-J32</f>
        <v>0</v>
      </c>
      <c r="K46" s="108">
        <f>Tabelle212[[#This Row],[8]]-K30-K32</f>
        <v>0</v>
      </c>
      <c r="L46" s="108">
        <f>Tabelle212[[#This Row],[9]]-L30-L32</f>
        <v>0</v>
      </c>
      <c r="M46" s="108">
        <f>Tabelle212[[#This Row],[10]]-M30-M32</f>
        <v>0</v>
      </c>
      <c r="N46" s="108">
        <f>Tabelle212[[#This Row],[11]]-N30-N32</f>
        <v>0</v>
      </c>
      <c r="O46" s="108">
        <f>Tabelle212[[#This Row],[12]]-O30-O32</f>
        <v>0</v>
      </c>
      <c r="P46" s="108">
        <f>Tabelle212[[#This Row],[13]]-P30-P32</f>
        <v>0</v>
      </c>
      <c r="Q46" s="108">
        <f>Tabelle212[[#This Row],[14]]-Q30-Q32</f>
        <v>0</v>
      </c>
      <c r="R46" s="108">
        <f>Tabelle212[[#This Row],[15]]-R30-R32</f>
        <v>0</v>
      </c>
      <c r="S46" s="108">
        <f>Tabelle212[[#This Row],[16]]-S30-S32</f>
        <v>0</v>
      </c>
      <c r="T46" s="108">
        <f>Tabelle212[[#This Row],[17]]-T30-T32</f>
        <v>0</v>
      </c>
      <c r="U46" s="108">
        <f>Tabelle212[[#This Row],[18]]-U30-U32</f>
        <v>0</v>
      </c>
      <c r="V46" s="108">
        <f>Tabelle212[[#This Row],[19]]-V30-V32</f>
        <v>0</v>
      </c>
    </row>
    <row r="47" spans="1:22" x14ac:dyDescent="0.3">
      <c r="A47" s="110" t="s">
        <v>124</v>
      </c>
      <c r="B47" s="108">
        <v>0</v>
      </c>
      <c r="C47" s="108">
        <f>IF(B47-C25-C27&gt;0,0,B47-C25-C27)</f>
        <v>-1018.3021983346368</v>
      </c>
      <c r="D47" s="108">
        <f t="shared" ref="D47:V47" si="13">IF(C47-D25-D27&gt;0,0,C47-D25-D27)</f>
        <v>-1985.1703655403551</v>
      </c>
      <c r="E47" s="108">
        <f t="shared" si="13"/>
        <v>-2901.0472291030583</v>
      </c>
      <c r="F47" s="108">
        <f t="shared" si="13"/>
        <v>-4066.2782587668794</v>
      </c>
      <c r="G47" s="108">
        <f t="shared" si="13"/>
        <v>-5164.4369575911533</v>
      </c>
      <c r="H47" s="108">
        <f t="shared" si="13"/>
        <v>-6196.0914881157059</v>
      </c>
      <c r="I47" s="108">
        <f t="shared" si="13"/>
        <v>-7149.3841752670814</v>
      </c>
      <c r="J47" s="108">
        <f t="shared" si="13"/>
        <v>-8037.4073406326816</v>
      </c>
      <c r="K47" s="108">
        <f t="shared" si="13"/>
        <v>-8860.7144557903739</v>
      </c>
      <c r="L47" s="108">
        <f t="shared" si="13"/>
        <v>-11417.381433040047</v>
      </c>
      <c r="M47" s="108">
        <f t="shared" si="13"/>
        <v>-12085.175340162545</v>
      </c>
      <c r="N47" s="108">
        <f t="shared" si="13"/>
        <v>-12690.126490508259</v>
      </c>
      <c r="O47" s="108">
        <f t="shared" si="13"/>
        <v>-13220.346066898588</v>
      </c>
      <c r="P47" s="108">
        <f t="shared" si="13"/>
        <v>-13688.891798696572</v>
      </c>
      <c r="Q47" s="108">
        <f t="shared" si="13"/>
        <v>-14096.285812601509</v>
      </c>
      <c r="R47" s="108">
        <f t="shared" si="13"/>
        <v>-14443.053784813395</v>
      </c>
      <c r="S47" s="108">
        <f t="shared" si="13"/>
        <v>-14729.710945839819</v>
      </c>
      <c r="T47" s="108">
        <f t="shared" si="13"/>
        <v>-14956.766578078103</v>
      </c>
      <c r="U47" s="108">
        <f t="shared" si="13"/>
        <v>-15124.721425805268</v>
      </c>
      <c r="V47" s="108">
        <f t="shared" si="13"/>
        <v>-15234.082813908508</v>
      </c>
    </row>
    <row r="48" spans="1:22" x14ac:dyDescent="0.3">
      <c r="A48" s="116" t="s">
        <v>134</v>
      </c>
      <c r="B48" s="117"/>
      <c r="C48" s="117">
        <f>SUM(C46:C47)</f>
        <v>-1018.3021983346368</v>
      </c>
      <c r="D48" s="117">
        <f t="shared" ref="D48:V48" si="14">SUM(D46:D47)</f>
        <v>-1985.1703655403551</v>
      </c>
      <c r="E48" s="117">
        <f t="shared" si="14"/>
        <v>-2901.0472291030583</v>
      </c>
      <c r="F48" s="117">
        <f t="shared" si="14"/>
        <v>-4066.2782587668794</v>
      </c>
      <c r="G48" s="117">
        <f t="shared" si="14"/>
        <v>-5164.4369575911533</v>
      </c>
      <c r="H48" s="117">
        <f t="shared" si="14"/>
        <v>-6196.0914881157059</v>
      </c>
      <c r="I48" s="117">
        <f t="shared" si="14"/>
        <v>-7149.3841752670814</v>
      </c>
      <c r="J48" s="117">
        <f t="shared" si="14"/>
        <v>-8037.4073406326816</v>
      </c>
      <c r="K48" s="117">
        <f t="shared" si="14"/>
        <v>-8860.7144557903739</v>
      </c>
      <c r="L48" s="117">
        <f t="shared" si="14"/>
        <v>-11417.381433040047</v>
      </c>
      <c r="M48" s="117">
        <f t="shared" si="14"/>
        <v>-12085.175340162545</v>
      </c>
      <c r="N48" s="117">
        <f t="shared" si="14"/>
        <v>-12690.126490508259</v>
      </c>
      <c r="O48" s="117">
        <f t="shared" si="14"/>
        <v>-13220.346066898588</v>
      </c>
      <c r="P48" s="117">
        <f t="shared" si="14"/>
        <v>-13688.891798696572</v>
      </c>
      <c r="Q48" s="117">
        <f t="shared" si="14"/>
        <v>-14096.285812601509</v>
      </c>
      <c r="R48" s="117">
        <f t="shared" si="14"/>
        <v>-14443.053784813395</v>
      </c>
      <c r="S48" s="117">
        <f t="shared" si="14"/>
        <v>-14729.710945839819</v>
      </c>
      <c r="T48" s="117">
        <f t="shared" si="14"/>
        <v>-14956.766578078103</v>
      </c>
      <c r="U48" s="117">
        <f t="shared" si="14"/>
        <v>-15124.721425805268</v>
      </c>
      <c r="V48" s="117">
        <f t="shared" si="14"/>
        <v>-15234.082813908508</v>
      </c>
    </row>
    <row r="49" spans="1:22" x14ac:dyDescent="0.3">
      <c r="B49" s="106"/>
      <c r="C49" s="106"/>
      <c r="D49" s="106"/>
    </row>
    <row r="55" spans="1:22" x14ac:dyDescent="0.3">
      <c r="A55" s="30" t="s">
        <v>58</v>
      </c>
    </row>
    <row r="56" spans="1:22" ht="16.2" thickBot="1" x14ac:dyDescent="0.35"/>
    <row r="57" spans="1:22" x14ac:dyDescent="0.3">
      <c r="A57" s="4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6"/>
    </row>
    <row r="58" spans="1:22" x14ac:dyDescent="0.3">
      <c r="A58" s="11" t="s">
        <v>9</v>
      </c>
      <c r="B58" s="12"/>
      <c r="C58" s="12">
        <v>3.1999999999998181</v>
      </c>
      <c r="D58" s="12">
        <f>C58*(1-0.005)</f>
        <v>3.183999999999819</v>
      </c>
      <c r="E58" s="12">
        <f t="shared" ref="E58:U58" si="15">D58*(1-0.005)</f>
        <v>3.1680799999998199</v>
      </c>
      <c r="F58" s="12">
        <f t="shared" si="15"/>
        <v>3.1522395999998207</v>
      </c>
      <c r="G58" s="12">
        <f t="shared" si="15"/>
        <v>3.1364784019998218</v>
      </c>
      <c r="H58" s="12">
        <f t="shared" si="15"/>
        <v>3.1207960099898227</v>
      </c>
      <c r="I58" s="12">
        <f t="shared" si="15"/>
        <v>3.1051920299398734</v>
      </c>
      <c r="J58" s="12">
        <f t="shared" si="15"/>
        <v>3.0896660697901739</v>
      </c>
      <c r="K58" s="12">
        <f t="shared" si="15"/>
        <v>3.0742177394412229</v>
      </c>
      <c r="L58" s="12">
        <f t="shared" si="15"/>
        <v>3.0588466507440168</v>
      </c>
      <c r="M58" s="12">
        <f t="shared" si="15"/>
        <v>3.0435524174902966</v>
      </c>
      <c r="N58" s="12">
        <f t="shared" si="15"/>
        <v>3.028334655402845</v>
      </c>
      <c r="O58" s="12">
        <f t="shared" si="15"/>
        <v>3.0131929821258305</v>
      </c>
      <c r="P58" s="12">
        <f t="shared" si="15"/>
        <v>2.9981270172152015</v>
      </c>
      <c r="Q58" s="12">
        <f t="shared" si="15"/>
        <v>2.9831363821291252</v>
      </c>
      <c r="R58" s="12">
        <f t="shared" si="15"/>
        <v>2.9682207002184797</v>
      </c>
      <c r="S58" s="12">
        <f t="shared" si="15"/>
        <v>2.9533795967173875</v>
      </c>
      <c r="T58" s="12">
        <f t="shared" si="15"/>
        <v>2.9386126987338006</v>
      </c>
      <c r="U58" s="12">
        <f t="shared" si="15"/>
        <v>2.9239196352401318</v>
      </c>
      <c r="V58" s="12">
        <f>U58*(1-0.005)</f>
        <v>2.909300037063931</v>
      </c>
    </row>
    <row r="59" spans="1:22" x14ac:dyDescent="0.3">
      <c r="A59" s="11" t="s">
        <v>56</v>
      </c>
      <c r="B59" s="12"/>
      <c r="C59" s="12">
        <f>C58*Wirkungsgrad</f>
        <v>3.0399999999998268</v>
      </c>
      <c r="D59" s="12">
        <f t="shared" ref="D59:V59" si="16">D58*Wirkungsgrad</f>
        <v>3.0247999999998281</v>
      </c>
      <c r="E59" s="12">
        <f t="shared" si="16"/>
        <v>3.0096759999998288</v>
      </c>
      <c r="F59" s="12">
        <f t="shared" si="16"/>
        <v>2.9946276199998296</v>
      </c>
      <c r="G59" s="12">
        <f t="shared" si="16"/>
        <v>2.9796544818998307</v>
      </c>
      <c r="H59" s="12">
        <f t="shared" si="16"/>
        <v>2.9647562094903313</v>
      </c>
      <c r="I59" s="12">
        <f t="shared" si="16"/>
        <v>2.9499324284428794</v>
      </c>
      <c r="J59" s="12">
        <f t="shared" si="16"/>
        <v>2.9351827663006649</v>
      </c>
      <c r="K59" s="12">
        <f t="shared" si="16"/>
        <v>2.9205068524691615</v>
      </c>
      <c r="L59" s="12">
        <f t="shared" si="16"/>
        <v>2.9059043182068161</v>
      </c>
      <c r="M59" s="12">
        <f t="shared" si="16"/>
        <v>2.8913747966157817</v>
      </c>
      <c r="N59" s="12">
        <f t="shared" si="16"/>
        <v>2.8769179226327024</v>
      </c>
      <c r="O59" s="12">
        <f t="shared" si="16"/>
        <v>2.8625333330195391</v>
      </c>
      <c r="P59" s="12">
        <f t="shared" si="16"/>
        <v>2.8482206663544414</v>
      </c>
      <c r="Q59" s="12">
        <f t="shared" si="16"/>
        <v>2.8339795630226687</v>
      </c>
      <c r="R59" s="12">
        <f t="shared" si="16"/>
        <v>2.8198096652075555</v>
      </c>
      <c r="S59" s="12">
        <f t="shared" si="16"/>
        <v>2.8057106168815178</v>
      </c>
      <c r="T59" s="12">
        <f t="shared" si="16"/>
        <v>2.7916820637971105</v>
      </c>
      <c r="U59" s="12">
        <f t="shared" si="16"/>
        <v>2.7777236534781249</v>
      </c>
      <c r="V59" s="12">
        <f t="shared" si="16"/>
        <v>2.7638350352107341</v>
      </c>
    </row>
    <row r="60" spans="1:22" x14ac:dyDescent="0.3">
      <c r="A60" s="11" t="s">
        <v>8</v>
      </c>
      <c r="B60" s="12"/>
      <c r="C60" s="12">
        <v>0.42411917073488226</v>
      </c>
      <c r="D60" s="12">
        <v>0.4360441323113049</v>
      </c>
      <c r="E60" s="12">
        <v>0.44617333440891183</v>
      </c>
      <c r="F60" s="12">
        <v>0.4577717664241896</v>
      </c>
      <c r="G60" s="12">
        <v>0.46935366793080274</v>
      </c>
      <c r="H60" s="12">
        <v>0.48219494006666963</v>
      </c>
      <c r="I60" s="12">
        <v>0.49470300908880804</v>
      </c>
      <c r="J60" s="12">
        <v>0.50725960601985376</v>
      </c>
      <c r="K60" s="12">
        <v>0.52083431606999631</v>
      </c>
      <c r="L60" s="12">
        <v>0.5338565052631381</v>
      </c>
      <c r="M60" s="12">
        <v>0.54856391162503637</v>
      </c>
      <c r="N60" s="12">
        <v>0.56321748176115871</v>
      </c>
      <c r="O60" s="12">
        <v>0.57752760977757078</v>
      </c>
      <c r="P60" s="12">
        <v>0.59343722657237086</v>
      </c>
      <c r="Q60" s="12">
        <v>0.61073095628853435</v>
      </c>
      <c r="R60" s="12">
        <v>0.62606027632446604</v>
      </c>
      <c r="S60" s="12">
        <v>0.64192223986873176</v>
      </c>
      <c r="T60" s="12">
        <v>0.65898829614494836</v>
      </c>
      <c r="U60" s="12">
        <v>0.67907269443859763</v>
      </c>
      <c r="V60" s="13">
        <v>0.69755861835222222</v>
      </c>
    </row>
    <row r="61" spans="1:22" x14ac:dyDescent="0.3">
      <c r="A61" s="11" t="s">
        <v>10</v>
      </c>
      <c r="B61" s="12"/>
      <c r="C61" s="12">
        <f>1-0.19</f>
        <v>0.81</v>
      </c>
      <c r="D61" s="12">
        <f t="shared" ref="D61:V61" si="17">1-0.19</f>
        <v>0.81</v>
      </c>
      <c r="E61" s="12">
        <f t="shared" si="17"/>
        <v>0.81</v>
      </c>
      <c r="F61" s="12">
        <f t="shared" si="17"/>
        <v>0.81</v>
      </c>
      <c r="G61" s="12">
        <f t="shared" si="17"/>
        <v>0.81</v>
      </c>
      <c r="H61" s="12">
        <f t="shared" si="17"/>
        <v>0.81</v>
      </c>
      <c r="I61" s="12">
        <f t="shared" si="17"/>
        <v>0.81</v>
      </c>
      <c r="J61" s="12">
        <f t="shared" si="17"/>
        <v>0.81</v>
      </c>
      <c r="K61" s="12">
        <f t="shared" si="17"/>
        <v>0.81</v>
      </c>
      <c r="L61" s="12">
        <f t="shared" si="17"/>
        <v>0.81</v>
      </c>
      <c r="M61" s="12">
        <f t="shared" si="17"/>
        <v>0.81</v>
      </c>
      <c r="N61" s="12">
        <f t="shared" si="17"/>
        <v>0.81</v>
      </c>
      <c r="O61" s="12">
        <f t="shared" si="17"/>
        <v>0.81</v>
      </c>
      <c r="P61" s="12">
        <f t="shared" si="17"/>
        <v>0.81</v>
      </c>
      <c r="Q61" s="12">
        <f t="shared" si="17"/>
        <v>0.81</v>
      </c>
      <c r="R61" s="12">
        <f t="shared" si="17"/>
        <v>0.81</v>
      </c>
      <c r="S61" s="12">
        <f t="shared" si="17"/>
        <v>0.81</v>
      </c>
      <c r="T61" s="12">
        <f t="shared" si="17"/>
        <v>0.81</v>
      </c>
      <c r="U61" s="12">
        <f t="shared" si="17"/>
        <v>0.81</v>
      </c>
      <c r="V61" s="13">
        <f t="shared" si="17"/>
        <v>0.81</v>
      </c>
    </row>
    <row r="62" spans="1:22" x14ac:dyDescent="0.3">
      <c r="A62" s="11" t="s">
        <v>46</v>
      </c>
      <c r="B62" s="12"/>
      <c r="C62" s="12">
        <f>C60*C61</f>
        <v>0.34353652829525466</v>
      </c>
      <c r="D62" s="12">
        <f>D60*D61</f>
        <v>0.35319574717215702</v>
      </c>
      <c r="E62" s="12">
        <f t="shared" ref="E62:V62" si="18">E60*E61</f>
        <v>0.36140040087121861</v>
      </c>
      <c r="F62" s="12">
        <f t="shared" si="18"/>
        <v>0.37079513080359361</v>
      </c>
      <c r="G62" s="12">
        <f t="shared" si="18"/>
        <v>0.38017647102395025</v>
      </c>
      <c r="H62" s="12">
        <f t="shared" si="18"/>
        <v>0.39057790145400245</v>
      </c>
      <c r="I62" s="12">
        <f t="shared" si="18"/>
        <v>0.40070943736193454</v>
      </c>
      <c r="J62" s="12">
        <f t="shared" si="18"/>
        <v>0.41088028087608158</v>
      </c>
      <c r="K62" s="12">
        <f t="shared" si="18"/>
        <v>0.42187579601669706</v>
      </c>
      <c r="L62" s="12">
        <f t="shared" si="18"/>
        <v>0.43242376926314191</v>
      </c>
      <c r="M62" s="12">
        <f t="shared" si="18"/>
        <v>0.4443367684162795</v>
      </c>
      <c r="N62" s="12">
        <f t="shared" si="18"/>
        <v>0.45620616022653859</v>
      </c>
      <c r="O62" s="12">
        <f t="shared" si="18"/>
        <v>0.46779736391983234</v>
      </c>
      <c r="P62" s="12">
        <f t="shared" si="18"/>
        <v>0.48068415352362043</v>
      </c>
      <c r="Q62" s="12">
        <f t="shared" si="18"/>
        <v>0.49469207459371284</v>
      </c>
      <c r="R62" s="12">
        <f t="shared" si="18"/>
        <v>0.50710882382281752</v>
      </c>
      <c r="S62" s="12">
        <f t="shared" si="18"/>
        <v>0.5199570142936728</v>
      </c>
      <c r="T62" s="12">
        <f t="shared" si="18"/>
        <v>0.53378051987740815</v>
      </c>
      <c r="U62" s="12">
        <f t="shared" si="18"/>
        <v>0.55004888249526407</v>
      </c>
      <c r="V62" s="13">
        <f t="shared" si="18"/>
        <v>0.56502248086530005</v>
      </c>
    </row>
    <row r="63" spans="1:22" x14ac:dyDescent="0.3">
      <c r="A63" s="8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10"/>
    </row>
    <row r="64" spans="1:22" ht="16.2" thickBot="1" x14ac:dyDescent="0.35">
      <c r="A64" s="18" t="s">
        <v>7</v>
      </c>
      <c r="B64" s="19"/>
      <c r="C64" s="19">
        <v>8.1836544437538836E-2</v>
      </c>
      <c r="D64" s="19">
        <v>8.0207997203231809E-2</v>
      </c>
      <c r="E64" s="19">
        <v>7.8611858058887499E-2</v>
      </c>
      <c r="F64" s="19">
        <v>7.7047482083515639E-2</v>
      </c>
      <c r="G64" s="19">
        <v>7.5514237190053679E-2</v>
      </c>
      <c r="H64" s="19">
        <v>7.4011503869971615E-2</v>
      </c>
      <c r="I64" s="19">
        <v>7.253867494295918E-2</v>
      </c>
      <c r="J64" s="19">
        <v>7.1095155311594285E-2</v>
      </c>
      <c r="K64" s="19">
        <v>6.9680361720893563E-2</v>
      </c>
      <c r="L64" s="19">
        <v>6.8293722522647773E-2</v>
      </c>
      <c r="M64" s="19">
        <v>6.6934677444447074E-2</v>
      </c>
      <c r="N64" s="19">
        <v>6.5602677363302581E-2</v>
      </c>
      <c r="O64" s="19">
        <v>6.4297184083772857E-2</v>
      </c>
      <c r="P64" s="19">
        <v>6.301767012050577E-2</v>
      </c>
      <c r="Q64" s="19">
        <v>6.1763618485107703E-2</v>
      </c>
      <c r="R64" s="19">
        <v>6.0534522477254056E-2</v>
      </c>
      <c r="S64" s="19">
        <v>5.9329885479956698E-2</v>
      </c>
      <c r="T64" s="19">
        <v>5.8149220758905558E-2</v>
      </c>
      <c r="U64" s="19">
        <v>5.6992051265803333E-2</v>
      </c>
      <c r="V64" s="20">
        <v>5.5857909445613842E-2</v>
      </c>
    </row>
    <row r="69" spans="1:22" x14ac:dyDescent="0.3">
      <c r="C69" s="131" t="s">
        <v>57</v>
      </c>
      <c r="D69" s="132">
        <v>0.95</v>
      </c>
    </row>
    <row r="75" spans="1:22" ht="16.2" thickBot="1" x14ac:dyDescent="0.35">
      <c r="A75" t="s">
        <v>59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 s="28"/>
      <c r="V75"/>
    </row>
    <row r="76" spans="1:22" ht="16.2" thickBot="1" x14ac:dyDescent="0.35">
      <c r="A76" s="123" t="s">
        <v>13</v>
      </c>
      <c r="B76" s="32" t="s">
        <v>15</v>
      </c>
      <c r="C76" s="32" t="s">
        <v>16</v>
      </c>
      <c r="D76" s="32" t="s">
        <v>17</v>
      </c>
      <c r="E76" s="32" t="s">
        <v>18</v>
      </c>
      <c r="F76" s="32" t="s">
        <v>19</v>
      </c>
      <c r="G76" s="32" t="s">
        <v>20</v>
      </c>
      <c r="H76" s="32" t="s">
        <v>21</v>
      </c>
      <c r="I76" s="32" t="s">
        <v>22</v>
      </c>
      <c r="J76" s="32" t="s">
        <v>23</v>
      </c>
      <c r="K76" s="32" t="s">
        <v>24</v>
      </c>
      <c r="L76" s="32" t="s">
        <v>25</v>
      </c>
      <c r="M76" s="32" t="s">
        <v>26</v>
      </c>
      <c r="N76" s="32" t="s">
        <v>27</v>
      </c>
      <c r="O76" s="32" t="s">
        <v>28</v>
      </c>
      <c r="P76" s="32" t="s">
        <v>29</v>
      </c>
      <c r="Q76" s="32" t="s">
        <v>30</v>
      </c>
      <c r="R76" s="32" t="s">
        <v>31</v>
      </c>
      <c r="S76" s="32" t="s">
        <v>32</v>
      </c>
      <c r="T76" s="32" t="s">
        <v>33</v>
      </c>
      <c r="U76" s="32" t="s">
        <v>34</v>
      </c>
      <c r="V76" s="33"/>
    </row>
    <row r="77" spans="1:22" x14ac:dyDescent="0.3">
      <c r="A77" s="124"/>
      <c r="B77" s="35"/>
      <c r="C77" s="35" t="s">
        <v>35</v>
      </c>
      <c r="D77" s="35" t="s">
        <v>35</v>
      </c>
      <c r="E77" s="35" t="s">
        <v>35</v>
      </c>
      <c r="F77" s="35" t="s">
        <v>35</v>
      </c>
      <c r="G77" s="35" t="s">
        <v>35</v>
      </c>
      <c r="H77" s="35" t="s">
        <v>35</v>
      </c>
      <c r="I77" s="35" t="s">
        <v>35</v>
      </c>
      <c r="J77" s="35" t="s">
        <v>35</v>
      </c>
      <c r="K77" s="35" t="s">
        <v>35</v>
      </c>
      <c r="L77" s="35" t="s">
        <v>35</v>
      </c>
      <c r="M77" s="35" t="s">
        <v>35</v>
      </c>
      <c r="N77" s="35" t="s">
        <v>35</v>
      </c>
      <c r="O77" s="35" t="s">
        <v>35</v>
      </c>
      <c r="P77" s="35" t="s">
        <v>35</v>
      </c>
      <c r="Q77" s="35" t="s">
        <v>35</v>
      </c>
      <c r="R77" s="35" t="s">
        <v>35</v>
      </c>
      <c r="S77" s="35" t="s">
        <v>35</v>
      </c>
      <c r="T77" s="36" t="s">
        <v>35</v>
      </c>
      <c r="U77" s="35" t="s">
        <v>35</v>
      </c>
      <c r="V77"/>
    </row>
    <row r="78" spans="1:22" x14ac:dyDescent="0.3">
      <c r="A78" s="90" t="s">
        <v>60</v>
      </c>
      <c r="B78" s="87"/>
      <c r="C78" s="87"/>
      <c r="D78" s="87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8"/>
      <c r="U78" s="87"/>
      <c r="V78" s="39"/>
    </row>
    <row r="79" spans="1:22" x14ac:dyDescent="0.3">
      <c r="A79" s="91" t="s">
        <v>61</v>
      </c>
      <c r="B79" s="87">
        <f>B10</f>
        <v>5401.5068493150684</v>
      </c>
      <c r="C79" s="87">
        <f>B81</f>
        <v>5131.4315068493152</v>
      </c>
      <c r="D79" s="87">
        <f t="shared" ref="D79:U79" si="19">C81</f>
        <v>4861.3561643835619</v>
      </c>
      <c r="E79" s="87">
        <f t="shared" si="19"/>
        <v>4591.2808219178087</v>
      </c>
      <c r="F79" s="87">
        <f t="shared" si="19"/>
        <v>4321.2054794520554</v>
      </c>
      <c r="G79" s="87">
        <f t="shared" si="19"/>
        <v>4051.1301369863022</v>
      </c>
      <c r="H79" s="87">
        <f t="shared" si="19"/>
        <v>3781.054794520549</v>
      </c>
      <c r="I79" s="87">
        <f t="shared" si="19"/>
        <v>3510.9794520547957</v>
      </c>
      <c r="J79" s="87">
        <f t="shared" si="19"/>
        <v>3240.9041095890425</v>
      </c>
      <c r="K79" s="87">
        <f t="shared" si="19"/>
        <v>2970.8287671232893</v>
      </c>
      <c r="L79" s="87">
        <f t="shared" si="19"/>
        <v>2700.753424657536</v>
      </c>
      <c r="M79" s="87">
        <f t="shared" si="19"/>
        <v>2430.6780821917828</v>
      </c>
      <c r="N79" s="87">
        <f t="shared" si="19"/>
        <v>2160.6027397260295</v>
      </c>
      <c r="O79" s="87">
        <f t="shared" si="19"/>
        <v>1890.5273972602761</v>
      </c>
      <c r="P79" s="87">
        <f t="shared" si="19"/>
        <v>1620.4520547945226</v>
      </c>
      <c r="Q79" s="87">
        <f t="shared" si="19"/>
        <v>1350.3767123287691</v>
      </c>
      <c r="R79" s="87">
        <f t="shared" si="19"/>
        <v>1080.3013698630157</v>
      </c>
      <c r="S79" s="87">
        <f t="shared" si="19"/>
        <v>810.22602739726221</v>
      </c>
      <c r="T79" s="87">
        <f t="shared" si="19"/>
        <v>540.15068493150875</v>
      </c>
      <c r="U79" s="87">
        <f t="shared" si="19"/>
        <v>270.07534246575534</v>
      </c>
      <c r="V79" s="39"/>
    </row>
    <row r="80" spans="1:22" x14ac:dyDescent="0.3">
      <c r="A80" s="90" t="s">
        <v>60</v>
      </c>
      <c r="B80" s="87">
        <f>$B$79/$U$76*(-1)</f>
        <v>-270.07534246575341</v>
      </c>
      <c r="C80" s="87">
        <f t="shared" ref="C80:U80" si="20">$B$79/$U$76*(-1)</f>
        <v>-270.07534246575341</v>
      </c>
      <c r="D80" s="87">
        <f t="shared" si="20"/>
        <v>-270.07534246575341</v>
      </c>
      <c r="E80" s="87">
        <f t="shared" si="20"/>
        <v>-270.07534246575341</v>
      </c>
      <c r="F80" s="87">
        <f t="shared" si="20"/>
        <v>-270.07534246575341</v>
      </c>
      <c r="G80" s="87">
        <f t="shared" si="20"/>
        <v>-270.07534246575341</v>
      </c>
      <c r="H80" s="87">
        <f t="shared" si="20"/>
        <v>-270.07534246575341</v>
      </c>
      <c r="I80" s="87">
        <f t="shared" si="20"/>
        <v>-270.07534246575341</v>
      </c>
      <c r="J80" s="87">
        <f t="shared" si="20"/>
        <v>-270.07534246575341</v>
      </c>
      <c r="K80" s="87">
        <f t="shared" si="20"/>
        <v>-270.07534246575341</v>
      </c>
      <c r="L80" s="87">
        <f t="shared" si="20"/>
        <v>-270.07534246575341</v>
      </c>
      <c r="M80" s="87">
        <f t="shared" si="20"/>
        <v>-270.07534246575341</v>
      </c>
      <c r="N80" s="87">
        <f t="shared" si="20"/>
        <v>-270.07534246575341</v>
      </c>
      <c r="O80" s="87">
        <f t="shared" si="20"/>
        <v>-270.07534246575341</v>
      </c>
      <c r="P80" s="87">
        <f t="shared" si="20"/>
        <v>-270.07534246575341</v>
      </c>
      <c r="Q80" s="87">
        <f t="shared" si="20"/>
        <v>-270.07534246575341</v>
      </c>
      <c r="R80" s="87">
        <f t="shared" si="20"/>
        <v>-270.07534246575341</v>
      </c>
      <c r="S80" s="87">
        <f t="shared" si="20"/>
        <v>-270.07534246575341</v>
      </c>
      <c r="T80" s="87">
        <f t="shared" si="20"/>
        <v>-270.07534246575341</v>
      </c>
      <c r="U80" s="87">
        <f t="shared" si="20"/>
        <v>-270.07534246575341</v>
      </c>
      <c r="V80" s="39"/>
    </row>
    <row r="81" spans="1:22" x14ac:dyDescent="0.3">
      <c r="A81" s="91" t="s">
        <v>62</v>
      </c>
      <c r="B81" s="87">
        <f>SUM(B79:B80)</f>
        <v>5131.4315068493152</v>
      </c>
      <c r="C81" s="87">
        <f t="shared" ref="C81:U81" si="21">SUM(C79:C80)</f>
        <v>4861.3561643835619</v>
      </c>
      <c r="D81" s="87">
        <f t="shared" si="21"/>
        <v>4591.2808219178087</v>
      </c>
      <c r="E81" s="87">
        <f t="shared" si="21"/>
        <v>4321.2054794520554</v>
      </c>
      <c r="F81" s="87">
        <f t="shared" si="21"/>
        <v>4051.1301369863022</v>
      </c>
      <c r="G81" s="87">
        <f t="shared" si="21"/>
        <v>3781.054794520549</v>
      </c>
      <c r="H81" s="87">
        <f t="shared" si="21"/>
        <v>3510.9794520547957</v>
      </c>
      <c r="I81" s="87">
        <f t="shared" si="21"/>
        <v>3240.9041095890425</v>
      </c>
      <c r="J81" s="87">
        <f t="shared" si="21"/>
        <v>2970.8287671232893</v>
      </c>
      <c r="K81" s="87">
        <f t="shared" si="21"/>
        <v>2700.753424657536</v>
      </c>
      <c r="L81" s="87">
        <f t="shared" si="21"/>
        <v>2430.6780821917828</v>
      </c>
      <c r="M81" s="87">
        <f t="shared" si="21"/>
        <v>2160.6027397260295</v>
      </c>
      <c r="N81" s="87">
        <f t="shared" si="21"/>
        <v>1890.5273972602761</v>
      </c>
      <c r="O81" s="87">
        <f t="shared" si="21"/>
        <v>1620.4520547945226</v>
      </c>
      <c r="P81" s="87">
        <f t="shared" si="21"/>
        <v>1350.3767123287691</v>
      </c>
      <c r="Q81" s="87">
        <f t="shared" si="21"/>
        <v>1080.3013698630157</v>
      </c>
      <c r="R81" s="87">
        <f t="shared" si="21"/>
        <v>810.22602739726221</v>
      </c>
      <c r="S81" s="87">
        <f t="shared" si="21"/>
        <v>540.15068493150875</v>
      </c>
      <c r="T81" s="87">
        <f t="shared" si="21"/>
        <v>270.07534246575534</v>
      </c>
      <c r="U81" s="87">
        <f t="shared" si="21"/>
        <v>1.9326762412674725E-12</v>
      </c>
      <c r="V81" s="39"/>
    </row>
    <row r="82" spans="1:22" x14ac:dyDescent="0.3">
      <c r="A82" s="124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 s="39"/>
    </row>
    <row r="83" spans="1:22" ht="31.2" x14ac:dyDescent="0.3">
      <c r="A83" s="90" t="s">
        <v>63</v>
      </c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39"/>
    </row>
    <row r="84" spans="1:22" x14ac:dyDescent="0.3">
      <c r="A84" s="90" t="s">
        <v>64</v>
      </c>
      <c r="B84" s="87">
        <f>C5</f>
        <v>1.2893222790339687</v>
      </c>
      <c r="C84" s="87">
        <f>D5</f>
        <v>1.3189462914151602</v>
      </c>
      <c r="D84" s="87">
        <f>E5</f>
        <v>1.3428371764103997</v>
      </c>
      <c r="E84" s="87">
        <f>F5</f>
        <v>1.3708559753899887</v>
      </c>
      <c r="F84" s="87">
        <f>G5</f>
        <v>1.3985117602461412</v>
      </c>
      <c r="G84" s="87">
        <f>H5</f>
        <v>1.4295904427474768</v>
      </c>
      <c r="H84" s="87">
        <f>I5</f>
        <v>1.4593404489593473</v>
      </c>
      <c r="I84" s="87">
        <f>J5</f>
        <v>1.4888996536299397</v>
      </c>
      <c r="J84" s="87">
        <f>K5</f>
        <v>1.5211001890835134</v>
      </c>
      <c r="K84" s="87">
        <f>L5</f>
        <v>-2429.1267462678338</v>
      </c>
      <c r="L84" s="87">
        <f>M5</f>
        <v>1.5861038684055973</v>
      </c>
      <c r="M84" s="87">
        <f>N5</f>
        <v>1.6203304676187347</v>
      </c>
      <c r="N84" s="87">
        <f>O5</f>
        <v>1.6531920337273973</v>
      </c>
      <c r="O84" s="87">
        <f>P5</f>
        <v>1.6902401729074896</v>
      </c>
      <c r="P84" s="87">
        <f>Q5</f>
        <v>1.7307990486269973</v>
      </c>
      <c r="Q84" s="87">
        <f>R5</f>
        <v>1.7653708181822423</v>
      </c>
      <c r="R84" s="87">
        <f>S5</f>
        <v>1.8010480436120651</v>
      </c>
      <c r="S84" s="87">
        <f>T5</f>
        <v>1.839685806600071</v>
      </c>
      <c r="T84" s="87">
        <f>U5</f>
        <v>1.8862762857732158</v>
      </c>
      <c r="U84" s="87">
        <f>V5</f>
        <v>1.9279369485150653</v>
      </c>
      <c r="V84" s="39"/>
    </row>
    <row r="85" spans="1:22" ht="31.2" x14ac:dyDescent="0.3">
      <c r="A85" s="90" t="s">
        <v>119</v>
      </c>
      <c r="B85" s="87">
        <f>IF(B84&gt;0,SUM(B100:B101)*(-1)*0.25,0)</f>
        <v>72.650267123287676</v>
      </c>
      <c r="C85" s="87">
        <f t="shared" ref="C85:U85" si="22">IF(C84&gt;0,SUM(C100:C101)*(-1)*0.25,0)</f>
        <v>86.346431690888537</v>
      </c>
      <c r="D85" s="87">
        <f t="shared" si="22"/>
        <v>99.350808539805456</v>
      </c>
      <c r="E85" s="87">
        <f t="shared" si="22"/>
        <v>110.06677293288659</v>
      </c>
      <c r="F85" s="87">
        <f t="shared" si="22"/>
        <v>121.46558515696573</v>
      </c>
      <c r="G85" s="87">
        <f t="shared" si="22"/>
        <v>131.96227453125294</v>
      </c>
      <c r="H85" s="87">
        <f t="shared" si="22"/>
        <v>141.56448284190893</v>
      </c>
      <c r="I85" s="87">
        <f t="shared" si="22"/>
        <v>150.11272435919568</v>
      </c>
      <c r="J85" s="87">
        <f t="shared" si="22"/>
        <v>157.78309080846373</v>
      </c>
      <c r="K85" s="87">
        <f t="shared" si="22"/>
        <v>0</v>
      </c>
      <c r="L85" s="87">
        <f t="shared" si="22"/>
        <v>194.69665210154423</v>
      </c>
      <c r="M85" s="87">
        <f t="shared" si="22"/>
        <v>199.40493502744255</v>
      </c>
      <c r="N85" s="87">
        <f t="shared" si="22"/>
        <v>203.26798287469313</v>
      </c>
      <c r="O85" s="87">
        <f t="shared" si="22"/>
        <v>206.12589105224376</v>
      </c>
      <c r="P85" s="87">
        <f t="shared" si="22"/>
        <v>208.15428602002737</v>
      </c>
      <c r="Q85" s="87">
        <f t="shared" si="22"/>
        <v>209.36019038214948</v>
      </c>
      <c r="R85" s="87">
        <f t="shared" si="22"/>
        <v>209.75067448350009</v>
      </c>
      <c r="S85" s="87">
        <f t="shared" si="22"/>
        <v>209.33266817440619</v>
      </c>
      <c r="T85" s="87">
        <f t="shared" si="22"/>
        <v>208.11302130311182</v>
      </c>
      <c r="U85" s="87">
        <f t="shared" si="22"/>
        <v>206.09846888014295</v>
      </c>
      <c r="V85" s="39"/>
    </row>
    <row r="86" spans="1:22" x14ac:dyDescent="0.3">
      <c r="A86" s="90" t="s">
        <v>65</v>
      </c>
      <c r="B86" s="87">
        <f>IF(B84&gt;0,SUM(B100),0)</f>
        <v>-290.60106849315071</v>
      </c>
      <c r="C86" s="87">
        <f t="shared" ref="C86:U86" si="23">IF(C84&gt;0,SUM(C100),0)</f>
        <v>-345.38572676355415</v>
      </c>
      <c r="D86" s="87">
        <f t="shared" si="23"/>
        <v>-397.40323415922182</v>
      </c>
      <c r="E86" s="87">
        <f t="shared" si="23"/>
        <v>-440.26709173154637</v>
      </c>
      <c r="F86" s="87">
        <f t="shared" si="23"/>
        <v>-485.86234062786292</v>
      </c>
      <c r="G86" s="87">
        <f t="shared" si="23"/>
        <v>-527.84909812501178</v>
      </c>
      <c r="H86" s="87">
        <f t="shared" si="23"/>
        <v>-566.25793136763571</v>
      </c>
      <c r="I86" s="87">
        <f t="shared" si="23"/>
        <v>-600.45089743678272</v>
      </c>
      <c r="J86" s="87">
        <f t="shared" si="23"/>
        <v>-631.1323632338549</v>
      </c>
      <c r="K86" s="87">
        <f t="shared" si="23"/>
        <v>0</v>
      </c>
      <c r="L86" s="87">
        <f t="shared" si="23"/>
        <v>-778.78660840617692</v>
      </c>
      <c r="M86" s="87">
        <f t="shared" si="23"/>
        <v>-797.61974010977019</v>
      </c>
      <c r="N86" s="87">
        <f t="shared" si="23"/>
        <v>-813.07193149877253</v>
      </c>
      <c r="O86" s="87">
        <f t="shared" si="23"/>
        <v>-824.50356420897504</v>
      </c>
      <c r="P86" s="87">
        <f t="shared" si="23"/>
        <v>-832.61714408010948</v>
      </c>
      <c r="Q86" s="87">
        <f t="shared" si="23"/>
        <v>-837.44076152859793</v>
      </c>
      <c r="R86" s="87">
        <f t="shared" si="23"/>
        <v>-839.00269793400037</v>
      </c>
      <c r="S86" s="87">
        <f t="shared" si="23"/>
        <v>-837.33067269762478</v>
      </c>
      <c r="T86" s="87">
        <f t="shared" si="23"/>
        <v>-832.45208521244729</v>
      </c>
      <c r="U86" s="87">
        <f t="shared" si="23"/>
        <v>-824.39387552057178</v>
      </c>
      <c r="V86" s="39"/>
    </row>
    <row r="87" spans="1:22" x14ac:dyDescent="0.3">
      <c r="A87" s="90" t="s">
        <v>66</v>
      </c>
      <c r="B87" s="87">
        <f>IF(B84&gt;0,B101,0)</f>
        <v>0</v>
      </c>
      <c r="C87" s="87">
        <f t="shared" ref="C87:U87" si="24">IF(C84&gt;0,C101,0)</f>
        <v>0</v>
      </c>
      <c r="D87" s="87">
        <f t="shared" si="24"/>
        <v>0</v>
      </c>
      <c r="E87" s="87">
        <f t="shared" si="24"/>
        <v>0</v>
      </c>
      <c r="F87" s="87">
        <f t="shared" si="24"/>
        <v>0</v>
      </c>
      <c r="G87" s="87">
        <f t="shared" si="24"/>
        <v>0</v>
      </c>
      <c r="H87" s="87">
        <f t="shared" si="24"/>
        <v>0</v>
      </c>
      <c r="I87" s="87">
        <f t="shared" si="24"/>
        <v>0</v>
      </c>
      <c r="J87" s="87">
        <f t="shared" si="24"/>
        <v>0</v>
      </c>
      <c r="K87" s="87">
        <f t="shared" si="24"/>
        <v>0</v>
      </c>
      <c r="L87" s="87">
        <f t="shared" si="24"/>
        <v>0</v>
      </c>
      <c r="M87" s="87">
        <f t="shared" si="24"/>
        <v>0</v>
      </c>
      <c r="N87" s="87">
        <f t="shared" si="24"/>
        <v>0</v>
      </c>
      <c r="O87" s="87">
        <f t="shared" si="24"/>
        <v>0</v>
      </c>
      <c r="P87" s="87">
        <f t="shared" si="24"/>
        <v>0</v>
      </c>
      <c r="Q87" s="87">
        <f t="shared" si="24"/>
        <v>0</v>
      </c>
      <c r="R87" s="87">
        <f t="shared" si="24"/>
        <v>0</v>
      </c>
      <c r="S87" s="87">
        <f t="shared" si="24"/>
        <v>0</v>
      </c>
      <c r="T87" s="87">
        <f t="shared" si="24"/>
        <v>0</v>
      </c>
      <c r="U87" s="87">
        <f t="shared" si="24"/>
        <v>0</v>
      </c>
      <c r="V87" s="39"/>
    </row>
    <row r="88" spans="1:22" ht="46.8" x14ac:dyDescent="0.3">
      <c r="A88" s="91" t="s">
        <v>120</v>
      </c>
      <c r="B88" s="87">
        <f t="shared" ref="B88:U88" si="25">IF(SUM(B84:B87)&gt;0,ROUNDDOWN(SUM(B84:B87),-2),ROUNDUP(SUM(B84:B87),-2))*Gewerbesteuer</f>
        <v>-37.274999999999999</v>
      </c>
      <c r="C88" s="87">
        <f t="shared" si="25"/>
        <v>-37.274999999999999</v>
      </c>
      <c r="D88" s="87">
        <f t="shared" si="25"/>
        <v>-37.274999999999999</v>
      </c>
      <c r="E88" s="87">
        <f t="shared" si="25"/>
        <v>-49.7</v>
      </c>
      <c r="F88" s="87">
        <f t="shared" si="25"/>
        <v>-49.7</v>
      </c>
      <c r="G88" s="87">
        <f t="shared" si="25"/>
        <v>-49.7</v>
      </c>
      <c r="H88" s="87">
        <f t="shared" si="25"/>
        <v>-62.125</v>
      </c>
      <c r="I88" s="87">
        <f t="shared" si="25"/>
        <v>-62.125</v>
      </c>
      <c r="J88" s="87">
        <f t="shared" si="25"/>
        <v>-62.125</v>
      </c>
      <c r="K88" s="87">
        <f t="shared" si="25"/>
        <v>-310.625</v>
      </c>
      <c r="L88" s="87">
        <f t="shared" si="25"/>
        <v>-74.55</v>
      </c>
      <c r="M88" s="87">
        <f t="shared" si="25"/>
        <v>-74.55</v>
      </c>
      <c r="N88" s="87">
        <f t="shared" si="25"/>
        <v>-86.974999999999994</v>
      </c>
      <c r="O88" s="87">
        <f t="shared" si="25"/>
        <v>-86.974999999999994</v>
      </c>
      <c r="P88" s="87">
        <f t="shared" si="25"/>
        <v>-86.974999999999994</v>
      </c>
      <c r="Q88" s="87">
        <f t="shared" si="25"/>
        <v>-86.974999999999994</v>
      </c>
      <c r="R88" s="87">
        <f t="shared" si="25"/>
        <v>-86.974999999999994</v>
      </c>
      <c r="S88" s="87">
        <f t="shared" si="25"/>
        <v>-86.974999999999994</v>
      </c>
      <c r="T88" s="87">
        <f t="shared" si="25"/>
        <v>-86.974999999999994</v>
      </c>
      <c r="U88" s="87">
        <f t="shared" si="25"/>
        <v>-86.974999999999994</v>
      </c>
      <c r="V88" s="39"/>
    </row>
    <row r="89" spans="1:22" x14ac:dyDescent="0.3">
      <c r="A89" s="91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87"/>
      <c r="V89" s="39"/>
    </row>
    <row r="90" spans="1:22" ht="31.2" x14ac:dyDescent="0.3">
      <c r="A90" s="93" t="s">
        <v>63</v>
      </c>
      <c r="B90" s="94"/>
      <c r="C90" s="94"/>
      <c r="D90" s="94"/>
      <c r="E90" s="94"/>
      <c r="F90" s="94"/>
      <c r="G90" s="94"/>
      <c r="H90" s="94"/>
      <c r="I90" s="94"/>
      <c r="J90" s="94"/>
      <c r="K90" s="94"/>
      <c r="L90" s="94"/>
      <c r="M90" s="94"/>
      <c r="N90" s="94"/>
      <c r="O90" s="94"/>
      <c r="P90" s="94"/>
      <c r="Q90" s="94"/>
      <c r="R90" s="94"/>
      <c r="S90" s="94"/>
      <c r="T90" s="95"/>
      <c r="U90" s="94"/>
      <c r="V90" s="39"/>
    </row>
    <row r="91" spans="1:22" x14ac:dyDescent="0.3">
      <c r="A91" s="93" t="s">
        <v>64</v>
      </c>
      <c r="B91" s="94">
        <f>C6</f>
        <v>0.26187694220010937</v>
      </c>
      <c r="C91" s="94">
        <f>D6</f>
        <v>0.25538226309507556</v>
      </c>
      <c r="D91" s="94">
        <f>E6</f>
        <v>0.24904865527918615</v>
      </c>
      <c r="E91" s="94">
        <f>F6</f>
        <v>0.24287212410393469</v>
      </c>
      <c r="F91" s="94">
        <f>G6</f>
        <v>0.23684877399009507</v>
      </c>
      <c r="G91" s="94">
        <f>H6</f>
        <v>0.23097480597075373</v>
      </c>
      <c r="H91" s="94">
        <f>I6</f>
        <v>0.22524651529527606</v>
      </c>
      <c r="I91" s="94">
        <f>J6</f>
        <v>0.21966028909269553</v>
      </c>
      <c r="J91" s="94">
        <f>K6</f>
        <v>0.21421260409305212</v>
      </c>
      <c r="K91" s="94">
        <f>L6</f>
        <v>0.20890002440524238</v>
      </c>
      <c r="L91" s="94">
        <f>M6</f>
        <v>0.20371919934998012</v>
      </c>
      <c r="M91" s="94">
        <f>N6</f>
        <v>0.19866686134650094</v>
      </c>
      <c r="N91" s="94">
        <f>O6</f>
        <v>0.19373982385167701</v>
      </c>
      <c r="O91" s="94">
        <f>P6</f>
        <v>0.18893497935024348</v>
      </c>
      <c r="P91" s="94">
        <f>Q6</f>
        <v>0.18424929739486776</v>
      </c>
      <c r="Q91" s="94">
        <f>R6</f>
        <v>0.17967982269482632</v>
      </c>
      <c r="R91" s="94">
        <f>S6</f>
        <v>0.1752236732520833</v>
      </c>
      <c r="S91" s="94">
        <f>T6</f>
        <v>0.17087803854359501</v>
      </c>
      <c r="T91" s="94">
        <f>U6</f>
        <v>0.16664017774869458</v>
      </c>
      <c r="U91" s="94">
        <f>V6</f>
        <v>0.16250741802043805</v>
      </c>
      <c r="V91" s="39"/>
    </row>
    <row r="92" spans="1:22" ht="31.2" x14ac:dyDescent="0.3">
      <c r="A92" s="93" t="s">
        <v>119</v>
      </c>
      <c r="B92" s="94">
        <f>IF(B91&gt;0,SUM(B107:B108)*(-1)*0.25,0)</f>
        <v>0</v>
      </c>
      <c r="C92" s="94">
        <f t="shared" ref="C92:U92" si="26">IF(C91&gt;0,SUM(C107:C108)*(-1)*0.25,0)</f>
        <v>0</v>
      </c>
      <c r="D92" s="94">
        <f t="shared" si="26"/>
        <v>0</v>
      </c>
      <c r="E92" s="94">
        <f t="shared" si="26"/>
        <v>0</v>
      </c>
      <c r="F92" s="94">
        <f t="shared" si="26"/>
        <v>0</v>
      </c>
      <c r="G92" s="94">
        <f t="shared" si="26"/>
        <v>-4.4575900073387884E-3</v>
      </c>
      <c r="H92" s="94">
        <f t="shared" si="26"/>
        <v>-5.3476749383813025E-3</v>
      </c>
      <c r="I92" s="94">
        <f t="shared" si="26"/>
        <v>-6.2300041603924484E-3</v>
      </c>
      <c r="J92" s="94">
        <f t="shared" si="26"/>
        <v>-7.1049749178876747E-3</v>
      </c>
      <c r="K92" s="94">
        <f t="shared" si="26"/>
        <v>-7.9729775355740565E-3</v>
      </c>
      <c r="L92" s="94">
        <f t="shared" si="26"/>
        <v>-8.834395631921968E-3</v>
      </c>
      <c r="M92" s="94">
        <f t="shared" si="26"/>
        <v>-9.6896063280404576E-3</v>
      </c>
      <c r="N92" s="94">
        <f t="shared" si="26"/>
        <v>-1.0538980451981407E-2</v>
      </c>
      <c r="O92" s="94">
        <f t="shared" si="26"/>
        <v>-1.1382882738594531E-2</v>
      </c>
      <c r="P92" s="94">
        <f t="shared" si="26"/>
        <v>-1.2221672025052423E-2</v>
      </c>
      <c r="Q92" s="94">
        <f t="shared" si="26"/>
        <v>-1.3055701442161968E-2</v>
      </c>
      <c r="R92" s="94">
        <f t="shared" si="26"/>
        <v>-1.3885318601575769E-2</v>
      </c>
      <c r="S92" s="94">
        <f t="shared" si="26"/>
        <v>-1.4710865779014417E-2</v>
      </c>
      <c r="T92" s="94">
        <f t="shared" si="26"/>
        <v>-1.553268009360797E-2</v>
      </c>
      <c r="U92" s="94">
        <f t="shared" si="26"/>
        <v>-1.6351093683462322E-2</v>
      </c>
      <c r="V92" s="39"/>
    </row>
    <row r="93" spans="1:22" x14ac:dyDescent="0.3">
      <c r="A93" s="93" t="s">
        <v>65</v>
      </c>
      <c r="B93" s="94">
        <f>IF(B91&gt;0,SUM(B107),0)</f>
        <v>0</v>
      </c>
      <c r="C93" s="94">
        <f t="shared" ref="C93:U93" si="27">IF(C91&gt;0,SUM(C107),0)</f>
        <v>0</v>
      </c>
      <c r="D93" s="94">
        <f t="shared" si="27"/>
        <v>0</v>
      </c>
      <c r="E93" s="94">
        <f t="shared" si="27"/>
        <v>0</v>
      </c>
      <c r="F93" s="94">
        <f t="shared" si="27"/>
        <v>0</v>
      </c>
      <c r="G93" s="94">
        <f t="shared" si="27"/>
        <v>0</v>
      </c>
      <c r="H93" s="94">
        <f t="shared" si="27"/>
        <v>0</v>
      </c>
      <c r="I93" s="94">
        <f t="shared" si="27"/>
        <v>0</v>
      </c>
      <c r="J93" s="94">
        <f t="shared" si="27"/>
        <v>0</v>
      </c>
      <c r="K93" s="94">
        <f t="shared" si="27"/>
        <v>0</v>
      </c>
      <c r="L93" s="94">
        <f t="shared" si="27"/>
        <v>0</v>
      </c>
      <c r="M93" s="94">
        <f t="shared" si="27"/>
        <v>0</v>
      </c>
      <c r="N93" s="94">
        <f t="shared" si="27"/>
        <v>0</v>
      </c>
      <c r="O93" s="94">
        <f t="shared" si="27"/>
        <v>0</v>
      </c>
      <c r="P93" s="94">
        <f t="shared" si="27"/>
        <v>0</v>
      </c>
      <c r="Q93" s="94">
        <f t="shared" si="27"/>
        <v>0</v>
      </c>
      <c r="R93" s="94">
        <f t="shared" si="27"/>
        <v>0</v>
      </c>
      <c r="S93" s="94">
        <f t="shared" si="27"/>
        <v>0</v>
      </c>
      <c r="T93" s="94">
        <f t="shared" si="27"/>
        <v>0</v>
      </c>
      <c r="U93" s="94">
        <f t="shared" si="27"/>
        <v>0</v>
      </c>
      <c r="V93" s="39"/>
    </row>
    <row r="94" spans="1:22" x14ac:dyDescent="0.3">
      <c r="A94" s="93" t="s">
        <v>66</v>
      </c>
      <c r="B94" s="94">
        <f>IF(B91&gt;0,B108,0)</f>
        <v>0</v>
      </c>
      <c r="C94" s="94">
        <f t="shared" ref="C94:U94" si="28">IF(C91&gt;0,C108,0)</f>
        <v>0</v>
      </c>
      <c r="D94" s="94">
        <f t="shared" si="28"/>
        <v>0</v>
      </c>
      <c r="E94" s="94">
        <f t="shared" si="28"/>
        <v>0</v>
      </c>
      <c r="F94" s="94">
        <f t="shared" si="28"/>
        <v>0</v>
      </c>
      <c r="G94" s="94">
        <f t="shared" si="28"/>
        <v>1.7830360029355154E-2</v>
      </c>
      <c r="H94" s="94">
        <f t="shared" si="28"/>
        <v>2.139069975352521E-2</v>
      </c>
      <c r="I94" s="94">
        <f t="shared" si="28"/>
        <v>2.4920016641569794E-2</v>
      </c>
      <c r="J94" s="94">
        <f t="shared" si="28"/>
        <v>2.8419899671550699E-2</v>
      </c>
      <c r="K94" s="94">
        <f t="shared" si="28"/>
        <v>3.1891910142296226E-2</v>
      </c>
      <c r="L94" s="94">
        <f t="shared" si="28"/>
        <v>3.5337582527687872E-2</v>
      </c>
      <c r="M94" s="94">
        <f t="shared" si="28"/>
        <v>3.875842531216183E-2</v>
      </c>
      <c r="N94" s="94">
        <f t="shared" si="28"/>
        <v>4.2155921807925628E-2</v>
      </c>
      <c r="O94" s="94">
        <f t="shared" si="28"/>
        <v>4.5531530954378126E-2</v>
      </c>
      <c r="P94" s="94">
        <f t="shared" si="28"/>
        <v>4.8886688100209692E-2</v>
      </c>
      <c r="Q94" s="94">
        <f t="shared" si="28"/>
        <v>5.2222805768647872E-2</v>
      </c>
      <c r="R94" s="94">
        <f t="shared" si="28"/>
        <v>5.5541274406303076E-2</v>
      </c>
      <c r="S94" s="94">
        <f t="shared" si="28"/>
        <v>5.8843463116057669E-2</v>
      </c>
      <c r="T94" s="94">
        <f t="shared" si="28"/>
        <v>6.2130720374431882E-2</v>
      </c>
      <c r="U94" s="94">
        <f t="shared" si="28"/>
        <v>6.5404374733849288E-2</v>
      </c>
      <c r="V94" s="39"/>
    </row>
    <row r="95" spans="1:22" ht="46.8" x14ac:dyDescent="0.3">
      <c r="A95" s="97" t="s">
        <v>120</v>
      </c>
      <c r="B95" s="94">
        <f>IF(SUM(B91:B94)&gt;0,ROUNDDOWN(SUM(B91:B94),-2),ROUNDUP(SUM(B91:B94),-2))*Gewerbesteuer</f>
        <v>0</v>
      </c>
      <c r="C95" s="94">
        <f>ROUNDDOWN(SUM(C91:C94),-2)*Gewerbesteuer</f>
        <v>0</v>
      </c>
      <c r="D95" s="94">
        <f t="shared" ref="D95:U95" si="29">IF(SUM(D91:D94)&gt;0,ROUNDDOWN(SUM(D91:D94),-2),ROUNDUP(SUM(D91:D94),-2))*Gewerbesteuer</f>
        <v>0</v>
      </c>
      <c r="E95" s="94">
        <f t="shared" si="29"/>
        <v>0</v>
      </c>
      <c r="F95" s="94">
        <f t="shared" si="29"/>
        <v>0</v>
      </c>
      <c r="G95" s="94">
        <f t="shared" si="29"/>
        <v>0</v>
      </c>
      <c r="H95" s="94">
        <f t="shared" si="29"/>
        <v>0</v>
      </c>
      <c r="I95" s="94">
        <f t="shared" si="29"/>
        <v>0</v>
      </c>
      <c r="J95" s="94">
        <f t="shared" si="29"/>
        <v>0</v>
      </c>
      <c r="K95" s="94">
        <f t="shared" si="29"/>
        <v>0</v>
      </c>
      <c r="L95" s="94">
        <f t="shared" si="29"/>
        <v>0</v>
      </c>
      <c r="M95" s="94">
        <f t="shared" si="29"/>
        <v>0</v>
      </c>
      <c r="N95" s="94">
        <f t="shared" si="29"/>
        <v>0</v>
      </c>
      <c r="O95" s="94">
        <f t="shared" si="29"/>
        <v>0</v>
      </c>
      <c r="P95" s="94">
        <f t="shared" si="29"/>
        <v>0</v>
      </c>
      <c r="Q95" s="94">
        <f t="shared" si="29"/>
        <v>0</v>
      </c>
      <c r="R95" s="94">
        <f t="shared" si="29"/>
        <v>0</v>
      </c>
      <c r="S95" s="94">
        <f t="shared" si="29"/>
        <v>0</v>
      </c>
      <c r="T95" s="95">
        <f t="shared" si="29"/>
        <v>0</v>
      </c>
      <c r="U95" s="94">
        <f t="shared" si="29"/>
        <v>0</v>
      </c>
      <c r="V95" s="39"/>
    </row>
    <row r="96" spans="1:22" x14ac:dyDescent="0.3">
      <c r="A96" s="124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 s="41"/>
      <c r="V96" s="39"/>
    </row>
    <row r="97" spans="1:22" x14ac:dyDescent="0.3">
      <c r="A97" s="125" t="s">
        <v>67</v>
      </c>
      <c r="B97" s="110"/>
      <c r="C97" s="110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2"/>
      <c r="U97" s="110"/>
      <c r="V97" s="39"/>
    </row>
    <row r="98" spans="1:22" x14ac:dyDescent="0.3">
      <c r="A98" s="125" t="s">
        <v>64</v>
      </c>
      <c r="B98" s="110">
        <f>B84</f>
        <v>1.2893222790339687</v>
      </c>
      <c r="C98" s="110">
        <f t="shared" ref="C98:U98" si="30">C84</f>
        <v>1.3189462914151602</v>
      </c>
      <c r="D98" s="110">
        <f t="shared" si="30"/>
        <v>1.3428371764103997</v>
      </c>
      <c r="E98" s="110">
        <f t="shared" si="30"/>
        <v>1.3708559753899887</v>
      </c>
      <c r="F98" s="110">
        <f t="shared" si="30"/>
        <v>1.3985117602461412</v>
      </c>
      <c r="G98" s="110">
        <f t="shared" si="30"/>
        <v>1.4295904427474768</v>
      </c>
      <c r="H98" s="110">
        <f t="shared" si="30"/>
        <v>1.4593404489593473</v>
      </c>
      <c r="I98" s="110">
        <f t="shared" si="30"/>
        <v>1.4888996536299397</v>
      </c>
      <c r="J98" s="110">
        <f t="shared" si="30"/>
        <v>1.5211001890835134</v>
      </c>
      <c r="K98" s="110">
        <f t="shared" si="30"/>
        <v>-2429.1267462678338</v>
      </c>
      <c r="L98" s="110">
        <f t="shared" si="30"/>
        <v>1.5861038684055973</v>
      </c>
      <c r="M98" s="110">
        <f t="shared" si="30"/>
        <v>1.6203304676187347</v>
      </c>
      <c r="N98" s="110">
        <f t="shared" si="30"/>
        <v>1.6531920337273973</v>
      </c>
      <c r="O98" s="110">
        <f t="shared" si="30"/>
        <v>1.6902401729074896</v>
      </c>
      <c r="P98" s="110">
        <f t="shared" si="30"/>
        <v>1.7307990486269973</v>
      </c>
      <c r="Q98" s="110">
        <f t="shared" si="30"/>
        <v>1.7653708181822423</v>
      </c>
      <c r="R98" s="110">
        <f t="shared" si="30"/>
        <v>1.8010480436120651</v>
      </c>
      <c r="S98" s="110">
        <f t="shared" si="30"/>
        <v>1.839685806600071</v>
      </c>
      <c r="T98" s="110">
        <f t="shared" si="30"/>
        <v>1.8862762857732158</v>
      </c>
      <c r="U98" s="110">
        <f t="shared" si="30"/>
        <v>1.9279369485150653</v>
      </c>
      <c r="V98" s="39"/>
    </row>
    <row r="99" spans="1:22" x14ac:dyDescent="0.3">
      <c r="A99" s="125" t="s">
        <v>60</v>
      </c>
      <c r="B99" s="110">
        <f>B81</f>
        <v>5131.4315068493152</v>
      </c>
      <c r="C99" s="110">
        <f t="shared" ref="C99:U99" si="31">C81</f>
        <v>4861.3561643835619</v>
      </c>
      <c r="D99" s="110">
        <f t="shared" si="31"/>
        <v>4591.2808219178087</v>
      </c>
      <c r="E99" s="110">
        <f t="shared" si="31"/>
        <v>4321.2054794520554</v>
      </c>
      <c r="F99" s="110">
        <f t="shared" si="31"/>
        <v>4051.1301369863022</v>
      </c>
      <c r="G99" s="110">
        <f t="shared" si="31"/>
        <v>3781.054794520549</v>
      </c>
      <c r="H99" s="110">
        <f t="shared" si="31"/>
        <v>3510.9794520547957</v>
      </c>
      <c r="I99" s="110">
        <f t="shared" si="31"/>
        <v>3240.9041095890425</v>
      </c>
      <c r="J99" s="110">
        <f t="shared" si="31"/>
        <v>2970.8287671232893</v>
      </c>
      <c r="K99" s="110">
        <f t="shared" si="31"/>
        <v>2700.753424657536</v>
      </c>
      <c r="L99" s="110">
        <f t="shared" si="31"/>
        <v>2430.6780821917828</v>
      </c>
      <c r="M99" s="110">
        <f t="shared" si="31"/>
        <v>2160.6027397260295</v>
      </c>
      <c r="N99" s="110">
        <f t="shared" si="31"/>
        <v>1890.5273972602761</v>
      </c>
      <c r="O99" s="110">
        <f t="shared" si="31"/>
        <v>1620.4520547945226</v>
      </c>
      <c r="P99" s="110">
        <f t="shared" si="31"/>
        <v>1350.3767123287691</v>
      </c>
      <c r="Q99" s="110">
        <f t="shared" si="31"/>
        <v>1080.3013698630157</v>
      </c>
      <c r="R99" s="110">
        <f t="shared" si="31"/>
        <v>810.22602739726221</v>
      </c>
      <c r="S99" s="110">
        <f t="shared" si="31"/>
        <v>540.15068493150875</v>
      </c>
      <c r="T99" s="110">
        <f t="shared" si="31"/>
        <v>270.07534246575534</v>
      </c>
      <c r="U99" s="110">
        <f t="shared" si="31"/>
        <v>1.9326762412674725E-12</v>
      </c>
      <c r="V99" s="39"/>
    </row>
    <row r="100" spans="1:22" x14ac:dyDescent="0.3">
      <c r="A100" s="125" t="s">
        <v>65</v>
      </c>
      <c r="B100" s="110">
        <f>SUM(C27,C12)</f>
        <v>-290.60106849315071</v>
      </c>
      <c r="C100" s="110">
        <f>SUM(D27,D12)</f>
        <v>-345.38572676355415</v>
      </c>
      <c r="D100" s="110">
        <f>SUM(E27,E12)</f>
        <v>-397.40323415922182</v>
      </c>
      <c r="E100" s="110">
        <f>SUM(F27,F12)</f>
        <v>-440.26709173154637</v>
      </c>
      <c r="F100" s="110">
        <f>SUM(G27,G12)</f>
        <v>-485.86234062786292</v>
      </c>
      <c r="G100" s="110">
        <f>SUM(H27,H12)</f>
        <v>-527.84909812501178</v>
      </c>
      <c r="H100" s="110">
        <f>SUM(I27,I12)</f>
        <v>-566.25793136763571</v>
      </c>
      <c r="I100" s="110">
        <f>SUM(J27,J12)</f>
        <v>-600.45089743678272</v>
      </c>
      <c r="J100" s="110">
        <f>SUM(K27,K12)</f>
        <v>-631.1323632338549</v>
      </c>
      <c r="K100" s="110">
        <f>SUM(L27,L12)</f>
        <v>-658.33210552974151</v>
      </c>
      <c r="L100" s="110">
        <f>SUM(M27,M12)</f>
        <v>-778.78660840617692</v>
      </c>
      <c r="M100" s="110">
        <f>SUM(N27,N12)</f>
        <v>-797.61974010977019</v>
      </c>
      <c r="N100" s="110">
        <f>SUM(O27,O12)</f>
        <v>-813.07193149877253</v>
      </c>
      <c r="O100" s="110">
        <f>SUM(P27,P12)</f>
        <v>-824.50356420897504</v>
      </c>
      <c r="P100" s="110">
        <f>SUM(Q27,Q12)</f>
        <v>-832.61714408010948</v>
      </c>
      <c r="Q100" s="110">
        <f>SUM(R27,R12)</f>
        <v>-837.44076152859793</v>
      </c>
      <c r="R100" s="110">
        <f>SUM(S27,S12)</f>
        <v>-839.00269793400037</v>
      </c>
      <c r="S100" s="110">
        <f>SUM(T27,T12)</f>
        <v>-837.33067269762478</v>
      </c>
      <c r="T100" s="110">
        <f>SUM(U27,U12)</f>
        <v>-832.45208521244729</v>
      </c>
      <c r="U100" s="110">
        <f>SUM(V27,V12)</f>
        <v>-824.39387552057178</v>
      </c>
      <c r="V100" s="39"/>
    </row>
    <row r="101" spans="1:22" x14ac:dyDescent="0.3">
      <c r="A101" s="125" t="s">
        <v>66</v>
      </c>
      <c r="B101" s="110">
        <f t="shared" ref="B101:U101" si="32">C31</f>
        <v>0</v>
      </c>
      <c r="C101" s="110">
        <f t="shared" si="32"/>
        <v>0</v>
      </c>
      <c r="D101" s="110">
        <f t="shared" si="32"/>
        <v>0</v>
      </c>
      <c r="E101" s="110">
        <f t="shared" si="32"/>
        <v>0</v>
      </c>
      <c r="F101" s="110">
        <f t="shared" si="32"/>
        <v>0</v>
      </c>
      <c r="G101" s="110">
        <f t="shared" si="32"/>
        <v>0</v>
      </c>
      <c r="H101" s="110">
        <f t="shared" si="32"/>
        <v>0</v>
      </c>
      <c r="I101" s="110">
        <f t="shared" si="32"/>
        <v>0</v>
      </c>
      <c r="J101" s="110">
        <f t="shared" si="32"/>
        <v>0</v>
      </c>
      <c r="K101" s="110">
        <f t="shared" si="32"/>
        <v>0</v>
      </c>
      <c r="L101" s="110">
        <f t="shared" si="32"/>
        <v>0</v>
      </c>
      <c r="M101" s="110">
        <f t="shared" si="32"/>
        <v>0</v>
      </c>
      <c r="N101" s="110">
        <f t="shared" si="32"/>
        <v>0</v>
      </c>
      <c r="O101" s="110">
        <f t="shared" si="32"/>
        <v>0</v>
      </c>
      <c r="P101" s="110">
        <f t="shared" si="32"/>
        <v>0</v>
      </c>
      <c r="Q101" s="110">
        <f t="shared" si="32"/>
        <v>0</v>
      </c>
      <c r="R101" s="110">
        <f t="shared" si="32"/>
        <v>0</v>
      </c>
      <c r="S101" s="110">
        <f t="shared" si="32"/>
        <v>0</v>
      </c>
      <c r="T101" s="110">
        <f t="shared" si="32"/>
        <v>0</v>
      </c>
      <c r="U101" s="110">
        <f t="shared" si="32"/>
        <v>0</v>
      </c>
      <c r="V101" s="39"/>
    </row>
    <row r="102" spans="1:22" x14ac:dyDescent="0.3">
      <c r="A102" s="125" t="s">
        <v>68</v>
      </c>
      <c r="B102" s="110">
        <f>SUM(B98:B101)</f>
        <v>4842.1197606351989</v>
      </c>
      <c r="C102" s="110">
        <f>SUM(C98:C101)</f>
        <v>4517.2893839114231</v>
      </c>
      <c r="D102" s="110">
        <f t="shared" ref="D102:U102" si="33">SUM(D98:D101)</f>
        <v>4195.220424934997</v>
      </c>
      <c r="E102" s="110">
        <f t="shared" si="33"/>
        <v>3882.3092436958996</v>
      </c>
      <c r="F102" s="110">
        <f t="shared" si="33"/>
        <v>3566.6663081186853</v>
      </c>
      <c r="G102" s="110">
        <f t="shared" si="33"/>
        <v>3254.6352868382846</v>
      </c>
      <c r="H102" s="110">
        <f t="shared" si="33"/>
        <v>2946.1808611361193</v>
      </c>
      <c r="I102" s="110">
        <f t="shared" si="33"/>
        <v>2641.9421118058899</v>
      </c>
      <c r="J102" s="110">
        <f t="shared" si="33"/>
        <v>2341.2175040785178</v>
      </c>
      <c r="K102" s="110">
        <f t="shared" si="33"/>
        <v>-386.70542714003932</v>
      </c>
      <c r="L102" s="110">
        <f t="shared" si="33"/>
        <v>1653.4775776540114</v>
      </c>
      <c r="M102" s="110">
        <f t="shared" si="33"/>
        <v>1364.6033300838781</v>
      </c>
      <c r="N102" s="110">
        <f t="shared" si="33"/>
        <v>1079.108657795231</v>
      </c>
      <c r="O102" s="110">
        <f t="shared" si="33"/>
        <v>797.63873075845515</v>
      </c>
      <c r="P102" s="110">
        <f t="shared" si="33"/>
        <v>519.49036729728664</v>
      </c>
      <c r="Q102" s="110">
        <f t="shared" si="33"/>
        <v>244.62597915259994</v>
      </c>
      <c r="R102" s="110">
        <f t="shared" si="33"/>
        <v>-26.975622493126139</v>
      </c>
      <c r="S102" s="110">
        <f t="shared" si="33"/>
        <v>-295.34030195951595</v>
      </c>
      <c r="T102" s="110">
        <f t="shared" si="33"/>
        <v>-560.4904664609187</v>
      </c>
      <c r="U102" s="110">
        <f t="shared" si="33"/>
        <v>-822.46593857205482</v>
      </c>
      <c r="V102" s="39"/>
    </row>
    <row r="103" spans="1:22" x14ac:dyDescent="0.3">
      <c r="A103" s="126" t="s">
        <v>69</v>
      </c>
      <c r="B103" s="110">
        <f t="shared" ref="B103:U103" si="34">B102*Kst_Soli</f>
        <v>766.26545212052008</v>
      </c>
      <c r="C103" s="110">
        <f>C102*Kst_Soli</f>
        <v>714.86104500398255</v>
      </c>
      <c r="D103" s="110">
        <f t="shared" si="34"/>
        <v>663.8936322459632</v>
      </c>
      <c r="E103" s="110">
        <f t="shared" si="34"/>
        <v>614.37543781487602</v>
      </c>
      <c r="F103" s="110">
        <f t="shared" si="34"/>
        <v>564.4249432597818</v>
      </c>
      <c r="G103" s="110">
        <f t="shared" si="34"/>
        <v>515.04603414215842</v>
      </c>
      <c r="H103" s="110">
        <f t="shared" si="34"/>
        <v>466.23312127479079</v>
      </c>
      <c r="I103" s="110">
        <f t="shared" si="34"/>
        <v>418.08733919328199</v>
      </c>
      <c r="J103" s="110">
        <f t="shared" si="34"/>
        <v>370.4976700204254</v>
      </c>
      <c r="K103" s="110">
        <f t="shared" si="34"/>
        <v>-61.196133844911209</v>
      </c>
      <c r="L103" s="110">
        <f t="shared" si="34"/>
        <v>261.66282666374724</v>
      </c>
      <c r="M103" s="110">
        <f t="shared" si="34"/>
        <v>215.94847698577368</v>
      </c>
      <c r="N103" s="110">
        <f t="shared" si="34"/>
        <v>170.76894509609528</v>
      </c>
      <c r="O103" s="110">
        <f t="shared" si="34"/>
        <v>126.2263291425255</v>
      </c>
      <c r="P103" s="110">
        <f t="shared" si="34"/>
        <v>82.20935062479559</v>
      </c>
      <c r="Q103" s="110">
        <f t="shared" si="34"/>
        <v>38.712061200898937</v>
      </c>
      <c r="R103" s="110">
        <f t="shared" si="34"/>
        <v>-4.2688922595372105</v>
      </c>
      <c r="S103" s="110">
        <f t="shared" si="34"/>
        <v>-46.737602785093394</v>
      </c>
      <c r="T103" s="110">
        <f t="shared" si="34"/>
        <v>-88.697616317440364</v>
      </c>
      <c r="U103" s="110">
        <f t="shared" si="34"/>
        <v>-130.15523477902767</v>
      </c>
      <c r="V103" s="39"/>
    </row>
    <row r="104" spans="1:22" x14ac:dyDescent="0.3">
      <c r="A104" s="127"/>
      <c r="B104" s="37"/>
      <c r="C104" s="35"/>
      <c r="D104" s="37"/>
      <c r="E104" s="35"/>
      <c r="F104" s="37"/>
      <c r="G104" s="35"/>
      <c r="H104" s="37"/>
      <c r="I104" s="35"/>
      <c r="J104" s="37"/>
      <c r="K104" s="35"/>
      <c r="L104" s="37"/>
      <c r="M104" s="35"/>
      <c r="N104" s="37"/>
      <c r="O104" s="35"/>
      <c r="P104" s="37"/>
      <c r="Q104" s="35"/>
      <c r="R104" s="37"/>
      <c r="S104" s="35"/>
      <c r="T104" s="38"/>
      <c r="U104" s="35"/>
      <c r="V104" s="39"/>
    </row>
    <row r="105" spans="1:22" x14ac:dyDescent="0.3">
      <c r="A105" s="93" t="s">
        <v>64</v>
      </c>
      <c r="B105" s="94">
        <f>B91</f>
        <v>0.26187694220010937</v>
      </c>
      <c r="C105" s="94">
        <f t="shared" ref="C105:U105" si="35">C91</f>
        <v>0.25538226309507556</v>
      </c>
      <c r="D105" s="94">
        <f t="shared" si="35"/>
        <v>0.24904865527918615</v>
      </c>
      <c r="E105" s="94">
        <f t="shared" si="35"/>
        <v>0.24287212410393469</v>
      </c>
      <c r="F105" s="94">
        <f t="shared" si="35"/>
        <v>0.23684877399009507</v>
      </c>
      <c r="G105" s="94">
        <f t="shared" si="35"/>
        <v>0.23097480597075373</v>
      </c>
      <c r="H105" s="94">
        <f t="shared" si="35"/>
        <v>0.22524651529527606</v>
      </c>
      <c r="I105" s="94">
        <f t="shared" si="35"/>
        <v>0.21966028909269553</v>
      </c>
      <c r="J105" s="94">
        <f t="shared" si="35"/>
        <v>0.21421260409305212</v>
      </c>
      <c r="K105" s="94">
        <f t="shared" si="35"/>
        <v>0.20890002440524238</v>
      </c>
      <c r="L105" s="94">
        <f t="shared" si="35"/>
        <v>0.20371919934998012</v>
      </c>
      <c r="M105" s="94">
        <f t="shared" si="35"/>
        <v>0.19866686134650094</v>
      </c>
      <c r="N105" s="94">
        <f t="shared" si="35"/>
        <v>0.19373982385167701</v>
      </c>
      <c r="O105" s="94">
        <f t="shared" si="35"/>
        <v>0.18893497935024348</v>
      </c>
      <c r="P105" s="94">
        <f t="shared" si="35"/>
        <v>0.18424929739486776</v>
      </c>
      <c r="Q105" s="94">
        <f t="shared" si="35"/>
        <v>0.17967982269482632</v>
      </c>
      <c r="R105" s="94">
        <f t="shared" si="35"/>
        <v>0.1752236732520833</v>
      </c>
      <c r="S105" s="94">
        <f t="shared" si="35"/>
        <v>0.17087803854359501</v>
      </c>
      <c r="T105" s="94">
        <f t="shared" si="35"/>
        <v>0.16664017774869458</v>
      </c>
      <c r="U105" s="94">
        <f t="shared" si="35"/>
        <v>0.16250741802043805</v>
      </c>
      <c r="V105" s="39"/>
    </row>
    <row r="106" spans="1:22" x14ac:dyDescent="0.3">
      <c r="A106" s="93" t="s">
        <v>60</v>
      </c>
      <c r="B106" s="94">
        <f>0</f>
        <v>0</v>
      </c>
      <c r="C106" s="94">
        <f>0</f>
        <v>0</v>
      </c>
      <c r="D106" s="94">
        <f>0</f>
        <v>0</v>
      </c>
      <c r="E106" s="94">
        <f>0</f>
        <v>0</v>
      </c>
      <c r="F106" s="94">
        <f>0</f>
        <v>0</v>
      </c>
      <c r="G106" s="94">
        <f>0</f>
        <v>0</v>
      </c>
      <c r="H106" s="94">
        <f>0</f>
        <v>0</v>
      </c>
      <c r="I106" s="94">
        <f>0</f>
        <v>0</v>
      </c>
      <c r="J106" s="94">
        <f>0</f>
        <v>0</v>
      </c>
      <c r="K106" s="94">
        <f>0</f>
        <v>0</v>
      </c>
      <c r="L106" s="94">
        <f>0</f>
        <v>0</v>
      </c>
      <c r="M106" s="94">
        <f>0</f>
        <v>0</v>
      </c>
      <c r="N106" s="94">
        <f>0</f>
        <v>0</v>
      </c>
      <c r="O106" s="94">
        <f>0</f>
        <v>0</v>
      </c>
      <c r="P106" s="94">
        <f>0</f>
        <v>0</v>
      </c>
      <c r="Q106" s="94">
        <f>0</f>
        <v>0</v>
      </c>
      <c r="R106" s="94">
        <f>0</f>
        <v>0</v>
      </c>
      <c r="S106" s="94">
        <f>0</f>
        <v>0</v>
      </c>
      <c r="T106" s="94">
        <f>0</f>
        <v>0</v>
      </c>
      <c r="U106" s="94">
        <f>0</f>
        <v>0</v>
      </c>
      <c r="V106" s="39"/>
    </row>
    <row r="107" spans="1:22" x14ac:dyDescent="0.3">
      <c r="A107" s="93" t="s">
        <v>65</v>
      </c>
      <c r="B107" s="94">
        <f>SUM(C17)</f>
        <v>0</v>
      </c>
      <c r="C107" s="94">
        <f>SUM(D17)</f>
        <v>0</v>
      </c>
      <c r="D107" s="94">
        <f>SUM(E17)</f>
        <v>0</v>
      </c>
      <c r="E107" s="94">
        <f>SUM(F17)</f>
        <v>0</v>
      </c>
      <c r="F107" s="94">
        <f>SUM(G17)</f>
        <v>0</v>
      </c>
      <c r="G107" s="94">
        <f>SUM(H17)</f>
        <v>0</v>
      </c>
      <c r="H107" s="94">
        <f>SUM(I17)</f>
        <v>0</v>
      </c>
      <c r="I107" s="94">
        <f>SUM(J17)</f>
        <v>0</v>
      </c>
      <c r="J107" s="94">
        <f>SUM(K17)</f>
        <v>0</v>
      </c>
      <c r="K107" s="94">
        <f>SUM(L17)</f>
        <v>0</v>
      </c>
      <c r="L107" s="94">
        <f>SUM(M17)</f>
        <v>0</v>
      </c>
      <c r="M107" s="94">
        <f>SUM(N17)</f>
        <v>0</v>
      </c>
      <c r="N107" s="94">
        <f>SUM(O17)</f>
        <v>0</v>
      </c>
      <c r="O107" s="94">
        <f>SUM(P17)</f>
        <v>0</v>
      </c>
      <c r="P107" s="94">
        <f>SUM(Q17)</f>
        <v>0</v>
      </c>
      <c r="Q107" s="94">
        <f>SUM(R17)</f>
        <v>0</v>
      </c>
      <c r="R107" s="94">
        <f>SUM(S17)</f>
        <v>0</v>
      </c>
      <c r="S107" s="94">
        <f>SUM(T17)</f>
        <v>0</v>
      </c>
      <c r="T107" s="94">
        <f>SUM(U17)</f>
        <v>0</v>
      </c>
      <c r="U107" s="94">
        <f>SUM(V17)</f>
        <v>0</v>
      </c>
      <c r="V107" s="39"/>
    </row>
    <row r="108" spans="1:22" x14ac:dyDescent="0.3">
      <c r="A108" s="93" t="s">
        <v>66</v>
      </c>
      <c r="B108" s="94">
        <f t="shared" ref="B108:U108" si="36">C21</f>
        <v>0</v>
      </c>
      <c r="C108" s="94">
        <f t="shared" si="36"/>
        <v>0</v>
      </c>
      <c r="D108" s="94">
        <f t="shared" si="36"/>
        <v>0</v>
      </c>
      <c r="E108" s="94">
        <f t="shared" si="36"/>
        <v>0</v>
      </c>
      <c r="F108" s="94">
        <f t="shared" si="36"/>
        <v>0</v>
      </c>
      <c r="G108" s="94">
        <f t="shared" si="36"/>
        <v>1.7830360029355154E-2</v>
      </c>
      <c r="H108" s="94">
        <f t="shared" si="36"/>
        <v>2.139069975352521E-2</v>
      </c>
      <c r="I108" s="94">
        <f t="shared" si="36"/>
        <v>2.4920016641569794E-2</v>
      </c>
      <c r="J108" s="94">
        <f t="shared" si="36"/>
        <v>2.8419899671550699E-2</v>
      </c>
      <c r="K108" s="94">
        <f t="shared" si="36"/>
        <v>3.1891910142296226E-2</v>
      </c>
      <c r="L108" s="94">
        <f t="shared" si="36"/>
        <v>3.5337582527687872E-2</v>
      </c>
      <c r="M108" s="94">
        <f t="shared" si="36"/>
        <v>3.875842531216183E-2</v>
      </c>
      <c r="N108" s="94">
        <f t="shared" si="36"/>
        <v>4.2155921807925628E-2</v>
      </c>
      <c r="O108" s="94">
        <f t="shared" si="36"/>
        <v>4.5531530954378126E-2</v>
      </c>
      <c r="P108" s="94">
        <f t="shared" si="36"/>
        <v>4.8886688100209692E-2</v>
      </c>
      <c r="Q108" s="94">
        <f t="shared" si="36"/>
        <v>5.2222805768647872E-2</v>
      </c>
      <c r="R108" s="94">
        <f t="shared" si="36"/>
        <v>5.5541274406303076E-2</v>
      </c>
      <c r="S108" s="94">
        <f t="shared" si="36"/>
        <v>5.8843463116057669E-2</v>
      </c>
      <c r="T108" s="94">
        <f t="shared" si="36"/>
        <v>6.2130720374431882E-2</v>
      </c>
      <c r="U108" s="94">
        <f t="shared" si="36"/>
        <v>6.5404374733849288E-2</v>
      </c>
      <c r="V108" s="39"/>
    </row>
    <row r="109" spans="1:22" x14ac:dyDescent="0.3">
      <c r="A109" s="93" t="s">
        <v>68</v>
      </c>
      <c r="B109" s="94">
        <f t="shared" ref="B109:U109" si="37">SUM(B105:B108)</f>
        <v>0.26187694220010937</v>
      </c>
      <c r="C109" s="94">
        <f t="shared" si="37"/>
        <v>0.25538226309507556</v>
      </c>
      <c r="D109" s="94">
        <f t="shared" si="37"/>
        <v>0.24904865527918615</v>
      </c>
      <c r="E109" s="94">
        <f t="shared" si="37"/>
        <v>0.24287212410393469</v>
      </c>
      <c r="F109" s="94">
        <f t="shared" si="37"/>
        <v>0.23684877399009507</v>
      </c>
      <c r="G109" s="94">
        <f t="shared" si="37"/>
        <v>0.24880516600010888</v>
      </c>
      <c r="H109" s="94">
        <f t="shared" si="37"/>
        <v>0.24663721504880126</v>
      </c>
      <c r="I109" s="94">
        <f t="shared" si="37"/>
        <v>0.24458030573426531</v>
      </c>
      <c r="J109" s="94">
        <f t="shared" si="37"/>
        <v>0.24263250376460282</v>
      </c>
      <c r="K109" s="94">
        <f t="shared" si="37"/>
        <v>0.24079193454753861</v>
      </c>
      <c r="L109" s="94">
        <f t="shared" si="37"/>
        <v>0.23905678187766799</v>
      </c>
      <c r="M109" s="94">
        <f t="shared" si="37"/>
        <v>0.23742528665866278</v>
      </c>
      <c r="N109" s="94">
        <f t="shared" si="37"/>
        <v>0.23589574565960264</v>
      </c>
      <c r="O109" s="94">
        <f t="shared" si="37"/>
        <v>0.23446651030462159</v>
      </c>
      <c r="P109" s="94">
        <f t="shared" si="37"/>
        <v>0.23313598549507744</v>
      </c>
      <c r="Q109" s="94">
        <f t="shared" si="37"/>
        <v>0.2319026284634742</v>
      </c>
      <c r="R109" s="94">
        <f t="shared" si="37"/>
        <v>0.23076494765838637</v>
      </c>
      <c r="S109" s="94">
        <f t="shared" si="37"/>
        <v>0.22972150165965269</v>
      </c>
      <c r="T109" s="95">
        <f t="shared" si="37"/>
        <v>0.22877089812312645</v>
      </c>
      <c r="U109" s="94">
        <f t="shared" si="37"/>
        <v>0.22791179275428736</v>
      </c>
      <c r="V109" s="39"/>
    </row>
    <row r="110" spans="1:22" ht="31.2" x14ac:dyDescent="0.3">
      <c r="A110" s="97" t="s">
        <v>123</v>
      </c>
      <c r="B110" s="94">
        <f>B109*Kst_Soli</f>
        <v>4.1442026103167301E-2</v>
      </c>
      <c r="C110" s="94">
        <f t="shared" ref="C110:U110" si="38">C109*Kst_Soli</f>
        <v>4.0414243134795698E-2</v>
      </c>
      <c r="D110" s="94">
        <f t="shared" si="38"/>
        <v>3.9411949697931201E-2</v>
      </c>
      <c r="E110" s="94">
        <f t="shared" si="38"/>
        <v>3.8434513639447658E-2</v>
      </c>
      <c r="F110" s="94">
        <f t="shared" si="38"/>
        <v>3.7481318483932539E-2</v>
      </c>
      <c r="G110" s="94">
        <f t="shared" si="38"/>
        <v>3.9373417519517222E-2</v>
      </c>
      <c r="H110" s="94">
        <f t="shared" si="38"/>
        <v>3.9030339281472794E-2</v>
      </c>
      <c r="I110" s="94">
        <f t="shared" si="38"/>
        <v>3.8704833382447477E-2</v>
      </c>
      <c r="J110" s="94">
        <f t="shared" si="38"/>
        <v>3.8396593720748391E-2</v>
      </c>
      <c r="K110" s="94">
        <f t="shared" si="38"/>
        <v>3.8105323642147977E-2</v>
      </c>
      <c r="L110" s="94">
        <f t="shared" si="38"/>
        <v>3.7830735732140956E-2</v>
      </c>
      <c r="M110" s="94">
        <f t="shared" si="38"/>
        <v>3.7572551613733379E-2</v>
      </c>
      <c r="N110" s="94">
        <f t="shared" si="38"/>
        <v>3.7330501750632114E-2</v>
      </c>
      <c r="O110" s="94">
        <f t="shared" si="38"/>
        <v>3.7104325255706359E-2</v>
      </c>
      <c r="P110" s="94">
        <f t="shared" si="38"/>
        <v>3.6893769704595999E-2</v>
      </c>
      <c r="Q110" s="94">
        <f t="shared" si="38"/>
        <v>3.6698590954344787E-2</v>
      </c>
      <c r="R110" s="94">
        <f t="shared" si="38"/>
        <v>3.6518552966939635E-2</v>
      </c>
      <c r="S110" s="94">
        <f t="shared" si="38"/>
        <v>3.6353427637640032E-2</v>
      </c>
      <c r="T110" s="95">
        <f t="shared" si="38"/>
        <v>3.6202994627984757E-2</v>
      </c>
      <c r="U110" s="94">
        <f t="shared" si="38"/>
        <v>3.6067041203365971E-2</v>
      </c>
      <c r="V110" s="39"/>
    </row>
    <row r="111" spans="1:22" x14ac:dyDescent="0.3">
      <c r="A111" s="124"/>
      <c r="B111" s="37"/>
      <c r="C111" s="35"/>
      <c r="D111" s="37"/>
      <c r="E111" s="35"/>
      <c r="F111" s="37"/>
      <c r="G111" s="35"/>
      <c r="H111" s="37"/>
      <c r="I111" s="35"/>
      <c r="J111" s="37"/>
      <c r="K111" s="35"/>
      <c r="L111" s="37"/>
      <c r="M111" s="35"/>
      <c r="N111" s="37"/>
      <c r="O111" s="35"/>
      <c r="P111" s="37"/>
      <c r="Q111" s="35"/>
      <c r="R111" s="37"/>
      <c r="S111" s="35"/>
      <c r="T111" s="38"/>
      <c r="U111" s="35"/>
      <c r="V111"/>
    </row>
    <row r="112" spans="1:22" x14ac:dyDescent="0.3">
      <c r="A112" s="126" t="s">
        <v>122</v>
      </c>
      <c r="B112" s="110">
        <f t="shared" ref="B112:T112" si="39">(B103+B88)*(-1)</f>
        <v>-728.9904521205201</v>
      </c>
      <c r="C112" s="110">
        <f>(C103+C88)*(-1)</f>
        <v>-677.58604500398258</v>
      </c>
      <c r="D112" s="110">
        <f t="shared" si="39"/>
        <v>-626.61863224596323</v>
      </c>
      <c r="E112" s="110">
        <f t="shared" si="39"/>
        <v>-564.67543781487598</v>
      </c>
      <c r="F112" s="110">
        <f t="shared" si="39"/>
        <v>-514.72494325978175</v>
      </c>
      <c r="G112" s="110">
        <f t="shared" si="39"/>
        <v>-465.34603414215843</v>
      </c>
      <c r="H112" s="110">
        <f t="shared" si="39"/>
        <v>-404.10812127479079</v>
      </c>
      <c r="I112" s="110">
        <f t="shared" si="39"/>
        <v>-355.96233919328199</v>
      </c>
      <c r="J112" s="110">
        <f t="shared" si="39"/>
        <v>-308.3726700204254</v>
      </c>
      <c r="K112" s="110">
        <f t="shared" si="39"/>
        <v>371.82113384491123</v>
      </c>
      <c r="L112" s="110">
        <f t="shared" si="39"/>
        <v>-187.11282666374723</v>
      </c>
      <c r="M112" s="110">
        <f t="shared" si="39"/>
        <v>-141.3984769857737</v>
      </c>
      <c r="N112" s="110">
        <f t="shared" si="39"/>
        <v>-83.793945096095285</v>
      </c>
      <c r="O112" s="110">
        <f t="shared" si="39"/>
        <v>-39.251329142525506</v>
      </c>
      <c r="P112" s="110">
        <f t="shared" si="39"/>
        <v>4.7656493752044042</v>
      </c>
      <c r="Q112" s="110">
        <f t="shared" si="39"/>
        <v>48.262938799101057</v>
      </c>
      <c r="R112" s="110">
        <f t="shared" si="39"/>
        <v>91.243892259537205</v>
      </c>
      <c r="S112" s="110">
        <f t="shared" si="39"/>
        <v>133.7126027850934</v>
      </c>
      <c r="T112" s="110">
        <f t="shared" si="39"/>
        <v>175.67261631744037</v>
      </c>
      <c r="U112" s="110">
        <f>(U103+U88)*(-1)</f>
        <v>217.13023477902766</v>
      </c>
      <c r="V112"/>
    </row>
    <row r="113" spans="1:22" ht="13.8" customHeight="1" x14ac:dyDescent="0.3">
      <c r="A113" s="97" t="s">
        <v>121</v>
      </c>
      <c r="B113" s="94">
        <f>(B110+B95)*(-1)</f>
        <v>-4.1442026103167301E-2</v>
      </c>
      <c r="C113" s="94">
        <f>(C110+C95)*(-1)</f>
        <v>-4.0414243134795698E-2</v>
      </c>
      <c r="D113" s="94">
        <f>(D110+D95)*(-1)</f>
        <v>-3.9411949697931201E-2</v>
      </c>
      <c r="E113" s="94">
        <f>(E110+E95)*(-1)</f>
        <v>-3.8434513639447658E-2</v>
      </c>
      <c r="F113" s="94">
        <f t="shared" ref="F113:U113" si="40">(F110+F95)*(-1)</f>
        <v>-3.7481318483932539E-2</v>
      </c>
      <c r="G113" s="94">
        <f t="shared" si="40"/>
        <v>-3.9373417519517222E-2</v>
      </c>
      <c r="H113" s="94">
        <f t="shared" si="40"/>
        <v>-3.9030339281472794E-2</v>
      </c>
      <c r="I113" s="94">
        <f t="shared" si="40"/>
        <v>-3.8704833382447477E-2</v>
      </c>
      <c r="J113" s="94">
        <f t="shared" si="40"/>
        <v>-3.8396593720748391E-2</v>
      </c>
      <c r="K113" s="94">
        <f t="shared" si="40"/>
        <v>-3.8105323642147977E-2</v>
      </c>
      <c r="L113" s="94">
        <f t="shared" si="40"/>
        <v>-3.7830735732140956E-2</v>
      </c>
      <c r="M113" s="94">
        <f t="shared" si="40"/>
        <v>-3.7572551613733379E-2</v>
      </c>
      <c r="N113" s="94">
        <f t="shared" si="40"/>
        <v>-3.7330501750632114E-2</v>
      </c>
      <c r="O113" s="94">
        <f t="shared" si="40"/>
        <v>-3.7104325255706359E-2</v>
      </c>
      <c r="P113" s="94">
        <f t="shared" si="40"/>
        <v>-3.6893769704595999E-2</v>
      </c>
      <c r="Q113" s="94">
        <f t="shared" si="40"/>
        <v>-3.6698590954344787E-2</v>
      </c>
      <c r="R113" s="94">
        <f t="shared" si="40"/>
        <v>-3.6518552966939635E-2</v>
      </c>
      <c r="S113" s="94">
        <f t="shared" si="40"/>
        <v>-3.6353427637640032E-2</v>
      </c>
      <c r="T113" s="94">
        <f t="shared" si="40"/>
        <v>-3.6202994627984757E-2</v>
      </c>
      <c r="U113" s="94">
        <f t="shared" si="40"/>
        <v>-3.6067041203365971E-2</v>
      </c>
      <c r="V113"/>
    </row>
    <row r="116" spans="1:22" ht="16.2" thickBot="1" x14ac:dyDescent="0.35"/>
    <row r="117" spans="1:22" x14ac:dyDescent="0.3">
      <c r="A117" s="25" t="s">
        <v>55</v>
      </c>
    </row>
    <row r="118" spans="1:22" x14ac:dyDescent="0.3">
      <c r="A118" s="26">
        <f>3.84*365*2</f>
        <v>2803.2</v>
      </c>
      <c r="C118" s="132" t="s">
        <v>141</v>
      </c>
      <c r="D118" s="132">
        <v>100</v>
      </c>
    </row>
    <row r="119" spans="1:22" x14ac:dyDescent="0.3">
      <c r="A119" s="26">
        <f t="shared" ref="A119:A182" si="41">IFERROR(IF(A118-$D$118&gt;0,A118-$D$118,""),"")</f>
        <v>2703.2</v>
      </c>
    </row>
    <row r="120" spans="1:22" x14ac:dyDescent="0.3">
      <c r="A120" s="26">
        <f t="shared" si="41"/>
        <v>2603.1999999999998</v>
      </c>
    </row>
    <row r="121" spans="1:22" x14ac:dyDescent="0.3">
      <c r="A121" s="26">
        <f t="shared" si="41"/>
        <v>2503.1999999999998</v>
      </c>
    </row>
    <row r="122" spans="1:22" x14ac:dyDescent="0.3">
      <c r="A122" s="26">
        <f t="shared" si="41"/>
        <v>2403.1999999999998</v>
      </c>
    </row>
    <row r="123" spans="1:22" x14ac:dyDescent="0.3">
      <c r="A123" s="26">
        <f t="shared" si="41"/>
        <v>2303.1999999999998</v>
      </c>
    </row>
    <row r="124" spans="1:22" x14ac:dyDescent="0.3">
      <c r="A124" s="26">
        <f t="shared" si="41"/>
        <v>2203.1999999999998</v>
      </c>
    </row>
    <row r="125" spans="1:22" x14ac:dyDescent="0.3">
      <c r="A125" s="26">
        <f t="shared" si="41"/>
        <v>2103.1999999999998</v>
      </c>
    </row>
    <row r="126" spans="1:22" x14ac:dyDescent="0.3">
      <c r="A126" s="26">
        <f t="shared" si="41"/>
        <v>2003.1999999999998</v>
      </c>
    </row>
    <row r="127" spans="1:22" x14ac:dyDescent="0.3">
      <c r="A127" s="26">
        <f t="shared" si="41"/>
        <v>1903.1999999999998</v>
      </c>
    </row>
    <row r="128" spans="1:22" x14ac:dyDescent="0.3">
      <c r="A128" s="26">
        <f t="shared" si="41"/>
        <v>1803.1999999999998</v>
      </c>
    </row>
    <row r="129" spans="1:1" x14ac:dyDescent="0.3">
      <c r="A129" s="26">
        <f t="shared" si="41"/>
        <v>1703.1999999999998</v>
      </c>
    </row>
    <row r="130" spans="1:1" x14ac:dyDescent="0.3">
      <c r="A130" s="26">
        <f t="shared" si="41"/>
        <v>1603.1999999999998</v>
      </c>
    </row>
    <row r="131" spans="1:1" x14ac:dyDescent="0.3">
      <c r="A131" s="26">
        <f t="shared" si="41"/>
        <v>1503.1999999999998</v>
      </c>
    </row>
    <row r="132" spans="1:1" x14ac:dyDescent="0.3">
      <c r="A132" s="26">
        <f t="shared" si="41"/>
        <v>1403.1999999999998</v>
      </c>
    </row>
    <row r="133" spans="1:1" x14ac:dyDescent="0.3">
      <c r="A133" s="26">
        <f t="shared" si="41"/>
        <v>1303.1999999999998</v>
      </c>
    </row>
    <row r="134" spans="1:1" x14ac:dyDescent="0.3">
      <c r="A134" s="26">
        <f t="shared" si="41"/>
        <v>1203.1999999999998</v>
      </c>
    </row>
    <row r="135" spans="1:1" x14ac:dyDescent="0.3">
      <c r="A135" s="26">
        <f t="shared" si="41"/>
        <v>1103.1999999999998</v>
      </c>
    </row>
    <row r="136" spans="1:1" x14ac:dyDescent="0.3">
      <c r="A136" s="26">
        <f t="shared" si="41"/>
        <v>1003.1999999999998</v>
      </c>
    </row>
    <row r="137" spans="1:1" x14ac:dyDescent="0.3">
      <c r="A137" s="26">
        <f t="shared" si="41"/>
        <v>903.19999999999982</v>
      </c>
    </row>
    <row r="138" spans="1:1" x14ac:dyDescent="0.3">
      <c r="A138" s="26">
        <f t="shared" si="41"/>
        <v>803.19999999999982</v>
      </c>
    </row>
    <row r="139" spans="1:1" x14ac:dyDescent="0.3">
      <c r="A139" s="26">
        <f t="shared" si="41"/>
        <v>703.19999999999982</v>
      </c>
    </row>
    <row r="140" spans="1:1" x14ac:dyDescent="0.3">
      <c r="A140" s="26">
        <f t="shared" si="41"/>
        <v>603.19999999999982</v>
      </c>
    </row>
    <row r="141" spans="1:1" x14ac:dyDescent="0.3">
      <c r="A141" s="26">
        <f t="shared" si="41"/>
        <v>503.19999999999982</v>
      </c>
    </row>
    <row r="142" spans="1:1" x14ac:dyDescent="0.3">
      <c r="A142" s="26">
        <f t="shared" si="41"/>
        <v>403.19999999999982</v>
      </c>
    </row>
    <row r="143" spans="1:1" x14ac:dyDescent="0.3">
      <c r="A143" s="26">
        <f t="shared" si="41"/>
        <v>303.19999999999982</v>
      </c>
    </row>
    <row r="144" spans="1:1" x14ac:dyDescent="0.3">
      <c r="A144" s="26">
        <f t="shared" si="41"/>
        <v>203.19999999999982</v>
      </c>
    </row>
    <row r="145" spans="1:1" x14ac:dyDescent="0.3">
      <c r="A145" s="26">
        <f t="shared" si="41"/>
        <v>103.19999999999982</v>
      </c>
    </row>
    <row r="146" spans="1:1" x14ac:dyDescent="0.3">
      <c r="A146" s="26">
        <f t="shared" si="41"/>
        <v>3.1999999999998181</v>
      </c>
    </row>
    <row r="147" spans="1:1" x14ac:dyDescent="0.3">
      <c r="A147" s="26" t="str">
        <f t="shared" si="41"/>
        <v/>
      </c>
    </row>
    <row r="148" spans="1:1" x14ac:dyDescent="0.3">
      <c r="A148" s="26" t="str">
        <f t="shared" si="41"/>
        <v/>
      </c>
    </row>
    <row r="149" spans="1:1" x14ac:dyDescent="0.3">
      <c r="A149" s="26" t="str">
        <f t="shared" si="41"/>
        <v/>
      </c>
    </row>
    <row r="150" spans="1:1" x14ac:dyDescent="0.3">
      <c r="A150" s="26" t="str">
        <f t="shared" si="41"/>
        <v/>
      </c>
    </row>
    <row r="151" spans="1:1" x14ac:dyDescent="0.3">
      <c r="A151" s="26" t="str">
        <f t="shared" si="41"/>
        <v/>
      </c>
    </row>
    <row r="152" spans="1:1" x14ac:dyDescent="0.3">
      <c r="A152" s="26" t="str">
        <f t="shared" si="41"/>
        <v/>
      </c>
    </row>
    <row r="153" spans="1:1" x14ac:dyDescent="0.3">
      <c r="A153" s="26" t="str">
        <f t="shared" si="41"/>
        <v/>
      </c>
    </row>
    <row r="154" spans="1:1" x14ac:dyDescent="0.3">
      <c r="A154" s="26" t="str">
        <f t="shared" si="41"/>
        <v/>
      </c>
    </row>
    <row r="155" spans="1:1" x14ac:dyDescent="0.3">
      <c r="A155" s="26" t="str">
        <f t="shared" si="41"/>
        <v/>
      </c>
    </row>
    <row r="156" spans="1:1" x14ac:dyDescent="0.3">
      <c r="A156" s="26" t="str">
        <f t="shared" si="41"/>
        <v/>
      </c>
    </row>
    <row r="157" spans="1:1" x14ac:dyDescent="0.3">
      <c r="A157" s="26" t="str">
        <f t="shared" si="41"/>
        <v/>
      </c>
    </row>
    <row r="158" spans="1:1" x14ac:dyDescent="0.3">
      <c r="A158" s="26" t="str">
        <f t="shared" si="41"/>
        <v/>
      </c>
    </row>
    <row r="159" spans="1:1" x14ac:dyDescent="0.3">
      <c r="A159" s="26" t="str">
        <f t="shared" si="41"/>
        <v/>
      </c>
    </row>
    <row r="160" spans="1:1" x14ac:dyDescent="0.3">
      <c r="A160" s="26" t="str">
        <f t="shared" si="41"/>
        <v/>
      </c>
    </row>
    <row r="161" spans="1:1" x14ac:dyDescent="0.3">
      <c r="A161" s="26" t="str">
        <f t="shared" si="41"/>
        <v/>
      </c>
    </row>
    <row r="162" spans="1:1" x14ac:dyDescent="0.3">
      <c r="A162" s="26" t="str">
        <f t="shared" si="41"/>
        <v/>
      </c>
    </row>
    <row r="163" spans="1:1" x14ac:dyDescent="0.3">
      <c r="A163" s="26" t="str">
        <f t="shared" si="41"/>
        <v/>
      </c>
    </row>
    <row r="164" spans="1:1" x14ac:dyDescent="0.3">
      <c r="A164" s="26" t="str">
        <f t="shared" si="41"/>
        <v/>
      </c>
    </row>
    <row r="165" spans="1:1" x14ac:dyDescent="0.3">
      <c r="A165" s="26" t="str">
        <f t="shared" si="41"/>
        <v/>
      </c>
    </row>
    <row r="166" spans="1:1" x14ac:dyDescent="0.3">
      <c r="A166" s="26" t="str">
        <f t="shared" si="41"/>
        <v/>
      </c>
    </row>
    <row r="167" spans="1:1" x14ac:dyDescent="0.3">
      <c r="A167" s="26" t="str">
        <f t="shared" si="41"/>
        <v/>
      </c>
    </row>
    <row r="168" spans="1:1" x14ac:dyDescent="0.3">
      <c r="A168" s="26" t="str">
        <f t="shared" si="41"/>
        <v/>
      </c>
    </row>
    <row r="169" spans="1:1" x14ac:dyDescent="0.3">
      <c r="A169" s="26" t="str">
        <f t="shared" si="41"/>
        <v/>
      </c>
    </row>
    <row r="170" spans="1:1" x14ac:dyDescent="0.3">
      <c r="A170" s="26" t="str">
        <f t="shared" si="41"/>
        <v/>
      </c>
    </row>
    <row r="171" spans="1:1" x14ac:dyDescent="0.3">
      <c r="A171" s="26" t="str">
        <f t="shared" si="41"/>
        <v/>
      </c>
    </row>
    <row r="172" spans="1:1" x14ac:dyDescent="0.3">
      <c r="A172" s="26" t="str">
        <f t="shared" si="41"/>
        <v/>
      </c>
    </row>
    <row r="173" spans="1:1" x14ac:dyDescent="0.3">
      <c r="A173" s="26" t="str">
        <f t="shared" si="41"/>
        <v/>
      </c>
    </row>
    <row r="174" spans="1:1" x14ac:dyDescent="0.3">
      <c r="A174" s="26" t="str">
        <f t="shared" si="41"/>
        <v/>
      </c>
    </row>
    <row r="175" spans="1:1" x14ac:dyDescent="0.3">
      <c r="A175" s="26" t="str">
        <f t="shared" si="41"/>
        <v/>
      </c>
    </row>
    <row r="176" spans="1:1" x14ac:dyDescent="0.3">
      <c r="A176" s="26" t="str">
        <f t="shared" si="41"/>
        <v/>
      </c>
    </row>
    <row r="177" spans="1:1" x14ac:dyDescent="0.3">
      <c r="A177" s="26" t="str">
        <f t="shared" si="41"/>
        <v/>
      </c>
    </row>
    <row r="178" spans="1:1" x14ac:dyDescent="0.3">
      <c r="A178" s="26" t="str">
        <f t="shared" si="41"/>
        <v/>
      </c>
    </row>
    <row r="179" spans="1:1" x14ac:dyDescent="0.3">
      <c r="A179" s="26" t="str">
        <f t="shared" si="41"/>
        <v/>
      </c>
    </row>
    <row r="180" spans="1:1" x14ac:dyDescent="0.3">
      <c r="A180" s="26" t="str">
        <f t="shared" si="41"/>
        <v/>
      </c>
    </row>
    <row r="181" spans="1:1" x14ac:dyDescent="0.3">
      <c r="A181" s="26" t="str">
        <f t="shared" si="41"/>
        <v/>
      </c>
    </row>
    <row r="182" spans="1:1" x14ac:dyDescent="0.3">
      <c r="A182" s="26" t="str">
        <f t="shared" si="41"/>
        <v/>
      </c>
    </row>
    <row r="183" spans="1:1" x14ac:dyDescent="0.3">
      <c r="A183" s="26" t="str">
        <f t="shared" ref="A183:A246" si="42">IFERROR(IF(A182-$D$118&gt;0,A182-$D$118,""),"")</f>
        <v/>
      </c>
    </row>
    <row r="184" spans="1:1" x14ac:dyDescent="0.3">
      <c r="A184" s="26" t="str">
        <f t="shared" si="42"/>
        <v/>
      </c>
    </row>
    <row r="185" spans="1:1" x14ac:dyDescent="0.3">
      <c r="A185" s="26" t="str">
        <f t="shared" si="42"/>
        <v/>
      </c>
    </row>
    <row r="186" spans="1:1" x14ac:dyDescent="0.3">
      <c r="A186" s="26" t="str">
        <f t="shared" si="42"/>
        <v/>
      </c>
    </row>
    <row r="187" spans="1:1" x14ac:dyDescent="0.3">
      <c r="A187" s="26" t="str">
        <f t="shared" si="42"/>
        <v/>
      </c>
    </row>
    <row r="188" spans="1:1" x14ac:dyDescent="0.3">
      <c r="A188" s="26" t="str">
        <f t="shared" si="42"/>
        <v/>
      </c>
    </row>
    <row r="189" spans="1:1" x14ac:dyDescent="0.3">
      <c r="A189" s="26" t="str">
        <f t="shared" si="42"/>
        <v/>
      </c>
    </row>
    <row r="190" spans="1:1" x14ac:dyDescent="0.3">
      <c r="A190" s="26" t="str">
        <f t="shared" si="42"/>
        <v/>
      </c>
    </row>
    <row r="191" spans="1:1" x14ac:dyDescent="0.3">
      <c r="A191" s="26" t="str">
        <f t="shared" si="42"/>
        <v/>
      </c>
    </row>
    <row r="192" spans="1:1" x14ac:dyDescent="0.3">
      <c r="A192" s="26" t="str">
        <f t="shared" si="42"/>
        <v/>
      </c>
    </row>
    <row r="193" spans="1:1" x14ac:dyDescent="0.3">
      <c r="A193" s="26" t="str">
        <f t="shared" si="42"/>
        <v/>
      </c>
    </row>
    <row r="194" spans="1:1" x14ac:dyDescent="0.3">
      <c r="A194" s="26" t="str">
        <f t="shared" si="42"/>
        <v/>
      </c>
    </row>
    <row r="195" spans="1:1" x14ac:dyDescent="0.3">
      <c r="A195" s="26" t="str">
        <f t="shared" si="42"/>
        <v/>
      </c>
    </row>
    <row r="196" spans="1:1" x14ac:dyDescent="0.3">
      <c r="A196" s="26" t="str">
        <f t="shared" si="42"/>
        <v/>
      </c>
    </row>
    <row r="197" spans="1:1" x14ac:dyDescent="0.3">
      <c r="A197" s="26" t="str">
        <f t="shared" si="42"/>
        <v/>
      </c>
    </row>
    <row r="198" spans="1:1" x14ac:dyDescent="0.3">
      <c r="A198" s="26" t="str">
        <f t="shared" si="42"/>
        <v/>
      </c>
    </row>
    <row r="199" spans="1:1" x14ac:dyDescent="0.3">
      <c r="A199" s="26" t="str">
        <f t="shared" si="42"/>
        <v/>
      </c>
    </row>
    <row r="200" spans="1:1" x14ac:dyDescent="0.3">
      <c r="A200" s="26" t="str">
        <f t="shared" si="42"/>
        <v/>
      </c>
    </row>
    <row r="201" spans="1:1" x14ac:dyDescent="0.3">
      <c r="A201" s="26" t="str">
        <f t="shared" si="42"/>
        <v/>
      </c>
    </row>
    <row r="202" spans="1:1" x14ac:dyDescent="0.3">
      <c r="A202" s="26" t="str">
        <f t="shared" si="42"/>
        <v/>
      </c>
    </row>
    <row r="203" spans="1:1" x14ac:dyDescent="0.3">
      <c r="A203" s="26" t="str">
        <f t="shared" si="42"/>
        <v/>
      </c>
    </row>
    <row r="204" spans="1:1" x14ac:dyDescent="0.3">
      <c r="A204" s="26" t="str">
        <f t="shared" si="42"/>
        <v/>
      </c>
    </row>
    <row r="205" spans="1:1" x14ac:dyDescent="0.3">
      <c r="A205" s="26" t="str">
        <f t="shared" si="42"/>
        <v/>
      </c>
    </row>
    <row r="206" spans="1:1" x14ac:dyDescent="0.3">
      <c r="A206" s="26" t="str">
        <f t="shared" si="42"/>
        <v/>
      </c>
    </row>
    <row r="207" spans="1:1" x14ac:dyDescent="0.3">
      <c r="A207" s="26" t="str">
        <f t="shared" si="42"/>
        <v/>
      </c>
    </row>
    <row r="208" spans="1:1" x14ac:dyDescent="0.3">
      <c r="A208" s="26" t="str">
        <f t="shared" si="42"/>
        <v/>
      </c>
    </row>
    <row r="209" spans="1:1" x14ac:dyDescent="0.3">
      <c r="A209" s="26" t="str">
        <f t="shared" si="42"/>
        <v/>
      </c>
    </row>
    <row r="210" spans="1:1" x14ac:dyDescent="0.3">
      <c r="A210" s="26" t="str">
        <f t="shared" si="42"/>
        <v/>
      </c>
    </row>
    <row r="211" spans="1:1" x14ac:dyDescent="0.3">
      <c r="A211" s="26" t="str">
        <f t="shared" si="42"/>
        <v/>
      </c>
    </row>
    <row r="212" spans="1:1" x14ac:dyDescent="0.3">
      <c r="A212" s="26" t="str">
        <f t="shared" si="42"/>
        <v/>
      </c>
    </row>
    <row r="213" spans="1:1" x14ac:dyDescent="0.3">
      <c r="A213" s="26" t="str">
        <f t="shared" si="42"/>
        <v/>
      </c>
    </row>
    <row r="214" spans="1:1" x14ac:dyDescent="0.3">
      <c r="A214" s="26" t="str">
        <f t="shared" si="42"/>
        <v/>
      </c>
    </row>
    <row r="215" spans="1:1" x14ac:dyDescent="0.3">
      <c r="A215" s="26" t="str">
        <f t="shared" si="42"/>
        <v/>
      </c>
    </row>
    <row r="216" spans="1:1" x14ac:dyDescent="0.3">
      <c r="A216" s="26" t="str">
        <f t="shared" si="42"/>
        <v/>
      </c>
    </row>
    <row r="217" spans="1:1" x14ac:dyDescent="0.3">
      <c r="A217" s="26" t="str">
        <f t="shared" si="42"/>
        <v/>
      </c>
    </row>
    <row r="218" spans="1:1" x14ac:dyDescent="0.3">
      <c r="A218" s="26" t="str">
        <f t="shared" si="42"/>
        <v/>
      </c>
    </row>
    <row r="219" spans="1:1" x14ac:dyDescent="0.3">
      <c r="A219" s="26" t="str">
        <f t="shared" si="42"/>
        <v/>
      </c>
    </row>
    <row r="220" spans="1:1" x14ac:dyDescent="0.3">
      <c r="A220" s="26" t="str">
        <f t="shared" si="42"/>
        <v/>
      </c>
    </row>
    <row r="221" spans="1:1" x14ac:dyDescent="0.3">
      <c r="A221" s="26" t="str">
        <f t="shared" si="42"/>
        <v/>
      </c>
    </row>
    <row r="222" spans="1:1" x14ac:dyDescent="0.3">
      <c r="A222" s="26" t="str">
        <f t="shared" si="42"/>
        <v/>
      </c>
    </row>
    <row r="223" spans="1:1" x14ac:dyDescent="0.3">
      <c r="A223" s="26" t="str">
        <f t="shared" si="42"/>
        <v/>
      </c>
    </row>
    <row r="224" spans="1:1" x14ac:dyDescent="0.3">
      <c r="A224" s="26" t="str">
        <f t="shared" si="42"/>
        <v/>
      </c>
    </row>
    <row r="225" spans="1:1" x14ac:dyDescent="0.3">
      <c r="A225" s="26" t="str">
        <f t="shared" si="42"/>
        <v/>
      </c>
    </row>
    <row r="226" spans="1:1" x14ac:dyDescent="0.3">
      <c r="A226" s="26" t="str">
        <f t="shared" si="42"/>
        <v/>
      </c>
    </row>
    <row r="227" spans="1:1" x14ac:dyDescent="0.3">
      <c r="A227" s="26" t="str">
        <f t="shared" si="42"/>
        <v/>
      </c>
    </row>
    <row r="228" spans="1:1" x14ac:dyDescent="0.3">
      <c r="A228" s="26" t="str">
        <f t="shared" si="42"/>
        <v/>
      </c>
    </row>
    <row r="229" spans="1:1" x14ac:dyDescent="0.3">
      <c r="A229" s="26" t="str">
        <f t="shared" si="42"/>
        <v/>
      </c>
    </row>
    <row r="230" spans="1:1" x14ac:dyDescent="0.3">
      <c r="A230" s="26" t="str">
        <f t="shared" si="42"/>
        <v/>
      </c>
    </row>
    <row r="231" spans="1:1" x14ac:dyDescent="0.3">
      <c r="A231" s="26" t="str">
        <f t="shared" si="42"/>
        <v/>
      </c>
    </row>
    <row r="232" spans="1:1" x14ac:dyDescent="0.3">
      <c r="A232" s="26" t="str">
        <f t="shared" si="42"/>
        <v/>
      </c>
    </row>
    <row r="233" spans="1:1" x14ac:dyDescent="0.3">
      <c r="A233" s="26" t="str">
        <f t="shared" si="42"/>
        <v/>
      </c>
    </row>
    <row r="234" spans="1:1" x14ac:dyDescent="0.3">
      <c r="A234" s="26" t="str">
        <f t="shared" si="42"/>
        <v/>
      </c>
    </row>
    <row r="235" spans="1:1" x14ac:dyDescent="0.3">
      <c r="A235" s="26" t="str">
        <f t="shared" si="42"/>
        <v/>
      </c>
    </row>
    <row r="236" spans="1:1" x14ac:dyDescent="0.3">
      <c r="A236" s="26" t="str">
        <f t="shared" si="42"/>
        <v/>
      </c>
    </row>
    <row r="237" spans="1:1" x14ac:dyDescent="0.3">
      <c r="A237" s="26" t="str">
        <f t="shared" si="42"/>
        <v/>
      </c>
    </row>
    <row r="238" spans="1:1" x14ac:dyDescent="0.3">
      <c r="A238" s="26" t="str">
        <f t="shared" si="42"/>
        <v/>
      </c>
    </row>
    <row r="239" spans="1:1" x14ac:dyDescent="0.3">
      <c r="A239" s="26" t="str">
        <f t="shared" si="42"/>
        <v/>
      </c>
    </row>
    <row r="240" spans="1:1" x14ac:dyDescent="0.3">
      <c r="A240" s="26" t="str">
        <f t="shared" si="42"/>
        <v/>
      </c>
    </row>
    <row r="241" spans="1:1" x14ac:dyDescent="0.3">
      <c r="A241" s="26" t="str">
        <f t="shared" si="42"/>
        <v/>
      </c>
    </row>
    <row r="242" spans="1:1" x14ac:dyDescent="0.3">
      <c r="A242" s="26" t="str">
        <f t="shared" si="42"/>
        <v/>
      </c>
    </row>
    <row r="243" spans="1:1" x14ac:dyDescent="0.3">
      <c r="A243" s="26" t="str">
        <f t="shared" si="42"/>
        <v/>
      </c>
    </row>
    <row r="244" spans="1:1" x14ac:dyDescent="0.3">
      <c r="A244" s="26" t="str">
        <f t="shared" si="42"/>
        <v/>
      </c>
    </row>
    <row r="245" spans="1:1" x14ac:dyDescent="0.3">
      <c r="A245" s="26" t="str">
        <f t="shared" si="42"/>
        <v/>
      </c>
    </row>
    <row r="246" spans="1:1" x14ac:dyDescent="0.3">
      <c r="A246" s="26" t="str">
        <f t="shared" si="42"/>
        <v/>
      </c>
    </row>
    <row r="247" spans="1:1" x14ac:dyDescent="0.3">
      <c r="A247" s="26" t="str">
        <f t="shared" ref="A247:A310" si="43">IFERROR(IF(A246-$D$118&gt;0,A246-$D$118,""),"")</f>
        <v/>
      </c>
    </row>
    <row r="248" spans="1:1" x14ac:dyDescent="0.3">
      <c r="A248" s="26" t="str">
        <f t="shared" si="43"/>
        <v/>
      </c>
    </row>
    <row r="249" spans="1:1" x14ac:dyDescent="0.3">
      <c r="A249" s="26" t="str">
        <f t="shared" si="43"/>
        <v/>
      </c>
    </row>
    <row r="250" spans="1:1" x14ac:dyDescent="0.3">
      <c r="A250" s="26" t="str">
        <f t="shared" si="43"/>
        <v/>
      </c>
    </row>
    <row r="251" spans="1:1" x14ac:dyDescent="0.3">
      <c r="A251" s="26" t="str">
        <f t="shared" si="43"/>
        <v/>
      </c>
    </row>
    <row r="252" spans="1:1" x14ac:dyDescent="0.3">
      <c r="A252" s="26" t="str">
        <f t="shared" si="43"/>
        <v/>
      </c>
    </row>
    <row r="253" spans="1:1" x14ac:dyDescent="0.3">
      <c r="A253" s="26" t="str">
        <f t="shared" si="43"/>
        <v/>
      </c>
    </row>
    <row r="254" spans="1:1" x14ac:dyDescent="0.3">
      <c r="A254" s="26" t="str">
        <f t="shared" si="43"/>
        <v/>
      </c>
    </row>
    <row r="255" spans="1:1" x14ac:dyDescent="0.3">
      <c r="A255" s="26" t="str">
        <f t="shared" si="43"/>
        <v/>
      </c>
    </row>
    <row r="256" spans="1:1" x14ac:dyDescent="0.3">
      <c r="A256" s="26" t="str">
        <f t="shared" si="43"/>
        <v/>
      </c>
    </row>
    <row r="257" spans="1:1" x14ac:dyDescent="0.3">
      <c r="A257" s="26" t="str">
        <f t="shared" si="43"/>
        <v/>
      </c>
    </row>
    <row r="258" spans="1:1" x14ac:dyDescent="0.3">
      <c r="A258" s="26" t="str">
        <f t="shared" si="43"/>
        <v/>
      </c>
    </row>
    <row r="259" spans="1:1" x14ac:dyDescent="0.3">
      <c r="A259" s="26" t="str">
        <f t="shared" si="43"/>
        <v/>
      </c>
    </row>
    <row r="260" spans="1:1" x14ac:dyDescent="0.3">
      <c r="A260" s="26" t="str">
        <f t="shared" si="43"/>
        <v/>
      </c>
    </row>
    <row r="261" spans="1:1" x14ac:dyDescent="0.3">
      <c r="A261" s="26" t="str">
        <f t="shared" si="43"/>
        <v/>
      </c>
    </row>
    <row r="262" spans="1:1" x14ac:dyDescent="0.3">
      <c r="A262" s="26" t="str">
        <f t="shared" si="43"/>
        <v/>
      </c>
    </row>
    <row r="263" spans="1:1" x14ac:dyDescent="0.3">
      <c r="A263" s="26" t="str">
        <f t="shared" si="43"/>
        <v/>
      </c>
    </row>
    <row r="264" spans="1:1" x14ac:dyDescent="0.3">
      <c r="A264" s="26" t="str">
        <f t="shared" si="43"/>
        <v/>
      </c>
    </row>
    <row r="265" spans="1:1" x14ac:dyDescent="0.3">
      <c r="A265" s="26" t="str">
        <f t="shared" si="43"/>
        <v/>
      </c>
    </row>
    <row r="266" spans="1:1" x14ac:dyDescent="0.3">
      <c r="A266" s="26" t="str">
        <f t="shared" si="43"/>
        <v/>
      </c>
    </row>
    <row r="267" spans="1:1" x14ac:dyDescent="0.3">
      <c r="A267" s="26" t="str">
        <f t="shared" si="43"/>
        <v/>
      </c>
    </row>
    <row r="268" spans="1:1" x14ac:dyDescent="0.3">
      <c r="A268" s="26" t="str">
        <f t="shared" si="43"/>
        <v/>
      </c>
    </row>
    <row r="269" spans="1:1" x14ac:dyDescent="0.3">
      <c r="A269" s="26" t="str">
        <f t="shared" si="43"/>
        <v/>
      </c>
    </row>
    <row r="270" spans="1:1" x14ac:dyDescent="0.3">
      <c r="A270" s="26" t="str">
        <f t="shared" si="43"/>
        <v/>
      </c>
    </row>
    <row r="271" spans="1:1" x14ac:dyDescent="0.3">
      <c r="A271" s="26" t="str">
        <f t="shared" si="43"/>
        <v/>
      </c>
    </row>
    <row r="272" spans="1:1" x14ac:dyDescent="0.3">
      <c r="A272" s="26" t="str">
        <f t="shared" si="43"/>
        <v/>
      </c>
    </row>
    <row r="273" spans="1:1" x14ac:dyDescent="0.3">
      <c r="A273" s="26" t="str">
        <f t="shared" si="43"/>
        <v/>
      </c>
    </row>
    <row r="274" spans="1:1" x14ac:dyDescent="0.3">
      <c r="A274" s="26" t="str">
        <f t="shared" si="43"/>
        <v/>
      </c>
    </row>
    <row r="275" spans="1:1" x14ac:dyDescent="0.3">
      <c r="A275" s="26" t="str">
        <f t="shared" si="43"/>
        <v/>
      </c>
    </row>
    <row r="276" spans="1:1" x14ac:dyDescent="0.3">
      <c r="A276" s="26" t="str">
        <f t="shared" si="43"/>
        <v/>
      </c>
    </row>
    <row r="277" spans="1:1" x14ac:dyDescent="0.3">
      <c r="A277" s="26" t="str">
        <f t="shared" si="43"/>
        <v/>
      </c>
    </row>
    <row r="278" spans="1:1" x14ac:dyDescent="0.3">
      <c r="A278" s="26" t="str">
        <f t="shared" si="43"/>
        <v/>
      </c>
    </row>
    <row r="279" spans="1:1" x14ac:dyDescent="0.3">
      <c r="A279" s="26" t="str">
        <f t="shared" si="43"/>
        <v/>
      </c>
    </row>
    <row r="280" spans="1:1" x14ac:dyDescent="0.3">
      <c r="A280" s="26" t="str">
        <f t="shared" si="43"/>
        <v/>
      </c>
    </row>
    <row r="281" spans="1:1" x14ac:dyDescent="0.3">
      <c r="A281" s="26" t="str">
        <f t="shared" si="43"/>
        <v/>
      </c>
    </row>
    <row r="282" spans="1:1" x14ac:dyDescent="0.3">
      <c r="A282" s="26" t="str">
        <f t="shared" si="43"/>
        <v/>
      </c>
    </row>
    <row r="283" spans="1:1" x14ac:dyDescent="0.3">
      <c r="A283" s="26" t="str">
        <f t="shared" si="43"/>
        <v/>
      </c>
    </row>
    <row r="284" spans="1:1" x14ac:dyDescent="0.3">
      <c r="A284" s="26" t="str">
        <f t="shared" si="43"/>
        <v/>
      </c>
    </row>
    <row r="285" spans="1:1" x14ac:dyDescent="0.3">
      <c r="A285" s="26" t="str">
        <f t="shared" si="43"/>
        <v/>
      </c>
    </row>
    <row r="286" spans="1:1" x14ac:dyDescent="0.3">
      <c r="A286" s="26" t="str">
        <f t="shared" si="43"/>
        <v/>
      </c>
    </row>
    <row r="287" spans="1:1" x14ac:dyDescent="0.3">
      <c r="A287" s="26" t="str">
        <f t="shared" si="43"/>
        <v/>
      </c>
    </row>
    <row r="288" spans="1:1" x14ac:dyDescent="0.3">
      <c r="A288" s="26" t="str">
        <f t="shared" si="43"/>
        <v/>
      </c>
    </row>
    <row r="289" spans="1:1" x14ac:dyDescent="0.3">
      <c r="A289" s="26" t="str">
        <f t="shared" si="43"/>
        <v/>
      </c>
    </row>
    <row r="290" spans="1:1" x14ac:dyDescent="0.3">
      <c r="A290" s="26" t="str">
        <f t="shared" si="43"/>
        <v/>
      </c>
    </row>
    <row r="291" spans="1:1" x14ac:dyDescent="0.3">
      <c r="A291" s="26" t="str">
        <f t="shared" si="43"/>
        <v/>
      </c>
    </row>
    <row r="292" spans="1:1" x14ac:dyDescent="0.3">
      <c r="A292" s="26" t="str">
        <f t="shared" si="43"/>
        <v/>
      </c>
    </row>
    <row r="293" spans="1:1" x14ac:dyDescent="0.3">
      <c r="A293" s="26" t="str">
        <f t="shared" si="43"/>
        <v/>
      </c>
    </row>
    <row r="294" spans="1:1" x14ac:dyDescent="0.3">
      <c r="A294" s="26" t="str">
        <f t="shared" si="43"/>
        <v/>
      </c>
    </row>
    <row r="295" spans="1:1" x14ac:dyDescent="0.3">
      <c r="A295" s="26" t="str">
        <f t="shared" si="43"/>
        <v/>
      </c>
    </row>
    <row r="296" spans="1:1" x14ac:dyDescent="0.3">
      <c r="A296" s="26" t="str">
        <f t="shared" si="43"/>
        <v/>
      </c>
    </row>
    <row r="297" spans="1:1" x14ac:dyDescent="0.3">
      <c r="A297" s="26" t="str">
        <f t="shared" si="43"/>
        <v/>
      </c>
    </row>
    <row r="298" spans="1:1" x14ac:dyDescent="0.3">
      <c r="A298" s="26" t="str">
        <f t="shared" si="43"/>
        <v/>
      </c>
    </row>
    <row r="299" spans="1:1" x14ac:dyDescent="0.3">
      <c r="A299" s="26" t="str">
        <f t="shared" si="43"/>
        <v/>
      </c>
    </row>
    <row r="300" spans="1:1" x14ac:dyDescent="0.3">
      <c r="A300" s="26" t="str">
        <f t="shared" si="43"/>
        <v/>
      </c>
    </row>
    <row r="301" spans="1:1" x14ac:dyDescent="0.3">
      <c r="A301" s="26" t="str">
        <f t="shared" si="43"/>
        <v/>
      </c>
    </row>
    <row r="302" spans="1:1" x14ac:dyDescent="0.3">
      <c r="A302" s="26" t="str">
        <f t="shared" si="43"/>
        <v/>
      </c>
    </row>
    <row r="303" spans="1:1" x14ac:dyDescent="0.3">
      <c r="A303" s="26" t="str">
        <f t="shared" si="43"/>
        <v/>
      </c>
    </row>
    <row r="304" spans="1:1" x14ac:dyDescent="0.3">
      <c r="A304" s="26" t="str">
        <f t="shared" si="43"/>
        <v/>
      </c>
    </row>
    <row r="305" spans="1:1" x14ac:dyDescent="0.3">
      <c r="A305" s="26" t="str">
        <f t="shared" si="43"/>
        <v/>
      </c>
    </row>
    <row r="306" spans="1:1" x14ac:dyDescent="0.3">
      <c r="A306" s="26" t="str">
        <f t="shared" si="43"/>
        <v/>
      </c>
    </row>
    <row r="307" spans="1:1" x14ac:dyDescent="0.3">
      <c r="A307" s="26" t="str">
        <f t="shared" si="43"/>
        <v/>
      </c>
    </row>
    <row r="308" spans="1:1" x14ac:dyDescent="0.3">
      <c r="A308" s="26" t="str">
        <f t="shared" si="43"/>
        <v/>
      </c>
    </row>
    <row r="309" spans="1:1" x14ac:dyDescent="0.3">
      <c r="A309" s="26" t="str">
        <f t="shared" si="43"/>
        <v/>
      </c>
    </row>
    <row r="310" spans="1:1" x14ac:dyDescent="0.3">
      <c r="A310" s="26" t="str">
        <f t="shared" si="43"/>
        <v/>
      </c>
    </row>
    <row r="311" spans="1:1" x14ac:dyDescent="0.3">
      <c r="A311" s="26" t="str">
        <f t="shared" ref="A311:A374" si="44">IFERROR(IF(A310-$D$118&gt;0,A310-$D$118,""),"")</f>
        <v/>
      </c>
    </row>
    <row r="312" spans="1:1" x14ac:dyDescent="0.3">
      <c r="A312" s="26" t="str">
        <f t="shared" si="44"/>
        <v/>
      </c>
    </row>
    <row r="313" spans="1:1" x14ac:dyDescent="0.3">
      <c r="A313" s="26" t="str">
        <f t="shared" si="44"/>
        <v/>
      </c>
    </row>
    <row r="314" spans="1:1" x14ac:dyDescent="0.3">
      <c r="A314" s="26" t="str">
        <f t="shared" si="44"/>
        <v/>
      </c>
    </row>
    <row r="315" spans="1:1" x14ac:dyDescent="0.3">
      <c r="A315" s="26" t="str">
        <f t="shared" si="44"/>
        <v/>
      </c>
    </row>
    <row r="316" spans="1:1" x14ac:dyDescent="0.3">
      <c r="A316" s="26" t="str">
        <f t="shared" si="44"/>
        <v/>
      </c>
    </row>
    <row r="317" spans="1:1" x14ac:dyDescent="0.3">
      <c r="A317" s="26" t="str">
        <f t="shared" si="44"/>
        <v/>
      </c>
    </row>
    <row r="318" spans="1:1" x14ac:dyDescent="0.3">
      <c r="A318" s="26" t="str">
        <f t="shared" si="44"/>
        <v/>
      </c>
    </row>
    <row r="319" spans="1:1" x14ac:dyDescent="0.3">
      <c r="A319" s="26" t="str">
        <f t="shared" si="44"/>
        <v/>
      </c>
    </row>
    <row r="320" spans="1:1" x14ac:dyDescent="0.3">
      <c r="A320" s="26" t="str">
        <f t="shared" si="44"/>
        <v/>
      </c>
    </row>
    <row r="321" spans="1:1" x14ac:dyDescent="0.3">
      <c r="A321" s="26" t="str">
        <f t="shared" si="44"/>
        <v/>
      </c>
    </row>
    <row r="322" spans="1:1" x14ac:dyDescent="0.3">
      <c r="A322" s="26" t="str">
        <f t="shared" si="44"/>
        <v/>
      </c>
    </row>
    <row r="323" spans="1:1" x14ac:dyDescent="0.3">
      <c r="A323" s="26" t="str">
        <f t="shared" si="44"/>
        <v/>
      </c>
    </row>
    <row r="324" spans="1:1" x14ac:dyDescent="0.3">
      <c r="A324" s="26" t="str">
        <f t="shared" si="44"/>
        <v/>
      </c>
    </row>
    <row r="325" spans="1:1" x14ac:dyDescent="0.3">
      <c r="A325" s="26" t="str">
        <f t="shared" si="44"/>
        <v/>
      </c>
    </row>
    <row r="326" spans="1:1" x14ac:dyDescent="0.3">
      <c r="A326" s="26" t="str">
        <f t="shared" si="44"/>
        <v/>
      </c>
    </row>
    <row r="327" spans="1:1" x14ac:dyDescent="0.3">
      <c r="A327" s="26" t="str">
        <f t="shared" si="44"/>
        <v/>
      </c>
    </row>
    <row r="328" spans="1:1" x14ac:dyDescent="0.3">
      <c r="A328" s="26" t="str">
        <f t="shared" si="44"/>
        <v/>
      </c>
    </row>
    <row r="329" spans="1:1" x14ac:dyDescent="0.3">
      <c r="A329" s="26" t="str">
        <f t="shared" si="44"/>
        <v/>
      </c>
    </row>
    <row r="330" spans="1:1" x14ac:dyDescent="0.3">
      <c r="A330" s="26" t="str">
        <f t="shared" si="44"/>
        <v/>
      </c>
    </row>
    <row r="331" spans="1:1" x14ac:dyDescent="0.3">
      <c r="A331" s="26" t="str">
        <f t="shared" si="44"/>
        <v/>
      </c>
    </row>
    <row r="332" spans="1:1" x14ac:dyDescent="0.3">
      <c r="A332" s="26" t="str">
        <f t="shared" si="44"/>
        <v/>
      </c>
    </row>
    <row r="333" spans="1:1" x14ac:dyDescent="0.3">
      <c r="A333" s="26" t="str">
        <f t="shared" si="44"/>
        <v/>
      </c>
    </row>
    <row r="334" spans="1:1" x14ac:dyDescent="0.3">
      <c r="A334" s="26" t="str">
        <f t="shared" si="44"/>
        <v/>
      </c>
    </row>
    <row r="335" spans="1:1" x14ac:dyDescent="0.3">
      <c r="A335" s="26" t="str">
        <f t="shared" si="44"/>
        <v/>
      </c>
    </row>
    <row r="336" spans="1:1" x14ac:dyDescent="0.3">
      <c r="A336" s="26" t="str">
        <f t="shared" si="44"/>
        <v/>
      </c>
    </row>
    <row r="337" spans="1:1" x14ac:dyDescent="0.3">
      <c r="A337" s="26" t="str">
        <f t="shared" si="44"/>
        <v/>
      </c>
    </row>
    <row r="338" spans="1:1" x14ac:dyDescent="0.3">
      <c r="A338" s="26" t="str">
        <f t="shared" si="44"/>
        <v/>
      </c>
    </row>
    <row r="339" spans="1:1" x14ac:dyDescent="0.3">
      <c r="A339" s="26" t="str">
        <f t="shared" si="44"/>
        <v/>
      </c>
    </row>
    <row r="340" spans="1:1" x14ac:dyDescent="0.3">
      <c r="A340" s="26" t="str">
        <f t="shared" si="44"/>
        <v/>
      </c>
    </row>
    <row r="341" spans="1:1" x14ac:dyDescent="0.3">
      <c r="A341" s="26" t="str">
        <f t="shared" si="44"/>
        <v/>
      </c>
    </row>
    <row r="342" spans="1:1" x14ac:dyDescent="0.3">
      <c r="A342" s="26" t="str">
        <f t="shared" si="44"/>
        <v/>
      </c>
    </row>
    <row r="343" spans="1:1" x14ac:dyDescent="0.3">
      <c r="A343" s="26" t="str">
        <f t="shared" si="44"/>
        <v/>
      </c>
    </row>
    <row r="344" spans="1:1" x14ac:dyDescent="0.3">
      <c r="A344" s="26" t="str">
        <f t="shared" si="44"/>
        <v/>
      </c>
    </row>
    <row r="345" spans="1:1" x14ac:dyDescent="0.3">
      <c r="A345" s="26" t="str">
        <f t="shared" si="44"/>
        <v/>
      </c>
    </row>
    <row r="346" spans="1:1" x14ac:dyDescent="0.3">
      <c r="A346" s="26" t="str">
        <f t="shared" si="44"/>
        <v/>
      </c>
    </row>
    <row r="347" spans="1:1" x14ac:dyDescent="0.3">
      <c r="A347" s="26" t="str">
        <f t="shared" si="44"/>
        <v/>
      </c>
    </row>
    <row r="348" spans="1:1" x14ac:dyDescent="0.3">
      <c r="A348" s="26" t="str">
        <f t="shared" si="44"/>
        <v/>
      </c>
    </row>
    <row r="349" spans="1:1" x14ac:dyDescent="0.3">
      <c r="A349" s="26" t="str">
        <f t="shared" si="44"/>
        <v/>
      </c>
    </row>
    <row r="350" spans="1:1" x14ac:dyDescent="0.3">
      <c r="A350" s="26" t="str">
        <f t="shared" si="44"/>
        <v/>
      </c>
    </row>
    <row r="351" spans="1:1" x14ac:dyDescent="0.3">
      <c r="A351" s="26" t="str">
        <f t="shared" si="44"/>
        <v/>
      </c>
    </row>
    <row r="352" spans="1:1" x14ac:dyDescent="0.3">
      <c r="A352" s="26" t="str">
        <f t="shared" si="44"/>
        <v/>
      </c>
    </row>
    <row r="353" spans="1:1" x14ac:dyDescent="0.3">
      <c r="A353" s="26" t="str">
        <f t="shared" si="44"/>
        <v/>
      </c>
    </row>
    <row r="354" spans="1:1" x14ac:dyDescent="0.3">
      <c r="A354" s="26" t="str">
        <f t="shared" si="44"/>
        <v/>
      </c>
    </row>
    <row r="355" spans="1:1" x14ac:dyDescent="0.3">
      <c r="A355" s="26" t="str">
        <f t="shared" si="44"/>
        <v/>
      </c>
    </row>
    <row r="356" spans="1:1" x14ac:dyDescent="0.3">
      <c r="A356" s="26" t="str">
        <f t="shared" si="44"/>
        <v/>
      </c>
    </row>
    <row r="357" spans="1:1" x14ac:dyDescent="0.3">
      <c r="A357" s="26" t="str">
        <f t="shared" si="44"/>
        <v/>
      </c>
    </row>
    <row r="358" spans="1:1" x14ac:dyDescent="0.3">
      <c r="A358" s="26" t="str">
        <f t="shared" si="44"/>
        <v/>
      </c>
    </row>
    <row r="359" spans="1:1" x14ac:dyDescent="0.3">
      <c r="A359" s="26" t="str">
        <f t="shared" si="44"/>
        <v/>
      </c>
    </row>
    <row r="360" spans="1:1" x14ac:dyDescent="0.3">
      <c r="A360" s="26" t="str">
        <f t="shared" si="44"/>
        <v/>
      </c>
    </row>
    <row r="361" spans="1:1" x14ac:dyDescent="0.3">
      <c r="A361" s="26" t="str">
        <f t="shared" si="44"/>
        <v/>
      </c>
    </row>
    <row r="362" spans="1:1" x14ac:dyDescent="0.3">
      <c r="A362" s="26" t="str">
        <f t="shared" si="44"/>
        <v/>
      </c>
    </row>
    <row r="363" spans="1:1" x14ac:dyDescent="0.3">
      <c r="A363" s="26" t="str">
        <f t="shared" si="44"/>
        <v/>
      </c>
    </row>
    <row r="364" spans="1:1" x14ac:dyDescent="0.3">
      <c r="A364" s="26" t="str">
        <f t="shared" si="44"/>
        <v/>
      </c>
    </row>
    <row r="365" spans="1:1" x14ac:dyDescent="0.3">
      <c r="A365" s="26" t="str">
        <f t="shared" si="44"/>
        <v/>
      </c>
    </row>
    <row r="366" spans="1:1" x14ac:dyDescent="0.3">
      <c r="A366" s="26" t="str">
        <f t="shared" si="44"/>
        <v/>
      </c>
    </row>
    <row r="367" spans="1:1" x14ac:dyDescent="0.3">
      <c r="A367" s="26" t="str">
        <f t="shared" si="44"/>
        <v/>
      </c>
    </row>
    <row r="368" spans="1:1" x14ac:dyDescent="0.3">
      <c r="A368" s="26" t="str">
        <f t="shared" si="44"/>
        <v/>
      </c>
    </row>
    <row r="369" spans="1:1" x14ac:dyDescent="0.3">
      <c r="A369" s="26" t="str">
        <f t="shared" si="44"/>
        <v/>
      </c>
    </row>
    <row r="370" spans="1:1" x14ac:dyDescent="0.3">
      <c r="A370" s="26" t="str">
        <f t="shared" si="44"/>
        <v/>
      </c>
    </row>
    <row r="371" spans="1:1" x14ac:dyDescent="0.3">
      <c r="A371" s="26" t="str">
        <f t="shared" si="44"/>
        <v/>
      </c>
    </row>
    <row r="372" spans="1:1" x14ac:dyDescent="0.3">
      <c r="A372" s="26" t="str">
        <f t="shared" si="44"/>
        <v/>
      </c>
    </row>
    <row r="373" spans="1:1" x14ac:dyDescent="0.3">
      <c r="A373" s="26" t="str">
        <f t="shared" si="44"/>
        <v/>
      </c>
    </row>
    <row r="374" spans="1:1" x14ac:dyDescent="0.3">
      <c r="A374" s="26" t="str">
        <f t="shared" si="44"/>
        <v/>
      </c>
    </row>
    <row r="375" spans="1:1" x14ac:dyDescent="0.3">
      <c r="A375" s="26" t="str">
        <f t="shared" ref="A375:A398" si="45">IFERROR(IF(A374-$D$118&gt;0,A374-$D$118,""),"")</f>
        <v/>
      </c>
    </row>
    <row r="376" spans="1:1" x14ac:dyDescent="0.3">
      <c r="A376" s="26" t="str">
        <f t="shared" si="45"/>
        <v/>
      </c>
    </row>
    <row r="377" spans="1:1" x14ac:dyDescent="0.3">
      <c r="A377" s="26" t="str">
        <f t="shared" si="45"/>
        <v/>
      </c>
    </row>
    <row r="378" spans="1:1" x14ac:dyDescent="0.3">
      <c r="A378" s="26" t="str">
        <f t="shared" si="45"/>
        <v/>
      </c>
    </row>
    <row r="379" spans="1:1" x14ac:dyDescent="0.3">
      <c r="A379" s="26" t="str">
        <f t="shared" si="45"/>
        <v/>
      </c>
    </row>
    <row r="380" spans="1:1" x14ac:dyDescent="0.3">
      <c r="A380" s="26" t="str">
        <f t="shared" si="45"/>
        <v/>
      </c>
    </row>
    <row r="381" spans="1:1" x14ac:dyDescent="0.3">
      <c r="A381" s="26" t="str">
        <f t="shared" si="45"/>
        <v/>
      </c>
    </row>
    <row r="382" spans="1:1" x14ac:dyDescent="0.3">
      <c r="A382" s="26" t="str">
        <f t="shared" si="45"/>
        <v/>
      </c>
    </row>
    <row r="383" spans="1:1" x14ac:dyDescent="0.3">
      <c r="A383" s="26" t="str">
        <f t="shared" si="45"/>
        <v/>
      </c>
    </row>
    <row r="384" spans="1:1" x14ac:dyDescent="0.3">
      <c r="A384" s="26" t="str">
        <f t="shared" si="45"/>
        <v/>
      </c>
    </row>
    <row r="385" spans="1:1" x14ac:dyDescent="0.3">
      <c r="A385" s="26" t="str">
        <f t="shared" si="45"/>
        <v/>
      </c>
    </row>
    <row r="386" spans="1:1" x14ac:dyDescent="0.3">
      <c r="A386" s="26" t="str">
        <f t="shared" si="45"/>
        <v/>
      </c>
    </row>
    <row r="387" spans="1:1" x14ac:dyDescent="0.3">
      <c r="A387" s="26" t="str">
        <f t="shared" si="45"/>
        <v/>
      </c>
    </row>
    <row r="388" spans="1:1" x14ac:dyDescent="0.3">
      <c r="A388" s="26" t="str">
        <f t="shared" si="45"/>
        <v/>
      </c>
    </row>
    <row r="389" spans="1:1" x14ac:dyDescent="0.3">
      <c r="A389" s="26" t="str">
        <f t="shared" si="45"/>
        <v/>
      </c>
    </row>
    <row r="390" spans="1:1" x14ac:dyDescent="0.3">
      <c r="A390" s="26" t="str">
        <f t="shared" si="45"/>
        <v/>
      </c>
    </row>
    <row r="391" spans="1:1" x14ac:dyDescent="0.3">
      <c r="A391" s="26" t="str">
        <f t="shared" si="45"/>
        <v/>
      </c>
    </row>
    <row r="392" spans="1:1" x14ac:dyDescent="0.3">
      <c r="A392" s="26" t="str">
        <f t="shared" si="45"/>
        <v/>
      </c>
    </row>
    <row r="393" spans="1:1" x14ac:dyDescent="0.3">
      <c r="A393" s="26" t="str">
        <f t="shared" si="45"/>
        <v/>
      </c>
    </row>
    <row r="394" spans="1:1" x14ac:dyDescent="0.3">
      <c r="A394" s="26" t="str">
        <f t="shared" si="45"/>
        <v/>
      </c>
    </row>
    <row r="395" spans="1:1" x14ac:dyDescent="0.3">
      <c r="A395" s="26" t="str">
        <f t="shared" si="45"/>
        <v/>
      </c>
    </row>
    <row r="396" spans="1:1" x14ac:dyDescent="0.3">
      <c r="A396" s="26" t="str">
        <f t="shared" si="45"/>
        <v/>
      </c>
    </row>
    <row r="397" spans="1:1" x14ac:dyDescent="0.3">
      <c r="A397" s="26" t="str">
        <f t="shared" si="45"/>
        <v/>
      </c>
    </row>
    <row r="398" spans="1:1" x14ac:dyDescent="0.3">
      <c r="A398" s="26" t="str">
        <f t="shared" si="45"/>
        <v/>
      </c>
    </row>
    <row r="399" spans="1:1" x14ac:dyDescent="0.3">
      <c r="A399" s="26" t="str">
        <f t="shared" ref="A399:A462" si="46">IFERROR(IF(A398-$D$118&gt;0,A398-$D$118,""),"")</f>
        <v/>
      </c>
    </row>
    <row r="400" spans="1:1" x14ac:dyDescent="0.3">
      <c r="A400" s="26" t="str">
        <f t="shared" si="46"/>
        <v/>
      </c>
    </row>
    <row r="401" spans="1:1" x14ac:dyDescent="0.3">
      <c r="A401" s="26" t="str">
        <f t="shared" si="46"/>
        <v/>
      </c>
    </row>
    <row r="402" spans="1:1" x14ac:dyDescent="0.3">
      <c r="A402" s="26" t="str">
        <f t="shared" si="46"/>
        <v/>
      </c>
    </row>
    <row r="403" spans="1:1" x14ac:dyDescent="0.3">
      <c r="A403" s="26" t="str">
        <f t="shared" si="46"/>
        <v/>
      </c>
    </row>
    <row r="404" spans="1:1" x14ac:dyDescent="0.3">
      <c r="A404" s="26" t="str">
        <f t="shared" si="46"/>
        <v/>
      </c>
    </row>
    <row r="405" spans="1:1" x14ac:dyDescent="0.3">
      <c r="A405" s="26" t="str">
        <f t="shared" si="46"/>
        <v/>
      </c>
    </row>
    <row r="406" spans="1:1" x14ac:dyDescent="0.3">
      <c r="A406" s="26" t="str">
        <f t="shared" si="46"/>
        <v/>
      </c>
    </row>
    <row r="407" spans="1:1" x14ac:dyDescent="0.3">
      <c r="A407" s="26" t="str">
        <f t="shared" si="46"/>
        <v/>
      </c>
    </row>
    <row r="408" spans="1:1" x14ac:dyDescent="0.3">
      <c r="A408" s="26" t="str">
        <f t="shared" si="46"/>
        <v/>
      </c>
    </row>
    <row r="409" spans="1:1" x14ac:dyDescent="0.3">
      <c r="A409" s="26" t="str">
        <f t="shared" si="46"/>
        <v/>
      </c>
    </row>
    <row r="410" spans="1:1" x14ac:dyDescent="0.3">
      <c r="A410" s="26" t="str">
        <f t="shared" si="46"/>
        <v/>
      </c>
    </row>
    <row r="411" spans="1:1" x14ac:dyDescent="0.3">
      <c r="A411" s="26" t="str">
        <f t="shared" si="46"/>
        <v/>
      </c>
    </row>
    <row r="412" spans="1:1" x14ac:dyDescent="0.3">
      <c r="A412" s="26" t="str">
        <f t="shared" si="46"/>
        <v/>
      </c>
    </row>
    <row r="413" spans="1:1" x14ac:dyDescent="0.3">
      <c r="A413" s="26" t="str">
        <f t="shared" si="46"/>
        <v/>
      </c>
    </row>
    <row r="414" spans="1:1" x14ac:dyDescent="0.3">
      <c r="A414" s="26" t="str">
        <f t="shared" si="46"/>
        <v/>
      </c>
    </row>
    <row r="415" spans="1:1" x14ac:dyDescent="0.3">
      <c r="A415" s="26" t="str">
        <f t="shared" si="46"/>
        <v/>
      </c>
    </row>
    <row r="416" spans="1:1" x14ac:dyDescent="0.3">
      <c r="A416" s="26" t="str">
        <f t="shared" si="46"/>
        <v/>
      </c>
    </row>
    <row r="417" spans="1:1" x14ac:dyDescent="0.3">
      <c r="A417" s="26" t="str">
        <f t="shared" si="46"/>
        <v/>
      </c>
    </row>
    <row r="418" spans="1:1" x14ac:dyDescent="0.3">
      <c r="A418" s="26" t="str">
        <f t="shared" si="46"/>
        <v/>
      </c>
    </row>
    <row r="419" spans="1:1" x14ac:dyDescent="0.3">
      <c r="A419" s="26" t="str">
        <f t="shared" si="46"/>
        <v/>
      </c>
    </row>
    <row r="420" spans="1:1" x14ac:dyDescent="0.3">
      <c r="A420" s="26" t="str">
        <f t="shared" si="46"/>
        <v/>
      </c>
    </row>
    <row r="421" spans="1:1" x14ac:dyDescent="0.3">
      <c r="A421" s="26" t="str">
        <f t="shared" si="46"/>
        <v/>
      </c>
    </row>
    <row r="422" spans="1:1" x14ac:dyDescent="0.3">
      <c r="A422" s="26" t="str">
        <f t="shared" si="46"/>
        <v/>
      </c>
    </row>
    <row r="423" spans="1:1" x14ac:dyDescent="0.3">
      <c r="A423" s="26" t="str">
        <f t="shared" si="46"/>
        <v/>
      </c>
    </row>
    <row r="424" spans="1:1" x14ac:dyDescent="0.3">
      <c r="A424" s="26" t="str">
        <f t="shared" si="46"/>
        <v/>
      </c>
    </row>
    <row r="425" spans="1:1" x14ac:dyDescent="0.3">
      <c r="A425" s="26" t="str">
        <f t="shared" si="46"/>
        <v/>
      </c>
    </row>
    <row r="426" spans="1:1" x14ac:dyDescent="0.3">
      <c r="A426" s="26" t="str">
        <f t="shared" si="46"/>
        <v/>
      </c>
    </row>
    <row r="427" spans="1:1" x14ac:dyDescent="0.3">
      <c r="A427" s="26" t="str">
        <f t="shared" si="46"/>
        <v/>
      </c>
    </row>
    <row r="428" spans="1:1" x14ac:dyDescent="0.3">
      <c r="A428" s="26" t="str">
        <f t="shared" si="46"/>
        <v/>
      </c>
    </row>
    <row r="429" spans="1:1" x14ac:dyDescent="0.3">
      <c r="A429" s="26" t="str">
        <f t="shared" si="46"/>
        <v/>
      </c>
    </row>
    <row r="430" spans="1:1" x14ac:dyDescent="0.3">
      <c r="A430" s="26" t="str">
        <f t="shared" si="46"/>
        <v/>
      </c>
    </row>
    <row r="431" spans="1:1" x14ac:dyDescent="0.3">
      <c r="A431" s="26" t="str">
        <f t="shared" si="46"/>
        <v/>
      </c>
    </row>
    <row r="432" spans="1:1" x14ac:dyDescent="0.3">
      <c r="A432" s="26" t="str">
        <f t="shared" si="46"/>
        <v/>
      </c>
    </row>
    <row r="433" spans="1:1" x14ac:dyDescent="0.3">
      <c r="A433" s="26" t="str">
        <f t="shared" si="46"/>
        <v/>
      </c>
    </row>
    <row r="434" spans="1:1" x14ac:dyDescent="0.3">
      <c r="A434" s="26" t="str">
        <f t="shared" si="46"/>
        <v/>
      </c>
    </row>
    <row r="435" spans="1:1" x14ac:dyDescent="0.3">
      <c r="A435" s="26" t="str">
        <f t="shared" si="46"/>
        <v/>
      </c>
    </row>
    <row r="436" spans="1:1" x14ac:dyDescent="0.3">
      <c r="A436" s="26" t="str">
        <f t="shared" si="46"/>
        <v/>
      </c>
    </row>
    <row r="437" spans="1:1" x14ac:dyDescent="0.3">
      <c r="A437" s="26" t="str">
        <f t="shared" si="46"/>
        <v/>
      </c>
    </row>
    <row r="438" spans="1:1" x14ac:dyDescent="0.3">
      <c r="A438" s="26" t="str">
        <f t="shared" si="46"/>
        <v/>
      </c>
    </row>
    <row r="439" spans="1:1" x14ac:dyDescent="0.3">
      <c r="A439" s="26" t="str">
        <f t="shared" si="46"/>
        <v/>
      </c>
    </row>
    <row r="440" spans="1:1" x14ac:dyDescent="0.3">
      <c r="A440" s="26" t="str">
        <f t="shared" si="46"/>
        <v/>
      </c>
    </row>
    <row r="441" spans="1:1" x14ac:dyDescent="0.3">
      <c r="A441" s="26" t="str">
        <f t="shared" si="46"/>
        <v/>
      </c>
    </row>
    <row r="442" spans="1:1" x14ac:dyDescent="0.3">
      <c r="A442" s="26" t="str">
        <f t="shared" si="46"/>
        <v/>
      </c>
    </row>
    <row r="443" spans="1:1" x14ac:dyDescent="0.3">
      <c r="A443" s="26" t="str">
        <f t="shared" si="46"/>
        <v/>
      </c>
    </row>
    <row r="444" spans="1:1" x14ac:dyDescent="0.3">
      <c r="A444" s="26" t="str">
        <f t="shared" si="46"/>
        <v/>
      </c>
    </row>
    <row r="445" spans="1:1" x14ac:dyDescent="0.3">
      <c r="A445" s="26" t="str">
        <f t="shared" si="46"/>
        <v/>
      </c>
    </row>
    <row r="446" spans="1:1" x14ac:dyDescent="0.3">
      <c r="A446" s="26" t="str">
        <f t="shared" si="46"/>
        <v/>
      </c>
    </row>
    <row r="447" spans="1:1" x14ac:dyDescent="0.3">
      <c r="A447" s="26" t="str">
        <f t="shared" si="46"/>
        <v/>
      </c>
    </row>
    <row r="448" spans="1:1" x14ac:dyDescent="0.3">
      <c r="A448" s="26" t="str">
        <f t="shared" si="46"/>
        <v/>
      </c>
    </row>
    <row r="449" spans="1:1" x14ac:dyDescent="0.3">
      <c r="A449" s="26" t="str">
        <f t="shared" si="46"/>
        <v/>
      </c>
    </row>
    <row r="450" spans="1:1" x14ac:dyDescent="0.3">
      <c r="A450" s="26" t="str">
        <f t="shared" si="46"/>
        <v/>
      </c>
    </row>
    <row r="451" spans="1:1" x14ac:dyDescent="0.3">
      <c r="A451" s="26" t="str">
        <f t="shared" si="46"/>
        <v/>
      </c>
    </row>
    <row r="452" spans="1:1" x14ac:dyDescent="0.3">
      <c r="A452" s="26" t="str">
        <f t="shared" si="46"/>
        <v/>
      </c>
    </row>
    <row r="453" spans="1:1" x14ac:dyDescent="0.3">
      <c r="A453" s="26" t="str">
        <f t="shared" si="46"/>
        <v/>
      </c>
    </row>
    <row r="454" spans="1:1" x14ac:dyDescent="0.3">
      <c r="A454" s="26" t="str">
        <f t="shared" si="46"/>
        <v/>
      </c>
    </row>
    <row r="455" spans="1:1" x14ac:dyDescent="0.3">
      <c r="A455" s="26" t="str">
        <f t="shared" si="46"/>
        <v/>
      </c>
    </row>
    <row r="456" spans="1:1" x14ac:dyDescent="0.3">
      <c r="A456" s="26" t="str">
        <f t="shared" si="46"/>
        <v/>
      </c>
    </row>
    <row r="457" spans="1:1" x14ac:dyDescent="0.3">
      <c r="A457" s="26" t="str">
        <f t="shared" si="46"/>
        <v/>
      </c>
    </row>
    <row r="458" spans="1:1" x14ac:dyDescent="0.3">
      <c r="A458" s="26" t="str">
        <f t="shared" si="46"/>
        <v/>
      </c>
    </row>
    <row r="459" spans="1:1" x14ac:dyDescent="0.3">
      <c r="A459" s="26" t="str">
        <f t="shared" si="46"/>
        <v/>
      </c>
    </row>
    <row r="460" spans="1:1" x14ac:dyDescent="0.3">
      <c r="A460" s="26" t="str">
        <f t="shared" si="46"/>
        <v/>
      </c>
    </row>
    <row r="461" spans="1:1" x14ac:dyDescent="0.3">
      <c r="A461" s="26" t="str">
        <f t="shared" si="46"/>
        <v/>
      </c>
    </row>
    <row r="462" spans="1:1" x14ac:dyDescent="0.3">
      <c r="A462" s="26" t="str">
        <f t="shared" si="46"/>
        <v/>
      </c>
    </row>
    <row r="463" spans="1:1" x14ac:dyDescent="0.3">
      <c r="A463" s="26" t="str">
        <f t="shared" ref="A463:A526" si="47">IFERROR(IF(A462-$D$118&gt;0,A462-$D$118,""),"")</f>
        <v/>
      </c>
    </row>
    <row r="464" spans="1:1" x14ac:dyDescent="0.3">
      <c r="A464" s="26" t="str">
        <f t="shared" si="47"/>
        <v/>
      </c>
    </row>
    <row r="465" spans="1:1" x14ac:dyDescent="0.3">
      <c r="A465" s="26" t="str">
        <f t="shared" si="47"/>
        <v/>
      </c>
    </row>
    <row r="466" spans="1:1" x14ac:dyDescent="0.3">
      <c r="A466" s="26" t="str">
        <f t="shared" si="47"/>
        <v/>
      </c>
    </row>
    <row r="467" spans="1:1" x14ac:dyDescent="0.3">
      <c r="A467" s="26" t="str">
        <f t="shared" si="47"/>
        <v/>
      </c>
    </row>
    <row r="468" spans="1:1" x14ac:dyDescent="0.3">
      <c r="A468" s="26" t="str">
        <f t="shared" si="47"/>
        <v/>
      </c>
    </row>
    <row r="469" spans="1:1" x14ac:dyDescent="0.3">
      <c r="A469" s="26" t="str">
        <f t="shared" si="47"/>
        <v/>
      </c>
    </row>
    <row r="470" spans="1:1" x14ac:dyDescent="0.3">
      <c r="A470" s="26" t="str">
        <f t="shared" si="47"/>
        <v/>
      </c>
    </row>
    <row r="471" spans="1:1" x14ac:dyDescent="0.3">
      <c r="A471" s="26" t="str">
        <f t="shared" si="47"/>
        <v/>
      </c>
    </row>
    <row r="472" spans="1:1" x14ac:dyDescent="0.3">
      <c r="A472" s="26" t="str">
        <f t="shared" si="47"/>
        <v/>
      </c>
    </row>
    <row r="473" spans="1:1" x14ac:dyDescent="0.3">
      <c r="A473" s="26" t="str">
        <f t="shared" si="47"/>
        <v/>
      </c>
    </row>
    <row r="474" spans="1:1" x14ac:dyDescent="0.3">
      <c r="A474" s="26" t="str">
        <f t="shared" si="47"/>
        <v/>
      </c>
    </row>
    <row r="475" spans="1:1" x14ac:dyDescent="0.3">
      <c r="A475" s="26" t="str">
        <f t="shared" si="47"/>
        <v/>
      </c>
    </row>
    <row r="476" spans="1:1" x14ac:dyDescent="0.3">
      <c r="A476" s="26" t="str">
        <f t="shared" si="47"/>
        <v/>
      </c>
    </row>
    <row r="477" spans="1:1" x14ac:dyDescent="0.3">
      <c r="A477" s="26" t="str">
        <f t="shared" si="47"/>
        <v/>
      </c>
    </row>
    <row r="478" spans="1:1" x14ac:dyDescent="0.3">
      <c r="A478" s="26" t="str">
        <f t="shared" si="47"/>
        <v/>
      </c>
    </row>
    <row r="479" spans="1:1" x14ac:dyDescent="0.3">
      <c r="A479" s="26" t="str">
        <f t="shared" si="47"/>
        <v/>
      </c>
    </row>
    <row r="480" spans="1:1" x14ac:dyDescent="0.3">
      <c r="A480" s="26" t="str">
        <f t="shared" si="47"/>
        <v/>
      </c>
    </row>
    <row r="481" spans="1:1" x14ac:dyDescent="0.3">
      <c r="A481" s="26" t="str">
        <f t="shared" si="47"/>
        <v/>
      </c>
    </row>
    <row r="482" spans="1:1" x14ac:dyDescent="0.3">
      <c r="A482" s="26" t="str">
        <f t="shared" si="47"/>
        <v/>
      </c>
    </row>
    <row r="483" spans="1:1" x14ac:dyDescent="0.3">
      <c r="A483" s="26" t="str">
        <f t="shared" si="47"/>
        <v/>
      </c>
    </row>
    <row r="484" spans="1:1" x14ac:dyDescent="0.3">
      <c r="A484" s="26" t="str">
        <f t="shared" si="47"/>
        <v/>
      </c>
    </row>
    <row r="485" spans="1:1" x14ac:dyDescent="0.3">
      <c r="A485" s="26" t="str">
        <f t="shared" si="47"/>
        <v/>
      </c>
    </row>
    <row r="486" spans="1:1" x14ac:dyDescent="0.3">
      <c r="A486" s="26" t="str">
        <f t="shared" si="47"/>
        <v/>
      </c>
    </row>
    <row r="487" spans="1:1" x14ac:dyDescent="0.3">
      <c r="A487" s="26" t="str">
        <f t="shared" si="47"/>
        <v/>
      </c>
    </row>
    <row r="488" spans="1:1" x14ac:dyDescent="0.3">
      <c r="A488" s="26" t="str">
        <f t="shared" si="47"/>
        <v/>
      </c>
    </row>
    <row r="489" spans="1:1" x14ac:dyDescent="0.3">
      <c r="A489" s="26" t="str">
        <f t="shared" si="47"/>
        <v/>
      </c>
    </row>
    <row r="490" spans="1:1" x14ac:dyDescent="0.3">
      <c r="A490" s="26" t="str">
        <f t="shared" si="47"/>
        <v/>
      </c>
    </row>
    <row r="491" spans="1:1" x14ac:dyDescent="0.3">
      <c r="A491" s="26" t="str">
        <f t="shared" si="47"/>
        <v/>
      </c>
    </row>
    <row r="492" spans="1:1" x14ac:dyDescent="0.3">
      <c r="A492" s="26" t="str">
        <f t="shared" si="47"/>
        <v/>
      </c>
    </row>
    <row r="493" spans="1:1" x14ac:dyDescent="0.3">
      <c r="A493" s="26" t="str">
        <f t="shared" si="47"/>
        <v/>
      </c>
    </row>
    <row r="494" spans="1:1" x14ac:dyDescent="0.3">
      <c r="A494" s="26" t="str">
        <f t="shared" si="47"/>
        <v/>
      </c>
    </row>
    <row r="495" spans="1:1" x14ac:dyDescent="0.3">
      <c r="A495" s="26" t="str">
        <f t="shared" si="47"/>
        <v/>
      </c>
    </row>
    <row r="496" spans="1:1" x14ac:dyDescent="0.3">
      <c r="A496" s="26" t="str">
        <f t="shared" si="47"/>
        <v/>
      </c>
    </row>
    <row r="497" spans="1:1" x14ac:dyDescent="0.3">
      <c r="A497" s="26" t="str">
        <f t="shared" si="47"/>
        <v/>
      </c>
    </row>
    <row r="498" spans="1:1" x14ac:dyDescent="0.3">
      <c r="A498" s="26" t="str">
        <f t="shared" si="47"/>
        <v/>
      </c>
    </row>
    <row r="499" spans="1:1" x14ac:dyDescent="0.3">
      <c r="A499" s="26" t="str">
        <f t="shared" si="47"/>
        <v/>
      </c>
    </row>
    <row r="500" spans="1:1" x14ac:dyDescent="0.3">
      <c r="A500" s="26" t="str">
        <f t="shared" si="47"/>
        <v/>
      </c>
    </row>
    <row r="501" spans="1:1" x14ac:dyDescent="0.3">
      <c r="A501" s="26" t="str">
        <f t="shared" si="47"/>
        <v/>
      </c>
    </row>
    <row r="502" spans="1:1" x14ac:dyDescent="0.3">
      <c r="A502" s="26" t="str">
        <f t="shared" si="47"/>
        <v/>
      </c>
    </row>
    <row r="503" spans="1:1" x14ac:dyDescent="0.3">
      <c r="A503" s="26" t="str">
        <f t="shared" si="47"/>
        <v/>
      </c>
    </row>
    <row r="504" spans="1:1" x14ac:dyDescent="0.3">
      <c r="A504" s="26" t="str">
        <f t="shared" si="47"/>
        <v/>
      </c>
    </row>
    <row r="505" spans="1:1" x14ac:dyDescent="0.3">
      <c r="A505" s="26" t="str">
        <f t="shared" si="47"/>
        <v/>
      </c>
    </row>
    <row r="506" spans="1:1" x14ac:dyDescent="0.3">
      <c r="A506" s="26" t="str">
        <f t="shared" si="47"/>
        <v/>
      </c>
    </row>
    <row r="507" spans="1:1" x14ac:dyDescent="0.3">
      <c r="A507" s="26" t="str">
        <f t="shared" si="47"/>
        <v/>
      </c>
    </row>
    <row r="508" spans="1:1" x14ac:dyDescent="0.3">
      <c r="A508" s="26" t="str">
        <f t="shared" si="47"/>
        <v/>
      </c>
    </row>
    <row r="509" spans="1:1" x14ac:dyDescent="0.3">
      <c r="A509" s="26" t="str">
        <f t="shared" si="47"/>
        <v/>
      </c>
    </row>
    <row r="510" spans="1:1" x14ac:dyDescent="0.3">
      <c r="A510" s="26" t="str">
        <f t="shared" si="47"/>
        <v/>
      </c>
    </row>
    <row r="511" spans="1:1" x14ac:dyDescent="0.3">
      <c r="A511" s="26" t="str">
        <f t="shared" si="47"/>
        <v/>
      </c>
    </row>
    <row r="512" spans="1:1" x14ac:dyDescent="0.3">
      <c r="A512" s="26" t="str">
        <f t="shared" si="47"/>
        <v/>
      </c>
    </row>
    <row r="513" spans="1:1" x14ac:dyDescent="0.3">
      <c r="A513" s="26" t="str">
        <f t="shared" si="47"/>
        <v/>
      </c>
    </row>
    <row r="514" spans="1:1" x14ac:dyDescent="0.3">
      <c r="A514" s="26" t="str">
        <f t="shared" si="47"/>
        <v/>
      </c>
    </row>
    <row r="515" spans="1:1" x14ac:dyDescent="0.3">
      <c r="A515" s="26" t="str">
        <f t="shared" si="47"/>
        <v/>
      </c>
    </row>
    <row r="516" spans="1:1" x14ac:dyDescent="0.3">
      <c r="A516" s="26" t="str">
        <f t="shared" si="47"/>
        <v/>
      </c>
    </row>
    <row r="517" spans="1:1" x14ac:dyDescent="0.3">
      <c r="A517" s="26" t="str">
        <f t="shared" si="47"/>
        <v/>
      </c>
    </row>
    <row r="518" spans="1:1" x14ac:dyDescent="0.3">
      <c r="A518" s="26" t="str">
        <f t="shared" si="47"/>
        <v/>
      </c>
    </row>
    <row r="519" spans="1:1" x14ac:dyDescent="0.3">
      <c r="A519" s="26" t="str">
        <f t="shared" si="47"/>
        <v/>
      </c>
    </row>
    <row r="520" spans="1:1" x14ac:dyDescent="0.3">
      <c r="A520" s="26" t="str">
        <f t="shared" si="47"/>
        <v/>
      </c>
    </row>
    <row r="521" spans="1:1" x14ac:dyDescent="0.3">
      <c r="A521" s="26" t="str">
        <f t="shared" si="47"/>
        <v/>
      </c>
    </row>
    <row r="522" spans="1:1" x14ac:dyDescent="0.3">
      <c r="A522" s="26" t="str">
        <f t="shared" si="47"/>
        <v/>
      </c>
    </row>
    <row r="523" spans="1:1" x14ac:dyDescent="0.3">
      <c r="A523" s="26" t="str">
        <f t="shared" si="47"/>
        <v/>
      </c>
    </row>
    <row r="524" spans="1:1" x14ac:dyDescent="0.3">
      <c r="A524" s="26" t="str">
        <f t="shared" si="47"/>
        <v/>
      </c>
    </row>
    <row r="525" spans="1:1" x14ac:dyDescent="0.3">
      <c r="A525" s="26" t="str">
        <f t="shared" si="47"/>
        <v/>
      </c>
    </row>
    <row r="526" spans="1:1" x14ac:dyDescent="0.3">
      <c r="A526" s="26" t="str">
        <f t="shared" si="47"/>
        <v/>
      </c>
    </row>
    <row r="527" spans="1:1" x14ac:dyDescent="0.3">
      <c r="A527" s="26" t="str">
        <f t="shared" ref="A527:A590" si="48">IFERROR(IF(A526-$D$118&gt;0,A526-$D$118,""),"")</f>
        <v/>
      </c>
    </row>
    <row r="528" spans="1:1" x14ac:dyDescent="0.3">
      <c r="A528" s="26" t="str">
        <f t="shared" si="48"/>
        <v/>
      </c>
    </row>
    <row r="529" spans="1:1" x14ac:dyDescent="0.3">
      <c r="A529" s="26" t="str">
        <f t="shared" si="48"/>
        <v/>
      </c>
    </row>
    <row r="530" spans="1:1" x14ac:dyDescent="0.3">
      <c r="A530" s="26" t="str">
        <f t="shared" si="48"/>
        <v/>
      </c>
    </row>
    <row r="531" spans="1:1" x14ac:dyDescent="0.3">
      <c r="A531" s="26" t="str">
        <f t="shared" si="48"/>
        <v/>
      </c>
    </row>
    <row r="532" spans="1:1" x14ac:dyDescent="0.3">
      <c r="A532" s="26" t="str">
        <f t="shared" si="48"/>
        <v/>
      </c>
    </row>
    <row r="533" spans="1:1" x14ac:dyDescent="0.3">
      <c r="A533" s="26" t="str">
        <f t="shared" si="48"/>
        <v/>
      </c>
    </row>
    <row r="534" spans="1:1" x14ac:dyDescent="0.3">
      <c r="A534" s="26" t="str">
        <f t="shared" si="48"/>
        <v/>
      </c>
    </row>
    <row r="535" spans="1:1" x14ac:dyDescent="0.3">
      <c r="A535" s="26" t="str">
        <f t="shared" si="48"/>
        <v/>
      </c>
    </row>
    <row r="536" spans="1:1" x14ac:dyDescent="0.3">
      <c r="A536" s="26" t="str">
        <f t="shared" si="48"/>
        <v/>
      </c>
    </row>
    <row r="537" spans="1:1" x14ac:dyDescent="0.3">
      <c r="A537" s="26" t="str">
        <f t="shared" si="48"/>
        <v/>
      </c>
    </row>
    <row r="538" spans="1:1" x14ac:dyDescent="0.3">
      <c r="A538" s="26" t="str">
        <f t="shared" si="48"/>
        <v/>
      </c>
    </row>
    <row r="539" spans="1:1" x14ac:dyDescent="0.3">
      <c r="A539" s="26" t="str">
        <f t="shared" si="48"/>
        <v/>
      </c>
    </row>
    <row r="540" spans="1:1" x14ac:dyDescent="0.3">
      <c r="A540" s="26" t="str">
        <f t="shared" si="48"/>
        <v/>
      </c>
    </row>
    <row r="541" spans="1:1" x14ac:dyDescent="0.3">
      <c r="A541" s="26" t="str">
        <f t="shared" si="48"/>
        <v/>
      </c>
    </row>
    <row r="542" spans="1:1" x14ac:dyDescent="0.3">
      <c r="A542" s="26" t="str">
        <f t="shared" si="48"/>
        <v/>
      </c>
    </row>
    <row r="543" spans="1:1" x14ac:dyDescent="0.3">
      <c r="A543" s="26" t="str">
        <f t="shared" si="48"/>
        <v/>
      </c>
    </row>
    <row r="544" spans="1:1" x14ac:dyDescent="0.3">
      <c r="A544" s="26" t="str">
        <f t="shared" si="48"/>
        <v/>
      </c>
    </row>
    <row r="545" spans="1:1" x14ac:dyDescent="0.3">
      <c r="A545" s="26" t="str">
        <f t="shared" si="48"/>
        <v/>
      </c>
    </row>
    <row r="546" spans="1:1" x14ac:dyDescent="0.3">
      <c r="A546" s="26" t="str">
        <f t="shared" si="48"/>
        <v/>
      </c>
    </row>
    <row r="547" spans="1:1" x14ac:dyDescent="0.3">
      <c r="A547" s="26" t="str">
        <f t="shared" si="48"/>
        <v/>
      </c>
    </row>
    <row r="548" spans="1:1" x14ac:dyDescent="0.3">
      <c r="A548" s="26" t="str">
        <f t="shared" si="48"/>
        <v/>
      </c>
    </row>
    <row r="549" spans="1:1" x14ac:dyDescent="0.3">
      <c r="A549" s="26" t="str">
        <f t="shared" si="48"/>
        <v/>
      </c>
    </row>
    <row r="550" spans="1:1" x14ac:dyDescent="0.3">
      <c r="A550" s="26" t="str">
        <f t="shared" si="48"/>
        <v/>
      </c>
    </row>
    <row r="551" spans="1:1" x14ac:dyDescent="0.3">
      <c r="A551" s="26" t="str">
        <f t="shared" si="48"/>
        <v/>
      </c>
    </row>
    <row r="552" spans="1:1" x14ac:dyDescent="0.3">
      <c r="A552" s="26" t="str">
        <f t="shared" si="48"/>
        <v/>
      </c>
    </row>
    <row r="553" spans="1:1" x14ac:dyDescent="0.3">
      <c r="A553" s="26" t="str">
        <f t="shared" si="48"/>
        <v/>
      </c>
    </row>
    <row r="554" spans="1:1" x14ac:dyDescent="0.3">
      <c r="A554" s="26" t="str">
        <f t="shared" si="48"/>
        <v/>
      </c>
    </row>
    <row r="555" spans="1:1" x14ac:dyDescent="0.3">
      <c r="A555" s="26" t="str">
        <f t="shared" si="48"/>
        <v/>
      </c>
    </row>
    <row r="556" spans="1:1" x14ac:dyDescent="0.3">
      <c r="A556" s="26" t="str">
        <f t="shared" si="48"/>
        <v/>
      </c>
    </row>
    <row r="557" spans="1:1" x14ac:dyDescent="0.3">
      <c r="A557" s="26" t="str">
        <f t="shared" si="48"/>
        <v/>
      </c>
    </row>
    <row r="558" spans="1:1" x14ac:dyDescent="0.3">
      <c r="A558" s="26" t="str">
        <f t="shared" si="48"/>
        <v/>
      </c>
    </row>
    <row r="559" spans="1:1" x14ac:dyDescent="0.3">
      <c r="A559" s="26" t="str">
        <f t="shared" si="48"/>
        <v/>
      </c>
    </row>
    <row r="560" spans="1:1" x14ac:dyDescent="0.3">
      <c r="A560" s="26" t="str">
        <f t="shared" si="48"/>
        <v/>
      </c>
    </row>
    <row r="561" spans="1:1" x14ac:dyDescent="0.3">
      <c r="A561" s="26" t="str">
        <f t="shared" si="48"/>
        <v/>
      </c>
    </row>
    <row r="562" spans="1:1" x14ac:dyDescent="0.3">
      <c r="A562" s="26" t="str">
        <f t="shared" si="48"/>
        <v/>
      </c>
    </row>
    <row r="563" spans="1:1" x14ac:dyDescent="0.3">
      <c r="A563" s="26" t="str">
        <f t="shared" si="48"/>
        <v/>
      </c>
    </row>
    <row r="564" spans="1:1" x14ac:dyDescent="0.3">
      <c r="A564" s="26" t="str">
        <f t="shared" si="48"/>
        <v/>
      </c>
    </row>
    <row r="565" spans="1:1" x14ac:dyDescent="0.3">
      <c r="A565" s="26" t="str">
        <f t="shared" si="48"/>
        <v/>
      </c>
    </row>
    <row r="566" spans="1:1" x14ac:dyDescent="0.3">
      <c r="A566" s="26" t="str">
        <f t="shared" si="48"/>
        <v/>
      </c>
    </row>
    <row r="567" spans="1:1" x14ac:dyDescent="0.3">
      <c r="A567" s="26" t="str">
        <f t="shared" si="48"/>
        <v/>
      </c>
    </row>
    <row r="568" spans="1:1" x14ac:dyDescent="0.3">
      <c r="A568" s="26" t="str">
        <f t="shared" si="48"/>
        <v/>
      </c>
    </row>
    <row r="569" spans="1:1" x14ac:dyDescent="0.3">
      <c r="A569" s="26" t="str">
        <f t="shared" si="48"/>
        <v/>
      </c>
    </row>
    <row r="570" spans="1:1" x14ac:dyDescent="0.3">
      <c r="A570" s="26" t="str">
        <f t="shared" si="48"/>
        <v/>
      </c>
    </row>
    <row r="571" spans="1:1" x14ac:dyDescent="0.3">
      <c r="A571" s="26" t="str">
        <f t="shared" si="48"/>
        <v/>
      </c>
    </row>
    <row r="572" spans="1:1" x14ac:dyDescent="0.3">
      <c r="A572" s="26" t="str">
        <f t="shared" si="48"/>
        <v/>
      </c>
    </row>
    <row r="573" spans="1:1" x14ac:dyDescent="0.3">
      <c r="A573" s="26" t="str">
        <f t="shared" si="48"/>
        <v/>
      </c>
    </row>
    <row r="574" spans="1:1" x14ac:dyDescent="0.3">
      <c r="A574" s="26" t="str">
        <f t="shared" si="48"/>
        <v/>
      </c>
    </row>
    <row r="575" spans="1:1" x14ac:dyDescent="0.3">
      <c r="A575" s="26" t="str">
        <f t="shared" si="48"/>
        <v/>
      </c>
    </row>
    <row r="576" spans="1:1" x14ac:dyDescent="0.3">
      <c r="A576" s="26" t="str">
        <f t="shared" si="48"/>
        <v/>
      </c>
    </row>
    <row r="577" spans="1:1" x14ac:dyDescent="0.3">
      <c r="A577" s="26" t="str">
        <f t="shared" si="48"/>
        <v/>
      </c>
    </row>
    <row r="578" spans="1:1" x14ac:dyDescent="0.3">
      <c r="A578" s="26" t="str">
        <f t="shared" si="48"/>
        <v/>
      </c>
    </row>
    <row r="579" spans="1:1" x14ac:dyDescent="0.3">
      <c r="A579" s="26" t="str">
        <f t="shared" si="48"/>
        <v/>
      </c>
    </row>
    <row r="580" spans="1:1" x14ac:dyDescent="0.3">
      <c r="A580" s="26" t="str">
        <f t="shared" si="48"/>
        <v/>
      </c>
    </row>
    <row r="581" spans="1:1" x14ac:dyDescent="0.3">
      <c r="A581" s="26" t="str">
        <f t="shared" si="48"/>
        <v/>
      </c>
    </row>
    <row r="582" spans="1:1" x14ac:dyDescent="0.3">
      <c r="A582" s="26" t="str">
        <f t="shared" si="48"/>
        <v/>
      </c>
    </row>
    <row r="583" spans="1:1" x14ac:dyDescent="0.3">
      <c r="A583" s="26" t="str">
        <f t="shared" si="48"/>
        <v/>
      </c>
    </row>
    <row r="584" spans="1:1" x14ac:dyDescent="0.3">
      <c r="A584" s="26" t="str">
        <f t="shared" si="48"/>
        <v/>
      </c>
    </row>
    <row r="585" spans="1:1" x14ac:dyDescent="0.3">
      <c r="A585" s="26" t="str">
        <f t="shared" si="48"/>
        <v/>
      </c>
    </row>
    <row r="586" spans="1:1" x14ac:dyDescent="0.3">
      <c r="A586" s="26" t="str">
        <f t="shared" si="48"/>
        <v/>
      </c>
    </row>
    <row r="587" spans="1:1" x14ac:dyDescent="0.3">
      <c r="A587" s="26" t="str">
        <f t="shared" si="48"/>
        <v/>
      </c>
    </row>
    <row r="588" spans="1:1" x14ac:dyDescent="0.3">
      <c r="A588" s="26" t="str">
        <f t="shared" si="48"/>
        <v/>
      </c>
    </row>
    <row r="589" spans="1:1" x14ac:dyDescent="0.3">
      <c r="A589" s="26" t="str">
        <f t="shared" si="48"/>
        <v/>
      </c>
    </row>
    <row r="590" spans="1:1" x14ac:dyDescent="0.3">
      <c r="A590" s="26" t="str">
        <f t="shared" si="48"/>
        <v/>
      </c>
    </row>
    <row r="591" spans="1:1" x14ac:dyDescent="0.3">
      <c r="A591" s="26" t="str">
        <f t="shared" ref="A591:A654" si="49">IFERROR(IF(A590-$D$118&gt;0,A590-$D$118,""),"")</f>
        <v/>
      </c>
    </row>
    <row r="592" spans="1:1" x14ac:dyDescent="0.3">
      <c r="A592" s="26" t="str">
        <f t="shared" si="49"/>
        <v/>
      </c>
    </row>
    <row r="593" spans="1:1" x14ac:dyDescent="0.3">
      <c r="A593" s="26" t="str">
        <f t="shared" si="49"/>
        <v/>
      </c>
    </row>
    <row r="594" spans="1:1" x14ac:dyDescent="0.3">
      <c r="A594" s="26" t="str">
        <f t="shared" si="49"/>
        <v/>
      </c>
    </row>
    <row r="595" spans="1:1" x14ac:dyDescent="0.3">
      <c r="A595" s="26" t="str">
        <f t="shared" si="49"/>
        <v/>
      </c>
    </row>
    <row r="596" spans="1:1" x14ac:dyDescent="0.3">
      <c r="A596" s="26" t="str">
        <f t="shared" si="49"/>
        <v/>
      </c>
    </row>
    <row r="597" spans="1:1" x14ac:dyDescent="0.3">
      <c r="A597" s="26" t="str">
        <f t="shared" si="49"/>
        <v/>
      </c>
    </row>
    <row r="598" spans="1:1" x14ac:dyDescent="0.3">
      <c r="A598" s="26" t="str">
        <f t="shared" si="49"/>
        <v/>
      </c>
    </row>
    <row r="599" spans="1:1" x14ac:dyDescent="0.3">
      <c r="A599" s="26" t="str">
        <f t="shared" si="49"/>
        <v/>
      </c>
    </row>
    <row r="600" spans="1:1" x14ac:dyDescent="0.3">
      <c r="A600" s="26" t="str">
        <f t="shared" si="49"/>
        <v/>
      </c>
    </row>
    <row r="601" spans="1:1" x14ac:dyDescent="0.3">
      <c r="A601" s="26" t="str">
        <f t="shared" si="49"/>
        <v/>
      </c>
    </row>
    <row r="602" spans="1:1" x14ac:dyDescent="0.3">
      <c r="A602" s="26" t="str">
        <f t="shared" si="49"/>
        <v/>
      </c>
    </row>
    <row r="603" spans="1:1" x14ac:dyDescent="0.3">
      <c r="A603" s="26" t="str">
        <f t="shared" si="49"/>
        <v/>
      </c>
    </row>
    <row r="604" spans="1:1" x14ac:dyDescent="0.3">
      <c r="A604" s="26" t="str">
        <f t="shared" si="49"/>
        <v/>
      </c>
    </row>
    <row r="605" spans="1:1" x14ac:dyDescent="0.3">
      <c r="A605" s="26" t="str">
        <f t="shared" si="49"/>
        <v/>
      </c>
    </row>
    <row r="606" spans="1:1" x14ac:dyDescent="0.3">
      <c r="A606" s="26" t="str">
        <f t="shared" si="49"/>
        <v/>
      </c>
    </row>
    <row r="607" spans="1:1" x14ac:dyDescent="0.3">
      <c r="A607" s="26" t="str">
        <f t="shared" si="49"/>
        <v/>
      </c>
    </row>
    <row r="608" spans="1:1" x14ac:dyDescent="0.3">
      <c r="A608" s="26" t="str">
        <f t="shared" si="49"/>
        <v/>
      </c>
    </row>
    <row r="609" spans="1:1" x14ac:dyDescent="0.3">
      <c r="A609" s="26" t="str">
        <f t="shared" si="49"/>
        <v/>
      </c>
    </row>
    <row r="610" spans="1:1" x14ac:dyDescent="0.3">
      <c r="A610" s="26" t="str">
        <f t="shared" si="49"/>
        <v/>
      </c>
    </row>
    <row r="611" spans="1:1" x14ac:dyDescent="0.3">
      <c r="A611" s="26" t="str">
        <f t="shared" si="49"/>
        <v/>
      </c>
    </row>
    <row r="612" spans="1:1" x14ac:dyDescent="0.3">
      <c r="A612" s="26" t="str">
        <f t="shared" si="49"/>
        <v/>
      </c>
    </row>
    <row r="613" spans="1:1" x14ac:dyDescent="0.3">
      <c r="A613" s="26" t="str">
        <f t="shared" si="49"/>
        <v/>
      </c>
    </row>
    <row r="614" spans="1:1" x14ac:dyDescent="0.3">
      <c r="A614" s="26" t="str">
        <f t="shared" si="49"/>
        <v/>
      </c>
    </row>
    <row r="615" spans="1:1" x14ac:dyDescent="0.3">
      <c r="A615" s="26" t="str">
        <f t="shared" si="49"/>
        <v/>
      </c>
    </row>
    <row r="616" spans="1:1" x14ac:dyDescent="0.3">
      <c r="A616" s="26" t="str">
        <f t="shared" si="49"/>
        <v/>
      </c>
    </row>
    <row r="617" spans="1:1" x14ac:dyDescent="0.3">
      <c r="A617" s="26" t="str">
        <f t="shared" si="49"/>
        <v/>
      </c>
    </row>
    <row r="618" spans="1:1" x14ac:dyDescent="0.3">
      <c r="A618" s="26" t="str">
        <f t="shared" si="49"/>
        <v/>
      </c>
    </row>
    <row r="619" spans="1:1" x14ac:dyDescent="0.3">
      <c r="A619" s="26" t="str">
        <f t="shared" si="49"/>
        <v/>
      </c>
    </row>
    <row r="620" spans="1:1" x14ac:dyDescent="0.3">
      <c r="A620" s="26" t="str">
        <f t="shared" si="49"/>
        <v/>
      </c>
    </row>
    <row r="621" spans="1:1" x14ac:dyDescent="0.3">
      <c r="A621" s="26" t="str">
        <f t="shared" si="49"/>
        <v/>
      </c>
    </row>
    <row r="622" spans="1:1" x14ac:dyDescent="0.3">
      <c r="A622" s="26" t="str">
        <f t="shared" si="49"/>
        <v/>
      </c>
    </row>
    <row r="623" spans="1:1" x14ac:dyDescent="0.3">
      <c r="A623" s="26" t="str">
        <f t="shared" si="49"/>
        <v/>
      </c>
    </row>
    <row r="624" spans="1:1" x14ac:dyDescent="0.3">
      <c r="A624" s="26" t="str">
        <f t="shared" si="49"/>
        <v/>
      </c>
    </row>
    <row r="625" spans="1:1" x14ac:dyDescent="0.3">
      <c r="A625" s="26" t="str">
        <f t="shared" si="49"/>
        <v/>
      </c>
    </row>
    <row r="626" spans="1:1" x14ac:dyDescent="0.3">
      <c r="A626" s="26" t="str">
        <f t="shared" si="49"/>
        <v/>
      </c>
    </row>
    <row r="627" spans="1:1" x14ac:dyDescent="0.3">
      <c r="A627" s="26" t="str">
        <f t="shared" si="49"/>
        <v/>
      </c>
    </row>
    <row r="628" spans="1:1" x14ac:dyDescent="0.3">
      <c r="A628" s="26" t="str">
        <f t="shared" si="49"/>
        <v/>
      </c>
    </row>
    <row r="629" spans="1:1" x14ac:dyDescent="0.3">
      <c r="A629" s="26" t="str">
        <f t="shared" si="49"/>
        <v/>
      </c>
    </row>
    <row r="630" spans="1:1" x14ac:dyDescent="0.3">
      <c r="A630" s="26" t="str">
        <f t="shared" si="49"/>
        <v/>
      </c>
    </row>
    <row r="631" spans="1:1" x14ac:dyDescent="0.3">
      <c r="A631" s="26" t="str">
        <f t="shared" si="49"/>
        <v/>
      </c>
    </row>
    <row r="632" spans="1:1" x14ac:dyDescent="0.3">
      <c r="A632" s="26" t="str">
        <f t="shared" si="49"/>
        <v/>
      </c>
    </row>
    <row r="633" spans="1:1" x14ac:dyDescent="0.3">
      <c r="A633" s="26" t="str">
        <f t="shared" si="49"/>
        <v/>
      </c>
    </row>
    <row r="634" spans="1:1" x14ac:dyDescent="0.3">
      <c r="A634" s="26" t="str">
        <f t="shared" si="49"/>
        <v/>
      </c>
    </row>
    <row r="635" spans="1:1" x14ac:dyDescent="0.3">
      <c r="A635" s="26" t="str">
        <f t="shared" si="49"/>
        <v/>
      </c>
    </row>
    <row r="636" spans="1:1" x14ac:dyDescent="0.3">
      <c r="A636" s="26" t="str">
        <f t="shared" si="49"/>
        <v/>
      </c>
    </row>
    <row r="637" spans="1:1" x14ac:dyDescent="0.3">
      <c r="A637" s="26" t="str">
        <f t="shared" si="49"/>
        <v/>
      </c>
    </row>
    <row r="638" spans="1:1" x14ac:dyDescent="0.3">
      <c r="A638" s="26" t="str">
        <f t="shared" si="49"/>
        <v/>
      </c>
    </row>
    <row r="639" spans="1:1" x14ac:dyDescent="0.3">
      <c r="A639" s="26" t="str">
        <f t="shared" si="49"/>
        <v/>
      </c>
    </row>
    <row r="640" spans="1:1" x14ac:dyDescent="0.3">
      <c r="A640" s="26" t="str">
        <f t="shared" si="49"/>
        <v/>
      </c>
    </row>
    <row r="641" spans="1:1" x14ac:dyDescent="0.3">
      <c r="A641" s="26" t="str">
        <f t="shared" si="49"/>
        <v/>
      </c>
    </row>
    <row r="642" spans="1:1" x14ac:dyDescent="0.3">
      <c r="A642" s="26" t="str">
        <f t="shared" si="49"/>
        <v/>
      </c>
    </row>
    <row r="643" spans="1:1" x14ac:dyDescent="0.3">
      <c r="A643" s="26" t="str">
        <f t="shared" si="49"/>
        <v/>
      </c>
    </row>
    <row r="644" spans="1:1" x14ac:dyDescent="0.3">
      <c r="A644" s="26" t="str">
        <f t="shared" si="49"/>
        <v/>
      </c>
    </row>
    <row r="645" spans="1:1" x14ac:dyDescent="0.3">
      <c r="A645" s="26" t="str">
        <f t="shared" si="49"/>
        <v/>
      </c>
    </row>
    <row r="646" spans="1:1" x14ac:dyDescent="0.3">
      <c r="A646" s="26" t="str">
        <f t="shared" si="49"/>
        <v/>
      </c>
    </row>
    <row r="647" spans="1:1" x14ac:dyDescent="0.3">
      <c r="A647" s="26" t="str">
        <f t="shared" si="49"/>
        <v/>
      </c>
    </row>
    <row r="648" spans="1:1" x14ac:dyDescent="0.3">
      <c r="A648" s="26" t="str">
        <f t="shared" si="49"/>
        <v/>
      </c>
    </row>
    <row r="649" spans="1:1" x14ac:dyDescent="0.3">
      <c r="A649" s="26" t="str">
        <f t="shared" si="49"/>
        <v/>
      </c>
    </row>
    <row r="650" spans="1:1" x14ac:dyDescent="0.3">
      <c r="A650" s="26" t="str">
        <f t="shared" si="49"/>
        <v/>
      </c>
    </row>
    <row r="651" spans="1:1" x14ac:dyDescent="0.3">
      <c r="A651" s="26" t="str">
        <f t="shared" si="49"/>
        <v/>
      </c>
    </row>
    <row r="652" spans="1:1" x14ac:dyDescent="0.3">
      <c r="A652" s="26" t="str">
        <f t="shared" si="49"/>
        <v/>
      </c>
    </row>
    <row r="653" spans="1:1" x14ac:dyDescent="0.3">
      <c r="A653" s="26" t="str">
        <f t="shared" si="49"/>
        <v/>
      </c>
    </row>
    <row r="654" spans="1:1" x14ac:dyDescent="0.3">
      <c r="A654" s="26" t="str">
        <f t="shared" si="49"/>
        <v/>
      </c>
    </row>
    <row r="655" spans="1:1" x14ac:dyDescent="0.3">
      <c r="A655" s="26" t="str">
        <f t="shared" ref="A655:A718" si="50">IFERROR(IF(A654-$D$118&gt;0,A654-$D$118,""),"")</f>
        <v/>
      </c>
    </row>
    <row r="656" spans="1:1" x14ac:dyDescent="0.3">
      <c r="A656" s="26" t="str">
        <f t="shared" si="50"/>
        <v/>
      </c>
    </row>
    <row r="657" spans="1:1" x14ac:dyDescent="0.3">
      <c r="A657" s="26" t="str">
        <f t="shared" si="50"/>
        <v/>
      </c>
    </row>
    <row r="658" spans="1:1" x14ac:dyDescent="0.3">
      <c r="A658" s="26" t="str">
        <f t="shared" si="50"/>
        <v/>
      </c>
    </row>
    <row r="659" spans="1:1" x14ac:dyDescent="0.3">
      <c r="A659" s="26" t="str">
        <f t="shared" si="50"/>
        <v/>
      </c>
    </row>
    <row r="660" spans="1:1" x14ac:dyDescent="0.3">
      <c r="A660" s="26" t="str">
        <f t="shared" si="50"/>
        <v/>
      </c>
    </row>
    <row r="661" spans="1:1" x14ac:dyDescent="0.3">
      <c r="A661" s="26" t="str">
        <f t="shared" si="50"/>
        <v/>
      </c>
    </row>
    <row r="662" spans="1:1" x14ac:dyDescent="0.3">
      <c r="A662" s="26" t="str">
        <f t="shared" si="50"/>
        <v/>
      </c>
    </row>
    <row r="663" spans="1:1" x14ac:dyDescent="0.3">
      <c r="A663" s="26" t="str">
        <f t="shared" si="50"/>
        <v/>
      </c>
    </row>
    <row r="664" spans="1:1" x14ac:dyDescent="0.3">
      <c r="A664" s="26" t="str">
        <f t="shared" si="50"/>
        <v/>
      </c>
    </row>
    <row r="665" spans="1:1" x14ac:dyDescent="0.3">
      <c r="A665" s="26" t="str">
        <f t="shared" si="50"/>
        <v/>
      </c>
    </row>
    <row r="666" spans="1:1" x14ac:dyDescent="0.3">
      <c r="A666" s="26" t="str">
        <f t="shared" si="50"/>
        <v/>
      </c>
    </row>
    <row r="667" spans="1:1" x14ac:dyDescent="0.3">
      <c r="A667" s="26" t="str">
        <f t="shared" si="50"/>
        <v/>
      </c>
    </row>
    <row r="668" spans="1:1" x14ac:dyDescent="0.3">
      <c r="A668" s="26" t="str">
        <f t="shared" si="50"/>
        <v/>
      </c>
    </row>
    <row r="669" spans="1:1" x14ac:dyDescent="0.3">
      <c r="A669" s="26" t="str">
        <f t="shared" si="50"/>
        <v/>
      </c>
    </row>
    <row r="670" spans="1:1" x14ac:dyDescent="0.3">
      <c r="A670" s="26" t="str">
        <f t="shared" si="50"/>
        <v/>
      </c>
    </row>
    <row r="671" spans="1:1" x14ac:dyDescent="0.3">
      <c r="A671" s="26" t="str">
        <f t="shared" si="50"/>
        <v/>
      </c>
    </row>
    <row r="672" spans="1:1" x14ac:dyDescent="0.3">
      <c r="A672" s="26" t="str">
        <f t="shared" si="50"/>
        <v/>
      </c>
    </row>
    <row r="673" spans="1:1" x14ac:dyDescent="0.3">
      <c r="A673" s="26" t="str">
        <f t="shared" si="50"/>
        <v/>
      </c>
    </row>
    <row r="674" spans="1:1" x14ac:dyDescent="0.3">
      <c r="A674" s="26" t="str">
        <f t="shared" si="50"/>
        <v/>
      </c>
    </row>
    <row r="675" spans="1:1" x14ac:dyDescent="0.3">
      <c r="A675" s="26" t="str">
        <f t="shared" si="50"/>
        <v/>
      </c>
    </row>
    <row r="676" spans="1:1" x14ac:dyDescent="0.3">
      <c r="A676" s="26" t="str">
        <f t="shared" si="50"/>
        <v/>
      </c>
    </row>
    <row r="677" spans="1:1" x14ac:dyDescent="0.3">
      <c r="A677" s="26" t="str">
        <f t="shared" si="50"/>
        <v/>
      </c>
    </row>
    <row r="678" spans="1:1" x14ac:dyDescent="0.3">
      <c r="A678" s="26" t="str">
        <f t="shared" si="50"/>
        <v/>
      </c>
    </row>
    <row r="679" spans="1:1" x14ac:dyDescent="0.3">
      <c r="A679" s="26" t="str">
        <f t="shared" si="50"/>
        <v/>
      </c>
    </row>
    <row r="680" spans="1:1" x14ac:dyDescent="0.3">
      <c r="A680" s="26" t="str">
        <f t="shared" si="50"/>
        <v/>
      </c>
    </row>
    <row r="681" spans="1:1" x14ac:dyDescent="0.3">
      <c r="A681" s="26" t="str">
        <f t="shared" si="50"/>
        <v/>
      </c>
    </row>
    <row r="682" spans="1:1" x14ac:dyDescent="0.3">
      <c r="A682" s="26" t="str">
        <f t="shared" si="50"/>
        <v/>
      </c>
    </row>
    <row r="683" spans="1:1" x14ac:dyDescent="0.3">
      <c r="A683" s="26" t="str">
        <f t="shared" si="50"/>
        <v/>
      </c>
    </row>
    <row r="684" spans="1:1" x14ac:dyDescent="0.3">
      <c r="A684" s="26" t="str">
        <f t="shared" si="50"/>
        <v/>
      </c>
    </row>
    <row r="685" spans="1:1" x14ac:dyDescent="0.3">
      <c r="A685" s="26" t="str">
        <f t="shared" si="50"/>
        <v/>
      </c>
    </row>
    <row r="686" spans="1:1" x14ac:dyDescent="0.3">
      <c r="A686" s="26" t="str">
        <f t="shared" si="50"/>
        <v/>
      </c>
    </row>
    <row r="687" spans="1:1" x14ac:dyDescent="0.3">
      <c r="A687" s="26" t="str">
        <f t="shared" si="50"/>
        <v/>
      </c>
    </row>
    <row r="688" spans="1:1" x14ac:dyDescent="0.3">
      <c r="A688" s="26" t="str">
        <f t="shared" si="50"/>
        <v/>
      </c>
    </row>
    <row r="689" spans="1:1" x14ac:dyDescent="0.3">
      <c r="A689" s="26" t="str">
        <f t="shared" si="50"/>
        <v/>
      </c>
    </row>
    <row r="690" spans="1:1" x14ac:dyDescent="0.3">
      <c r="A690" s="26" t="str">
        <f t="shared" si="50"/>
        <v/>
      </c>
    </row>
    <row r="691" spans="1:1" x14ac:dyDescent="0.3">
      <c r="A691" s="26" t="str">
        <f t="shared" si="50"/>
        <v/>
      </c>
    </row>
    <row r="692" spans="1:1" x14ac:dyDescent="0.3">
      <c r="A692" s="26" t="str">
        <f t="shared" si="50"/>
        <v/>
      </c>
    </row>
    <row r="693" spans="1:1" x14ac:dyDescent="0.3">
      <c r="A693" s="26" t="str">
        <f t="shared" si="50"/>
        <v/>
      </c>
    </row>
    <row r="694" spans="1:1" x14ac:dyDescent="0.3">
      <c r="A694" s="26" t="str">
        <f t="shared" si="50"/>
        <v/>
      </c>
    </row>
    <row r="695" spans="1:1" x14ac:dyDescent="0.3">
      <c r="A695" s="26" t="str">
        <f t="shared" si="50"/>
        <v/>
      </c>
    </row>
    <row r="696" spans="1:1" x14ac:dyDescent="0.3">
      <c r="A696" s="26" t="str">
        <f t="shared" si="50"/>
        <v/>
      </c>
    </row>
    <row r="697" spans="1:1" x14ac:dyDescent="0.3">
      <c r="A697" s="26" t="str">
        <f t="shared" si="50"/>
        <v/>
      </c>
    </row>
    <row r="698" spans="1:1" x14ac:dyDescent="0.3">
      <c r="A698" s="26" t="str">
        <f t="shared" si="50"/>
        <v/>
      </c>
    </row>
    <row r="699" spans="1:1" x14ac:dyDescent="0.3">
      <c r="A699" s="26" t="str">
        <f t="shared" si="50"/>
        <v/>
      </c>
    </row>
    <row r="700" spans="1:1" x14ac:dyDescent="0.3">
      <c r="A700" s="26" t="str">
        <f t="shared" si="50"/>
        <v/>
      </c>
    </row>
    <row r="701" spans="1:1" x14ac:dyDescent="0.3">
      <c r="A701" s="26" t="str">
        <f t="shared" si="50"/>
        <v/>
      </c>
    </row>
    <row r="702" spans="1:1" x14ac:dyDescent="0.3">
      <c r="A702" s="26" t="str">
        <f t="shared" si="50"/>
        <v/>
      </c>
    </row>
    <row r="703" spans="1:1" x14ac:dyDescent="0.3">
      <c r="A703" s="26" t="str">
        <f t="shared" si="50"/>
        <v/>
      </c>
    </row>
    <row r="704" spans="1:1" x14ac:dyDescent="0.3">
      <c r="A704" s="26" t="str">
        <f t="shared" si="50"/>
        <v/>
      </c>
    </row>
    <row r="705" spans="1:1" x14ac:dyDescent="0.3">
      <c r="A705" s="26" t="str">
        <f t="shared" si="50"/>
        <v/>
      </c>
    </row>
    <row r="706" spans="1:1" x14ac:dyDescent="0.3">
      <c r="A706" s="26" t="str">
        <f t="shared" si="50"/>
        <v/>
      </c>
    </row>
    <row r="707" spans="1:1" x14ac:dyDescent="0.3">
      <c r="A707" s="26" t="str">
        <f t="shared" si="50"/>
        <v/>
      </c>
    </row>
    <row r="708" spans="1:1" x14ac:dyDescent="0.3">
      <c r="A708" s="26" t="str">
        <f t="shared" si="50"/>
        <v/>
      </c>
    </row>
    <row r="709" spans="1:1" x14ac:dyDescent="0.3">
      <c r="A709" s="26" t="str">
        <f t="shared" si="50"/>
        <v/>
      </c>
    </row>
    <row r="710" spans="1:1" x14ac:dyDescent="0.3">
      <c r="A710" s="26" t="str">
        <f t="shared" si="50"/>
        <v/>
      </c>
    </row>
    <row r="711" spans="1:1" x14ac:dyDescent="0.3">
      <c r="A711" s="26" t="str">
        <f t="shared" si="50"/>
        <v/>
      </c>
    </row>
    <row r="712" spans="1:1" x14ac:dyDescent="0.3">
      <c r="A712" s="26" t="str">
        <f t="shared" si="50"/>
        <v/>
      </c>
    </row>
    <row r="713" spans="1:1" x14ac:dyDescent="0.3">
      <c r="A713" s="26" t="str">
        <f t="shared" si="50"/>
        <v/>
      </c>
    </row>
    <row r="714" spans="1:1" x14ac:dyDescent="0.3">
      <c r="A714" s="26" t="str">
        <f t="shared" si="50"/>
        <v/>
      </c>
    </row>
    <row r="715" spans="1:1" x14ac:dyDescent="0.3">
      <c r="A715" s="26" t="str">
        <f t="shared" si="50"/>
        <v/>
      </c>
    </row>
    <row r="716" spans="1:1" x14ac:dyDescent="0.3">
      <c r="A716" s="26" t="str">
        <f t="shared" si="50"/>
        <v/>
      </c>
    </row>
    <row r="717" spans="1:1" x14ac:dyDescent="0.3">
      <c r="A717" s="26" t="str">
        <f t="shared" si="50"/>
        <v/>
      </c>
    </row>
    <row r="718" spans="1:1" x14ac:dyDescent="0.3">
      <c r="A718" s="26" t="str">
        <f t="shared" si="50"/>
        <v/>
      </c>
    </row>
    <row r="719" spans="1:1" x14ac:dyDescent="0.3">
      <c r="A719" s="26" t="str">
        <f t="shared" ref="A719:A782" si="51">IFERROR(IF(A718-$D$118&gt;0,A718-$D$118,""),"")</f>
        <v/>
      </c>
    </row>
    <row r="720" spans="1:1" x14ac:dyDescent="0.3">
      <c r="A720" s="26" t="str">
        <f t="shared" si="51"/>
        <v/>
      </c>
    </row>
    <row r="721" spans="1:1" x14ac:dyDescent="0.3">
      <c r="A721" s="26" t="str">
        <f t="shared" si="51"/>
        <v/>
      </c>
    </row>
    <row r="722" spans="1:1" x14ac:dyDescent="0.3">
      <c r="A722" s="26" t="str">
        <f t="shared" si="51"/>
        <v/>
      </c>
    </row>
    <row r="723" spans="1:1" x14ac:dyDescent="0.3">
      <c r="A723" s="26" t="str">
        <f t="shared" si="51"/>
        <v/>
      </c>
    </row>
    <row r="724" spans="1:1" x14ac:dyDescent="0.3">
      <c r="A724" s="26" t="str">
        <f t="shared" si="51"/>
        <v/>
      </c>
    </row>
    <row r="725" spans="1:1" x14ac:dyDescent="0.3">
      <c r="A725" s="26" t="str">
        <f t="shared" si="51"/>
        <v/>
      </c>
    </row>
    <row r="726" spans="1:1" x14ac:dyDescent="0.3">
      <c r="A726" s="26" t="str">
        <f t="shared" si="51"/>
        <v/>
      </c>
    </row>
    <row r="727" spans="1:1" x14ac:dyDescent="0.3">
      <c r="A727" s="26" t="str">
        <f t="shared" si="51"/>
        <v/>
      </c>
    </row>
    <row r="728" spans="1:1" x14ac:dyDescent="0.3">
      <c r="A728" s="26" t="str">
        <f t="shared" si="51"/>
        <v/>
      </c>
    </row>
    <row r="729" spans="1:1" x14ac:dyDescent="0.3">
      <c r="A729" s="26" t="str">
        <f t="shared" si="51"/>
        <v/>
      </c>
    </row>
    <row r="730" spans="1:1" x14ac:dyDescent="0.3">
      <c r="A730" s="26" t="str">
        <f t="shared" si="51"/>
        <v/>
      </c>
    </row>
    <row r="731" spans="1:1" x14ac:dyDescent="0.3">
      <c r="A731" s="26" t="str">
        <f t="shared" si="51"/>
        <v/>
      </c>
    </row>
    <row r="732" spans="1:1" x14ac:dyDescent="0.3">
      <c r="A732" s="26" t="str">
        <f t="shared" si="51"/>
        <v/>
      </c>
    </row>
    <row r="733" spans="1:1" x14ac:dyDescent="0.3">
      <c r="A733" s="26" t="str">
        <f t="shared" si="51"/>
        <v/>
      </c>
    </row>
    <row r="734" spans="1:1" x14ac:dyDescent="0.3">
      <c r="A734" s="26" t="str">
        <f t="shared" si="51"/>
        <v/>
      </c>
    </row>
    <row r="735" spans="1:1" x14ac:dyDescent="0.3">
      <c r="A735" s="26" t="str">
        <f t="shared" si="51"/>
        <v/>
      </c>
    </row>
    <row r="736" spans="1:1" x14ac:dyDescent="0.3">
      <c r="A736" s="26" t="str">
        <f t="shared" si="51"/>
        <v/>
      </c>
    </row>
    <row r="737" spans="1:1" x14ac:dyDescent="0.3">
      <c r="A737" s="26" t="str">
        <f t="shared" si="51"/>
        <v/>
      </c>
    </row>
    <row r="738" spans="1:1" x14ac:dyDescent="0.3">
      <c r="A738" s="26" t="str">
        <f t="shared" si="51"/>
        <v/>
      </c>
    </row>
    <row r="739" spans="1:1" x14ac:dyDescent="0.3">
      <c r="A739" s="26" t="str">
        <f t="shared" si="51"/>
        <v/>
      </c>
    </row>
    <row r="740" spans="1:1" x14ac:dyDescent="0.3">
      <c r="A740" s="26" t="str">
        <f t="shared" si="51"/>
        <v/>
      </c>
    </row>
    <row r="741" spans="1:1" x14ac:dyDescent="0.3">
      <c r="A741" s="26" t="str">
        <f t="shared" si="51"/>
        <v/>
      </c>
    </row>
    <row r="742" spans="1:1" x14ac:dyDescent="0.3">
      <c r="A742" s="26" t="str">
        <f t="shared" si="51"/>
        <v/>
      </c>
    </row>
    <row r="743" spans="1:1" x14ac:dyDescent="0.3">
      <c r="A743" s="26" t="str">
        <f t="shared" si="51"/>
        <v/>
      </c>
    </row>
    <row r="744" spans="1:1" x14ac:dyDescent="0.3">
      <c r="A744" s="26" t="str">
        <f t="shared" si="51"/>
        <v/>
      </c>
    </row>
    <row r="745" spans="1:1" x14ac:dyDescent="0.3">
      <c r="A745" s="26" t="str">
        <f t="shared" si="51"/>
        <v/>
      </c>
    </row>
    <row r="746" spans="1:1" x14ac:dyDescent="0.3">
      <c r="A746" s="26" t="str">
        <f t="shared" si="51"/>
        <v/>
      </c>
    </row>
    <row r="747" spans="1:1" x14ac:dyDescent="0.3">
      <c r="A747" s="26" t="str">
        <f t="shared" si="51"/>
        <v/>
      </c>
    </row>
    <row r="748" spans="1:1" x14ac:dyDescent="0.3">
      <c r="A748" s="26" t="str">
        <f t="shared" si="51"/>
        <v/>
      </c>
    </row>
    <row r="749" spans="1:1" x14ac:dyDescent="0.3">
      <c r="A749" s="26" t="str">
        <f t="shared" si="51"/>
        <v/>
      </c>
    </row>
    <row r="750" spans="1:1" x14ac:dyDescent="0.3">
      <c r="A750" s="26" t="str">
        <f t="shared" si="51"/>
        <v/>
      </c>
    </row>
    <row r="751" spans="1:1" x14ac:dyDescent="0.3">
      <c r="A751" s="26" t="str">
        <f t="shared" si="51"/>
        <v/>
      </c>
    </row>
    <row r="752" spans="1:1" x14ac:dyDescent="0.3">
      <c r="A752" s="26" t="str">
        <f t="shared" si="51"/>
        <v/>
      </c>
    </row>
    <row r="753" spans="1:1" x14ac:dyDescent="0.3">
      <c r="A753" s="26" t="str">
        <f t="shared" si="51"/>
        <v/>
      </c>
    </row>
    <row r="754" spans="1:1" x14ac:dyDescent="0.3">
      <c r="A754" s="26" t="str">
        <f t="shared" si="51"/>
        <v/>
      </c>
    </row>
    <row r="755" spans="1:1" x14ac:dyDescent="0.3">
      <c r="A755" s="26" t="str">
        <f t="shared" si="51"/>
        <v/>
      </c>
    </row>
    <row r="756" spans="1:1" x14ac:dyDescent="0.3">
      <c r="A756" s="26" t="str">
        <f t="shared" si="51"/>
        <v/>
      </c>
    </row>
    <row r="757" spans="1:1" x14ac:dyDescent="0.3">
      <c r="A757" s="26" t="str">
        <f t="shared" si="51"/>
        <v/>
      </c>
    </row>
    <row r="758" spans="1:1" x14ac:dyDescent="0.3">
      <c r="A758" s="26" t="str">
        <f t="shared" si="51"/>
        <v/>
      </c>
    </row>
    <row r="759" spans="1:1" x14ac:dyDescent="0.3">
      <c r="A759" s="26" t="str">
        <f t="shared" si="51"/>
        <v/>
      </c>
    </row>
    <row r="760" spans="1:1" x14ac:dyDescent="0.3">
      <c r="A760" s="26" t="str">
        <f t="shared" si="51"/>
        <v/>
      </c>
    </row>
    <row r="761" spans="1:1" x14ac:dyDescent="0.3">
      <c r="A761" s="26" t="str">
        <f t="shared" si="51"/>
        <v/>
      </c>
    </row>
    <row r="762" spans="1:1" x14ac:dyDescent="0.3">
      <c r="A762" s="26" t="str">
        <f t="shared" si="51"/>
        <v/>
      </c>
    </row>
    <row r="763" spans="1:1" x14ac:dyDescent="0.3">
      <c r="A763" s="26" t="str">
        <f t="shared" si="51"/>
        <v/>
      </c>
    </row>
    <row r="764" spans="1:1" x14ac:dyDescent="0.3">
      <c r="A764" s="26" t="str">
        <f t="shared" si="51"/>
        <v/>
      </c>
    </row>
    <row r="765" spans="1:1" x14ac:dyDescent="0.3">
      <c r="A765" s="26" t="str">
        <f t="shared" si="51"/>
        <v/>
      </c>
    </row>
    <row r="766" spans="1:1" x14ac:dyDescent="0.3">
      <c r="A766" s="26" t="str">
        <f t="shared" si="51"/>
        <v/>
      </c>
    </row>
    <row r="767" spans="1:1" x14ac:dyDescent="0.3">
      <c r="A767" s="26" t="str">
        <f t="shared" si="51"/>
        <v/>
      </c>
    </row>
    <row r="768" spans="1:1" x14ac:dyDescent="0.3">
      <c r="A768" s="26" t="str">
        <f t="shared" si="51"/>
        <v/>
      </c>
    </row>
    <row r="769" spans="1:1" x14ac:dyDescent="0.3">
      <c r="A769" s="26" t="str">
        <f t="shared" si="51"/>
        <v/>
      </c>
    </row>
    <row r="770" spans="1:1" x14ac:dyDescent="0.3">
      <c r="A770" s="26" t="str">
        <f t="shared" si="51"/>
        <v/>
      </c>
    </row>
    <row r="771" spans="1:1" x14ac:dyDescent="0.3">
      <c r="A771" s="26" t="str">
        <f t="shared" si="51"/>
        <v/>
      </c>
    </row>
    <row r="772" spans="1:1" x14ac:dyDescent="0.3">
      <c r="A772" s="26" t="str">
        <f t="shared" si="51"/>
        <v/>
      </c>
    </row>
    <row r="773" spans="1:1" x14ac:dyDescent="0.3">
      <c r="A773" s="26" t="str">
        <f t="shared" si="51"/>
        <v/>
      </c>
    </row>
    <row r="774" spans="1:1" x14ac:dyDescent="0.3">
      <c r="A774" s="26" t="str">
        <f t="shared" si="51"/>
        <v/>
      </c>
    </row>
    <row r="775" spans="1:1" x14ac:dyDescent="0.3">
      <c r="A775" s="26" t="str">
        <f t="shared" si="51"/>
        <v/>
      </c>
    </row>
    <row r="776" spans="1:1" x14ac:dyDescent="0.3">
      <c r="A776" s="26" t="str">
        <f t="shared" si="51"/>
        <v/>
      </c>
    </row>
    <row r="777" spans="1:1" x14ac:dyDescent="0.3">
      <c r="A777" s="26" t="str">
        <f t="shared" si="51"/>
        <v/>
      </c>
    </row>
    <row r="778" spans="1:1" x14ac:dyDescent="0.3">
      <c r="A778" s="26" t="str">
        <f t="shared" si="51"/>
        <v/>
      </c>
    </row>
    <row r="779" spans="1:1" x14ac:dyDescent="0.3">
      <c r="A779" s="26" t="str">
        <f t="shared" si="51"/>
        <v/>
      </c>
    </row>
    <row r="780" spans="1:1" x14ac:dyDescent="0.3">
      <c r="A780" s="26" t="str">
        <f t="shared" si="51"/>
        <v/>
      </c>
    </row>
    <row r="781" spans="1:1" x14ac:dyDescent="0.3">
      <c r="A781" s="26" t="str">
        <f t="shared" si="51"/>
        <v/>
      </c>
    </row>
    <row r="782" spans="1:1" x14ac:dyDescent="0.3">
      <c r="A782" s="26" t="str">
        <f t="shared" si="51"/>
        <v/>
      </c>
    </row>
    <row r="783" spans="1:1" x14ac:dyDescent="0.3">
      <c r="A783" s="26" t="str">
        <f t="shared" ref="A783:A846" si="52">IFERROR(IF(A782-$D$118&gt;0,A782-$D$118,""),"")</f>
        <v/>
      </c>
    </row>
    <row r="784" spans="1:1" x14ac:dyDescent="0.3">
      <c r="A784" s="26" t="str">
        <f t="shared" si="52"/>
        <v/>
      </c>
    </row>
    <row r="785" spans="1:1" x14ac:dyDescent="0.3">
      <c r="A785" s="26" t="str">
        <f t="shared" si="52"/>
        <v/>
      </c>
    </row>
    <row r="786" spans="1:1" x14ac:dyDescent="0.3">
      <c r="A786" s="26" t="str">
        <f t="shared" si="52"/>
        <v/>
      </c>
    </row>
    <row r="787" spans="1:1" x14ac:dyDescent="0.3">
      <c r="A787" s="26" t="str">
        <f t="shared" si="52"/>
        <v/>
      </c>
    </row>
    <row r="788" spans="1:1" x14ac:dyDescent="0.3">
      <c r="A788" s="26" t="str">
        <f t="shared" si="52"/>
        <v/>
      </c>
    </row>
    <row r="789" spans="1:1" x14ac:dyDescent="0.3">
      <c r="A789" s="26" t="str">
        <f t="shared" si="52"/>
        <v/>
      </c>
    </row>
    <row r="790" spans="1:1" x14ac:dyDescent="0.3">
      <c r="A790" s="26" t="str">
        <f t="shared" si="52"/>
        <v/>
      </c>
    </row>
    <row r="791" spans="1:1" x14ac:dyDescent="0.3">
      <c r="A791" s="26" t="str">
        <f t="shared" si="52"/>
        <v/>
      </c>
    </row>
    <row r="792" spans="1:1" x14ac:dyDescent="0.3">
      <c r="A792" s="26" t="str">
        <f t="shared" si="52"/>
        <v/>
      </c>
    </row>
    <row r="793" spans="1:1" x14ac:dyDescent="0.3">
      <c r="A793" s="26" t="str">
        <f t="shared" si="52"/>
        <v/>
      </c>
    </row>
    <row r="794" spans="1:1" x14ac:dyDescent="0.3">
      <c r="A794" s="26" t="str">
        <f t="shared" si="52"/>
        <v/>
      </c>
    </row>
    <row r="795" spans="1:1" x14ac:dyDescent="0.3">
      <c r="A795" s="26" t="str">
        <f t="shared" si="52"/>
        <v/>
      </c>
    </row>
    <row r="796" spans="1:1" x14ac:dyDescent="0.3">
      <c r="A796" s="26" t="str">
        <f t="shared" si="52"/>
        <v/>
      </c>
    </row>
    <row r="797" spans="1:1" x14ac:dyDescent="0.3">
      <c r="A797" s="26" t="str">
        <f t="shared" si="52"/>
        <v/>
      </c>
    </row>
    <row r="798" spans="1:1" x14ac:dyDescent="0.3">
      <c r="A798" s="26" t="str">
        <f t="shared" si="52"/>
        <v/>
      </c>
    </row>
    <row r="799" spans="1:1" x14ac:dyDescent="0.3">
      <c r="A799" s="26" t="str">
        <f t="shared" si="52"/>
        <v/>
      </c>
    </row>
    <row r="800" spans="1:1" x14ac:dyDescent="0.3">
      <c r="A800" s="26" t="str">
        <f t="shared" si="52"/>
        <v/>
      </c>
    </row>
    <row r="801" spans="1:1" x14ac:dyDescent="0.3">
      <c r="A801" s="26" t="str">
        <f t="shared" si="52"/>
        <v/>
      </c>
    </row>
    <row r="802" spans="1:1" x14ac:dyDescent="0.3">
      <c r="A802" s="26" t="str">
        <f t="shared" si="52"/>
        <v/>
      </c>
    </row>
    <row r="803" spans="1:1" x14ac:dyDescent="0.3">
      <c r="A803" s="26" t="str">
        <f t="shared" si="52"/>
        <v/>
      </c>
    </row>
    <row r="804" spans="1:1" x14ac:dyDescent="0.3">
      <c r="A804" s="26" t="str">
        <f t="shared" si="52"/>
        <v/>
      </c>
    </row>
    <row r="805" spans="1:1" x14ac:dyDescent="0.3">
      <c r="A805" s="26" t="str">
        <f t="shared" si="52"/>
        <v/>
      </c>
    </row>
    <row r="806" spans="1:1" x14ac:dyDescent="0.3">
      <c r="A806" s="26" t="str">
        <f t="shared" si="52"/>
        <v/>
      </c>
    </row>
    <row r="807" spans="1:1" x14ac:dyDescent="0.3">
      <c r="A807" s="26" t="str">
        <f t="shared" si="52"/>
        <v/>
      </c>
    </row>
    <row r="808" spans="1:1" x14ac:dyDescent="0.3">
      <c r="A808" s="26" t="str">
        <f t="shared" si="52"/>
        <v/>
      </c>
    </row>
    <row r="809" spans="1:1" x14ac:dyDescent="0.3">
      <c r="A809" s="26" t="str">
        <f t="shared" si="52"/>
        <v/>
      </c>
    </row>
    <row r="810" spans="1:1" x14ac:dyDescent="0.3">
      <c r="A810" s="26" t="str">
        <f t="shared" si="52"/>
        <v/>
      </c>
    </row>
    <row r="811" spans="1:1" x14ac:dyDescent="0.3">
      <c r="A811" s="26" t="str">
        <f t="shared" si="52"/>
        <v/>
      </c>
    </row>
    <row r="812" spans="1:1" x14ac:dyDescent="0.3">
      <c r="A812" s="26" t="str">
        <f t="shared" si="52"/>
        <v/>
      </c>
    </row>
    <row r="813" spans="1:1" x14ac:dyDescent="0.3">
      <c r="A813" s="26" t="str">
        <f t="shared" si="52"/>
        <v/>
      </c>
    </row>
    <row r="814" spans="1:1" x14ac:dyDescent="0.3">
      <c r="A814" s="26" t="str">
        <f t="shared" si="52"/>
        <v/>
      </c>
    </row>
    <row r="815" spans="1:1" x14ac:dyDescent="0.3">
      <c r="A815" s="26" t="str">
        <f t="shared" si="52"/>
        <v/>
      </c>
    </row>
    <row r="816" spans="1:1" x14ac:dyDescent="0.3">
      <c r="A816" s="26" t="str">
        <f t="shared" si="52"/>
        <v/>
      </c>
    </row>
    <row r="817" spans="1:1" x14ac:dyDescent="0.3">
      <c r="A817" s="26" t="str">
        <f t="shared" si="52"/>
        <v/>
      </c>
    </row>
    <row r="818" spans="1:1" x14ac:dyDescent="0.3">
      <c r="A818" s="26" t="str">
        <f t="shared" si="52"/>
        <v/>
      </c>
    </row>
    <row r="819" spans="1:1" x14ac:dyDescent="0.3">
      <c r="A819" s="26" t="str">
        <f t="shared" si="52"/>
        <v/>
      </c>
    </row>
    <row r="820" spans="1:1" x14ac:dyDescent="0.3">
      <c r="A820" s="26" t="str">
        <f t="shared" si="52"/>
        <v/>
      </c>
    </row>
    <row r="821" spans="1:1" x14ac:dyDescent="0.3">
      <c r="A821" s="26" t="str">
        <f t="shared" si="52"/>
        <v/>
      </c>
    </row>
    <row r="822" spans="1:1" x14ac:dyDescent="0.3">
      <c r="A822" s="26" t="str">
        <f t="shared" si="52"/>
        <v/>
      </c>
    </row>
    <row r="823" spans="1:1" x14ac:dyDescent="0.3">
      <c r="A823" s="26" t="str">
        <f t="shared" si="52"/>
        <v/>
      </c>
    </row>
    <row r="824" spans="1:1" x14ac:dyDescent="0.3">
      <c r="A824" s="26" t="str">
        <f t="shared" si="52"/>
        <v/>
      </c>
    </row>
    <row r="825" spans="1:1" x14ac:dyDescent="0.3">
      <c r="A825" s="26" t="str">
        <f t="shared" si="52"/>
        <v/>
      </c>
    </row>
    <row r="826" spans="1:1" x14ac:dyDescent="0.3">
      <c r="A826" s="26" t="str">
        <f t="shared" si="52"/>
        <v/>
      </c>
    </row>
    <row r="827" spans="1:1" x14ac:dyDescent="0.3">
      <c r="A827" s="26" t="str">
        <f t="shared" si="52"/>
        <v/>
      </c>
    </row>
    <row r="828" spans="1:1" x14ac:dyDescent="0.3">
      <c r="A828" s="26" t="str">
        <f t="shared" si="52"/>
        <v/>
      </c>
    </row>
    <row r="829" spans="1:1" x14ac:dyDescent="0.3">
      <c r="A829" s="26" t="str">
        <f t="shared" si="52"/>
        <v/>
      </c>
    </row>
    <row r="830" spans="1:1" x14ac:dyDescent="0.3">
      <c r="A830" s="26" t="str">
        <f t="shared" si="52"/>
        <v/>
      </c>
    </row>
    <row r="831" spans="1:1" x14ac:dyDescent="0.3">
      <c r="A831" s="26" t="str">
        <f t="shared" si="52"/>
        <v/>
      </c>
    </row>
    <row r="832" spans="1:1" x14ac:dyDescent="0.3">
      <c r="A832" s="26" t="str">
        <f t="shared" si="52"/>
        <v/>
      </c>
    </row>
    <row r="833" spans="1:1" x14ac:dyDescent="0.3">
      <c r="A833" s="26" t="str">
        <f t="shared" si="52"/>
        <v/>
      </c>
    </row>
    <row r="834" spans="1:1" x14ac:dyDescent="0.3">
      <c r="A834" s="26" t="str">
        <f t="shared" si="52"/>
        <v/>
      </c>
    </row>
    <row r="835" spans="1:1" x14ac:dyDescent="0.3">
      <c r="A835" s="26" t="str">
        <f t="shared" si="52"/>
        <v/>
      </c>
    </row>
    <row r="836" spans="1:1" x14ac:dyDescent="0.3">
      <c r="A836" s="26" t="str">
        <f t="shared" si="52"/>
        <v/>
      </c>
    </row>
    <row r="837" spans="1:1" x14ac:dyDescent="0.3">
      <c r="A837" s="26" t="str">
        <f t="shared" si="52"/>
        <v/>
      </c>
    </row>
    <row r="838" spans="1:1" x14ac:dyDescent="0.3">
      <c r="A838" s="26" t="str">
        <f t="shared" si="52"/>
        <v/>
      </c>
    </row>
    <row r="839" spans="1:1" x14ac:dyDescent="0.3">
      <c r="A839" s="26" t="str">
        <f t="shared" si="52"/>
        <v/>
      </c>
    </row>
    <row r="840" spans="1:1" x14ac:dyDescent="0.3">
      <c r="A840" s="26" t="str">
        <f t="shared" si="52"/>
        <v/>
      </c>
    </row>
    <row r="841" spans="1:1" x14ac:dyDescent="0.3">
      <c r="A841" s="26" t="str">
        <f t="shared" si="52"/>
        <v/>
      </c>
    </row>
    <row r="842" spans="1:1" x14ac:dyDescent="0.3">
      <c r="A842" s="26" t="str">
        <f t="shared" si="52"/>
        <v/>
      </c>
    </row>
    <row r="843" spans="1:1" x14ac:dyDescent="0.3">
      <c r="A843" s="26" t="str">
        <f t="shared" si="52"/>
        <v/>
      </c>
    </row>
    <row r="844" spans="1:1" x14ac:dyDescent="0.3">
      <c r="A844" s="26" t="str">
        <f t="shared" si="52"/>
        <v/>
      </c>
    </row>
    <row r="845" spans="1:1" x14ac:dyDescent="0.3">
      <c r="A845" s="26" t="str">
        <f t="shared" si="52"/>
        <v/>
      </c>
    </row>
    <row r="846" spans="1:1" x14ac:dyDescent="0.3">
      <c r="A846" s="26" t="str">
        <f t="shared" si="52"/>
        <v/>
      </c>
    </row>
    <row r="847" spans="1:1" x14ac:dyDescent="0.3">
      <c r="A847" s="26" t="str">
        <f t="shared" ref="A847:A910" si="53">IFERROR(IF(A846-$D$118&gt;0,A846-$D$118,""),"")</f>
        <v/>
      </c>
    </row>
    <row r="848" spans="1:1" x14ac:dyDescent="0.3">
      <c r="A848" s="26" t="str">
        <f t="shared" si="53"/>
        <v/>
      </c>
    </row>
    <row r="849" spans="1:1" x14ac:dyDescent="0.3">
      <c r="A849" s="26" t="str">
        <f t="shared" si="53"/>
        <v/>
      </c>
    </row>
    <row r="850" spans="1:1" x14ac:dyDescent="0.3">
      <c r="A850" s="26" t="str">
        <f t="shared" si="53"/>
        <v/>
      </c>
    </row>
    <row r="851" spans="1:1" x14ac:dyDescent="0.3">
      <c r="A851" s="26" t="str">
        <f t="shared" si="53"/>
        <v/>
      </c>
    </row>
    <row r="852" spans="1:1" x14ac:dyDescent="0.3">
      <c r="A852" s="26" t="str">
        <f t="shared" si="53"/>
        <v/>
      </c>
    </row>
    <row r="853" spans="1:1" x14ac:dyDescent="0.3">
      <c r="A853" s="26" t="str">
        <f t="shared" si="53"/>
        <v/>
      </c>
    </row>
    <row r="854" spans="1:1" x14ac:dyDescent="0.3">
      <c r="A854" s="26" t="str">
        <f t="shared" si="53"/>
        <v/>
      </c>
    </row>
    <row r="855" spans="1:1" x14ac:dyDescent="0.3">
      <c r="A855" s="26" t="str">
        <f t="shared" si="53"/>
        <v/>
      </c>
    </row>
    <row r="856" spans="1:1" x14ac:dyDescent="0.3">
      <c r="A856" s="26" t="str">
        <f t="shared" si="53"/>
        <v/>
      </c>
    </row>
    <row r="857" spans="1:1" x14ac:dyDescent="0.3">
      <c r="A857" s="26" t="str">
        <f t="shared" si="53"/>
        <v/>
      </c>
    </row>
    <row r="858" spans="1:1" x14ac:dyDescent="0.3">
      <c r="A858" s="26" t="str">
        <f t="shared" si="53"/>
        <v/>
      </c>
    </row>
    <row r="859" spans="1:1" x14ac:dyDescent="0.3">
      <c r="A859" s="26" t="str">
        <f t="shared" si="53"/>
        <v/>
      </c>
    </row>
    <row r="860" spans="1:1" x14ac:dyDescent="0.3">
      <c r="A860" s="26" t="str">
        <f t="shared" si="53"/>
        <v/>
      </c>
    </row>
    <row r="861" spans="1:1" x14ac:dyDescent="0.3">
      <c r="A861" s="26" t="str">
        <f t="shared" si="53"/>
        <v/>
      </c>
    </row>
    <row r="862" spans="1:1" x14ac:dyDescent="0.3">
      <c r="A862" s="26" t="str">
        <f t="shared" si="53"/>
        <v/>
      </c>
    </row>
    <row r="863" spans="1:1" x14ac:dyDescent="0.3">
      <c r="A863" s="26" t="str">
        <f t="shared" si="53"/>
        <v/>
      </c>
    </row>
    <row r="864" spans="1:1" x14ac:dyDescent="0.3">
      <c r="A864" s="26" t="str">
        <f t="shared" si="53"/>
        <v/>
      </c>
    </row>
    <row r="865" spans="1:1" x14ac:dyDescent="0.3">
      <c r="A865" s="26" t="str">
        <f t="shared" si="53"/>
        <v/>
      </c>
    </row>
    <row r="866" spans="1:1" x14ac:dyDescent="0.3">
      <c r="A866" s="26" t="str">
        <f t="shared" si="53"/>
        <v/>
      </c>
    </row>
    <row r="867" spans="1:1" x14ac:dyDescent="0.3">
      <c r="A867" s="26" t="str">
        <f t="shared" si="53"/>
        <v/>
      </c>
    </row>
    <row r="868" spans="1:1" x14ac:dyDescent="0.3">
      <c r="A868" s="26" t="str">
        <f t="shared" si="53"/>
        <v/>
      </c>
    </row>
    <row r="869" spans="1:1" x14ac:dyDescent="0.3">
      <c r="A869" s="26" t="str">
        <f t="shared" si="53"/>
        <v/>
      </c>
    </row>
    <row r="870" spans="1:1" x14ac:dyDescent="0.3">
      <c r="A870" s="26" t="str">
        <f t="shared" si="53"/>
        <v/>
      </c>
    </row>
    <row r="871" spans="1:1" x14ac:dyDescent="0.3">
      <c r="A871" s="26" t="str">
        <f t="shared" si="53"/>
        <v/>
      </c>
    </row>
    <row r="872" spans="1:1" x14ac:dyDescent="0.3">
      <c r="A872" s="26" t="str">
        <f t="shared" si="53"/>
        <v/>
      </c>
    </row>
    <row r="873" spans="1:1" x14ac:dyDescent="0.3">
      <c r="A873" s="26" t="str">
        <f t="shared" si="53"/>
        <v/>
      </c>
    </row>
    <row r="874" spans="1:1" x14ac:dyDescent="0.3">
      <c r="A874" s="26" t="str">
        <f t="shared" si="53"/>
        <v/>
      </c>
    </row>
    <row r="875" spans="1:1" x14ac:dyDescent="0.3">
      <c r="A875" s="26" t="str">
        <f t="shared" si="53"/>
        <v/>
      </c>
    </row>
    <row r="876" spans="1:1" x14ac:dyDescent="0.3">
      <c r="A876" s="26" t="str">
        <f t="shared" si="53"/>
        <v/>
      </c>
    </row>
    <row r="877" spans="1:1" x14ac:dyDescent="0.3">
      <c r="A877" s="26" t="str">
        <f t="shared" si="53"/>
        <v/>
      </c>
    </row>
    <row r="878" spans="1:1" x14ac:dyDescent="0.3">
      <c r="A878" s="26" t="str">
        <f t="shared" si="53"/>
        <v/>
      </c>
    </row>
    <row r="879" spans="1:1" x14ac:dyDescent="0.3">
      <c r="A879" s="26" t="str">
        <f t="shared" si="53"/>
        <v/>
      </c>
    </row>
    <row r="880" spans="1:1" x14ac:dyDescent="0.3">
      <c r="A880" s="26" t="str">
        <f t="shared" si="53"/>
        <v/>
      </c>
    </row>
    <row r="881" spans="1:1" x14ac:dyDescent="0.3">
      <c r="A881" s="26" t="str">
        <f t="shared" si="53"/>
        <v/>
      </c>
    </row>
    <row r="882" spans="1:1" x14ac:dyDescent="0.3">
      <c r="A882" s="26" t="str">
        <f t="shared" si="53"/>
        <v/>
      </c>
    </row>
    <row r="883" spans="1:1" x14ac:dyDescent="0.3">
      <c r="A883" s="26" t="str">
        <f t="shared" si="53"/>
        <v/>
      </c>
    </row>
    <row r="884" spans="1:1" x14ac:dyDescent="0.3">
      <c r="A884" s="26" t="str">
        <f t="shared" si="53"/>
        <v/>
      </c>
    </row>
    <row r="885" spans="1:1" x14ac:dyDescent="0.3">
      <c r="A885" s="26" t="str">
        <f t="shared" si="53"/>
        <v/>
      </c>
    </row>
    <row r="886" spans="1:1" x14ac:dyDescent="0.3">
      <c r="A886" s="26" t="str">
        <f t="shared" si="53"/>
        <v/>
      </c>
    </row>
    <row r="887" spans="1:1" x14ac:dyDescent="0.3">
      <c r="A887" s="26" t="str">
        <f t="shared" si="53"/>
        <v/>
      </c>
    </row>
    <row r="888" spans="1:1" x14ac:dyDescent="0.3">
      <c r="A888" s="26" t="str">
        <f t="shared" si="53"/>
        <v/>
      </c>
    </row>
    <row r="889" spans="1:1" x14ac:dyDescent="0.3">
      <c r="A889" s="26" t="str">
        <f t="shared" si="53"/>
        <v/>
      </c>
    </row>
    <row r="890" spans="1:1" x14ac:dyDescent="0.3">
      <c r="A890" s="26" t="str">
        <f t="shared" si="53"/>
        <v/>
      </c>
    </row>
    <row r="891" spans="1:1" x14ac:dyDescent="0.3">
      <c r="A891" s="26" t="str">
        <f t="shared" si="53"/>
        <v/>
      </c>
    </row>
    <row r="892" spans="1:1" x14ac:dyDescent="0.3">
      <c r="A892" s="26" t="str">
        <f t="shared" si="53"/>
        <v/>
      </c>
    </row>
    <row r="893" spans="1:1" x14ac:dyDescent="0.3">
      <c r="A893" s="26" t="str">
        <f t="shared" si="53"/>
        <v/>
      </c>
    </row>
    <row r="894" spans="1:1" x14ac:dyDescent="0.3">
      <c r="A894" s="26" t="str">
        <f t="shared" si="53"/>
        <v/>
      </c>
    </row>
    <row r="895" spans="1:1" x14ac:dyDescent="0.3">
      <c r="A895" s="26" t="str">
        <f t="shared" si="53"/>
        <v/>
      </c>
    </row>
    <row r="896" spans="1:1" x14ac:dyDescent="0.3">
      <c r="A896" s="26" t="str">
        <f t="shared" si="53"/>
        <v/>
      </c>
    </row>
    <row r="897" spans="1:1" x14ac:dyDescent="0.3">
      <c r="A897" s="26" t="str">
        <f t="shared" si="53"/>
        <v/>
      </c>
    </row>
    <row r="898" spans="1:1" x14ac:dyDescent="0.3">
      <c r="A898" s="26" t="str">
        <f t="shared" si="53"/>
        <v/>
      </c>
    </row>
    <row r="899" spans="1:1" x14ac:dyDescent="0.3">
      <c r="A899" s="26" t="str">
        <f t="shared" si="53"/>
        <v/>
      </c>
    </row>
    <row r="900" spans="1:1" x14ac:dyDescent="0.3">
      <c r="A900" s="26" t="str">
        <f t="shared" si="53"/>
        <v/>
      </c>
    </row>
    <row r="901" spans="1:1" x14ac:dyDescent="0.3">
      <c r="A901" s="26" t="str">
        <f t="shared" si="53"/>
        <v/>
      </c>
    </row>
    <row r="902" spans="1:1" x14ac:dyDescent="0.3">
      <c r="A902" s="26" t="str">
        <f t="shared" si="53"/>
        <v/>
      </c>
    </row>
    <row r="903" spans="1:1" x14ac:dyDescent="0.3">
      <c r="A903" s="26" t="str">
        <f t="shared" si="53"/>
        <v/>
      </c>
    </row>
    <row r="904" spans="1:1" x14ac:dyDescent="0.3">
      <c r="A904" s="26" t="str">
        <f t="shared" si="53"/>
        <v/>
      </c>
    </row>
    <row r="905" spans="1:1" x14ac:dyDescent="0.3">
      <c r="A905" s="26" t="str">
        <f t="shared" si="53"/>
        <v/>
      </c>
    </row>
    <row r="906" spans="1:1" x14ac:dyDescent="0.3">
      <c r="A906" s="26" t="str">
        <f t="shared" si="53"/>
        <v/>
      </c>
    </row>
    <row r="907" spans="1:1" x14ac:dyDescent="0.3">
      <c r="A907" s="26" t="str">
        <f t="shared" si="53"/>
        <v/>
      </c>
    </row>
    <row r="908" spans="1:1" x14ac:dyDescent="0.3">
      <c r="A908" s="26" t="str">
        <f t="shared" si="53"/>
        <v/>
      </c>
    </row>
    <row r="909" spans="1:1" x14ac:dyDescent="0.3">
      <c r="A909" s="26" t="str">
        <f t="shared" si="53"/>
        <v/>
      </c>
    </row>
    <row r="910" spans="1:1" x14ac:dyDescent="0.3">
      <c r="A910" s="26" t="str">
        <f t="shared" si="53"/>
        <v/>
      </c>
    </row>
    <row r="911" spans="1:1" x14ac:dyDescent="0.3">
      <c r="A911" s="26" t="str">
        <f t="shared" ref="A911:A974" si="54">IFERROR(IF(A910-$D$118&gt;0,A910-$D$118,""),"")</f>
        <v/>
      </c>
    </row>
    <row r="912" spans="1:1" x14ac:dyDescent="0.3">
      <c r="A912" s="26" t="str">
        <f t="shared" si="54"/>
        <v/>
      </c>
    </row>
    <row r="913" spans="1:1" x14ac:dyDescent="0.3">
      <c r="A913" s="26" t="str">
        <f t="shared" si="54"/>
        <v/>
      </c>
    </row>
    <row r="914" spans="1:1" x14ac:dyDescent="0.3">
      <c r="A914" s="26" t="str">
        <f t="shared" si="54"/>
        <v/>
      </c>
    </row>
    <row r="915" spans="1:1" x14ac:dyDescent="0.3">
      <c r="A915" s="26" t="str">
        <f t="shared" si="54"/>
        <v/>
      </c>
    </row>
    <row r="916" spans="1:1" x14ac:dyDescent="0.3">
      <c r="A916" s="26" t="str">
        <f t="shared" si="54"/>
        <v/>
      </c>
    </row>
    <row r="917" spans="1:1" x14ac:dyDescent="0.3">
      <c r="A917" s="26" t="str">
        <f t="shared" si="54"/>
        <v/>
      </c>
    </row>
    <row r="918" spans="1:1" x14ac:dyDescent="0.3">
      <c r="A918" s="26" t="str">
        <f t="shared" si="54"/>
        <v/>
      </c>
    </row>
    <row r="919" spans="1:1" x14ac:dyDescent="0.3">
      <c r="A919" s="26" t="str">
        <f t="shared" si="54"/>
        <v/>
      </c>
    </row>
    <row r="920" spans="1:1" x14ac:dyDescent="0.3">
      <c r="A920" s="26" t="str">
        <f t="shared" si="54"/>
        <v/>
      </c>
    </row>
    <row r="921" spans="1:1" x14ac:dyDescent="0.3">
      <c r="A921" s="26" t="str">
        <f t="shared" si="54"/>
        <v/>
      </c>
    </row>
    <row r="922" spans="1:1" x14ac:dyDescent="0.3">
      <c r="A922" s="26" t="str">
        <f t="shared" si="54"/>
        <v/>
      </c>
    </row>
    <row r="923" spans="1:1" x14ac:dyDescent="0.3">
      <c r="A923" s="26" t="str">
        <f t="shared" si="54"/>
        <v/>
      </c>
    </row>
    <row r="924" spans="1:1" x14ac:dyDescent="0.3">
      <c r="A924" s="26" t="str">
        <f t="shared" si="54"/>
        <v/>
      </c>
    </row>
    <row r="925" spans="1:1" x14ac:dyDescent="0.3">
      <c r="A925" s="26" t="str">
        <f t="shared" si="54"/>
        <v/>
      </c>
    </row>
    <row r="926" spans="1:1" x14ac:dyDescent="0.3">
      <c r="A926" s="26" t="str">
        <f t="shared" si="54"/>
        <v/>
      </c>
    </row>
    <row r="927" spans="1:1" x14ac:dyDescent="0.3">
      <c r="A927" s="26" t="str">
        <f t="shared" si="54"/>
        <v/>
      </c>
    </row>
    <row r="928" spans="1:1" x14ac:dyDescent="0.3">
      <c r="A928" s="26" t="str">
        <f t="shared" si="54"/>
        <v/>
      </c>
    </row>
    <row r="929" spans="1:1" x14ac:dyDescent="0.3">
      <c r="A929" s="26" t="str">
        <f t="shared" si="54"/>
        <v/>
      </c>
    </row>
    <row r="930" spans="1:1" x14ac:dyDescent="0.3">
      <c r="A930" s="26" t="str">
        <f t="shared" si="54"/>
        <v/>
      </c>
    </row>
    <row r="931" spans="1:1" x14ac:dyDescent="0.3">
      <c r="A931" s="26" t="str">
        <f t="shared" si="54"/>
        <v/>
      </c>
    </row>
    <row r="932" spans="1:1" x14ac:dyDescent="0.3">
      <c r="A932" s="26" t="str">
        <f t="shared" si="54"/>
        <v/>
      </c>
    </row>
    <row r="933" spans="1:1" x14ac:dyDescent="0.3">
      <c r="A933" s="26" t="str">
        <f t="shared" si="54"/>
        <v/>
      </c>
    </row>
    <row r="934" spans="1:1" x14ac:dyDescent="0.3">
      <c r="A934" s="26" t="str">
        <f t="shared" si="54"/>
        <v/>
      </c>
    </row>
    <row r="935" spans="1:1" x14ac:dyDescent="0.3">
      <c r="A935" s="26" t="str">
        <f t="shared" si="54"/>
        <v/>
      </c>
    </row>
    <row r="936" spans="1:1" x14ac:dyDescent="0.3">
      <c r="A936" s="26" t="str">
        <f t="shared" si="54"/>
        <v/>
      </c>
    </row>
    <row r="937" spans="1:1" x14ac:dyDescent="0.3">
      <c r="A937" s="26" t="str">
        <f t="shared" si="54"/>
        <v/>
      </c>
    </row>
    <row r="938" spans="1:1" x14ac:dyDescent="0.3">
      <c r="A938" s="26" t="str">
        <f t="shared" si="54"/>
        <v/>
      </c>
    </row>
    <row r="939" spans="1:1" x14ac:dyDescent="0.3">
      <c r="A939" s="26" t="str">
        <f t="shared" si="54"/>
        <v/>
      </c>
    </row>
    <row r="940" spans="1:1" x14ac:dyDescent="0.3">
      <c r="A940" s="26" t="str">
        <f t="shared" si="54"/>
        <v/>
      </c>
    </row>
    <row r="941" spans="1:1" x14ac:dyDescent="0.3">
      <c r="A941" s="26" t="str">
        <f t="shared" si="54"/>
        <v/>
      </c>
    </row>
    <row r="942" spans="1:1" x14ac:dyDescent="0.3">
      <c r="A942" s="26" t="str">
        <f t="shared" si="54"/>
        <v/>
      </c>
    </row>
    <row r="943" spans="1:1" x14ac:dyDescent="0.3">
      <c r="A943" s="26" t="str">
        <f t="shared" si="54"/>
        <v/>
      </c>
    </row>
    <row r="944" spans="1:1" x14ac:dyDescent="0.3">
      <c r="A944" s="26" t="str">
        <f t="shared" si="54"/>
        <v/>
      </c>
    </row>
    <row r="945" spans="1:1" x14ac:dyDescent="0.3">
      <c r="A945" s="26" t="str">
        <f t="shared" si="54"/>
        <v/>
      </c>
    </row>
    <row r="946" spans="1:1" x14ac:dyDescent="0.3">
      <c r="A946" s="26" t="str">
        <f t="shared" si="54"/>
        <v/>
      </c>
    </row>
    <row r="947" spans="1:1" x14ac:dyDescent="0.3">
      <c r="A947" s="26" t="str">
        <f t="shared" si="54"/>
        <v/>
      </c>
    </row>
    <row r="948" spans="1:1" x14ac:dyDescent="0.3">
      <c r="A948" s="26" t="str">
        <f t="shared" si="54"/>
        <v/>
      </c>
    </row>
    <row r="949" spans="1:1" x14ac:dyDescent="0.3">
      <c r="A949" s="26" t="str">
        <f t="shared" si="54"/>
        <v/>
      </c>
    </row>
    <row r="950" spans="1:1" x14ac:dyDescent="0.3">
      <c r="A950" s="26" t="str">
        <f t="shared" si="54"/>
        <v/>
      </c>
    </row>
    <row r="951" spans="1:1" x14ac:dyDescent="0.3">
      <c r="A951" s="26" t="str">
        <f t="shared" si="54"/>
        <v/>
      </c>
    </row>
    <row r="952" spans="1:1" x14ac:dyDescent="0.3">
      <c r="A952" s="26" t="str">
        <f t="shared" si="54"/>
        <v/>
      </c>
    </row>
    <row r="953" spans="1:1" x14ac:dyDescent="0.3">
      <c r="A953" s="26" t="str">
        <f t="shared" si="54"/>
        <v/>
      </c>
    </row>
    <row r="954" spans="1:1" x14ac:dyDescent="0.3">
      <c r="A954" s="26" t="str">
        <f t="shared" si="54"/>
        <v/>
      </c>
    </row>
    <row r="955" spans="1:1" x14ac:dyDescent="0.3">
      <c r="A955" s="26" t="str">
        <f t="shared" si="54"/>
        <v/>
      </c>
    </row>
    <row r="956" spans="1:1" x14ac:dyDescent="0.3">
      <c r="A956" s="26" t="str">
        <f t="shared" si="54"/>
        <v/>
      </c>
    </row>
    <row r="957" spans="1:1" x14ac:dyDescent="0.3">
      <c r="A957" s="26" t="str">
        <f t="shared" si="54"/>
        <v/>
      </c>
    </row>
    <row r="958" spans="1:1" x14ac:dyDescent="0.3">
      <c r="A958" s="26" t="str">
        <f t="shared" si="54"/>
        <v/>
      </c>
    </row>
    <row r="959" spans="1:1" x14ac:dyDescent="0.3">
      <c r="A959" s="26" t="str">
        <f t="shared" si="54"/>
        <v/>
      </c>
    </row>
    <row r="960" spans="1:1" x14ac:dyDescent="0.3">
      <c r="A960" s="26" t="str">
        <f t="shared" si="54"/>
        <v/>
      </c>
    </row>
    <row r="961" spans="1:1" x14ac:dyDescent="0.3">
      <c r="A961" s="26" t="str">
        <f t="shared" si="54"/>
        <v/>
      </c>
    </row>
    <row r="962" spans="1:1" x14ac:dyDescent="0.3">
      <c r="A962" s="26" t="str">
        <f t="shared" si="54"/>
        <v/>
      </c>
    </row>
    <row r="963" spans="1:1" x14ac:dyDescent="0.3">
      <c r="A963" s="26" t="str">
        <f t="shared" si="54"/>
        <v/>
      </c>
    </row>
    <row r="964" spans="1:1" x14ac:dyDescent="0.3">
      <c r="A964" s="26" t="str">
        <f t="shared" si="54"/>
        <v/>
      </c>
    </row>
    <row r="965" spans="1:1" x14ac:dyDescent="0.3">
      <c r="A965" s="26" t="str">
        <f t="shared" si="54"/>
        <v/>
      </c>
    </row>
    <row r="966" spans="1:1" x14ac:dyDescent="0.3">
      <c r="A966" s="26" t="str">
        <f t="shared" si="54"/>
        <v/>
      </c>
    </row>
    <row r="967" spans="1:1" x14ac:dyDescent="0.3">
      <c r="A967" s="26" t="str">
        <f t="shared" si="54"/>
        <v/>
      </c>
    </row>
    <row r="968" spans="1:1" x14ac:dyDescent="0.3">
      <c r="A968" s="26" t="str">
        <f t="shared" si="54"/>
        <v/>
      </c>
    </row>
    <row r="969" spans="1:1" x14ac:dyDescent="0.3">
      <c r="A969" s="26" t="str">
        <f t="shared" si="54"/>
        <v/>
      </c>
    </row>
    <row r="970" spans="1:1" x14ac:dyDescent="0.3">
      <c r="A970" s="26" t="str">
        <f t="shared" si="54"/>
        <v/>
      </c>
    </row>
    <row r="971" spans="1:1" x14ac:dyDescent="0.3">
      <c r="A971" s="26" t="str">
        <f t="shared" si="54"/>
        <v/>
      </c>
    </row>
    <row r="972" spans="1:1" x14ac:dyDescent="0.3">
      <c r="A972" s="26" t="str">
        <f t="shared" si="54"/>
        <v/>
      </c>
    </row>
    <row r="973" spans="1:1" x14ac:dyDescent="0.3">
      <c r="A973" s="26" t="str">
        <f t="shared" si="54"/>
        <v/>
      </c>
    </row>
    <row r="974" spans="1:1" x14ac:dyDescent="0.3">
      <c r="A974" s="26" t="str">
        <f t="shared" si="54"/>
        <v/>
      </c>
    </row>
    <row r="975" spans="1:1" x14ac:dyDescent="0.3">
      <c r="A975" s="26" t="str">
        <f t="shared" ref="A975:A1038" si="55">IFERROR(IF(A974-$D$118&gt;0,A974-$D$118,""),"")</f>
        <v/>
      </c>
    </row>
    <row r="976" spans="1:1" x14ac:dyDescent="0.3">
      <c r="A976" s="26" t="str">
        <f t="shared" si="55"/>
        <v/>
      </c>
    </row>
    <row r="977" spans="1:1" x14ac:dyDescent="0.3">
      <c r="A977" s="26" t="str">
        <f t="shared" si="55"/>
        <v/>
      </c>
    </row>
    <row r="978" spans="1:1" x14ac:dyDescent="0.3">
      <c r="A978" s="26" t="str">
        <f t="shared" si="55"/>
        <v/>
      </c>
    </row>
    <row r="979" spans="1:1" x14ac:dyDescent="0.3">
      <c r="A979" s="26" t="str">
        <f t="shared" si="55"/>
        <v/>
      </c>
    </row>
    <row r="980" spans="1:1" x14ac:dyDescent="0.3">
      <c r="A980" s="26" t="str">
        <f t="shared" si="55"/>
        <v/>
      </c>
    </row>
    <row r="981" spans="1:1" x14ac:dyDescent="0.3">
      <c r="A981" s="26" t="str">
        <f t="shared" si="55"/>
        <v/>
      </c>
    </row>
    <row r="982" spans="1:1" x14ac:dyDescent="0.3">
      <c r="A982" s="26" t="str">
        <f t="shared" si="55"/>
        <v/>
      </c>
    </row>
    <row r="983" spans="1:1" x14ac:dyDescent="0.3">
      <c r="A983" s="26" t="str">
        <f t="shared" si="55"/>
        <v/>
      </c>
    </row>
    <row r="984" spans="1:1" x14ac:dyDescent="0.3">
      <c r="A984" s="26" t="str">
        <f t="shared" si="55"/>
        <v/>
      </c>
    </row>
    <row r="985" spans="1:1" x14ac:dyDescent="0.3">
      <c r="A985" s="26" t="str">
        <f t="shared" si="55"/>
        <v/>
      </c>
    </row>
    <row r="986" spans="1:1" x14ac:dyDescent="0.3">
      <c r="A986" s="26" t="str">
        <f t="shared" si="55"/>
        <v/>
      </c>
    </row>
    <row r="987" spans="1:1" x14ac:dyDescent="0.3">
      <c r="A987" s="26" t="str">
        <f t="shared" si="55"/>
        <v/>
      </c>
    </row>
    <row r="988" spans="1:1" x14ac:dyDescent="0.3">
      <c r="A988" s="26" t="str">
        <f t="shared" si="55"/>
        <v/>
      </c>
    </row>
    <row r="989" spans="1:1" x14ac:dyDescent="0.3">
      <c r="A989" s="26" t="str">
        <f t="shared" si="55"/>
        <v/>
      </c>
    </row>
    <row r="990" spans="1:1" x14ac:dyDescent="0.3">
      <c r="A990" s="26" t="str">
        <f t="shared" si="55"/>
        <v/>
      </c>
    </row>
    <row r="991" spans="1:1" x14ac:dyDescent="0.3">
      <c r="A991" s="26" t="str">
        <f t="shared" si="55"/>
        <v/>
      </c>
    </row>
    <row r="992" spans="1:1" x14ac:dyDescent="0.3">
      <c r="A992" s="26" t="str">
        <f t="shared" si="55"/>
        <v/>
      </c>
    </row>
    <row r="993" spans="1:1" x14ac:dyDescent="0.3">
      <c r="A993" s="26" t="str">
        <f t="shared" si="55"/>
        <v/>
      </c>
    </row>
    <row r="994" spans="1:1" x14ac:dyDescent="0.3">
      <c r="A994" s="26" t="str">
        <f t="shared" si="55"/>
        <v/>
      </c>
    </row>
    <row r="995" spans="1:1" x14ac:dyDescent="0.3">
      <c r="A995" s="26" t="str">
        <f t="shared" si="55"/>
        <v/>
      </c>
    </row>
    <row r="996" spans="1:1" x14ac:dyDescent="0.3">
      <c r="A996" s="26" t="str">
        <f t="shared" si="55"/>
        <v/>
      </c>
    </row>
    <row r="997" spans="1:1" x14ac:dyDescent="0.3">
      <c r="A997" s="26" t="str">
        <f t="shared" si="55"/>
        <v/>
      </c>
    </row>
    <row r="998" spans="1:1" x14ac:dyDescent="0.3">
      <c r="A998" s="26" t="str">
        <f t="shared" si="55"/>
        <v/>
      </c>
    </row>
    <row r="999" spans="1:1" x14ac:dyDescent="0.3">
      <c r="A999" s="26" t="str">
        <f t="shared" si="55"/>
        <v/>
      </c>
    </row>
    <row r="1000" spans="1:1" x14ac:dyDescent="0.3">
      <c r="A1000" s="26" t="str">
        <f t="shared" si="55"/>
        <v/>
      </c>
    </row>
    <row r="1001" spans="1:1" x14ac:dyDescent="0.3">
      <c r="A1001" s="26" t="str">
        <f t="shared" si="55"/>
        <v/>
      </c>
    </row>
    <row r="1002" spans="1:1" x14ac:dyDescent="0.3">
      <c r="A1002" s="26" t="str">
        <f t="shared" si="55"/>
        <v/>
      </c>
    </row>
    <row r="1003" spans="1:1" x14ac:dyDescent="0.3">
      <c r="A1003" s="26" t="str">
        <f t="shared" si="55"/>
        <v/>
      </c>
    </row>
    <row r="1004" spans="1:1" x14ac:dyDescent="0.3">
      <c r="A1004" s="26" t="str">
        <f t="shared" si="55"/>
        <v/>
      </c>
    </row>
    <row r="1005" spans="1:1" x14ac:dyDescent="0.3">
      <c r="A1005" s="26" t="str">
        <f t="shared" si="55"/>
        <v/>
      </c>
    </row>
    <row r="1006" spans="1:1" x14ac:dyDescent="0.3">
      <c r="A1006" s="26" t="str">
        <f t="shared" si="55"/>
        <v/>
      </c>
    </row>
    <row r="1007" spans="1:1" x14ac:dyDescent="0.3">
      <c r="A1007" s="26" t="str">
        <f t="shared" si="55"/>
        <v/>
      </c>
    </row>
    <row r="1008" spans="1:1" x14ac:dyDescent="0.3">
      <c r="A1008" s="26" t="str">
        <f t="shared" si="55"/>
        <v/>
      </c>
    </row>
    <row r="1009" spans="1:1" x14ac:dyDescent="0.3">
      <c r="A1009" s="26" t="str">
        <f t="shared" si="55"/>
        <v/>
      </c>
    </row>
    <row r="1010" spans="1:1" x14ac:dyDescent="0.3">
      <c r="A1010" s="26" t="str">
        <f t="shared" si="55"/>
        <v/>
      </c>
    </row>
    <row r="1011" spans="1:1" x14ac:dyDescent="0.3">
      <c r="A1011" s="26" t="str">
        <f t="shared" si="55"/>
        <v/>
      </c>
    </row>
    <row r="1012" spans="1:1" x14ac:dyDescent="0.3">
      <c r="A1012" s="26" t="str">
        <f t="shared" si="55"/>
        <v/>
      </c>
    </row>
    <row r="1013" spans="1:1" x14ac:dyDescent="0.3">
      <c r="A1013" s="26" t="str">
        <f t="shared" si="55"/>
        <v/>
      </c>
    </row>
    <row r="1014" spans="1:1" x14ac:dyDescent="0.3">
      <c r="A1014" s="26" t="str">
        <f t="shared" si="55"/>
        <v/>
      </c>
    </row>
    <row r="1015" spans="1:1" x14ac:dyDescent="0.3">
      <c r="A1015" s="26" t="str">
        <f t="shared" si="55"/>
        <v/>
      </c>
    </row>
    <row r="1016" spans="1:1" x14ac:dyDescent="0.3">
      <c r="A1016" s="26" t="str">
        <f t="shared" si="55"/>
        <v/>
      </c>
    </row>
    <row r="1017" spans="1:1" x14ac:dyDescent="0.3">
      <c r="A1017" s="26" t="str">
        <f t="shared" si="55"/>
        <v/>
      </c>
    </row>
    <row r="1018" spans="1:1" x14ac:dyDescent="0.3">
      <c r="A1018" s="26" t="str">
        <f t="shared" si="55"/>
        <v/>
      </c>
    </row>
    <row r="1019" spans="1:1" x14ac:dyDescent="0.3">
      <c r="A1019" s="26" t="str">
        <f t="shared" si="55"/>
        <v/>
      </c>
    </row>
    <row r="1020" spans="1:1" x14ac:dyDescent="0.3">
      <c r="A1020" s="26" t="str">
        <f t="shared" si="55"/>
        <v/>
      </c>
    </row>
    <row r="1021" spans="1:1" x14ac:dyDescent="0.3">
      <c r="A1021" s="26" t="str">
        <f t="shared" si="55"/>
        <v/>
      </c>
    </row>
    <row r="1022" spans="1:1" x14ac:dyDescent="0.3">
      <c r="A1022" s="26" t="str">
        <f t="shared" si="55"/>
        <v/>
      </c>
    </row>
    <row r="1023" spans="1:1" x14ac:dyDescent="0.3">
      <c r="A1023" s="26" t="str">
        <f t="shared" si="55"/>
        <v/>
      </c>
    </row>
    <row r="1024" spans="1:1" x14ac:dyDescent="0.3">
      <c r="A1024" s="26" t="str">
        <f t="shared" si="55"/>
        <v/>
      </c>
    </row>
    <row r="1025" spans="1:1" x14ac:dyDescent="0.3">
      <c r="A1025" s="26" t="str">
        <f t="shared" si="55"/>
        <v/>
      </c>
    </row>
    <row r="1026" spans="1:1" x14ac:dyDescent="0.3">
      <c r="A1026" s="26" t="str">
        <f t="shared" si="55"/>
        <v/>
      </c>
    </row>
    <row r="1027" spans="1:1" x14ac:dyDescent="0.3">
      <c r="A1027" s="26" t="str">
        <f t="shared" si="55"/>
        <v/>
      </c>
    </row>
    <row r="1028" spans="1:1" x14ac:dyDescent="0.3">
      <c r="A1028" s="26" t="str">
        <f t="shared" si="55"/>
        <v/>
      </c>
    </row>
    <row r="1029" spans="1:1" x14ac:dyDescent="0.3">
      <c r="A1029" s="26" t="str">
        <f t="shared" si="55"/>
        <v/>
      </c>
    </row>
    <row r="1030" spans="1:1" x14ac:dyDescent="0.3">
      <c r="A1030" s="26" t="str">
        <f t="shared" si="55"/>
        <v/>
      </c>
    </row>
    <row r="1031" spans="1:1" x14ac:dyDescent="0.3">
      <c r="A1031" s="26" t="str">
        <f t="shared" si="55"/>
        <v/>
      </c>
    </row>
    <row r="1032" spans="1:1" x14ac:dyDescent="0.3">
      <c r="A1032" s="26" t="str">
        <f t="shared" si="55"/>
        <v/>
      </c>
    </row>
    <row r="1033" spans="1:1" x14ac:dyDescent="0.3">
      <c r="A1033" s="26" t="str">
        <f t="shared" si="55"/>
        <v/>
      </c>
    </row>
    <row r="1034" spans="1:1" x14ac:dyDescent="0.3">
      <c r="A1034" s="26" t="str">
        <f t="shared" si="55"/>
        <v/>
      </c>
    </row>
    <row r="1035" spans="1:1" x14ac:dyDescent="0.3">
      <c r="A1035" s="26" t="str">
        <f t="shared" si="55"/>
        <v/>
      </c>
    </row>
    <row r="1036" spans="1:1" x14ac:dyDescent="0.3">
      <c r="A1036" s="26" t="str">
        <f t="shared" si="55"/>
        <v/>
      </c>
    </row>
    <row r="1037" spans="1:1" x14ac:dyDescent="0.3">
      <c r="A1037" s="26" t="str">
        <f t="shared" si="55"/>
        <v/>
      </c>
    </row>
    <row r="1038" spans="1:1" x14ac:dyDescent="0.3">
      <c r="A1038" s="26" t="str">
        <f t="shared" si="55"/>
        <v/>
      </c>
    </row>
    <row r="1039" spans="1:1" x14ac:dyDescent="0.3">
      <c r="A1039" s="26" t="str">
        <f t="shared" ref="A1039:A1102" si="56">IFERROR(IF(A1038-$D$118&gt;0,A1038-$D$118,""),"")</f>
        <v/>
      </c>
    </row>
    <row r="1040" spans="1:1" x14ac:dyDescent="0.3">
      <c r="A1040" s="26" t="str">
        <f t="shared" si="56"/>
        <v/>
      </c>
    </row>
    <row r="1041" spans="1:1" x14ac:dyDescent="0.3">
      <c r="A1041" s="26" t="str">
        <f t="shared" si="56"/>
        <v/>
      </c>
    </row>
    <row r="1042" spans="1:1" x14ac:dyDescent="0.3">
      <c r="A1042" s="26" t="str">
        <f t="shared" si="56"/>
        <v/>
      </c>
    </row>
    <row r="1043" spans="1:1" x14ac:dyDescent="0.3">
      <c r="A1043" s="26" t="str">
        <f t="shared" si="56"/>
        <v/>
      </c>
    </row>
    <row r="1044" spans="1:1" x14ac:dyDescent="0.3">
      <c r="A1044" s="26" t="str">
        <f t="shared" si="56"/>
        <v/>
      </c>
    </row>
    <row r="1045" spans="1:1" x14ac:dyDescent="0.3">
      <c r="A1045" s="26" t="str">
        <f t="shared" si="56"/>
        <v/>
      </c>
    </row>
    <row r="1046" spans="1:1" x14ac:dyDescent="0.3">
      <c r="A1046" s="26" t="str">
        <f t="shared" si="56"/>
        <v/>
      </c>
    </row>
    <row r="1047" spans="1:1" x14ac:dyDescent="0.3">
      <c r="A1047" s="26" t="str">
        <f t="shared" si="56"/>
        <v/>
      </c>
    </row>
    <row r="1048" spans="1:1" x14ac:dyDescent="0.3">
      <c r="A1048" s="26" t="str">
        <f t="shared" si="56"/>
        <v/>
      </c>
    </row>
    <row r="1049" spans="1:1" x14ac:dyDescent="0.3">
      <c r="A1049" s="26" t="str">
        <f t="shared" si="56"/>
        <v/>
      </c>
    </row>
    <row r="1050" spans="1:1" x14ac:dyDescent="0.3">
      <c r="A1050" s="26" t="str">
        <f t="shared" si="56"/>
        <v/>
      </c>
    </row>
    <row r="1051" spans="1:1" x14ac:dyDescent="0.3">
      <c r="A1051" s="26" t="str">
        <f t="shared" si="56"/>
        <v/>
      </c>
    </row>
    <row r="1052" spans="1:1" x14ac:dyDescent="0.3">
      <c r="A1052" s="26" t="str">
        <f t="shared" si="56"/>
        <v/>
      </c>
    </row>
    <row r="1053" spans="1:1" x14ac:dyDescent="0.3">
      <c r="A1053" s="26" t="str">
        <f t="shared" si="56"/>
        <v/>
      </c>
    </row>
    <row r="1054" spans="1:1" x14ac:dyDescent="0.3">
      <c r="A1054" s="26" t="str">
        <f t="shared" si="56"/>
        <v/>
      </c>
    </row>
    <row r="1055" spans="1:1" x14ac:dyDescent="0.3">
      <c r="A1055" s="26" t="str">
        <f t="shared" si="56"/>
        <v/>
      </c>
    </row>
    <row r="1056" spans="1:1" x14ac:dyDescent="0.3">
      <c r="A1056" s="26" t="str">
        <f t="shared" si="56"/>
        <v/>
      </c>
    </row>
    <row r="1057" spans="1:1" x14ac:dyDescent="0.3">
      <c r="A1057" s="26" t="str">
        <f t="shared" si="56"/>
        <v/>
      </c>
    </row>
    <row r="1058" spans="1:1" x14ac:dyDescent="0.3">
      <c r="A1058" s="26" t="str">
        <f t="shared" si="56"/>
        <v/>
      </c>
    </row>
    <row r="1059" spans="1:1" x14ac:dyDescent="0.3">
      <c r="A1059" s="26" t="str">
        <f t="shared" si="56"/>
        <v/>
      </c>
    </row>
    <row r="1060" spans="1:1" x14ac:dyDescent="0.3">
      <c r="A1060" s="26" t="str">
        <f t="shared" si="56"/>
        <v/>
      </c>
    </row>
    <row r="1061" spans="1:1" x14ac:dyDescent="0.3">
      <c r="A1061" s="26" t="str">
        <f t="shared" si="56"/>
        <v/>
      </c>
    </row>
    <row r="1062" spans="1:1" x14ac:dyDescent="0.3">
      <c r="A1062" s="26" t="str">
        <f t="shared" si="56"/>
        <v/>
      </c>
    </row>
    <row r="1063" spans="1:1" x14ac:dyDescent="0.3">
      <c r="A1063" s="26" t="str">
        <f t="shared" si="56"/>
        <v/>
      </c>
    </row>
    <row r="1064" spans="1:1" x14ac:dyDescent="0.3">
      <c r="A1064" s="26" t="str">
        <f t="shared" si="56"/>
        <v/>
      </c>
    </row>
    <row r="1065" spans="1:1" x14ac:dyDescent="0.3">
      <c r="A1065" s="26" t="str">
        <f t="shared" si="56"/>
        <v/>
      </c>
    </row>
    <row r="1066" spans="1:1" x14ac:dyDescent="0.3">
      <c r="A1066" s="26" t="str">
        <f t="shared" si="56"/>
        <v/>
      </c>
    </row>
    <row r="1067" spans="1:1" x14ac:dyDescent="0.3">
      <c r="A1067" s="26" t="str">
        <f t="shared" si="56"/>
        <v/>
      </c>
    </row>
    <row r="1068" spans="1:1" x14ac:dyDescent="0.3">
      <c r="A1068" s="26" t="str">
        <f t="shared" si="56"/>
        <v/>
      </c>
    </row>
    <row r="1069" spans="1:1" x14ac:dyDescent="0.3">
      <c r="A1069" s="26" t="str">
        <f t="shared" si="56"/>
        <v/>
      </c>
    </row>
    <row r="1070" spans="1:1" x14ac:dyDescent="0.3">
      <c r="A1070" s="26" t="str">
        <f t="shared" si="56"/>
        <v/>
      </c>
    </row>
    <row r="1071" spans="1:1" x14ac:dyDescent="0.3">
      <c r="A1071" s="26" t="str">
        <f t="shared" si="56"/>
        <v/>
      </c>
    </row>
    <row r="1072" spans="1:1" x14ac:dyDescent="0.3">
      <c r="A1072" s="26" t="str">
        <f t="shared" si="56"/>
        <v/>
      </c>
    </row>
    <row r="1073" spans="1:1" x14ac:dyDescent="0.3">
      <c r="A1073" s="26" t="str">
        <f t="shared" si="56"/>
        <v/>
      </c>
    </row>
    <row r="1074" spans="1:1" x14ac:dyDescent="0.3">
      <c r="A1074" s="26" t="str">
        <f t="shared" si="56"/>
        <v/>
      </c>
    </row>
    <row r="1075" spans="1:1" x14ac:dyDescent="0.3">
      <c r="A1075" s="26" t="str">
        <f t="shared" si="56"/>
        <v/>
      </c>
    </row>
    <row r="1076" spans="1:1" x14ac:dyDescent="0.3">
      <c r="A1076" s="26" t="str">
        <f t="shared" si="56"/>
        <v/>
      </c>
    </row>
    <row r="1077" spans="1:1" x14ac:dyDescent="0.3">
      <c r="A1077" s="26" t="str">
        <f t="shared" si="56"/>
        <v/>
      </c>
    </row>
    <row r="1078" spans="1:1" x14ac:dyDescent="0.3">
      <c r="A1078" s="26" t="str">
        <f t="shared" si="56"/>
        <v/>
      </c>
    </row>
    <row r="1079" spans="1:1" x14ac:dyDescent="0.3">
      <c r="A1079" s="26" t="str">
        <f t="shared" si="56"/>
        <v/>
      </c>
    </row>
    <row r="1080" spans="1:1" x14ac:dyDescent="0.3">
      <c r="A1080" s="26" t="str">
        <f t="shared" si="56"/>
        <v/>
      </c>
    </row>
    <row r="1081" spans="1:1" x14ac:dyDescent="0.3">
      <c r="A1081" s="26" t="str">
        <f t="shared" si="56"/>
        <v/>
      </c>
    </row>
    <row r="1082" spans="1:1" x14ac:dyDescent="0.3">
      <c r="A1082" s="26" t="str">
        <f t="shared" si="56"/>
        <v/>
      </c>
    </row>
    <row r="1083" spans="1:1" x14ac:dyDescent="0.3">
      <c r="A1083" s="26" t="str">
        <f t="shared" si="56"/>
        <v/>
      </c>
    </row>
    <row r="1084" spans="1:1" x14ac:dyDescent="0.3">
      <c r="A1084" s="26" t="str">
        <f t="shared" si="56"/>
        <v/>
      </c>
    </row>
    <row r="1085" spans="1:1" x14ac:dyDescent="0.3">
      <c r="A1085" s="26" t="str">
        <f t="shared" si="56"/>
        <v/>
      </c>
    </row>
    <row r="1086" spans="1:1" x14ac:dyDescent="0.3">
      <c r="A1086" s="26" t="str">
        <f t="shared" si="56"/>
        <v/>
      </c>
    </row>
    <row r="1087" spans="1:1" x14ac:dyDescent="0.3">
      <c r="A1087" s="26" t="str">
        <f t="shared" si="56"/>
        <v/>
      </c>
    </row>
    <row r="1088" spans="1:1" x14ac:dyDescent="0.3">
      <c r="A1088" s="26" t="str">
        <f t="shared" si="56"/>
        <v/>
      </c>
    </row>
    <row r="1089" spans="1:1" x14ac:dyDescent="0.3">
      <c r="A1089" s="26" t="str">
        <f t="shared" si="56"/>
        <v/>
      </c>
    </row>
    <row r="1090" spans="1:1" x14ac:dyDescent="0.3">
      <c r="A1090" s="26" t="str">
        <f t="shared" si="56"/>
        <v/>
      </c>
    </row>
    <row r="1091" spans="1:1" x14ac:dyDescent="0.3">
      <c r="A1091" s="26" t="str">
        <f t="shared" si="56"/>
        <v/>
      </c>
    </row>
    <row r="1092" spans="1:1" x14ac:dyDescent="0.3">
      <c r="A1092" s="26" t="str">
        <f t="shared" si="56"/>
        <v/>
      </c>
    </row>
    <row r="1093" spans="1:1" x14ac:dyDescent="0.3">
      <c r="A1093" s="26" t="str">
        <f t="shared" si="56"/>
        <v/>
      </c>
    </row>
    <row r="1094" spans="1:1" x14ac:dyDescent="0.3">
      <c r="A1094" s="26" t="str">
        <f t="shared" si="56"/>
        <v/>
      </c>
    </row>
    <row r="1095" spans="1:1" x14ac:dyDescent="0.3">
      <c r="A1095" s="26" t="str">
        <f t="shared" si="56"/>
        <v/>
      </c>
    </row>
    <row r="1096" spans="1:1" x14ac:dyDescent="0.3">
      <c r="A1096" s="26" t="str">
        <f t="shared" si="56"/>
        <v/>
      </c>
    </row>
    <row r="1097" spans="1:1" x14ac:dyDescent="0.3">
      <c r="A1097" s="26" t="str">
        <f t="shared" si="56"/>
        <v/>
      </c>
    </row>
    <row r="1098" spans="1:1" x14ac:dyDescent="0.3">
      <c r="A1098" s="26" t="str">
        <f t="shared" si="56"/>
        <v/>
      </c>
    </row>
    <row r="1099" spans="1:1" x14ac:dyDescent="0.3">
      <c r="A1099" s="26" t="str">
        <f t="shared" si="56"/>
        <v/>
      </c>
    </row>
    <row r="1100" spans="1:1" x14ac:dyDescent="0.3">
      <c r="A1100" s="26" t="str">
        <f t="shared" si="56"/>
        <v/>
      </c>
    </row>
    <row r="1101" spans="1:1" x14ac:dyDescent="0.3">
      <c r="A1101" s="26" t="str">
        <f t="shared" si="56"/>
        <v/>
      </c>
    </row>
    <row r="1102" spans="1:1" x14ac:dyDescent="0.3">
      <c r="A1102" s="26" t="str">
        <f t="shared" si="56"/>
        <v/>
      </c>
    </row>
    <row r="1103" spans="1:1" x14ac:dyDescent="0.3">
      <c r="A1103" s="26" t="str">
        <f t="shared" ref="A1103:A1166" si="57">IFERROR(IF(A1102-$D$118&gt;0,A1102-$D$118,""),"")</f>
        <v/>
      </c>
    </row>
    <row r="1104" spans="1:1" x14ac:dyDescent="0.3">
      <c r="A1104" s="26" t="str">
        <f t="shared" si="57"/>
        <v/>
      </c>
    </row>
    <row r="1105" spans="1:1" x14ac:dyDescent="0.3">
      <c r="A1105" s="26" t="str">
        <f t="shared" si="57"/>
        <v/>
      </c>
    </row>
    <row r="1106" spans="1:1" x14ac:dyDescent="0.3">
      <c r="A1106" s="26" t="str">
        <f t="shared" si="57"/>
        <v/>
      </c>
    </row>
    <row r="1107" spans="1:1" x14ac:dyDescent="0.3">
      <c r="A1107" s="26" t="str">
        <f t="shared" si="57"/>
        <v/>
      </c>
    </row>
    <row r="1108" spans="1:1" x14ac:dyDescent="0.3">
      <c r="A1108" s="26" t="str">
        <f t="shared" si="57"/>
        <v/>
      </c>
    </row>
    <row r="1109" spans="1:1" x14ac:dyDescent="0.3">
      <c r="A1109" s="26" t="str">
        <f t="shared" si="57"/>
        <v/>
      </c>
    </row>
    <row r="1110" spans="1:1" x14ac:dyDescent="0.3">
      <c r="A1110" s="26" t="str">
        <f t="shared" si="57"/>
        <v/>
      </c>
    </row>
    <row r="1111" spans="1:1" x14ac:dyDescent="0.3">
      <c r="A1111" s="26" t="str">
        <f t="shared" si="57"/>
        <v/>
      </c>
    </row>
    <row r="1112" spans="1:1" x14ac:dyDescent="0.3">
      <c r="A1112" s="26" t="str">
        <f t="shared" si="57"/>
        <v/>
      </c>
    </row>
    <row r="1113" spans="1:1" x14ac:dyDescent="0.3">
      <c r="A1113" s="26" t="str">
        <f t="shared" si="57"/>
        <v/>
      </c>
    </row>
    <row r="1114" spans="1:1" x14ac:dyDescent="0.3">
      <c r="A1114" s="26" t="str">
        <f t="shared" si="57"/>
        <v/>
      </c>
    </row>
    <row r="1115" spans="1:1" x14ac:dyDescent="0.3">
      <c r="A1115" s="26" t="str">
        <f t="shared" si="57"/>
        <v/>
      </c>
    </row>
    <row r="1116" spans="1:1" x14ac:dyDescent="0.3">
      <c r="A1116" s="26" t="str">
        <f t="shared" si="57"/>
        <v/>
      </c>
    </row>
    <row r="1117" spans="1:1" x14ac:dyDescent="0.3">
      <c r="A1117" s="26" t="str">
        <f t="shared" si="57"/>
        <v/>
      </c>
    </row>
    <row r="1118" spans="1:1" x14ac:dyDescent="0.3">
      <c r="A1118" s="26" t="str">
        <f t="shared" si="57"/>
        <v/>
      </c>
    </row>
    <row r="1119" spans="1:1" x14ac:dyDescent="0.3">
      <c r="A1119" s="26" t="str">
        <f t="shared" si="57"/>
        <v/>
      </c>
    </row>
    <row r="1120" spans="1:1" x14ac:dyDescent="0.3">
      <c r="A1120" s="26" t="str">
        <f t="shared" si="57"/>
        <v/>
      </c>
    </row>
    <row r="1121" spans="1:1" x14ac:dyDescent="0.3">
      <c r="A1121" s="26" t="str">
        <f t="shared" si="57"/>
        <v/>
      </c>
    </row>
    <row r="1122" spans="1:1" x14ac:dyDescent="0.3">
      <c r="A1122" s="26" t="str">
        <f t="shared" si="57"/>
        <v/>
      </c>
    </row>
    <row r="1123" spans="1:1" x14ac:dyDescent="0.3">
      <c r="A1123" s="26" t="str">
        <f t="shared" si="57"/>
        <v/>
      </c>
    </row>
    <row r="1124" spans="1:1" x14ac:dyDescent="0.3">
      <c r="A1124" s="26" t="str">
        <f t="shared" si="57"/>
        <v/>
      </c>
    </row>
    <row r="1125" spans="1:1" x14ac:dyDescent="0.3">
      <c r="A1125" s="26" t="str">
        <f t="shared" si="57"/>
        <v/>
      </c>
    </row>
    <row r="1126" spans="1:1" x14ac:dyDescent="0.3">
      <c r="A1126" s="26" t="str">
        <f t="shared" si="57"/>
        <v/>
      </c>
    </row>
    <row r="1127" spans="1:1" x14ac:dyDescent="0.3">
      <c r="A1127" s="26" t="str">
        <f t="shared" si="57"/>
        <v/>
      </c>
    </row>
    <row r="1128" spans="1:1" x14ac:dyDescent="0.3">
      <c r="A1128" s="26" t="str">
        <f t="shared" si="57"/>
        <v/>
      </c>
    </row>
    <row r="1129" spans="1:1" x14ac:dyDescent="0.3">
      <c r="A1129" s="26" t="str">
        <f t="shared" si="57"/>
        <v/>
      </c>
    </row>
    <row r="1130" spans="1:1" x14ac:dyDescent="0.3">
      <c r="A1130" s="26" t="str">
        <f t="shared" si="57"/>
        <v/>
      </c>
    </row>
    <row r="1131" spans="1:1" x14ac:dyDescent="0.3">
      <c r="A1131" s="26" t="str">
        <f t="shared" si="57"/>
        <v/>
      </c>
    </row>
    <row r="1132" spans="1:1" x14ac:dyDescent="0.3">
      <c r="A1132" s="26" t="str">
        <f t="shared" si="57"/>
        <v/>
      </c>
    </row>
    <row r="1133" spans="1:1" x14ac:dyDescent="0.3">
      <c r="A1133" s="26" t="str">
        <f t="shared" si="57"/>
        <v/>
      </c>
    </row>
    <row r="1134" spans="1:1" x14ac:dyDescent="0.3">
      <c r="A1134" s="26" t="str">
        <f t="shared" si="57"/>
        <v/>
      </c>
    </row>
    <row r="1135" spans="1:1" x14ac:dyDescent="0.3">
      <c r="A1135" s="26" t="str">
        <f t="shared" si="57"/>
        <v/>
      </c>
    </row>
    <row r="1136" spans="1:1" x14ac:dyDescent="0.3">
      <c r="A1136" s="26" t="str">
        <f t="shared" si="57"/>
        <v/>
      </c>
    </row>
    <row r="1137" spans="1:1" x14ac:dyDescent="0.3">
      <c r="A1137" s="26" t="str">
        <f t="shared" si="57"/>
        <v/>
      </c>
    </row>
    <row r="1138" spans="1:1" x14ac:dyDescent="0.3">
      <c r="A1138" s="26" t="str">
        <f t="shared" si="57"/>
        <v/>
      </c>
    </row>
    <row r="1139" spans="1:1" x14ac:dyDescent="0.3">
      <c r="A1139" s="26" t="str">
        <f t="shared" si="57"/>
        <v/>
      </c>
    </row>
    <row r="1140" spans="1:1" x14ac:dyDescent="0.3">
      <c r="A1140" s="26" t="str">
        <f t="shared" si="57"/>
        <v/>
      </c>
    </row>
    <row r="1141" spans="1:1" x14ac:dyDescent="0.3">
      <c r="A1141" s="26" t="str">
        <f t="shared" si="57"/>
        <v/>
      </c>
    </row>
    <row r="1142" spans="1:1" x14ac:dyDescent="0.3">
      <c r="A1142" s="26" t="str">
        <f t="shared" si="57"/>
        <v/>
      </c>
    </row>
    <row r="1143" spans="1:1" x14ac:dyDescent="0.3">
      <c r="A1143" s="26" t="str">
        <f t="shared" si="57"/>
        <v/>
      </c>
    </row>
    <row r="1144" spans="1:1" x14ac:dyDescent="0.3">
      <c r="A1144" s="26" t="str">
        <f t="shared" si="57"/>
        <v/>
      </c>
    </row>
    <row r="1145" spans="1:1" x14ac:dyDescent="0.3">
      <c r="A1145" s="26" t="str">
        <f t="shared" si="57"/>
        <v/>
      </c>
    </row>
    <row r="1146" spans="1:1" x14ac:dyDescent="0.3">
      <c r="A1146" s="26" t="str">
        <f t="shared" si="57"/>
        <v/>
      </c>
    </row>
    <row r="1147" spans="1:1" x14ac:dyDescent="0.3">
      <c r="A1147" s="26" t="str">
        <f t="shared" si="57"/>
        <v/>
      </c>
    </row>
    <row r="1148" spans="1:1" x14ac:dyDescent="0.3">
      <c r="A1148" s="26" t="str">
        <f t="shared" si="57"/>
        <v/>
      </c>
    </row>
    <row r="1149" spans="1:1" x14ac:dyDescent="0.3">
      <c r="A1149" s="26" t="str">
        <f t="shared" si="57"/>
        <v/>
      </c>
    </row>
    <row r="1150" spans="1:1" x14ac:dyDescent="0.3">
      <c r="A1150" s="26" t="str">
        <f t="shared" si="57"/>
        <v/>
      </c>
    </row>
    <row r="1151" spans="1:1" x14ac:dyDescent="0.3">
      <c r="A1151" s="26" t="str">
        <f t="shared" si="57"/>
        <v/>
      </c>
    </row>
    <row r="1152" spans="1:1" x14ac:dyDescent="0.3">
      <c r="A1152" s="26" t="str">
        <f t="shared" si="57"/>
        <v/>
      </c>
    </row>
    <row r="1153" spans="1:1" x14ac:dyDescent="0.3">
      <c r="A1153" s="26" t="str">
        <f t="shared" si="57"/>
        <v/>
      </c>
    </row>
    <row r="1154" spans="1:1" x14ac:dyDescent="0.3">
      <c r="A1154" s="26" t="str">
        <f t="shared" si="57"/>
        <v/>
      </c>
    </row>
    <row r="1155" spans="1:1" x14ac:dyDescent="0.3">
      <c r="A1155" s="26" t="str">
        <f t="shared" si="57"/>
        <v/>
      </c>
    </row>
    <row r="1156" spans="1:1" x14ac:dyDescent="0.3">
      <c r="A1156" s="26" t="str">
        <f t="shared" si="57"/>
        <v/>
      </c>
    </row>
    <row r="1157" spans="1:1" x14ac:dyDescent="0.3">
      <c r="A1157" s="26" t="str">
        <f t="shared" si="57"/>
        <v/>
      </c>
    </row>
    <row r="1158" spans="1:1" x14ac:dyDescent="0.3">
      <c r="A1158" s="26" t="str">
        <f t="shared" si="57"/>
        <v/>
      </c>
    </row>
    <row r="1159" spans="1:1" x14ac:dyDescent="0.3">
      <c r="A1159" s="26" t="str">
        <f t="shared" si="57"/>
        <v/>
      </c>
    </row>
    <row r="1160" spans="1:1" x14ac:dyDescent="0.3">
      <c r="A1160" s="26" t="str">
        <f t="shared" si="57"/>
        <v/>
      </c>
    </row>
    <row r="1161" spans="1:1" x14ac:dyDescent="0.3">
      <c r="A1161" s="26" t="str">
        <f t="shared" si="57"/>
        <v/>
      </c>
    </row>
    <row r="1162" spans="1:1" x14ac:dyDescent="0.3">
      <c r="A1162" s="26" t="str">
        <f t="shared" si="57"/>
        <v/>
      </c>
    </row>
    <row r="1163" spans="1:1" x14ac:dyDescent="0.3">
      <c r="A1163" s="26" t="str">
        <f t="shared" si="57"/>
        <v/>
      </c>
    </row>
    <row r="1164" spans="1:1" x14ac:dyDescent="0.3">
      <c r="A1164" s="26" t="str">
        <f t="shared" si="57"/>
        <v/>
      </c>
    </row>
    <row r="1165" spans="1:1" x14ac:dyDescent="0.3">
      <c r="A1165" s="26" t="str">
        <f t="shared" si="57"/>
        <v/>
      </c>
    </row>
    <row r="1166" spans="1:1" x14ac:dyDescent="0.3">
      <c r="A1166" s="26" t="str">
        <f t="shared" si="57"/>
        <v/>
      </c>
    </row>
    <row r="1167" spans="1:1" x14ac:dyDescent="0.3">
      <c r="A1167" s="26" t="str">
        <f t="shared" ref="A1167:A1230" si="58">IFERROR(IF(A1166-$D$118&gt;0,A1166-$D$118,""),"")</f>
        <v/>
      </c>
    </row>
    <row r="1168" spans="1:1" x14ac:dyDescent="0.3">
      <c r="A1168" s="26" t="str">
        <f t="shared" si="58"/>
        <v/>
      </c>
    </row>
    <row r="1169" spans="1:1" x14ac:dyDescent="0.3">
      <c r="A1169" s="26" t="str">
        <f t="shared" si="58"/>
        <v/>
      </c>
    </row>
    <row r="1170" spans="1:1" x14ac:dyDescent="0.3">
      <c r="A1170" s="26" t="str">
        <f t="shared" si="58"/>
        <v/>
      </c>
    </row>
    <row r="1171" spans="1:1" x14ac:dyDescent="0.3">
      <c r="A1171" s="26" t="str">
        <f t="shared" si="58"/>
        <v/>
      </c>
    </row>
    <row r="1172" spans="1:1" x14ac:dyDescent="0.3">
      <c r="A1172" s="26" t="str">
        <f t="shared" si="58"/>
        <v/>
      </c>
    </row>
    <row r="1173" spans="1:1" x14ac:dyDescent="0.3">
      <c r="A1173" s="26" t="str">
        <f t="shared" si="58"/>
        <v/>
      </c>
    </row>
    <row r="1174" spans="1:1" x14ac:dyDescent="0.3">
      <c r="A1174" s="26" t="str">
        <f t="shared" si="58"/>
        <v/>
      </c>
    </row>
    <row r="1175" spans="1:1" x14ac:dyDescent="0.3">
      <c r="A1175" s="26" t="str">
        <f t="shared" si="58"/>
        <v/>
      </c>
    </row>
    <row r="1176" spans="1:1" x14ac:dyDescent="0.3">
      <c r="A1176" s="26" t="str">
        <f t="shared" si="58"/>
        <v/>
      </c>
    </row>
    <row r="1177" spans="1:1" x14ac:dyDescent="0.3">
      <c r="A1177" s="26" t="str">
        <f t="shared" si="58"/>
        <v/>
      </c>
    </row>
    <row r="1178" spans="1:1" x14ac:dyDescent="0.3">
      <c r="A1178" s="26" t="str">
        <f t="shared" si="58"/>
        <v/>
      </c>
    </row>
    <row r="1179" spans="1:1" x14ac:dyDescent="0.3">
      <c r="A1179" s="26" t="str">
        <f t="shared" si="58"/>
        <v/>
      </c>
    </row>
    <row r="1180" spans="1:1" x14ac:dyDescent="0.3">
      <c r="A1180" s="26" t="str">
        <f t="shared" si="58"/>
        <v/>
      </c>
    </row>
    <row r="1181" spans="1:1" x14ac:dyDescent="0.3">
      <c r="A1181" s="26" t="str">
        <f t="shared" si="58"/>
        <v/>
      </c>
    </row>
    <row r="1182" spans="1:1" x14ac:dyDescent="0.3">
      <c r="A1182" s="26" t="str">
        <f t="shared" si="58"/>
        <v/>
      </c>
    </row>
    <row r="1183" spans="1:1" x14ac:dyDescent="0.3">
      <c r="A1183" s="26" t="str">
        <f t="shared" si="58"/>
        <v/>
      </c>
    </row>
    <row r="1184" spans="1:1" x14ac:dyDescent="0.3">
      <c r="A1184" s="26" t="str">
        <f t="shared" si="58"/>
        <v/>
      </c>
    </row>
    <row r="1185" spans="1:1" x14ac:dyDescent="0.3">
      <c r="A1185" s="26" t="str">
        <f t="shared" si="58"/>
        <v/>
      </c>
    </row>
    <row r="1186" spans="1:1" x14ac:dyDescent="0.3">
      <c r="A1186" s="26" t="str">
        <f t="shared" si="58"/>
        <v/>
      </c>
    </row>
    <row r="1187" spans="1:1" x14ac:dyDescent="0.3">
      <c r="A1187" s="26" t="str">
        <f t="shared" si="58"/>
        <v/>
      </c>
    </row>
    <row r="1188" spans="1:1" x14ac:dyDescent="0.3">
      <c r="A1188" s="26" t="str">
        <f t="shared" si="58"/>
        <v/>
      </c>
    </row>
    <row r="1189" spans="1:1" x14ac:dyDescent="0.3">
      <c r="A1189" s="26" t="str">
        <f t="shared" si="58"/>
        <v/>
      </c>
    </row>
    <row r="1190" spans="1:1" x14ac:dyDescent="0.3">
      <c r="A1190" s="26" t="str">
        <f t="shared" si="58"/>
        <v/>
      </c>
    </row>
    <row r="1191" spans="1:1" x14ac:dyDescent="0.3">
      <c r="A1191" s="26" t="str">
        <f t="shared" si="58"/>
        <v/>
      </c>
    </row>
    <row r="1192" spans="1:1" x14ac:dyDescent="0.3">
      <c r="A1192" s="26" t="str">
        <f t="shared" si="58"/>
        <v/>
      </c>
    </row>
    <row r="1193" spans="1:1" x14ac:dyDescent="0.3">
      <c r="A1193" s="26" t="str">
        <f t="shared" si="58"/>
        <v/>
      </c>
    </row>
    <row r="1194" spans="1:1" x14ac:dyDescent="0.3">
      <c r="A1194" s="26" t="str">
        <f t="shared" si="58"/>
        <v/>
      </c>
    </row>
    <row r="1195" spans="1:1" x14ac:dyDescent="0.3">
      <c r="A1195" s="26" t="str">
        <f t="shared" si="58"/>
        <v/>
      </c>
    </row>
    <row r="1196" spans="1:1" x14ac:dyDescent="0.3">
      <c r="A1196" s="26" t="str">
        <f t="shared" si="58"/>
        <v/>
      </c>
    </row>
    <row r="1197" spans="1:1" x14ac:dyDescent="0.3">
      <c r="A1197" s="26" t="str">
        <f t="shared" si="58"/>
        <v/>
      </c>
    </row>
    <row r="1198" spans="1:1" x14ac:dyDescent="0.3">
      <c r="A1198" s="26" t="str">
        <f t="shared" si="58"/>
        <v/>
      </c>
    </row>
    <row r="1199" spans="1:1" x14ac:dyDescent="0.3">
      <c r="A1199" s="26" t="str">
        <f t="shared" si="58"/>
        <v/>
      </c>
    </row>
    <row r="1200" spans="1:1" x14ac:dyDescent="0.3">
      <c r="A1200" s="26" t="str">
        <f t="shared" si="58"/>
        <v/>
      </c>
    </row>
    <row r="1201" spans="1:1" x14ac:dyDescent="0.3">
      <c r="A1201" s="26" t="str">
        <f t="shared" si="58"/>
        <v/>
      </c>
    </row>
    <row r="1202" spans="1:1" x14ac:dyDescent="0.3">
      <c r="A1202" s="26" t="str">
        <f t="shared" si="58"/>
        <v/>
      </c>
    </row>
    <row r="1203" spans="1:1" x14ac:dyDescent="0.3">
      <c r="A1203" s="26" t="str">
        <f t="shared" si="58"/>
        <v/>
      </c>
    </row>
    <row r="1204" spans="1:1" x14ac:dyDescent="0.3">
      <c r="A1204" s="26" t="str">
        <f t="shared" si="58"/>
        <v/>
      </c>
    </row>
    <row r="1205" spans="1:1" x14ac:dyDescent="0.3">
      <c r="A1205" s="26" t="str">
        <f t="shared" si="58"/>
        <v/>
      </c>
    </row>
    <row r="1206" spans="1:1" x14ac:dyDescent="0.3">
      <c r="A1206" s="26" t="str">
        <f t="shared" si="58"/>
        <v/>
      </c>
    </row>
    <row r="1207" spans="1:1" x14ac:dyDescent="0.3">
      <c r="A1207" s="26" t="str">
        <f t="shared" si="58"/>
        <v/>
      </c>
    </row>
    <row r="1208" spans="1:1" x14ac:dyDescent="0.3">
      <c r="A1208" s="26" t="str">
        <f t="shared" si="58"/>
        <v/>
      </c>
    </row>
    <row r="1209" spans="1:1" x14ac:dyDescent="0.3">
      <c r="A1209" s="26" t="str">
        <f t="shared" si="58"/>
        <v/>
      </c>
    </row>
    <row r="1210" spans="1:1" x14ac:dyDescent="0.3">
      <c r="A1210" s="26" t="str">
        <f t="shared" si="58"/>
        <v/>
      </c>
    </row>
    <row r="1211" spans="1:1" x14ac:dyDescent="0.3">
      <c r="A1211" s="26" t="str">
        <f t="shared" si="58"/>
        <v/>
      </c>
    </row>
    <row r="1212" spans="1:1" x14ac:dyDescent="0.3">
      <c r="A1212" s="26" t="str">
        <f t="shared" si="58"/>
        <v/>
      </c>
    </row>
    <row r="1213" spans="1:1" x14ac:dyDescent="0.3">
      <c r="A1213" s="26" t="str">
        <f t="shared" si="58"/>
        <v/>
      </c>
    </row>
    <row r="1214" spans="1:1" x14ac:dyDescent="0.3">
      <c r="A1214" s="26" t="str">
        <f t="shared" si="58"/>
        <v/>
      </c>
    </row>
    <row r="1215" spans="1:1" x14ac:dyDescent="0.3">
      <c r="A1215" s="26" t="str">
        <f t="shared" si="58"/>
        <v/>
      </c>
    </row>
    <row r="1216" spans="1:1" x14ac:dyDescent="0.3">
      <c r="A1216" s="26" t="str">
        <f t="shared" si="58"/>
        <v/>
      </c>
    </row>
    <row r="1217" spans="1:1" x14ac:dyDescent="0.3">
      <c r="A1217" s="26" t="str">
        <f t="shared" si="58"/>
        <v/>
      </c>
    </row>
    <row r="1218" spans="1:1" x14ac:dyDescent="0.3">
      <c r="A1218" s="26" t="str">
        <f t="shared" si="58"/>
        <v/>
      </c>
    </row>
    <row r="1219" spans="1:1" x14ac:dyDescent="0.3">
      <c r="A1219" s="26" t="str">
        <f t="shared" si="58"/>
        <v/>
      </c>
    </row>
    <row r="1220" spans="1:1" x14ac:dyDescent="0.3">
      <c r="A1220" s="26" t="str">
        <f t="shared" si="58"/>
        <v/>
      </c>
    </row>
    <row r="1221" spans="1:1" x14ac:dyDescent="0.3">
      <c r="A1221" s="26" t="str">
        <f t="shared" si="58"/>
        <v/>
      </c>
    </row>
    <row r="1222" spans="1:1" x14ac:dyDescent="0.3">
      <c r="A1222" s="26" t="str">
        <f t="shared" si="58"/>
        <v/>
      </c>
    </row>
    <row r="1223" spans="1:1" x14ac:dyDescent="0.3">
      <c r="A1223" s="26" t="str">
        <f t="shared" si="58"/>
        <v/>
      </c>
    </row>
    <row r="1224" spans="1:1" x14ac:dyDescent="0.3">
      <c r="A1224" s="26" t="str">
        <f t="shared" si="58"/>
        <v/>
      </c>
    </row>
    <row r="1225" spans="1:1" x14ac:dyDescent="0.3">
      <c r="A1225" s="26" t="str">
        <f t="shared" si="58"/>
        <v/>
      </c>
    </row>
    <row r="1226" spans="1:1" x14ac:dyDescent="0.3">
      <c r="A1226" s="26" t="str">
        <f t="shared" si="58"/>
        <v/>
      </c>
    </row>
    <row r="1227" spans="1:1" x14ac:dyDescent="0.3">
      <c r="A1227" s="26" t="str">
        <f t="shared" si="58"/>
        <v/>
      </c>
    </row>
    <row r="1228" spans="1:1" x14ac:dyDescent="0.3">
      <c r="A1228" s="26" t="str">
        <f t="shared" si="58"/>
        <v/>
      </c>
    </row>
    <row r="1229" spans="1:1" x14ac:dyDescent="0.3">
      <c r="A1229" s="26" t="str">
        <f t="shared" si="58"/>
        <v/>
      </c>
    </row>
    <row r="1230" spans="1:1" x14ac:dyDescent="0.3">
      <c r="A1230" s="26" t="str">
        <f t="shared" si="58"/>
        <v/>
      </c>
    </row>
    <row r="1231" spans="1:1" x14ac:dyDescent="0.3">
      <c r="A1231" s="26" t="str">
        <f t="shared" ref="A1231:A1294" si="59">IFERROR(IF(A1230-$D$118&gt;0,A1230-$D$118,""),"")</f>
        <v/>
      </c>
    </row>
    <row r="1232" spans="1:1" x14ac:dyDescent="0.3">
      <c r="A1232" s="26" t="str">
        <f t="shared" si="59"/>
        <v/>
      </c>
    </row>
    <row r="1233" spans="1:1" x14ac:dyDescent="0.3">
      <c r="A1233" s="26" t="str">
        <f t="shared" si="59"/>
        <v/>
      </c>
    </row>
    <row r="1234" spans="1:1" x14ac:dyDescent="0.3">
      <c r="A1234" s="26" t="str">
        <f t="shared" si="59"/>
        <v/>
      </c>
    </row>
    <row r="1235" spans="1:1" x14ac:dyDescent="0.3">
      <c r="A1235" s="26" t="str">
        <f t="shared" si="59"/>
        <v/>
      </c>
    </row>
    <row r="1236" spans="1:1" x14ac:dyDescent="0.3">
      <c r="A1236" s="26" t="str">
        <f t="shared" si="59"/>
        <v/>
      </c>
    </row>
    <row r="1237" spans="1:1" x14ac:dyDescent="0.3">
      <c r="A1237" s="26" t="str">
        <f t="shared" si="59"/>
        <v/>
      </c>
    </row>
    <row r="1238" spans="1:1" x14ac:dyDescent="0.3">
      <c r="A1238" s="26" t="str">
        <f t="shared" si="59"/>
        <v/>
      </c>
    </row>
    <row r="1239" spans="1:1" x14ac:dyDescent="0.3">
      <c r="A1239" s="26" t="str">
        <f t="shared" si="59"/>
        <v/>
      </c>
    </row>
    <row r="1240" spans="1:1" x14ac:dyDescent="0.3">
      <c r="A1240" s="26" t="str">
        <f t="shared" si="59"/>
        <v/>
      </c>
    </row>
    <row r="1241" spans="1:1" x14ac:dyDescent="0.3">
      <c r="A1241" s="26" t="str">
        <f t="shared" si="59"/>
        <v/>
      </c>
    </row>
    <row r="1242" spans="1:1" x14ac:dyDescent="0.3">
      <c r="A1242" s="26" t="str">
        <f t="shared" si="59"/>
        <v/>
      </c>
    </row>
    <row r="1243" spans="1:1" x14ac:dyDescent="0.3">
      <c r="A1243" s="26" t="str">
        <f t="shared" si="59"/>
        <v/>
      </c>
    </row>
    <row r="1244" spans="1:1" x14ac:dyDescent="0.3">
      <c r="A1244" s="26" t="str">
        <f t="shared" si="59"/>
        <v/>
      </c>
    </row>
    <row r="1245" spans="1:1" x14ac:dyDescent="0.3">
      <c r="A1245" s="26" t="str">
        <f t="shared" si="59"/>
        <v/>
      </c>
    </row>
    <row r="1246" spans="1:1" x14ac:dyDescent="0.3">
      <c r="A1246" s="26" t="str">
        <f t="shared" si="59"/>
        <v/>
      </c>
    </row>
    <row r="1247" spans="1:1" x14ac:dyDescent="0.3">
      <c r="A1247" s="26" t="str">
        <f t="shared" si="59"/>
        <v/>
      </c>
    </row>
    <row r="1248" spans="1:1" x14ac:dyDescent="0.3">
      <c r="A1248" s="26" t="str">
        <f t="shared" si="59"/>
        <v/>
      </c>
    </row>
    <row r="1249" spans="1:1" x14ac:dyDescent="0.3">
      <c r="A1249" s="26" t="str">
        <f t="shared" si="59"/>
        <v/>
      </c>
    </row>
    <row r="1250" spans="1:1" x14ac:dyDescent="0.3">
      <c r="A1250" s="26" t="str">
        <f t="shared" si="59"/>
        <v/>
      </c>
    </row>
    <row r="1251" spans="1:1" x14ac:dyDescent="0.3">
      <c r="A1251" s="26" t="str">
        <f t="shared" si="59"/>
        <v/>
      </c>
    </row>
    <row r="1252" spans="1:1" x14ac:dyDescent="0.3">
      <c r="A1252" s="26" t="str">
        <f t="shared" si="59"/>
        <v/>
      </c>
    </row>
    <row r="1253" spans="1:1" x14ac:dyDescent="0.3">
      <c r="A1253" s="26" t="str">
        <f t="shared" si="59"/>
        <v/>
      </c>
    </row>
    <row r="1254" spans="1:1" x14ac:dyDescent="0.3">
      <c r="A1254" s="26" t="str">
        <f t="shared" si="59"/>
        <v/>
      </c>
    </row>
    <row r="1255" spans="1:1" x14ac:dyDescent="0.3">
      <c r="A1255" s="26" t="str">
        <f t="shared" si="59"/>
        <v/>
      </c>
    </row>
    <row r="1256" spans="1:1" x14ac:dyDescent="0.3">
      <c r="A1256" s="26" t="str">
        <f t="shared" si="59"/>
        <v/>
      </c>
    </row>
    <row r="1257" spans="1:1" x14ac:dyDescent="0.3">
      <c r="A1257" s="26" t="str">
        <f t="shared" si="59"/>
        <v/>
      </c>
    </row>
    <row r="1258" spans="1:1" x14ac:dyDescent="0.3">
      <c r="A1258" s="26" t="str">
        <f t="shared" si="59"/>
        <v/>
      </c>
    </row>
    <row r="1259" spans="1:1" x14ac:dyDescent="0.3">
      <c r="A1259" s="26" t="str">
        <f t="shared" si="59"/>
        <v/>
      </c>
    </row>
    <row r="1260" spans="1:1" x14ac:dyDescent="0.3">
      <c r="A1260" s="26" t="str">
        <f t="shared" si="59"/>
        <v/>
      </c>
    </row>
    <row r="1261" spans="1:1" x14ac:dyDescent="0.3">
      <c r="A1261" s="26" t="str">
        <f t="shared" si="59"/>
        <v/>
      </c>
    </row>
    <row r="1262" spans="1:1" x14ac:dyDescent="0.3">
      <c r="A1262" s="26" t="str">
        <f t="shared" si="59"/>
        <v/>
      </c>
    </row>
    <row r="1263" spans="1:1" x14ac:dyDescent="0.3">
      <c r="A1263" s="26" t="str">
        <f t="shared" si="59"/>
        <v/>
      </c>
    </row>
    <row r="1264" spans="1:1" x14ac:dyDescent="0.3">
      <c r="A1264" s="26" t="str">
        <f t="shared" si="59"/>
        <v/>
      </c>
    </row>
    <row r="1265" spans="1:1" x14ac:dyDescent="0.3">
      <c r="A1265" s="26" t="str">
        <f t="shared" si="59"/>
        <v/>
      </c>
    </row>
    <row r="1266" spans="1:1" x14ac:dyDescent="0.3">
      <c r="A1266" s="26" t="str">
        <f t="shared" si="59"/>
        <v/>
      </c>
    </row>
    <row r="1267" spans="1:1" x14ac:dyDescent="0.3">
      <c r="A1267" s="26" t="str">
        <f t="shared" si="59"/>
        <v/>
      </c>
    </row>
    <row r="1268" spans="1:1" x14ac:dyDescent="0.3">
      <c r="A1268" s="26" t="str">
        <f t="shared" si="59"/>
        <v/>
      </c>
    </row>
    <row r="1269" spans="1:1" x14ac:dyDescent="0.3">
      <c r="A1269" s="26" t="str">
        <f t="shared" si="59"/>
        <v/>
      </c>
    </row>
    <row r="1270" spans="1:1" x14ac:dyDescent="0.3">
      <c r="A1270" s="26" t="str">
        <f t="shared" si="59"/>
        <v/>
      </c>
    </row>
    <row r="1271" spans="1:1" x14ac:dyDescent="0.3">
      <c r="A1271" s="26" t="str">
        <f t="shared" si="59"/>
        <v/>
      </c>
    </row>
    <row r="1272" spans="1:1" x14ac:dyDescent="0.3">
      <c r="A1272" s="26" t="str">
        <f t="shared" si="59"/>
        <v/>
      </c>
    </row>
    <row r="1273" spans="1:1" x14ac:dyDescent="0.3">
      <c r="A1273" s="26" t="str">
        <f t="shared" si="59"/>
        <v/>
      </c>
    </row>
    <row r="1274" spans="1:1" x14ac:dyDescent="0.3">
      <c r="A1274" s="26" t="str">
        <f t="shared" si="59"/>
        <v/>
      </c>
    </row>
    <row r="1275" spans="1:1" x14ac:dyDescent="0.3">
      <c r="A1275" s="26" t="str">
        <f t="shared" si="59"/>
        <v/>
      </c>
    </row>
    <row r="1276" spans="1:1" x14ac:dyDescent="0.3">
      <c r="A1276" s="26" t="str">
        <f t="shared" si="59"/>
        <v/>
      </c>
    </row>
    <row r="1277" spans="1:1" x14ac:dyDescent="0.3">
      <c r="A1277" s="26" t="str">
        <f t="shared" si="59"/>
        <v/>
      </c>
    </row>
    <row r="1278" spans="1:1" x14ac:dyDescent="0.3">
      <c r="A1278" s="26" t="str">
        <f t="shared" si="59"/>
        <v/>
      </c>
    </row>
    <row r="1279" spans="1:1" x14ac:dyDescent="0.3">
      <c r="A1279" s="26" t="str">
        <f t="shared" si="59"/>
        <v/>
      </c>
    </row>
    <row r="1280" spans="1:1" x14ac:dyDescent="0.3">
      <c r="A1280" s="26" t="str">
        <f t="shared" si="59"/>
        <v/>
      </c>
    </row>
    <row r="1281" spans="1:1" x14ac:dyDescent="0.3">
      <c r="A1281" s="26" t="str">
        <f t="shared" si="59"/>
        <v/>
      </c>
    </row>
    <row r="1282" spans="1:1" x14ac:dyDescent="0.3">
      <c r="A1282" s="26" t="str">
        <f t="shared" si="59"/>
        <v/>
      </c>
    </row>
    <row r="1283" spans="1:1" x14ac:dyDescent="0.3">
      <c r="A1283" s="26" t="str">
        <f t="shared" si="59"/>
        <v/>
      </c>
    </row>
    <row r="1284" spans="1:1" x14ac:dyDescent="0.3">
      <c r="A1284" s="26" t="str">
        <f t="shared" si="59"/>
        <v/>
      </c>
    </row>
    <row r="1285" spans="1:1" x14ac:dyDescent="0.3">
      <c r="A1285" s="26" t="str">
        <f t="shared" si="59"/>
        <v/>
      </c>
    </row>
    <row r="1286" spans="1:1" x14ac:dyDescent="0.3">
      <c r="A1286" s="26" t="str">
        <f t="shared" si="59"/>
        <v/>
      </c>
    </row>
    <row r="1287" spans="1:1" x14ac:dyDescent="0.3">
      <c r="A1287" s="26" t="str">
        <f t="shared" si="59"/>
        <v/>
      </c>
    </row>
    <row r="1288" spans="1:1" x14ac:dyDescent="0.3">
      <c r="A1288" s="26" t="str">
        <f t="shared" si="59"/>
        <v/>
      </c>
    </row>
    <row r="1289" spans="1:1" x14ac:dyDescent="0.3">
      <c r="A1289" s="26" t="str">
        <f t="shared" si="59"/>
        <v/>
      </c>
    </row>
    <row r="1290" spans="1:1" x14ac:dyDescent="0.3">
      <c r="A1290" s="26" t="str">
        <f t="shared" si="59"/>
        <v/>
      </c>
    </row>
    <row r="1291" spans="1:1" x14ac:dyDescent="0.3">
      <c r="A1291" s="26" t="str">
        <f t="shared" si="59"/>
        <v/>
      </c>
    </row>
    <row r="1292" spans="1:1" x14ac:dyDescent="0.3">
      <c r="A1292" s="26" t="str">
        <f t="shared" si="59"/>
        <v/>
      </c>
    </row>
    <row r="1293" spans="1:1" x14ac:dyDescent="0.3">
      <c r="A1293" s="26" t="str">
        <f t="shared" si="59"/>
        <v/>
      </c>
    </row>
    <row r="1294" spans="1:1" x14ac:dyDescent="0.3">
      <c r="A1294" s="26" t="str">
        <f t="shared" si="59"/>
        <v/>
      </c>
    </row>
    <row r="1295" spans="1:1" x14ac:dyDescent="0.3">
      <c r="A1295" s="26" t="str">
        <f t="shared" ref="A1295:A1358" si="60">IFERROR(IF(A1294-$D$118&gt;0,A1294-$D$118,""),"")</f>
        <v/>
      </c>
    </row>
    <row r="1296" spans="1:1" x14ac:dyDescent="0.3">
      <c r="A1296" s="26" t="str">
        <f t="shared" si="60"/>
        <v/>
      </c>
    </row>
    <row r="1297" spans="1:1" x14ac:dyDescent="0.3">
      <c r="A1297" s="26" t="str">
        <f t="shared" si="60"/>
        <v/>
      </c>
    </row>
    <row r="1298" spans="1:1" x14ac:dyDescent="0.3">
      <c r="A1298" s="26" t="str">
        <f t="shared" si="60"/>
        <v/>
      </c>
    </row>
    <row r="1299" spans="1:1" x14ac:dyDescent="0.3">
      <c r="A1299" s="26" t="str">
        <f t="shared" si="60"/>
        <v/>
      </c>
    </row>
    <row r="1300" spans="1:1" x14ac:dyDescent="0.3">
      <c r="A1300" s="26" t="str">
        <f t="shared" si="60"/>
        <v/>
      </c>
    </row>
    <row r="1301" spans="1:1" x14ac:dyDescent="0.3">
      <c r="A1301" s="26" t="str">
        <f t="shared" si="60"/>
        <v/>
      </c>
    </row>
    <row r="1302" spans="1:1" x14ac:dyDescent="0.3">
      <c r="A1302" s="26" t="str">
        <f t="shared" si="60"/>
        <v/>
      </c>
    </row>
    <row r="1303" spans="1:1" x14ac:dyDescent="0.3">
      <c r="A1303" s="26" t="str">
        <f t="shared" si="60"/>
        <v/>
      </c>
    </row>
    <row r="1304" spans="1:1" x14ac:dyDescent="0.3">
      <c r="A1304" s="26" t="str">
        <f t="shared" si="60"/>
        <v/>
      </c>
    </row>
    <row r="1305" spans="1:1" x14ac:dyDescent="0.3">
      <c r="A1305" s="26" t="str">
        <f t="shared" si="60"/>
        <v/>
      </c>
    </row>
    <row r="1306" spans="1:1" x14ac:dyDescent="0.3">
      <c r="A1306" s="26" t="str">
        <f t="shared" si="60"/>
        <v/>
      </c>
    </row>
    <row r="1307" spans="1:1" x14ac:dyDescent="0.3">
      <c r="A1307" s="26" t="str">
        <f t="shared" si="60"/>
        <v/>
      </c>
    </row>
    <row r="1308" spans="1:1" x14ac:dyDescent="0.3">
      <c r="A1308" s="26" t="str">
        <f t="shared" si="60"/>
        <v/>
      </c>
    </row>
    <row r="1309" spans="1:1" x14ac:dyDescent="0.3">
      <c r="A1309" s="26" t="str">
        <f t="shared" si="60"/>
        <v/>
      </c>
    </row>
    <row r="1310" spans="1:1" x14ac:dyDescent="0.3">
      <c r="A1310" s="26" t="str">
        <f t="shared" si="60"/>
        <v/>
      </c>
    </row>
    <row r="1311" spans="1:1" x14ac:dyDescent="0.3">
      <c r="A1311" s="26" t="str">
        <f t="shared" si="60"/>
        <v/>
      </c>
    </row>
    <row r="1312" spans="1:1" x14ac:dyDescent="0.3">
      <c r="A1312" s="26" t="str">
        <f t="shared" si="60"/>
        <v/>
      </c>
    </row>
    <row r="1313" spans="1:1" x14ac:dyDescent="0.3">
      <c r="A1313" s="26" t="str">
        <f t="shared" si="60"/>
        <v/>
      </c>
    </row>
    <row r="1314" spans="1:1" x14ac:dyDescent="0.3">
      <c r="A1314" s="26" t="str">
        <f t="shared" si="60"/>
        <v/>
      </c>
    </row>
    <row r="1315" spans="1:1" x14ac:dyDescent="0.3">
      <c r="A1315" s="26" t="str">
        <f t="shared" si="60"/>
        <v/>
      </c>
    </row>
    <row r="1316" spans="1:1" x14ac:dyDescent="0.3">
      <c r="A1316" s="26" t="str">
        <f t="shared" si="60"/>
        <v/>
      </c>
    </row>
    <row r="1317" spans="1:1" x14ac:dyDescent="0.3">
      <c r="A1317" s="26" t="str">
        <f t="shared" si="60"/>
        <v/>
      </c>
    </row>
    <row r="1318" spans="1:1" x14ac:dyDescent="0.3">
      <c r="A1318" s="26" t="str">
        <f t="shared" si="60"/>
        <v/>
      </c>
    </row>
    <row r="1319" spans="1:1" x14ac:dyDescent="0.3">
      <c r="A1319" s="26" t="str">
        <f t="shared" si="60"/>
        <v/>
      </c>
    </row>
    <row r="1320" spans="1:1" x14ac:dyDescent="0.3">
      <c r="A1320" s="26" t="str">
        <f t="shared" si="60"/>
        <v/>
      </c>
    </row>
    <row r="1321" spans="1:1" x14ac:dyDescent="0.3">
      <c r="A1321" s="26" t="str">
        <f t="shared" si="60"/>
        <v/>
      </c>
    </row>
    <row r="1322" spans="1:1" x14ac:dyDescent="0.3">
      <c r="A1322" s="26" t="str">
        <f t="shared" si="60"/>
        <v/>
      </c>
    </row>
    <row r="1323" spans="1:1" x14ac:dyDescent="0.3">
      <c r="A1323" s="26" t="str">
        <f t="shared" si="60"/>
        <v/>
      </c>
    </row>
    <row r="1324" spans="1:1" x14ac:dyDescent="0.3">
      <c r="A1324" s="26" t="str">
        <f t="shared" si="60"/>
        <v/>
      </c>
    </row>
    <row r="1325" spans="1:1" x14ac:dyDescent="0.3">
      <c r="A1325" s="26" t="str">
        <f t="shared" si="60"/>
        <v/>
      </c>
    </row>
    <row r="1326" spans="1:1" x14ac:dyDescent="0.3">
      <c r="A1326" s="26" t="str">
        <f t="shared" si="60"/>
        <v/>
      </c>
    </row>
    <row r="1327" spans="1:1" x14ac:dyDescent="0.3">
      <c r="A1327" s="26" t="str">
        <f t="shared" si="60"/>
        <v/>
      </c>
    </row>
    <row r="1328" spans="1:1" x14ac:dyDescent="0.3">
      <c r="A1328" s="26" t="str">
        <f t="shared" si="60"/>
        <v/>
      </c>
    </row>
    <row r="1329" spans="1:1" x14ac:dyDescent="0.3">
      <c r="A1329" s="26" t="str">
        <f t="shared" si="60"/>
        <v/>
      </c>
    </row>
    <row r="1330" spans="1:1" x14ac:dyDescent="0.3">
      <c r="A1330" s="26" t="str">
        <f t="shared" si="60"/>
        <v/>
      </c>
    </row>
    <row r="1331" spans="1:1" x14ac:dyDescent="0.3">
      <c r="A1331" s="26" t="str">
        <f t="shared" si="60"/>
        <v/>
      </c>
    </row>
    <row r="1332" spans="1:1" x14ac:dyDescent="0.3">
      <c r="A1332" s="26" t="str">
        <f t="shared" si="60"/>
        <v/>
      </c>
    </row>
    <row r="1333" spans="1:1" x14ac:dyDescent="0.3">
      <c r="A1333" s="26" t="str">
        <f t="shared" si="60"/>
        <v/>
      </c>
    </row>
    <row r="1334" spans="1:1" x14ac:dyDescent="0.3">
      <c r="A1334" s="26" t="str">
        <f t="shared" si="60"/>
        <v/>
      </c>
    </row>
    <row r="1335" spans="1:1" x14ac:dyDescent="0.3">
      <c r="A1335" s="26" t="str">
        <f t="shared" si="60"/>
        <v/>
      </c>
    </row>
    <row r="1336" spans="1:1" x14ac:dyDescent="0.3">
      <c r="A1336" s="26" t="str">
        <f t="shared" si="60"/>
        <v/>
      </c>
    </row>
    <row r="1337" spans="1:1" x14ac:dyDescent="0.3">
      <c r="A1337" s="26" t="str">
        <f t="shared" si="60"/>
        <v/>
      </c>
    </row>
    <row r="1338" spans="1:1" x14ac:dyDescent="0.3">
      <c r="A1338" s="26" t="str">
        <f t="shared" si="60"/>
        <v/>
      </c>
    </row>
    <row r="1339" spans="1:1" x14ac:dyDescent="0.3">
      <c r="A1339" s="26" t="str">
        <f t="shared" si="60"/>
        <v/>
      </c>
    </row>
    <row r="1340" spans="1:1" x14ac:dyDescent="0.3">
      <c r="A1340" s="26" t="str">
        <f t="shared" si="60"/>
        <v/>
      </c>
    </row>
    <row r="1341" spans="1:1" x14ac:dyDescent="0.3">
      <c r="A1341" s="26" t="str">
        <f t="shared" si="60"/>
        <v/>
      </c>
    </row>
    <row r="1342" spans="1:1" x14ac:dyDescent="0.3">
      <c r="A1342" s="26" t="str">
        <f t="shared" si="60"/>
        <v/>
      </c>
    </row>
    <row r="1343" spans="1:1" x14ac:dyDescent="0.3">
      <c r="A1343" s="26" t="str">
        <f t="shared" si="60"/>
        <v/>
      </c>
    </row>
    <row r="1344" spans="1:1" x14ac:dyDescent="0.3">
      <c r="A1344" s="26" t="str">
        <f t="shared" si="60"/>
        <v/>
      </c>
    </row>
    <row r="1345" spans="1:1" x14ac:dyDescent="0.3">
      <c r="A1345" s="26" t="str">
        <f t="shared" si="60"/>
        <v/>
      </c>
    </row>
    <row r="1346" spans="1:1" x14ac:dyDescent="0.3">
      <c r="A1346" s="26" t="str">
        <f t="shared" si="60"/>
        <v/>
      </c>
    </row>
    <row r="1347" spans="1:1" x14ac:dyDescent="0.3">
      <c r="A1347" s="26" t="str">
        <f t="shared" si="60"/>
        <v/>
      </c>
    </row>
    <row r="1348" spans="1:1" x14ac:dyDescent="0.3">
      <c r="A1348" s="26" t="str">
        <f t="shared" si="60"/>
        <v/>
      </c>
    </row>
    <row r="1349" spans="1:1" x14ac:dyDescent="0.3">
      <c r="A1349" s="26" t="str">
        <f t="shared" si="60"/>
        <v/>
      </c>
    </row>
    <row r="1350" spans="1:1" x14ac:dyDescent="0.3">
      <c r="A1350" s="26" t="str">
        <f t="shared" si="60"/>
        <v/>
      </c>
    </row>
    <row r="1351" spans="1:1" x14ac:dyDescent="0.3">
      <c r="A1351" s="26" t="str">
        <f t="shared" si="60"/>
        <v/>
      </c>
    </row>
    <row r="1352" spans="1:1" x14ac:dyDescent="0.3">
      <c r="A1352" s="26" t="str">
        <f t="shared" si="60"/>
        <v/>
      </c>
    </row>
    <row r="1353" spans="1:1" x14ac:dyDescent="0.3">
      <c r="A1353" s="26" t="str">
        <f t="shared" si="60"/>
        <v/>
      </c>
    </row>
    <row r="1354" spans="1:1" x14ac:dyDescent="0.3">
      <c r="A1354" s="26" t="str">
        <f t="shared" si="60"/>
        <v/>
      </c>
    </row>
    <row r="1355" spans="1:1" x14ac:dyDescent="0.3">
      <c r="A1355" s="26" t="str">
        <f t="shared" si="60"/>
        <v/>
      </c>
    </row>
    <row r="1356" spans="1:1" x14ac:dyDescent="0.3">
      <c r="A1356" s="26" t="str">
        <f t="shared" si="60"/>
        <v/>
      </c>
    </row>
    <row r="1357" spans="1:1" x14ac:dyDescent="0.3">
      <c r="A1357" s="26" t="str">
        <f t="shared" si="60"/>
        <v/>
      </c>
    </row>
    <row r="1358" spans="1:1" x14ac:dyDescent="0.3">
      <c r="A1358" s="26" t="str">
        <f t="shared" si="60"/>
        <v/>
      </c>
    </row>
    <row r="1359" spans="1:1" x14ac:dyDescent="0.3">
      <c r="A1359" s="26" t="str">
        <f t="shared" ref="A1359:A1422" si="61">IFERROR(IF(A1358-$D$118&gt;0,A1358-$D$118,""),"")</f>
        <v/>
      </c>
    </row>
    <row r="1360" spans="1:1" x14ac:dyDescent="0.3">
      <c r="A1360" s="26" t="str">
        <f t="shared" si="61"/>
        <v/>
      </c>
    </row>
    <row r="1361" spans="1:1" x14ac:dyDescent="0.3">
      <c r="A1361" s="26" t="str">
        <f t="shared" si="61"/>
        <v/>
      </c>
    </row>
    <row r="1362" spans="1:1" x14ac:dyDescent="0.3">
      <c r="A1362" s="26" t="str">
        <f t="shared" si="61"/>
        <v/>
      </c>
    </row>
    <row r="1363" spans="1:1" x14ac:dyDescent="0.3">
      <c r="A1363" s="26" t="str">
        <f t="shared" si="61"/>
        <v/>
      </c>
    </row>
    <row r="1364" spans="1:1" x14ac:dyDescent="0.3">
      <c r="A1364" s="26" t="str">
        <f t="shared" si="61"/>
        <v/>
      </c>
    </row>
    <row r="1365" spans="1:1" x14ac:dyDescent="0.3">
      <c r="A1365" s="26" t="str">
        <f t="shared" si="61"/>
        <v/>
      </c>
    </row>
    <row r="1366" spans="1:1" x14ac:dyDescent="0.3">
      <c r="A1366" s="26" t="str">
        <f t="shared" si="61"/>
        <v/>
      </c>
    </row>
    <row r="1367" spans="1:1" x14ac:dyDescent="0.3">
      <c r="A1367" s="26" t="str">
        <f t="shared" si="61"/>
        <v/>
      </c>
    </row>
    <row r="1368" spans="1:1" x14ac:dyDescent="0.3">
      <c r="A1368" s="26" t="str">
        <f t="shared" si="61"/>
        <v/>
      </c>
    </row>
    <row r="1369" spans="1:1" x14ac:dyDescent="0.3">
      <c r="A1369" s="26" t="str">
        <f t="shared" si="61"/>
        <v/>
      </c>
    </row>
    <row r="1370" spans="1:1" x14ac:dyDescent="0.3">
      <c r="A1370" s="26" t="str">
        <f t="shared" si="61"/>
        <v/>
      </c>
    </row>
    <row r="1371" spans="1:1" x14ac:dyDescent="0.3">
      <c r="A1371" s="26" t="str">
        <f t="shared" si="61"/>
        <v/>
      </c>
    </row>
    <row r="1372" spans="1:1" x14ac:dyDescent="0.3">
      <c r="A1372" s="26" t="str">
        <f t="shared" si="61"/>
        <v/>
      </c>
    </row>
    <row r="1373" spans="1:1" x14ac:dyDescent="0.3">
      <c r="A1373" s="26" t="str">
        <f t="shared" si="61"/>
        <v/>
      </c>
    </row>
    <row r="1374" spans="1:1" x14ac:dyDescent="0.3">
      <c r="A1374" s="26" t="str">
        <f t="shared" si="61"/>
        <v/>
      </c>
    </row>
    <row r="1375" spans="1:1" x14ac:dyDescent="0.3">
      <c r="A1375" s="26" t="str">
        <f t="shared" si="61"/>
        <v/>
      </c>
    </row>
    <row r="1376" spans="1:1" x14ac:dyDescent="0.3">
      <c r="A1376" s="26" t="str">
        <f t="shared" si="61"/>
        <v/>
      </c>
    </row>
    <row r="1377" spans="1:1" x14ac:dyDescent="0.3">
      <c r="A1377" s="26" t="str">
        <f t="shared" si="61"/>
        <v/>
      </c>
    </row>
    <row r="1378" spans="1:1" x14ac:dyDescent="0.3">
      <c r="A1378" s="26" t="str">
        <f t="shared" si="61"/>
        <v/>
      </c>
    </row>
    <row r="1379" spans="1:1" x14ac:dyDescent="0.3">
      <c r="A1379" s="26" t="str">
        <f t="shared" si="61"/>
        <v/>
      </c>
    </row>
    <row r="1380" spans="1:1" x14ac:dyDescent="0.3">
      <c r="A1380" s="26" t="str">
        <f t="shared" si="61"/>
        <v/>
      </c>
    </row>
    <row r="1381" spans="1:1" x14ac:dyDescent="0.3">
      <c r="A1381" s="26" t="str">
        <f t="shared" si="61"/>
        <v/>
      </c>
    </row>
    <row r="1382" spans="1:1" x14ac:dyDescent="0.3">
      <c r="A1382" s="26" t="str">
        <f t="shared" si="61"/>
        <v/>
      </c>
    </row>
    <row r="1383" spans="1:1" x14ac:dyDescent="0.3">
      <c r="A1383" s="26" t="str">
        <f t="shared" si="61"/>
        <v/>
      </c>
    </row>
    <row r="1384" spans="1:1" x14ac:dyDescent="0.3">
      <c r="A1384" s="26" t="str">
        <f t="shared" si="61"/>
        <v/>
      </c>
    </row>
    <row r="1385" spans="1:1" x14ac:dyDescent="0.3">
      <c r="A1385" s="26" t="str">
        <f t="shared" si="61"/>
        <v/>
      </c>
    </row>
    <row r="1386" spans="1:1" x14ac:dyDescent="0.3">
      <c r="A1386" s="26" t="str">
        <f t="shared" si="61"/>
        <v/>
      </c>
    </row>
    <row r="1387" spans="1:1" x14ac:dyDescent="0.3">
      <c r="A1387" s="26" t="str">
        <f t="shared" si="61"/>
        <v/>
      </c>
    </row>
    <row r="1388" spans="1:1" x14ac:dyDescent="0.3">
      <c r="A1388" s="26" t="str">
        <f t="shared" si="61"/>
        <v/>
      </c>
    </row>
    <row r="1389" spans="1:1" x14ac:dyDescent="0.3">
      <c r="A1389" s="26" t="str">
        <f t="shared" si="61"/>
        <v/>
      </c>
    </row>
    <row r="1390" spans="1:1" x14ac:dyDescent="0.3">
      <c r="A1390" s="26" t="str">
        <f t="shared" si="61"/>
        <v/>
      </c>
    </row>
    <row r="1391" spans="1:1" x14ac:dyDescent="0.3">
      <c r="A1391" s="26" t="str">
        <f t="shared" si="61"/>
        <v/>
      </c>
    </row>
    <row r="1392" spans="1:1" x14ac:dyDescent="0.3">
      <c r="A1392" s="26" t="str">
        <f t="shared" si="61"/>
        <v/>
      </c>
    </row>
    <row r="1393" spans="1:1" x14ac:dyDescent="0.3">
      <c r="A1393" s="26" t="str">
        <f t="shared" si="61"/>
        <v/>
      </c>
    </row>
    <row r="1394" spans="1:1" x14ac:dyDescent="0.3">
      <c r="A1394" s="26" t="str">
        <f t="shared" si="61"/>
        <v/>
      </c>
    </row>
    <row r="1395" spans="1:1" x14ac:dyDescent="0.3">
      <c r="A1395" s="26" t="str">
        <f t="shared" si="61"/>
        <v/>
      </c>
    </row>
    <row r="1396" spans="1:1" x14ac:dyDescent="0.3">
      <c r="A1396" s="26" t="str">
        <f t="shared" si="61"/>
        <v/>
      </c>
    </row>
    <row r="1397" spans="1:1" x14ac:dyDescent="0.3">
      <c r="A1397" s="26" t="str">
        <f t="shared" si="61"/>
        <v/>
      </c>
    </row>
    <row r="1398" spans="1:1" x14ac:dyDescent="0.3">
      <c r="A1398" s="26" t="str">
        <f t="shared" si="61"/>
        <v/>
      </c>
    </row>
    <row r="1399" spans="1:1" x14ac:dyDescent="0.3">
      <c r="A1399" s="26" t="str">
        <f t="shared" si="61"/>
        <v/>
      </c>
    </row>
    <row r="1400" spans="1:1" x14ac:dyDescent="0.3">
      <c r="A1400" s="26" t="str">
        <f t="shared" si="61"/>
        <v/>
      </c>
    </row>
    <row r="1401" spans="1:1" x14ac:dyDescent="0.3">
      <c r="A1401" s="26" t="str">
        <f t="shared" si="61"/>
        <v/>
      </c>
    </row>
    <row r="1402" spans="1:1" x14ac:dyDescent="0.3">
      <c r="A1402" s="26" t="str">
        <f t="shared" si="61"/>
        <v/>
      </c>
    </row>
    <row r="1403" spans="1:1" x14ac:dyDescent="0.3">
      <c r="A1403" s="26" t="str">
        <f t="shared" si="61"/>
        <v/>
      </c>
    </row>
    <row r="1404" spans="1:1" x14ac:dyDescent="0.3">
      <c r="A1404" s="26" t="str">
        <f t="shared" si="61"/>
        <v/>
      </c>
    </row>
    <row r="1405" spans="1:1" x14ac:dyDescent="0.3">
      <c r="A1405" s="26" t="str">
        <f t="shared" si="61"/>
        <v/>
      </c>
    </row>
    <row r="1406" spans="1:1" x14ac:dyDescent="0.3">
      <c r="A1406" s="26" t="str">
        <f t="shared" si="61"/>
        <v/>
      </c>
    </row>
    <row r="1407" spans="1:1" x14ac:dyDescent="0.3">
      <c r="A1407" s="26" t="str">
        <f t="shared" si="61"/>
        <v/>
      </c>
    </row>
    <row r="1408" spans="1:1" x14ac:dyDescent="0.3">
      <c r="A1408" s="26" t="str">
        <f t="shared" si="61"/>
        <v/>
      </c>
    </row>
    <row r="1409" spans="1:1" x14ac:dyDescent="0.3">
      <c r="A1409" s="26" t="str">
        <f t="shared" si="61"/>
        <v/>
      </c>
    </row>
    <row r="1410" spans="1:1" x14ac:dyDescent="0.3">
      <c r="A1410" s="26" t="str">
        <f t="shared" si="61"/>
        <v/>
      </c>
    </row>
    <row r="1411" spans="1:1" x14ac:dyDescent="0.3">
      <c r="A1411" s="26" t="str">
        <f t="shared" si="61"/>
        <v/>
      </c>
    </row>
    <row r="1412" spans="1:1" x14ac:dyDescent="0.3">
      <c r="A1412" s="26" t="str">
        <f t="shared" si="61"/>
        <v/>
      </c>
    </row>
    <row r="1413" spans="1:1" x14ac:dyDescent="0.3">
      <c r="A1413" s="26" t="str">
        <f t="shared" si="61"/>
        <v/>
      </c>
    </row>
    <row r="1414" spans="1:1" x14ac:dyDescent="0.3">
      <c r="A1414" s="26" t="str">
        <f t="shared" si="61"/>
        <v/>
      </c>
    </row>
    <row r="1415" spans="1:1" x14ac:dyDescent="0.3">
      <c r="A1415" s="26" t="str">
        <f t="shared" si="61"/>
        <v/>
      </c>
    </row>
    <row r="1416" spans="1:1" x14ac:dyDescent="0.3">
      <c r="A1416" s="26" t="str">
        <f t="shared" si="61"/>
        <v/>
      </c>
    </row>
    <row r="1417" spans="1:1" x14ac:dyDescent="0.3">
      <c r="A1417" s="26" t="str">
        <f t="shared" si="61"/>
        <v/>
      </c>
    </row>
    <row r="1418" spans="1:1" x14ac:dyDescent="0.3">
      <c r="A1418" s="26" t="str">
        <f t="shared" si="61"/>
        <v/>
      </c>
    </row>
    <row r="1419" spans="1:1" x14ac:dyDescent="0.3">
      <c r="A1419" s="26" t="str">
        <f t="shared" si="61"/>
        <v/>
      </c>
    </row>
    <row r="1420" spans="1:1" x14ac:dyDescent="0.3">
      <c r="A1420" s="26" t="str">
        <f t="shared" si="61"/>
        <v/>
      </c>
    </row>
    <row r="1421" spans="1:1" x14ac:dyDescent="0.3">
      <c r="A1421" s="26" t="str">
        <f t="shared" si="61"/>
        <v/>
      </c>
    </row>
    <row r="1422" spans="1:1" x14ac:dyDescent="0.3">
      <c r="A1422" s="26" t="str">
        <f t="shared" si="61"/>
        <v/>
      </c>
    </row>
    <row r="1423" spans="1:1" x14ac:dyDescent="0.3">
      <c r="A1423" s="26" t="str">
        <f t="shared" ref="A1423:A1486" si="62">IFERROR(IF(A1422-$D$118&gt;0,A1422-$D$118,""),"")</f>
        <v/>
      </c>
    </row>
    <row r="1424" spans="1:1" x14ac:dyDescent="0.3">
      <c r="A1424" s="26" t="str">
        <f t="shared" si="62"/>
        <v/>
      </c>
    </row>
    <row r="1425" spans="1:1" x14ac:dyDescent="0.3">
      <c r="A1425" s="26" t="str">
        <f t="shared" si="62"/>
        <v/>
      </c>
    </row>
    <row r="1426" spans="1:1" x14ac:dyDescent="0.3">
      <c r="A1426" s="26" t="str">
        <f t="shared" si="62"/>
        <v/>
      </c>
    </row>
    <row r="1427" spans="1:1" x14ac:dyDescent="0.3">
      <c r="A1427" s="26" t="str">
        <f t="shared" si="62"/>
        <v/>
      </c>
    </row>
    <row r="1428" spans="1:1" x14ac:dyDescent="0.3">
      <c r="A1428" s="26" t="str">
        <f t="shared" si="62"/>
        <v/>
      </c>
    </row>
    <row r="1429" spans="1:1" x14ac:dyDescent="0.3">
      <c r="A1429" s="26" t="str">
        <f t="shared" si="62"/>
        <v/>
      </c>
    </row>
    <row r="1430" spans="1:1" x14ac:dyDescent="0.3">
      <c r="A1430" s="26" t="str">
        <f t="shared" si="62"/>
        <v/>
      </c>
    </row>
    <row r="1431" spans="1:1" x14ac:dyDescent="0.3">
      <c r="A1431" s="26" t="str">
        <f t="shared" si="62"/>
        <v/>
      </c>
    </row>
    <row r="1432" spans="1:1" x14ac:dyDescent="0.3">
      <c r="A1432" s="26" t="str">
        <f t="shared" si="62"/>
        <v/>
      </c>
    </row>
    <row r="1433" spans="1:1" x14ac:dyDescent="0.3">
      <c r="A1433" s="26" t="str">
        <f t="shared" si="62"/>
        <v/>
      </c>
    </row>
    <row r="1434" spans="1:1" x14ac:dyDescent="0.3">
      <c r="A1434" s="26" t="str">
        <f t="shared" si="62"/>
        <v/>
      </c>
    </row>
    <row r="1435" spans="1:1" x14ac:dyDescent="0.3">
      <c r="A1435" s="26" t="str">
        <f t="shared" si="62"/>
        <v/>
      </c>
    </row>
    <row r="1436" spans="1:1" x14ac:dyDescent="0.3">
      <c r="A1436" s="26" t="str">
        <f t="shared" si="62"/>
        <v/>
      </c>
    </row>
    <row r="1437" spans="1:1" x14ac:dyDescent="0.3">
      <c r="A1437" s="26" t="str">
        <f t="shared" si="62"/>
        <v/>
      </c>
    </row>
    <row r="1438" spans="1:1" x14ac:dyDescent="0.3">
      <c r="A1438" s="26" t="str">
        <f t="shared" si="62"/>
        <v/>
      </c>
    </row>
    <row r="1439" spans="1:1" x14ac:dyDescent="0.3">
      <c r="A1439" s="26" t="str">
        <f t="shared" si="62"/>
        <v/>
      </c>
    </row>
    <row r="1440" spans="1:1" x14ac:dyDescent="0.3">
      <c r="A1440" s="26" t="str">
        <f t="shared" si="62"/>
        <v/>
      </c>
    </row>
    <row r="1441" spans="1:1" x14ac:dyDescent="0.3">
      <c r="A1441" s="26" t="str">
        <f t="shared" si="62"/>
        <v/>
      </c>
    </row>
    <row r="1442" spans="1:1" x14ac:dyDescent="0.3">
      <c r="A1442" s="26" t="str">
        <f t="shared" si="62"/>
        <v/>
      </c>
    </row>
    <row r="1443" spans="1:1" x14ac:dyDescent="0.3">
      <c r="A1443" s="26" t="str">
        <f t="shared" si="62"/>
        <v/>
      </c>
    </row>
    <row r="1444" spans="1:1" x14ac:dyDescent="0.3">
      <c r="A1444" s="26" t="str">
        <f t="shared" si="62"/>
        <v/>
      </c>
    </row>
    <row r="1445" spans="1:1" x14ac:dyDescent="0.3">
      <c r="A1445" s="26" t="str">
        <f t="shared" si="62"/>
        <v/>
      </c>
    </row>
    <row r="1446" spans="1:1" x14ac:dyDescent="0.3">
      <c r="A1446" s="26" t="str">
        <f t="shared" si="62"/>
        <v/>
      </c>
    </row>
    <row r="1447" spans="1:1" x14ac:dyDescent="0.3">
      <c r="A1447" s="26" t="str">
        <f t="shared" si="62"/>
        <v/>
      </c>
    </row>
    <row r="1448" spans="1:1" x14ac:dyDescent="0.3">
      <c r="A1448" s="26" t="str">
        <f t="shared" si="62"/>
        <v/>
      </c>
    </row>
    <row r="1449" spans="1:1" x14ac:dyDescent="0.3">
      <c r="A1449" s="26" t="str">
        <f t="shared" si="62"/>
        <v/>
      </c>
    </row>
    <row r="1450" spans="1:1" x14ac:dyDescent="0.3">
      <c r="A1450" s="26" t="str">
        <f t="shared" si="62"/>
        <v/>
      </c>
    </row>
    <row r="1451" spans="1:1" x14ac:dyDescent="0.3">
      <c r="A1451" s="26" t="str">
        <f t="shared" si="62"/>
        <v/>
      </c>
    </row>
    <row r="1452" spans="1:1" x14ac:dyDescent="0.3">
      <c r="A1452" s="26" t="str">
        <f t="shared" si="62"/>
        <v/>
      </c>
    </row>
    <row r="1453" spans="1:1" x14ac:dyDescent="0.3">
      <c r="A1453" s="26" t="str">
        <f t="shared" si="62"/>
        <v/>
      </c>
    </row>
    <row r="1454" spans="1:1" x14ac:dyDescent="0.3">
      <c r="A1454" s="26" t="str">
        <f t="shared" si="62"/>
        <v/>
      </c>
    </row>
    <row r="1455" spans="1:1" x14ac:dyDescent="0.3">
      <c r="A1455" s="26" t="str">
        <f t="shared" si="62"/>
        <v/>
      </c>
    </row>
    <row r="1456" spans="1:1" x14ac:dyDescent="0.3">
      <c r="A1456" s="26" t="str">
        <f t="shared" si="62"/>
        <v/>
      </c>
    </row>
    <row r="1457" spans="1:1" x14ac:dyDescent="0.3">
      <c r="A1457" s="26" t="str">
        <f t="shared" si="62"/>
        <v/>
      </c>
    </row>
    <row r="1458" spans="1:1" x14ac:dyDescent="0.3">
      <c r="A1458" s="26" t="str">
        <f t="shared" si="62"/>
        <v/>
      </c>
    </row>
    <row r="1459" spans="1:1" x14ac:dyDescent="0.3">
      <c r="A1459" s="26" t="str">
        <f t="shared" si="62"/>
        <v/>
      </c>
    </row>
    <row r="1460" spans="1:1" x14ac:dyDescent="0.3">
      <c r="A1460" s="26" t="str">
        <f t="shared" si="62"/>
        <v/>
      </c>
    </row>
    <row r="1461" spans="1:1" x14ac:dyDescent="0.3">
      <c r="A1461" s="26" t="str">
        <f t="shared" si="62"/>
        <v/>
      </c>
    </row>
    <row r="1462" spans="1:1" x14ac:dyDescent="0.3">
      <c r="A1462" s="26" t="str">
        <f t="shared" si="62"/>
        <v/>
      </c>
    </row>
    <row r="1463" spans="1:1" x14ac:dyDescent="0.3">
      <c r="A1463" s="26" t="str">
        <f t="shared" si="62"/>
        <v/>
      </c>
    </row>
    <row r="1464" spans="1:1" x14ac:dyDescent="0.3">
      <c r="A1464" s="26" t="str">
        <f t="shared" si="62"/>
        <v/>
      </c>
    </row>
    <row r="1465" spans="1:1" x14ac:dyDescent="0.3">
      <c r="A1465" s="26" t="str">
        <f t="shared" si="62"/>
        <v/>
      </c>
    </row>
    <row r="1466" spans="1:1" x14ac:dyDescent="0.3">
      <c r="A1466" s="26" t="str">
        <f t="shared" si="62"/>
        <v/>
      </c>
    </row>
    <row r="1467" spans="1:1" x14ac:dyDescent="0.3">
      <c r="A1467" s="26" t="str">
        <f t="shared" si="62"/>
        <v/>
      </c>
    </row>
    <row r="1468" spans="1:1" x14ac:dyDescent="0.3">
      <c r="A1468" s="26" t="str">
        <f t="shared" si="62"/>
        <v/>
      </c>
    </row>
    <row r="1469" spans="1:1" x14ac:dyDescent="0.3">
      <c r="A1469" s="26" t="str">
        <f t="shared" si="62"/>
        <v/>
      </c>
    </row>
    <row r="1470" spans="1:1" x14ac:dyDescent="0.3">
      <c r="A1470" s="26" t="str">
        <f t="shared" si="62"/>
        <v/>
      </c>
    </row>
    <row r="1471" spans="1:1" x14ac:dyDescent="0.3">
      <c r="A1471" s="26" t="str">
        <f t="shared" si="62"/>
        <v/>
      </c>
    </row>
    <row r="1472" spans="1:1" x14ac:dyDescent="0.3">
      <c r="A1472" s="26" t="str">
        <f t="shared" si="62"/>
        <v/>
      </c>
    </row>
    <row r="1473" spans="1:1" x14ac:dyDescent="0.3">
      <c r="A1473" s="26" t="str">
        <f t="shared" si="62"/>
        <v/>
      </c>
    </row>
    <row r="1474" spans="1:1" x14ac:dyDescent="0.3">
      <c r="A1474" s="26" t="str">
        <f t="shared" si="62"/>
        <v/>
      </c>
    </row>
    <row r="1475" spans="1:1" x14ac:dyDescent="0.3">
      <c r="A1475" s="26" t="str">
        <f t="shared" si="62"/>
        <v/>
      </c>
    </row>
    <row r="1476" spans="1:1" x14ac:dyDescent="0.3">
      <c r="A1476" s="26" t="str">
        <f t="shared" si="62"/>
        <v/>
      </c>
    </row>
    <row r="1477" spans="1:1" x14ac:dyDescent="0.3">
      <c r="A1477" s="26" t="str">
        <f t="shared" si="62"/>
        <v/>
      </c>
    </row>
    <row r="1478" spans="1:1" x14ac:dyDescent="0.3">
      <c r="A1478" s="26" t="str">
        <f t="shared" si="62"/>
        <v/>
      </c>
    </row>
    <row r="1479" spans="1:1" x14ac:dyDescent="0.3">
      <c r="A1479" s="26" t="str">
        <f t="shared" si="62"/>
        <v/>
      </c>
    </row>
    <row r="1480" spans="1:1" x14ac:dyDescent="0.3">
      <c r="A1480" s="26" t="str">
        <f t="shared" si="62"/>
        <v/>
      </c>
    </row>
    <row r="1481" spans="1:1" x14ac:dyDescent="0.3">
      <c r="A1481" s="26" t="str">
        <f t="shared" si="62"/>
        <v/>
      </c>
    </row>
    <row r="1482" spans="1:1" x14ac:dyDescent="0.3">
      <c r="A1482" s="26" t="str">
        <f t="shared" si="62"/>
        <v/>
      </c>
    </row>
    <row r="1483" spans="1:1" x14ac:dyDescent="0.3">
      <c r="A1483" s="26" t="str">
        <f t="shared" si="62"/>
        <v/>
      </c>
    </row>
    <row r="1484" spans="1:1" x14ac:dyDescent="0.3">
      <c r="A1484" s="26" t="str">
        <f t="shared" si="62"/>
        <v/>
      </c>
    </row>
    <row r="1485" spans="1:1" x14ac:dyDescent="0.3">
      <c r="A1485" s="26" t="str">
        <f t="shared" si="62"/>
        <v/>
      </c>
    </row>
    <row r="1486" spans="1:1" x14ac:dyDescent="0.3">
      <c r="A1486" s="26" t="str">
        <f t="shared" si="62"/>
        <v/>
      </c>
    </row>
    <row r="1487" spans="1:1" x14ac:dyDescent="0.3">
      <c r="A1487" s="26" t="str">
        <f t="shared" ref="A1487:A1550" si="63">IFERROR(IF(A1486-$D$118&gt;0,A1486-$D$118,""),"")</f>
        <v/>
      </c>
    </row>
    <row r="1488" spans="1:1" x14ac:dyDescent="0.3">
      <c r="A1488" s="26" t="str">
        <f t="shared" si="63"/>
        <v/>
      </c>
    </row>
    <row r="1489" spans="1:1" x14ac:dyDescent="0.3">
      <c r="A1489" s="26" t="str">
        <f t="shared" si="63"/>
        <v/>
      </c>
    </row>
    <row r="1490" spans="1:1" x14ac:dyDescent="0.3">
      <c r="A1490" s="26" t="str">
        <f t="shared" si="63"/>
        <v/>
      </c>
    </row>
    <row r="1491" spans="1:1" x14ac:dyDescent="0.3">
      <c r="A1491" s="26" t="str">
        <f t="shared" si="63"/>
        <v/>
      </c>
    </row>
    <row r="1492" spans="1:1" x14ac:dyDescent="0.3">
      <c r="A1492" s="26" t="str">
        <f t="shared" si="63"/>
        <v/>
      </c>
    </row>
    <row r="1493" spans="1:1" x14ac:dyDescent="0.3">
      <c r="A1493" s="26" t="str">
        <f t="shared" si="63"/>
        <v/>
      </c>
    </row>
    <row r="1494" spans="1:1" x14ac:dyDescent="0.3">
      <c r="A1494" s="26" t="str">
        <f t="shared" si="63"/>
        <v/>
      </c>
    </row>
    <row r="1495" spans="1:1" x14ac:dyDescent="0.3">
      <c r="A1495" s="26" t="str">
        <f t="shared" si="63"/>
        <v/>
      </c>
    </row>
    <row r="1496" spans="1:1" x14ac:dyDescent="0.3">
      <c r="A1496" s="26" t="str">
        <f t="shared" si="63"/>
        <v/>
      </c>
    </row>
    <row r="1497" spans="1:1" x14ac:dyDescent="0.3">
      <c r="A1497" s="26" t="str">
        <f t="shared" si="63"/>
        <v/>
      </c>
    </row>
    <row r="1498" spans="1:1" x14ac:dyDescent="0.3">
      <c r="A1498" s="26" t="str">
        <f t="shared" si="63"/>
        <v/>
      </c>
    </row>
    <row r="1499" spans="1:1" x14ac:dyDescent="0.3">
      <c r="A1499" s="26" t="str">
        <f t="shared" si="63"/>
        <v/>
      </c>
    </row>
    <row r="1500" spans="1:1" x14ac:dyDescent="0.3">
      <c r="A1500" s="26" t="str">
        <f t="shared" si="63"/>
        <v/>
      </c>
    </row>
    <row r="1501" spans="1:1" x14ac:dyDescent="0.3">
      <c r="A1501" s="26" t="str">
        <f t="shared" si="63"/>
        <v/>
      </c>
    </row>
    <row r="1502" spans="1:1" x14ac:dyDescent="0.3">
      <c r="A1502" s="26" t="str">
        <f t="shared" si="63"/>
        <v/>
      </c>
    </row>
    <row r="1503" spans="1:1" x14ac:dyDescent="0.3">
      <c r="A1503" s="26" t="str">
        <f t="shared" si="63"/>
        <v/>
      </c>
    </row>
    <row r="1504" spans="1:1" x14ac:dyDescent="0.3">
      <c r="A1504" s="26" t="str">
        <f t="shared" si="63"/>
        <v/>
      </c>
    </row>
    <row r="1505" spans="1:1" x14ac:dyDescent="0.3">
      <c r="A1505" s="26" t="str">
        <f t="shared" si="63"/>
        <v/>
      </c>
    </row>
    <row r="1506" spans="1:1" x14ac:dyDescent="0.3">
      <c r="A1506" s="26" t="str">
        <f t="shared" si="63"/>
        <v/>
      </c>
    </row>
    <row r="1507" spans="1:1" x14ac:dyDescent="0.3">
      <c r="A1507" s="26" t="str">
        <f t="shared" si="63"/>
        <v/>
      </c>
    </row>
    <row r="1508" spans="1:1" x14ac:dyDescent="0.3">
      <c r="A1508" s="26" t="str">
        <f t="shared" si="63"/>
        <v/>
      </c>
    </row>
    <row r="1509" spans="1:1" x14ac:dyDescent="0.3">
      <c r="A1509" s="26" t="str">
        <f t="shared" si="63"/>
        <v/>
      </c>
    </row>
    <row r="1510" spans="1:1" x14ac:dyDescent="0.3">
      <c r="A1510" s="26" t="str">
        <f t="shared" si="63"/>
        <v/>
      </c>
    </row>
    <row r="1511" spans="1:1" x14ac:dyDescent="0.3">
      <c r="A1511" s="26" t="str">
        <f t="shared" si="63"/>
        <v/>
      </c>
    </row>
    <row r="1512" spans="1:1" x14ac:dyDescent="0.3">
      <c r="A1512" s="26" t="str">
        <f t="shared" si="63"/>
        <v/>
      </c>
    </row>
    <row r="1513" spans="1:1" x14ac:dyDescent="0.3">
      <c r="A1513" s="26" t="str">
        <f t="shared" si="63"/>
        <v/>
      </c>
    </row>
    <row r="1514" spans="1:1" x14ac:dyDescent="0.3">
      <c r="A1514" s="26" t="str">
        <f t="shared" si="63"/>
        <v/>
      </c>
    </row>
    <row r="1515" spans="1:1" x14ac:dyDescent="0.3">
      <c r="A1515" s="26" t="str">
        <f t="shared" si="63"/>
        <v/>
      </c>
    </row>
    <row r="1516" spans="1:1" x14ac:dyDescent="0.3">
      <c r="A1516" s="26" t="str">
        <f t="shared" si="63"/>
        <v/>
      </c>
    </row>
    <row r="1517" spans="1:1" x14ac:dyDescent="0.3">
      <c r="A1517" s="26" t="str">
        <f t="shared" si="63"/>
        <v/>
      </c>
    </row>
    <row r="1518" spans="1:1" x14ac:dyDescent="0.3">
      <c r="A1518" s="26" t="str">
        <f t="shared" si="63"/>
        <v/>
      </c>
    </row>
    <row r="1519" spans="1:1" x14ac:dyDescent="0.3">
      <c r="A1519" s="26" t="str">
        <f t="shared" si="63"/>
        <v/>
      </c>
    </row>
    <row r="1520" spans="1:1" x14ac:dyDescent="0.3">
      <c r="A1520" s="26" t="str">
        <f t="shared" si="63"/>
        <v/>
      </c>
    </row>
    <row r="1521" spans="1:1" x14ac:dyDescent="0.3">
      <c r="A1521" s="26" t="str">
        <f t="shared" si="63"/>
        <v/>
      </c>
    </row>
    <row r="1522" spans="1:1" x14ac:dyDescent="0.3">
      <c r="A1522" s="26" t="str">
        <f t="shared" si="63"/>
        <v/>
      </c>
    </row>
    <row r="1523" spans="1:1" x14ac:dyDescent="0.3">
      <c r="A1523" s="26" t="str">
        <f t="shared" si="63"/>
        <v/>
      </c>
    </row>
    <row r="1524" spans="1:1" x14ac:dyDescent="0.3">
      <c r="A1524" s="26" t="str">
        <f t="shared" si="63"/>
        <v/>
      </c>
    </row>
    <row r="1525" spans="1:1" x14ac:dyDescent="0.3">
      <c r="A1525" s="26" t="str">
        <f t="shared" si="63"/>
        <v/>
      </c>
    </row>
    <row r="1526" spans="1:1" x14ac:dyDescent="0.3">
      <c r="A1526" s="26" t="str">
        <f t="shared" si="63"/>
        <v/>
      </c>
    </row>
    <row r="1527" spans="1:1" x14ac:dyDescent="0.3">
      <c r="A1527" s="26" t="str">
        <f t="shared" si="63"/>
        <v/>
      </c>
    </row>
    <row r="1528" spans="1:1" x14ac:dyDescent="0.3">
      <c r="A1528" s="26" t="str">
        <f t="shared" si="63"/>
        <v/>
      </c>
    </row>
    <row r="1529" spans="1:1" x14ac:dyDescent="0.3">
      <c r="A1529" s="26" t="str">
        <f t="shared" si="63"/>
        <v/>
      </c>
    </row>
    <row r="1530" spans="1:1" x14ac:dyDescent="0.3">
      <c r="A1530" s="26" t="str">
        <f t="shared" si="63"/>
        <v/>
      </c>
    </row>
    <row r="1531" spans="1:1" x14ac:dyDescent="0.3">
      <c r="A1531" s="26" t="str">
        <f t="shared" si="63"/>
        <v/>
      </c>
    </row>
    <row r="1532" spans="1:1" x14ac:dyDescent="0.3">
      <c r="A1532" s="26" t="str">
        <f t="shared" si="63"/>
        <v/>
      </c>
    </row>
    <row r="1533" spans="1:1" x14ac:dyDescent="0.3">
      <c r="A1533" s="26" t="str">
        <f t="shared" si="63"/>
        <v/>
      </c>
    </row>
    <row r="1534" spans="1:1" x14ac:dyDescent="0.3">
      <c r="A1534" s="26" t="str">
        <f t="shared" si="63"/>
        <v/>
      </c>
    </row>
    <row r="1535" spans="1:1" x14ac:dyDescent="0.3">
      <c r="A1535" s="26" t="str">
        <f t="shared" si="63"/>
        <v/>
      </c>
    </row>
    <row r="1536" spans="1:1" x14ac:dyDescent="0.3">
      <c r="A1536" s="26" t="str">
        <f t="shared" si="63"/>
        <v/>
      </c>
    </row>
    <row r="1537" spans="1:1" x14ac:dyDescent="0.3">
      <c r="A1537" s="26" t="str">
        <f t="shared" si="63"/>
        <v/>
      </c>
    </row>
    <row r="1538" spans="1:1" x14ac:dyDescent="0.3">
      <c r="A1538" s="26" t="str">
        <f t="shared" si="63"/>
        <v/>
      </c>
    </row>
    <row r="1539" spans="1:1" x14ac:dyDescent="0.3">
      <c r="A1539" s="26" t="str">
        <f t="shared" si="63"/>
        <v/>
      </c>
    </row>
    <row r="1540" spans="1:1" x14ac:dyDescent="0.3">
      <c r="A1540" s="26" t="str">
        <f t="shared" si="63"/>
        <v/>
      </c>
    </row>
    <row r="1541" spans="1:1" x14ac:dyDescent="0.3">
      <c r="A1541" s="26" t="str">
        <f t="shared" si="63"/>
        <v/>
      </c>
    </row>
    <row r="1542" spans="1:1" x14ac:dyDescent="0.3">
      <c r="A1542" s="26" t="str">
        <f t="shared" si="63"/>
        <v/>
      </c>
    </row>
    <row r="1543" spans="1:1" x14ac:dyDescent="0.3">
      <c r="A1543" s="26" t="str">
        <f t="shared" si="63"/>
        <v/>
      </c>
    </row>
    <row r="1544" spans="1:1" x14ac:dyDescent="0.3">
      <c r="A1544" s="26" t="str">
        <f t="shared" si="63"/>
        <v/>
      </c>
    </row>
    <row r="1545" spans="1:1" x14ac:dyDescent="0.3">
      <c r="A1545" s="26" t="str">
        <f t="shared" si="63"/>
        <v/>
      </c>
    </row>
    <row r="1546" spans="1:1" x14ac:dyDescent="0.3">
      <c r="A1546" s="26" t="str">
        <f t="shared" si="63"/>
        <v/>
      </c>
    </row>
    <row r="1547" spans="1:1" x14ac:dyDescent="0.3">
      <c r="A1547" s="26" t="str">
        <f t="shared" si="63"/>
        <v/>
      </c>
    </row>
    <row r="1548" spans="1:1" x14ac:dyDescent="0.3">
      <c r="A1548" s="26" t="str">
        <f t="shared" si="63"/>
        <v/>
      </c>
    </row>
    <row r="1549" spans="1:1" x14ac:dyDescent="0.3">
      <c r="A1549" s="26" t="str">
        <f t="shared" si="63"/>
        <v/>
      </c>
    </row>
    <row r="1550" spans="1:1" x14ac:dyDescent="0.3">
      <c r="A1550" s="26" t="str">
        <f t="shared" si="63"/>
        <v/>
      </c>
    </row>
    <row r="1551" spans="1:1" x14ac:dyDescent="0.3">
      <c r="A1551" s="26" t="str">
        <f t="shared" ref="A1551:A1614" si="64">IFERROR(IF(A1550-$D$118&gt;0,A1550-$D$118,""),"")</f>
        <v/>
      </c>
    </row>
    <row r="1552" spans="1:1" x14ac:dyDescent="0.3">
      <c r="A1552" s="26" t="str">
        <f t="shared" si="64"/>
        <v/>
      </c>
    </row>
    <row r="1553" spans="1:1" x14ac:dyDescent="0.3">
      <c r="A1553" s="26" t="str">
        <f t="shared" si="64"/>
        <v/>
      </c>
    </row>
    <row r="1554" spans="1:1" x14ac:dyDescent="0.3">
      <c r="A1554" s="26" t="str">
        <f t="shared" si="64"/>
        <v/>
      </c>
    </row>
    <row r="1555" spans="1:1" x14ac:dyDescent="0.3">
      <c r="A1555" s="26" t="str">
        <f t="shared" si="64"/>
        <v/>
      </c>
    </row>
    <row r="1556" spans="1:1" x14ac:dyDescent="0.3">
      <c r="A1556" s="26" t="str">
        <f t="shared" si="64"/>
        <v/>
      </c>
    </row>
    <row r="1557" spans="1:1" x14ac:dyDescent="0.3">
      <c r="A1557" s="26" t="str">
        <f t="shared" si="64"/>
        <v/>
      </c>
    </row>
    <row r="1558" spans="1:1" x14ac:dyDescent="0.3">
      <c r="A1558" s="26" t="str">
        <f t="shared" si="64"/>
        <v/>
      </c>
    </row>
    <row r="1559" spans="1:1" x14ac:dyDescent="0.3">
      <c r="A1559" s="26" t="str">
        <f t="shared" si="64"/>
        <v/>
      </c>
    </row>
    <row r="1560" spans="1:1" x14ac:dyDescent="0.3">
      <c r="A1560" s="26" t="str">
        <f t="shared" si="64"/>
        <v/>
      </c>
    </row>
    <row r="1561" spans="1:1" x14ac:dyDescent="0.3">
      <c r="A1561" s="26" t="str">
        <f t="shared" si="64"/>
        <v/>
      </c>
    </row>
    <row r="1562" spans="1:1" x14ac:dyDescent="0.3">
      <c r="A1562" s="26" t="str">
        <f t="shared" si="64"/>
        <v/>
      </c>
    </row>
    <row r="1563" spans="1:1" x14ac:dyDescent="0.3">
      <c r="A1563" s="26" t="str">
        <f t="shared" si="64"/>
        <v/>
      </c>
    </row>
    <row r="1564" spans="1:1" x14ac:dyDescent="0.3">
      <c r="A1564" s="26" t="str">
        <f t="shared" si="64"/>
        <v/>
      </c>
    </row>
    <row r="1565" spans="1:1" x14ac:dyDescent="0.3">
      <c r="A1565" s="26" t="str">
        <f t="shared" si="64"/>
        <v/>
      </c>
    </row>
    <row r="1566" spans="1:1" x14ac:dyDescent="0.3">
      <c r="A1566" s="26" t="str">
        <f t="shared" si="64"/>
        <v/>
      </c>
    </row>
    <row r="1567" spans="1:1" x14ac:dyDescent="0.3">
      <c r="A1567" s="26" t="str">
        <f t="shared" si="64"/>
        <v/>
      </c>
    </row>
    <row r="1568" spans="1:1" x14ac:dyDescent="0.3">
      <c r="A1568" s="26" t="str">
        <f t="shared" si="64"/>
        <v/>
      </c>
    </row>
    <row r="1569" spans="1:1" x14ac:dyDescent="0.3">
      <c r="A1569" s="26" t="str">
        <f t="shared" si="64"/>
        <v/>
      </c>
    </row>
    <row r="1570" spans="1:1" x14ac:dyDescent="0.3">
      <c r="A1570" s="26" t="str">
        <f t="shared" si="64"/>
        <v/>
      </c>
    </row>
    <row r="1571" spans="1:1" x14ac:dyDescent="0.3">
      <c r="A1571" s="26" t="str">
        <f t="shared" si="64"/>
        <v/>
      </c>
    </row>
    <row r="1572" spans="1:1" x14ac:dyDescent="0.3">
      <c r="A1572" s="26" t="str">
        <f t="shared" si="64"/>
        <v/>
      </c>
    </row>
    <row r="1573" spans="1:1" x14ac:dyDescent="0.3">
      <c r="A1573" s="26" t="str">
        <f t="shared" si="64"/>
        <v/>
      </c>
    </row>
    <row r="1574" spans="1:1" x14ac:dyDescent="0.3">
      <c r="A1574" s="26" t="str">
        <f t="shared" si="64"/>
        <v/>
      </c>
    </row>
    <row r="1575" spans="1:1" x14ac:dyDescent="0.3">
      <c r="A1575" s="26" t="str">
        <f t="shared" si="64"/>
        <v/>
      </c>
    </row>
    <row r="1576" spans="1:1" x14ac:dyDescent="0.3">
      <c r="A1576" s="26" t="str">
        <f t="shared" si="64"/>
        <v/>
      </c>
    </row>
    <row r="1577" spans="1:1" x14ac:dyDescent="0.3">
      <c r="A1577" s="26" t="str">
        <f t="shared" si="64"/>
        <v/>
      </c>
    </row>
    <row r="1578" spans="1:1" x14ac:dyDescent="0.3">
      <c r="A1578" s="26" t="str">
        <f t="shared" si="64"/>
        <v/>
      </c>
    </row>
    <row r="1579" spans="1:1" x14ac:dyDescent="0.3">
      <c r="A1579" s="26" t="str">
        <f t="shared" si="64"/>
        <v/>
      </c>
    </row>
    <row r="1580" spans="1:1" x14ac:dyDescent="0.3">
      <c r="A1580" s="26" t="str">
        <f t="shared" si="64"/>
        <v/>
      </c>
    </row>
    <row r="1581" spans="1:1" x14ac:dyDescent="0.3">
      <c r="A1581" s="26" t="str">
        <f t="shared" si="64"/>
        <v/>
      </c>
    </row>
    <row r="1582" spans="1:1" x14ac:dyDescent="0.3">
      <c r="A1582" s="26" t="str">
        <f t="shared" si="64"/>
        <v/>
      </c>
    </row>
    <row r="1583" spans="1:1" x14ac:dyDescent="0.3">
      <c r="A1583" s="26" t="str">
        <f t="shared" si="64"/>
        <v/>
      </c>
    </row>
    <row r="1584" spans="1:1" x14ac:dyDescent="0.3">
      <c r="A1584" s="26" t="str">
        <f t="shared" si="64"/>
        <v/>
      </c>
    </row>
    <row r="1585" spans="1:1" x14ac:dyDescent="0.3">
      <c r="A1585" s="26" t="str">
        <f t="shared" si="64"/>
        <v/>
      </c>
    </row>
    <row r="1586" spans="1:1" x14ac:dyDescent="0.3">
      <c r="A1586" s="26" t="str">
        <f t="shared" si="64"/>
        <v/>
      </c>
    </row>
    <row r="1587" spans="1:1" x14ac:dyDescent="0.3">
      <c r="A1587" s="26" t="str">
        <f t="shared" si="64"/>
        <v/>
      </c>
    </row>
    <row r="1588" spans="1:1" x14ac:dyDescent="0.3">
      <c r="A1588" s="26" t="str">
        <f t="shared" si="64"/>
        <v/>
      </c>
    </row>
    <row r="1589" spans="1:1" x14ac:dyDescent="0.3">
      <c r="A1589" s="26" t="str">
        <f t="shared" si="64"/>
        <v/>
      </c>
    </row>
    <row r="1590" spans="1:1" x14ac:dyDescent="0.3">
      <c r="A1590" s="26" t="str">
        <f t="shared" si="64"/>
        <v/>
      </c>
    </row>
    <row r="1591" spans="1:1" x14ac:dyDescent="0.3">
      <c r="A1591" s="26" t="str">
        <f t="shared" si="64"/>
        <v/>
      </c>
    </row>
    <row r="1592" spans="1:1" x14ac:dyDescent="0.3">
      <c r="A1592" s="26" t="str">
        <f t="shared" si="64"/>
        <v/>
      </c>
    </row>
    <row r="1593" spans="1:1" x14ac:dyDescent="0.3">
      <c r="A1593" s="26" t="str">
        <f t="shared" si="64"/>
        <v/>
      </c>
    </row>
    <row r="1594" spans="1:1" x14ac:dyDescent="0.3">
      <c r="A1594" s="26" t="str">
        <f t="shared" si="64"/>
        <v/>
      </c>
    </row>
    <row r="1595" spans="1:1" x14ac:dyDescent="0.3">
      <c r="A1595" s="26" t="str">
        <f t="shared" si="64"/>
        <v/>
      </c>
    </row>
    <row r="1596" spans="1:1" x14ac:dyDescent="0.3">
      <c r="A1596" s="26" t="str">
        <f t="shared" si="64"/>
        <v/>
      </c>
    </row>
    <row r="1597" spans="1:1" x14ac:dyDescent="0.3">
      <c r="A1597" s="26" t="str">
        <f t="shared" si="64"/>
        <v/>
      </c>
    </row>
    <row r="1598" spans="1:1" x14ac:dyDescent="0.3">
      <c r="A1598" s="26" t="str">
        <f t="shared" si="64"/>
        <v/>
      </c>
    </row>
    <row r="1599" spans="1:1" x14ac:dyDescent="0.3">
      <c r="A1599" s="26" t="str">
        <f t="shared" si="64"/>
        <v/>
      </c>
    </row>
    <row r="1600" spans="1:1" x14ac:dyDescent="0.3">
      <c r="A1600" s="26" t="str">
        <f t="shared" si="64"/>
        <v/>
      </c>
    </row>
    <row r="1601" spans="1:1" x14ac:dyDescent="0.3">
      <c r="A1601" s="26" t="str">
        <f t="shared" si="64"/>
        <v/>
      </c>
    </row>
    <row r="1602" spans="1:1" x14ac:dyDescent="0.3">
      <c r="A1602" s="26" t="str">
        <f t="shared" si="64"/>
        <v/>
      </c>
    </row>
    <row r="1603" spans="1:1" x14ac:dyDescent="0.3">
      <c r="A1603" s="26" t="str">
        <f t="shared" si="64"/>
        <v/>
      </c>
    </row>
    <row r="1604" spans="1:1" x14ac:dyDescent="0.3">
      <c r="A1604" s="26" t="str">
        <f t="shared" si="64"/>
        <v/>
      </c>
    </row>
    <row r="1605" spans="1:1" x14ac:dyDescent="0.3">
      <c r="A1605" s="26" t="str">
        <f t="shared" si="64"/>
        <v/>
      </c>
    </row>
    <row r="1606" spans="1:1" x14ac:dyDescent="0.3">
      <c r="A1606" s="26" t="str">
        <f t="shared" si="64"/>
        <v/>
      </c>
    </row>
    <row r="1607" spans="1:1" x14ac:dyDescent="0.3">
      <c r="A1607" s="26" t="str">
        <f t="shared" si="64"/>
        <v/>
      </c>
    </row>
    <row r="1608" spans="1:1" x14ac:dyDescent="0.3">
      <c r="A1608" s="26" t="str">
        <f t="shared" si="64"/>
        <v/>
      </c>
    </row>
    <row r="1609" spans="1:1" x14ac:dyDescent="0.3">
      <c r="A1609" s="26" t="str">
        <f t="shared" si="64"/>
        <v/>
      </c>
    </row>
    <row r="1610" spans="1:1" x14ac:dyDescent="0.3">
      <c r="A1610" s="26" t="str">
        <f t="shared" si="64"/>
        <v/>
      </c>
    </row>
    <row r="1611" spans="1:1" x14ac:dyDescent="0.3">
      <c r="A1611" s="26" t="str">
        <f t="shared" si="64"/>
        <v/>
      </c>
    </row>
    <row r="1612" spans="1:1" x14ac:dyDescent="0.3">
      <c r="A1612" s="26" t="str">
        <f t="shared" si="64"/>
        <v/>
      </c>
    </row>
    <row r="1613" spans="1:1" x14ac:dyDescent="0.3">
      <c r="A1613" s="26" t="str">
        <f t="shared" si="64"/>
        <v/>
      </c>
    </row>
    <row r="1614" spans="1:1" x14ac:dyDescent="0.3">
      <c r="A1614" s="26" t="str">
        <f t="shared" si="64"/>
        <v/>
      </c>
    </row>
    <row r="1615" spans="1:1" x14ac:dyDescent="0.3">
      <c r="A1615" s="26" t="str">
        <f t="shared" ref="A1615:A1678" si="65">IFERROR(IF(A1614-$D$118&gt;0,A1614-$D$118,""),"")</f>
        <v/>
      </c>
    </row>
    <row r="1616" spans="1:1" x14ac:dyDescent="0.3">
      <c r="A1616" s="26" t="str">
        <f t="shared" si="65"/>
        <v/>
      </c>
    </row>
    <row r="1617" spans="1:1" x14ac:dyDescent="0.3">
      <c r="A1617" s="26" t="str">
        <f t="shared" si="65"/>
        <v/>
      </c>
    </row>
    <row r="1618" spans="1:1" x14ac:dyDescent="0.3">
      <c r="A1618" s="26" t="str">
        <f t="shared" si="65"/>
        <v/>
      </c>
    </row>
    <row r="1619" spans="1:1" x14ac:dyDescent="0.3">
      <c r="A1619" s="26" t="str">
        <f t="shared" si="65"/>
        <v/>
      </c>
    </row>
    <row r="1620" spans="1:1" x14ac:dyDescent="0.3">
      <c r="A1620" s="26" t="str">
        <f t="shared" si="65"/>
        <v/>
      </c>
    </row>
    <row r="1621" spans="1:1" x14ac:dyDescent="0.3">
      <c r="A1621" s="26" t="str">
        <f t="shared" si="65"/>
        <v/>
      </c>
    </row>
    <row r="1622" spans="1:1" x14ac:dyDescent="0.3">
      <c r="A1622" s="26" t="str">
        <f t="shared" si="65"/>
        <v/>
      </c>
    </row>
    <row r="1623" spans="1:1" x14ac:dyDescent="0.3">
      <c r="A1623" s="26" t="str">
        <f t="shared" si="65"/>
        <v/>
      </c>
    </row>
    <row r="1624" spans="1:1" x14ac:dyDescent="0.3">
      <c r="A1624" s="26" t="str">
        <f t="shared" si="65"/>
        <v/>
      </c>
    </row>
    <row r="1625" spans="1:1" x14ac:dyDescent="0.3">
      <c r="A1625" s="26" t="str">
        <f t="shared" si="65"/>
        <v/>
      </c>
    </row>
    <row r="1626" spans="1:1" x14ac:dyDescent="0.3">
      <c r="A1626" s="26" t="str">
        <f t="shared" si="65"/>
        <v/>
      </c>
    </row>
    <row r="1627" spans="1:1" x14ac:dyDescent="0.3">
      <c r="A1627" s="26" t="str">
        <f t="shared" si="65"/>
        <v/>
      </c>
    </row>
    <row r="1628" spans="1:1" x14ac:dyDescent="0.3">
      <c r="A1628" s="26" t="str">
        <f t="shared" si="65"/>
        <v/>
      </c>
    </row>
    <row r="1629" spans="1:1" x14ac:dyDescent="0.3">
      <c r="A1629" s="26" t="str">
        <f t="shared" si="65"/>
        <v/>
      </c>
    </row>
    <row r="1630" spans="1:1" x14ac:dyDescent="0.3">
      <c r="A1630" s="26" t="str">
        <f t="shared" si="65"/>
        <v/>
      </c>
    </row>
    <row r="1631" spans="1:1" x14ac:dyDescent="0.3">
      <c r="A1631" s="26" t="str">
        <f t="shared" si="65"/>
        <v/>
      </c>
    </row>
    <row r="1632" spans="1:1" x14ac:dyDescent="0.3">
      <c r="A1632" s="26" t="str">
        <f t="shared" si="65"/>
        <v/>
      </c>
    </row>
    <row r="1633" spans="1:1" x14ac:dyDescent="0.3">
      <c r="A1633" s="26" t="str">
        <f t="shared" si="65"/>
        <v/>
      </c>
    </row>
    <row r="1634" spans="1:1" x14ac:dyDescent="0.3">
      <c r="A1634" s="26" t="str">
        <f t="shared" si="65"/>
        <v/>
      </c>
    </row>
    <row r="1635" spans="1:1" x14ac:dyDescent="0.3">
      <c r="A1635" s="26" t="str">
        <f t="shared" si="65"/>
        <v/>
      </c>
    </row>
    <row r="1636" spans="1:1" x14ac:dyDescent="0.3">
      <c r="A1636" s="26" t="str">
        <f t="shared" si="65"/>
        <v/>
      </c>
    </row>
    <row r="1637" spans="1:1" x14ac:dyDescent="0.3">
      <c r="A1637" s="26" t="str">
        <f t="shared" si="65"/>
        <v/>
      </c>
    </row>
    <row r="1638" spans="1:1" x14ac:dyDescent="0.3">
      <c r="A1638" s="26" t="str">
        <f t="shared" si="65"/>
        <v/>
      </c>
    </row>
    <row r="1639" spans="1:1" x14ac:dyDescent="0.3">
      <c r="A1639" s="26" t="str">
        <f t="shared" si="65"/>
        <v/>
      </c>
    </row>
    <row r="1640" spans="1:1" x14ac:dyDescent="0.3">
      <c r="A1640" s="26" t="str">
        <f t="shared" si="65"/>
        <v/>
      </c>
    </row>
    <row r="1641" spans="1:1" x14ac:dyDescent="0.3">
      <c r="A1641" s="26" t="str">
        <f t="shared" si="65"/>
        <v/>
      </c>
    </row>
    <row r="1642" spans="1:1" x14ac:dyDescent="0.3">
      <c r="A1642" s="26" t="str">
        <f t="shared" si="65"/>
        <v/>
      </c>
    </row>
    <row r="1643" spans="1:1" x14ac:dyDescent="0.3">
      <c r="A1643" s="26" t="str">
        <f t="shared" si="65"/>
        <v/>
      </c>
    </row>
    <row r="1644" spans="1:1" x14ac:dyDescent="0.3">
      <c r="A1644" s="26" t="str">
        <f t="shared" si="65"/>
        <v/>
      </c>
    </row>
    <row r="1645" spans="1:1" x14ac:dyDescent="0.3">
      <c r="A1645" s="26" t="str">
        <f t="shared" si="65"/>
        <v/>
      </c>
    </row>
    <row r="1646" spans="1:1" x14ac:dyDescent="0.3">
      <c r="A1646" s="26" t="str">
        <f t="shared" si="65"/>
        <v/>
      </c>
    </row>
    <row r="1647" spans="1:1" x14ac:dyDescent="0.3">
      <c r="A1647" s="26" t="str">
        <f t="shared" si="65"/>
        <v/>
      </c>
    </row>
    <row r="1648" spans="1:1" x14ac:dyDescent="0.3">
      <c r="A1648" s="26" t="str">
        <f t="shared" si="65"/>
        <v/>
      </c>
    </row>
    <row r="1649" spans="1:1" x14ac:dyDescent="0.3">
      <c r="A1649" s="26" t="str">
        <f t="shared" si="65"/>
        <v/>
      </c>
    </row>
    <row r="1650" spans="1:1" x14ac:dyDescent="0.3">
      <c r="A1650" s="26" t="str">
        <f t="shared" si="65"/>
        <v/>
      </c>
    </row>
    <row r="1651" spans="1:1" x14ac:dyDescent="0.3">
      <c r="A1651" s="26" t="str">
        <f t="shared" si="65"/>
        <v/>
      </c>
    </row>
    <row r="1652" spans="1:1" x14ac:dyDescent="0.3">
      <c r="A1652" s="26" t="str">
        <f t="shared" si="65"/>
        <v/>
      </c>
    </row>
    <row r="1653" spans="1:1" x14ac:dyDescent="0.3">
      <c r="A1653" s="26" t="str">
        <f t="shared" si="65"/>
        <v/>
      </c>
    </row>
    <row r="1654" spans="1:1" x14ac:dyDescent="0.3">
      <c r="A1654" s="26" t="str">
        <f t="shared" si="65"/>
        <v/>
      </c>
    </row>
    <row r="1655" spans="1:1" x14ac:dyDescent="0.3">
      <c r="A1655" s="26" t="str">
        <f t="shared" si="65"/>
        <v/>
      </c>
    </row>
    <row r="1656" spans="1:1" x14ac:dyDescent="0.3">
      <c r="A1656" s="26" t="str">
        <f t="shared" si="65"/>
        <v/>
      </c>
    </row>
    <row r="1657" spans="1:1" x14ac:dyDescent="0.3">
      <c r="A1657" s="26" t="str">
        <f t="shared" si="65"/>
        <v/>
      </c>
    </row>
    <row r="1658" spans="1:1" x14ac:dyDescent="0.3">
      <c r="A1658" s="26" t="str">
        <f t="shared" si="65"/>
        <v/>
      </c>
    </row>
    <row r="1659" spans="1:1" x14ac:dyDescent="0.3">
      <c r="A1659" s="26" t="str">
        <f t="shared" si="65"/>
        <v/>
      </c>
    </row>
    <row r="1660" spans="1:1" x14ac:dyDescent="0.3">
      <c r="A1660" s="26" t="str">
        <f t="shared" si="65"/>
        <v/>
      </c>
    </row>
    <row r="1661" spans="1:1" x14ac:dyDescent="0.3">
      <c r="A1661" s="26" t="str">
        <f t="shared" si="65"/>
        <v/>
      </c>
    </row>
    <row r="1662" spans="1:1" x14ac:dyDescent="0.3">
      <c r="A1662" s="26" t="str">
        <f t="shared" si="65"/>
        <v/>
      </c>
    </row>
    <row r="1663" spans="1:1" x14ac:dyDescent="0.3">
      <c r="A1663" s="26" t="str">
        <f t="shared" si="65"/>
        <v/>
      </c>
    </row>
    <row r="1664" spans="1:1" x14ac:dyDescent="0.3">
      <c r="A1664" s="26" t="str">
        <f t="shared" si="65"/>
        <v/>
      </c>
    </row>
    <row r="1665" spans="1:1" x14ac:dyDescent="0.3">
      <c r="A1665" s="26" t="str">
        <f t="shared" si="65"/>
        <v/>
      </c>
    </row>
    <row r="1666" spans="1:1" x14ac:dyDescent="0.3">
      <c r="A1666" s="26" t="str">
        <f t="shared" si="65"/>
        <v/>
      </c>
    </row>
    <row r="1667" spans="1:1" x14ac:dyDescent="0.3">
      <c r="A1667" s="26" t="str">
        <f t="shared" si="65"/>
        <v/>
      </c>
    </row>
    <row r="1668" spans="1:1" x14ac:dyDescent="0.3">
      <c r="A1668" s="26" t="str">
        <f t="shared" si="65"/>
        <v/>
      </c>
    </row>
    <row r="1669" spans="1:1" x14ac:dyDescent="0.3">
      <c r="A1669" s="26" t="str">
        <f t="shared" si="65"/>
        <v/>
      </c>
    </row>
    <row r="1670" spans="1:1" x14ac:dyDescent="0.3">
      <c r="A1670" s="26" t="str">
        <f t="shared" si="65"/>
        <v/>
      </c>
    </row>
    <row r="1671" spans="1:1" x14ac:dyDescent="0.3">
      <c r="A1671" s="26" t="str">
        <f t="shared" si="65"/>
        <v/>
      </c>
    </row>
    <row r="1672" spans="1:1" x14ac:dyDescent="0.3">
      <c r="A1672" s="26" t="str">
        <f t="shared" si="65"/>
        <v/>
      </c>
    </row>
    <row r="1673" spans="1:1" x14ac:dyDescent="0.3">
      <c r="A1673" s="26" t="str">
        <f t="shared" si="65"/>
        <v/>
      </c>
    </row>
    <row r="1674" spans="1:1" x14ac:dyDescent="0.3">
      <c r="A1674" s="26" t="str">
        <f t="shared" si="65"/>
        <v/>
      </c>
    </row>
    <row r="1675" spans="1:1" x14ac:dyDescent="0.3">
      <c r="A1675" s="26" t="str">
        <f t="shared" si="65"/>
        <v/>
      </c>
    </row>
    <row r="1676" spans="1:1" x14ac:dyDescent="0.3">
      <c r="A1676" s="26" t="str">
        <f t="shared" si="65"/>
        <v/>
      </c>
    </row>
    <row r="1677" spans="1:1" x14ac:dyDescent="0.3">
      <c r="A1677" s="26" t="str">
        <f t="shared" si="65"/>
        <v/>
      </c>
    </row>
    <row r="1678" spans="1:1" x14ac:dyDescent="0.3">
      <c r="A1678" s="26" t="str">
        <f t="shared" si="65"/>
        <v/>
      </c>
    </row>
    <row r="1679" spans="1:1" x14ac:dyDescent="0.3">
      <c r="A1679" s="26" t="str">
        <f t="shared" ref="A1679:A1742" si="66">IFERROR(IF(A1678-$D$118&gt;0,A1678-$D$118,""),"")</f>
        <v/>
      </c>
    </row>
    <row r="1680" spans="1:1" x14ac:dyDescent="0.3">
      <c r="A1680" s="26" t="str">
        <f t="shared" si="66"/>
        <v/>
      </c>
    </row>
    <row r="1681" spans="1:1" x14ac:dyDescent="0.3">
      <c r="A1681" s="26" t="str">
        <f t="shared" si="66"/>
        <v/>
      </c>
    </row>
    <row r="1682" spans="1:1" x14ac:dyDescent="0.3">
      <c r="A1682" s="26" t="str">
        <f t="shared" si="66"/>
        <v/>
      </c>
    </row>
    <row r="1683" spans="1:1" x14ac:dyDescent="0.3">
      <c r="A1683" s="26" t="str">
        <f t="shared" si="66"/>
        <v/>
      </c>
    </row>
    <row r="1684" spans="1:1" x14ac:dyDescent="0.3">
      <c r="A1684" s="26" t="str">
        <f t="shared" si="66"/>
        <v/>
      </c>
    </row>
    <row r="1685" spans="1:1" x14ac:dyDescent="0.3">
      <c r="A1685" s="26" t="str">
        <f t="shared" si="66"/>
        <v/>
      </c>
    </row>
    <row r="1686" spans="1:1" x14ac:dyDescent="0.3">
      <c r="A1686" s="26" t="str">
        <f t="shared" si="66"/>
        <v/>
      </c>
    </row>
    <row r="1687" spans="1:1" x14ac:dyDescent="0.3">
      <c r="A1687" s="26" t="str">
        <f t="shared" si="66"/>
        <v/>
      </c>
    </row>
    <row r="1688" spans="1:1" x14ac:dyDescent="0.3">
      <c r="A1688" s="26" t="str">
        <f t="shared" si="66"/>
        <v/>
      </c>
    </row>
    <row r="1689" spans="1:1" x14ac:dyDescent="0.3">
      <c r="A1689" s="26" t="str">
        <f t="shared" si="66"/>
        <v/>
      </c>
    </row>
    <row r="1690" spans="1:1" x14ac:dyDescent="0.3">
      <c r="A1690" s="26" t="str">
        <f t="shared" si="66"/>
        <v/>
      </c>
    </row>
    <row r="1691" spans="1:1" x14ac:dyDescent="0.3">
      <c r="A1691" s="26" t="str">
        <f t="shared" si="66"/>
        <v/>
      </c>
    </row>
    <row r="1692" spans="1:1" x14ac:dyDescent="0.3">
      <c r="A1692" s="26" t="str">
        <f t="shared" si="66"/>
        <v/>
      </c>
    </row>
    <row r="1693" spans="1:1" x14ac:dyDescent="0.3">
      <c r="A1693" s="26" t="str">
        <f t="shared" si="66"/>
        <v/>
      </c>
    </row>
    <row r="1694" spans="1:1" x14ac:dyDescent="0.3">
      <c r="A1694" s="26" t="str">
        <f t="shared" si="66"/>
        <v/>
      </c>
    </row>
    <row r="1695" spans="1:1" x14ac:dyDescent="0.3">
      <c r="A1695" s="26" t="str">
        <f t="shared" si="66"/>
        <v/>
      </c>
    </row>
    <row r="1696" spans="1:1" x14ac:dyDescent="0.3">
      <c r="A1696" s="26" t="str">
        <f t="shared" si="66"/>
        <v/>
      </c>
    </row>
    <row r="1697" spans="1:1" x14ac:dyDescent="0.3">
      <c r="A1697" s="26" t="str">
        <f t="shared" si="66"/>
        <v/>
      </c>
    </row>
    <row r="1698" spans="1:1" x14ac:dyDescent="0.3">
      <c r="A1698" s="26" t="str">
        <f t="shared" si="66"/>
        <v/>
      </c>
    </row>
    <row r="1699" spans="1:1" x14ac:dyDescent="0.3">
      <c r="A1699" s="26" t="str">
        <f t="shared" si="66"/>
        <v/>
      </c>
    </row>
    <row r="1700" spans="1:1" x14ac:dyDescent="0.3">
      <c r="A1700" s="26" t="str">
        <f t="shared" si="66"/>
        <v/>
      </c>
    </row>
    <row r="1701" spans="1:1" x14ac:dyDescent="0.3">
      <c r="A1701" s="26" t="str">
        <f t="shared" si="66"/>
        <v/>
      </c>
    </row>
    <row r="1702" spans="1:1" x14ac:dyDescent="0.3">
      <c r="A1702" s="26" t="str">
        <f t="shared" si="66"/>
        <v/>
      </c>
    </row>
    <row r="1703" spans="1:1" x14ac:dyDescent="0.3">
      <c r="A1703" s="26" t="str">
        <f t="shared" si="66"/>
        <v/>
      </c>
    </row>
    <row r="1704" spans="1:1" x14ac:dyDescent="0.3">
      <c r="A1704" s="26" t="str">
        <f t="shared" si="66"/>
        <v/>
      </c>
    </row>
    <row r="1705" spans="1:1" x14ac:dyDescent="0.3">
      <c r="A1705" s="26" t="str">
        <f t="shared" si="66"/>
        <v/>
      </c>
    </row>
    <row r="1706" spans="1:1" x14ac:dyDescent="0.3">
      <c r="A1706" s="26" t="str">
        <f t="shared" si="66"/>
        <v/>
      </c>
    </row>
    <row r="1707" spans="1:1" x14ac:dyDescent="0.3">
      <c r="A1707" s="26" t="str">
        <f t="shared" si="66"/>
        <v/>
      </c>
    </row>
    <row r="1708" spans="1:1" x14ac:dyDescent="0.3">
      <c r="A1708" s="26" t="str">
        <f t="shared" si="66"/>
        <v/>
      </c>
    </row>
    <row r="1709" spans="1:1" x14ac:dyDescent="0.3">
      <c r="A1709" s="26" t="str">
        <f t="shared" si="66"/>
        <v/>
      </c>
    </row>
    <row r="1710" spans="1:1" x14ac:dyDescent="0.3">
      <c r="A1710" s="26" t="str">
        <f t="shared" si="66"/>
        <v/>
      </c>
    </row>
    <row r="1711" spans="1:1" x14ac:dyDescent="0.3">
      <c r="A1711" s="26" t="str">
        <f t="shared" si="66"/>
        <v/>
      </c>
    </row>
    <row r="1712" spans="1:1" x14ac:dyDescent="0.3">
      <c r="A1712" s="26" t="str">
        <f t="shared" si="66"/>
        <v/>
      </c>
    </row>
    <row r="1713" spans="1:1" x14ac:dyDescent="0.3">
      <c r="A1713" s="26" t="str">
        <f t="shared" si="66"/>
        <v/>
      </c>
    </row>
    <row r="1714" spans="1:1" x14ac:dyDescent="0.3">
      <c r="A1714" s="26" t="str">
        <f t="shared" si="66"/>
        <v/>
      </c>
    </row>
    <row r="1715" spans="1:1" x14ac:dyDescent="0.3">
      <c r="A1715" s="26" t="str">
        <f t="shared" si="66"/>
        <v/>
      </c>
    </row>
    <row r="1716" spans="1:1" x14ac:dyDescent="0.3">
      <c r="A1716" s="26" t="str">
        <f t="shared" si="66"/>
        <v/>
      </c>
    </row>
    <row r="1717" spans="1:1" x14ac:dyDescent="0.3">
      <c r="A1717" s="26" t="str">
        <f t="shared" si="66"/>
        <v/>
      </c>
    </row>
    <row r="1718" spans="1:1" x14ac:dyDescent="0.3">
      <c r="A1718" s="26" t="str">
        <f t="shared" si="66"/>
        <v/>
      </c>
    </row>
    <row r="1719" spans="1:1" x14ac:dyDescent="0.3">
      <c r="A1719" s="26" t="str">
        <f t="shared" si="66"/>
        <v/>
      </c>
    </row>
    <row r="1720" spans="1:1" x14ac:dyDescent="0.3">
      <c r="A1720" s="26" t="str">
        <f t="shared" si="66"/>
        <v/>
      </c>
    </row>
    <row r="1721" spans="1:1" x14ac:dyDescent="0.3">
      <c r="A1721" s="26" t="str">
        <f t="shared" si="66"/>
        <v/>
      </c>
    </row>
    <row r="1722" spans="1:1" x14ac:dyDescent="0.3">
      <c r="A1722" s="26" t="str">
        <f t="shared" si="66"/>
        <v/>
      </c>
    </row>
    <row r="1723" spans="1:1" x14ac:dyDescent="0.3">
      <c r="A1723" s="26" t="str">
        <f t="shared" si="66"/>
        <v/>
      </c>
    </row>
    <row r="1724" spans="1:1" x14ac:dyDescent="0.3">
      <c r="A1724" s="26" t="str">
        <f t="shared" si="66"/>
        <v/>
      </c>
    </row>
    <row r="1725" spans="1:1" x14ac:dyDescent="0.3">
      <c r="A1725" s="26" t="str">
        <f t="shared" si="66"/>
        <v/>
      </c>
    </row>
    <row r="1726" spans="1:1" x14ac:dyDescent="0.3">
      <c r="A1726" s="26" t="str">
        <f t="shared" si="66"/>
        <v/>
      </c>
    </row>
    <row r="1727" spans="1:1" x14ac:dyDescent="0.3">
      <c r="A1727" s="26" t="str">
        <f t="shared" si="66"/>
        <v/>
      </c>
    </row>
    <row r="1728" spans="1:1" x14ac:dyDescent="0.3">
      <c r="A1728" s="26" t="str">
        <f t="shared" si="66"/>
        <v/>
      </c>
    </row>
    <row r="1729" spans="1:1" x14ac:dyDescent="0.3">
      <c r="A1729" s="26" t="str">
        <f t="shared" si="66"/>
        <v/>
      </c>
    </row>
    <row r="1730" spans="1:1" x14ac:dyDescent="0.3">
      <c r="A1730" s="26" t="str">
        <f t="shared" si="66"/>
        <v/>
      </c>
    </row>
    <row r="1731" spans="1:1" x14ac:dyDescent="0.3">
      <c r="A1731" s="26" t="str">
        <f t="shared" si="66"/>
        <v/>
      </c>
    </row>
    <row r="1732" spans="1:1" x14ac:dyDescent="0.3">
      <c r="A1732" s="26" t="str">
        <f t="shared" si="66"/>
        <v/>
      </c>
    </row>
    <row r="1733" spans="1:1" x14ac:dyDescent="0.3">
      <c r="A1733" s="26" t="str">
        <f t="shared" si="66"/>
        <v/>
      </c>
    </row>
    <row r="1734" spans="1:1" x14ac:dyDescent="0.3">
      <c r="A1734" s="26" t="str">
        <f t="shared" si="66"/>
        <v/>
      </c>
    </row>
    <row r="1735" spans="1:1" x14ac:dyDescent="0.3">
      <c r="A1735" s="26" t="str">
        <f t="shared" si="66"/>
        <v/>
      </c>
    </row>
    <row r="1736" spans="1:1" x14ac:dyDescent="0.3">
      <c r="A1736" s="26" t="str">
        <f t="shared" si="66"/>
        <v/>
      </c>
    </row>
    <row r="1737" spans="1:1" x14ac:dyDescent="0.3">
      <c r="A1737" s="26" t="str">
        <f t="shared" si="66"/>
        <v/>
      </c>
    </row>
    <row r="1738" spans="1:1" x14ac:dyDescent="0.3">
      <c r="A1738" s="26" t="str">
        <f t="shared" si="66"/>
        <v/>
      </c>
    </row>
    <row r="1739" spans="1:1" x14ac:dyDescent="0.3">
      <c r="A1739" s="26" t="str">
        <f t="shared" si="66"/>
        <v/>
      </c>
    </row>
    <row r="1740" spans="1:1" x14ac:dyDescent="0.3">
      <c r="A1740" s="26" t="str">
        <f t="shared" si="66"/>
        <v/>
      </c>
    </row>
    <row r="1741" spans="1:1" x14ac:dyDescent="0.3">
      <c r="A1741" s="26" t="str">
        <f t="shared" si="66"/>
        <v/>
      </c>
    </row>
    <row r="1742" spans="1:1" x14ac:dyDescent="0.3">
      <c r="A1742" s="26" t="str">
        <f t="shared" si="66"/>
        <v/>
      </c>
    </row>
    <row r="1743" spans="1:1" x14ac:dyDescent="0.3">
      <c r="A1743" s="26" t="str">
        <f t="shared" ref="A1743:A1806" si="67">IFERROR(IF(A1742-$D$118&gt;0,A1742-$D$118,""),"")</f>
        <v/>
      </c>
    </row>
    <row r="1744" spans="1:1" x14ac:dyDescent="0.3">
      <c r="A1744" s="26" t="str">
        <f t="shared" si="67"/>
        <v/>
      </c>
    </row>
    <row r="1745" spans="1:1" x14ac:dyDescent="0.3">
      <c r="A1745" s="26" t="str">
        <f t="shared" si="67"/>
        <v/>
      </c>
    </row>
    <row r="1746" spans="1:1" x14ac:dyDescent="0.3">
      <c r="A1746" s="26" t="str">
        <f t="shared" si="67"/>
        <v/>
      </c>
    </row>
    <row r="1747" spans="1:1" x14ac:dyDescent="0.3">
      <c r="A1747" s="26" t="str">
        <f t="shared" si="67"/>
        <v/>
      </c>
    </row>
    <row r="1748" spans="1:1" x14ac:dyDescent="0.3">
      <c r="A1748" s="26" t="str">
        <f t="shared" si="67"/>
        <v/>
      </c>
    </row>
    <row r="1749" spans="1:1" x14ac:dyDescent="0.3">
      <c r="A1749" s="26" t="str">
        <f t="shared" si="67"/>
        <v/>
      </c>
    </row>
    <row r="1750" spans="1:1" x14ac:dyDescent="0.3">
      <c r="A1750" s="26" t="str">
        <f t="shared" si="67"/>
        <v/>
      </c>
    </row>
    <row r="1751" spans="1:1" x14ac:dyDescent="0.3">
      <c r="A1751" s="26" t="str">
        <f t="shared" si="67"/>
        <v/>
      </c>
    </row>
    <row r="1752" spans="1:1" x14ac:dyDescent="0.3">
      <c r="A1752" s="26" t="str">
        <f t="shared" si="67"/>
        <v/>
      </c>
    </row>
    <row r="1753" spans="1:1" x14ac:dyDescent="0.3">
      <c r="A1753" s="26" t="str">
        <f t="shared" si="67"/>
        <v/>
      </c>
    </row>
    <row r="1754" spans="1:1" x14ac:dyDescent="0.3">
      <c r="A1754" s="26" t="str">
        <f t="shared" si="67"/>
        <v/>
      </c>
    </row>
    <row r="1755" spans="1:1" x14ac:dyDescent="0.3">
      <c r="A1755" s="26" t="str">
        <f t="shared" si="67"/>
        <v/>
      </c>
    </row>
    <row r="1756" spans="1:1" x14ac:dyDescent="0.3">
      <c r="A1756" s="26" t="str">
        <f t="shared" si="67"/>
        <v/>
      </c>
    </row>
    <row r="1757" spans="1:1" x14ac:dyDescent="0.3">
      <c r="A1757" s="26" t="str">
        <f t="shared" si="67"/>
        <v/>
      </c>
    </row>
    <row r="1758" spans="1:1" x14ac:dyDescent="0.3">
      <c r="A1758" s="26" t="str">
        <f t="shared" si="67"/>
        <v/>
      </c>
    </row>
    <row r="1759" spans="1:1" x14ac:dyDescent="0.3">
      <c r="A1759" s="26" t="str">
        <f t="shared" si="67"/>
        <v/>
      </c>
    </row>
    <row r="1760" spans="1:1" x14ac:dyDescent="0.3">
      <c r="A1760" s="26" t="str">
        <f t="shared" si="67"/>
        <v/>
      </c>
    </row>
    <row r="1761" spans="1:1" x14ac:dyDescent="0.3">
      <c r="A1761" s="26" t="str">
        <f t="shared" si="67"/>
        <v/>
      </c>
    </row>
    <row r="1762" spans="1:1" x14ac:dyDescent="0.3">
      <c r="A1762" s="26" t="str">
        <f t="shared" si="67"/>
        <v/>
      </c>
    </row>
    <row r="1763" spans="1:1" x14ac:dyDescent="0.3">
      <c r="A1763" s="26" t="str">
        <f t="shared" si="67"/>
        <v/>
      </c>
    </row>
    <row r="1764" spans="1:1" x14ac:dyDescent="0.3">
      <c r="A1764" s="26" t="str">
        <f t="shared" si="67"/>
        <v/>
      </c>
    </row>
    <row r="1765" spans="1:1" x14ac:dyDescent="0.3">
      <c r="A1765" s="26" t="str">
        <f t="shared" si="67"/>
        <v/>
      </c>
    </row>
    <row r="1766" spans="1:1" x14ac:dyDescent="0.3">
      <c r="A1766" s="26" t="str">
        <f t="shared" si="67"/>
        <v/>
      </c>
    </row>
    <row r="1767" spans="1:1" x14ac:dyDescent="0.3">
      <c r="A1767" s="26" t="str">
        <f t="shared" si="67"/>
        <v/>
      </c>
    </row>
    <row r="1768" spans="1:1" x14ac:dyDescent="0.3">
      <c r="A1768" s="26" t="str">
        <f t="shared" si="67"/>
        <v/>
      </c>
    </row>
    <row r="1769" spans="1:1" x14ac:dyDescent="0.3">
      <c r="A1769" s="26" t="str">
        <f t="shared" si="67"/>
        <v/>
      </c>
    </row>
    <row r="1770" spans="1:1" x14ac:dyDescent="0.3">
      <c r="A1770" s="26" t="str">
        <f t="shared" si="67"/>
        <v/>
      </c>
    </row>
    <row r="1771" spans="1:1" x14ac:dyDescent="0.3">
      <c r="A1771" s="26" t="str">
        <f t="shared" si="67"/>
        <v/>
      </c>
    </row>
    <row r="1772" spans="1:1" x14ac:dyDescent="0.3">
      <c r="A1772" s="26" t="str">
        <f t="shared" si="67"/>
        <v/>
      </c>
    </row>
    <row r="1773" spans="1:1" x14ac:dyDescent="0.3">
      <c r="A1773" s="26" t="str">
        <f t="shared" si="67"/>
        <v/>
      </c>
    </row>
    <row r="1774" spans="1:1" x14ac:dyDescent="0.3">
      <c r="A1774" s="26" t="str">
        <f t="shared" si="67"/>
        <v/>
      </c>
    </row>
    <row r="1775" spans="1:1" x14ac:dyDescent="0.3">
      <c r="A1775" s="26" t="str">
        <f t="shared" si="67"/>
        <v/>
      </c>
    </row>
    <row r="1776" spans="1:1" x14ac:dyDescent="0.3">
      <c r="A1776" s="26" t="str">
        <f t="shared" si="67"/>
        <v/>
      </c>
    </row>
    <row r="1777" spans="1:1" x14ac:dyDescent="0.3">
      <c r="A1777" s="26" t="str">
        <f t="shared" si="67"/>
        <v/>
      </c>
    </row>
    <row r="1778" spans="1:1" x14ac:dyDescent="0.3">
      <c r="A1778" s="26" t="str">
        <f t="shared" si="67"/>
        <v/>
      </c>
    </row>
    <row r="1779" spans="1:1" x14ac:dyDescent="0.3">
      <c r="A1779" s="26" t="str">
        <f t="shared" si="67"/>
        <v/>
      </c>
    </row>
    <row r="1780" spans="1:1" x14ac:dyDescent="0.3">
      <c r="A1780" s="26" t="str">
        <f t="shared" si="67"/>
        <v/>
      </c>
    </row>
    <row r="1781" spans="1:1" x14ac:dyDescent="0.3">
      <c r="A1781" s="26" t="str">
        <f t="shared" si="67"/>
        <v/>
      </c>
    </row>
    <row r="1782" spans="1:1" x14ac:dyDescent="0.3">
      <c r="A1782" s="26" t="str">
        <f t="shared" si="67"/>
        <v/>
      </c>
    </row>
    <row r="1783" spans="1:1" x14ac:dyDescent="0.3">
      <c r="A1783" s="26" t="str">
        <f t="shared" si="67"/>
        <v/>
      </c>
    </row>
    <row r="1784" spans="1:1" x14ac:dyDescent="0.3">
      <c r="A1784" s="26" t="str">
        <f t="shared" si="67"/>
        <v/>
      </c>
    </row>
    <row r="1785" spans="1:1" x14ac:dyDescent="0.3">
      <c r="A1785" s="26" t="str">
        <f t="shared" si="67"/>
        <v/>
      </c>
    </row>
    <row r="1786" spans="1:1" x14ac:dyDescent="0.3">
      <c r="A1786" s="26" t="str">
        <f t="shared" si="67"/>
        <v/>
      </c>
    </row>
    <row r="1787" spans="1:1" x14ac:dyDescent="0.3">
      <c r="A1787" s="26" t="str">
        <f t="shared" si="67"/>
        <v/>
      </c>
    </row>
    <row r="1788" spans="1:1" x14ac:dyDescent="0.3">
      <c r="A1788" s="26" t="str">
        <f t="shared" si="67"/>
        <v/>
      </c>
    </row>
    <row r="1789" spans="1:1" x14ac:dyDescent="0.3">
      <c r="A1789" s="26" t="str">
        <f t="shared" si="67"/>
        <v/>
      </c>
    </row>
    <row r="1790" spans="1:1" x14ac:dyDescent="0.3">
      <c r="A1790" s="26" t="str">
        <f t="shared" si="67"/>
        <v/>
      </c>
    </row>
    <row r="1791" spans="1:1" x14ac:dyDescent="0.3">
      <c r="A1791" s="26" t="str">
        <f t="shared" si="67"/>
        <v/>
      </c>
    </row>
    <row r="1792" spans="1:1" x14ac:dyDescent="0.3">
      <c r="A1792" s="26" t="str">
        <f t="shared" si="67"/>
        <v/>
      </c>
    </row>
    <row r="1793" spans="1:1" x14ac:dyDescent="0.3">
      <c r="A1793" s="26" t="str">
        <f t="shared" si="67"/>
        <v/>
      </c>
    </row>
    <row r="1794" spans="1:1" x14ac:dyDescent="0.3">
      <c r="A1794" s="26" t="str">
        <f t="shared" si="67"/>
        <v/>
      </c>
    </row>
    <row r="1795" spans="1:1" x14ac:dyDescent="0.3">
      <c r="A1795" s="26" t="str">
        <f t="shared" si="67"/>
        <v/>
      </c>
    </row>
    <row r="1796" spans="1:1" x14ac:dyDescent="0.3">
      <c r="A1796" s="26" t="str">
        <f t="shared" si="67"/>
        <v/>
      </c>
    </row>
    <row r="1797" spans="1:1" x14ac:dyDescent="0.3">
      <c r="A1797" s="26" t="str">
        <f t="shared" si="67"/>
        <v/>
      </c>
    </row>
    <row r="1798" spans="1:1" x14ac:dyDescent="0.3">
      <c r="A1798" s="26" t="str">
        <f t="shared" si="67"/>
        <v/>
      </c>
    </row>
    <row r="1799" spans="1:1" x14ac:dyDescent="0.3">
      <c r="A1799" s="26" t="str">
        <f t="shared" si="67"/>
        <v/>
      </c>
    </row>
    <row r="1800" spans="1:1" x14ac:dyDescent="0.3">
      <c r="A1800" s="26" t="str">
        <f t="shared" si="67"/>
        <v/>
      </c>
    </row>
    <row r="1801" spans="1:1" x14ac:dyDescent="0.3">
      <c r="A1801" s="26" t="str">
        <f t="shared" si="67"/>
        <v/>
      </c>
    </row>
    <row r="1802" spans="1:1" x14ac:dyDescent="0.3">
      <c r="A1802" s="26" t="str">
        <f t="shared" si="67"/>
        <v/>
      </c>
    </row>
    <row r="1803" spans="1:1" x14ac:dyDescent="0.3">
      <c r="A1803" s="26" t="str">
        <f t="shared" si="67"/>
        <v/>
      </c>
    </row>
    <row r="1804" spans="1:1" x14ac:dyDescent="0.3">
      <c r="A1804" s="26" t="str">
        <f t="shared" si="67"/>
        <v/>
      </c>
    </row>
    <row r="1805" spans="1:1" x14ac:dyDescent="0.3">
      <c r="A1805" s="26" t="str">
        <f t="shared" si="67"/>
        <v/>
      </c>
    </row>
    <row r="1806" spans="1:1" x14ac:dyDescent="0.3">
      <c r="A1806" s="26" t="str">
        <f t="shared" si="67"/>
        <v/>
      </c>
    </row>
    <row r="1807" spans="1:1" x14ac:dyDescent="0.3">
      <c r="A1807" s="26" t="str">
        <f t="shared" ref="A1807:A1870" si="68">IFERROR(IF(A1806-$D$118&gt;0,A1806-$D$118,""),"")</f>
        <v/>
      </c>
    </row>
    <row r="1808" spans="1:1" x14ac:dyDescent="0.3">
      <c r="A1808" s="26" t="str">
        <f t="shared" si="68"/>
        <v/>
      </c>
    </row>
    <row r="1809" spans="1:1" x14ac:dyDescent="0.3">
      <c r="A1809" s="26" t="str">
        <f t="shared" si="68"/>
        <v/>
      </c>
    </row>
    <row r="1810" spans="1:1" x14ac:dyDescent="0.3">
      <c r="A1810" s="26" t="str">
        <f t="shared" si="68"/>
        <v/>
      </c>
    </row>
    <row r="1811" spans="1:1" x14ac:dyDescent="0.3">
      <c r="A1811" s="26" t="str">
        <f t="shared" si="68"/>
        <v/>
      </c>
    </row>
    <row r="1812" spans="1:1" x14ac:dyDescent="0.3">
      <c r="A1812" s="26" t="str">
        <f t="shared" si="68"/>
        <v/>
      </c>
    </row>
    <row r="1813" spans="1:1" x14ac:dyDescent="0.3">
      <c r="A1813" s="26" t="str">
        <f t="shared" si="68"/>
        <v/>
      </c>
    </row>
    <row r="1814" spans="1:1" x14ac:dyDescent="0.3">
      <c r="A1814" s="26" t="str">
        <f t="shared" si="68"/>
        <v/>
      </c>
    </row>
    <row r="1815" spans="1:1" x14ac:dyDescent="0.3">
      <c r="A1815" s="26" t="str">
        <f t="shared" si="68"/>
        <v/>
      </c>
    </row>
    <row r="1816" spans="1:1" x14ac:dyDescent="0.3">
      <c r="A1816" s="26" t="str">
        <f t="shared" si="68"/>
        <v/>
      </c>
    </row>
    <row r="1817" spans="1:1" x14ac:dyDescent="0.3">
      <c r="A1817" s="26" t="str">
        <f t="shared" si="68"/>
        <v/>
      </c>
    </row>
    <row r="1818" spans="1:1" x14ac:dyDescent="0.3">
      <c r="A1818" s="26" t="str">
        <f t="shared" si="68"/>
        <v/>
      </c>
    </row>
    <row r="1819" spans="1:1" x14ac:dyDescent="0.3">
      <c r="A1819" s="26" t="str">
        <f t="shared" si="68"/>
        <v/>
      </c>
    </row>
    <row r="1820" spans="1:1" x14ac:dyDescent="0.3">
      <c r="A1820" s="26" t="str">
        <f t="shared" si="68"/>
        <v/>
      </c>
    </row>
    <row r="1821" spans="1:1" x14ac:dyDescent="0.3">
      <c r="A1821" s="26" t="str">
        <f t="shared" si="68"/>
        <v/>
      </c>
    </row>
    <row r="1822" spans="1:1" x14ac:dyDescent="0.3">
      <c r="A1822" s="26" t="str">
        <f t="shared" si="68"/>
        <v/>
      </c>
    </row>
    <row r="1823" spans="1:1" x14ac:dyDescent="0.3">
      <c r="A1823" s="26" t="str">
        <f t="shared" si="68"/>
        <v/>
      </c>
    </row>
    <row r="1824" spans="1:1" x14ac:dyDescent="0.3">
      <c r="A1824" s="26" t="str">
        <f t="shared" si="68"/>
        <v/>
      </c>
    </row>
    <row r="1825" spans="1:1" x14ac:dyDescent="0.3">
      <c r="A1825" s="26" t="str">
        <f t="shared" si="68"/>
        <v/>
      </c>
    </row>
    <row r="1826" spans="1:1" x14ac:dyDescent="0.3">
      <c r="A1826" s="26" t="str">
        <f t="shared" si="68"/>
        <v/>
      </c>
    </row>
    <row r="1827" spans="1:1" x14ac:dyDescent="0.3">
      <c r="A1827" s="26" t="str">
        <f t="shared" si="68"/>
        <v/>
      </c>
    </row>
    <row r="1828" spans="1:1" x14ac:dyDescent="0.3">
      <c r="A1828" s="26" t="str">
        <f t="shared" si="68"/>
        <v/>
      </c>
    </row>
    <row r="1829" spans="1:1" x14ac:dyDescent="0.3">
      <c r="A1829" s="26" t="str">
        <f t="shared" si="68"/>
        <v/>
      </c>
    </row>
    <row r="1830" spans="1:1" x14ac:dyDescent="0.3">
      <c r="A1830" s="26" t="str">
        <f t="shared" si="68"/>
        <v/>
      </c>
    </row>
    <row r="1831" spans="1:1" x14ac:dyDescent="0.3">
      <c r="A1831" s="26" t="str">
        <f t="shared" si="68"/>
        <v/>
      </c>
    </row>
    <row r="1832" spans="1:1" x14ac:dyDescent="0.3">
      <c r="A1832" s="26" t="str">
        <f t="shared" si="68"/>
        <v/>
      </c>
    </row>
    <row r="1833" spans="1:1" x14ac:dyDescent="0.3">
      <c r="A1833" s="26" t="str">
        <f t="shared" si="68"/>
        <v/>
      </c>
    </row>
    <row r="1834" spans="1:1" x14ac:dyDescent="0.3">
      <c r="A1834" s="26" t="str">
        <f t="shared" si="68"/>
        <v/>
      </c>
    </row>
    <row r="1835" spans="1:1" x14ac:dyDescent="0.3">
      <c r="A1835" s="26" t="str">
        <f t="shared" si="68"/>
        <v/>
      </c>
    </row>
    <row r="1836" spans="1:1" x14ac:dyDescent="0.3">
      <c r="A1836" s="26" t="str">
        <f t="shared" si="68"/>
        <v/>
      </c>
    </row>
    <row r="1837" spans="1:1" x14ac:dyDescent="0.3">
      <c r="A1837" s="26" t="str">
        <f t="shared" si="68"/>
        <v/>
      </c>
    </row>
    <row r="1838" spans="1:1" x14ac:dyDescent="0.3">
      <c r="A1838" s="26" t="str">
        <f t="shared" si="68"/>
        <v/>
      </c>
    </row>
    <row r="1839" spans="1:1" x14ac:dyDescent="0.3">
      <c r="A1839" s="26" t="str">
        <f t="shared" si="68"/>
        <v/>
      </c>
    </row>
    <row r="1840" spans="1:1" x14ac:dyDescent="0.3">
      <c r="A1840" s="26" t="str">
        <f t="shared" si="68"/>
        <v/>
      </c>
    </row>
    <row r="1841" spans="1:1" x14ac:dyDescent="0.3">
      <c r="A1841" s="26" t="str">
        <f t="shared" si="68"/>
        <v/>
      </c>
    </row>
    <row r="1842" spans="1:1" x14ac:dyDescent="0.3">
      <c r="A1842" s="26" t="str">
        <f t="shared" si="68"/>
        <v/>
      </c>
    </row>
    <row r="1843" spans="1:1" x14ac:dyDescent="0.3">
      <c r="A1843" s="26" t="str">
        <f t="shared" si="68"/>
        <v/>
      </c>
    </row>
    <row r="1844" spans="1:1" x14ac:dyDescent="0.3">
      <c r="A1844" s="26" t="str">
        <f t="shared" si="68"/>
        <v/>
      </c>
    </row>
    <row r="1845" spans="1:1" x14ac:dyDescent="0.3">
      <c r="A1845" s="26" t="str">
        <f t="shared" si="68"/>
        <v/>
      </c>
    </row>
    <row r="1846" spans="1:1" x14ac:dyDescent="0.3">
      <c r="A1846" s="26" t="str">
        <f t="shared" si="68"/>
        <v/>
      </c>
    </row>
    <row r="1847" spans="1:1" x14ac:dyDescent="0.3">
      <c r="A1847" s="26" t="str">
        <f t="shared" si="68"/>
        <v/>
      </c>
    </row>
    <row r="1848" spans="1:1" x14ac:dyDescent="0.3">
      <c r="A1848" s="26" t="str">
        <f t="shared" si="68"/>
        <v/>
      </c>
    </row>
    <row r="1849" spans="1:1" x14ac:dyDescent="0.3">
      <c r="A1849" s="26" t="str">
        <f t="shared" si="68"/>
        <v/>
      </c>
    </row>
    <row r="1850" spans="1:1" x14ac:dyDescent="0.3">
      <c r="A1850" s="26" t="str">
        <f t="shared" si="68"/>
        <v/>
      </c>
    </row>
    <row r="1851" spans="1:1" x14ac:dyDescent="0.3">
      <c r="A1851" s="26" t="str">
        <f t="shared" si="68"/>
        <v/>
      </c>
    </row>
    <row r="1852" spans="1:1" x14ac:dyDescent="0.3">
      <c r="A1852" s="26" t="str">
        <f t="shared" si="68"/>
        <v/>
      </c>
    </row>
    <row r="1853" spans="1:1" x14ac:dyDescent="0.3">
      <c r="A1853" s="26" t="str">
        <f t="shared" si="68"/>
        <v/>
      </c>
    </row>
    <row r="1854" spans="1:1" x14ac:dyDescent="0.3">
      <c r="A1854" s="26" t="str">
        <f t="shared" si="68"/>
        <v/>
      </c>
    </row>
    <row r="1855" spans="1:1" x14ac:dyDescent="0.3">
      <c r="A1855" s="26" t="str">
        <f t="shared" si="68"/>
        <v/>
      </c>
    </row>
    <row r="1856" spans="1:1" x14ac:dyDescent="0.3">
      <c r="A1856" s="26" t="str">
        <f t="shared" si="68"/>
        <v/>
      </c>
    </row>
    <row r="1857" spans="1:1" x14ac:dyDescent="0.3">
      <c r="A1857" s="26" t="str">
        <f t="shared" si="68"/>
        <v/>
      </c>
    </row>
    <row r="1858" spans="1:1" x14ac:dyDescent="0.3">
      <c r="A1858" s="26" t="str">
        <f t="shared" si="68"/>
        <v/>
      </c>
    </row>
    <row r="1859" spans="1:1" x14ac:dyDescent="0.3">
      <c r="A1859" s="26" t="str">
        <f t="shared" si="68"/>
        <v/>
      </c>
    </row>
    <row r="1860" spans="1:1" x14ac:dyDescent="0.3">
      <c r="A1860" s="26" t="str">
        <f t="shared" si="68"/>
        <v/>
      </c>
    </row>
    <row r="1861" spans="1:1" x14ac:dyDescent="0.3">
      <c r="A1861" s="26" t="str">
        <f t="shared" si="68"/>
        <v/>
      </c>
    </row>
    <row r="1862" spans="1:1" x14ac:dyDescent="0.3">
      <c r="A1862" s="26" t="str">
        <f t="shared" si="68"/>
        <v/>
      </c>
    </row>
    <row r="1863" spans="1:1" x14ac:dyDescent="0.3">
      <c r="A1863" s="26" t="str">
        <f t="shared" si="68"/>
        <v/>
      </c>
    </row>
    <row r="1864" spans="1:1" x14ac:dyDescent="0.3">
      <c r="A1864" s="26" t="str">
        <f t="shared" si="68"/>
        <v/>
      </c>
    </row>
    <row r="1865" spans="1:1" x14ac:dyDescent="0.3">
      <c r="A1865" s="26" t="str">
        <f t="shared" si="68"/>
        <v/>
      </c>
    </row>
    <row r="1866" spans="1:1" x14ac:dyDescent="0.3">
      <c r="A1866" s="26" t="str">
        <f t="shared" si="68"/>
        <v/>
      </c>
    </row>
    <row r="1867" spans="1:1" x14ac:dyDescent="0.3">
      <c r="A1867" s="26" t="str">
        <f t="shared" si="68"/>
        <v/>
      </c>
    </row>
    <row r="1868" spans="1:1" x14ac:dyDescent="0.3">
      <c r="A1868" s="26" t="str">
        <f t="shared" si="68"/>
        <v/>
      </c>
    </row>
    <row r="1869" spans="1:1" x14ac:dyDescent="0.3">
      <c r="A1869" s="26" t="str">
        <f t="shared" si="68"/>
        <v/>
      </c>
    </row>
    <row r="1870" spans="1:1" x14ac:dyDescent="0.3">
      <c r="A1870" s="26" t="str">
        <f t="shared" si="68"/>
        <v/>
      </c>
    </row>
    <row r="1871" spans="1:1" x14ac:dyDescent="0.3">
      <c r="A1871" s="26" t="str">
        <f t="shared" ref="A1871:A1934" si="69">IFERROR(IF(A1870-$D$118&gt;0,A1870-$D$118,""),"")</f>
        <v/>
      </c>
    </row>
    <row r="1872" spans="1:1" x14ac:dyDescent="0.3">
      <c r="A1872" s="26" t="str">
        <f t="shared" si="69"/>
        <v/>
      </c>
    </row>
    <row r="1873" spans="1:1" x14ac:dyDescent="0.3">
      <c r="A1873" s="26" t="str">
        <f t="shared" si="69"/>
        <v/>
      </c>
    </row>
    <row r="1874" spans="1:1" x14ac:dyDescent="0.3">
      <c r="A1874" s="26" t="str">
        <f t="shared" si="69"/>
        <v/>
      </c>
    </row>
    <row r="1875" spans="1:1" x14ac:dyDescent="0.3">
      <c r="A1875" s="26" t="str">
        <f t="shared" si="69"/>
        <v/>
      </c>
    </row>
    <row r="1876" spans="1:1" x14ac:dyDescent="0.3">
      <c r="A1876" s="26" t="str">
        <f t="shared" si="69"/>
        <v/>
      </c>
    </row>
    <row r="1877" spans="1:1" x14ac:dyDescent="0.3">
      <c r="A1877" s="26" t="str">
        <f t="shared" si="69"/>
        <v/>
      </c>
    </row>
    <row r="1878" spans="1:1" x14ac:dyDescent="0.3">
      <c r="A1878" s="26" t="str">
        <f t="shared" si="69"/>
        <v/>
      </c>
    </row>
    <row r="1879" spans="1:1" x14ac:dyDescent="0.3">
      <c r="A1879" s="26" t="str">
        <f t="shared" si="69"/>
        <v/>
      </c>
    </row>
    <row r="1880" spans="1:1" x14ac:dyDescent="0.3">
      <c r="A1880" s="26" t="str">
        <f t="shared" si="69"/>
        <v/>
      </c>
    </row>
    <row r="1881" spans="1:1" x14ac:dyDescent="0.3">
      <c r="A1881" s="26" t="str">
        <f t="shared" si="69"/>
        <v/>
      </c>
    </row>
    <row r="1882" spans="1:1" x14ac:dyDescent="0.3">
      <c r="A1882" s="26" t="str">
        <f t="shared" si="69"/>
        <v/>
      </c>
    </row>
    <row r="1883" spans="1:1" x14ac:dyDescent="0.3">
      <c r="A1883" s="26" t="str">
        <f t="shared" si="69"/>
        <v/>
      </c>
    </row>
    <row r="1884" spans="1:1" x14ac:dyDescent="0.3">
      <c r="A1884" s="26" t="str">
        <f t="shared" si="69"/>
        <v/>
      </c>
    </row>
    <row r="1885" spans="1:1" x14ac:dyDescent="0.3">
      <c r="A1885" s="26" t="str">
        <f t="shared" si="69"/>
        <v/>
      </c>
    </row>
    <row r="1886" spans="1:1" x14ac:dyDescent="0.3">
      <c r="A1886" s="26" t="str">
        <f t="shared" si="69"/>
        <v/>
      </c>
    </row>
    <row r="1887" spans="1:1" x14ac:dyDescent="0.3">
      <c r="A1887" s="26" t="str">
        <f t="shared" si="69"/>
        <v/>
      </c>
    </row>
    <row r="1888" spans="1:1" x14ac:dyDescent="0.3">
      <c r="A1888" s="26" t="str">
        <f t="shared" si="69"/>
        <v/>
      </c>
    </row>
    <row r="1889" spans="1:1" x14ac:dyDescent="0.3">
      <c r="A1889" s="26" t="str">
        <f t="shared" si="69"/>
        <v/>
      </c>
    </row>
    <row r="1890" spans="1:1" x14ac:dyDescent="0.3">
      <c r="A1890" s="26" t="str">
        <f t="shared" si="69"/>
        <v/>
      </c>
    </row>
    <row r="1891" spans="1:1" x14ac:dyDescent="0.3">
      <c r="A1891" s="26" t="str">
        <f t="shared" si="69"/>
        <v/>
      </c>
    </row>
    <row r="1892" spans="1:1" x14ac:dyDescent="0.3">
      <c r="A1892" s="26" t="str">
        <f t="shared" si="69"/>
        <v/>
      </c>
    </row>
    <row r="1893" spans="1:1" x14ac:dyDescent="0.3">
      <c r="A1893" s="26" t="str">
        <f t="shared" si="69"/>
        <v/>
      </c>
    </row>
    <row r="1894" spans="1:1" x14ac:dyDescent="0.3">
      <c r="A1894" s="26" t="str">
        <f t="shared" si="69"/>
        <v/>
      </c>
    </row>
    <row r="1895" spans="1:1" x14ac:dyDescent="0.3">
      <c r="A1895" s="26" t="str">
        <f t="shared" si="69"/>
        <v/>
      </c>
    </row>
    <row r="1896" spans="1:1" x14ac:dyDescent="0.3">
      <c r="A1896" s="26" t="str">
        <f t="shared" si="69"/>
        <v/>
      </c>
    </row>
    <row r="1897" spans="1:1" x14ac:dyDescent="0.3">
      <c r="A1897" s="26" t="str">
        <f t="shared" si="69"/>
        <v/>
      </c>
    </row>
    <row r="1898" spans="1:1" x14ac:dyDescent="0.3">
      <c r="A1898" s="26" t="str">
        <f t="shared" si="69"/>
        <v/>
      </c>
    </row>
    <row r="1899" spans="1:1" x14ac:dyDescent="0.3">
      <c r="A1899" s="26" t="str">
        <f t="shared" si="69"/>
        <v/>
      </c>
    </row>
    <row r="1900" spans="1:1" x14ac:dyDescent="0.3">
      <c r="A1900" s="26" t="str">
        <f t="shared" si="69"/>
        <v/>
      </c>
    </row>
    <row r="1901" spans="1:1" x14ac:dyDescent="0.3">
      <c r="A1901" s="26" t="str">
        <f t="shared" si="69"/>
        <v/>
      </c>
    </row>
    <row r="1902" spans="1:1" x14ac:dyDescent="0.3">
      <c r="A1902" s="26" t="str">
        <f t="shared" si="69"/>
        <v/>
      </c>
    </row>
    <row r="1903" spans="1:1" x14ac:dyDescent="0.3">
      <c r="A1903" s="26" t="str">
        <f t="shared" si="69"/>
        <v/>
      </c>
    </row>
    <row r="1904" spans="1:1" x14ac:dyDescent="0.3">
      <c r="A1904" s="26" t="str">
        <f t="shared" si="69"/>
        <v/>
      </c>
    </row>
    <row r="1905" spans="1:1" x14ac:dyDescent="0.3">
      <c r="A1905" s="26" t="str">
        <f t="shared" si="69"/>
        <v/>
      </c>
    </row>
    <row r="1906" spans="1:1" x14ac:dyDescent="0.3">
      <c r="A1906" s="26" t="str">
        <f t="shared" si="69"/>
        <v/>
      </c>
    </row>
    <row r="1907" spans="1:1" x14ac:dyDescent="0.3">
      <c r="A1907" s="26" t="str">
        <f t="shared" si="69"/>
        <v/>
      </c>
    </row>
    <row r="1908" spans="1:1" x14ac:dyDescent="0.3">
      <c r="A1908" s="26" t="str">
        <f t="shared" si="69"/>
        <v/>
      </c>
    </row>
    <row r="1909" spans="1:1" x14ac:dyDescent="0.3">
      <c r="A1909" s="26" t="str">
        <f t="shared" si="69"/>
        <v/>
      </c>
    </row>
    <row r="1910" spans="1:1" x14ac:dyDescent="0.3">
      <c r="A1910" s="26" t="str">
        <f t="shared" si="69"/>
        <v/>
      </c>
    </row>
    <row r="1911" spans="1:1" x14ac:dyDescent="0.3">
      <c r="A1911" s="26" t="str">
        <f t="shared" si="69"/>
        <v/>
      </c>
    </row>
    <row r="1912" spans="1:1" x14ac:dyDescent="0.3">
      <c r="A1912" s="26" t="str">
        <f t="shared" si="69"/>
        <v/>
      </c>
    </row>
    <row r="1913" spans="1:1" x14ac:dyDescent="0.3">
      <c r="A1913" s="26" t="str">
        <f t="shared" si="69"/>
        <v/>
      </c>
    </row>
    <row r="1914" spans="1:1" x14ac:dyDescent="0.3">
      <c r="A1914" s="26" t="str">
        <f t="shared" si="69"/>
        <v/>
      </c>
    </row>
    <row r="1915" spans="1:1" x14ac:dyDescent="0.3">
      <c r="A1915" s="26" t="str">
        <f t="shared" si="69"/>
        <v/>
      </c>
    </row>
    <row r="1916" spans="1:1" x14ac:dyDescent="0.3">
      <c r="A1916" s="26" t="str">
        <f t="shared" si="69"/>
        <v/>
      </c>
    </row>
    <row r="1917" spans="1:1" x14ac:dyDescent="0.3">
      <c r="A1917" s="26" t="str">
        <f t="shared" si="69"/>
        <v/>
      </c>
    </row>
    <row r="1918" spans="1:1" x14ac:dyDescent="0.3">
      <c r="A1918" s="26" t="str">
        <f t="shared" si="69"/>
        <v/>
      </c>
    </row>
    <row r="1919" spans="1:1" x14ac:dyDescent="0.3">
      <c r="A1919" s="26" t="str">
        <f t="shared" si="69"/>
        <v/>
      </c>
    </row>
    <row r="1920" spans="1:1" x14ac:dyDescent="0.3">
      <c r="A1920" s="26" t="str">
        <f t="shared" si="69"/>
        <v/>
      </c>
    </row>
    <row r="1921" spans="1:1" x14ac:dyDescent="0.3">
      <c r="A1921" s="26" t="str">
        <f t="shared" si="69"/>
        <v/>
      </c>
    </row>
    <row r="1922" spans="1:1" x14ac:dyDescent="0.3">
      <c r="A1922" s="26" t="str">
        <f t="shared" si="69"/>
        <v/>
      </c>
    </row>
    <row r="1923" spans="1:1" x14ac:dyDescent="0.3">
      <c r="A1923" s="26" t="str">
        <f t="shared" si="69"/>
        <v/>
      </c>
    </row>
    <row r="1924" spans="1:1" x14ac:dyDescent="0.3">
      <c r="A1924" s="26" t="str">
        <f t="shared" si="69"/>
        <v/>
      </c>
    </row>
    <row r="1925" spans="1:1" x14ac:dyDescent="0.3">
      <c r="A1925" s="26" t="str">
        <f t="shared" si="69"/>
        <v/>
      </c>
    </row>
    <row r="1926" spans="1:1" x14ac:dyDescent="0.3">
      <c r="A1926" s="26" t="str">
        <f t="shared" si="69"/>
        <v/>
      </c>
    </row>
    <row r="1927" spans="1:1" x14ac:dyDescent="0.3">
      <c r="A1927" s="26" t="str">
        <f t="shared" si="69"/>
        <v/>
      </c>
    </row>
    <row r="1928" spans="1:1" x14ac:dyDescent="0.3">
      <c r="A1928" s="26" t="str">
        <f t="shared" si="69"/>
        <v/>
      </c>
    </row>
    <row r="1929" spans="1:1" x14ac:dyDescent="0.3">
      <c r="A1929" s="26" t="str">
        <f t="shared" si="69"/>
        <v/>
      </c>
    </row>
    <row r="1930" spans="1:1" x14ac:dyDescent="0.3">
      <c r="A1930" s="26" t="str">
        <f t="shared" si="69"/>
        <v/>
      </c>
    </row>
    <row r="1931" spans="1:1" x14ac:dyDescent="0.3">
      <c r="A1931" s="26" t="str">
        <f t="shared" si="69"/>
        <v/>
      </c>
    </row>
    <row r="1932" spans="1:1" x14ac:dyDescent="0.3">
      <c r="A1932" s="26" t="str">
        <f t="shared" si="69"/>
        <v/>
      </c>
    </row>
    <row r="1933" spans="1:1" x14ac:dyDescent="0.3">
      <c r="A1933" s="26" t="str">
        <f t="shared" si="69"/>
        <v/>
      </c>
    </row>
    <row r="1934" spans="1:1" x14ac:dyDescent="0.3">
      <c r="A1934" s="26" t="str">
        <f t="shared" si="69"/>
        <v/>
      </c>
    </row>
    <row r="1935" spans="1:1" x14ac:dyDescent="0.3">
      <c r="A1935" s="26" t="str">
        <f t="shared" ref="A1935:A1998" si="70">IFERROR(IF(A1934-$D$118&gt;0,A1934-$D$118,""),"")</f>
        <v/>
      </c>
    </row>
    <row r="1936" spans="1:1" x14ac:dyDescent="0.3">
      <c r="A1936" s="26" t="str">
        <f t="shared" si="70"/>
        <v/>
      </c>
    </row>
    <row r="1937" spans="1:1" x14ac:dyDescent="0.3">
      <c r="A1937" s="26" t="str">
        <f t="shared" si="70"/>
        <v/>
      </c>
    </row>
    <row r="1938" spans="1:1" x14ac:dyDescent="0.3">
      <c r="A1938" s="26" t="str">
        <f t="shared" si="70"/>
        <v/>
      </c>
    </row>
    <row r="1939" spans="1:1" x14ac:dyDescent="0.3">
      <c r="A1939" s="26" t="str">
        <f t="shared" si="70"/>
        <v/>
      </c>
    </row>
    <row r="1940" spans="1:1" x14ac:dyDescent="0.3">
      <c r="A1940" s="26" t="str">
        <f t="shared" si="70"/>
        <v/>
      </c>
    </row>
    <row r="1941" spans="1:1" x14ac:dyDescent="0.3">
      <c r="A1941" s="26" t="str">
        <f t="shared" si="70"/>
        <v/>
      </c>
    </row>
    <row r="1942" spans="1:1" x14ac:dyDescent="0.3">
      <c r="A1942" s="26" t="str">
        <f t="shared" si="70"/>
        <v/>
      </c>
    </row>
    <row r="1943" spans="1:1" x14ac:dyDescent="0.3">
      <c r="A1943" s="26" t="str">
        <f t="shared" si="70"/>
        <v/>
      </c>
    </row>
    <row r="1944" spans="1:1" x14ac:dyDescent="0.3">
      <c r="A1944" s="26" t="str">
        <f t="shared" si="70"/>
        <v/>
      </c>
    </row>
    <row r="1945" spans="1:1" x14ac:dyDescent="0.3">
      <c r="A1945" s="26" t="str">
        <f t="shared" si="70"/>
        <v/>
      </c>
    </row>
    <row r="1946" spans="1:1" x14ac:dyDescent="0.3">
      <c r="A1946" s="26" t="str">
        <f t="shared" si="70"/>
        <v/>
      </c>
    </row>
    <row r="1947" spans="1:1" x14ac:dyDescent="0.3">
      <c r="A1947" s="26" t="str">
        <f t="shared" si="70"/>
        <v/>
      </c>
    </row>
    <row r="1948" spans="1:1" x14ac:dyDescent="0.3">
      <c r="A1948" s="26" t="str">
        <f t="shared" si="70"/>
        <v/>
      </c>
    </row>
    <row r="1949" spans="1:1" x14ac:dyDescent="0.3">
      <c r="A1949" s="26" t="str">
        <f t="shared" si="70"/>
        <v/>
      </c>
    </row>
    <row r="1950" spans="1:1" x14ac:dyDescent="0.3">
      <c r="A1950" s="26" t="str">
        <f t="shared" si="70"/>
        <v/>
      </c>
    </row>
    <row r="1951" spans="1:1" x14ac:dyDescent="0.3">
      <c r="A1951" s="26" t="str">
        <f t="shared" si="70"/>
        <v/>
      </c>
    </row>
    <row r="1952" spans="1:1" x14ac:dyDescent="0.3">
      <c r="A1952" s="26" t="str">
        <f t="shared" si="70"/>
        <v/>
      </c>
    </row>
    <row r="1953" spans="1:1" x14ac:dyDescent="0.3">
      <c r="A1953" s="26" t="str">
        <f t="shared" si="70"/>
        <v/>
      </c>
    </row>
    <row r="1954" spans="1:1" x14ac:dyDescent="0.3">
      <c r="A1954" s="26" t="str">
        <f t="shared" si="70"/>
        <v/>
      </c>
    </row>
    <row r="1955" spans="1:1" x14ac:dyDescent="0.3">
      <c r="A1955" s="26" t="str">
        <f t="shared" si="70"/>
        <v/>
      </c>
    </row>
    <row r="1956" spans="1:1" x14ac:dyDescent="0.3">
      <c r="A1956" s="26" t="str">
        <f t="shared" si="70"/>
        <v/>
      </c>
    </row>
    <row r="1957" spans="1:1" x14ac:dyDescent="0.3">
      <c r="A1957" s="26" t="str">
        <f t="shared" si="70"/>
        <v/>
      </c>
    </row>
    <row r="1958" spans="1:1" x14ac:dyDescent="0.3">
      <c r="A1958" s="26" t="str">
        <f t="shared" si="70"/>
        <v/>
      </c>
    </row>
    <row r="1959" spans="1:1" x14ac:dyDescent="0.3">
      <c r="A1959" s="26" t="str">
        <f t="shared" si="70"/>
        <v/>
      </c>
    </row>
    <row r="1960" spans="1:1" x14ac:dyDescent="0.3">
      <c r="A1960" s="26" t="str">
        <f t="shared" si="70"/>
        <v/>
      </c>
    </row>
    <row r="1961" spans="1:1" x14ac:dyDescent="0.3">
      <c r="A1961" s="26" t="str">
        <f t="shared" si="70"/>
        <v/>
      </c>
    </row>
    <row r="1962" spans="1:1" x14ac:dyDescent="0.3">
      <c r="A1962" s="26" t="str">
        <f t="shared" si="70"/>
        <v/>
      </c>
    </row>
    <row r="1963" spans="1:1" x14ac:dyDescent="0.3">
      <c r="A1963" s="26" t="str">
        <f t="shared" si="70"/>
        <v/>
      </c>
    </row>
    <row r="1964" spans="1:1" x14ac:dyDescent="0.3">
      <c r="A1964" s="26" t="str">
        <f t="shared" si="70"/>
        <v/>
      </c>
    </row>
    <row r="1965" spans="1:1" x14ac:dyDescent="0.3">
      <c r="A1965" s="26" t="str">
        <f t="shared" si="70"/>
        <v/>
      </c>
    </row>
    <row r="1966" spans="1:1" x14ac:dyDescent="0.3">
      <c r="A1966" s="26" t="str">
        <f t="shared" si="70"/>
        <v/>
      </c>
    </row>
    <row r="1967" spans="1:1" x14ac:dyDescent="0.3">
      <c r="A1967" s="26" t="str">
        <f t="shared" si="70"/>
        <v/>
      </c>
    </row>
    <row r="1968" spans="1:1" x14ac:dyDescent="0.3">
      <c r="A1968" s="26" t="str">
        <f t="shared" si="70"/>
        <v/>
      </c>
    </row>
    <row r="1969" spans="1:1" x14ac:dyDescent="0.3">
      <c r="A1969" s="26" t="str">
        <f t="shared" si="70"/>
        <v/>
      </c>
    </row>
    <row r="1970" spans="1:1" x14ac:dyDescent="0.3">
      <c r="A1970" s="26" t="str">
        <f t="shared" si="70"/>
        <v/>
      </c>
    </row>
    <row r="1971" spans="1:1" x14ac:dyDescent="0.3">
      <c r="A1971" s="26" t="str">
        <f t="shared" si="70"/>
        <v/>
      </c>
    </row>
    <row r="1972" spans="1:1" x14ac:dyDescent="0.3">
      <c r="A1972" s="26" t="str">
        <f t="shared" si="70"/>
        <v/>
      </c>
    </row>
    <row r="1973" spans="1:1" x14ac:dyDescent="0.3">
      <c r="A1973" s="26" t="str">
        <f t="shared" si="70"/>
        <v/>
      </c>
    </row>
    <row r="1974" spans="1:1" x14ac:dyDescent="0.3">
      <c r="A1974" s="26" t="str">
        <f t="shared" si="70"/>
        <v/>
      </c>
    </row>
    <row r="1975" spans="1:1" x14ac:dyDescent="0.3">
      <c r="A1975" s="26" t="str">
        <f t="shared" si="70"/>
        <v/>
      </c>
    </row>
    <row r="1976" spans="1:1" x14ac:dyDescent="0.3">
      <c r="A1976" s="26" t="str">
        <f t="shared" si="70"/>
        <v/>
      </c>
    </row>
    <row r="1977" spans="1:1" x14ac:dyDescent="0.3">
      <c r="A1977" s="26" t="str">
        <f t="shared" si="70"/>
        <v/>
      </c>
    </row>
    <row r="1978" spans="1:1" x14ac:dyDescent="0.3">
      <c r="A1978" s="26" t="str">
        <f t="shared" si="70"/>
        <v/>
      </c>
    </row>
    <row r="1979" spans="1:1" x14ac:dyDescent="0.3">
      <c r="A1979" s="26" t="str">
        <f t="shared" si="70"/>
        <v/>
      </c>
    </row>
    <row r="1980" spans="1:1" x14ac:dyDescent="0.3">
      <c r="A1980" s="26" t="str">
        <f t="shared" si="70"/>
        <v/>
      </c>
    </row>
    <row r="1981" spans="1:1" x14ac:dyDescent="0.3">
      <c r="A1981" s="26" t="str">
        <f t="shared" si="70"/>
        <v/>
      </c>
    </row>
    <row r="1982" spans="1:1" x14ac:dyDescent="0.3">
      <c r="A1982" s="26" t="str">
        <f t="shared" si="70"/>
        <v/>
      </c>
    </row>
    <row r="1983" spans="1:1" x14ac:dyDescent="0.3">
      <c r="A1983" s="26" t="str">
        <f t="shared" si="70"/>
        <v/>
      </c>
    </row>
    <row r="1984" spans="1:1" x14ac:dyDescent="0.3">
      <c r="A1984" s="26" t="str">
        <f t="shared" si="70"/>
        <v/>
      </c>
    </row>
    <row r="1985" spans="1:1" x14ac:dyDescent="0.3">
      <c r="A1985" s="26" t="str">
        <f t="shared" si="70"/>
        <v/>
      </c>
    </row>
    <row r="1986" spans="1:1" x14ac:dyDescent="0.3">
      <c r="A1986" s="26" t="str">
        <f t="shared" si="70"/>
        <v/>
      </c>
    </row>
    <row r="1987" spans="1:1" x14ac:dyDescent="0.3">
      <c r="A1987" s="26" t="str">
        <f t="shared" si="70"/>
        <v/>
      </c>
    </row>
    <row r="1988" spans="1:1" x14ac:dyDescent="0.3">
      <c r="A1988" s="26" t="str">
        <f t="shared" si="70"/>
        <v/>
      </c>
    </row>
    <row r="1989" spans="1:1" x14ac:dyDescent="0.3">
      <c r="A1989" s="26" t="str">
        <f t="shared" si="70"/>
        <v/>
      </c>
    </row>
    <row r="1990" spans="1:1" x14ac:dyDescent="0.3">
      <c r="A1990" s="26" t="str">
        <f t="shared" si="70"/>
        <v/>
      </c>
    </row>
    <row r="1991" spans="1:1" x14ac:dyDescent="0.3">
      <c r="A1991" s="26" t="str">
        <f t="shared" si="70"/>
        <v/>
      </c>
    </row>
    <row r="1992" spans="1:1" x14ac:dyDescent="0.3">
      <c r="A1992" s="26" t="str">
        <f t="shared" si="70"/>
        <v/>
      </c>
    </row>
    <row r="1993" spans="1:1" x14ac:dyDescent="0.3">
      <c r="A1993" s="26" t="str">
        <f t="shared" si="70"/>
        <v/>
      </c>
    </row>
    <row r="1994" spans="1:1" x14ac:dyDescent="0.3">
      <c r="A1994" s="26" t="str">
        <f t="shared" si="70"/>
        <v/>
      </c>
    </row>
    <row r="1995" spans="1:1" x14ac:dyDescent="0.3">
      <c r="A1995" s="26" t="str">
        <f t="shared" si="70"/>
        <v/>
      </c>
    </row>
    <row r="1996" spans="1:1" x14ac:dyDescent="0.3">
      <c r="A1996" s="26" t="str">
        <f t="shared" si="70"/>
        <v/>
      </c>
    </row>
    <row r="1997" spans="1:1" x14ac:dyDescent="0.3">
      <c r="A1997" s="26" t="str">
        <f t="shared" si="70"/>
        <v/>
      </c>
    </row>
    <row r="1998" spans="1:1" x14ac:dyDescent="0.3">
      <c r="A1998" s="26" t="str">
        <f t="shared" si="70"/>
        <v/>
      </c>
    </row>
    <row r="1999" spans="1:1" x14ac:dyDescent="0.3">
      <c r="A1999" s="26" t="str">
        <f t="shared" ref="A1999:A2062" si="71">IFERROR(IF(A1998-$D$118&gt;0,A1998-$D$118,""),"")</f>
        <v/>
      </c>
    </row>
    <row r="2000" spans="1:1" x14ac:dyDescent="0.3">
      <c r="A2000" s="26" t="str">
        <f t="shared" si="71"/>
        <v/>
      </c>
    </row>
    <row r="2001" spans="1:1" x14ac:dyDescent="0.3">
      <c r="A2001" s="26" t="str">
        <f t="shared" si="71"/>
        <v/>
      </c>
    </row>
    <row r="2002" spans="1:1" x14ac:dyDescent="0.3">
      <c r="A2002" s="26" t="str">
        <f t="shared" si="71"/>
        <v/>
      </c>
    </row>
    <row r="2003" spans="1:1" x14ac:dyDescent="0.3">
      <c r="A2003" s="26" t="str">
        <f t="shared" si="71"/>
        <v/>
      </c>
    </row>
    <row r="2004" spans="1:1" x14ac:dyDescent="0.3">
      <c r="A2004" s="26" t="str">
        <f t="shared" si="71"/>
        <v/>
      </c>
    </row>
    <row r="2005" spans="1:1" x14ac:dyDescent="0.3">
      <c r="A2005" s="26" t="str">
        <f t="shared" si="71"/>
        <v/>
      </c>
    </row>
    <row r="2006" spans="1:1" x14ac:dyDescent="0.3">
      <c r="A2006" s="26" t="str">
        <f t="shared" si="71"/>
        <v/>
      </c>
    </row>
    <row r="2007" spans="1:1" x14ac:dyDescent="0.3">
      <c r="A2007" s="26" t="str">
        <f t="shared" si="71"/>
        <v/>
      </c>
    </row>
    <row r="2008" spans="1:1" x14ac:dyDescent="0.3">
      <c r="A2008" s="26" t="str">
        <f t="shared" si="71"/>
        <v/>
      </c>
    </row>
    <row r="2009" spans="1:1" x14ac:dyDescent="0.3">
      <c r="A2009" s="26" t="str">
        <f t="shared" si="71"/>
        <v/>
      </c>
    </row>
    <row r="2010" spans="1:1" x14ac:dyDescent="0.3">
      <c r="A2010" s="26" t="str">
        <f t="shared" si="71"/>
        <v/>
      </c>
    </row>
    <row r="2011" spans="1:1" x14ac:dyDescent="0.3">
      <c r="A2011" s="26" t="str">
        <f t="shared" si="71"/>
        <v/>
      </c>
    </row>
    <row r="2012" spans="1:1" x14ac:dyDescent="0.3">
      <c r="A2012" s="26" t="str">
        <f t="shared" si="71"/>
        <v/>
      </c>
    </row>
    <row r="2013" spans="1:1" x14ac:dyDescent="0.3">
      <c r="A2013" s="26" t="str">
        <f t="shared" si="71"/>
        <v/>
      </c>
    </row>
    <row r="2014" spans="1:1" x14ac:dyDescent="0.3">
      <c r="A2014" s="26" t="str">
        <f t="shared" si="71"/>
        <v/>
      </c>
    </row>
    <row r="2015" spans="1:1" x14ac:dyDescent="0.3">
      <c r="A2015" s="26" t="str">
        <f t="shared" si="71"/>
        <v/>
      </c>
    </row>
    <row r="2016" spans="1:1" x14ac:dyDescent="0.3">
      <c r="A2016" s="26" t="str">
        <f t="shared" si="71"/>
        <v/>
      </c>
    </row>
    <row r="2017" spans="1:1" x14ac:dyDescent="0.3">
      <c r="A2017" s="26" t="str">
        <f t="shared" si="71"/>
        <v/>
      </c>
    </row>
    <row r="2018" spans="1:1" x14ac:dyDescent="0.3">
      <c r="A2018" s="26" t="str">
        <f t="shared" si="71"/>
        <v/>
      </c>
    </row>
    <row r="2019" spans="1:1" x14ac:dyDescent="0.3">
      <c r="A2019" s="26" t="str">
        <f t="shared" si="71"/>
        <v/>
      </c>
    </row>
    <row r="2020" spans="1:1" x14ac:dyDescent="0.3">
      <c r="A2020" s="26" t="str">
        <f t="shared" si="71"/>
        <v/>
      </c>
    </row>
    <row r="2021" spans="1:1" x14ac:dyDescent="0.3">
      <c r="A2021" s="26" t="str">
        <f t="shared" si="71"/>
        <v/>
      </c>
    </row>
    <row r="2022" spans="1:1" x14ac:dyDescent="0.3">
      <c r="A2022" s="26" t="str">
        <f t="shared" si="71"/>
        <v/>
      </c>
    </row>
    <row r="2023" spans="1:1" x14ac:dyDescent="0.3">
      <c r="A2023" s="26" t="str">
        <f t="shared" si="71"/>
        <v/>
      </c>
    </row>
    <row r="2024" spans="1:1" x14ac:dyDescent="0.3">
      <c r="A2024" s="26" t="str">
        <f t="shared" si="71"/>
        <v/>
      </c>
    </row>
    <row r="2025" spans="1:1" x14ac:dyDescent="0.3">
      <c r="A2025" s="26" t="str">
        <f t="shared" si="71"/>
        <v/>
      </c>
    </row>
    <row r="2026" spans="1:1" x14ac:dyDescent="0.3">
      <c r="A2026" s="26" t="str">
        <f t="shared" si="71"/>
        <v/>
      </c>
    </row>
    <row r="2027" spans="1:1" x14ac:dyDescent="0.3">
      <c r="A2027" s="26" t="str">
        <f t="shared" si="71"/>
        <v/>
      </c>
    </row>
    <row r="2028" spans="1:1" x14ac:dyDescent="0.3">
      <c r="A2028" s="26" t="str">
        <f t="shared" si="71"/>
        <v/>
      </c>
    </row>
    <row r="2029" spans="1:1" x14ac:dyDescent="0.3">
      <c r="A2029" s="26" t="str">
        <f t="shared" si="71"/>
        <v/>
      </c>
    </row>
    <row r="2030" spans="1:1" x14ac:dyDescent="0.3">
      <c r="A2030" s="26" t="str">
        <f t="shared" si="71"/>
        <v/>
      </c>
    </row>
    <row r="2031" spans="1:1" x14ac:dyDescent="0.3">
      <c r="A2031" s="26" t="str">
        <f t="shared" si="71"/>
        <v/>
      </c>
    </row>
    <row r="2032" spans="1:1" x14ac:dyDescent="0.3">
      <c r="A2032" s="26" t="str">
        <f t="shared" si="71"/>
        <v/>
      </c>
    </row>
    <row r="2033" spans="1:1" x14ac:dyDescent="0.3">
      <c r="A2033" s="26" t="str">
        <f t="shared" si="71"/>
        <v/>
      </c>
    </row>
    <row r="2034" spans="1:1" x14ac:dyDescent="0.3">
      <c r="A2034" s="26" t="str">
        <f t="shared" si="71"/>
        <v/>
      </c>
    </row>
    <row r="2035" spans="1:1" x14ac:dyDescent="0.3">
      <c r="A2035" s="26" t="str">
        <f t="shared" si="71"/>
        <v/>
      </c>
    </row>
    <row r="2036" spans="1:1" x14ac:dyDescent="0.3">
      <c r="A2036" s="26" t="str">
        <f t="shared" si="71"/>
        <v/>
      </c>
    </row>
    <row r="2037" spans="1:1" x14ac:dyDescent="0.3">
      <c r="A2037" s="26" t="str">
        <f t="shared" si="71"/>
        <v/>
      </c>
    </row>
    <row r="2038" spans="1:1" x14ac:dyDescent="0.3">
      <c r="A2038" s="26" t="str">
        <f t="shared" si="71"/>
        <v/>
      </c>
    </row>
    <row r="2039" spans="1:1" x14ac:dyDescent="0.3">
      <c r="A2039" s="26" t="str">
        <f t="shared" si="71"/>
        <v/>
      </c>
    </row>
    <row r="2040" spans="1:1" x14ac:dyDescent="0.3">
      <c r="A2040" s="26" t="str">
        <f t="shared" si="71"/>
        <v/>
      </c>
    </row>
    <row r="2041" spans="1:1" x14ac:dyDescent="0.3">
      <c r="A2041" s="26" t="str">
        <f t="shared" si="71"/>
        <v/>
      </c>
    </row>
    <row r="2042" spans="1:1" x14ac:dyDescent="0.3">
      <c r="A2042" s="26" t="str">
        <f t="shared" si="71"/>
        <v/>
      </c>
    </row>
    <row r="2043" spans="1:1" x14ac:dyDescent="0.3">
      <c r="A2043" s="26" t="str">
        <f t="shared" si="71"/>
        <v/>
      </c>
    </row>
    <row r="2044" spans="1:1" x14ac:dyDescent="0.3">
      <c r="A2044" s="26" t="str">
        <f t="shared" si="71"/>
        <v/>
      </c>
    </row>
    <row r="2045" spans="1:1" x14ac:dyDescent="0.3">
      <c r="A2045" s="26" t="str">
        <f t="shared" si="71"/>
        <v/>
      </c>
    </row>
    <row r="2046" spans="1:1" x14ac:dyDescent="0.3">
      <c r="A2046" s="26" t="str">
        <f t="shared" si="71"/>
        <v/>
      </c>
    </row>
    <row r="2047" spans="1:1" x14ac:dyDescent="0.3">
      <c r="A2047" s="26" t="str">
        <f t="shared" si="71"/>
        <v/>
      </c>
    </row>
    <row r="2048" spans="1:1" x14ac:dyDescent="0.3">
      <c r="A2048" s="26" t="str">
        <f t="shared" si="71"/>
        <v/>
      </c>
    </row>
    <row r="2049" spans="1:1" x14ac:dyDescent="0.3">
      <c r="A2049" s="26" t="str">
        <f t="shared" si="71"/>
        <v/>
      </c>
    </row>
    <row r="2050" spans="1:1" x14ac:dyDescent="0.3">
      <c r="A2050" s="26" t="str">
        <f t="shared" si="71"/>
        <v/>
      </c>
    </row>
    <row r="2051" spans="1:1" x14ac:dyDescent="0.3">
      <c r="A2051" s="26" t="str">
        <f t="shared" si="71"/>
        <v/>
      </c>
    </row>
    <row r="2052" spans="1:1" x14ac:dyDescent="0.3">
      <c r="A2052" s="26" t="str">
        <f t="shared" si="71"/>
        <v/>
      </c>
    </row>
    <row r="2053" spans="1:1" x14ac:dyDescent="0.3">
      <c r="A2053" s="26" t="str">
        <f t="shared" si="71"/>
        <v/>
      </c>
    </row>
    <row r="2054" spans="1:1" x14ac:dyDescent="0.3">
      <c r="A2054" s="26" t="str">
        <f t="shared" si="71"/>
        <v/>
      </c>
    </row>
    <row r="2055" spans="1:1" x14ac:dyDescent="0.3">
      <c r="A2055" s="26" t="str">
        <f t="shared" si="71"/>
        <v/>
      </c>
    </row>
    <row r="2056" spans="1:1" x14ac:dyDescent="0.3">
      <c r="A2056" s="26" t="str">
        <f t="shared" si="71"/>
        <v/>
      </c>
    </row>
    <row r="2057" spans="1:1" x14ac:dyDescent="0.3">
      <c r="A2057" s="26" t="str">
        <f t="shared" si="71"/>
        <v/>
      </c>
    </row>
    <row r="2058" spans="1:1" x14ac:dyDescent="0.3">
      <c r="A2058" s="26" t="str">
        <f t="shared" si="71"/>
        <v/>
      </c>
    </row>
    <row r="2059" spans="1:1" x14ac:dyDescent="0.3">
      <c r="A2059" s="26" t="str">
        <f t="shared" si="71"/>
        <v/>
      </c>
    </row>
    <row r="2060" spans="1:1" x14ac:dyDescent="0.3">
      <c r="A2060" s="26" t="str">
        <f t="shared" si="71"/>
        <v/>
      </c>
    </row>
    <row r="2061" spans="1:1" x14ac:dyDescent="0.3">
      <c r="A2061" s="26" t="str">
        <f t="shared" si="71"/>
        <v/>
      </c>
    </row>
    <row r="2062" spans="1:1" x14ac:dyDescent="0.3">
      <c r="A2062" s="26" t="str">
        <f t="shared" si="71"/>
        <v/>
      </c>
    </row>
    <row r="2063" spans="1:1" x14ac:dyDescent="0.3">
      <c r="A2063" s="26" t="str">
        <f t="shared" ref="A2063:A2126" si="72">IFERROR(IF(A2062-$D$118&gt;0,A2062-$D$118,""),"")</f>
        <v/>
      </c>
    </row>
    <row r="2064" spans="1:1" x14ac:dyDescent="0.3">
      <c r="A2064" s="26" t="str">
        <f t="shared" si="72"/>
        <v/>
      </c>
    </row>
    <row r="2065" spans="1:1" x14ac:dyDescent="0.3">
      <c r="A2065" s="26" t="str">
        <f t="shared" si="72"/>
        <v/>
      </c>
    </row>
    <row r="2066" spans="1:1" x14ac:dyDescent="0.3">
      <c r="A2066" s="26" t="str">
        <f t="shared" si="72"/>
        <v/>
      </c>
    </row>
    <row r="2067" spans="1:1" x14ac:dyDescent="0.3">
      <c r="A2067" s="26" t="str">
        <f t="shared" si="72"/>
        <v/>
      </c>
    </row>
    <row r="2068" spans="1:1" x14ac:dyDescent="0.3">
      <c r="A2068" s="26" t="str">
        <f t="shared" si="72"/>
        <v/>
      </c>
    </row>
    <row r="2069" spans="1:1" x14ac:dyDescent="0.3">
      <c r="A2069" s="26" t="str">
        <f t="shared" si="72"/>
        <v/>
      </c>
    </row>
    <row r="2070" spans="1:1" x14ac:dyDescent="0.3">
      <c r="A2070" s="26" t="str">
        <f t="shared" si="72"/>
        <v/>
      </c>
    </row>
    <row r="2071" spans="1:1" x14ac:dyDescent="0.3">
      <c r="A2071" s="26" t="str">
        <f t="shared" si="72"/>
        <v/>
      </c>
    </row>
    <row r="2072" spans="1:1" x14ac:dyDescent="0.3">
      <c r="A2072" s="26" t="str">
        <f t="shared" si="72"/>
        <v/>
      </c>
    </row>
    <row r="2073" spans="1:1" x14ac:dyDescent="0.3">
      <c r="A2073" s="26" t="str">
        <f t="shared" si="72"/>
        <v/>
      </c>
    </row>
    <row r="2074" spans="1:1" x14ac:dyDescent="0.3">
      <c r="A2074" s="26" t="str">
        <f t="shared" si="72"/>
        <v/>
      </c>
    </row>
    <row r="2075" spans="1:1" x14ac:dyDescent="0.3">
      <c r="A2075" s="26" t="str">
        <f t="shared" si="72"/>
        <v/>
      </c>
    </row>
    <row r="2076" spans="1:1" x14ac:dyDescent="0.3">
      <c r="A2076" s="26" t="str">
        <f t="shared" si="72"/>
        <v/>
      </c>
    </row>
    <row r="2077" spans="1:1" x14ac:dyDescent="0.3">
      <c r="A2077" s="26" t="str">
        <f t="shared" si="72"/>
        <v/>
      </c>
    </row>
    <row r="2078" spans="1:1" x14ac:dyDescent="0.3">
      <c r="A2078" s="26" t="str">
        <f t="shared" si="72"/>
        <v/>
      </c>
    </row>
    <row r="2079" spans="1:1" x14ac:dyDescent="0.3">
      <c r="A2079" s="26" t="str">
        <f t="shared" si="72"/>
        <v/>
      </c>
    </row>
    <row r="2080" spans="1:1" x14ac:dyDescent="0.3">
      <c r="A2080" s="26" t="str">
        <f t="shared" si="72"/>
        <v/>
      </c>
    </row>
    <row r="2081" spans="1:1" x14ac:dyDescent="0.3">
      <c r="A2081" s="26" t="str">
        <f t="shared" si="72"/>
        <v/>
      </c>
    </row>
    <row r="2082" spans="1:1" x14ac:dyDescent="0.3">
      <c r="A2082" s="26" t="str">
        <f t="shared" si="72"/>
        <v/>
      </c>
    </row>
    <row r="2083" spans="1:1" x14ac:dyDescent="0.3">
      <c r="A2083" s="26" t="str">
        <f t="shared" si="72"/>
        <v/>
      </c>
    </row>
    <row r="2084" spans="1:1" x14ac:dyDescent="0.3">
      <c r="A2084" s="26" t="str">
        <f t="shared" si="72"/>
        <v/>
      </c>
    </row>
    <row r="2085" spans="1:1" x14ac:dyDescent="0.3">
      <c r="A2085" s="26" t="str">
        <f t="shared" si="72"/>
        <v/>
      </c>
    </row>
    <row r="2086" spans="1:1" x14ac:dyDescent="0.3">
      <c r="A2086" s="26" t="str">
        <f t="shared" si="72"/>
        <v/>
      </c>
    </row>
    <row r="2087" spans="1:1" x14ac:dyDescent="0.3">
      <c r="A2087" s="26" t="str">
        <f t="shared" si="72"/>
        <v/>
      </c>
    </row>
    <row r="2088" spans="1:1" x14ac:dyDescent="0.3">
      <c r="A2088" s="26" t="str">
        <f t="shared" si="72"/>
        <v/>
      </c>
    </row>
    <row r="2089" spans="1:1" x14ac:dyDescent="0.3">
      <c r="A2089" s="26" t="str">
        <f t="shared" si="72"/>
        <v/>
      </c>
    </row>
    <row r="2090" spans="1:1" x14ac:dyDescent="0.3">
      <c r="A2090" s="26" t="str">
        <f t="shared" si="72"/>
        <v/>
      </c>
    </row>
    <row r="2091" spans="1:1" x14ac:dyDescent="0.3">
      <c r="A2091" s="26" t="str">
        <f t="shared" si="72"/>
        <v/>
      </c>
    </row>
    <row r="2092" spans="1:1" x14ac:dyDescent="0.3">
      <c r="A2092" s="26" t="str">
        <f t="shared" si="72"/>
        <v/>
      </c>
    </row>
    <row r="2093" spans="1:1" x14ac:dyDescent="0.3">
      <c r="A2093" s="26" t="str">
        <f t="shared" si="72"/>
        <v/>
      </c>
    </row>
    <row r="2094" spans="1:1" x14ac:dyDescent="0.3">
      <c r="A2094" s="26" t="str">
        <f t="shared" si="72"/>
        <v/>
      </c>
    </row>
    <row r="2095" spans="1:1" x14ac:dyDescent="0.3">
      <c r="A2095" s="26" t="str">
        <f t="shared" si="72"/>
        <v/>
      </c>
    </row>
    <row r="2096" spans="1:1" x14ac:dyDescent="0.3">
      <c r="A2096" s="26" t="str">
        <f t="shared" si="72"/>
        <v/>
      </c>
    </row>
    <row r="2097" spans="1:1" x14ac:dyDescent="0.3">
      <c r="A2097" s="26" t="str">
        <f t="shared" si="72"/>
        <v/>
      </c>
    </row>
    <row r="2098" spans="1:1" x14ac:dyDescent="0.3">
      <c r="A2098" s="26" t="str">
        <f t="shared" si="72"/>
        <v/>
      </c>
    </row>
    <row r="2099" spans="1:1" x14ac:dyDescent="0.3">
      <c r="A2099" s="26" t="str">
        <f t="shared" si="72"/>
        <v/>
      </c>
    </row>
    <row r="2100" spans="1:1" x14ac:dyDescent="0.3">
      <c r="A2100" s="26" t="str">
        <f t="shared" si="72"/>
        <v/>
      </c>
    </row>
    <row r="2101" spans="1:1" x14ac:dyDescent="0.3">
      <c r="A2101" s="26" t="str">
        <f t="shared" si="72"/>
        <v/>
      </c>
    </row>
    <row r="2102" spans="1:1" x14ac:dyDescent="0.3">
      <c r="A2102" s="26" t="str">
        <f t="shared" si="72"/>
        <v/>
      </c>
    </row>
    <row r="2103" spans="1:1" x14ac:dyDescent="0.3">
      <c r="A2103" s="26" t="str">
        <f t="shared" si="72"/>
        <v/>
      </c>
    </row>
    <row r="2104" spans="1:1" x14ac:dyDescent="0.3">
      <c r="A2104" s="26" t="str">
        <f t="shared" si="72"/>
        <v/>
      </c>
    </row>
    <row r="2105" spans="1:1" x14ac:dyDescent="0.3">
      <c r="A2105" s="26" t="str">
        <f t="shared" si="72"/>
        <v/>
      </c>
    </row>
    <row r="2106" spans="1:1" x14ac:dyDescent="0.3">
      <c r="A2106" s="26" t="str">
        <f t="shared" si="72"/>
        <v/>
      </c>
    </row>
    <row r="2107" spans="1:1" x14ac:dyDescent="0.3">
      <c r="A2107" s="26" t="str">
        <f t="shared" si="72"/>
        <v/>
      </c>
    </row>
    <row r="2108" spans="1:1" x14ac:dyDescent="0.3">
      <c r="A2108" s="26" t="str">
        <f t="shared" si="72"/>
        <v/>
      </c>
    </row>
    <row r="2109" spans="1:1" x14ac:dyDescent="0.3">
      <c r="A2109" s="26" t="str">
        <f t="shared" si="72"/>
        <v/>
      </c>
    </row>
    <row r="2110" spans="1:1" x14ac:dyDescent="0.3">
      <c r="A2110" s="26" t="str">
        <f t="shared" si="72"/>
        <v/>
      </c>
    </row>
    <row r="2111" spans="1:1" x14ac:dyDescent="0.3">
      <c r="A2111" s="26" t="str">
        <f t="shared" si="72"/>
        <v/>
      </c>
    </row>
    <row r="2112" spans="1:1" x14ac:dyDescent="0.3">
      <c r="A2112" s="26" t="str">
        <f t="shared" si="72"/>
        <v/>
      </c>
    </row>
    <row r="2113" spans="1:1" x14ac:dyDescent="0.3">
      <c r="A2113" s="26" t="str">
        <f t="shared" si="72"/>
        <v/>
      </c>
    </row>
    <row r="2114" spans="1:1" x14ac:dyDescent="0.3">
      <c r="A2114" s="26" t="str">
        <f t="shared" si="72"/>
        <v/>
      </c>
    </row>
    <row r="2115" spans="1:1" x14ac:dyDescent="0.3">
      <c r="A2115" s="26" t="str">
        <f t="shared" si="72"/>
        <v/>
      </c>
    </row>
    <row r="2116" spans="1:1" x14ac:dyDescent="0.3">
      <c r="A2116" s="26" t="str">
        <f t="shared" si="72"/>
        <v/>
      </c>
    </row>
    <row r="2117" spans="1:1" x14ac:dyDescent="0.3">
      <c r="A2117" s="26" t="str">
        <f t="shared" si="72"/>
        <v/>
      </c>
    </row>
    <row r="2118" spans="1:1" x14ac:dyDescent="0.3">
      <c r="A2118" s="26" t="str">
        <f t="shared" si="72"/>
        <v/>
      </c>
    </row>
    <row r="2119" spans="1:1" x14ac:dyDescent="0.3">
      <c r="A2119" s="26" t="str">
        <f t="shared" si="72"/>
        <v/>
      </c>
    </row>
    <row r="2120" spans="1:1" x14ac:dyDescent="0.3">
      <c r="A2120" s="26" t="str">
        <f t="shared" si="72"/>
        <v/>
      </c>
    </row>
    <row r="2121" spans="1:1" x14ac:dyDescent="0.3">
      <c r="A2121" s="26" t="str">
        <f t="shared" si="72"/>
        <v/>
      </c>
    </row>
    <row r="2122" spans="1:1" x14ac:dyDescent="0.3">
      <c r="A2122" s="26" t="str">
        <f t="shared" si="72"/>
        <v/>
      </c>
    </row>
    <row r="2123" spans="1:1" x14ac:dyDescent="0.3">
      <c r="A2123" s="26" t="str">
        <f t="shared" si="72"/>
        <v/>
      </c>
    </row>
    <row r="2124" spans="1:1" x14ac:dyDescent="0.3">
      <c r="A2124" s="26" t="str">
        <f t="shared" si="72"/>
        <v/>
      </c>
    </row>
    <row r="2125" spans="1:1" x14ac:dyDescent="0.3">
      <c r="A2125" s="26" t="str">
        <f t="shared" si="72"/>
        <v/>
      </c>
    </row>
    <row r="2126" spans="1:1" x14ac:dyDescent="0.3">
      <c r="A2126" s="26" t="str">
        <f t="shared" si="72"/>
        <v/>
      </c>
    </row>
    <row r="2127" spans="1:1" x14ac:dyDescent="0.3">
      <c r="A2127" s="26" t="str">
        <f t="shared" ref="A2127:A2190" si="73">IFERROR(IF(A2126-$D$118&gt;0,A2126-$D$118,""),"")</f>
        <v/>
      </c>
    </row>
    <row r="2128" spans="1:1" x14ac:dyDescent="0.3">
      <c r="A2128" s="26" t="str">
        <f t="shared" si="73"/>
        <v/>
      </c>
    </row>
    <row r="2129" spans="1:1" x14ac:dyDescent="0.3">
      <c r="A2129" s="26" t="str">
        <f t="shared" si="73"/>
        <v/>
      </c>
    </row>
    <row r="2130" spans="1:1" x14ac:dyDescent="0.3">
      <c r="A2130" s="26" t="str">
        <f t="shared" si="73"/>
        <v/>
      </c>
    </row>
    <row r="2131" spans="1:1" x14ac:dyDescent="0.3">
      <c r="A2131" s="26" t="str">
        <f t="shared" si="73"/>
        <v/>
      </c>
    </row>
    <row r="2132" spans="1:1" x14ac:dyDescent="0.3">
      <c r="A2132" s="26" t="str">
        <f t="shared" si="73"/>
        <v/>
      </c>
    </row>
    <row r="2133" spans="1:1" x14ac:dyDescent="0.3">
      <c r="A2133" s="26" t="str">
        <f t="shared" si="73"/>
        <v/>
      </c>
    </row>
    <row r="2134" spans="1:1" x14ac:dyDescent="0.3">
      <c r="A2134" s="26" t="str">
        <f t="shared" si="73"/>
        <v/>
      </c>
    </row>
    <row r="2135" spans="1:1" x14ac:dyDescent="0.3">
      <c r="A2135" s="26" t="str">
        <f t="shared" si="73"/>
        <v/>
      </c>
    </row>
    <row r="2136" spans="1:1" x14ac:dyDescent="0.3">
      <c r="A2136" s="26" t="str">
        <f t="shared" si="73"/>
        <v/>
      </c>
    </row>
    <row r="2137" spans="1:1" x14ac:dyDescent="0.3">
      <c r="A2137" s="26" t="str">
        <f t="shared" si="73"/>
        <v/>
      </c>
    </row>
    <row r="2138" spans="1:1" x14ac:dyDescent="0.3">
      <c r="A2138" s="26" t="str">
        <f t="shared" si="73"/>
        <v/>
      </c>
    </row>
    <row r="2139" spans="1:1" x14ac:dyDescent="0.3">
      <c r="A2139" s="26" t="str">
        <f t="shared" si="73"/>
        <v/>
      </c>
    </row>
    <row r="2140" spans="1:1" x14ac:dyDescent="0.3">
      <c r="A2140" s="26" t="str">
        <f t="shared" si="73"/>
        <v/>
      </c>
    </row>
    <row r="2141" spans="1:1" x14ac:dyDescent="0.3">
      <c r="A2141" s="26" t="str">
        <f t="shared" si="73"/>
        <v/>
      </c>
    </row>
    <row r="2142" spans="1:1" x14ac:dyDescent="0.3">
      <c r="A2142" s="26" t="str">
        <f t="shared" si="73"/>
        <v/>
      </c>
    </row>
    <row r="2143" spans="1:1" x14ac:dyDescent="0.3">
      <c r="A2143" s="26" t="str">
        <f t="shared" si="73"/>
        <v/>
      </c>
    </row>
    <row r="2144" spans="1:1" x14ac:dyDescent="0.3">
      <c r="A2144" s="26" t="str">
        <f t="shared" si="73"/>
        <v/>
      </c>
    </row>
    <row r="2145" spans="1:1" x14ac:dyDescent="0.3">
      <c r="A2145" s="26" t="str">
        <f t="shared" si="73"/>
        <v/>
      </c>
    </row>
    <row r="2146" spans="1:1" x14ac:dyDescent="0.3">
      <c r="A2146" s="26" t="str">
        <f t="shared" si="73"/>
        <v/>
      </c>
    </row>
    <row r="2147" spans="1:1" x14ac:dyDescent="0.3">
      <c r="A2147" s="26" t="str">
        <f t="shared" si="73"/>
        <v/>
      </c>
    </row>
    <row r="2148" spans="1:1" x14ac:dyDescent="0.3">
      <c r="A2148" s="26" t="str">
        <f t="shared" si="73"/>
        <v/>
      </c>
    </row>
    <row r="2149" spans="1:1" x14ac:dyDescent="0.3">
      <c r="A2149" s="26" t="str">
        <f t="shared" si="73"/>
        <v/>
      </c>
    </row>
    <row r="2150" spans="1:1" x14ac:dyDescent="0.3">
      <c r="A2150" s="26" t="str">
        <f t="shared" si="73"/>
        <v/>
      </c>
    </row>
    <row r="2151" spans="1:1" x14ac:dyDescent="0.3">
      <c r="A2151" s="26" t="str">
        <f t="shared" si="73"/>
        <v/>
      </c>
    </row>
    <row r="2152" spans="1:1" x14ac:dyDescent="0.3">
      <c r="A2152" s="26" t="str">
        <f t="shared" si="73"/>
        <v/>
      </c>
    </row>
    <row r="2153" spans="1:1" x14ac:dyDescent="0.3">
      <c r="A2153" s="26" t="str">
        <f t="shared" si="73"/>
        <v/>
      </c>
    </row>
    <row r="2154" spans="1:1" x14ac:dyDescent="0.3">
      <c r="A2154" s="26" t="str">
        <f t="shared" si="73"/>
        <v/>
      </c>
    </row>
    <row r="2155" spans="1:1" x14ac:dyDescent="0.3">
      <c r="A2155" s="26" t="str">
        <f t="shared" si="73"/>
        <v/>
      </c>
    </row>
    <row r="2156" spans="1:1" x14ac:dyDescent="0.3">
      <c r="A2156" s="26" t="str">
        <f t="shared" si="73"/>
        <v/>
      </c>
    </row>
    <row r="2157" spans="1:1" x14ac:dyDescent="0.3">
      <c r="A2157" s="26" t="str">
        <f t="shared" si="73"/>
        <v/>
      </c>
    </row>
    <row r="2158" spans="1:1" x14ac:dyDescent="0.3">
      <c r="A2158" s="26" t="str">
        <f t="shared" si="73"/>
        <v/>
      </c>
    </row>
    <row r="2159" spans="1:1" x14ac:dyDescent="0.3">
      <c r="A2159" s="26" t="str">
        <f t="shared" si="73"/>
        <v/>
      </c>
    </row>
    <row r="2160" spans="1:1" x14ac:dyDescent="0.3">
      <c r="A2160" s="26" t="str">
        <f t="shared" si="73"/>
        <v/>
      </c>
    </row>
    <row r="2161" spans="1:1" x14ac:dyDescent="0.3">
      <c r="A2161" s="26" t="str">
        <f t="shared" si="73"/>
        <v/>
      </c>
    </row>
    <row r="2162" spans="1:1" x14ac:dyDescent="0.3">
      <c r="A2162" s="26" t="str">
        <f t="shared" si="73"/>
        <v/>
      </c>
    </row>
    <row r="2163" spans="1:1" x14ac:dyDescent="0.3">
      <c r="A2163" s="26" t="str">
        <f t="shared" si="73"/>
        <v/>
      </c>
    </row>
    <row r="2164" spans="1:1" x14ac:dyDescent="0.3">
      <c r="A2164" s="26" t="str">
        <f t="shared" si="73"/>
        <v/>
      </c>
    </row>
    <row r="2165" spans="1:1" x14ac:dyDescent="0.3">
      <c r="A2165" s="26" t="str">
        <f t="shared" si="73"/>
        <v/>
      </c>
    </row>
    <row r="2166" spans="1:1" x14ac:dyDescent="0.3">
      <c r="A2166" s="26" t="str">
        <f t="shared" si="73"/>
        <v/>
      </c>
    </row>
    <row r="2167" spans="1:1" x14ac:dyDescent="0.3">
      <c r="A2167" s="26" t="str">
        <f t="shared" si="73"/>
        <v/>
      </c>
    </row>
    <row r="2168" spans="1:1" x14ac:dyDescent="0.3">
      <c r="A2168" s="26" t="str">
        <f t="shared" si="73"/>
        <v/>
      </c>
    </row>
    <row r="2169" spans="1:1" x14ac:dyDescent="0.3">
      <c r="A2169" s="26" t="str">
        <f t="shared" si="73"/>
        <v/>
      </c>
    </row>
    <row r="2170" spans="1:1" x14ac:dyDescent="0.3">
      <c r="A2170" s="26" t="str">
        <f t="shared" si="73"/>
        <v/>
      </c>
    </row>
    <row r="2171" spans="1:1" x14ac:dyDescent="0.3">
      <c r="A2171" s="26" t="str">
        <f t="shared" si="73"/>
        <v/>
      </c>
    </row>
    <row r="2172" spans="1:1" x14ac:dyDescent="0.3">
      <c r="A2172" s="26" t="str">
        <f t="shared" si="73"/>
        <v/>
      </c>
    </row>
    <row r="2173" spans="1:1" x14ac:dyDescent="0.3">
      <c r="A2173" s="26" t="str">
        <f t="shared" si="73"/>
        <v/>
      </c>
    </row>
    <row r="2174" spans="1:1" x14ac:dyDescent="0.3">
      <c r="A2174" s="26" t="str">
        <f t="shared" si="73"/>
        <v/>
      </c>
    </row>
    <row r="2175" spans="1:1" x14ac:dyDescent="0.3">
      <c r="A2175" s="26" t="str">
        <f t="shared" si="73"/>
        <v/>
      </c>
    </row>
    <row r="2176" spans="1:1" x14ac:dyDescent="0.3">
      <c r="A2176" s="26" t="str">
        <f t="shared" si="73"/>
        <v/>
      </c>
    </row>
    <row r="2177" spans="1:1" x14ac:dyDescent="0.3">
      <c r="A2177" s="26" t="str">
        <f t="shared" si="73"/>
        <v/>
      </c>
    </row>
    <row r="2178" spans="1:1" x14ac:dyDescent="0.3">
      <c r="A2178" s="26" t="str">
        <f t="shared" si="73"/>
        <v/>
      </c>
    </row>
    <row r="2179" spans="1:1" x14ac:dyDescent="0.3">
      <c r="A2179" s="26" t="str">
        <f t="shared" si="73"/>
        <v/>
      </c>
    </row>
    <row r="2180" spans="1:1" x14ac:dyDescent="0.3">
      <c r="A2180" s="26" t="str">
        <f t="shared" si="73"/>
        <v/>
      </c>
    </row>
    <row r="2181" spans="1:1" x14ac:dyDescent="0.3">
      <c r="A2181" s="26" t="str">
        <f t="shared" si="73"/>
        <v/>
      </c>
    </row>
    <row r="2182" spans="1:1" x14ac:dyDescent="0.3">
      <c r="A2182" s="26" t="str">
        <f t="shared" si="73"/>
        <v/>
      </c>
    </row>
    <row r="2183" spans="1:1" x14ac:dyDescent="0.3">
      <c r="A2183" s="26" t="str">
        <f t="shared" si="73"/>
        <v/>
      </c>
    </row>
    <row r="2184" spans="1:1" x14ac:dyDescent="0.3">
      <c r="A2184" s="26" t="str">
        <f t="shared" si="73"/>
        <v/>
      </c>
    </row>
    <row r="2185" spans="1:1" x14ac:dyDescent="0.3">
      <c r="A2185" s="26" t="str">
        <f t="shared" si="73"/>
        <v/>
      </c>
    </row>
    <row r="2186" spans="1:1" x14ac:dyDescent="0.3">
      <c r="A2186" s="26" t="str">
        <f t="shared" si="73"/>
        <v/>
      </c>
    </row>
    <row r="2187" spans="1:1" x14ac:dyDescent="0.3">
      <c r="A2187" s="26" t="str">
        <f t="shared" si="73"/>
        <v/>
      </c>
    </row>
    <row r="2188" spans="1:1" x14ac:dyDescent="0.3">
      <c r="A2188" s="26" t="str">
        <f t="shared" si="73"/>
        <v/>
      </c>
    </row>
    <row r="2189" spans="1:1" x14ac:dyDescent="0.3">
      <c r="A2189" s="26" t="str">
        <f t="shared" si="73"/>
        <v/>
      </c>
    </row>
    <row r="2190" spans="1:1" x14ac:dyDescent="0.3">
      <c r="A2190" s="26" t="str">
        <f t="shared" si="73"/>
        <v/>
      </c>
    </row>
    <row r="2191" spans="1:1" x14ac:dyDescent="0.3">
      <c r="A2191" s="26" t="str">
        <f t="shared" ref="A2191:A2254" si="74">IFERROR(IF(A2190-$D$118&gt;0,A2190-$D$118,""),"")</f>
        <v/>
      </c>
    </row>
    <row r="2192" spans="1:1" x14ac:dyDescent="0.3">
      <c r="A2192" s="26" t="str">
        <f t="shared" si="74"/>
        <v/>
      </c>
    </row>
    <row r="2193" spans="1:1" x14ac:dyDescent="0.3">
      <c r="A2193" s="26" t="str">
        <f t="shared" si="74"/>
        <v/>
      </c>
    </row>
    <row r="2194" spans="1:1" x14ac:dyDescent="0.3">
      <c r="A2194" s="26" t="str">
        <f t="shared" si="74"/>
        <v/>
      </c>
    </row>
    <row r="2195" spans="1:1" x14ac:dyDescent="0.3">
      <c r="A2195" s="26" t="str">
        <f t="shared" si="74"/>
        <v/>
      </c>
    </row>
    <row r="2196" spans="1:1" x14ac:dyDescent="0.3">
      <c r="A2196" s="26" t="str">
        <f t="shared" si="74"/>
        <v/>
      </c>
    </row>
    <row r="2197" spans="1:1" x14ac:dyDescent="0.3">
      <c r="A2197" s="26" t="str">
        <f t="shared" si="74"/>
        <v/>
      </c>
    </row>
    <row r="2198" spans="1:1" x14ac:dyDescent="0.3">
      <c r="A2198" s="26" t="str">
        <f t="shared" si="74"/>
        <v/>
      </c>
    </row>
    <row r="2199" spans="1:1" x14ac:dyDescent="0.3">
      <c r="A2199" s="26" t="str">
        <f t="shared" si="74"/>
        <v/>
      </c>
    </row>
    <row r="2200" spans="1:1" x14ac:dyDescent="0.3">
      <c r="A2200" s="26" t="str">
        <f t="shared" si="74"/>
        <v/>
      </c>
    </row>
    <row r="2201" spans="1:1" x14ac:dyDescent="0.3">
      <c r="A2201" s="26" t="str">
        <f t="shared" si="74"/>
        <v/>
      </c>
    </row>
    <row r="2202" spans="1:1" x14ac:dyDescent="0.3">
      <c r="A2202" s="26" t="str">
        <f t="shared" si="74"/>
        <v/>
      </c>
    </row>
    <row r="2203" spans="1:1" x14ac:dyDescent="0.3">
      <c r="A2203" s="26" t="str">
        <f t="shared" si="74"/>
        <v/>
      </c>
    </row>
    <row r="2204" spans="1:1" x14ac:dyDescent="0.3">
      <c r="A2204" s="26" t="str">
        <f t="shared" si="74"/>
        <v/>
      </c>
    </row>
    <row r="2205" spans="1:1" x14ac:dyDescent="0.3">
      <c r="A2205" s="26" t="str">
        <f t="shared" si="74"/>
        <v/>
      </c>
    </row>
    <row r="2206" spans="1:1" x14ac:dyDescent="0.3">
      <c r="A2206" s="26" t="str">
        <f t="shared" si="74"/>
        <v/>
      </c>
    </row>
    <row r="2207" spans="1:1" x14ac:dyDescent="0.3">
      <c r="A2207" s="26" t="str">
        <f t="shared" si="74"/>
        <v/>
      </c>
    </row>
    <row r="2208" spans="1:1" x14ac:dyDescent="0.3">
      <c r="A2208" s="26" t="str">
        <f t="shared" si="74"/>
        <v/>
      </c>
    </row>
    <row r="2209" spans="1:1" x14ac:dyDescent="0.3">
      <c r="A2209" s="26" t="str">
        <f t="shared" si="74"/>
        <v/>
      </c>
    </row>
    <row r="2210" spans="1:1" x14ac:dyDescent="0.3">
      <c r="A2210" s="26" t="str">
        <f t="shared" si="74"/>
        <v/>
      </c>
    </row>
    <row r="2211" spans="1:1" x14ac:dyDescent="0.3">
      <c r="A2211" s="26" t="str">
        <f t="shared" si="74"/>
        <v/>
      </c>
    </row>
    <row r="2212" spans="1:1" x14ac:dyDescent="0.3">
      <c r="A2212" s="26" t="str">
        <f t="shared" si="74"/>
        <v/>
      </c>
    </row>
    <row r="2213" spans="1:1" x14ac:dyDescent="0.3">
      <c r="A2213" s="26" t="str">
        <f t="shared" si="74"/>
        <v/>
      </c>
    </row>
    <row r="2214" spans="1:1" x14ac:dyDescent="0.3">
      <c r="A2214" s="26" t="str">
        <f t="shared" si="74"/>
        <v/>
      </c>
    </row>
    <row r="2215" spans="1:1" x14ac:dyDescent="0.3">
      <c r="A2215" s="26" t="str">
        <f t="shared" si="74"/>
        <v/>
      </c>
    </row>
    <row r="2216" spans="1:1" x14ac:dyDescent="0.3">
      <c r="A2216" s="26" t="str">
        <f t="shared" si="74"/>
        <v/>
      </c>
    </row>
    <row r="2217" spans="1:1" x14ac:dyDescent="0.3">
      <c r="A2217" s="26" t="str">
        <f t="shared" si="74"/>
        <v/>
      </c>
    </row>
    <row r="2218" spans="1:1" x14ac:dyDescent="0.3">
      <c r="A2218" s="26" t="str">
        <f t="shared" si="74"/>
        <v/>
      </c>
    </row>
    <row r="2219" spans="1:1" x14ac:dyDescent="0.3">
      <c r="A2219" s="26" t="str">
        <f t="shared" si="74"/>
        <v/>
      </c>
    </row>
    <row r="2220" spans="1:1" x14ac:dyDescent="0.3">
      <c r="A2220" s="26" t="str">
        <f t="shared" si="74"/>
        <v/>
      </c>
    </row>
    <row r="2221" spans="1:1" x14ac:dyDescent="0.3">
      <c r="A2221" s="26" t="str">
        <f t="shared" si="74"/>
        <v/>
      </c>
    </row>
    <row r="2222" spans="1:1" x14ac:dyDescent="0.3">
      <c r="A2222" s="26" t="str">
        <f t="shared" si="74"/>
        <v/>
      </c>
    </row>
    <row r="2223" spans="1:1" x14ac:dyDescent="0.3">
      <c r="A2223" s="26" t="str">
        <f t="shared" si="74"/>
        <v/>
      </c>
    </row>
    <row r="2224" spans="1:1" x14ac:dyDescent="0.3">
      <c r="A2224" s="26" t="str">
        <f t="shared" si="74"/>
        <v/>
      </c>
    </row>
    <row r="2225" spans="1:1" x14ac:dyDescent="0.3">
      <c r="A2225" s="26" t="str">
        <f t="shared" si="74"/>
        <v/>
      </c>
    </row>
    <row r="2226" spans="1:1" x14ac:dyDescent="0.3">
      <c r="A2226" s="26" t="str">
        <f t="shared" si="74"/>
        <v/>
      </c>
    </row>
    <row r="2227" spans="1:1" x14ac:dyDescent="0.3">
      <c r="A2227" s="26" t="str">
        <f t="shared" si="74"/>
        <v/>
      </c>
    </row>
    <row r="2228" spans="1:1" x14ac:dyDescent="0.3">
      <c r="A2228" s="26" t="str">
        <f t="shared" si="74"/>
        <v/>
      </c>
    </row>
    <row r="2229" spans="1:1" x14ac:dyDescent="0.3">
      <c r="A2229" s="26" t="str">
        <f t="shared" si="74"/>
        <v/>
      </c>
    </row>
    <row r="2230" spans="1:1" x14ac:dyDescent="0.3">
      <c r="A2230" s="26" t="str">
        <f t="shared" si="74"/>
        <v/>
      </c>
    </row>
    <row r="2231" spans="1:1" x14ac:dyDescent="0.3">
      <c r="A2231" s="26" t="str">
        <f t="shared" si="74"/>
        <v/>
      </c>
    </row>
    <row r="2232" spans="1:1" x14ac:dyDescent="0.3">
      <c r="A2232" s="26" t="str">
        <f t="shared" si="74"/>
        <v/>
      </c>
    </row>
    <row r="2233" spans="1:1" x14ac:dyDescent="0.3">
      <c r="A2233" s="26" t="str">
        <f t="shared" si="74"/>
        <v/>
      </c>
    </row>
    <row r="2234" spans="1:1" x14ac:dyDescent="0.3">
      <c r="A2234" s="26" t="str">
        <f t="shared" si="74"/>
        <v/>
      </c>
    </row>
    <row r="2235" spans="1:1" x14ac:dyDescent="0.3">
      <c r="A2235" s="26" t="str">
        <f t="shared" si="74"/>
        <v/>
      </c>
    </row>
    <row r="2236" spans="1:1" x14ac:dyDescent="0.3">
      <c r="A2236" s="26" t="str">
        <f t="shared" si="74"/>
        <v/>
      </c>
    </row>
    <row r="2237" spans="1:1" x14ac:dyDescent="0.3">
      <c r="A2237" s="26" t="str">
        <f t="shared" si="74"/>
        <v/>
      </c>
    </row>
    <row r="2238" spans="1:1" x14ac:dyDescent="0.3">
      <c r="A2238" s="26" t="str">
        <f t="shared" si="74"/>
        <v/>
      </c>
    </row>
    <row r="2239" spans="1:1" x14ac:dyDescent="0.3">
      <c r="A2239" s="26" t="str">
        <f t="shared" si="74"/>
        <v/>
      </c>
    </row>
    <row r="2240" spans="1:1" x14ac:dyDescent="0.3">
      <c r="A2240" s="26" t="str">
        <f t="shared" si="74"/>
        <v/>
      </c>
    </row>
    <row r="2241" spans="1:1" x14ac:dyDescent="0.3">
      <c r="A2241" s="26" t="str">
        <f t="shared" si="74"/>
        <v/>
      </c>
    </row>
    <row r="2242" spans="1:1" x14ac:dyDescent="0.3">
      <c r="A2242" s="26" t="str">
        <f t="shared" si="74"/>
        <v/>
      </c>
    </row>
    <row r="2243" spans="1:1" x14ac:dyDescent="0.3">
      <c r="A2243" s="26" t="str">
        <f t="shared" si="74"/>
        <v/>
      </c>
    </row>
    <row r="2244" spans="1:1" x14ac:dyDescent="0.3">
      <c r="A2244" s="26" t="str">
        <f t="shared" si="74"/>
        <v/>
      </c>
    </row>
    <row r="2245" spans="1:1" x14ac:dyDescent="0.3">
      <c r="A2245" s="26" t="str">
        <f t="shared" si="74"/>
        <v/>
      </c>
    </row>
    <row r="2246" spans="1:1" x14ac:dyDescent="0.3">
      <c r="A2246" s="26" t="str">
        <f t="shared" si="74"/>
        <v/>
      </c>
    </row>
    <row r="2247" spans="1:1" x14ac:dyDescent="0.3">
      <c r="A2247" s="26" t="str">
        <f t="shared" si="74"/>
        <v/>
      </c>
    </row>
    <row r="2248" spans="1:1" x14ac:dyDescent="0.3">
      <c r="A2248" s="26" t="str">
        <f t="shared" si="74"/>
        <v/>
      </c>
    </row>
    <row r="2249" spans="1:1" x14ac:dyDescent="0.3">
      <c r="A2249" s="26" t="str">
        <f t="shared" si="74"/>
        <v/>
      </c>
    </row>
    <row r="2250" spans="1:1" x14ac:dyDescent="0.3">
      <c r="A2250" s="26" t="str">
        <f t="shared" si="74"/>
        <v/>
      </c>
    </row>
    <row r="2251" spans="1:1" x14ac:dyDescent="0.3">
      <c r="A2251" s="26" t="str">
        <f t="shared" si="74"/>
        <v/>
      </c>
    </row>
    <row r="2252" spans="1:1" x14ac:dyDescent="0.3">
      <c r="A2252" s="26" t="str">
        <f t="shared" si="74"/>
        <v/>
      </c>
    </row>
    <row r="2253" spans="1:1" x14ac:dyDescent="0.3">
      <c r="A2253" s="26" t="str">
        <f t="shared" si="74"/>
        <v/>
      </c>
    </row>
    <row r="2254" spans="1:1" x14ac:dyDescent="0.3">
      <c r="A2254" s="26" t="str">
        <f t="shared" si="74"/>
        <v/>
      </c>
    </row>
    <row r="2255" spans="1:1" x14ac:dyDescent="0.3">
      <c r="A2255" s="26" t="str">
        <f t="shared" ref="A2255:A2318" si="75">IFERROR(IF(A2254-$D$118&gt;0,A2254-$D$118,""),"")</f>
        <v/>
      </c>
    </row>
    <row r="2256" spans="1:1" x14ac:dyDescent="0.3">
      <c r="A2256" s="26" t="str">
        <f t="shared" si="75"/>
        <v/>
      </c>
    </row>
    <row r="2257" spans="1:1" x14ac:dyDescent="0.3">
      <c r="A2257" s="26" t="str">
        <f t="shared" si="75"/>
        <v/>
      </c>
    </row>
    <row r="2258" spans="1:1" x14ac:dyDescent="0.3">
      <c r="A2258" s="26" t="str">
        <f t="shared" si="75"/>
        <v/>
      </c>
    </row>
    <row r="2259" spans="1:1" x14ac:dyDescent="0.3">
      <c r="A2259" s="26" t="str">
        <f t="shared" si="75"/>
        <v/>
      </c>
    </row>
    <row r="2260" spans="1:1" x14ac:dyDescent="0.3">
      <c r="A2260" s="26" t="str">
        <f t="shared" si="75"/>
        <v/>
      </c>
    </row>
    <row r="2261" spans="1:1" x14ac:dyDescent="0.3">
      <c r="A2261" s="26" t="str">
        <f t="shared" si="75"/>
        <v/>
      </c>
    </row>
    <row r="2262" spans="1:1" x14ac:dyDescent="0.3">
      <c r="A2262" s="26" t="str">
        <f t="shared" si="75"/>
        <v/>
      </c>
    </row>
    <row r="2263" spans="1:1" x14ac:dyDescent="0.3">
      <c r="A2263" s="26" t="str">
        <f t="shared" si="75"/>
        <v/>
      </c>
    </row>
    <row r="2264" spans="1:1" x14ac:dyDescent="0.3">
      <c r="A2264" s="26" t="str">
        <f t="shared" si="75"/>
        <v/>
      </c>
    </row>
    <row r="2265" spans="1:1" x14ac:dyDescent="0.3">
      <c r="A2265" s="26" t="str">
        <f t="shared" si="75"/>
        <v/>
      </c>
    </row>
    <row r="2266" spans="1:1" x14ac:dyDescent="0.3">
      <c r="A2266" s="26" t="str">
        <f t="shared" si="75"/>
        <v/>
      </c>
    </row>
    <row r="2267" spans="1:1" x14ac:dyDescent="0.3">
      <c r="A2267" s="26" t="str">
        <f t="shared" si="75"/>
        <v/>
      </c>
    </row>
    <row r="2268" spans="1:1" x14ac:dyDescent="0.3">
      <c r="A2268" s="26" t="str">
        <f t="shared" si="75"/>
        <v/>
      </c>
    </row>
    <row r="2269" spans="1:1" x14ac:dyDescent="0.3">
      <c r="A2269" s="26" t="str">
        <f t="shared" si="75"/>
        <v/>
      </c>
    </row>
    <row r="2270" spans="1:1" x14ac:dyDescent="0.3">
      <c r="A2270" s="26" t="str">
        <f t="shared" si="75"/>
        <v/>
      </c>
    </row>
    <row r="2271" spans="1:1" x14ac:dyDescent="0.3">
      <c r="A2271" s="26" t="str">
        <f t="shared" si="75"/>
        <v/>
      </c>
    </row>
    <row r="2272" spans="1:1" x14ac:dyDescent="0.3">
      <c r="A2272" s="26" t="str">
        <f t="shared" si="75"/>
        <v/>
      </c>
    </row>
    <row r="2273" spans="1:1" x14ac:dyDescent="0.3">
      <c r="A2273" s="26" t="str">
        <f t="shared" si="75"/>
        <v/>
      </c>
    </row>
    <row r="2274" spans="1:1" x14ac:dyDescent="0.3">
      <c r="A2274" s="26" t="str">
        <f t="shared" si="75"/>
        <v/>
      </c>
    </row>
    <row r="2275" spans="1:1" x14ac:dyDescent="0.3">
      <c r="A2275" s="26" t="str">
        <f t="shared" si="75"/>
        <v/>
      </c>
    </row>
    <row r="2276" spans="1:1" x14ac:dyDescent="0.3">
      <c r="A2276" s="26" t="str">
        <f t="shared" si="75"/>
        <v/>
      </c>
    </row>
    <row r="2277" spans="1:1" x14ac:dyDescent="0.3">
      <c r="A2277" s="26" t="str">
        <f t="shared" si="75"/>
        <v/>
      </c>
    </row>
    <row r="2278" spans="1:1" x14ac:dyDescent="0.3">
      <c r="A2278" s="26" t="str">
        <f t="shared" si="75"/>
        <v/>
      </c>
    </row>
    <row r="2279" spans="1:1" x14ac:dyDescent="0.3">
      <c r="A2279" s="26" t="str">
        <f t="shared" si="75"/>
        <v/>
      </c>
    </row>
    <row r="2280" spans="1:1" x14ac:dyDescent="0.3">
      <c r="A2280" s="26" t="str">
        <f t="shared" si="75"/>
        <v/>
      </c>
    </row>
    <row r="2281" spans="1:1" x14ac:dyDescent="0.3">
      <c r="A2281" s="26" t="str">
        <f t="shared" si="75"/>
        <v/>
      </c>
    </row>
    <row r="2282" spans="1:1" x14ac:dyDescent="0.3">
      <c r="A2282" s="26" t="str">
        <f t="shared" si="75"/>
        <v/>
      </c>
    </row>
    <row r="2283" spans="1:1" x14ac:dyDescent="0.3">
      <c r="A2283" s="26" t="str">
        <f t="shared" si="75"/>
        <v/>
      </c>
    </row>
    <row r="2284" spans="1:1" x14ac:dyDescent="0.3">
      <c r="A2284" s="26" t="str">
        <f t="shared" si="75"/>
        <v/>
      </c>
    </row>
    <row r="2285" spans="1:1" x14ac:dyDescent="0.3">
      <c r="A2285" s="26" t="str">
        <f t="shared" si="75"/>
        <v/>
      </c>
    </row>
    <row r="2286" spans="1:1" x14ac:dyDescent="0.3">
      <c r="A2286" s="26" t="str">
        <f t="shared" si="75"/>
        <v/>
      </c>
    </row>
    <row r="2287" spans="1:1" x14ac:dyDescent="0.3">
      <c r="A2287" s="26" t="str">
        <f t="shared" si="75"/>
        <v/>
      </c>
    </row>
    <row r="2288" spans="1:1" x14ac:dyDescent="0.3">
      <c r="A2288" s="26" t="str">
        <f t="shared" si="75"/>
        <v/>
      </c>
    </row>
    <row r="2289" spans="1:1" x14ac:dyDescent="0.3">
      <c r="A2289" s="26" t="str">
        <f t="shared" si="75"/>
        <v/>
      </c>
    </row>
    <row r="2290" spans="1:1" x14ac:dyDescent="0.3">
      <c r="A2290" s="26" t="str">
        <f t="shared" si="75"/>
        <v/>
      </c>
    </row>
    <row r="2291" spans="1:1" x14ac:dyDescent="0.3">
      <c r="A2291" s="26" t="str">
        <f t="shared" si="75"/>
        <v/>
      </c>
    </row>
    <row r="2292" spans="1:1" x14ac:dyDescent="0.3">
      <c r="A2292" s="26" t="str">
        <f t="shared" si="75"/>
        <v/>
      </c>
    </row>
    <row r="2293" spans="1:1" x14ac:dyDescent="0.3">
      <c r="A2293" s="26" t="str">
        <f t="shared" si="75"/>
        <v/>
      </c>
    </row>
    <row r="2294" spans="1:1" x14ac:dyDescent="0.3">
      <c r="A2294" s="26" t="str">
        <f t="shared" si="75"/>
        <v/>
      </c>
    </row>
    <row r="2295" spans="1:1" x14ac:dyDescent="0.3">
      <c r="A2295" s="26" t="str">
        <f t="shared" si="75"/>
        <v/>
      </c>
    </row>
    <row r="2296" spans="1:1" x14ac:dyDescent="0.3">
      <c r="A2296" s="26" t="str">
        <f t="shared" si="75"/>
        <v/>
      </c>
    </row>
    <row r="2297" spans="1:1" x14ac:dyDescent="0.3">
      <c r="A2297" s="26" t="str">
        <f t="shared" si="75"/>
        <v/>
      </c>
    </row>
    <row r="2298" spans="1:1" x14ac:dyDescent="0.3">
      <c r="A2298" s="26" t="str">
        <f t="shared" si="75"/>
        <v/>
      </c>
    </row>
    <row r="2299" spans="1:1" x14ac:dyDescent="0.3">
      <c r="A2299" s="26" t="str">
        <f t="shared" si="75"/>
        <v/>
      </c>
    </row>
    <row r="2300" spans="1:1" x14ac:dyDescent="0.3">
      <c r="A2300" s="26" t="str">
        <f t="shared" si="75"/>
        <v/>
      </c>
    </row>
    <row r="2301" spans="1:1" x14ac:dyDescent="0.3">
      <c r="A2301" s="26" t="str">
        <f t="shared" si="75"/>
        <v/>
      </c>
    </row>
    <row r="2302" spans="1:1" x14ac:dyDescent="0.3">
      <c r="A2302" s="26" t="str">
        <f t="shared" si="75"/>
        <v/>
      </c>
    </row>
    <row r="2303" spans="1:1" x14ac:dyDescent="0.3">
      <c r="A2303" s="26" t="str">
        <f t="shared" si="75"/>
        <v/>
      </c>
    </row>
    <row r="2304" spans="1:1" x14ac:dyDescent="0.3">
      <c r="A2304" s="26" t="str">
        <f t="shared" si="75"/>
        <v/>
      </c>
    </row>
    <row r="2305" spans="1:1" x14ac:dyDescent="0.3">
      <c r="A2305" s="26" t="str">
        <f t="shared" si="75"/>
        <v/>
      </c>
    </row>
    <row r="2306" spans="1:1" x14ac:dyDescent="0.3">
      <c r="A2306" s="26" t="str">
        <f t="shared" si="75"/>
        <v/>
      </c>
    </row>
    <row r="2307" spans="1:1" x14ac:dyDescent="0.3">
      <c r="A2307" s="26" t="str">
        <f t="shared" si="75"/>
        <v/>
      </c>
    </row>
    <row r="2308" spans="1:1" x14ac:dyDescent="0.3">
      <c r="A2308" s="26" t="str">
        <f t="shared" si="75"/>
        <v/>
      </c>
    </row>
    <row r="2309" spans="1:1" x14ac:dyDescent="0.3">
      <c r="A2309" s="26" t="str">
        <f t="shared" si="75"/>
        <v/>
      </c>
    </row>
    <row r="2310" spans="1:1" x14ac:dyDescent="0.3">
      <c r="A2310" s="26" t="str">
        <f t="shared" si="75"/>
        <v/>
      </c>
    </row>
    <row r="2311" spans="1:1" x14ac:dyDescent="0.3">
      <c r="A2311" s="26" t="str">
        <f t="shared" si="75"/>
        <v/>
      </c>
    </row>
    <row r="2312" spans="1:1" x14ac:dyDescent="0.3">
      <c r="A2312" s="26" t="str">
        <f t="shared" si="75"/>
        <v/>
      </c>
    </row>
    <row r="2313" spans="1:1" x14ac:dyDescent="0.3">
      <c r="A2313" s="26" t="str">
        <f t="shared" si="75"/>
        <v/>
      </c>
    </row>
    <row r="2314" spans="1:1" x14ac:dyDescent="0.3">
      <c r="A2314" s="26" t="str">
        <f t="shared" si="75"/>
        <v/>
      </c>
    </row>
    <row r="2315" spans="1:1" x14ac:dyDescent="0.3">
      <c r="A2315" s="26" t="str">
        <f t="shared" si="75"/>
        <v/>
      </c>
    </row>
    <row r="2316" spans="1:1" x14ac:dyDescent="0.3">
      <c r="A2316" s="26" t="str">
        <f t="shared" si="75"/>
        <v/>
      </c>
    </row>
    <row r="2317" spans="1:1" x14ac:dyDescent="0.3">
      <c r="A2317" s="26" t="str">
        <f t="shared" si="75"/>
        <v/>
      </c>
    </row>
    <row r="2318" spans="1:1" x14ac:dyDescent="0.3">
      <c r="A2318" s="26" t="str">
        <f t="shared" si="75"/>
        <v/>
      </c>
    </row>
    <row r="2319" spans="1:1" x14ac:dyDescent="0.3">
      <c r="A2319" s="26" t="str">
        <f t="shared" ref="A2319:A2360" si="76">IFERROR(IF(A2318-$D$118&gt;0,A2318-$D$118,""),"")</f>
        <v/>
      </c>
    </row>
    <row r="2320" spans="1:1" x14ac:dyDescent="0.3">
      <c r="A2320" s="26" t="str">
        <f t="shared" si="76"/>
        <v/>
      </c>
    </row>
    <row r="2321" spans="1:1" x14ac:dyDescent="0.3">
      <c r="A2321" s="26" t="str">
        <f t="shared" si="76"/>
        <v/>
      </c>
    </row>
    <row r="2322" spans="1:1" x14ac:dyDescent="0.3">
      <c r="A2322" s="26" t="str">
        <f t="shared" si="76"/>
        <v/>
      </c>
    </row>
    <row r="2323" spans="1:1" x14ac:dyDescent="0.3">
      <c r="A2323" s="26" t="str">
        <f t="shared" si="76"/>
        <v/>
      </c>
    </row>
    <row r="2324" spans="1:1" x14ac:dyDescent="0.3">
      <c r="A2324" s="26" t="str">
        <f t="shared" si="76"/>
        <v/>
      </c>
    </row>
    <row r="2325" spans="1:1" x14ac:dyDescent="0.3">
      <c r="A2325" s="26" t="str">
        <f t="shared" si="76"/>
        <v/>
      </c>
    </row>
    <row r="2326" spans="1:1" x14ac:dyDescent="0.3">
      <c r="A2326" s="26" t="str">
        <f t="shared" si="76"/>
        <v/>
      </c>
    </row>
    <row r="2327" spans="1:1" x14ac:dyDescent="0.3">
      <c r="A2327" s="26" t="str">
        <f t="shared" si="76"/>
        <v/>
      </c>
    </row>
    <row r="2328" spans="1:1" x14ac:dyDescent="0.3">
      <c r="A2328" s="26" t="str">
        <f t="shared" si="76"/>
        <v/>
      </c>
    </row>
    <row r="2329" spans="1:1" x14ac:dyDescent="0.3">
      <c r="A2329" s="26" t="str">
        <f t="shared" si="76"/>
        <v/>
      </c>
    </row>
    <row r="2330" spans="1:1" x14ac:dyDescent="0.3">
      <c r="A2330" s="26" t="str">
        <f t="shared" si="76"/>
        <v/>
      </c>
    </row>
    <row r="2331" spans="1:1" x14ac:dyDescent="0.3">
      <c r="A2331" s="26" t="str">
        <f t="shared" si="76"/>
        <v/>
      </c>
    </row>
    <row r="2332" spans="1:1" x14ac:dyDescent="0.3">
      <c r="A2332" s="26" t="str">
        <f t="shared" si="76"/>
        <v/>
      </c>
    </row>
    <row r="2333" spans="1:1" x14ac:dyDescent="0.3">
      <c r="A2333" s="26" t="str">
        <f t="shared" si="76"/>
        <v/>
      </c>
    </row>
    <row r="2334" spans="1:1" x14ac:dyDescent="0.3">
      <c r="A2334" s="26" t="str">
        <f t="shared" si="76"/>
        <v/>
      </c>
    </row>
    <row r="2335" spans="1:1" x14ac:dyDescent="0.3">
      <c r="A2335" s="26" t="str">
        <f t="shared" si="76"/>
        <v/>
      </c>
    </row>
    <row r="2336" spans="1:1" x14ac:dyDescent="0.3">
      <c r="A2336" s="26" t="str">
        <f t="shared" si="76"/>
        <v/>
      </c>
    </row>
    <row r="2337" spans="1:1" x14ac:dyDescent="0.3">
      <c r="A2337" s="26" t="str">
        <f t="shared" si="76"/>
        <v/>
      </c>
    </row>
    <row r="2338" spans="1:1" x14ac:dyDescent="0.3">
      <c r="A2338" s="26" t="str">
        <f t="shared" si="76"/>
        <v/>
      </c>
    </row>
    <row r="2339" spans="1:1" x14ac:dyDescent="0.3">
      <c r="A2339" s="26" t="str">
        <f t="shared" si="76"/>
        <v/>
      </c>
    </row>
    <row r="2340" spans="1:1" x14ac:dyDescent="0.3">
      <c r="A2340" s="26" t="str">
        <f t="shared" si="76"/>
        <v/>
      </c>
    </row>
    <row r="2341" spans="1:1" x14ac:dyDescent="0.3">
      <c r="A2341" s="26" t="str">
        <f t="shared" si="76"/>
        <v/>
      </c>
    </row>
    <row r="2342" spans="1:1" x14ac:dyDescent="0.3">
      <c r="A2342" s="26" t="str">
        <f t="shared" si="76"/>
        <v/>
      </c>
    </row>
    <row r="2343" spans="1:1" x14ac:dyDescent="0.3">
      <c r="A2343" s="26" t="str">
        <f t="shared" si="76"/>
        <v/>
      </c>
    </row>
    <row r="2344" spans="1:1" x14ac:dyDescent="0.3">
      <c r="A2344" s="26" t="str">
        <f t="shared" si="76"/>
        <v/>
      </c>
    </row>
    <row r="2345" spans="1:1" x14ac:dyDescent="0.3">
      <c r="A2345" s="26" t="str">
        <f t="shared" si="76"/>
        <v/>
      </c>
    </row>
    <row r="2346" spans="1:1" x14ac:dyDescent="0.3">
      <c r="A2346" s="26" t="str">
        <f t="shared" si="76"/>
        <v/>
      </c>
    </row>
    <row r="2347" spans="1:1" x14ac:dyDescent="0.3">
      <c r="A2347" s="26" t="str">
        <f t="shared" si="76"/>
        <v/>
      </c>
    </row>
    <row r="2348" spans="1:1" x14ac:dyDescent="0.3">
      <c r="A2348" s="26" t="str">
        <f t="shared" si="76"/>
        <v/>
      </c>
    </row>
    <row r="2349" spans="1:1" x14ac:dyDescent="0.3">
      <c r="A2349" s="26" t="str">
        <f t="shared" si="76"/>
        <v/>
      </c>
    </row>
    <row r="2350" spans="1:1" x14ac:dyDescent="0.3">
      <c r="A2350" s="26" t="str">
        <f t="shared" si="76"/>
        <v/>
      </c>
    </row>
    <row r="2351" spans="1:1" x14ac:dyDescent="0.3">
      <c r="A2351" s="26" t="str">
        <f t="shared" si="76"/>
        <v/>
      </c>
    </row>
    <row r="2352" spans="1:1" x14ac:dyDescent="0.3">
      <c r="A2352" s="26" t="str">
        <f t="shared" si="76"/>
        <v/>
      </c>
    </row>
    <row r="2353" spans="1:1" x14ac:dyDescent="0.3">
      <c r="A2353" s="26" t="str">
        <f t="shared" si="76"/>
        <v/>
      </c>
    </row>
    <row r="2354" spans="1:1" x14ac:dyDescent="0.3">
      <c r="A2354" s="26" t="str">
        <f t="shared" si="76"/>
        <v/>
      </c>
    </row>
    <row r="2355" spans="1:1" x14ac:dyDescent="0.3">
      <c r="A2355" s="26" t="str">
        <f t="shared" si="76"/>
        <v/>
      </c>
    </row>
    <row r="2356" spans="1:1" x14ac:dyDescent="0.3">
      <c r="A2356" s="26" t="str">
        <f t="shared" si="76"/>
        <v/>
      </c>
    </row>
    <row r="2357" spans="1:1" x14ac:dyDescent="0.3">
      <c r="A2357" s="26" t="str">
        <f t="shared" si="76"/>
        <v/>
      </c>
    </row>
    <row r="2358" spans="1:1" x14ac:dyDescent="0.3">
      <c r="A2358" s="26" t="str">
        <f t="shared" si="76"/>
        <v/>
      </c>
    </row>
    <row r="2359" spans="1:1" x14ac:dyDescent="0.3">
      <c r="A2359" s="26" t="str">
        <f t="shared" si="76"/>
        <v/>
      </c>
    </row>
    <row r="2360" spans="1:1" x14ac:dyDescent="0.3">
      <c r="A2360" s="26" t="str">
        <f t="shared" si="76"/>
        <v/>
      </c>
    </row>
  </sheetData>
  <conditionalFormatting sqref="J53:Z5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{D2A1A50F-7DFD-48CD-AB20-B4915EB36F8F}</x14:id>
        </ext>
      </extLst>
    </cfRule>
  </conditionalFormatting>
  <dataValidations count="1">
    <dataValidation type="list" errorStyle="information" allowBlank="1" showInputMessage="1" showErrorMessage="1" errorTitle="Passt was nicht" sqref="D59:V59" xr:uid="{284AA7F6-737B-4194-A37B-808C7EC2E3A9}">
      <formula1>$A$70:$A$78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abelle1.Kein_Bock_Manuell">
                <anchor moveWithCells="1">
                  <from>
                    <xdr:col>2</xdr:col>
                    <xdr:colOff>0</xdr:colOff>
                    <xdr:row>118</xdr:row>
                    <xdr:rowOff>152400</xdr:rowOff>
                  </from>
                  <to>
                    <xdr:col>3</xdr:col>
                    <xdr:colOff>891540</xdr:colOff>
                    <xdr:row>122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2A1A50F-7DFD-48CD-AB20-B4915EB36F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J53:Z57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3859-B560-459F-9E34-779312C37722}">
  <sheetPr codeName="Tabelle15"/>
  <dimension ref="A1:AG1383"/>
  <sheetViews>
    <sheetView topLeftCell="Q1" zoomScale="85" zoomScaleNormal="85" workbookViewId="0">
      <selection activeCell="Y21" sqref="Y21"/>
    </sheetView>
  </sheetViews>
  <sheetFormatPr baseColWidth="10" defaultRowHeight="15.6" x14ac:dyDescent="0.3"/>
  <cols>
    <col min="1" max="1" width="29.77734375" style="128" bestFit="1" customWidth="1"/>
    <col min="2" max="2" width="31.77734375" style="128" bestFit="1" customWidth="1"/>
    <col min="3" max="3" width="13" style="128" bestFit="1" customWidth="1"/>
    <col min="4" max="4" width="20.109375" style="128" bestFit="1" customWidth="1"/>
    <col min="5" max="14" width="13.77734375" style="128" bestFit="1" customWidth="1"/>
    <col min="15" max="15" width="12.6640625" style="128" bestFit="1" customWidth="1"/>
    <col min="16" max="16" width="13.77734375" style="128" bestFit="1" customWidth="1"/>
    <col min="17" max="19" width="12.77734375" style="128" bestFit="1" customWidth="1"/>
    <col min="20" max="23" width="14.33203125" style="128" bestFit="1" customWidth="1"/>
    <col min="24" max="24" width="14.33203125" style="130" bestFit="1" customWidth="1"/>
    <col min="25" max="26" width="12.77734375" style="128" bestFit="1" customWidth="1"/>
    <col min="27" max="27" width="14.33203125" style="128" bestFit="1" customWidth="1"/>
    <col min="28" max="28" width="20.21875" style="128" bestFit="1" customWidth="1"/>
    <col min="29" max="29" width="29.77734375" style="128" bestFit="1" customWidth="1"/>
    <col min="30" max="30" width="31.77734375" style="128" bestFit="1" customWidth="1"/>
    <col min="31" max="31" width="13" style="128" bestFit="1" customWidth="1"/>
    <col min="32" max="33" width="20.109375" style="128" bestFit="1" customWidth="1"/>
    <col min="34" max="16384" width="11.5546875" style="128"/>
  </cols>
  <sheetData>
    <row r="1" spans="1:33" x14ac:dyDescent="0.3">
      <c r="A1" s="128" t="s">
        <v>136</v>
      </c>
      <c r="B1" s="128" t="s">
        <v>14</v>
      </c>
      <c r="C1" s="128" t="s">
        <v>15</v>
      </c>
      <c r="D1" s="128" t="s">
        <v>16</v>
      </c>
      <c r="E1" s="128" t="s">
        <v>17</v>
      </c>
      <c r="F1" s="128" t="s">
        <v>18</v>
      </c>
      <c r="G1" s="128" t="s">
        <v>19</v>
      </c>
      <c r="H1" s="128" t="s">
        <v>20</v>
      </c>
      <c r="I1" s="128" t="s">
        <v>21</v>
      </c>
      <c r="J1" s="128" t="s">
        <v>22</v>
      </c>
      <c r="K1" s="128" t="s">
        <v>23</v>
      </c>
      <c r="L1" s="128" t="s">
        <v>24</v>
      </c>
      <c r="M1" s="128" t="s">
        <v>25</v>
      </c>
      <c r="N1" s="128" t="s">
        <v>26</v>
      </c>
      <c r="O1" s="128" t="s">
        <v>27</v>
      </c>
      <c r="P1" s="128" t="s">
        <v>28</v>
      </c>
      <c r="Q1" s="128" t="s">
        <v>29</v>
      </c>
      <c r="R1" s="128" t="s">
        <v>30</v>
      </c>
      <c r="S1" s="128" t="s">
        <v>31</v>
      </c>
      <c r="T1" s="128" t="s">
        <v>32</v>
      </c>
      <c r="U1" s="128" t="s">
        <v>33</v>
      </c>
      <c r="V1" s="128" t="s">
        <v>34</v>
      </c>
      <c r="W1" s="128" t="s">
        <v>137</v>
      </c>
      <c r="X1" s="130" t="s">
        <v>138</v>
      </c>
      <c r="AC1" s="1" t="s">
        <v>139</v>
      </c>
      <c r="AD1" s="1" t="s">
        <v>140</v>
      </c>
      <c r="AE1"/>
      <c r="AF1"/>
      <c r="AG1"/>
    </row>
    <row r="2" spans="1:33" x14ac:dyDescent="0.3">
      <c r="A2" s="128" t="s">
        <v>134</v>
      </c>
      <c r="C2" s="129">
        <v>-217.78</v>
      </c>
      <c r="D2" s="129">
        <v>-369.11</v>
      </c>
      <c r="E2" s="129">
        <v>-458.81</v>
      </c>
      <c r="F2" s="129">
        <v>-796.68</v>
      </c>
      <c r="G2" s="129">
        <v>-1054.1500000000001</v>
      </c>
      <c r="H2" s="129">
        <v>-1241.81</v>
      </c>
      <c r="I2" s="129">
        <v>-1348.81</v>
      </c>
      <c r="J2" s="129">
        <v>-1375.97</v>
      </c>
      <c r="K2" s="129">
        <v>-1334.46</v>
      </c>
      <c r="L2" s="129">
        <v>-2986.54</v>
      </c>
      <c r="M2" s="129">
        <v>-2769.13</v>
      </c>
      <c r="N2" s="129">
        <v>-2470.71</v>
      </c>
      <c r="O2" s="129">
        <v>-2104.66</v>
      </c>
      <c r="P2" s="129">
        <v>561.44000000000005</v>
      </c>
      <c r="Q2" s="129">
        <v>3084.1</v>
      </c>
      <c r="R2" s="129">
        <v>5471.04</v>
      </c>
      <c r="S2" s="129">
        <v>7729.57</v>
      </c>
      <c r="T2" s="129">
        <v>9866.58</v>
      </c>
      <c r="U2" s="129">
        <v>11888.63</v>
      </c>
      <c r="V2" s="129">
        <v>13801.89</v>
      </c>
      <c r="W2" s="128" t="s">
        <v>11</v>
      </c>
      <c r="X2" s="130">
        <v>2803.2</v>
      </c>
      <c r="AC2" s="1" t="s">
        <v>40</v>
      </c>
      <c r="AD2" t="s">
        <v>11</v>
      </c>
      <c r="AE2" t="s">
        <v>135</v>
      </c>
      <c r="AF2" t="s">
        <v>41</v>
      </c>
      <c r="AG2"/>
    </row>
    <row r="3" spans="1:33" x14ac:dyDescent="0.3">
      <c r="A3" s="128" t="s">
        <v>134</v>
      </c>
      <c r="C3" s="129">
        <v>168.25</v>
      </c>
      <c r="D3" s="129">
        <v>334.12</v>
      </c>
      <c r="E3" s="129">
        <v>497.69</v>
      </c>
      <c r="F3" s="129">
        <v>659.05</v>
      </c>
      <c r="G3" s="129">
        <v>818.28</v>
      </c>
      <c r="H3" s="129">
        <v>975.45</v>
      </c>
      <c r="I3" s="129">
        <v>1130.6500000000001</v>
      </c>
      <c r="J3" s="129">
        <v>1283.95</v>
      </c>
      <c r="K3" s="129">
        <v>1435.43</v>
      </c>
      <c r="L3" s="129">
        <v>1585.16</v>
      </c>
      <c r="M3" s="129">
        <v>1745.63</v>
      </c>
      <c r="N3" s="129">
        <v>1904.68</v>
      </c>
      <c r="O3" s="129">
        <v>2062.37</v>
      </c>
      <c r="P3" s="129">
        <v>2218.77</v>
      </c>
      <c r="Q3" s="129">
        <v>2373.96</v>
      </c>
      <c r="R3" s="129">
        <v>2527.9899999999998</v>
      </c>
      <c r="S3" s="129">
        <v>2680.95</v>
      </c>
      <c r="T3" s="129">
        <v>2832.89</v>
      </c>
      <c r="U3" s="129">
        <v>2983.88</v>
      </c>
      <c r="V3" s="129">
        <v>3133.98</v>
      </c>
      <c r="W3" s="128" t="s">
        <v>135</v>
      </c>
      <c r="X3" s="130">
        <v>2803.2</v>
      </c>
      <c r="AC3" s="2">
        <v>3.1999999999998181</v>
      </c>
      <c r="AD3" s="3">
        <v>-15234.08</v>
      </c>
      <c r="AE3" s="3">
        <v>4.04</v>
      </c>
      <c r="AF3" s="3">
        <v>-15230.039999999999</v>
      </c>
      <c r="AG3"/>
    </row>
    <row r="4" spans="1:33" x14ac:dyDescent="0.3">
      <c r="A4" s="128" t="s">
        <v>134</v>
      </c>
      <c r="C4" s="129">
        <v>-239.27</v>
      </c>
      <c r="D4" s="129">
        <v>-412.69</v>
      </c>
      <c r="E4" s="129">
        <v>-524.91</v>
      </c>
      <c r="F4" s="129">
        <v>-898.28</v>
      </c>
      <c r="G4" s="129">
        <v>-1191.68</v>
      </c>
      <c r="H4" s="129">
        <v>-1403.35</v>
      </c>
      <c r="I4" s="129">
        <v>-1547.36</v>
      </c>
      <c r="J4" s="129">
        <v>-1611.99</v>
      </c>
      <c r="K4" s="129">
        <v>-1596.05</v>
      </c>
      <c r="L4" s="129">
        <v>-3274.3</v>
      </c>
      <c r="M4" s="129">
        <v>-3083.73</v>
      </c>
      <c r="N4" s="129">
        <v>-2825.61</v>
      </c>
      <c r="O4" s="129">
        <v>-2488.4299999999998</v>
      </c>
      <c r="P4" s="129">
        <v>434.55</v>
      </c>
      <c r="Q4" s="129">
        <v>3200.27</v>
      </c>
      <c r="R4" s="129">
        <v>5817.19</v>
      </c>
      <c r="S4" s="129">
        <v>8293.32</v>
      </c>
      <c r="T4" s="129">
        <v>10636.24</v>
      </c>
      <c r="U4" s="129">
        <v>12853.1</v>
      </c>
      <c r="V4" s="129">
        <v>14950.7</v>
      </c>
      <c r="W4" s="128" t="s">
        <v>11</v>
      </c>
      <c r="X4" s="130">
        <v>2703.2</v>
      </c>
      <c r="AC4" s="2">
        <v>103.19999999999982</v>
      </c>
      <c r="AD4" s="3">
        <v>-14612.05</v>
      </c>
      <c r="AE4" s="3">
        <v>131.51</v>
      </c>
      <c r="AF4" s="3">
        <v>-14480.539999999999</v>
      </c>
      <c r="AG4"/>
    </row>
    <row r="5" spans="1:33" x14ac:dyDescent="0.3">
      <c r="A5" s="128" t="s">
        <v>134</v>
      </c>
      <c r="C5" s="129">
        <v>161.36000000000001</v>
      </c>
      <c r="D5" s="129">
        <v>320.42</v>
      </c>
      <c r="E5" s="129">
        <v>477.24</v>
      </c>
      <c r="F5" s="129">
        <v>631.91999999999996</v>
      </c>
      <c r="G5" s="129">
        <v>784.53</v>
      </c>
      <c r="H5" s="129">
        <v>935.14</v>
      </c>
      <c r="I5" s="129">
        <v>1083.8399999999999</v>
      </c>
      <c r="J5" s="129">
        <v>1243.1199999999999</v>
      </c>
      <c r="K5" s="129">
        <v>1400.8</v>
      </c>
      <c r="L5" s="129">
        <v>1556.96</v>
      </c>
      <c r="M5" s="129">
        <v>1711.68</v>
      </c>
      <c r="N5" s="129">
        <v>1865.01</v>
      </c>
      <c r="O5" s="129">
        <v>2017.04</v>
      </c>
      <c r="P5" s="129">
        <v>2167.8200000000002</v>
      </c>
      <c r="Q5" s="129">
        <v>2317.4299999999998</v>
      </c>
      <c r="R5" s="129">
        <v>2465.9299999999998</v>
      </c>
      <c r="S5" s="129">
        <v>2613.39</v>
      </c>
      <c r="T5" s="129">
        <v>2759.87</v>
      </c>
      <c r="U5" s="129">
        <v>2905.43</v>
      </c>
      <c r="V5" s="129">
        <v>3050.13</v>
      </c>
      <c r="W5" s="128" t="s">
        <v>135</v>
      </c>
      <c r="X5" s="130">
        <v>2703.2</v>
      </c>
      <c r="AC5" s="2">
        <v>203.19999999999982</v>
      </c>
      <c r="AD5" s="3">
        <v>-14001.9</v>
      </c>
      <c r="AE5" s="3">
        <v>258.94</v>
      </c>
      <c r="AF5" s="3">
        <v>-13742.96</v>
      </c>
      <c r="AG5"/>
    </row>
    <row r="6" spans="1:33" x14ac:dyDescent="0.3">
      <c r="A6" s="128" t="s">
        <v>134</v>
      </c>
      <c r="C6" s="129">
        <v>-273.18</v>
      </c>
      <c r="D6" s="129">
        <v>-481.01</v>
      </c>
      <c r="E6" s="129">
        <v>-627.97</v>
      </c>
      <c r="F6" s="129">
        <v>-1024.0999999999999</v>
      </c>
      <c r="G6" s="129">
        <v>-1340.79</v>
      </c>
      <c r="H6" s="129">
        <v>-1588.79</v>
      </c>
      <c r="I6" s="129">
        <v>-1757.19</v>
      </c>
      <c r="J6" s="129">
        <v>-1846.78</v>
      </c>
      <c r="K6" s="129">
        <v>-1868.85</v>
      </c>
      <c r="L6" s="129">
        <v>-3585.58</v>
      </c>
      <c r="M6" s="129">
        <v>-3434.08</v>
      </c>
      <c r="N6" s="129">
        <v>-3203.31</v>
      </c>
      <c r="O6" s="129">
        <v>-2906.9</v>
      </c>
      <c r="P6" s="129">
        <v>-2529.48</v>
      </c>
      <c r="Q6" s="129">
        <v>536.13</v>
      </c>
      <c r="R6" s="129">
        <v>3436.81</v>
      </c>
      <c r="S6" s="129">
        <v>6181.44</v>
      </c>
      <c r="T6" s="129">
        <v>8778.41</v>
      </c>
      <c r="U6" s="129">
        <v>11235.65</v>
      </c>
      <c r="V6" s="129">
        <v>13560.7</v>
      </c>
      <c r="W6" s="128" t="s">
        <v>11</v>
      </c>
      <c r="X6" s="130">
        <v>2603.1999999999998</v>
      </c>
      <c r="AC6" s="2">
        <v>303.19999999999982</v>
      </c>
      <c r="AD6" s="3">
        <v>-13354.69</v>
      </c>
      <c r="AE6" s="3">
        <v>386.37</v>
      </c>
      <c r="AF6" s="3">
        <v>-12968.32</v>
      </c>
      <c r="AG6"/>
    </row>
    <row r="7" spans="1:33" x14ac:dyDescent="0.3">
      <c r="A7" s="128" t="s">
        <v>134</v>
      </c>
      <c r="C7" s="129">
        <v>154.47</v>
      </c>
      <c r="D7" s="129">
        <v>306.70999999999998</v>
      </c>
      <c r="E7" s="129">
        <v>456.79</v>
      </c>
      <c r="F7" s="129">
        <v>604.79</v>
      </c>
      <c r="G7" s="129">
        <v>750.78</v>
      </c>
      <c r="H7" s="129">
        <v>907.26</v>
      </c>
      <c r="I7" s="129">
        <v>1062.06</v>
      </c>
      <c r="J7" s="129">
        <v>1215.24</v>
      </c>
      <c r="K7" s="129">
        <v>1366.89</v>
      </c>
      <c r="L7" s="129">
        <v>1517.08</v>
      </c>
      <c r="M7" s="129">
        <v>1665.86</v>
      </c>
      <c r="N7" s="129">
        <v>1813.31</v>
      </c>
      <c r="O7" s="129">
        <v>1959.5</v>
      </c>
      <c r="P7" s="129">
        <v>2104.4899999999998</v>
      </c>
      <c r="Q7" s="129">
        <v>2248.35</v>
      </c>
      <c r="R7" s="129">
        <v>2391.13</v>
      </c>
      <c r="S7" s="129">
        <v>2532.91</v>
      </c>
      <c r="T7" s="129">
        <v>2673.74</v>
      </c>
      <c r="U7" s="129">
        <v>2813.69</v>
      </c>
      <c r="V7" s="129">
        <v>2952.81</v>
      </c>
      <c r="W7" s="128" t="s">
        <v>135</v>
      </c>
      <c r="X7" s="130">
        <v>2603.1999999999998</v>
      </c>
      <c r="AC7" s="2">
        <v>403.19999999999982</v>
      </c>
      <c r="AD7" s="3">
        <v>-12708.72</v>
      </c>
      <c r="AE7" s="3">
        <v>513.79999999999995</v>
      </c>
      <c r="AF7" s="3">
        <v>-12194.92</v>
      </c>
      <c r="AG7"/>
    </row>
    <row r="8" spans="1:33" x14ac:dyDescent="0.3">
      <c r="A8" s="128" t="s">
        <v>134</v>
      </c>
      <c r="C8" s="129">
        <v>-294.67</v>
      </c>
      <c r="D8" s="129">
        <v>-537.01</v>
      </c>
      <c r="E8" s="129">
        <v>-718.82</v>
      </c>
      <c r="F8" s="129">
        <v>-1150.23</v>
      </c>
      <c r="G8" s="129">
        <v>-1502.63</v>
      </c>
      <c r="H8" s="129">
        <v>-1774.44</v>
      </c>
      <c r="I8" s="129">
        <v>-1967.22</v>
      </c>
      <c r="J8" s="129">
        <v>-2094.1799999999998</v>
      </c>
      <c r="K8" s="129">
        <v>-2141.7399999999998</v>
      </c>
      <c r="L8" s="129">
        <v>-3884.53</v>
      </c>
      <c r="M8" s="129">
        <v>-3759.78</v>
      </c>
      <c r="N8" s="129">
        <v>-3568.85</v>
      </c>
      <c r="O8" s="129">
        <v>-3300.79</v>
      </c>
      <c r="P8" s="129">
        <v>-2965.26</v>
      </c>
      <c r="Q8" s="129">
        <v>-2547.44</v>
      </c>
      <c r="R8" s="129">
        <v>638.49</v>
      </c>
      <c r="S8" s="129">
        <v>3653.01</v>
      </c>
      <c r="T8" s="129">
        <v>6505.35</v>
      </c>
      <c r="U8" s="129">
        <v>9204.24</v>
      </c>
      <c r="V8" s="129">
        <v>11757.93</v>
      </c>
      <c r="W8" s="128" t="s">
        <v>11</v>
      </c>
      <c r="X8" s="130">
        <v>2503.1999999999998</v>
      </c>
      <c r="AC8" s="2">
        <v>503.19999999999982</v>
      </c>
      <c r="AD8" s="3">
        <v>-12108.96</v>
      </c>
      <c r="AE8" s="3">
        <v>641.23</v>
      </c>
      <c r="AF8" s="3">
        <v>-11467.73</v>
      </c>
      <c r="AG8"/>
    </row>
    <row r="9" spans="1:33" x14ac:dyDescent="0.3">
      <c r="A9" s="128" t="s">
        <v>134</v>
      </c>
      <c r="C9" s="129">
        <v>147.59</v>
      </c>
      <c r="D9" s="129">
        <v>293.01</v>
      </c>
      <c r="E9" s="129">
        <v>448.76</v>
      </c>
      <c r="F9" s="129">
        <v>602.67999999999995</v>
      </c>
      <c r="G9" s="129">
        <v>754.83</v>
      </c>
      <c r="H9" s="129">
        <v>905.3</v>
      </c>
      <c r="I9" s="129">
        <v>1054.1400000000001</v>
      </c>
      <c r="J9" s="129">
        <v>1201.44</v>
      </c>
      <c r="K9" s="129">
        <v>1347.26</v>
      </c>
      <c r="L9" s="129">
        <v>1491.66</v>
      </c>
      <c r="M9" s="129">
        <v>1634.72</v>
      </c>
      <c r="N9" s="129">
        <v>1776.51</v>
      </c>
      <c r="O9" s="129">
        <v>1917.07</v>
      </c>
      <c r="P9" s="129">
        <v>2056.4899999999998</v>
      </c>
      <c r="Q9" s="129">
        <v>2194.81</v>
      </c>
      <c r="R9" s="129">
        <v>2332.1</v>
      </c>
      <c r="S9" s="129">
        <v>2468.4299999999998</v>
      </c>
      <c r="T9" s="129">
        <v>2603.84</v>
      </c>
      <c r="U9" s="129">
        <v>2738.4</v>
      </c>
      <c r="V9" s="129">
        <v>2872.17</v>
      </c>
      <c r="W9" s="128" t="s">
        <v>135</v>
      </c>
      <c r="X9" s="130">
        <v>2503.1999999999998</v>
      </c>
      <c r="AC9" s="2">
        <v>603.19999999999982</v>
      </c>
      <c r="AD9" s="3">
        <v>-11428.37</v>
      </c>
      <c r="AE9" s="3">
        <v>768.66</v>
      </c>
      <c r="AF9" s="3">
        <v>-10659.710000000001</v>
      </c>
      <c r="AG9"/>
    </row>
    <row r="10" spans="1:33" x14ac:dyDescent="0.3">
      <c r="A10" s="128" t="s">
        <v>134</v>
      </c>
      <c r="C10" s="129">
        <v>-328.59</v>
      </c>
      <c r="D10" s="129">
        <v>-592.91</v>
      </c>
      <c r="E10" s="129">
        <v>-797.14</v>
      </c>
      <c r="F10" s="129">
        <v>-1251.52</v>
      </c>
      <c r="G10" s="129">
        <v>-1627.42</v>
      </c>
      <c r="H10" s="129">
        <v>-1935.77</v>
      </c>
      <c r="I10" s="129">
        <v>-2165.56</v>
      </c>
      <c r="J10" s="129">
        <v>-2317.58</v>
      </c>
      <c r="K10" s="129">
        <v>-2390.8200000000002</v>
      </c>
      <c r="L10" s="129">
        <v>-4172.29</v>
      </c>
      <c r="M10" s="129">
        <v>-4074.39</v>
      </c>
      <c r="N10" s="129">
        <v>-3910.99</v>
      </c>
      <c r="O10" s="129">
        <v>-3671.07</v>
      </c>
      <c r="P10" s="129">
        <v>-3364.82</v>
      </c>
      <c r="Q10" s="129">
        <v>-2977.5</v>
      </c>
      <c r="R10" s="129">
        <v>513.85</v>
      </c>
      <c r="S10" s="129">
        <v>3817.37</v>
      </c>
      <c r="T10" s="129">
        <v>6943.15</v>
      </c>
      <c r="U10" s="129">
        <v>9900.77</v>
      </c>
      <c r="V10" s="129">
        <v>12699.27</v>
      </c>
      <c r="W10" s="128" t="s">
        <v>11</v>
      </c>
      <c r="X10" s="130">
        <v>2403.1999999999998</v>
      </c>
      <c r="AC10" s="2">
        <v>703.19999999999982</v>
      </c>
      <c r="AD10" s="3">
        <v>-10816.84</v>
      </c>
      <c r="AE10" s="3">
        <v>896.1</v>
      </c>
      <c r="AF10" s="3">
        <v>-9920.74</v>
      </c>
      <c r="AG10"/>
    </row>
    <row r="11" spans="1:33" x14ac:dyDescent="0.3">
      <c r="A11" s="128" t="s">
        <v>134</v>
      </c>
      <c r="C11" s="129">
        <v>153.12</v>
      </c>
      <c r="D11" s="129">
        <v>304.33</v>
      </c>
      <c r="E11" s="129">
        <v>453.7</v>
      </c>
      <c r="F11" s="129">
        <v>601.29999999999995</v>
      </c>
      <c r="G11" s="129">
        <v>747.2</v>
      </c>
      <c r="H11" s="129">
        <v>891.48</v>
      </c>
      <c r="I11" s="129">
        <v>1034.2</v>
      </c>
      <c r="J11" s="129">
        <v>1175.43</v>
      </c>
      <c r="K11" s="129">
        <v>1315.25</v>
      </c>
      <c r="L11" s="129">
        <v>1453.7</v>
      </c>
      <c r="M11" s="129">
        <v>1590.86</v>
      </c>
      <c r="N11" s="129">
        <v>1726.79</v>
      </c>
      <c r="O11" s="129">
        <v>1861.54</v>
      </c>
      <c r="P11" s="129">
        <v>1995.19</v>
      </c>
      <c r="Q11" s="129">
        <v>2127.79</v>
      </c>
      <c r="R11" s="129">
        <v>2259.4</v>
      </c>
      <c r="S11" s="129">
        <v>2390.08</v>
      </c>
      <c r="T11" s="129">
        <v>2519.87</v>
      </c>
      <c r="U11" s="129">
        <v>2648.85</v>
      </c>
      <c r="V11" s="129">
        <v>2777.06</v>
      </c>
      <c r="W11" s="128" t="s">
        <v>135</v>
      </c>
      <c r="X11" s="130">
        <v>2403.1999999999998</v>
      </c>
      <c r="AC11" s="2">
        <v>803.19999999999982</v>
      </c>
      <c r="AD11" s="3">
        <v>-10194.02</v>
      </c>
      <c r="AE11" s="3">
        <v>1023.53</v>
      </c>
      <c r="AF11" s="3">
        <v>-9170.49</v>
      </c>
      <c r="AG11"/>
    </row>
    <row r="12" spans="1:33" x14ac:dyDescent="0.3">
      <c r="A12" s="128" t="s">
        <v>134</v>
      </c>
      <c r="C12" s="129">
        <v>-362.5</v>
      </c>
      <c r="D12" s="129">
        <v>-661.23</v>
      </c>
      <c r="E12" s="129">
        <v>-900.2</v>
      </c>
      <c r="F12" s="129">
        <v>-1389.76</v>
      </c>
      <c r="G12" s="129">
        <v>-1801.28</v>
      </c>
      <c r="H12" s="129">
        <v>-2133.33</v>
      </c>
      <c r="I12" s="129">
        <v>-2387.4</v>
      </c>
      <c r="J12" s="129">
        <v>-2576.69</v>
      </c>
      <c r="K12" s="129">
        <v>-2687.74</v>
      </c>
      <c r="L12" s="129">
        <v>-4495.0600000000004</v>
      </c>
      <c r="M12" s="129">
        <v>-4436.1400000000003</v>
      </c>
      <c r="N12" s="129">
        <v>-4299.8500000000004</v>
      </c>
      <c r="O12" s="129">
        <v>-4100.1099999999997</v>
      </c>
      <c r="P12" s="129">
        <v>-3822.49</v>
      </c>
      <c r="Q12" s="129">
        <v>-3477.48</v>
      </c>
      <c r="R12" s="129">
        <v>-3056.17</v>
      </c>
      <c r="S12" s="129">
        <v>604.01</v>
      </c>
      <c r="T12" s="129">
        <v>4067.27</v>
      </c>
      <c r="U12" s="129">
        <v>7344.21</v>
      </c>
      <c r="V12" s="129">
        <v>10444.85</v>
      </c>
      <c r="W12" s="128" t="s">
        <v>11</v>
      </c>
      <c r="X12" s="130">
        <v>2303.1999999999998</v>
      </c>
      <c r="AC12" s="2">
        <v>903.19999999999982</v>
      </c>
      <c r="AD12" s="3">
        <v>-9559.3700000000008</v>
      </c>
      <c r="AE12" s="3">
        <v>1150.96</v>
      </c>
      <c r="AF12" s="3">
        <v>-8408.41</v>
      </c>
      <c r="AG12"/>
    </row>
    <row r="13" spans="1:33" x14ac:dyDescent="0.3">
      <c r="A13" s="128" t="s">
        <v>134</v>
      </c>
      <c r="C13" s="129">
        <v>146.22999999999999</v>
      </c>
      <c r="D13" s="129">
        <v>290.62</v>
      </c>
      <c r="E13" s="129">
        <v>433.24</v>
      </c>
      <c r="F13" s="129">
        <v>574.16</v>
      </c>
      <c r="G13" s="129">
        <v>713.45</v>
      </c>
      <c r="H13" s="129">
        <v>851.17</v>
      </c>
      <c r="I13" s="129">
        <v>987.39</v>
      </c>
      <c r="J13" s="129">
        <v>1122.17</v>
      </c>
      <c r="K13" s="129">
        <v>1255.5899999999999</v>
      </c>
      <c r="L13" s="129">
        <v>1387.69</v>
      </c>
      <c r="M13" s="129">
        <v>1518.55</v>
      </c>
      <c r="N13" s="129">
        <v>1648.21</v>
      </c>
      <c r="O13" s="129">
        <v>1776.75</v>
      </c>
      <c r="P13" s="129">
        <v>1904.22</v>
      </c>
      <c r="Q13" s="129">
        <v>2030.67</v>
      </c>
      <c r="R13" s="129">
        <v>2156.16</v>
      </c>
      <c r="S13" s="129">
        <v>2280.75</v>
      </c>
      <c r="T13" s="129">
        <v>2404.4899999999998</v>
      </c>
      <c r="U13" s="129">
        <v>2527.4299999999998</v>
      </c>
      <c r="V13" s="129">
        <v>2649.63</v>
      </c>
      <c r="W13" s="128" t="s">
        <v>135</v>
      </c>
      <c r="X13" s="130">
        <v>2303.1999999999998</v>
      </c>
      <c r="AC13" s="2">
        <v>1003.1999999999998</v>
      </c>
      <c r="AD13" s="3">
        <v>-8913.19</v>
      </c>
      <c r="AE13" s="3">
        <v>1278.3900000000001</v>
      </c>
      <c r="AF13" s="3">
        <v>-7634.8</v>
      </c>
      <c r="AG13"/>
    </row>
    <row r="14" spans="1:33" x14ac:dyDescent="0.3">
      <c r="A14" s="128" t="s">
        <v>134</v>
      </c>
      <c r="C14" s="129">
        <v>-383.99</v>
      </c>
      <c r="D14" s="129">
        <v>-704.81</v>
      </c>
      <c r="E14" s="129">
        <v>-966.31</v>
      </c>
      <c r="F14" s="129">
        <v>-1478.94</v>
      </c>
      <c r="G14" s="129">
        <v>-1926.48</v>
      </c>
      <c r="H14" s="129">
        <v>-2295.0700000000002</v>
      </c>
      <c r="I14" s="129">
        <v>-2586.15</v>
      </c>
      <c r="J14" s="129">
        <v>-2800.49</v>
      </c>
      <c r="K14" s="129">
        <v>-2937.22</v>
      </c>
      <c r="L14" s="129">
        <v>-4783.2299999999996</v>
      </c>
      <c r="M14" s="129">
        <v>-4751.1499999999996</v>
      </c>
      <c r="N14" s="129">
        <v>-4654.8</v>
      </c>
      <c r="O14" s="129">
        <v>-4483.1000000000004</v>
      </c>
      <c r="P14" s="129">
        <v>-4234.26</v>
      </c>
      <c r="Q14" s="129">
        <v>-3919.27</v>
      </c>
      <c r="R14" s="129">
        <v>-3529.05</v>
      </c>
      <c r="S14" s="129">
        <v>473.03</v>
      </c>
      <c r="T14" s="129">
        <v>4259.79</v>
      </c>
      <c r="U14" s="129">
        <v>7842.83</v>
      </c>
      <c r="V14" s="129">
        <v>11233.1</v>
      </c>
      <c r="W14" s="128" t="s">
        <v>11</v>
      </c>
      <c r="X14" s="130">
        <v>2203.1999999999998</v>
      </c>
      <c r="AC14" s="2">
        <v>1103.1999999999998</v>
      </c>
      <c r="AD14" s="3">
        <v>-8290.76</v>
      </c>
      <c r="AE14" s="3">
        <v>1405.82</v>
      </c>
      <c r="AF14" s="3">
        <v>-6884.9400000000005</v>
      </c>
      <c r="AG14"/>
    </row>
    <row r="15" spans="1:33" x14ac:dyDescent="0.3">
      <c r="A15" s="128" t="s">
        <v>134</v>
      </c>
      <c r="C15" s="129">
        <v>139.34</v>
      </c>
      <c r="D15" s="129">
        <v>276.92</v>
      </c>
      <c r="E15" s="129">
        <v>412.79</v>
      </c>
      <c r="F15" s="129">
        <v>547.03</v>
      </c>
      <c r="G15" s="129">
        <v>679.7</v>
      </c>
      <c r="H15" s="129">
        <v>810.86</v>
      </c>
      <c r="I15" s="129">
        <v>940.58</v>
      </c>
      <c r="J15" s="129">
        <v>1068.9100000000001</v>
      </c>
      <c r="K15" s="129">
        <v>1195.93</v>
      </c>
      <c r="L15" s="129">
        <v>1321.69</v>
      </c>
      <c r="M15" s="129">
        <v>1446.24</v>
      </c>
      <c r="N15" s="129">
        <v>1569.64</v>
      </c>
      <c r="O15" s="129">
        <v>1691.96</v>
      </c>
      <c r="P15" s="129">
        <v>1813.24</v>
      </c>
      <c r="Q15" s="129">
        <v>1933.55</v>
      </c>
      <c r="R15" s="129">
        <v>2052.92</v>
      </c>
      <c r="S15" s="129">
        <v>2171.4299999999998</v>
      </c>
      <c r="T15" s="129">
        <v>2289.1</v>
      </c>
      <c r="U15" s="129">
        <v>2406.0100000000002</v>
      </c>
      <c r="V15" s="129">
        <v>2522.1999999999998</v>
      </c>
      <c r="W15" s="128" t="s">
        <v>135</v>
      </c>
      <c r="X15" s="130">
        <v>2203.1999999999998</v>
      </c>
      <c r="AC15" s="2">
        <v>1203.1999999999998</v>
      </c>
      <c r="AD15" s="3">
        <v>-7666.03</v>
      </c>
      <c r="AE15" s="3">
        <v>1533.25</v>
      </c>
      <c r="AF15" s="3">
        <v>-6132.78</v>
      </c>
      <c r="AG15"/>
    </row>
    <row r="16" spans="1:33" x14ac:dyDescent="0.3">
      <c r="A16" s="128" t="s">
        <v>134</v>
      </c>
      <c r="C16" s="129">
        <v>-417.91</v>
      </c>
      <c r="D16" s="129">
        <v>-773.13</v>
      </c>
      <c r="E16" s="129">
        <v>-1069.3699999999999</v>
      </c>
      <c r="F16" s="129">
        <v>-1617.19</v>
      </c>
      <c r="G16" s="129">
        <v>-2087.91</v>
      </c>
      <c r="H16" s="129">
        <v>-2480.3000000000002</v>
      </c>
      <c r="I16" s="129">
        <v>-2795.77</v>
      </c>
      <c r="J16" s="129">
        <v>-3047.49</v>
      </c>
      <c r="K16" s="129">
        <v>-3222.13</v>
      </c>
      <c r="L16" s="129">
        <v>-5094.1000000000004</v>
      </c>
      <c r="M16" s="129">
        <v>-5101.09</v>
      </c>
      <c r="N16" s="129">
        <v>-5031.96</v>
      </c>
      <c r="O16" s="129">
        <v>-4888.1099999999997</v>
      </c>
      <c r="P16" s="129">
        <v>-4680.28</v>
      </c>
      <c r="Q16" s="129">
        <v>-4394.66</v>
      </c>
      <c r="R16" s="129">
        <v>-4047.35</v>
      </c>
      <c r="S16" s="129">
        <v>-3625.2</v>
      </c>
      <c r="T16" s="129">
        <v>552.9</v>
      </c>
      <c r="U16" s="129">
        <v>4506.22</v>
      </c>
      <c r="V16" s="129">
        <v>8246.86</v>
      </c>
      <c r="W16" s="128" t="s">
        <v>11</v>
      </c>
      <c r="X16" s="130">
        <v>2103.1999999999998</v>
      </c>
      <c r="AC16" s="2">
        <v>1303.1999999999998</v>
      </c>
      <c r="AD16" s="3">
        <v>-7009.91</v>
      </c>
      <c r="AE16" s="3">
        <v>1581.57</v>
      </c>
      <c r="AF16" s="3">
        <v>-5428.34</v>
      </c>
      <c r="AG16"/>
    </row>
    <row r="17" spans="1:33" x14ac:dyDescent="0.3">
      <c r="A17" s="128" t="s">
        <v>134</v>
      </c>
      <c r="C17" s="129">
        <v>132.46</v>
      </c>
      <c r="D17" s="129">
        <v>263.20999999999998</v>
      </c>
      <c r="E17" s="129">
        <v>392.34</v>
      </c>
      <c r="F17" s="129">
        <v>519.9</v>
      </c>
      <c r="G17" s="129">
        <v>645.94000000000005</v>
      </c>
      <c r="H17" s="129">
        <v>770.55</v>
      </c>
      <c r="I17" s="129">
        <v>893.76</v>
      </c>
      <c r="J17" s="129">
        <v>1015.65</v>
      </c>
      <c r="K17" s="129">
        <v>1136.27</v>
      </c>
      <c r="L17" s="129">
        <v>1255.68</v>
      </c>
      <c r="M17" s="129">
        <v>1373.93</v>
      </c>
      <c r="N17" s="129">
        <v>1491.07</v>
      </c>
      <c r="O17" s="129">
        <v>1607.17</v>
      </c>
      <c r="P17" s="129">
        <v>1722.27</v>
      </c>
      <c r="Q17" s="129">
        <v>1836.43</v>
      </c>
      <c r="R17" s="129">
        <v>1949.69</v>
      </c>
      <c r="S17" s="129">
        <v>2062.1</v>
      </c>
      <c r="T17" s="129">
        <v>2173.7199999999998</v>
      </c>
      <c r="U17" s="129">
        <v>2284.59</v>
      </c>
      <c r="V17" s="129">
        <v>2394.77</v>
      </c>
      <c r="W17" s="128" t="s">
        <v>135</v>
      </c>
      <c r="X17" s="130">
        <v>2103.1999999999998</v>
      </c>
      <c r="AC17" s="2">
        <v>1403.1999999999998</v>
      </c>
      <c r="AD17" s="3">
        <v>-6408.66</v>
      </c>
      <c r="AE17" s="3">
        <v>1635.31</v>
      </c>
      <c r="AF17" s="3">
        <v>-4773.3500000000004</v>
      </c>
      <c r="AG17"/>
    </row>
    <row r="18" spans="1:33" x14ac:dyDescent="0.3">
      <c r="A18" s="128" t="s">
        <v>134</v>
      </c>
      <c r="C18" s="129">
        <v>-439.4</v>
      </c>
      <c r="D18" s="129">
        <v>-816.71</v>
      </c>
      <c r="E18" s="129">
        <v>-1135.47</v>
      </c>
      <c r="F18" s="129">
        <v>-1706.36</v>
      </c>
      <c r="G18" s="129">
        <v>-2213.11</v>
      </c>
      <c r="H18" s="129">
        <v>-2642.05</v>
      </c>
      <c r="I18" s="129">
        <v>-2994.52</v>
      </c>
      <c r="J18" s="129">
        <v>-3271.29</v>
      </c>
      <c r="K18" s="129">
        <v>-3471.61</v>
      </c>
      <c r="L18" s="129">
        <v>-5382.26</v>
      </c>
      <c r="M18" s="129">
        <v>-5416.1</v>
      </c>
      <c r="N18" s="129">
        <v>-5374.49</v>
      </c>
      <c r="O18" s="129">
        <v>-5271.21</v>
      </c>
      <c r="P18" s="129">
        <v>-5092.1499999999996</v>
      </c>
      <c r="Q18" s="129">
        <v>-4848.55</v>
      </c>
      <c r="R18" s="129">
        <v>-4531.68</v>
      </c>
      <c r="S18" s="129">
        <v>-4141.1000000000004</v>
      </c>
      <c r="T18" s="129">
        <v>-3687.55</v>
      </c>
      <c r="U18" s="129">
        <v>640.76</v>
      </c>
      <c r="V18" s="129">
        <v>4736.22</v>
      </c>
      <c r="W18" s="128" t="s">
        <v>11</v>
      </c>
      <c r="X18" s="130">
        <v>2003.1999999999998</v>
      </c>
      <c r="AC18" s="2">
        <v>1503.1999999999998</v>
      </c>
      <c r="AD18" s="3">
        <v>-5730.89</v>
      </c>
      <c r="AE18" s="3">
        <v>1680.96</v>
      </c>
      <c r="AF18" s="3">
        <v>-4049.9300000000003</v>
      </c>
      <c r="AG18"/>
    </row>
    <row r="19" spans="1:33" x14ac:dyDescent="0.3">
      <c r="A19" s="128" t="s">
        <v>134</v>
      </c>
      <c r="C19" s="129">
        <v>125.57</v>
      </c>
      <c r="D19" s="129">
        <v>249.51</v>
      </c>
      <c r="E19" s="129">
        <v>371.89</v>
      </c>
      <c r="F19" s="129">
        <v>492.76</v>
      </c>
      <c r="G19" s="129">
        <v>612.19000000000005</v>
      </c>
      <c r="H19" s="129">
        <v>730.24</v>
      </c>
      <c r="I19" s="129">
        <v>846.95</v>
      </c>
      <c r="J19" s="129">
        <v>962.39</v>
      </c>
      <c r="K19" s="129">
        <v>1076.6199999999999</v>
      </c>
      <c r="L19" s="129">
        <v>1189.67</v>
      </c>
      <c r="M19" s="129">
        <v>1301.6199999999999</v>
      </c>
      <c r="N19" s="129">
        <v>1412.5</v>
      </c>
      <c r="O19" s="129">
        <v>1522.38</v>
      </c>
      <c r="P19" s="129">
        <v>1631.3</v>
      </c>
      <c r="Q19" s="129">
        <v>1739.3</v>
      </c>
      <c r="R19" s="129">
        <v>1846.45</v>
      </c>
      <c r="S19" s="129">
        <v>1952.78</v>
      </c>
      <c r="T19" s="129">
        <v>2058.34</v>
      </c>
      <c r="U19" s="129">
        <v>2163.17</v>
      </c>
      <c r="V19" s="129">
        <v>2267.33</v>
      </c>
      <c r="W19" s="128" t="s">
        <v>135</v>
      </c>
      <c r="X19" s="130">
        <v>2003.1999999999998</v>
      </c>
      <c r="AC19" s="2">
        <v>1603.1999999999998</v>
      </c>
      <c r="AD19" s="3">
        <v>-5149.83</v>
      </c>
      <c r="AE19" s="3">
        <v>1757.61</v>
      </c>
      <c r="AF19" s="3">
        <v>-3392.2200000000003</v>
      </c>
      <c r="AG19"/>
    </row>
    <row r="20" spans="1:33" x14ac:dyDescent="0.3">
      <c r="A20" s="128" t="s">
        <v>134</v>
      </c>
      <c r="C20" s="129">
        <v>-473.31</v>
      </c>
      <c r="D20" s="129">
        <v>-885.03</v>
      </c>
      <c r="E20" s="129">
        <v>-1238.53</v>
      </c>
      <c r="F20" s="129">
        <v>-1844.61</v>
      </c>
      <c r="G20" s="129">
        <v>-2374.54</v>
      </c>
      <c r="H20" s="129">
        <v>-2827.28</v>
      </c>
      <c r="I20" s="129">
        <v>-3204.14</v>
      </c>
      <c r="J20" s="129">
        <v>-3505.87</v>
      </c>
      <c r="K20" s="129">
        <v>-3744.2</v>
      </c>
      <c r="L20" s="129">
        <v>-5680.92</v>
      </c>
      <c r="M20" s="129">
        <v>-5741.51</v>
      </c>
      <c r="N20" s="129">
        <v>-5739.74</v>
      </c>
      <c r="O20" s="129">
        <v>-5664.42</v>
      </c>
      <c r="P20" s="129">
        <v>-5514.05</v>
      </c>
      <c r="Q20" s="129">
        <v>-5299.96</v>
      </c>
      <c r="R20" s="129">
        <v>-5013.26</v>
      </c>
      <c r="S20" s="129">
        <v>-4666.42</v>
      </c>
      <c r="T20" s="129">
        <v>-4245.3999999999996</v>
      </c>
      <c r="U20" s="129">
        <v>-3758.53</v>
      </c>
      <c r="V20" s="129">
        <v>718.22</v>
      </c>
      <c r="W20" s="128" t="s">
        <v>11</v>
      </c>
      <c r="X20" s="130">
        <v>1903.1999999999998</v>
      </c>
      <c r="AC20" s="2">
        <v>1703.1999999999998</v>
      </c>
      <c r="AD20" s="3">
        <v>-4470.8900000000003</v>
      </c>
      <c r="AE20" s="3">
        <v>1885.04</v>
      </c>
      <c r="AF20" s="3">
        <v>-2585.8500000000004</v>
      </c>
      <c r="AG20"/>
    </row>
    <row r="21" spans="1:33" x14ac:dyDescent="0.3">
      <c r="A21" s="128" t="s">
        <v>134</v>
      </c>
      <c r="C21" s="129">
        <v>118.68</v>
      </c>
      <c r="D21" s="129">
        <v>235.8</v>
      </c>
      <c r="E21" s="129">
        <v>351.43</v>
      </c>
      <c r="F21" s="129">
        <v>465.63</v>
      </c>
      <c r="G21" s="129">
        <v>578.44000000000005</v>
      </c>
      <c r="H21" s="129">
        <v>689.93</v>
      </c>
      <c r="I21" s="129">
        <v>800.14</v>
      </c>
      <c r="J21" s="129">
        <v>909.13</v>
      </c>
      <c r="K21" s="129">
        <v>1016.96</v>
      </c>
      <c r="L21" s="129">
        <v>1123.67</v>
      </c>
      <c r="M21" s="129">
        <v>1229.31</v>
      </c>
      <c r="N21" s="129">
        <v>1333.93</v>
      </c>
      <c r="O21" s="129">
        <v>1437.59</v>
      </c>
      <c r="P21" s="129">
        <v>1540.32</v>
      </c>
      <c r="Q21" s="129">
        <v>1642.18</v>
      </c>
      <c r="R21" s="129">
        <v>1743.21</v>
      </c>
      <c r="S21" s="129">
        <v>1843.45</v>
      </c>
      <c r="T21" s="129">
        <v>1942.95</v>
      </c>
      <c r="U21" s="129">
        <v>2041.75</v>
      </c>
      <c r="V21" s="129">
        <v>2139.9</v>
      </c>
      <c r="W21" s="128" t="s">
        <v>135</v>
      </c>
      <c r="X21" s="130">
        <v>1903.1999999999998</v>
      </c>
      <c r="AC21" s="2">
        <v>1803.1999999999998</v>
      </c>
      <c r="AD21" s="3">
        <v>562.79</v>
      </c>
      <c r="AE21" s="3">
        <v>2012.47</v>
      </c>
      <c r="AF21" s="3">
        <v>2575.2600000000002</v>
      </c>
      <c r="AG21"/>
    </row>
    <row r="22" spans="1:33" x14ac:dyDescent="0.3">
      <c r="A22" s="128" t="s">
        <v>134</v>
      </c>
      <c r="C22" s="129">
        <v>-507.23</v>
      </c>
      <c r="D22" s="129">
        <v>-953.35</v>
      </c>
      <c r="E22" s="129">
        <v>-1341.6</v>
      </c>
      <c r="F22" s="129">
        <v>-1982.85</v>
      </c>
      <c r="G22" s="129">
        <v>-2548.4</v>
      </c>
      <c r="H22" s="129">
        <v>-3037.26</v>
      </c>
      <c r="I22" s="129">
        <v>-3450.72</v>
      </c>
      <c r="J22" s="129">
        <v>-3789.52</v>
      </c>
      <c r="K22" s="129">
        <v>-4053.02</v>
      </c>
      <c r="L22" s="129">
        <v>-6027.91</v>
      </c>
      <c r="M22" s="129">
        <v>-6127.27</v>
      </c>
      <c r="N22" s="129">
        <v>-6152.42</v>
      </c>
      <c r="O22" s="129">
        <v>-6104.64</v>
      </c>
      <c r="P22" s="129">
        <v>-5994.99</v>
      </c>
      <c r="Q22" s="129">
        <v>-5809.91</v>
      </c>
      <c r="R22" s="129">
        <v>-5565.3</v>
      </c>
      <c r="S22" s="129">
        <v>-5248.72</v>
      </c>
      <c r="T22" s="129">
        <v>-4859.24</v>
      </c>
      <c r="U22" s="129">
        <v>-4405.37</v>
      </c>
      <c r="V22" s="129">
        <v>562.79</v>
      </c>
      <c r="W22" s="128" t="s">
        <v>11</v>
      </c>
      <c r="X22" s="130">
        <v>1803.1999999999998</v>
      </c>
      <c r="AC22" s="2">
        <v>1903.1999999999998</v>
      </c>
      <c r="AD22" s="3">
        <v>718.22</v>
      </c>
      <c r="AE22" s="3">
        <v>2139.9</v>
      </c>
      <c r="AF22" s="3">
        <v>2858.12</v>
      </c>
      <c r="AG22"/>
    </row>
    <row r="23" spans="1:33" x14ac:dyDescent="0.3">
      <c r="A23" s="128" t="s">
        <v>134</v>
      </c>
      <c r="C23" s="129">
        <v>111.79</v>
      </c>
      <c r="D23" s="129">
        <v>222.1</v>
      </c>
      <c r="E23" s="129">
        <v>330.98</v>
      </c>
      <c r="F23" s="129">
        <v>438.49</v>
      </c>
      <c r="G23" s="129">
        <v>544.69000000000005</v>
      </c>
      <c r="H23" s="129">
        <v>649.61</v>
      </c>
      <c r="I23" s="129">
        <v>753.33</v>
      </c>
      <c r="J23" s="129">
        <v>855.87</v>
      </c>
      <c r="K23" s="129">
        <v>957.3</v>
      </c>
      <c r="L23" s="129">
        <v>1057.6600000000001</v>
      </c>
      <c r="M23" s="129">
        <v>1157</v>
      </c>
      <c r="N23" s="129">
        <v>1255.3599999999999</v>
      </c>
      <c r="O23" s="129">
        <v>1352.8</v>
      </c>
      <c r="P23" s="129">
        <v>1449.35</v>
      </c>
      <c r="Q23" s="129">
        <v>1545.06</v>
      </c>
      <c r="R23" s="129">
        <v>1639.97</v>
      </c>
      <c r="S23" s="129">
        <v>1734.13</v>
      </c>
      <c r="T23" s="129">
        <v>1827.57</v>
      </c>
      <c r="U23" s="129">
        <v>1920.34</v>
      </c>
      <c r="V23" s="129">
        <v>2012.47</v>
      </c>
      <c r="W23" s="128" t="s">
        <v>135</v>
      </c>
      <c r="X23" s="130">
        <v>1803.1999999999998</v>
      </c>
      <c r="AC23" s="2">
        <v>2003.1999999999998</v>
      </c>
      <c r="AD23" s="3">
        <v>4736.22</v>
      </c>
      <c r="AE23" s="3">
        <v>2267.33</v>
      </c>
      <c r="AF23" s="3">
        <v>7003.55</v>
      </c>
      <c r="AG23"/>
    </row>
    <row r="24" spans="1:33" x14ac:dyDescent="0.3">
      <c r="A24" s="128" t="s">
        <v>134</v>
      </c>
      <c r="C24" s="129">
        <v>-528.72</v>
      </c>
      <c r="D24" s="129">
        <v>-996.92</v>
      </c>
      <c r="E24" s="129">
        <v>-1407.7</v>
      </c>
      <c r="F24" s="129">
        <v>-2072.0300000000002</v>
      </c>
      <c r="G24" s="129">
        <v>-2661.18</v>
      </c>
      <c r="H24" s="129">
        <v>-3174.26</v>
      </c>
      <c r="I24" s="129">
        <v>-3612.52</v>
      </c>
      <c r="J24" s="129">
        <v>-3976.67</v>
      </c>
      <c r="K24" s="129">
        <v>-4278.6000000000004</v>
      </c>
      <c r="L24" s="129">
        <v>-6279.95</v>
      </c>
      <c r="M24" s="129">
        <v>-6406.46</v>
      </c>
      <c r="N24" s="129">
        <v>-6459.43</v>
      </c>
      <c r="O24" s="129">
        <v>-6452.52</v>
      </c>
      <c r="P24" s="129">
        <v>-6371.95</v>
      </c>
      <c r="Q24" s="129">
        <v>-6216.76</v>
      </c>
      <c r="R24" s="129">
        <v>-6002.7</v>
      </c>
      <c r="S24" s="129">
        <v>-5717.35</v>
      </c>
      <c r="T24" s="129">
        <v>-5372.41</v>
      </c>
      <c r="U24" s="129">
        <v>-4952.1000000000004</v>
      </c>
      <c r="V24" s="129">
        <v>-4470.8900000000003</v>
      </c>
      <c r="W24" s="128" t="s">
        <v>11</v>
      </c>
      <c r="X24" s="130">
        <v>1703.1999999999998</v>
      </c>
      <c r="AC24" s="2">
        <v>2103.1999999999998</v>
      </c>
      <c r="AD24" s="3">
        <v>8246.86</v>
      </c>
      <c r="AE24" s="3">
        <v>2394.77</v>
      </c>
      <c r="AF24" s="3">
        <v>10641.630000000001</v>
      </c>
      <c r="AG24"/>
    </row>
    <row r="25" spans="1:33" x14ac:dyDescent="0.3">
      <c r="A25" s="128" t="s">
        <v>134</v>
      </c>
      <c r="C25" s="129">
        <v>104.9</v>
      </c>
      <c r="D25" s="129">
        <v>208.39</v>
      </c>
      <c r="E25" s="129">
        <v>310.52999999999997</v>
      </c>
      <c r="F25" s="129">
        <v>411.36</v>
      </c>
      <c r="G25" s="129">
        <v>510.94</v>
      </c>
      <c r="H25" s="129">
        <v>609.29999999999995</v>
      </c>
      <c r="I25" s="129">
        <v>706.51</v>
      </c>
      <c r="J25" s="129">
        <v>802.61</v>
      </c>
      <c r="K25" s="129">
        <v>897.64</v>
      </c>
      <c r="L25" s="129">
        <v>991.65</v>
      </c>
      <c r="M25" s="129">
        <v>1084.69</v>
      </c>
      <c r="N25" s="129">
        <v>1176.79</v>
      </c>
      <c r="O25" s="129">
        <v>1268.01</v>
      </c>
      <c r="P25" s="129">
        <v>1358.38</v>
      </c>
      <c r="Q25" s="129">
        <v>1447.94</v>
      </c>
      <c r="R25" s="129">
        <v>1536.73</v>
      </c>
      <c r="S25" s="129">
        <v>1624.8</v>
      </c>
      <c r="T25" s="129">
        <v>1712.18</v>
      </c>
      <c r="U25" s="129">
        <v>1798.92</v>
      </c>
      <c r="V25" s="129">
        <v>1885.04</v>
      </c>
      <c r="W25" s="128" t="s">
        <v>135</v>
      </c>
      <c r="X25" s="130">
        <v>1703.1999999999998</v>
      </c>
      <c r="AC25" s="2">
        <v>2203.1999999999998</v>
      </c>
      <c r="AD25" s="3">
        <v>11233.1</v>
      </c>
      <c r="AE25" s="3">
        <v>2522.1999999999998</v>
      </c>
      <c r="AF25" s="3">
        <v>13755.3</v>
      </c>
      <c r="AG25"/>
    </row>
    <row r="26" spans="1:33" x14ac:dyDescent="0.3">
      <c r="A26" s="128" t="s">
        <v>134</v>
      </c>
      <c r="C26" s="129">
        <v>-562.63</v>
      </c>
      <c r="D26" s="129">
        <v>-1065.24</v>
      </c>
      <c r="E26" s="129">
        <v>-1510.76</v>
      </c>
      <c r="F26" s="129">
        <v>-2210.27</v>
      </c>
      <c r="G26" s="129">
        <v>-2835.03</v>
      </c>
      <c r="H26" s="129">
        <v>-3384.24</v>
      </c>
      <c r="I26" s="129">
        <v>-3859.1</v>
      </c>
      <c r="J26" s="129">
        <v>-4260.32</v>
      </c>
      <c r="K26" s="129">
        <v>-4587.42</v>
      </c>
      <c r="L26" s="129">
        <v>-6626.95</v>
      </c>
      <c r="M26" s="129">
        <v>-6792.22</v>
      </c>
      <c r="N26" s="129">
        <v>-6884.53</v>
      </c>
      <c r="O26" s="129">
        <v>-6905.07</v>
      </c>
      <c r="P26" s="129">
        <v>-6852.67</v>
      </c>
      <c r="Q26" s="129">
        <v>-6738.92</v>
      </c>
      <c r="R26" s="129">
        <v>-6554.43</v>
      </c>
      <c r="S26" s="129">
        <v>-6299.33</v>
      </c>
      <c r="T26" s="129">
        <v>-5985.41</v>
      </c>
      <c r="U26" s="129">
        <v>-5597.38</v>
      </c>
      <c r="V26" s="129">
        <v>-5149.83</v>
      </c>
      <c r="W26" s="128" t="s">
        <v>11</v>
      </c>
      <c r="X26" s="130">
        <v>1603.1999999999998</v>
      </c>
      <c r="AC26" s="2">
        <v>2303.1999999999998</v>
      </c>
      <c r="AD26" s="3">
        <v>10444.85</v>
      </c>
      <c r="AE26" s="3">
        <v>2649.63</v>
      </c>
      <c r="AF26" s="3">
        <v>13094.48</v>
      </c>
      <c r="AG26"/>
    </row>
    <row r="27" spans="1:33" x14ac:dyDescent="0.3">
      <c r="A27" s="128" t="s">
        <v>134</v>
      </c>
      <c r="C27" s="129">
        <v>98.01</v>
      </c>
      <c r="D27" s="129">
        <v>194.69</v>
      </c>
      <c r="E27" s="129">
        <v>290.08</v>
      </c>
      <c r="F27" s="129">
        <v>384.23</v>
      </c>
      <c r="G27" s="129">
        <v>477.18</v>
      </c>
      <c r="H27" s="129">
        <v>568.99</v>
      </c>
      <c r="I27" s="129">
        <v>659.7</v>
      </c>
      <c r="J27" s="129">
        <v>749.35</v>
      </c>
      <c r="K27" s="129">
        <v>837.99</v>
      </c>
      <c r="L27" s="129">
        <v>925.65</v>
      </c>
      <c r="M27" s="129">
        <v>1012.38</v>
      </c>
      <c r="N27" s="129">
        <v>1098.22</v>
      </c>
      <c r="O27" s="129">
        <v>1183.22</v>
      </c>
      <c r="P27" s="129">
        <v>1267.4000000000001</v>
      </c>
      <c r="Q27" s="129">
        <v>1350.81</v>
      </c>
      <c r="R27" s="129">
        <v>1433.49</v>
      </c>
      <c r="S27" s="129">
        <v>1515.47</v>
      </c>
      <c r="T27" s="129">
        <v>1596.8</v>
      </c>
      <c r="U27" s="129">
        <v>1677.5</v>
      </c>
      <c r="V27" s="129">
        <v>1757.61</v>
      </c>
      <c r="W27" s="128" t="s">
        <v>135</v>
      </c>
      <c r="X27" s="130">
        <v>1603.1999999999998</v>
      </c>
      <c r="AC27" s="2">
        <v>2403.1999999999998</v>
      </c>
      <c r="AD27" s="3">
        <v>12699.27</v>
      </c>
      <c r="AE27" s="3">
        <v>2777.06</v>
      </c>
      <c r="AF27" s="3">
        <v>15476.33</v>
      </c>
      <c r="AG27"/>
    </row>
    <row r="28" spans="1:33" x14ac:dyDescent="0.3">
      <c r="A28" s="128" t="s">
        <v>134</v>
      </c>
      <c r="C28" s="129">
        <v>-584.12</v>
      </c>
      <c r="D28" s="129">
        <v>-1108.82</v>
      </c>
      <c r="E28" s="129">
        <v>-1576.87</v>
      </c>
      <c r="F28" s="129">
        <v>-2299.4499999999998</v>
      </c>
      <c r="G28" s="129">
        <v>-2947.81</v>
      </c>
      <c r="H28" s="129">
        <v>-3521.24</v>
      </c>
      <c r="I28" s="129">
        <v>-4020.89</v>
      </c>
      <c r="J28" s="129">
        <v>-4447.4799999999996</v>
      </c>
      <c r="K28" s="129">
        <v>-4800.57</v>
      </c>
      <c r="L28" s="129">
        <v>-6866.66</v>
      </c>
      <c r="M28" s="129">
        <v>-7059.2</v>
      </c>
      <c r="N28" s="129">
        <v>-7179.43</v>
      </c>
      <c r="O28" s="129">
        <v>-7228.52</v>
      </c>
      <c r="P28" s="129">
        <v>-7217.83</v>
      </c>
      <c r="Q28" s="129">
        <v>-7134.07</v>
      </c>
      <c r="R28" s="129">
        <v>-6980.23</v>
      </c>
      <c r="S28" s="129">
        <v>-6768.88</v>
      </c>
      <c r="T28" s="129">
        <v>-6486.93</v>
      </c>
      <c r="U28" s="129">
        <v>-6144.25</v>
      </c>
      <c r="V28" s="129">
        <v>-5730.89</v>
      </c>
      <c r="W28" s="128" t="s">
        <v>11</v>
      </c>
      <c r="X28" s="130">
        <v>1503.1999999999998</v>
      </c>
      <c r="AC28" s="2">
        <v>2503.1999999999998</v>
      </c>
      <c r="AD28" s="3">
        <v>11757.93</v>
      </c>
      <c r="AE28" s="3">
        <v>2872.17</v>
      </c>
      <c r="AF28" s="3">
        <v>14630.1</v>
      </c>
      <c r="AG28"/>
    </row>
    <row r="29" spans="1:33" x14ac:dyDescent="0.3">
      <c r="A29" s="128" t="s">
        <v>134</v>
      </c>
      <c r="C29" s="129">
        <v>91.12</v>
      </c>
      <c r="D29" s="129">
        <v>180.98</v>
      </c>
      <c r="E29" s="129">
        <v>269.63</v>
      </c>
      <c r="F29" s="129">
        <v>357.09</v>
      </c>
      <c r="G29" s="129">
        <v>443.43</v>
      </c>
      <c r="H29" s="129">
        <v>528.67999999999995</v>
      </c>
      <c r="I29" s="129">
        <v>612.89</v>
      </c>
      <c r="J29" s="129">
        <v>696.09</v>
      </c>
      <c r="K29" s="129">
        <v>778.33</v>
      </c>
      <c r="L29" s="129">
        <v>859.64</v>
      </c>
      <c r="M29" s="129">
        <v>940.07</v>
      </c>
      <c r="N29" s="129">
        <v>1019.65</v>
      </c>
      <c r="O29" s="129">
        <v>1098.43</v>
      </c>
      <c r="P29" s="129">
        <v>1176.43</v>
      </c>
      <c r="Q29" s="129">
        <v>1253.69</v>
      </c>
      <c r="R29" s="129">
        <v>1330.25</v>
      </c>
      <c r="S29" s="129">
        <v>1418.57</v>
      </c>
      <c r="T29" s="129">
        <v>1506.44</v>
      </c>
      <c r="U29" s="129">
        <v>1593.89</v>
      </c>
      <c r="V29" s="129">
        <v>1680.96</v>
      </c>
      <c r="W29" s="128" t="s">
        <v>135</v>
      </c>
      <c r="X29" s="130">
        <v>1503.1999999999998</v>
      </c>
      <c r="AC29" s="2">
        <v>2603.1999999999998</v>
      </c>
      <c r="AD29" s="3">
        <v>13560.7</v>
      </c>
      <c r="AE29" s="3">
        <v>2952.81</v>
      </c>
      <c r="AF29" s="3">
        <v>16513.510000000002</v>
      </c>
      <c r="AG29"/>
    </row>
    <row r="30" spans="1:33" x14ac:dyDescent="0.3">
      <c r="A30" s="128" t="s">
        <v>134</v>
      </c>
      <c r="C30" s="129">
        <v>-618.04</v>
      </c>
      <c r="D30" s="129">
        <v>-1177.1400000000001</v>
      </c>
      <c r="E30" s="129">
        <v>-1679.93</v>
      </c>
      <c r="F30" s="129">
        <v>-2437.69</v>
      </c>
      <c r="G30" s="129">
        <v>-3121.67</v>
      </c>
      <c r="H30" s="129">
        <v>-3731.22</v>
      </c>
      <c r="I30" s="129">
        <v>-4267.47</v>
      </c>
      <c r="J30" s="129">
        <v>-4731.12</v>
      </c>
      <c r="K30" s="129">
        <v>-5121.8100000000004</v>
      </c>
      <c r="L30" s="129">
        <v>-7225.98</v>
      </c>
      <c r="M30" s="129">
        <v>-7444.75</v>
      </c>
      <c r="N30" s="129">
        <v>-7591.9</v>
      </c>
      <c r="O30" s="129">
        <v>-7680.96</v>
      </c>
      <c r="P30" s="129">
        <v>-7698.46</v>
      </c>
      <c r="Q30" s="129">
        <v>-7643.71</v>
      </c>
      <c r="R30" s="129">
        <v>-7531.96</v>
      </c>
      <c r="S30" s="129">
        <v>-7350.87</v>
      </c>
      <c r="T30" s="129">
        <v>-7099.93</v>
      </c>
      <c r="U30" s="129">
        <v>-6789.23</v>
      </c>
      <c r="V30" s="129">
        <v>-6408.66</v>
      </c>
      <c r="W30" s="128" t="s">
        <v>11</v>
      </c>
      <c r="X30" s="130">
        <v>1403.1999999999998</v>
      </c>
      <c r="AC30" s="2">
        <v>2703.2</v>
      </c>
      <c r="AD30" s="3">
        <v>14950.7</v>
      </c>
      <c r="AE30" s="3">
        <v>3050.13</v>
      </c>
      <c r="AF30" s="3">
        <v>18000.830000000002</v>
      </c>
      <c r="AG30"/>
    </row>
    <row r="31" spans="1:33" x14ac:dyDescent="0.3">
      <c r="A31" s="128" t="s">
        <v>134</v>
      </c>
      <c r="C31" s="129">
        <v>84.24</v>
      </c>
      <c r="D31" s="129">
        <v>167.28</v>
      </c>
      <c r="E31" s="129">
        <v>249.17</v>
      </c>
      <c r="F31" s="129">
        <v>329.96</v>
      </c>
      <c r="G31" s="129">
        <v>409.68</v>
      </c>
      <c r="H31" s="129">
        <v>488.37</v>
      </c>
      <c r="I31" s="129">
        <v>566.08000000000004</v>
      </c>
      <c r="J31" s="129">
        <v>642.83000000000004</v>
      </c>
      <c r="K31" s="129">
        <v>718.67</v>
      </c>
      <c r="L31" s="129">
        <v>793.64</v>
      </c>
      <c r="M31" s="129">
        <v>880.19</v>
      </c>
      <c r="N31" s="129">
        <v>966.11</v>
      </c>
      <c r="O31" s="129">
        <v>1051.45</v>
      </c>
      <c r="P31" s="129">
        <v>1136.23</v>
      </c>
      <c r="Q31" s="129">
        <v>1220.5</v>
      </c>
      <c r="R31" s="129">
        <v>1304.28</v>
      </c>
      <c r="S31" s="129">
        <v>1387.62</v>
      </c>
      <c r="T31" s="129">
        <v>1470.55</v>
      </c>
      <c r="U31" s="129">
        <v>1553.1</v>
      </c>
      <c r="V31" s="129">
        <v>1635.31</v>
      </c>
      <c r="W31" s="128" t="s">
        <v>135</v>
      </c>
      <c r="X31" s="130">
        <v>1403.1999999999998</v>
      </c>
      <c r="AC31" s="2">
        <v>2803.2</v>
      </c>
      <c r="AD31" s="3">
        <v>13801.89</v>
      </c>
      <c r="AE31" s="3">
        <v>3133.98</v>
      </c>
      <c r="AF31" s="3">
        <v>16935.87</v>
      </c>
      <c r="AG31"/>
    </row>
    <row r="32" spans="1:33" x14ac:dyDescent="0.3">
      <c r="A32" s="128" t="s">
        <v>134</v>
      </c>
      <c r="C32" s="129">
        <v>-651.95000000000005</v>
      </c>
      <c r="D32" s="129">
        <v>-1233.04</v>
      </c>
      <c r="E32" s="129">
        <v>-1758.25</v>
      </c>
      <c r="F32" s="129">
        <v>-2538.98</v>
      </c>
      <c r="G32" s="129">
        <v>-3246.45</v>
      </c>
      <c r="H32" s="129">
        <v>-3880.12</v>
      </c>
      <c r="I32" s="129">
        <v>-4441.07</v>
      </c>
      <c r="J32" s="129">
        <v>-4929.9799999999996</v>
      </c>
      <c r="K32" s="129">
        <v>-5346.56</v>
      </c>
      <c r="L32" s="129">
        <v>-7489.63</v>
      </c>
      <c r="M32" s="129">
        <v>-7747.88</v>
      </c>
      <c r="N32" s="129">
        <v>-7935.07</v>
      </c>
      <c r="O32" s="129">
        <v>-8052.27</v>
      </c>
      <c r="P32" s="129">
        <v>-8098.64</v>
      </c>
      <c r="Q32" s="129">
        <v>-8086.01</v>
      </c>
      <c r="R32" s="129">
        <v>-8004.51</v>
      </c>
      <c r="S32" s="129">
        <v>-7854.35</v>
      </c>
      <c r="T32" s="129">
        <v>-7635.09</v>
      </c>
      <c r="U32" s="129">
        <v>-7357.02</v>
      </c>
      <c r="V32" s="129">
        <v>-7009.91</v>
      </c>
      <c r="W32" s="128" t="s">
        <v>11</v>
      </c>
      <c r="X32" s="130">
        <v>1303.1999999999998</v>
      </c>
      <c r="AC32" s="2" t="s">
        <v>41</v>
      </c>
      <c r="AD32" s="3">
        <v>-74946.62999999999</v>
      </c>
      <c r="AE32" s="3">
        <v>47305.54</v>
      </c>
      <c r="AF32" s="3">
        <v>-27641.09</v>
      </c>
      <c r="AG32"/>
    </row>
    <row r="33" spans="1:33" x14ac:dyDescent="0.3">
      <c r="A33" s="128" t="s">
        <v>134</v>
      </c>
      <c r="C33" s="129">
        <v>77.349999999999994</v>
      </c>
      <c r="D33" s="129">
        <v>153.57</v>
      </c>
      <c r="E33" s="129">
        <v>228.72</v>
      </c>
      <c r="F33" s="129">
        <v>302.83</v>
      </c>
      <c r="G33" s="129">
        <v>375.93</v>
      </c>
      <c r="H33" s="129">
        <v>460.49</v>
      </c>
      <c r="I33" s="129">
        <v>544.29</v>
      </c>
      <c r="J33" s="129">
        <v>627.38</v>
      </c>
      <c r="K33" s="129">
        <v>709.79</v>
      </c>
      <c r="L33" s="129">
        <v>791.56</v>
      </c>
      <c r="M33" s="129">
        <v>872.72</v>
      </c>
      <c r="N33" s="129">
        <v>953.31</v>
      </c>
      <c r="O33" s="129">
        <v>1033.3699999999999</v>
      </c>
      <c r="P33" s="129">
        <v>1112.92</v>
      </c>
      <c r="Q33" s="129">
        <v>1192.01</v>
      </c>
      <c r="R33" s="129">
        <v>1270.6600000000001</v>
      </c>
      <c r="S33" s="129">
        <v>1348.91</v>
      </c>
      <c r="T33" s="129">
        <v>1426.79</v>
      </c>
      <c r="U33" s="129">
        <v>1504.33</v>
      </c>
      <c r="V33" s="129">
        <v>1581.57</v>
      </c>
      <c r="W33" s="128" t="s">
        <v>135</v>
      </c>
      <c r="X33" s="130">
        <v>1303.1999999999998</v>
      </c>
      <c r="AC33"/>
      <c r="AD33"/>
      <c r="AE33"/>
      <c r="AF33"/>
      <c r="AG33"/>
    </row>
    <row r="34" spans="1:33" x14ac:dyDescent="0.3">
      <c r="A34" s="128" t="s">
        <v>134</v>
      </c>
      <c r="C34" s="129">
        <v>-673.44</v>
      </c>
      <c r="D34" s="129">
        <v>-1289.04</v>
      </c>
      <c r="E34" s="129">
        <v>-1849.09</v>
      </c>
      <c r="F34" s="129">
        <v>-2665.11</v>
      </c>
      <c r="G34" s="129">
        <v>-3408.3</v>
      </c>
      <c r="H34" s="129">
        <v>-4078.2</v>
      </c>
      <c r="I34" s="129">
        <v>-4675.8500000000004</v>
      </c>
      <c r="J34" s="129">
        <v>-5201.92</v>
      </c>
      <c r="K34" s="129">
        <v>-5656.2</v>
      </c>
      <c r="L34" s="129">
        <v>-7825.01</v>
      </c>
      <c r="M34" s="129">
        <v>-8109.7</v>
      </c>
      <c r="N34" s="129">
        <v>-8324.01</v>
      </c>
      <c r="O34" s="129">
        <v>-8468.9599999999991</v>
      </c>
      <c r="P34" s="129">
        <v>-8556.25</v>
      </c>
      <c r="Q34" s="129">
        <v>-8572.83</v>
      </c>
      <c r="R34" s="129">
        <v>-8521.2000000000007</v>
      </c>
      <c r="S34" s="129">
        <v>-8401.58</v>
      </c>
      <c r="T34" s="129">
        <v>-8226.06</v>
      </c>
      <c r="U34" s="129">
        <v>-7980.15</v>
      </c>
      <c r="V34" s="129">
        <v>-7666.03</v>
      </c>
      <c r="W34" s="128" t="s">
        <v>11</v>
      </c>
      <c r="X34" s="130">
        <v>1203.1999999999998</v>
      </c>
      <c r="AC34"/>
      <c r="AD34"/>
      <c r="AE34"/>
      <c r="AF34"/>
    </row>
    <row r="35" spans="1:33" x14ac:dyDescent="0.3">
      <c r="A35" s="128" t="s">
        <v>134</v>
      </c>
      <c r="C35" s="129">
        <v>82.88</v>
      </c>
      <c r="D35" s="129">
        <v>164.9</v>
      </c>
      <c r="E35" s="129">
        <v>246.08</v>
      </c>
      <c r="F35" s="129">
        <v>326.47000000000003</v>
      </c>
      <c r="G35" s="129">
        <v>406.1</v>
      </c>
      <c r="H35" s="129">
        <v>485.02</v>
      </c>
      <c r="I35" s="129">
        <v>563.25</v>
      </c>
      <c r="J35" s="129">
        <v>640.83000000000004</v>
      </c>
      <c r="K35" s="129">
        <v>717.8</v>
      </c>
      <c r="L35" s="129">
        <v>794.19</v>
      </c>
      <c r="M35" s="129">
        <v>870.03</v>
      </c>
      <c r="N35" s="129">
        <v>945.36</v>
      </c>
      <c r="O35" s="129">
        <v>1020.2</v>
      </c>
      <c r="P35" s="129">
        <v>1094.5999999999999</v>
      </c>
      <c r="Q35" s="129">
        <v>1168.58</v>
      </c>
      <c r="R35" s="129">
        <v>1242.17</v>
      </c>
      <c r="S35" s="129">
        <v>1315.4</v>
      </c>
      <c r="T35" s="129">
        <v>1388.31</v>
      </c>
      <c r="U35" s="129">
        <v>1460.91</v>
      </c>
      <c r="V35" s="129">
        <v>1533.25</v>
      </c>
      <c r="W35" s="128" t="s">
        <v>135</v>
      </c>
      <c r="X35" s="130">
        <v>1203.1999999999998</v>
      </c>
      <c r="AC35"/>
      <c r="AD35"/>
      <c r="AE35"/>
      <c r="AF35"/>
    </row>
    <row r="36" spans="1:33" x14ac:dyDescent="0.3">
      <c r="A36" s="128" t="s">
        <v>134</v>
      </c>
      <c r="C36" s="129">
        <v>-707.36</v>
      </c>
      <c r="D36" s="129">
        <v>-1357.36</v>
      </c>
      <c r="E36" s="129">
        <v>-1939.73</v>
      </c>
      <c r="F36" s="129">
        <v>-2778.61</v>
      </c>
      <c r="G36" s="129">
        <v>-3545.2</v>
      </c>
      <c r="H36" s="129">
        <v>-4239.1099999999997</v>
      </c>
      <c r="I36" s="129">
        <v>-4861.3500000000004</v>
      </c>
      <c r="J36" s="129">
        <v>-5412.59</v>
      </c>
      <c r="K36" s="129">
        <v>-5892.66</v>
      </c>
      <c r="L36" s="129">
        <v>-8100.26</v>
      </c>
      <c r="M36" s="129">
        <v>-8411.91</v>
      </c>
      <c r="N36" s="129">
        <v>-8666.26</v>
      </c>
      <c r="O36" s="129">
        <v>-8851.7900000000009</v>
      </c>
      <c r="P36" s="129">
        <v>-8967.85</v>
      </c>
      <c r="Q36" s="129">
        <v>-9014.0300000000007</v>
      </c>
      <c r="R36" s="129">
        <v>-8992.66</v>
      </c>
      <c r="S36" s="129">
        <v>-8916.41</v>
      </c>
      <c r="T36" s="129">
        <v>-8772.4599999999991</v>
      </c>
      <c r="U36" s="129">
        <v>-8559.1</v>
      </c>
      <c r="V36" s="129">
        <v>-8290.76</v>
      </c>
      <c r="W36" s="128" t="s">
        <v>11</v>
      </c>
      <c r="X36" s="130">
        <v>1103.1999999999998</v>
      </c>
      <c r="AC36"/>
      <c r="AD36"/>
      <c r="AE36"/>
      <c r="AF36"/>
    </row>
    <row r="37" spans="1:33" x14ac:dyDescent="0.3">
      <c r="A37" s="128" t="s">
        <v>134</v>
      </c>
      <c r="C37" s="129">
        <v>75.989999999999995</v>
      </c>
      <c r="D37" s="129">
        <v>151.19</v>
      </c>
      <c r="E37" s="129">
        <v>225.63</v>
      </c>
      <c r="F37" s="129">
        <v>299.33999999999997</v>
      </c>
      <c r="G37" s="129">
        <v>372.35</v>
      </c>
      <c r="H37" s="129">
        <v>444.71</v>
      </c>
      <c r="I37" s="129">
        <v>516.44000000000005</v>
      </c>
      <c r="J37" s="129">
        <v>587.57000000000005</v>
      </c>
      <c r="K37" s="129">
        <v>658.14</v>
      </c>
      <c r="L37" s="129">
        <v>728.18</v>
      </c>
      <c r="M37" s="129">
        <v>797.72</v>
      </c>
      <c r="N37" s="129">
        <v>866.79</v>
      </c>
      <c r="O37" s="129">
        <v>935.41</v>
      </c>
      <c r="P37" s="129">
        <v>1003.62</v>
      </c>
      <c r="Q37" s="129">
        <v>1071.45</v>
      </c>
      <c r="R37" s="129">
        <v>1138.93</v>
      </c>
      <c r="S37" s="129">
        <v>1206.07</v>
      </c>
      <c r="T37" s="129">
        <v>1272.92</v>
      </c>
      <c r="U37" s="129">
        <v>1339.49</v>
      </c>
      <c r="V37" s="129">
        <v>1405.82</v>
      </c>
      <c r="W37" s="128" t="s">
        <v>135</v>
      </c>
      <c r="X37" s="130">
        <v>1103.1999999999998</v>
      </c>
      <c r="AC37"/>
      <c r="AD37"/>
      <c r="AE37"/>
      <c r="AF37"/>
    </row>
    <row r="38" spans="1:33" x14ac:dyDescent="0.3">
      <c r="A38" s="128" t="s">
        <v>134</v>
      </c>
      <c r="C38" s="129">
        <v>-728.85</v>
      </c>
      <c r="D38" s="129">
        <v>-1400.94</v>
      </c>
      <c r="E38" s="129">
        <v>-2018.26</v>
      </c>
      <c r="F38" s="129">
        <v>-2892.53</v>
      </c>
      <c r="G38" s="129">
        <v>-3694.93</v>
      </c>
      <c r="H38" s="129">
        <v>-4425.18</v>
      </c>
      <c r="I38" s="129">
        <v>-5084.22</v>
      </c>
      <c r="J38" s="129">
        <v>-5660.3</v>
      </c>
      <c r="K38" s="129">
        <v>-6165.85</v>
      </c>
      <c r="L38" s="129">
        <v>-8399.51</v>
      </c>
      <c r="M38" s="129">
        <v>-8750.33</v>
      </c>
      <c r="N38" s="129">
        <v>-9032</v>
      </c>
      <c r="O38" s="129">
        <v>-9245.4699999999993</v>
      </c>
      <c r="P38" s="129">
        <v>-9390.2199999999993</v>
      </c>
      <c r="Q38" s="129">
        <v>-9465.91</v>
      </c>
      <c r="R38" s="129">
        <v>-9487.1200000000008</v>
      </c>
      <c r="S38" s="129">
        <v>-9441.6200000000008</v>
      </c>
      <c r="T38" s="129">
        <v>-9329.17</v>
      </c>
      <c r="U38" s="129">
        <v>-9148.26</v>
      </c>
      <c r="V38" s="129">
        <v>-8913.19</v>
      </c>
      <c r="W38" s="128" t="s">
        <v>11</v>
      </c>
      <c r="X38" s="130">
        <v>1003.1999999999998</v>
      </c>
      <c r="AC38"/>
      <c r="AD38"/>
      <c r="AE38"/>
      <c r="AF38"/>
    </row>
    <row r="39" spans="1:33" x14ac:dyDescent="0.3">
      <c r="A39" s="128" t="s">
        <v>134</v>
      </c>
      <c r="C39" s="129">
        <v>69.11</v>
      </c>
      <c r="D39" s="129">
        <v>137.49</v>
      </c>
      <c r="E39" s="129">
        <v>205.18</v>
      </c>
      <c r="F39" s="129">
        <v>272.2</v>
      </c>
      <c r="G39" s="129">
        <v>338.6</v>
      </c>
      <c r="H39" s="129">
        <v>404.4</v>
      </c>
      <c r="I39" s="129">
        <v>469.62</v>
      </c>
      <c r="J39" s="129">
        <v>534.30999999999995</v>
      </c>
      <c r="K39" s="129">
        <v>598.48</v>
      </c>
      <c r="L39" s="129">
        <v>662.17</v>
      </c>
      <c r="M39" s="129">
        <v>725.41</v>
      </c>
      <c r="N39" s="129">
        <v>788.22</v>
      </c>
      <c r="O39" s="129">
        <v>850.62</v>
      </c>
      <c r="P39" s="129">
        <v>912.65</v>
      </c>
      <c r="Q39" s="129">
        <v>974.33</v>
      </c>
      <c r="R39" s="129">
        <v>1035.69</v>
      </c>
      <c r="S39" s="129">
        <v>1096.75</v>
      </c>
      <c r="T39" s="129">
        <v>1157.54</v>
      </c>
      <c r="U39" s="129">
        <v>1218.08</v>
      </c>
      <c r="V39" s="129">
        <v>1278.3900000000001</v>
      </c>
      <c r="W39" s="128" t="s">
        <v>135</v>
      </c>
      <c r="X39" s="130">
        <v>1003.1999999999998</v>
      </c>
      <c r="AC39"/>
      <c r="AD39"/>
      <c r="AE39"/>
      <c r="AF39"/>
    </row>
    <row r="40" spans="1:33" x14ac:dyDescent="0.3">
      <c r="A40" s="128" t="s">
        <v>134</v>
      </c>
      <c r="C40" s="129">
        <v>-762.77</v>
      </c>
      <c r="D40" s="129">
        <v>-1469.26</v>
      </c>
      <c r="E40" s="129">
        <v>-2121.3200000000002</v>
      </c>
      <c r="F40" s="129">
        <v>-3018.35</v>
      </c>
      <c r="G40" s="129">
        <v>-3844.05</v>
      </c>
      <c r="H40" s="129">
        <v>-4598.2</v>
      </c>
      <c r="I40" s="129">
        <v>-5281.73</v>
      </c>
      <c r="J40" s="129">
        <v>-5895.3</v>
      </c>
      <c r="K40" s="129">
        <v>-6438.86</v>
      </c>
      <c r="L40" s="129">
        <v>-8711</v>
      </c>
      <c r="M40" s="129">
        <v>-9088.4599999999991</v>
      </c>
      <c r="N40" s="129">
        <v>-9397.4500000000007</v>
      </c>
      <c r="O40" s="129">
        <v>-9638.8799999999992</v>
      </c>
      <c r="P40" s="129">
        <v>-9824.74</v>
      </c>
      <c r="Q40" s="129">
        <v>-9942.25</v>
      </c>
      <c r="R40" s="129">
        <v>-9993.42</v>
      </c>
      <c r="S40" s="129">
        <v>-9978.56</v>
      </c>
      <c r="T40" s="129">
        <v>-9897.51</v>
      </c>
      <c r="U40" s="129">
        <v>-9761.3700000000008</v>
      </c>
      <c r="V40" s="129">
        <v>-9559.3700000000008</v>
      </c>
      <c r="W40" s="128" t="s">
        <v>11</v>
      </c>
      <c r="X40" s="130">
        <v>903.19999999999982</v>
      </c>
      <c r="AC40"/>
      <c r="AD40"/>
      <c r="AE40"/>
      <c r="AF40"/>
    </row>
    <row r="41" spans="1:33" x14ac:dyDescent="0.3">
      <c r="A41" s="128" t="s">
        <v>134</v>
      </c>
      <c r="C41" s="129">
        <v>62.22</v>
      </c>
      <c r="D41" s="129">
        <v>123.78</v>
      </c>
      <c r="E41" s="129">
        <v>184.72</v>
      </c>
      <c r="F41" s="129">
        <v>245.07</v>
      </c>
      <c r="G41" s="129">
        <v>304.85000000000002</v>
      </c>
      <c r="H41" s="129">
        <v>364.09</v>
      </c>
      <c r="I41" s="129">
        <v>422.81</v>
      </c>
      <c r="J41" s="129">
        <v>481.05</v>
      </c>
      <c r="K41" s="129">
        <v>538.83000000000004</v>
      </c>
      <c r="L41" s="129">
        <v>596.16999999999996</v>
      </c>
      <c r="M41" s="129">
        <v>653.1</v>
      </c>
      <c r="N41" s="129">
        <v>709.65</v>
      </c>
      <c r="O41" s="129">
        <v>765.83</v>
      </c>
      <c r="P41" s="129">
        <v>821.68</v>
      </c>
      <c r="Q41" s="129">
        <v>877.21</v>
      </c>
      <c r="R41" s="129">
        <v>932.45</v>
      </c>
      <c r="S41" s="129">
        <v>987.42</v>
      </c>
      <c r="T41" s="129">
        <v>1042.1500000000001</v>
      </c>
      <c r="U41" s="129">
        <v>1096.6600000000001</v>
      </c>
      <c r="V41" s="129">
        <v>1150.96</v>
      </c>
      <c r="W41" s="128" t="s">
        <v>135</v>
      </c>
      <c r="X41" s="130">
        <v>903.19999999999982</v>
      </c>
      <c r="AC41"/>
      <c r="AD41"/>
      <c r="AE41"/>
      <c r="AF41"/>
    </row>
    <row r="42" spans="1:33" x14ac:dyDescent="0.3">
      <c r="A42" s="128" t="s">
        <v>134</v>
      </c>
      <c r="C42" s="129">
        <v>-796.68</v>
      </c>
      <c r="D42" s="129">
        <v>-1525.15</v>
      </c>
      <c r="E42" s="129">
        <v>-2199.64</v>
      </c>
      <c r="F42" s="129">
        <v>-3132.06</v>
      </c>
      <c r="G42" s="129">
        <v>-3993.58</v>
      </c>
      <c r="H42" s="129">
        <v>-4784.0600000000004</v>
      </c>
      <c r="I42" s="129">
        <v>-5491.97</v>
      </c>
      <c r="J42" s="129">
        <v>-6130.49</v>
      </c>
      <c r="K42" s="129">
        <v>-6699.63</v>
      </c>
      <c r="L42" s="129">
        <v>-8997.94</v>
      </c>
      <c r="M42" s="129">
        <v>-9414.68</v>
      </c>
      <c r="N42" s="129">
        <v>-9763.52</v>
      </c>
      <c r="O42" s="129">
        <v>-10045.31</v>
      </c>
      <c r="P42" s="129">
        <v>-10259.75</v>
      </c>
      <c r="Q42" s="129">
        <v>-10406.66</v>
      </c>
      <c r="R42" s="129">
        <v>-10487.89</v>
      </c>
      <c r="S42" s="129">
        <v>-10503.76</v>
      </c>
      <c r="T42" s="129">
        <v>-10466.64</v>
      </c>
      <c r="U42" s="129">
        <v>-10362.85</v>
      </c>
      <c r="V42" s="129">
        <v>-10194.02</v>
      </c>
      <c r="W42" s="128" t="s">
        <v>11</v>
      </c>
      <c r="X42" s="130">
        <v>803.19999999999982</v>
      </c>
      <c r="AC42"/>
      <c r="AD42"/>
      <c r="AE42"/>
      <c r="AF42"/>
    </row>
    <row r="43" spans="1:33" x14ac:dyDescent="0.3">
      <c r="A43" s="128" t="s">
        <v>134</v>
      </c>
      <c r="C43" s="129">
        <v>55.33</v>
      </c>
      <c r="D43" s="129">
        <v>110.08</v>
      </c>
      <c r="E43" s="129">
        <v>164.27</v>
      </c>
      <c r="F43" s="129">
        <v>217.94</v>
      </c>
      <c r="G43" s="129">
        <v>271.10000000000002</v>
      </c>
      <c r="H43" s="129">
        <v>323.77999999999997</v>
      </c>
      <c r="I43" s="129">
        <v>376</v>
      </c>
      <c r="J43" s="129">
        <v>427.79</v>
      </c>
      <c r="K43" s="129">
        <v>479.17</v>
      </c>
      <c r="L43" s="129">
        <v>530.16</v>
      </c>
      <c r="M43" s="129">
        <v>580.79</v>
      </c>
      <c r="N43" s="129">
        <v>631.08000000000004</v>
      </c>
      <c r="O43" s="129">
        <v>681.04</v>
      </c>
      <c r="P43" s="129">
        <v>730.7</v>
      </c>
      <c r="Q43" s="129">
        <v>780.09</v>
      </c>
      <c r="R43" s="129">
        <v>829.21</v>
      </c>
      <c r="S43" s="129">
        <v>878.1</v>
      </c>
      <c r="T43" s="129">
        <v>926.77</v>
      </c>
      <c r="U43" s="129">
        <v>975.24</v>
      </c>
      <c r="V43" s="129">
        <v>1023.53</v>
      </c>
      <c r="W43" s="128" t="s">
        <v>135</v>
      </c>
      <c r="X43" s="130">
        <v>803.19999999999982</v>
      </c>
      <c r="AC43"/>
      <c r="AD43"/>
      <c r="AE43"/>
      <c r="AF43"/>
    </row>
    <row r="44" spans="1:33" x14ac:dyDescent="0.3">
      <c r="A44" s="128" t="s">
        <v>134</v>
      </c>
      <c r="C44" s="129">
        <v>-818.17</v>
      </c>
      <c r="D44" s="129">
        <v>-1581.16</v>
      </c>
      <c r="E44" s="129">
        <v>-2290.4899999999998</v>
      </c>
      <c r="F44" s="129">
        <v>-3245.77</v>
      </c>
      <c r="G44" s="129">
        <v>-4130.68</v>
      </c>
      <c r="H44" s="129">
        <v>-4945.18</v>
      </c>
      <c r="I44" s="129">
        <v>-5690.11</v>
      </c>
      <c r="J44" s="129">
        <v>-6366.1</v>
      </c>
      <c r="K44" s="129">
        <v>-6973.25</v>
      </c>
      <c r="L44" s="129">
        <v>-9310.0400000000009</v>
      </c>
      <c r="M44" s="129">
        <v>-9753.42</v>
      </c>
      <c r="N44" s="129">
        <v>-10129.56</v>
      </c>
      <c r="O44" s="129">
        <v>-10439.299999999999</v>
      </c>
      <c r="P44" s="129">
        <v>-10682.42</v>
      </c>
      <c r="Q44" s="129">
        <v>-10858.84</v>
      </c>
      <c r="R44" s="129">
        <v>-10970.23</v>
      </c>
      <c r="S44" s="129">
        <v>-11029.38</v>
      </c>
      <c r="T44" s="129">
        <v>-11023.74</v>
      </c>
      <c r="U44" s="129">
        <v>-10952.4</v>
      </c>
      <c r="V44" s="129">
        <v>-10816.84</v>
      </c>
      <c r="W44" s="128" t="s">
        <v>11</v>
      </c>
      <c r="X44" s="130">
        <v>703.19999999999982</v>
      </c>
      <c r="AC44"/>
      <c r="AD44"/>
      <c r="AE44"/>
      <c r="AF44"/>
    </row>
    <row r="45" spans="1:33" x14ac:dyDescent="0.3">
      <c r="A45" s="128" t="s">
        <v>134</v>
      </c>
      <c r="C45" s="129">
        <v>48.44</v>
      </c>
      <c r="D45" s="129">
        <v>96.37</v>
      </c>
      <c r="E45" s="129">
        <v>143.82</v>
      </c>
      <c r="F45" s="129">
        <v>190.8</v>
      </c>
      <c r="G45" s="129">
        <v>237.34</v>
      </c>
      <c r="H45" s="129">
        <v>283.47000000000003</v>
      </c>
      <c r="I45" s="129">
        <v>329.19</v>
      </c>
      <c r="J45" s="129">
        <v>374.53</v>
      </c>
      <c r="K45" s="129">
        <v>419.51</v>
      </c>
      <c r="L45" s="129">
        <v>464.16</v>
      </c>
      <c r="M45" s="129">
        <v>508.48</v>
      </c>
      <c r="N45" s="129">
        <v>552.51</v>
      </c>
      <c r="O45" s="129">
        <v>596.25</v>
      </c>
      <c r="P45" s="129">
        <v>639.73</v>
      </c>
      <c r="Q45" s="129">
        <v>682.96</v>
      </c>
      <c r="R45" s="129">
        <v>725.97</v>
      </c>
      <c r="S45" s="129">
        <v>768.77</v>
      </c>
      <c r="T45" s="129">
        <v>811.38</v>
      </c>
      <c r="U45" s="129">
        <v>853.82</v>
      </c>
      <c r="V45" s="129">
        <v>896.1</v>
      </c>
      <c r="W45" s="128" t="s">
        <v>135</v>
      </c>
      <c r="X45" s="130">
        <v>703.19999999999982</v>
      </c>
      <c r="AC45"/>
      <c r="AD45"/>
      <c r="AE45"/>
      <c r="AF45"/>
    </row>
    <row r="46" spans="1:33" x14ac:dyDescent="0.3">
      <c r="A46" s="128" t="s">
        <v>134</v>
      </c>
      <c r="C46" s="129">
        <v>-852.09</v>
      </c>
      <c r="D46" s="129">
        <v>-1637.05</v>
      </c>
      <c r="E46" s="129">
        <v>-2368.81</v>
      </c>
      <c r="F46" s="129">
        <v>-3359.48</v>
      </c>
      <c r="G46" s="129">
        <v>-4280.21</v>
      </c>
      <c r="H46" s="129">
        <v>-5131.04</v>
      </c>
      <c r="I46" s="129">
        <v>-5900.35</v>
      </c>
      <c r="J46" s="129">
        <v>-6601.29</v>
      </c>
      <c r="K46" s="129">
        <v>-7234.03</v>
      </c>
      <c r="L46" s="129">
        <v>-9596.9699999999993</v>
      </c>
      <c r="M46" s="129">
        <v>-10067.209999999999</v>
      </c>
      <c r="N46" s="129">
        <v>-10470.879999999999</v>
      </c>
      <c r="O46" s="129">
        <v>-10808.78</v>
      </c>
      <c r="P46" s="129">
        <v>-11080.79</v>
      </c>
      <c r="Q46" s="129">
        <v>-11299.34</v>
      </c>
      <c r="R46" s="129">
        <v>-11453.42</v>
      </c>
      <c r="S46" s="129">
        <v>-11543.4</v>
      </c>
      <c r="T46" s="129">
        <v>-11569.36</v>
      </c>
      <c r="U46" s="129">
        <v>-11530.57</v>
      </c>
      <c r="V46" s="129">
        <v>-11428.37</v>
      </c>
      <c r="W46" s="128" t="s">
        <v>11</v>
      </c>
      <c r="X46" s="130">
        <v>603.19999999999982</v>
      </c>
      <c r="AC46"/>
      <c r="AD46"/>
      <c r="AE46"/>
      <c r="AF46"/>
    </row>
    <row r="47" spans="1:33" x14ac:dyDescent="0.3">
      <c r="A47" s="128" t="s">
        <v>134</v>
      </c>
      <c r="C47" s="129">
        <v>41.55</v>
      </c>
      <c r="D47" s="129">
        <v>82.67</v>
      </c>
      <c r="E47" s="129">
        <v>123.37</v>
      </c>
      <c r="F47" s="129">
        <v>163.66999999999999</v>
      </c>
      <c r="G47" s="129">
        <v>203.59</v>
      </c>
      <c r="H47" s="129">
        <v>243.15</v>
      </c>
      <c r="I47" s="129">
        <v>282.37</v>
      </c>
      <c r="J47" s="129">
        <v>321.27</v>
      </c>
      <c r="K47" s="129">
        <v>359.85</v>
      </c>
      <c r="L47" s="129">
        <v>398.15</v>
      </c>
      <c r="M47" s="129">
        <v>436.17</v>
      </c>
      <c r="N47" s="129">
        <v>473.94</v>
      </c>
      <c r="O47" s="129">
        <v>511.46</v>
      </c>
      <c r="P47" s="129">
        <v>548.75</v>
      </c>
      <c r="Q47" s="129">
        <v>585.84</v>
      </c>
      <c r="R47" s="129">
        <v>622.74</v>
      </c>
      <c r="S47" s="129">
        <v>659.45</v>
      </c>
      <c r="T47" s="129">
        <v>696</v>
      </c>
      <c r="U47" s="129">
        <v>732.4</v>
      </c>
      <c r="V47" s="129">
        <v>768.66</v>
      </c>
      <c r="W47" s="128" t="s">
        <v>135</v>
      </c>
      <c r="X47" s="130">
        <v>603.19999999999982</v>
      </c>
      <c r="AC47"/>
      <c r="AD47"/>
      <c r="AE47"/>
      <c r="AF47"/>
    </row>
    <row r="48" spans="1:33" x14ac:dyDescent="0.3">
      <c r="A48" s="128" t="s">
        <v>134</v>
      </c>
      <c r="C48" s="129">
        <v>-873.58</v>
      </c>
      <c r="D48" s="129">
        <v>-1693.05</v>
      </c>
      <c r="E48" s="129">
        <v>-2459.65</v>
      </c>
      <c r="F48" s="129">
        <v>-3485.62</v>
      </c>
      <c r="G48" s="129">
        <v>-4429.63</v>
      </c>
      <c r="H48" s="129">
        <v>-5304.37</v>
      </c>
      <c r="I48" s="129">
        <v>-6110.59</v>
      </c>
      <c r="J48" s="129">
        <v>-6848.91</v>
      </c>
      <c r="K48" s="129">
        <v>-7519.55</v>
      </c>
      <c r="L48" s="129">
        <v>-9920.8700000000008</v>
      </c>
      <c r="M48" s="129">
        <v>-10430.07</v>
      </c>
      <c r="N48" s="129">
        <v>-10873.28</v>
      </c>
      <c r="O48" s="129">
        <v>-11251.23</v>
      </c>
      <c r="P48" s="129">
        <v>-11563.94</v>
      </c>
      <c r="Q48" s="129">
        <v>-11811.48</v>
      </c>
      <c r="R48" s="129">
        <v>-11995.21</v>
      </c>
      <c r="S48" s="129">
        <v>-12115.53</v>
      </c>
      <c r="T48" s="129">
        <v>-12172.58</v>
      </c>
      <c r="U48" s="129">
        <v>-12165.85</v>
      </c>
      <c r="V48" s="129">
        <v>-12108.96</v>
      </c>
      <c r="W48" s="128" t="s">
        <v>11</v>
      </c>
      <c r="X48" s="130">
        <v>503.19999999999982</v>
      </c>
      <c r="AC48"/>
      <c r="AD48"/>
      <c r="AE48"/>
      <c r="AF48"/>
    </row>
    <row r="49" spans="1:32" x14ac:dyDescent="0.3">
      <c r="A49" s="128" t="s">
        <v>134</v>
      </c>
      <c r="C49" s="129">
        <v>34.659999999999997</v>
      </c>
      <c r="D49" s="129">
        <v>68.959999999999994</v>
      </c>
      <c r="E49" s="129">
        <v>102.92</v>
      </c>
      <c r="F49" s="129">
        <v>136.54</v>
      </c>
      <c r="G49" s="129">
        <v>169.84</v>
      </c>
      <c r="H49" s="129">
        <v>202.84</v>
      </c>
      <c r="I49" s="129">
        <v>235.56</v>
      </c>
      <c r="J49" s="129">
        <v>268.01</v>
      </c>
      <c r="K49" s="129">
        <v>300.2</v>
      </c>
      <c r="L49" s="129">
        <v>332.14</v>
      </c>
      <c r="M49" s="129">
        <v>363.86</v>
      </c>
      <c r="N49" s="129">
        <v>395.37</v>
      </c>
      <c r="O49" s="129">
        <v>426.67</v>
      </c>
      <c r="P49" s="129">
        <v>457.78</v>
      </c>
      <c r="Q49" s="129">
        <v>488.72</v>
      </c>
      <c r="R49" s="129">
        <v>519.5</v>
      </c>
      <c r="S49" s="129">
        <v>550.12</v>
      </c>
      <c r="T49" s="129">
        <v>580.61</v>
      </c>
      <c r="U49" s="129">
        <v>610.98</v>
      </c>
      <c r="V49" s="129">
        <v>641.23</v>
      </c>
      <c r="W49" s="128" t="s">
        <v>135</v>
      </c>
      <c r="X49" s="130">
        <v>503.19999999999982</v>
      </c>
      <c r="AC49"/>
      <c r="AD49"/>
      <c r="AE49"/>
      <c r="AF49"/>
    </row>
    <row r="50" spans="1:32" x14ac:dyDescent="0.3">
      <c r="A50" s="128" t="s">
        <v>134</v>
      </c>
      <c r="C50" s="129">
        <v>-907.49</v>
      </c>
      <c r="D50" s="129">
        <v>-1761.38</v>
      </c>
      <c r="E50" s="129">
        <v>-2550.29</v>
      </c>
      <c r="F50" s="129">
        <v>-3599.12</v>
      </c>
      <c r="G50" s="129">
        <v>-4578.95</v>
      </c>
      <c r="H50" s="129">
        <v>-5490.02</v>
      </c>
      <c r="I50" s="129">
        <v>-6320.63</v>
      </c>
      <c r="J50" s="129">
        <v>-7083.9</v>
      </c>
      <c r="K50" s="129">
        <v>-7780.12</v>
      </c>
      <c r="L50" s="129">
        <v>-10207.61</v>
      </c>
      <c r="M50" s="129">
        <v>-10743.67</v>
      </c>
      <c r="N50" s="129">
        <v>-11214.4</v>
      </c>
      <c r="O50" s="129">
        <v>-11620.51</v>
      </c>
      <c r="P50" s="129">
        <v>-11962.11</v>
      </c>
      <c r="Q50" s="129">
        <v>-12239.37</v>
      </c>
      <c r="R50" s="129">
        <v>-12453.47</v>
      </c>
      <c r="S50" s="129">
        <v>-12604.84</v>
      </c>
      <c r="T50" s="129">
        <v>-12693.69</v>
      </c>
      <c r="U50" s="129">
        <v>-12732.14</v>
      </c>
      <c r="V50" s="129">
        <v>-12708.72</v>
      </c>
      <c r="W50" s="128" t="s">
        <v>11</v>
      </c>
      <c r="X50" s="130">
        <v>403.19999999999982</v>
      </c>
      <c r="AC50"/>
      <c r="AD50"/>
      <c r="AE50"/>
      <c r="AF50"/>
    </row>
    <row r="51" spans="1:32" x14ac:dyDescent="0.3">
      <c r="A51" s="128" t="s">
        <v>134</v>
      </c>
      <c r="C51" s="129">
        <v>27.77</v>
      </c>
      <c r="D51" s="129">
        <v>55.26</v>
      </c>
      <c r="E51" s="129">
        <v>82.46</v>
      </c>
      <c r="F51" s="129">
        <v>109.4</v>
      </c>
      <c r="G51" s="129">
        <v>136.09</v>
      </c>
      <c r="H51" s="129">
        <v>162.53</v>
      </c>
      <c r="I51" s="129">
        <v>188.75</v>
      </c>
      <c r="J51" s="129">
        <v>214.75</v>
      </c>
      <c r="K51" s="129">
        <v>240.54</v>
      </c>
      <c r="L51" s="129">
        <v>266.14</v>
      </c>
      <c r="M51" s="129">
        <v>291.55</v>
      </c>
      <c r="N51" s="129">
        <v>316.79000000000002</v>
      </c>
      <c r="O51" s="129">
        <v>341.88</v>
      </c>
      <c r="P51" s="129">
        <v>366.81</v>
      </c>
      <c r="Q51" s="129">
        <v>391.6</v>
      </c>
      <c r="R51" s="129">
        <v>416.26</v>
      </c>
      <c r="S51" s="129">
        <v>440.8</v>
      </c>
      <c r="T51" s="129">
        <v>465.23</v>
      </c>
      <c r="U51" s="129">
        <v>489.56</v>
      </c>
      <c r="V51" s="129">
        <v>513.79999999999995</v>
      </c>
      <c r="W51" s="128" t="s">
        <v>135</v>
      </c>
      <c r="X51" s="130">
        <v>403.19999999999982</v>
      </c>
      <c r="AC51"/>
      <c r="AD51"/>
      <c r="AE51"/>
      <c r="AF51"/>
    </row>
    <row r="52" spans="1:32" x14ac:dyDescent="0.3">
      <c r="A52" s="128" t="s">
        <v>134</v>
      </c>
      <c r="C52" s="129">
        <v>-941.41</v>
      </c>
      <c r="D52" s="129">
        <v>-1817.27</v>
      </c>
      <c r="E52" s="129">
        <v>-2641.03</v>
      </c>
      <c r="F52" s="129">
        <v>-3725.15</v>
      </c>
      <c r="G52" s="129">
        <v>-4728.2700000000004</v>
      </c>
      <c r="H52" s="129">
        <v>-5663.25</v>
      </c>
      <c r="I52" s="129">
        <v>-6530.77</v>
      </c>
      <c r="J52" s="129">
        <v>-7331.41</v>
      </c>
      <c r="K52" s="129">
        <v>-8053.12</v>
      </c>
      <c r="L52" s="129">
        <v>-10519.09</v>
      </c>
      <c r="M52" s="129">
        <v>-11094.22</v>
      </c>
      <c r="N52" s="129">
        <v>-11592.16</v>
      </c>
      <c r="O52" s="129">
        <v>-12026.12</v>
      </c>
      <c r="P52" s="129">
        <v>-12396.3</v>
      </c>
      <c r="Q52" s="129">
        <v>-12702.96</v>
      </c>
      <c r="R52" s="129">
        <v>-12947.13</v>
      </c>
      <c r="S52" s="129">
        <v>-13141.67</v>
      </c>
      <c r="T52" s="129">
        <v>-13274.35</v>
      </c>
      <c r="U52" s="129">
        <v>-13345.05</v>
      </c>
      <c r="V52" s="129">
        <v>-13354.69</v>
      </c>
      <c r="W52" s="128" t="s">
        <v>11</v>
      </c>
      <c r="X52" s="130">
        <v>303.19999999999982</v>
      </c>
      <c r="AC52"/>
      <c r="AD52"/>
      <c r="AE52"/>
      <c r="AF52"/>
    </row>
    <row r="53" spans="1:32" x14ac:dyDescent="0.3">
      <c r="A53" s="128" t="s">
        <v>134</v>
      </c>
      <c r="C53" s="129">
        <v>20.89</v>
      </c>
      <c r="D53" s="129">
        <v>41.55</v>
      </c>
      <c r="E53" s="129">
        <v>62.01</v>
      </c>
      <c r="F53" s="129">
        <v>82.27</v>
      </c>
      <c r="G53" s="129">
        <v>102.34</v>
      </c>
      <c r="H53" s="129">
        <v>122.22</v>
      </c>
      <c r="I53" s="129">
        <v>141.94</v>
      </c>
      <c r="J53" s="129">
        <v>161.49</v>
      </c>
      <c r="K53" s="129">
        <v>180.88</v>
      </c>
      <c r="L53" s="129">
        <v>200.13</v>
      </c>
      <c r="M53" s="129">
        <v>219.24</v>
      </c>
      <c r="N53" s="129">
        <v>238.22</v>
      </c>
      <c r="O53" s="129">
        <v>257.08999999999997</v>
      </c>
      <c r="P53" s="129">
        <v>275.83</v>
      </c>
      <c r="Q53" s="129">
        <v>294.48</v>
      </c>
      <c r="R53" s="129">
        <v>313.02</v>
      </c>
      <c r="S53" s="129">
        <v>331.47</v>
      </c>
      <c r="T53" s="129">
        <v>349.85</v>
      </c>
      <c r="U53" s="129">
        <v>368.14</v>
      </c>
      <c r="V53" s="129">
        <v>386.37</v>
      </c>
      <c r="W53" s="128" t="s">
        <v>135</v>
      </c>
      <c r="X53" s="130">
        <v>303.19999999999982</v>
      </c>
      <c r="AC53"/>
      <c r="AD53"/>
      <c r="AE53"/>
      <c r="AF53"/>
    </row>
    <row r="54" spans="1:32" x14ac:dyDescent="0.3">
      <c r="A54" s="128" t="s">
        <v>134</v>
      </c>
      <c r="C54" s="129">
        <v>-962.9</v>
      </c>
      <c r="D54" s="129">
        <v>-1873.27</v>
      </c>
      <c r="E54" s="129">
        <v>-2719.46</v>
      </c>
      <c r="F54" s="129">
        <v>-3826.54</v>
      </c>
      <c r="G54" s="129">
        <v>-4865.59</v>
      </c>
      <c r="H54" s="129">
        <v>-5837</v>
      </c>
      <c r="I54" s="129">
        <v>-6729</v>
      </c>
      <c r="J54" s="129">
        <v>-7554.7</v>
      </c>
      <c r="K54" s="129">
        <v>-8314.52</v>
      </c>
      <c r="L54" s="129">
        <v>-10806.64</v>
      </c>
      <c r="M54" s="129">
        <v>-11408.62</v>
      </c>
      <c r="N54" s="129">
        <v>-11946.51</v>
      </c>
      <c r="O54" s="129">
        <v>-12420.94</v>
      </c>
      <c r="P54" s="129">
        <v>-12832.22</v>
      </c>
      <c r="Q54" s="129">
        <v>-13180.7</v>
      </c>
      <c r="R54" s="129">
        <v>-13467.24</v>
      </c>
      <c r="S54" s="129">
        <v>-13692.3</v>
      </c>
      <c r="T54" s="129">
        <v>-13856.25</v>
      </c>
      <c r="U54" s="129">
        <v>-13959.19</v>
      </c>
      <c r="V54" s="129">
        <v>-14001.9</v>
      </c>
      <c r="W54" s="128" t="s">
        <v>11</v>
      </c>
      <c r="X54" s="130">
        <v>203.19999999999982</v>
      </c>
      <c r="AC54"/>
      <c r="AD54"/>
      <c r="AE54"/>
      <c r="AF54"/>
    </row>
    <row r="55" spans="1:32" x14ac:dyDescent="0.3">
      <c r="A55" s="128" t="s">
        <v>134</v>
      </c>
      <c r="C55" s="129">
        <v>14</v>
      </c>
      <c r="D55" s="129">
        <v>27.85</v>
      </c>
      <c r="E55" s="129">
        <v>41.56</v>
      </c>
      <c r="F55" s="129">
        <v>55.14</v>
      </c>
      <c r="G55" s="129">
        <v>68.58</v>
      </c>
      <c r="H55" s="129">
        <v>81.91</v>
      </c>
      <c r="I55" s="129">
        <v>95.12</v>
      </c>
      <c r="J55" s="129">
        <v>108.23</v>
      </c>
      <c r="K55" s="129">
        <v>121.22</v>
      </c>
      <c r="L55" s="129">
        <v>134.12</v>
      </c>
      <c r="M55" s="129">
        <v>146.93</v>
      </c>
      <c r="N55" s="129">
        <v>159.65</v>
      </c>
      <c r="O55" s="129">
        <v>172.29</v>
      </c>
      <c r="P55" s="129">
        <v>184.86</v>
      </c>
      <c r="Q55" s="129">
        <v>197.35</v>
      </c>
      <c r="R55" s="129">
        <v>209.78</v>
      </c>
      <c r="S55" s="129">
        <v>222.15</v>
      </c>
      <c r="T55" s="129">
        <v>234.46</v>
      </c>
      <c r="U55" s="129">
        <v>246.72</v>
      </c>
      <c r="V55" s="129">
        <v>258.94</v>
      </c>
      <c r="W55" s="128" t="s">
        <v>135</v>
      </c>
      <c r="X55" s="130">
        <v>203.19999999999982</v>
      </c>
      <c r="AC55"/>
      <c r="AD55"/>
      <c r="AE55"/>
      <c r="AF55"/>
    </row>
    <row r="56" spans="1:32" x14ac:dyDescent="0.3">
      <c r="A56" s="128" t="s">
        <v>134</v>
      </c>
      <c r="C56" s="129">
        <v>-996.81</v>
      </c>
      <c r="D56" s="129">
        <v>-1929.17</v>
      </c>
      <c r="E56" s="129">
        <v>-2810.2</v>
      </c>
      <c r="F56" s="129">
        <v>-3952.57</v>
      </c>
      <c r="G56" s="129">
        <v>-5014.91</v>
      </c>
      <c r="H56" s="129">
        <v>-6010.23</v>
      </c>
      <c r="I56" s="129">
        <v>-6939.14</v>
      </c>
      <c r="J56" s="129">
        <v>-7802.22</v>
      </c>
      <c r="K56" s="129">
        <v>-8587.51</v>
      </c>
      <c r="L56" s="129">
        <v>-11118.12</v>
      </c>
      <c r="M56" s="129">
        <v>-11746.74</v>
      </c>
      <c r="N56" s="129">
        <v>-12311.95</v>
      </c>
      <c r="O56" s="129">
        <v>-12814.33</v>
      </c>
      <c r="P56" s="129">
        <v>-13254.3</v>
      </c>
      <c r="Q56" s="129">
        <v>-13632.29</v>
      </c>
      <c r="R56" s="129">
        <v>-13949</v>
      </c>
      <c r="S56" s="129">
        <v>-14204.91</v>
      </c>
      <c r="T56" s="129">
        <v>-14400.46</v>
      </c>
      <c r="U56" s="129">
        <v>-14535.96</v>
      </c>
      <c r="V56" s="129">
        <v>-14612.05</v>
      </c>
      <c r="W56" s="128" t="s">
        <v>11</v>
      </c>
      <c r="X56" s="130">
        <v>103.19999999999982</v>
      </c>
      <c r="AC56"/>
      <c r="AD56"/>
      <c r="AE56"/>
      <c r="AF56"/>
    </row>
    <row r="57" spans="1:32" x14ac:dyDescent="0.3">
      <c r="A57" s="128" t="s">
        <v>134</v>
      </c>
      <c r="C57" s="129">
        <v>7.11</v>
      </c>
      <c r="D57" s="129">
        <v>14.14</v>
      </c>
      <c r="E57" s="129">
        <v>21.11</v>
      </c>
      <c r="F57" s="129">
        <v>28</v>
      </c>
      <c r="G57" s="129">
        <v>34.83</v>
      </c>
      <c r="H57" s="129">
        <v>41.6</v>
      </c>
      <c r="I57" s="129">
        <v>48.31</v>
      </c>
      <c r="J57" s="129">
        <v>54.96</v>
      </c>
      <c r="K57" s="129">
        <v>61.57</v>
      </c>
      <c r="L57" s="129">
        <v>68.12</v>
      </c>
      <c r="M57" s="129">
        <v>74.62</v>
      </c>
      <c r="N57" s="129">
        <v>81.08</v>
      </c>
      <c r="O57" s="129">
        <v>87.5</v>
      </c>
      <c r="P57" s="129">
        <v>93.89</v>
      </c>
      <c r="Q57" s="129">
        <v>100.23</v>
      </c>
      <c r="R57" s="129">
        <v>106.54</v>
      </c>
      <c r="S57" s="129">
        <v>112.82</v>
      </c>
      <c r="T57" s="129">
        <v>119.08</v>
      </c>
      <c r="U57" s="129">
        <v>125.3</v>
      </c>
      <c r="V57" s="129">
        <v>131.51</v>
      </c>
      <c r="W57" s="128" t="s">
        <v>135</v>
      </c>
      <c r="X57" s="130">
        <v>103.19999999999982</v>
      </c>
      <c r="AC57"/>
      <c r="AD57"/>
      <c r="AE57"/>
      <c r="AF57"/>
    </row>
    <row r="58" spans="1:32" x14ac:dyDescent="0.3">
      <c r="A58" s="128" t="s">
        <v>134</v>
      </c>
      <c r="C58" s="129">
        <v>-1018.3</v>
      </c>
      <c r="D58" s="129">
        <v>-1985.17</v>
      </c>
      <c r="E58" s="129">
        <v>-2901.05</v>
      </c>
      <c r="F58" s="129">
        <v>-4066.28</v>
      </c>
      <c r="G58" s="129">
        <v>-5164.4399999999996</v>
      </c>
      <c r="H58" s="129">
        <v>-6196.09</v>
      </c>
      <c r="I58" s="129">
        <v>-7149.38</v>
      </c>
      <c r="J58" s="129">
        <v>-8037.41</v>
      </c>
      <c r="K58" s="129">
        <v>-8860.7099999999991</v>
      </c>
      <c r="L58" s="129">
        <v>-11417.38</v>
      </c>
      <c r="M58" s="129">
        <v>-12085.18</v>
      </c>
      <c r="N58" s="129">
        <v>-12690.13</v>
      </c>
      <c r="O58" s="129">
        <v>-13220.35</v>
      </c>
      <c r="P58" s="129">
        <v>-13688.89</v>
      </c>
      <c r="Q58" s="129">
        <v>-14096.29</v>
      </c>
      <c r="R58" s="129">
        <v>-14443.05</v>
      </c>
      <c r="S58" s="129">
        <v>-14729.71</v>
      </c>
      <c r="T58" s="129">
        <v>-14956.77</v>
      </c>
      <c r="U58" s="129">
        <v>-15124.72</v>
      </c>
      <c r="V58" s="129">
        <v>-15234.08</v>
      </c>
      <c r="W58" s="128" t="s">
        <v>11</v>
      </c>
      <c r="X58" s="130">
        <v>3.1999999999998181</v>
      </c>
      <c r="AC58"/>
      <c r="AD58"/>
      <c r="AE58"/>
      <c r="AF58"/>
    </row>
    <row r="59" spans="1:32" x14ac:dyDescent="0.3">
      <c r="A59" s="128" t="s">
        <v>134</v>
      </c>
      <c r="C59" s="129">
        <v>0.22</v>
      </c>
      <c r="D59" s="129">
        <v>0.44</v>
      </c>
      <c r="E59" s="129">
        <v>0.65</v>
      </c>
      <c r="F59" s="129">
        <v>0.85</v>
      </c>
      <c r="G59" s="129">
        <v>1.05</v>
      </c>
      <c r="H59" s="129">
        <v>1.26</v>
      </c>
      <c r="I59" s="129">
        <v>1.47</v>
      </c>
      <c r="J59" s="129">
        <v>1.67</v>
      </c>
      <c r="K59" s="129">
        <v>1.88</v>
      </c>
      <c r="L59" s="129">
        <v>2.08</v>
      </c>
      <c r="M59" s="129">
        <v>2.2799999999999998</v>
      </c>
      <c r="N59" s="129">
        <v>2.48</v>
      </c>
      <c r="O59" s="129">
        <v>2.68</v>
      </c>
      <c r="P59" s="129">
        <v>2.88</v>
      </c>
      <c r="Q59" s="129">
        <v>3.07</v>
      </c>
      <c r="R59" s="129">
        <v>3.27</v>
      </c>
      <c r="S59" s="129">
        <v>3.46</v>
      </c>
      <c r="T59" s="129">
        <v>3.65</v>
      </c>
      <c r="U59" s="129">
        <v>3.85</v>
      </c>
      <c r="V59" s="129">
        <v>4.04</v>
      </c>
      <c r="W59" s="128" t="s">
        <v>135</v>
      </c>
      <c r="X59" s="130">
        <v>3.1999999999998181</v>
      </c>
      <c r="AC59"/>
      <c r="AD59"/>
      <c r="AE59"/>
      <c r="AF59"/>
    </row>
    <row r="60" spans="1:32" x14ac:dyDescent="0.3"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AC60"/>
      <c r="AD60"/>
      <c r="AE60"/>
      <c r="AF60"/>
    </row>
    <row r="61" spans="1:32" x14ac:dyDescent="0.3"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Y61"/>
      <c r="Z61"/>
      <c r="AA61"/>
      <c r="AB61"/>
      <c r="AC61"/>
      <c r="AD61"/>
      <c r="AE61"/>
      <c r="AF61"/>
    </row>
    <row r="62" spans="1:32" x14ac:dyDescent="0.3"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Y62"/>
      <c r="Z62"/>
      <c r="AA62"/>
      <c r="AB62"/>
      <c r="AC62"/>
      <c r="AD62"/>
      <c r="AE62"/>
      <c r="AF62"/>
    </row>
    <row r="63" spans="1:32" x14ac:dyDescent="0.3"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Y63"/>
      <c r="Z63"/>
      <c r="AA63"/>
      <c r="AB63"/>
      <c r="AC63"/>
      <c r="AD63"/>
      <c r="AE63"/>
      <c r="AF63"/>
    </row>
    <row r="64" spans="1:32" x14ac:dyDescent="0.3"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Y64"/>
      <c r="Z64"/>
      <c r="AA64"/>
      <c r="AB64"/>
      <c r="AC64"/>
      <c r="AD64"/>
      <c r="AE64"/>
      <c r="AF64"/>
    </row>
    <row r="65" spans="3:32" x14ac:dyDescent="0.3"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Y65"/>
      <c r="Z65"/>
      <c r="AA65"/>
      <c r="AB65"/>
      <c r="AC65"/>
      <c r="AD65"/>
      <c r="AE65"/>
      <c r="AF65"/>
    </row>
    <row r="66" spans="3:32" x14ac:dyDescent="0.3">
      <c r="C66" s="129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AC66"/>
      <c r="AD66"/>
      <c r="AE66"/>
      <c r="AF66"/>
    </row>
    <row r="67" spans="3:32" x14ac:dyDescent="0.3">
      <c r="C67" s="129"/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AC67"/>
      <c r="AD67"/>
      <c r="AE67"/>
      <c r="AF67"/>
    </row>
    <row r="68" spans="3:32" x14ac:dyDescent="0.3">
      <c r="C68" s="129"/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AC68"/>
      <c r="AD68"/>
      <c r="AE68"/>
      <c r="AF68"/>
    </row>
    <row r="69" spans="3:32" x14ac:dyDescent="0.3">
      <c r="C69" s="129"/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AC69"/>
      <c r="AD69"/>
      <c r="AE69"/>
      <c r="AF69"/>
    </row>
    <row r="70" spans="3:32" x14ac:dyDescent="0.3">
      <c r="C70" s="129"/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AC70"/>
      <c r="AD70"/>
      <c r="AE70"/>
      <c r="AF70"/>
    </row>
    <row r="71" spans="3:32" x14ac:dyDescent="0.3">
      <c r="C71" s="129"/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29"/>
      <c r="Q71" s="129"/>
      <c r="R71" s="129"/>
      <c r="S71" s="129"/>
      <c r="T71" s="129"/>
      <c r="U71" s="129"/>
      <c r="V71" s="129"/>
      <c r="AC71"/>
      <c r="AD71"/>
      <c r="AE71"/>
      <c r="AF71"/>
    </row>
    <row r="72" spans="3:32" x14ac:dyDescent="0.3">
      <c r="C72" s="129"/>
      <c r="D72" s="129"/>
      <c r="E72" s="129"/>
      <c r="F72" s="129"/>
      <c r="G72" s="129"/>
      <c r="H72" s="129"/>
      <c r="I72" s="129"/>
      <c r="J72" s="129"/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AC72"/>
      <c r="AD72"/>
      <c r="AE72"/>
      <c r="AF72"/>
    </row>
    <row r="73" spans="3:32" x14ac:dyDescent="0.3"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AC73"/>
      <c r="AD73"/>
      <c r="AE73"/>
      <c r="AF73"/>
    </row>
    <row r="74" spans="3:32" x14ac:dyDescent="0.3">
      <c r="C74" s="129"/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AC74"/>
      <c r="AD74"/>
      <c r="AE74"/>
      <c r="AF74"/>
    </row>
    <row r="75" spans="3:32" x14ac:dyDescent="0.3">
      <c r="C75" s="129"/>
      <c r="D75" s="129"/>
      <c r="E75" s="129"/>
      <c r="F75" s="129"/>
      <c r="G75" s="129"/>
      <c r="H75" s="129"/>
      <c r="I75" s="129"/>
      <c r="J75" s="129"/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AC75"/>
      <c r="AD75"/>
      <c r="AE75"/>
      <c r="AF75"/>
    </row>
    <row r="76" spans="3:32" x14ac:dyDescent="0.3">
      <c r="C76" s="129"/>
      <c r="D76" s="129"/>
      <c r="E76" s="129"/>
      <c r="F76" s="129"/>
      <c r="G76" s="129"/>
      <c r="H76" s="129"/>
      <c r="I76" s="129"/>
      <c r="J76" s="129"/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AC76"/>
      <c r="AD76"/>
      <c r="AE76"/>
      <c r="AF76"/>
    </row>
    <row r="77" spans="3:32" x14ac:dyDescent="0.3">
      <c r="C77" s="129"/>
      <c r="D77" s="129"/>
      <c r="E77" s="129"/>
      <c r="F77" s="129"/>
      <c r="G77" s="129"/>
      <c r="H77" s="129"/>
      <c r="I77" s="129"/>
      <c r="J77" s="129"/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AC77"/>
      <c r="AD77"/>
      <c r="AE77"/>
      <c r="AF77"/>
    </row>
    <row r="78" spans="3:32" x14ac:dyDescent="0.3"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29"/>
      <c r="S78" s="129"/>
      <c r="T78" s="129"/>
      <c r="U78" s="129"/>
      <c r="V78" s="129"/>
      <c r="AC78"/>
      <c r="AD78"/>
      <c r="AE78"/>
      <c r="AF78"/>
    </row>
    <row r="79" spans="3:32" x14ac:dyDescent="0.3">
      <c r="C79" s="129"/>
      <c r="D79" s="129"/>
      <c r="E79" s="129"/>
      <c r="F79" s="129"/>
      <c r="G79" s="129"/>
      <c r="H79" s="129"/>
      <c r="I79" s="129"/>
      <c r="J79" s="129"/>
      <c r="K79" s="129"/>
      <c r="L79" s="129"/>
      <c r="M79" s="129"/>
      <c r="N79" s="129"/>
      <c r="O79" s="129"/>
      <c r="P79" s="129"/>
      <c r="Q79" s="129"/>
      <c r="R79" s="129"/>
      <c r="S79" s="129"/>
      <c r="T79" s="129"/>
      <c r="U79" s="129"/>
      <c r="V79" s="129"/>
      <c r="AC79"/>
      <c r="AD79"/>
      <c r="AE79"/>
      <c r="AF79"/>
    </row>
    <row r="80" spans="3:32" x14ac:dyDescent="0.3">
      <c r="C80" s="129"/>
      <c r="D80" s="129"/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AC80"/>
      <c r="AD80"/>
      <c r="AE80"/>
      <c r="AF80"/>
    </row>
    <row r="81" spans="3:32" x14ac:dyDescent="0.3">
      <c r="C81" s="129"/>
      <c r="D81" s="129"/>
      <c r="E81" s="129"/>
      <c r="F81" s="129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AC81"/>
      <c r="AD81"/>
      <c r="AE81"/>
      <c r="AF81"/>
    </row>
    <row r="82" spans="3:32" x14ac:dyDescent="0.3">
      <c r="C82" s="129"/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AC82"/>
      <c r="AD82"/>
      <c r="AE82"/>
      <c r="AF82"/>
    </row>
    <row r="83" spans="3:32" x14ac:dyDescent="0.3">
      <c r="C83" s="129"/>
      <c r="D83" s="129"/>
      <c r="E83" s="129"/>
      <c r="F83" s="129"/>
      <c r="G83" s="129"/>
      <c r="H83" s="129"/>
      <c r="I83" s="129"/>
      <c r="J83" s="129"/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AC83"/>
      <c r="AD83"/>
      <c r="AE83"/>
      <c r="AF83"/>
    </row>
    <row r="84" spans="3:32" x14ac:dyDescent="0.3">
      <c r="C84" s="129"/>
      <c r="D84" s="129"/>
      <c r="E84" s="129"/>
      <c r="F84" s="129"/>
      <c r="G84" s="129"/>
      <c r="H84" s="129"/>
      <c r="I84" s="129"/>
      <c r="J84" s="129"/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AC84"/>
      <c r="AD84"/>
      <c r="AE84"/>
      <c r="AF84"/>
    </row>
    <row r="85" spans="3:32" x14ac:dyDescent="0.3">
      <c r="C85" s="129"/>
      <c r="D85" s="129"/>
      <c r="E85" s="129"/>
      <c r="F85" s="129"/>
      <c r="G85" s="129"/>
      <c r="H85" s="129"/>
      <c r="I85" s="129"/>
      <c r="J85" s="129"/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AC85"/>
      <c r="AD85"/>
      <c r="AE85"/>
      <c r="AF85"/>
    </row>
    <row r="86" spans="3:32" x14ac:dyDescent="0.3">
      <c r="C86" s="129"/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AC86"/>
      <c r="AD86"/>
      <c r="AE86"/>
      <c r="AF86"/>
    </row>
    <row r="87" spans="3:32" x14ac:dyDescent="0.3">
      <c r="C87" s="129"/>
      <c r="D87" s="129"/>
      <c r="E87" s="129"/>
      <c r="F87" s="129"/>
      <c r="G87" s="129"/>
      <c r="H87" s="129"/>
      <c r="I87" s="129"/>
      <c r="J87" s="129"/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AC87"/>
      <c r="AD87"/>
      <c r="AE87"/>
      <c r="AF87"/>
    </row>
    <row r="88" spans="3:32" x14ac:dyDescent="0.3">
      <c r="C88" s="129"/>
      <c r="D88" s="129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AC88"/>
      <c r="AD88"/>
      <c r="AE88"/>
      <c r="AF88"/>
    </row>
    <row r="89" spans="3:32" x14ac:dyDescent="0.3">
      <c r="C89" s="129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AC89"/>
      <c r="AD89"/>
      <c r="AE89"/>
      <c r="AF89"/>
    </row>
    <row r="90" spans="3:32" x14ac:dyDescent="0.3">
      <c r="C90" s="129"/>
      <c r="D90" s="129"/>
      <c r="E90" s="129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AC90"/>
      <c r="AD90"/>
      <c r="AE90"/>
      <c r="AF90"/>
    </row>
    <row r="91" spans="3:32" x14ac:dyDescent="0.3">
      <c r="C91" s="129"/>
      <c r="D91" s="129"/>
      <c r="E91" s="129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AC91"/>
      <c r="AD91"/>
      <c r="AE91"/>
      <c r="AF91"/>
    </row>
    <row r="92" spans="3:32" x14ac:dyDescent="0.3">
      <c r="C92" s="129"/>
      <c r="D92" s="129"/>
      <c r="E92" s="129"/>
      <c r="F92" s="129"/>
      <c r="G92" s="129"/>
      <c r="H92" s="129"/>
      <c r="I92" s="129"/>
      <c r="J92" s="129"/>
      <c r="K92" s="129"/>
      <c r="L92" s="129"/>
      <c r="M92" s="129"/>
      <c r="N92" s="129"/>
      <c r="O92" s="129"/>
      <c r="P92" s="129"/>
      <c r="Q92" s="129"/>
      <c r="R92" s="129"/>
      <c r="S92" s="129"/>
      <c r="T92" s="129"/>
      <c r="U92" s="129"/>
      <c r="V92" s="129"/>
      <c r="AC92"/>
      <c r="AD92"/>
      <c r="AE92"/>
      <c r="AF92"/>
    </row>
    <row r="93" spans="3:32" x14ac:dyDescent="0.3">
      <c r="C93" s="129"/>
      <c r="D93" s="129"/>
      <c r="E93" s="129"/>
      <c r="F93" s="129"/>
      <c r="G93" s="129"/>
      <c r="H93" s="129"/>
      <c r="I93" s="129"/>
      <c r="J93" s="129"/>
      <c r="K93" s="129"/>
      <c r="L93" s="129"/>
      <c r="M93" s="129"/>
      <c r="N93" s="129"/>
      <c r="O93" s="129"/>
      <c r="P93" s="129"/>
      <c r="Q93" s="129"/>
      <c r="R93" s="129"/>
      <c r="S93" s="129"/>
      <c r="T93" s="129"/>
      <c r="U93" s="129"/>
      <c r="V93" s="129"/>
      <c r="AC93"/>
      <c r="AD93"/>
      <c r="AE93"/>
      <c r="AF93"/>
    </row>
    <row r="94" spans="3:32" x14ac:dyDescent="0.3">
      <c r="C94" s="129"/>
      <c r="D94" s="129"/>
      <c r="E94" s="129"/>
      <c r="F94" s="129"/>
      <c r="G94" s="129"/>
      <c r="H94" s="129"/>
      <c r="I94" s="129"/>
      <c r="J94" s="129"/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29"/>
      <c r="V94" s="129"/>
      <c r="AC94"/>
      <c r="AD94"/>
      <c r="AE94"/>
      <c r="AF94"/>
    </row>
    <row r="95" spans="3:32" x14ac:dyDescent="0.3">
      <c r="C95" s="129"/>
      <c r="D95" s="129"/>
      <c r="E95" s="129"/>
      <c r="F95" s="129"/>
      <c r="G95" s="129"/>
      <c r="H95" s="129"/>
      <c r="I95" s="129"/>
      <c r="J95" s="129"/>
      <c r="K95" s="129"/>
      <c r="L95" s="129"/>
      <c r="M95" s="129"/>
      <c r="N95" s="129"/>
      <c r="O95" s="129"/>
      <c r="P95" s="129"/>
      <c r="Q95" s="129"/>
      <c r="R95" s="129"/>
      <c r="S95" s="129"/>
      <c r="T95" s="129"/>
      <c r="U95" s="129"/>
      <c r="V95" s="129"/>
      <c r="AC95"/>
      <c r="AD95"/>
      <c r="AE95"/>
      <c r="AF95"/>
    </row>
    <row r="96" spans="3:32" x14ac:dyDescent="0.3">
      <c r="C96" s="129"/>
      <c r="D96" s="129"/>
      <c r="E96" s="129"/>
      <c r="F96" s="129"/>
      <c r="G96" s="129"/>
      <c r="H96" s="129"/>
      <c r="I96" s="129"/>
      <c r="J96" s="129"/>
      <c r="K96" s="129"/>
      <c r="L96" s="129"/>
      <c r="M96" s="129"/>
      <c r="N96" s="129"/>
      <c r="O96" s="129"/>
      <c r="P96" s="129"/>
      <c r="Q96" s="129"/>
      <c r="R96" s="129"/>
      <c r="S96" s="129"/>
      <c r="T96" s="129"/>
      <c r="U96" s="129"/>
      <c r="V96" s="129"/>
      <c r="AC96"/>
      <c r="AD96"/>
      <c r="AE96"/>
      <c r="AF96"/>
    </row>
    <row r="97" spans="3:32" x14ac:dyDescent="0.3">
      <c r="C97" s="129"/>
      <c r="D97" s="129"/>
      <c r="E97" s="129"/>
      <c r="F97" s="129"/>
      <c r="G97" s="129"/>
      <c r="H97" s="129"/>
      <c r="I97" s="129"/>
      <c r="J97" s="129"/>
      <c r="K97" s="129"/>
      <c r="L97" s="129"/>
      <c r="M97" s="129"/>
      <c r="N97" s="129"/>
      <c r="O97" s="129"/>
      <c r="P97" s="129"/>
      <c r="Q97" s="129"/>
      <c r="R97" s="129"/>
      <c r="S97" s="129"/>
      <c r="T97" s="129"/>
      <c r="U97" s="129"/>
      <c r="V97" s="129"/>
      <c r="AC97"/>
      <c r="AD97"/>
      <c r="AE97"/>
      <c r="AF97"/>
    </row>
    <row r="98" spans="3:32" x14ac:dyDescent="0.3">
      <c r="C98" s="129"/>
      <c r="D98" s="129"/>
      <c r="E98" s="129"/>
      <c r="F98" s="129"/>
      <c r="G98" s="129"/>
      <c r="H98" s="129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AC98"/>
      <c r="AD98"/>
      <c r="AE98"/>
      <c r="AF98"/>
    </row>
    <row r="99" spans="3:32" x14ac:dyDescent="0.3">
      <c r="C99" s="129"/>
      <c r="D99" s="129"/>
      <c r="E99" s="129"/>
      <c r="F99" s="129"/>
      <c r="G99" s="129"/>
      <c r="H99" s="129"/>
      <c r="I99" s="129"/>
      <c r="J99" s="129"/>
      <c r="K99" s="129"/>
      <c r="L99" s="129"/>
      <c r="M99" s="129"/>
      <c r="N99" s="129"/>
      <c r="O99" s="129"/>
      <c r="P99" s="129"/>
      <c r="Q99" s="129"/>
      <c r="R99" s="129"/>
      <c r="S99" s="129"/>
      <c r="T99" s="129"/>
      <c r="U99" s="129"/>
      <c r="V99" s="129"/>
      <c r="AC99"/>
      <c r="AD99"/>
      <c r="AE99"/>
      <c r="AF99"/>
    </row>
    <row r="100" spans="3:32" x14ac:dyDescent="0.3">
      <c r="C100" s="129"/>
      <c r="D100" s="129"/>
      <c r="E100" s="129"/>
      <c r="F100" s="129"/>
      <c r="G100" s="129"/>
      <c r="H100" s="129"/>
      <c r="I100" s="129"/>
      <c r="J100" s="129"/>
      <c r="K100" s="129"/>
      <c r="L100" s="129"/>
      <c r="M100" s="129"/>
      <c r="N100" s="129"/>
      <c r="O100" s="129"/>
      <c r="P100" s="129"/>
      <c r="Q100" s="129"/>
      <c r="R100" s="129"/>
      <c r="S100" s="129"/>
      <c r="T100" s="129"/>
      <c r="U100" s="129"/>
      <c r="V100" s="129"/>
      <c r="AC100"/>
      <c r="AD100"/>
      <c r="AE100"/>
      <c r="AF100"/>
    </row>
    <row r="101" spans="3:32" x14ac:dyDescent="0.3">
      <c r="C101" s="129"/>
      <c r="D101" s="129"/>
      <c r="E101" s="129"/>
      <c r="F101" s="129"/>
      <c r="G101" s="129"/>
      <c r="H101" s="129"/>
      <c r="I101" s="129"/>
      <c r="J101" s="129"/>
      <c r="K101" s="129"/>
      <c r="L101" s="129"/>
      <c r="M101" s="129"/>
      <c r="N101" s="129"/>
      <c r="O101" s="129"/>
      <c r="P101" s="129"/>
      <c r="Q101" s="129"/>
      <c r="R101" s="129"/>
      <c r="S101" s="129"/>
      <c r="T101" s="129"/>
      <c r="U101" s="129"/>
      <c r="V101" s="129"/>
      <c r="AC101"/>
      <c r="AD101"/>
      <c r="AE101"/>
      <c r="AF101"/>
    </row>
    <row r="102" spans="3:32" x14ac:dyDescent="0.3">
      <c r="C102" s="129"/>
      <c r="D102" s="129"/>
      <c r="E102" s="129"/>
      <c r="F102" s="129"/>
      <c r="G102" s="129"/>
      <c r="H102" s="129"/>
      <c r="I102" s="129"/>
      <c r="J102" s="129"/>
      <c r="K102" s="129"/>
      <c r="L102" s="129"/>
      <c r="M102" s="129"/>
      <c r="N102" s="129"/>
      <c r="O102" s="129"/>
      <c r="P102" s="129"/>
      <c r="Q102" s="129"/>
      <c r="R102" s="129"/>
      <c r="S102" s="129"/>
      <c r="T102" s="129"/>
      <c r="U102" s="129"/>
      <c r="V102" s="129"/>
      <c r="AC102"/>
      <c r="AD102"/>
      <c r="AE102"/>
      <c r="AF102"/>
    </row>
    <row r="103" spans="3:32" x14ac:dyDescent="0.3">
      <c r="C103" s="129"/>
      <c r="D103" s="129"/>
      <c r="E103" s="129"/>
      <c r="F103" s="129"/>
      <c r="G103" s="129"/>
      <c r="H103" s="129"/>
      <c r="I103" s="129"/>
      <c r="J103" s="129"/>
      <c r="K103" s="129"/>
      <c r="L103" s="129"/>
      <c r="M103" s="129"/>
      <c r="N103" s="129"/>
      <c r="O103" s="129"/>
      <c r="P103" s="129"/>
      <c r="Q103" s="129"/>
      <c r="R103" s="129"/>
      <c r="S103" s="129"/>
      <c r="T103" s="129"/>
      <c r="U103" s="129"/>
      <c r="V103" s="129"/>
      <c r="AC103"/>
      <c r="AD103"/>
      <c r="AE103"/>
      <c r="AF103"/>
    </row>
    <row r="104" spans="3:32" x14ac:dyDescent="0.3">
      <c r="C104" s="129"/>
      <c r="D104" s="129"/>
      <c r="E104" s="129"/>
      <c r="F104" s="129"/>
      <c r="G104" s="129"/>
      <c r="H104" s="129"/>
      <c r="I104" s="129"/>
      <c r="J104" s="129"/>
      <c r="K104" s="129"/>
      <c r="L104" s="129"/>
      <c r="M104" s="129"/>
      <c r="N104" s="129"/>
      <c r="O104" s="129"/>
      <c r="P104" s="129"/>
      <c r="Q104" s="129"/>
      <c r="R104" s="129"/>
      <c r="S104" s="129"/>
      <c r="T104" s="129"/>
      <c r="U104" s="129"/>
      <c r="V104" s="129"/>
      <c r="AC104"/>
      <c r="AD104"/>
      <c r="AE104"/>
      <c r="AF104"/>
    </row>
    <row r="105" spans="3:32" x14ac:dyDescent="0.3">
      <c r="C105" s="129"/>
      <c r="D105" s="129"/>
      <c r="E105" s="129"/>
      <c r="F105" s="129"/>
      <c r="G105" s="129"/>
      <c r="H105" s="129"/>
      <c r="I105" s="129"/>
      <c r="J105" s="129"/>
      <c r="K105" s="129"/>
      <c r="L105" s="129"/>
      <c r="M105" s="129"/>
      <c r="N105" s="129"/>
      <c r="O105" s="129"/>
      <c r="P105" s="129"/>
      <c r="Q105" s="129"/>
      <c r="R105" s="129"/>
      <c r="S105" s="129"/>
      <c r="T105" s="129"/>
      <c r="U105" s="129"/>
      <c r="V105" s="129"/>
      <c r="AC105"/>
      <c r="AD105"/>
      <c r="AE105"/>
      <c r="AF105"/>
    </row>
    <row r="106" spans="3:32" x14ac:dyDescent="0.3">
      <c r="C106" s="129"/>
      <c r="D106" s="129"/>
      <c r="E106" s="129"/>
      <c r="F106" s="129"/>
      <c r="G106" s="129"/>
      <c r="H106" s="129"/>
      <c r="I106" s="129"/>
      <c r="J106" s="129"/>
      <c r="K106" s="129"/>
      <c r="L106" s="129"/>
      <c r="M106" s="129"/>
      <c r="N106" s="129"/>
      <c r="O106" s="129"/>
      <c r="P106" s="129"/>
      <c r="Q106" s="129"/>
      <c r="R106" s="129"/>
      <c r="S106" s="129"/>
      <c r="T106" s="129"/>
      <c r="U106" s="129"/>
      <c r="V106" s="129"/>
      <c r="AC106"/>
      <c r="AD106"/>
      <c r="AE106"/>
      <c r="AF106"/>
    </row>
    <row r="107" spans="3:32" x14ac:dyDescent="0.3">
      <c r="C107" s="129"/>
      <c r="D107" s="129"/>
      <c r="E107" s="129"/>
      <c r="F107" s="129"/>
      <c r="G107" s="129"/>
      <c r="H107" s="129"/>
      <c r="I107" s="129"/>
      <c r="J107" s="129"/>
      <c r="K107" s="129"/>
      <c r="L107" s="129"/>
      <c r="M107" s="129"/>
      <c r="N107" s="129"/>
      <c r="O107" s="129"/>
      <c r="P107" s="129"/>
      <c r="Q107" s="129"/>
      <c r="R107" s="129"/>
      <c r="S107" s="129"/>
      <c r="T107" s="129"/>
      <c r="U107" s="129"/>
      <c r="V107" s="129"/>
      <c r="AC107"/>
      <c r="AD107"/>
      <c r="AE107"/>
      <c r="AF107"/>
    </row>
    <row r="108" spans="3:32" x14ac:dyDescent="0.3">
      <c r="C108" s="129"/>
      <c r="D108" s="129"/>
      <c r="E108" s="129"/>
      <c r="F108" s="129"/>
      <c r="G108" s="129"/>
      <c r="H108" s="129"/>
      <c r="I108" s="129"/>
      <c r="J108" s="129"/>
      <c r="K108" s="129"/>
      <c r="L108" s="129"/>
      <c r="M108" s="129"/>
      <c r="N108" s="129"/>
      <c r="O108" s="129"/>
      <c r="P108" s="129"/>
      <c r="Q108" s="129"/>
      <c r="R108" s="129"/>
      <c r="S108" s="129"/>
      <c r="T108" s="129"/>
      <c r="U108" s="129"/>
      <c r="V108" s="129"/>
      <c r="AC108"/>
      <c r="AD108"/>
      <c r="AE108"/>
      <c r="AF108"/>
    </row>
    <row r="109" spans="3:32" x14ac:dyDescent="0.3">
      <c r="C109" s="129"/>
      <c r="D109" s="129"/>
      <c r="E109" s="129"/>
      <c r="F109" s="129"/>
      <c r="G109" s="129"/>
      <c r="H109" s="129"/>
      <c r="I109" s="129"/>
      <c r="J109" s="129"/>
      <c r="K109" s="129"/>
      <c r="L109" s="129"/>
      <c r="M109" s="129"/>
      <c r="N109" s="129"/>
      <c r="O109" s="129"/>
      <c r="P109" s="129"/>
      <c r="Q109" s="129"/>
      <c r="R109" s="129"/>
      <c r="S109" s="129"/>
      <c r="T109" s="129"/>
      <c r="U109" s="129"/>
      <c r="V109" s="129"/>
      <c r="AC109"/>
      <c r="AD109"/>
      <c r="AE109"/>
      <c r="AF109"/>
    </row>
    <row r="110" spans="3:32" x14ac:dyDescent="0.3">
      <c r="C110" s="129"/>
      <c r="D110" s="129"/>
      <c r="E110" s="129"/>
      <c r="F110" s="129"/>
      <c r="G110" s="129"/>
      <c r="H110" s="129"/>
      <c r="I110" s="129"/>
      <c r="J110" s="129"/>
      <c r="K110" s="129"/>
      <c r="L110" s="129"/>
      <c r="M110" s="129"/>
      <c r="N110" s="129"/>
      <c r="O110" s="129"/>
      <c r="P110" s="129"/>
      <c r="Q110" s="129"/>
      <c r="R110" s="129"/>
      <c r="S110" s="129"/>
      <c r="T110" s="129"/>
      <c r="U110" s="129"/>
      <c r="V110" s="129"/>
      <c r="AC110"/>
      <c r="AD110"/>
      <c r="AE110"/>
      <c r="AF110"/>
    </row>
    <row r="111" spans="3:32" x14ac:dyDescent="0.3">
      <c r="C111" s="129"/>
      <c r="D111" s="129"/>
      <c r="E111" s="129"/>
      <c r="F111" s="129"/>
      <c r="G111" s="129"/>
      <c r="H111" s="129"/>
      <c r="I111" s="129"/>
      <c r="J111" s="129"/>
      <c r="K111" s="129"/>
      <c r="L111" s="129"/>
      <c r="M111" s="129"/>
      <c r="N111" s="129"/>
      <c r="O111" s="129"/>
      <c r="P111" s="129"/>
      <c r="Q111" s="129"/>
      <c r="R111" s="129"/>
      <c r="S111" s="129"/>
      <c r="T111" s="129"/>
      <c r="U111" s="129"/>
      <c r="V111" s="129"/>
      <c r="AC111"/>
      <c r="AD111"/>
      <c r="AE111"/>
      <c r="AF111"/>
    </row>
    <row r="112" spans="3:32" x14ac:dyDescent="0.3">
      <c r="C112" s="129"/>
      <c r="D112" s="129"/>
      <c r="E112" s="129"/>
      <c r="F112" s="129"/>
      <c r="G112" s="129"/>
      <c r="H112" s="129"/>
      <c r="I112" s="129"/>
      <c r="J112" s="129"/>
      <c r="K112" s="129"/>
      <c r="L112" s="129"/>
      <c r="M112" s="129"/>
      <c r="N112" s="129"/>
      <c r="O112" s="129"/>
      <c r="P112" s="129"/>
      <c r="Q112" s="129"/>
      <c r="R112" s="129"/>
      <c r="S112" s="129"/>
      <c r="T112" s="129"/>
      <c r="U112" s="129"/>
      <c r="V112" s="129"/>
      <c r="AC112"/>
      <c r="AD112"/>
      <c r="AE112"/>
      <c r="AF112"/>
    </row>
    <row r="113" spans="3:32" x14ac:dyDescent="0.3">
      <c r="C113" s="129"/>
      <c r="D113" s="129"/>
      <c r="E113" s="129"/>
      <c r="F113" s="129"/>
      <c r="G113" s="129"/>
      <c r="H113" s="129"/>
      <c r="I113" s="129"/>
      <c r="J113" s="129"/>
      <c r="K113" s="129"/>
      <c r="L113" s="129"/>
      <c r="M113" s="129"/>
      <c r="N113" s="129"/>
      <c r="O113" s="129"/>
      <c r="P113" s="129"/>
      <c r="Q113" s="129"/>
      <c r="R113" s="129"/>
      <c r="S113" s="129"/>
      <c r="T113" s="129"/>
      <c r="U113" s="129"/>
      <c r="V113" s="129"/>
      <c r="AC113"/>
      <c r="AD113"/>
      <c r="AE113"/>
      <c r="AF113"/>
    </row>
    <row r="114" spans="3:32" x14ac:dyDescent="0.3">
      <c r="C114" s="129"/>
      <c r="D114" s="129"/>
      <c r="E114" s="129"/>
      <c r="F114" s="129"/>
      <c r="G114" s="129"/>
      <c r="H114" s="129"/>
      <c r="I114" s="129"/>
      <c r="J114" s="129"/>
      <c r="K114" s="129"/>
      <c r="L114" s="129"/>
      <c r="M114" s="129"/>
      <c r="N114" s="129"/>
      <c r="O114" s="129"/>
      <c r="P114" s="129"/>
      <c r="Q114" s="129"/>
      <c r="R114" s="129"/>
      <c r="S114" s="129"/>
      <c r="T114" s="129"/>
      <c r="U114" s="129"/>
      <c r="V114" s="129"/>
      <c r="AC114"/>
      <c r="AD114"/>
      <c r="AE114"/>
      <c r="AF114"/>
    </row>
    <row r="115" spans="3:32" x14ac:dyDescent="0.3">
      <c r="C115" s="129"/>
      <c r="D115" s="129"/>
      <c r="E115" s="129"/>
      <c r="F115" s="129"/>
      <c r="G115" s="129"/>
      <c r="H115" s="129"/>
      <c r="I115" s="129"/>
      <c r="J115" s="129"/>
      <c r="K115" s="129"/>
      <c r="L115" s="129"/>
      <c r="M115" s="129"/>
      <c r="N115" s="129"/>
      <c r="O115" s="129"/>
      <c r="P115" s="129"/>
      <c r="Q115" s="129"/>
      <c r="R115" s="129"/>
      <c r="S115" s="129"/>
      <c r="T115" s="129"/>
      <c r="U115" s="129"/>
      <c r="V115" s="129"/>
      <c r="AC115"/>
      <c r="AD115"/>
      <c r="AE115"/>
      <c r="AF115"/>
    </row>
    <row r="116" spans="3:32" x14ac:dyDescent="0.3">
      <c r="C116" s="129"/>
      <c r="D116" s="129"/>
      <c r="E116" s="129"/>
      <c r="F116" s="129"/>
      <c r="G116" s="129"/>
      <c r="H116" s="129"/>
      <c r="I116" s="129"/>
      <c r="J116" s="129"/>
      <c r="K116" s="129"/>
      <c r="L116" s="129"/>
      <c r="M116" s="129"/>
      <c r="N116" s="129"/>
      <c r="O116" s="129"/>
      <c r="P116" s="129"/>
      <c r="Q116" s="129"/>
      <c r="R116" s="129"/>
      <c r="S116" s="129"/>
      <c r="T116" s="129"/>
      <c r="U116" s="129"/>
      <c r="V116" s="129"/>
      <c r="AC116"/>
      <c r="AD116"/>
      <c r="AE116"/>
      <c r="AF116"/>
    </row>
    <row r="117" spans="3:32" x14ac:dyDescent="0.3">
      <c r="C117" s="129"/>
      <c r="D117" s="129"/>
      <c r="E117" s="129"/>
      <c r="F117" s="129"/>
      <c r="G117" s="129"/>
      <c r="H117" s="129"/>
      <c r="I117" s="129"/>
      <c r="J117" s="129"/>
      <c r="K117" s="129"/>
      <c r="L117" s="129"/>
      <c r="M117" s="129"/>
      <c r="N117" s="129"/>
      <c r="O117" s="129"/>
      <c r="P117" s="129"/>
      <c r="Q117" s="129"/>
      <c r="R117" s="129"/>
      <c r="S117" s="129"/>
      <c r="T117" s="129"/>
      <c r="U117" s="129"/>
      <c r="V117" s="129"/>
      <c r="AC117"/>
      <c r="AD117"/>
      <c r="AE117"/>
      <c r="AF117"/>
    </row>
    <row r="118" spans="3:32" x14ac:dyDescent="0.3">
      <c r="C118" s="129"/>
      <c r="D118" s="129"/>
      <c r="E118" s="129"/>
      <c r="F118" s="129"/>
      <c r="G118" s="129"/>
      <c r="H118" s="129"/>
      <c r="I118" s="129"/>
      <c r="J118" s="129"/>
      <c r="K118" s="129"/>
      <c r="L118" s="129"/>
      <c r="M118" s="129"/>
      <c r="N118" s="129"/>
      <c r="O118" s="129"/>
      <c r="P118" s="129"/>
      <c r="Q118" s="129"/>
      <c r="R118" s="129"/>
      <c r="S118" s="129"/>
      <c r="T118" s="129"/>
      <c r="U118" s="129"/>
      <c r="V118" s="129"/>
      <c r="AC118"/>
      <c r="AD118"/>
      <c r="AE118"/>
      <c r="AF118"/>
    </row>
    <row r="119" spans="3:32" x14ac:dyDescent="0.3">
      <c r="C119" s="129"/>
      <c r="D119" s="129"/>
      <c r="E119" s="129"/>
      <c r="F119" s="129"/>
      <c r="G119" s="129"/>
      <c r="H119" s="129"/>
      <c r="I119" s="129"/>
      <c r="J119" s="129"/>
      <c r="K119" s="129"/>
      <c r="L119" s="129"/>
      <c r="M119" s="129"/>
      <c r="N119" s="129"/>
      <c r="O119" s="129"/>
      <c r="P119" s="129"/>
      <c r="Q119" s="129"/>
      <c r="R119" s="129"/>
      <c r="S119" s="129"/>
      <c r="T119" s="129"/>
      <c r="U119" s="129"/>
      <c r="V119" s="129"/>
      <c r="AC119"/>
      <c r="AD119"/>
      <c r="AE119"/>
      <c r="AF119"/>
    </row>
    <row r="120" spans="3:32" x14ac:dyDescent="0.3">
      <c r="C120" s="129"/>
      <c r="D120" s="129"/>
      <c r="E120" s="129"/>
      <c r="F120" s="129"/>
      <c r="G120" s="129"/>
      <c r="H120" s="129"/>
      <c r="I120" s="129"/>
      <c r="J120" s="129"/>
      <c r="K120" s="129"/>
      <c r="L120" s="129"/>
      <c r="M120" s="129"/>
      <c r="N120" s="129"/>
      <c r="O120" s="129"/>
      <c r="P120" s="129"/>
      <c r="Q120" s="129"/>
      <c r="R120" s="129"/>
      <c r="S120" s="129"/>
      <c r="T120" s="129"/>
      <c r="U120" s="129"/>
      <c r="V120" s="129"/>
      <c r="AC120"/>
      <c r="AD120"/>
      <c r="AE120"/>
      <c r="AF120"/>
    </row>
    <row r="121" spans="3:32" x14ac:dyDescent="0.3">
      <c r="C121" s="129"/>
      <c r="D121" s="129"/>
      <c r="E121" s="129"/>
      <c r="F121" s="129"/>
      <c r="G121" s="129"/>
      <c r="H121" s="129"/>
      <c r="I121" s="129"/>
      <c r="J121" s="129"/>
      <c r="K121" s="129"/>
      <c r="L121" s="129"/>
      <c r="M121" s="129"/>
      <c r="N121" s="129"/>
      <c r="O121" s="129"/>
      <c r="P121" s="129"/>
      <c r="Q121" s="129"/>
      <c r="R121" s="129"/>
      <c r="S121" s="129"/>
      <c r="T121" s="129"/>
      <c r="U121" s="129"/>
      <c r="V121" s="129"/>
      <c r="AC121"/>
      <c r="AD121"/>
      <c r="AE121"/>
      <c r="AF121"/>
    </row>
    <row r="122" spans="3:32" x14ac:dyDescent="0.3">
      <c r="C122" s="129"/>
      <c r="D122" s="129"/>
      <c r="E122" s="129"/>
      <c r="F122" s="129"/>
      <c r="G122" s="129"/>
      <c r="H122" s="129"/>
      <c r="I122" s="129"/>
      <c r="J122" s="129"/>
      <c r="K122" s="129"/>
      <c r="L122" s="129"/>
      <c r="M122" s="129"/>
      <c r="N122" s="129"/>
      <c r="O122" s="129"/>
      <c r="P122" s="129"/>
      <c r="Q122" s="129"/>
      <c r="R122" s="129"/>
      <c r="S122" s="129"/>
      <c r="T122" s="129"/>
      <c r="U122" s="129"/>
      <c r="V122" s="129"/>
      <c r="AC122"/>
      <c r="AD122"/>
      <c r="AE122"/>
      <c r="AF122"/>
    </row>
    <row r="123" spans="3:32" x14ac:dyDescent="0.3">
      <c r="C123" s="129"/>
      <c r="D123" s="129"/>
      <c r="E123" s="129"/>
      <c r="F123" s="129"/>
      <c r="G123" s="129"/>
      <c r="H123" s="129"/>
      <c r="I123" s="129"/>
      <c r="J123" s="129"/>
      <c r="K123" s="129"/>
      <c r="L123" s="129"/>
      <c r="M123" s="129"/>
      <c r="N123" s="129"/>
      <c r="O123" s="129"/>
      <c r="P123" s="129"/>
      <c r="Q123" s="129"/>
      <c r="R123" s="129"/>
      <c r="S123" s="129"/>
      <c r="T123" s="129"/>
      <c r="U123" s="129"/>
      <c r="V123" s="129"/>
      <c r="AC123"/>
      <c r="AD123"/>
      <c r="AE123"/>
      <c r="AF123"/>
    </row>
    <row r="124" spans="3:32" x14ac:dyDescent="0.3">
      <c r="C124" s="129"/>
      <c r="D124" s="129"/>
      <c r="E124" s="129"/>
      <c r="F124" s="129"/>
      <c r="G124" s="129"/>
      <c r="H124" s="129"/>
      <c r="I124" s="129"/>
      <c r="J124" s="129"/>
      <c r="K124" s="129"/>
      <c r="L124" s="129"/>
      <c r="M124" s="129"/>
      <c r="N124" s="129"/>
      <c r="O124" s="129"/>
      <c r="P124" s="129"/>
      <c r="Q124" s="129"/>
      <c r="R124" s="129"/>
      <c r="S124" s="129"/>
      <c r="T124" s="129"/>
      <c r="U124" s="129"/>
      <c r="V124" s="129"/>
      <c r="AC124"/>
      <c r="AD124"/>
      <c r="AE124"/>
      <c r="AF124"/>
    </row>
    <row r="125" spans="3:32" x14ac:dyDescent="0.3">
      <c r="C125" s="129"/>
      <c r="D125" s="129"/>
      <c r="E125" s="129"/>
      <c r="F125" s="129"/>
      <c r="G125" s="129"/>
      <c r="H125" s="129"/>
      <c r="I125" s="129"/>
      <c r="J125" s="129"/>
      <c r="K125" s="129"/>
      <c r="L125" s="129"/>
      <c r="M125" s="129"/>
      <c r="N125" s="129"/>
      <c r="O125" s="129"/>
      <c r="P125" s="129"/>
      <c r="Q125" s="129"/>
      <c r="R125" s="129"/>
      <c r="S125" s="129"/>
      <c r="T125" s="129"/>
      <c r="U125" s="129"/>
      <c r="V125" s="129"/>
      <c r="AC125"/>
      <c r="AD125"/>
      <c r="AE125"/>
      <c r="AF125"/>
    </row>
    <row r="126" spans="3:32" x14ac:dyDescent="0.3">
      <c r="C126" s="129"/>
      <c r="D126" s="129"/>
      <c r="E126" s="129"/>
      <c r="F126" s="129"/>
      <c r="G126" s="129"/>
      <c r="H126" s="129"/>
      <c r="I126" s="129"/>
      <c r="J126" s="129"/>
      <c r="K126" s="129"/>
      <c r="L126" s="129"/>
      <c r="M126" s="129"/>
      <c r="N126" s="129"/>
      <c r="O126" s="129"/>
      <c r="P126" s="129"/>
      <c r="Q126" s="129"/>
      <c r="R126" s="129"/>
      <c r="S126" s="129"/>
      <c r="T126" s="129"/>
      <c r="U126" s="129"/>
      <c r="V126" s="129"/>
      <c r="AC126"/>
      <c r="AD126"/>
      <c r="AE126"/>
      <c r="AF126"/>
    </row>
    <row r="127" spans="3:32" x14ac:dyDescent="0.3">
      <c r="C127" s="129"/>
      <c r="D127" s="129"/>
      <c r="E127" s="129"/>
      <c r="F127" s="129"/>
      <c r="G127" s="129"/>
      <c r="H127" s="129"/>
      <c r="I127" s="129"/>
      <c r="J127" s="129"/>
      <c r="K127" s="129"/>
      <c r="L127" s="129"/>
      <c r="M127" s="129"/>
      <c r="N127" s="129"/>
      <c r="O127" s="129"/>
      <c r="P127" s="129"/>
      <c r="Q127" s="129"/>
      <c r="R127" s="129"/>
      <c r="S127" s="129"/>
      <c r="T127" s="129"/>
      <c r="U127" s="129"/>
      <c r="V127" s="129"/>
      <c r="AC127"/>
      <c r="AD127"/>
      <c r="AE127"/>
      <c r="AF127"/>
    </row>
    <row r="128" spans="3:32" x14ac:dyDescent="0.3">
      <c r="C128" s="129"/>
      <c r="D128" s="129"/>
      <c r="E128" s="129"/>
      <c r="F128" s="129"/>
      <c r="G128" s="129"/>
      <c r="H128" s="129"/>
      <c r="I128" s="129"/>
      <c r="J128" s="129"/>
      <c r="K128" s="129"/>
      <c r="L128" s="129"/>
      <c r="M128" s="129"/>
      <c r="N128" s="129"/>
      <c r="O128" s="129"/>
      <c r="P128" s="129"/>
      <c r="Q128" s="129"/>
      <c r="R128" s="129"/>
      <c r="S128" s="129"/>
      <c r="T128" s="129"/>
      <c r="U128" s="129"/>
      <c r="V128" s="129"/>
      <c r="AC128"/>
      <c r="AD128"/>
      <c r="AE128"/>
      <c r="AF128"/>
    </row>
    <row r="129" spans="3:32" x14ac:dyDescent="0.3">
      <c r="C129" s="129"/>
      <c r="D129" s="129"/>
      <c r="E129" s="129"/>
      <c r="F129" s="129"/>
      <c r="G129" s="129"/>
      <c r="H129" s="129"/>
      <c r="I129" s="129"/>
      <c r="J129" s="129"/>
      <c r="K129" s="129"/>
      <c r="L129" s="129"/>
      <c r="M129" s="129"/>
      <c r="N129" s="129"/>
      <c r="O129" s="129"/>
      <c r="P129" s="129"/>
      <c r="Q129" s="129"/>
      <c r="R129" s="129"/>
      <c r="S129" s="129"/>
      <c r="T129" s="129"/>
      <c r="U129" s="129"/>
      <c r="V129" s="129"/>
      <c r="AC129"/>
      <c r="AD129"/>
      <c r="AE129"/>
      <c r="AF129"/>
    </row>
    <row r="130" spans="3:32" x14ac:dyDescent="0.3">
      <c r="C130" s="129"/>
      <c r="D130" s="129"/>
      <c r="E130" s="129"/>
      <c r="F130" s="129"/>
      <c r="G130" s="129"/>
      <c r="H130" s="129"/>
      <c r="I130" s="129"/>
      <c r="J130" s="129"/>
      <c r="K130" s="129"/>
      <c r="L130" s="129"/>
      <c r="M130" s="129"/>
      <c r="N130" s="129"/>
      <c r="O130" s="129"/>
      <c r="P130" s="129"/>
      <c r="Q130" s="129"/>
      <c r="R130" s="129"/>
      <c r="S130" s="129"/>
      <c r="T130" s="129"/>
      <c r="U130" s="129"/>
      <c r="V130" s="129"/>
      <c r="AC130"/>
      <c r="AD130"/>
      <c r="AE130"/>
      <c r="AF130"/>
    </row>
    <row r="131" spans="3:32" x14ac:dyDescent="0.3">
      <c r="C131" s="129"/>
      <c r="D131" s="129"/>
      <c r="E131" s="129"/>
      <c r="F131" s="129"/>
      <c r="G131" s="129"/>
      <c r="H131" s="129"/>
      <c r="I131" s="129"/>
      <c r="J131" s="129"/>
      <c r="K131" s="129"/>
      <c r="L131" s="129"/>
      <c r="M131" s="129"/>
      <c r="N131" s="129"/>
      <c r="O131" s="129"/>
      <c r="P131" s="129"/>
      <c r="Q131" s="129"/>
      <c r="R131" s="129"/>
      <c r="S131" s="129"/>
      <c r="T131" s="129"/>
      <c r="U131" s="129"/>
      <c r="V131" s="129"/>
      <c r="AC131"/>
      <c r="AD131"/>
      <c r="AE131"/>
      <c r="AF131"/>
    </row>
    <row r="132" spans="3:32" x14ac:dyDescent="0.3">
      <c r="C132" s="129"/>
      <c r="D132" s="129"/>
      <c r="E132" s="129"/>
      <c r="F132" s="129"/>
      <c r="G132" s="129"/>
      <c r="H132" s="129"/>
      <c r="I132" s="129"/>
      <c r="J132" s="129"/>
      <c r="K132" s="129"/>
      <c r="L132" s="129"/>
      <c r="M132" s="129"/>
      <c r="N132" s="129"/>
      <c r="O132" s="129"/>
      <c r="P132" s="129"/>
      <c r="Q132" s="129"/>
      <c r="R132" s="129"/>
      <c r="S132" s="129"/>
      <c r="T132" s="129"/>
      <c r="U132" s="129"/>
      <c r="V132" s="129"/>
      <c r="AC132"/>
      <c r="AD132"/>
      <c r="AE132"/>
      <c r="AF132"/>
    </row>
    <row r="133" spans="3:32" x14ac:dyDescent="0.3">
      <c r="C133" s="129"/>
      <c r="D133" s="129"/>
      <c r="E133" s="129"/>
      <c r="F133" s="129"/>
      <c r="G133" s="129"/>
      <c r="H133" s="129"/>
      <c r="I133" s="129"/>
      <c r="J133" s="129"/>
      <c r="K133" s="129"/>
      <c r="L133" s="129"/>
      <c r="M133" s="129"/>
      <c r="N133" s="129"/>
      <c r="O133" s="129"/>
      <c r="P133" s="129"/>
      <c r="Q133" s="129"/>
      <c r="R133" s="129"/>
      <c r="S133" s="129"/>
      <c r="T133" s="129"/>
      <c r="U133" s="129"/>
      <c r="V133" s="129"/>
      <c r="AC133"/>
      <c r="AD133"/>
      <c r="AE133"/>
      <c r="AF133"/>
    </row>
    <row r="134" spans="3:32" x14ac:dyDescent="0.3">
      <c r="C134" s="129"/>
      <c r="D134" s="129"/>
      <c r="E134" s="129"/>
      <c r="F134" s="129"/>
      <c r="G134" s="129"/>
      <c r="H134" s="129"/>
      <c r="I134" s="129"/>
      <c r="J134" s="129"/>
      <c r="K134" s="129"/>
      <c r="L134" s="129"/>
      <c r="M134" s="129"/>
      <c r="N134" s="129"/>
      <c r="O134" s="129"/>
      <c r="P134" s="129"/>
      <c r="Q134" s="129"/>
      <c r="R134" s="129"/>
      <c r="S134" s="129"/>
      <c r="T134" s="129"/>
      <c r="U134" s="129"/>
      <c r="V134" s="129"/>
      <c r="AC134"/>
      <c r="AD134"/>
      <c r="AE134"/>
      <c r="AF134"/>
    </row>
    <row r="135" spans="3:32" x14ac:dyDescent="0.3">
      <c r="C135" s="129"/>
      <c r="D135" s="129"/>
      <c r="E135" s="129"/>
      <c r="F135" s="129"/>
      <c r="G135" s="129"/>
      <c r="H135" s="129"/>
      <c r="I135" s="129"/>
      <c r="J135" s="129"/>
      <c r="K135" s="129"/>
      <c r="L135" s="129"/>
      <c r="M135" s="129"/>
      <c r="N135" s="129"/>
      <c r="O135" s="129"/>
      <c r="P135" s="129"/>
      <c r="Q135" s="129"/>
      <c r="R135" s="129"/>
      <c r="S135" s="129"/>
      <c r="T135" s="129"/>
      <c r="U135" s="129"/>
      <c r="V135" s="129"/>
      <c r="AC135"/>
      <c r="AD135"/>
      <c r="AE135"/>
      <c r="AF135"/>
    </row>
    <row r="136" spans="3:32" x14ac:dyDescent="0.3">
      <c r="C136" s="129"/>
      <c r="D136" s="129"/>
      <c r="E136" s="129"/>
      <c r="F136" s="129"/>
      <c r="G136" s="129"/>
      <c r="H136" s="129"/>
      <c r="I136" s="129"/>
      <c r="J136" s="129"/>
      <c r="K136" s="129"/>
      <c r="L136" s="129"/>
      <c r="M136" s="129"/>
      <c r="N136" s="129"/>
      <c r="O136" s="129"/>
      <c r="P136" s="129"/>
      <c r="Q136" s="129"/>
      <c r="R136" s="129"/>
      <c r="S136" s="129"/>
      <c r="T136" s="129"/>
      <c r="U136" s="129"/>
      <c r="V136" s="129"/>
      <c r="AC136"/>
      <c r="AD136"/>
      <c r="AE136"/>
      <c r="AF136"/>
    </row>
    <row r="137" spans="3:32" x14ac:dyDescent="0.3">
      <c r="C137" s="129"/>
      <c r="D137" s="129"/>
      <c r="E137" s="129"/>
      <c r="F137" s="129"/>
      <c r="G137" s="129"/>
      <c r="H137" s="129"/>
      <c r="I137" s="129"/>
      <c r="J137" s="129"/>
      <c r="K137" s="129"/>
      <c r="L137" s="129"/>
      <c r="M137" s="129"/>
      <c r="N137" s="129"/>
      <c r="O137" s="129"/>
      <c r="P137" s="129"/>
      <c r="Q137" s="129"/>
      <c r="R137" s="129"/>
      <c r="S137" s="129"/>
      <c r="T137" s="129"/>
      <c r="U137" s="129"/>
      <c r="V137" s="129"/>
      <c r="AC137"/>
      <c r="AD137"/>
      <c r="AE137"/>
      <c r="AF137"/>
    </row>
    <row r="138" spans="3:32" x14ac:dyDescent="0.3">
      <c r="C138" s="129"/>
      <c r="D138" s="129"/>
      <c r="E138" s="129"/>
      <c r="F138" s="129"/>
      <c r="G138" s="129"/>
      <c r="H138" s="129"/>
      <c r="I138" s="129"/>
      <c r="J138" s="129"/>
      <c r="K138" s="129"/>
      <c r="L138" s="129"/>
      <c r="M138" s="129"/>
      <c r="N138" s="129"/>
      <c r="O138" s="129"/>
      <c r="P138" s="129"/>
      <c r="Q138" s="129"/>
      <c r="R138" s="129"/>
      <c r="S138" s="129"/>
      <c r="T138" s="129"/>
      <c r="U138" s="129"/>
      <c r="V138" s="129"/>
      <c r="AC138"/>
      <c r="AD138"/>
      <c r="AE138"/>
      <c r="AF138"/>
    </row>
    <row r="139" spans="3:32" x14ac:dyDescent="0.3">
      <c r="C139" s="129"/>
      <c r="D139" s="129"/>
      <c r="E139" s="129"/>
      <c r="F139" s="129"/>
      <c r="G139" s="129"/>
      <c r="H139" s="129"/>
      <c r="I139" s="129"/>
      <c r="J139" s="129"/>
      <c r="K139" s="129"/>
      <c r="L139" s="129"/>
      <c r="M139" s="129"/>
      <c r="N139" s="129"/>
      <c r="O139" s="129"/>
      <c r="P139" s="129"/>
      <c r="Q139" s="129"/>
      <c r="R139" s="129"/>
      <c r="S139" s="129"/>
      <c r="T139" s="129"/>
      <c r="U139" s="129"/>
      <c r="V139" s="129"/>
      <c r="AC139"/>
      <c r="AD139"/>
      <c r="AE139"/>
      <c r="AF139"/>
    </row>
    <row r="140" spans="3:32" x14ac:dyDescent="0.3">
      <c r="C140" s="129"/>
      <c r="D140" s="129"/>
      <c r="E140" s="129"/>
      <c r="F140" s="129"/>
      <c r="G140" s="129"/>
      <c r="H140" s="129"/>
      <c r="I140" s="129"/>
      <c r="J140" s="129"/>
      <c r="K140" s="129"/>
      <c r="L140" s="129"/>
      <c r="M140" s="129"/>
      <c r="N140" s="129"/>
      <c r="O140" s="129"/>
      <c r="P140" s="129"/>
      <c r="Q140" s="129"/>
      <c r="R140" s="129"/>
      <c r="S140" s="129"/>
      <c r="T140" s="129"/>
      <c r="U140" s="129"/>
      <c r="V140" s="129"/>
      <c r="AC140"/>
      <c r="AD140"/>
      <c r="AE140"/>
      <c r="AF140"/>
    </row>
    <row r="141" spans="3:32" x14ac:dyDescent="0.3">
      <c r="C141" s="129"/>
      <c r="D141" s="129"/>
      <c r="E141" s="129"/>
      <c r="F141" s="129"/>
      <c r="G141" s="129"/>
      <c r="H141" s="129"/>
      <c r="I141" s="129"/>
      <c r="J141" s="129"/>
      <c r="K141" s="129"/>
      <c r="L141" s="129"/>
      <c r="M141" s="129"/>
      <c r="N141" s="129"/>
      <c r="O141" s="129"/>
      <c r="P141" s="129"/>
      <c r="Q141" s="129"/>
      <c r="R141" s="129"/>
      <c r="S141" s="129"/>
      <c r="T141" s="129"/>
      <c r="U141" s="129"/>
      <c r="V141" s="129"/>
      <c r="AC141"/>
      <c r="AD141"/>
      <c r="AE141"/>
      <c r="AF141"/>
    </row>
    <row r="142" spans="3:32" x14ac:dyDescent="0.3">
      <c r="C142" s="129"/>
      <c r="D142" s="129"/>
      <c r="E142" s="129"/>
      <c r="F142" s="129"/>
      <c r="G142" s="129"/>
      <c r="H142" s="129"/>
      <c r="I142" s="129"/>
      <c r="J142" s="129"/>
      <c r="K142" s="129"/>
      <c r="L142" s="129"/>
      <c r="M142" s="129"/>
      <c r="N142" s="129"/>
      <c r="O142" s="129"/>
      <c r="P142" s="129"/>
      <c r="Q142" s="129"/>
      <c r="R142" s="129"/>
      <c r="S142" s="129"/>
      <c r="T142" s="129"/>
      <c r="U142" s="129"/>
      <c r="V142" s="129"/>
      <c r="AC142"/>
      <c r="AD142"/>
      <c r="AE142"/>
      <c r="AF142"/>
    </row>
    <row r="143" spans="3:32" x14ac:dyDescent="0.3">
      <c r="C143" s="129"/>
      <c r="D143" s="129"/>
      <c r="E143" s="129"/>
      <c r="F143" s="129"/>
      <c r="G143" s="129"/>
      <c r="H143" s="129"/>
      <c r="I143" s="129"/>
      <c r="J143" s="129"/>
      <c r="K143" s="129"/>
      <c r="L143" s="129"/>
      <c r="M143" s="129"/>
      <c r="N143" s="129"/>
      <c r="O143" s="129"/>
      <c r="P143" s="129"/>
      <c r="Q143" s="129"/>
      <c r="R143" s="129"/>
      <c r="S143" s="129"/>
      <c r="T143" s="129"/>
      <c r="U143" s="129"/>
      <c r="V143" s="129"/>
      <c r="AC143"/>
      <c r="AD143"/>
      <c r="AE143"/>
      <c r="AF143"/>
    </row>
    <row r="144" spans="3:32" x14ac:dyDescent="0.3">
      <c r="C144" s="129"/>
      <c r="D144" s="129"/>
      <c r="E144" s="129"/>
      <c r="F144" s="129"/>
      <c r="G144" s="129"/>
      <c r="H144" s="129"/>
      <c r="I144" s="129"/>
      <c r="J144" s="129"/>
      <c r="K144" s="129"/>
      <c r="L144" s="129"/>
      <c r="M144" s="129"/>
      <c r="N144" s="129"/>
      <c r="O144" s="129"/>
      <c r="P144" s="129"/>
      <c r="Q144" s="129"/>
      <c r="R144" s="129"/>
      <c r="S144" s="129"/>
      <c r="T144" s="129"/>
      <c r="U144" s="129"/>
      <c r="V144" s="129"/>
      <c r="AC144"/>
      <c r="AD144"/>
      <c r="AE144"/>
      <c r="AF144"/>
    </row>
    <row r="145" spans="3:32" x14ac:dyDescent="0.3">
      <c r="C145" s="129"/>
      <c r="D145" s="129"/>
      <c r="E145" s="129"/>
      <c r="F145" s="129"/>
      <c r="G145" s="129"/>
      <c r="H145" s="129"/>
      <c r="I145" s="129"/>
      <c r="J145" s="129"/>
      <c r="K145" s="129"/>
      <c r="L145" s="129"/>
      <c r="M145" s="129"/>
      <c r="N145" s="129"/>
      <c r="O145" s="129"/>
      <c r="P145" s="129"/>
      <c r="Q145" s="129"/>
      <c r="R145" s="129"/>
      <c r="S145" s="129"/>
      <c r="T145" s="129"/>
      <c r="U145" s="129"/>
      <c r="V145" s="129"/>
      <c r="AC145"/>
      <c r="AD145"/>
      <c r="AE145"/>
      <c r="AF145"/>
    </row>
    <row r="146" spans="3:32" x14ac:dyDescent="0.3">
      <c r="C146" s="129"/>
      <c r="D146" s="129"/>
      <c r="E146" s="129"/>
      <c r="F146" s="129"/>
      <c r="G146" s="129"/>
      <c r="H146" s="129"/>
      <c r="I146" s="129"/>
      <c r="J146" s="129"/>
      <c r="K146" s="129"/>
      <c r="L146" s="129"/>
      <c r="M146" s="129"/>
      <c r="N146" s="129"/>
      <c r="O146" s="129"/>
      <c r="P146" s="129"/>
      <c r="Q146" s="129"/>
      <c r="R146" s="129"/>
      <c r="S146" s="129"/>
      <c r="T146" s="129"/>
      <c r="U146" s="129"/>
      <c r="V146" s="129"/>
      <c r="AC146"/>
      <c r="AD146"/>
      <c r="AE146"/>
      <c r="AF146"/>
    </row>
    <row r="147" spans="3:32" x14ac:dyDescent="0.3">
      <c r="C147" s="129"/>
      <c r="D147" s="129"/>
      <c r="E147" s="129"/>
      <c r="F147" s="129"/>
      <c r="G147" s="129"/>
      <c r="H147" s="129"/>
      <c r="I147" s="129"/>
      <c r="J147" s="129"/>
      <c r="K147" s="129"/>
      <c r="L147" s="129"/>
      <c r="M147" s="129"/>
      <c r="N147" s="129"/>
      <c r="O147" s="129"/>
      <c r="P147" s="129"/>
      <c r="Q147" s="129"/>
      <c r="R147" s="129"/>
      <c r="S147" s="129"/>
      <c r="T147" s="129"/>
      <c r="U147" s="129"/>
      <c r="V147" s="129"/>
      <c r="AC147"/>
      <c r="AD147"/>
      <c r="AE147"/>
      <c r="AF147"/>
    </row>
    <row r="148" spans="3:32" x14ac:dyDescent="0.3">
      <c r="C148" s="129"/>
      <c r="D148" s="129"/>
      <c r="E148" s="129"/>
      <c r="F148" s="129"/>
      <c r="G148" s="129"/>
      <c r="H148" s="129"/>
      <c r="I148" s="129"/>
      <c r="J148" s="129"/>
      <c r="K148" s="129"/>
      <c r="L148" s="129"/>
      <c r="M148" s="129"/>
      <c r="N148" s="129"/>
      <c r="O148" s="129"/>
      <c r="P148" s="129"/>
      <c r="Q148" s="129"/>
      <c r="R148" s="129"/>
      <c r="S148" s="129"/>
      <c r="T148" s="129"/>
      <c r="U148" s="129"/>
      <c r="V148" s="129"/>
      <c r="AC148"/>
      <c r="AD148"/>
      <c r="AE148"/>
      <c r="AF148"/>
    </row>
    <row r="149" spans="3:32" x14ac:dyDescent="0.3">
      <c r="C149" s="129"/>
      <c r="D149" s="129"/>
      <c r="E149" s="129"/>
      <c r="F149" s="129"/>
      <c r="G149" s="129"/>
      <c r="H149" s="129"/>
      <c r="I149" s="129"/>
      <c r="J149" s="129"/>
      <c r="K149" s="129"/>
      <c r="L149" s="129"/>
      <c r="M149" s="129"/>
      <c r="N149" s="129"/>
      <c r="O149" s="129"/>
      <c r="P149" s="129"/>
      <c r="Q149" s="129"/>
      <c r="R149" s="129"/>
      <c r="S149" s="129"/>
      <c r="T149" s="129"/>
      <c r="U149" s="129"/>
      <c r="V149" s="129"/>
      <c r="AC149"/>
      <c r="AD149"/>
      <c r="AE149"/>
      <c r="AF149"/>
    </row>
    <row r="150" spans="3:32" x14ac:dyDescent="0.3">
      <c r="C150" s="129"/>
      <c r="D150" s="129"/>
      <c r="E150" s="129"/>
      <c r="F150" s="129"/>
      <c r="G150" s="129"/>
      <c r="H150" s="129"/>
      <c r="I150" s="129"/>
      <c r="J150" s="129"/>
      <c r="K150" s="129"/>
      <c r="L150" s="129"/>
      <c r="M150" s="129"/>
      <c r="N150" s="129"/>
      <c r="O150" s="129"/>
      <c r="P150" s="129"/>
      <c r="Q150" s="129"/>
      <c r="R150" s="129"/>
      <c r="S150" s="129"/>
      <c r="T150" s="129"/>
      <c r="U150" s="129"/>
      <c r="V150" s="129"/>
      <c r="AC150"/>
      <c r="AD150"/>
      <c r="AE150"/>
      <c r="AF150"/>
    </row>
    <row r="151" spans="3:32" x14ac:dyDescent="0.3">
      <c r="C151" s="129"/>
      <c r="D151" s="129"/>
      <c r="E151" s="129"/>
      <c r="F151" s="129"/>
      <c r="G151" s="129"/>
      <c r="H151" s="129"/>
      <c r="I151" s="129"/>
      <c r="J151" s="129"/>
      <c r="K151" s="129"/>
      <c r="L151" s="129"/>
      <c r="M151" s="129"/>
      <c r="N151" s="129"/>
      <c r="O151" s="129"/>
      <c r="P151" s="129"/>
      <c r="Q151" s="129"/>
      <c r="R151" s="129"/>
      <c r="S151" s="129"/>
      <c r="T151" s="129"/>
      <c r="U151" s="129"/>
      <c r="V151" s="129"/>
      <c r="AC151"/>
      <c r="AD151"/>
      <c r="AE151"/>
      <c r="AF151"/>
    </row>
    <row r="152" spans="3:32" x14ac:dyDescent="0.3">
      <c r="C152" s="129"/>
      <c r="D152" s="129"/>
      <c r="E152" s="129"/>
      <c r="F152" s="129"/>
      <c r="G152" s="129"/>
      <c r="H152" s="129"/>
      <c r="I152" s="129"/>
      <c r="J152" s="129"/>
      <c r="K152" s="129"/>
      <c r="L152" s="129"/>
      <c r="M152" s="129"/>
      <c r="N152" s="129"/>
      <c r="O152" s="129"/>
      <c r="P152" s="129"/>
      <c r="Q152" s="129"/>
      <c r="R152" s="129"/>
      <c r="S152" s="129"/>
      <c r="T152" s="129"/>
      <c r="U152" s="129"/>
      <c r="V152" s="129"/>
      <c r="AC152"/>
      <c r="AD152"/>
      <c r="AE152"/>
      <c r="AF152"/>
    </row>
    <row r="153" spans="3:32" x14ac:dyDescent="0.3">
      <c r="C153" s="129"/>
      <c r="D153" s="129"/>
      <c r="E153" s="129"/>
      <c r="F153" s="129"/>
      <c r="G153" s="129"/>
      <c r="H153" s="129"/>
      <c r="I153" s="129"/>
      <c r="J153" s="129"/>
      <c r="K153" s="129"/>
      <c r="L153" s="129"/>
      <c r="M153" s="129"/>
      <c r="N153" s="129"/>
      <c r="O153" s="129"/>
      <c r="P153" s="129"/>
      <c r="Q153" s="129"/>
      <c r="R153" s="129"/>
      <c r="S153" s="129"/>
      <c r="T153" s="129"/>
      <c r="U153" s="129"/>
      <c r="V153" s="129"/>
      <c r="AC153"/>
      <c r="AD153"/>
      <c r="AE153"/>
      <c r="AF153"/>
    </row>
    <row r="154" spans="3:32" x14ac:dyDescent="0.3">
      <c r="C154" s="129"/>
      <c r="D154" s="129"/>
      <c r="E154" s="129"/>
      <c r="F154" s="129"/>
      <c r="G154" s="129"/>
      <c r="H154" s="129"/>
      <c r="I154" s="129"/>
      <c r="J154" s="129"/>
      <c r="K154" s="129"/>
      <c r="L154" s="129"/>
      <c r="M154" s="129"/>
      <c r="N154" s="129"/>
      <c r="O154" s="129"/>
      <c r="P154" s="129"/>
      <c r="Q154" s="129"/>
      <c r="R154" s="129"/>
      <c r="S154" s="129"/>
      <c r="T154" s="129"/>
      <c r="U154" s="129"/>
      <c r="V154" s="129"/>
      <c r="AC154"/>
      <c r="AD154"/>
      <c r="AE154"/>
      <c r="AF154"/>
    </row>
    <row r="155" spans="3:32" x14ac:dyDescent="0.3">
      <c r="C155" s="129"/>
      <c r="D155" s="129"/>
      <c r="E155" s="129"/>
      <c r="F155" s="129"/>
      <c r="G155" s="129"/>
      <c r="H155" s="129"/>
      <c r="I155" s="129"/>
      <c r="J155" s="129"/>
      <c r="K155" s="129"/>
      <c r="L155" s="129"/>
      <c r="M155" s="129"/>
      <c r="N155" s="129"/>
      <c r="O155" s="129"/>
      <c r="P155" s="129"/>
      <c r="Q155" s="129"/>
      <c r="R155" s="129"/>
      <c r="S155" s="129"/>
      <c r="T155" s="129"/>
      <c r="U155" s="129"/>
      <c r="V155" s="129"/>
      <c r="AC155"/>
      <c r="AD155"/>
      <c r="AE155"/>
      <c r="AF155"/>
    </row>
    <row r="156" spans="3:32" x14ac:dyDescent="0.3">
      <c r="C156" s="129"/>
      <c r="D156" s="129"/>
      <c r="E156" s="129"/>
      <c r="F156" s="129"/>
      <c r="G156" s="129"/>
      <c r="H156" s="129"/>
      <c r="I156" s="129"/>
      <c r="J156" s="129"/>
      <c r="K156" s="129"/>
      <c r="L156" s="129"/>
      <c r="M156" s="129"/>
      <c r="N156" s="129"/>
      <c r="O156" s="129"/>
      <c r="P156" s="129"/>
      <c r="Q156" s="129"/>
      <c r="R156" s="129"/>
      <c r="S156" s="129"/>
      <c r="T156" s="129"/>
      <c r="U156" s="129"/>
      <c r="V156" s="129"/>
      <c r="AC156"/>
      <c r="AD156"/>
      <c r="AE156"/>
      <c r="AF156"/>
    </row>
    <row r="157" spans="3:32" x14ac:dyDescent="0.3">
      <c r="C157" s="129"/>
      <c r="D157" s="129"/>
      <c r="E157" s="129"/>
      <c r="F157" s="129"/>
      <c r="G157" s="129"/>
      <c r="H157" s="129"/>
      <c r="I157" s="129"/>
      <c r="J157" s="129"/>
      <c r="K157" s="129"/>
      <c r="L157" s="129"/>
      <c r="M157" s="129"/>
      <c r="N157" s="129"/>
      <c r="O157" s="129"/>
      <c r="P157" s="129"/>
      <c r="Q157" s="129"/>
      <c r="R157" s="129"/>
      <c r="S157" s="129"/>
      <c r="T157" s="129"/>
      <c r="U157" s="129"/>
      <c r="V157" s="129"/>
      <c r="AC157"/>
      <c r="AD157"/>
      <c r="AE157"/>
      <c r="AF157"/>
    </row>
    <row r="158" spans="3:32" x14ac:dyDescent="0.3">
      <c r="C158" s="129"/>
      <c r="D158" s="129"/>
      <c r="E158" s="129"/>
      <c r="F158" s="129"/>
      <c r="G158" s="129"/>
      <c r="H158" s="129"/>
      <c r="I158" s="129"/>
      <c r="J158" s="129"/>
      <c r="K158" s="129"/>
      <c r="L158" s="129"/>
      <c r="M158" s="129"/>
      <c r="N158" s="129"/>
      <c r="O158" s="129"/>
      <c r="P158" s="129"/>
      <c r="Q158" s="129"/>
      <c r="R158" s="129"/>
      <c r="S158" s="129"/>
      <c r="T158" s="129"/>
      <c r="U158" s="129"/>
      <c r="V158" s="129"/>
      <c r="AC158"/>
      <c r="AD158"/>
      <c r="AE158"/>
      <c r="AF158"/>
    </row>
    <row r="159" spans="3:32" x14ac:dyDescent="0.3">
      <c r="C159" s="129"/>
      <c r="D159" s="129"/>
      <c r="E159" s="129"/>
      <c r="F159" s="129"/>
      <c r="G159" s="129"/>
      <c r="H159" s="129"/>
      <c r="I159" s="129"/>
      <c r="J159" s="129"/>
      <c r="K159" s="129"/>
      <c r="L159" s="129"/>
      <c r="M159" s="129"/>
      <c r="N159" s="129"/>
      <c r="O159" s="129"/>
      <c r="P159" s="129"/>
      <c r="Q159" s="129"/>
      <c r="R159" s="129"/>
      <c r="S159" s="129"/>
      <c r="T159" s="129"/>
      <c r="U159" s="129"/>
      <c r="V159" s="129"/>
      <c r="AC159"/>
      <c r="AD159"/>
      <c r="AE159"/>
      <c r="AF159"/>
    </row>
    <row r="160" spans="3:32" x14ac:dyDescent="0.3">
      <c r="C160" s="129"/>
      <c r="D160" s="129"/>
      <c r="E160" s="129"/>
      <c r="F160" s="129"/>
      <c r="G160" s="129"/>
      <c r="H160" s="129"/>
      <c r="I160" s="129"/>
      <c r="J160" s="129"/>
      <c r="K160" s="129"/>
      <c r="L160" s="129"/>
      <c r="M160" s="129"/>
      <c r="N160" s="129"/>
      <c r="O160" s="129"/>
      <c r="P160" s="129"/>
      <c r="Q160" s="129"/>
      <c r="R160" s="129"/>
      <c r="S160" s="129"/>
      <c r="T160" s="129"/>
      <c r="U160" s="129"/>
      <c r="V160" s="129"/>
      <c r="AC160"/>
      <c r="AD160"/>
      <c r="AE160"/>
      <c r="AF160"/>
    </row>
    <row r="161" spans="3:32" x14ac:dyDescent="0.3">
      <c r="C161" s="129"/>
      <c r="D161" s="129"/>
      <c r="E161" s="129"/>
      <c r="F161" s="129"/>
      <c r="G161" s="129"/>
      <c r="H161" s="129"/>
      <c r="I161" s="129"/>
      <c r="J161" s="129"/>
      <c r="K161" s="129"/>
      <c r="L161" s="129"/>
      <c r="M161" s="129"/>
      <c r="N161" s="129"/>
      <c r="O161" s="129"/>
      <c r="P161" s="129"/>
      <c r="Q161" s="129"/>
      <c r="R161" s="129"/>
      <c r="S161" s="129"/>
      <c r="T161" s="129"/>
      <c r="U161" s="129"/>
      <c r="V161" s="129"/>
      <c r="AC161"/>
      <c r="AD161"/>
      <c r="AE161"/>
      <c r="AF161"/>
    </row>
    <row r="162" spans="3:32" x14ac:dyDescent="0.3">
      <c r="C162" s="129"/>
      <c r="D162" s="129"/>
      <c r="E162" s="129"/>
      <c r="F162" s="129"/>
      <c r="G162" s="129"/>
      <c r="H162" s="129"/>
      <c r="I162" s="129"/>
      <c r="J162" s="129"/>
      <c r="K162" s="129"/>
      <c r="L162" s="129"/>
      <c r="M162" s="129"/>
      <c r="N162" s="129"/>
      <c r="O162" s="129"/>
      <c r="P162" s="129"/>
      <c r="Q162" s="129"/>
      <c r="R162" s="129"/>
      <c r="S162" s="129"/>
      <c r="T162" s="129"/>
      <c r="U162" s="129"/>
      <c r="V162" s="129"/>
      <c r="AC162"/>
      <c r="AD162"/>
      <c r="AE162"/>
      <c r="AF162"/>
    </row>
    <row r="163" spans="3:32" x14ac:dyDescent="0.3">
      <c r="C163" s="129"/>
      <c r="D163" s="129"/>
      <c r="E163" s="129"/>
      <c r="F163" s="129"/>
      <c r="G163" s="129"/>
      <c r="H163" s="129"/>
      <c r="I163" s="129"/>
      <c r="J163" s="129"/>
      <c r="K163" s="129"/>
      <c r="L163" s="129"/>
      <c r="M163" s="129"/>
      <c r="N163" s="129"/>
      <c r="O163" s="129"/>
      <c r="P163" s="129"/>
      <c r="Q163" s="129"/>
      <c r="R163" s="129"/>
      <c r="S163" s="129"/>
      <c r="T163" s="129"/>
      <c r="U163" s="129"/>
      <c r="V163" s="129"/>
      <c r="AC163"/>
      <c r="AD163"/>
      <c r="AE163"/>
      <c r="AF163"/>
    </row>
    <row r="164" spans="3:32" x14ac:dyDescent="0.3">
      <c r="C164" s="129"/>
      <c r="D164" s="129"/>
      <c r="E164" s="129"/>
      <c r="F164" s="129"/>
      <c r="G164" s="129"/>
      <c r="H164" s="129"/>
      <c r="I164" s="129"/>
      <c r="J164" s="129"/>
      <c r="K164" s="129"/>
      <c r="L164" s="129"/>
      <c r="M164" s="129"/>
      <c r="N164" s="129"/>
      <c r="O164" s="129"/>
      <c r="P164" s="129"/>
      <c r="Q164" s="129"/>
      <c r="R164" s="129"/>
      <c r="S164" s="129"/>
      <c r="T164" s="129"/>
      <c r="U164" s="129"/>
      <c r="V164" s="129"/>
      <c r="AC164"/>
      <c r="AD164"/>
      <c r="AE164"/>
      <c r="AF164"/>
    </row>
    <row r="165" spans="3:32" x14ac:dyDescent="0.3">
      <c r="C165" s="129"/>
      <c r="D165" s="129"/>
      <c r="E165" s="129"/>
      <c r="F165" s="129"/>
      <c r="G165" s="129"/>
      <c r="H165" s="129"/>
      <c r="I165" s="129"/>
      <c r="J165" s="129"/>
      <c r="K165" s="129"/>
      <c r="L165" s="129"/>
      <c r="M165" s="129"/>
      <c r="N165" s="129"/>
      <c r="O165" s="129"/>
      <c r="P165" s="129"/>
      <c r="Q165" s="129"/>
      <c r="R165" s="129"/>
      <c r="S165" s="129"/>
      <c r="T165" s="129"/>
      <c r="U165" s="129"/>
      <c r="V165" s="129"/>
      <c r="AC165"/>
      <c r="AD165"/>
      <c r="AE165"/>
      <c r="AF165"/>
    </row>
    <row r="166" spans="3:32" x14ac:dyDescent="0.3">
      <c r="C166" s="129"/>
      <c r="D166" s="129"/>
      <c r="E166" s="129"/>
      <c r="F166" s="129"/>
      <c r="G166" s="129"/>
      <c r="H166" s="129"/>
      <c r="I166" s="129"/>
      <c r="J166" s="129"/>
      <c r="K166" s="129"/>
      <c r="L166" s="129"/>
      <c r="M166" s="129"/>
      <c r="N166" s="129"/>
      <c r="O166" s="129"/>
      <c r="P166" s="129"/>
      <c r="Q166" s="129"/>
      <c r="R166" s="129"/>
      <c r="S166" s="129"/>
      <c r="T166" s="129"/>
      <c r="U166" s="129"/>
      <c r="V166" s="129"/>
      <c r="AC166"/>
      <c r="AD166"/>
      <c r="AE166"/>
      <c r="AF166"/>
    </row>
    <row r="167" spans="3:32" x14ac:dyDescent="0.3">
      <c r="C167" s="129"/>
      <c r="D167" s="129"/>
      <c r="E167" s="129"/>
      <c r="F167" s="129"/>
      <c r="G167" s="129"/>
      <c r="H167" s="129"/>
      <c r="I167" s="129"/>
      <c r="J167" s="129"/>
      <c r="K167" s="129"/>
      <c r="L167" s="129"/>
      <c r="M167" s="129"/>
      <c r="N167" s="129"/>
      <c r="O167" s="129"/>
      <c r="P167" s="129"/>
      <c r="Q167" s="129"/>
      <c r="R167" s="129"/>
      <c r="S167" s="129"/>
      <c r="T167" s="129"/>
      <c r="U167" s="129"/>
      <c r="V167" s="129"/>
      <c r="AC167"/>
      <c r="AD167"/>
      <c r="AE167"/>
      <c r="AF167"/>
    </row>
    <row r="168" spans="3:32" x14ac:dyDescent="0.3">
      <c r="C168" s="129"/>
      <c r="D168" s="129"/>
      <c r="E168" s="129"/>
      <c r="F168" s="129"/>
      <c r="G168" s="129"/>
      <c r="H168" s="129"/>
      <c r="I168" s="129"/>
      <c r="J168" s="129"/>
      <c r="K168" s="129"/>
      <c r="L168" s="129"/>
      <c r="M168" s="129"/>
      <c r="N168" s="129"/>
      <c r="O168" s="129"/>
      <c r="P168" s="129"/>
      <c r="Q168" s="129"/>
      <c r="R168" s="129"/>
      <c r="S168" s="129"/>
      <c r="T168" s="129"/>
      <c r="U168" s="129"/>
      <c r="V168" s="129"/>
      <c r="AC168"/>
      <c r="AD168"/>
      <c r="AE168"/>
      <c r="AF168"/>
    </row>
    <row r="169" spans="3:32" x14ac:dyDescent="0.3">
      <c r="C169" s="129"/>
      <c r="D169" s="129"/>
      <c r="E169" s="129"/>
      <c r="F169" s="129"/>
      <c r="G169" s="129"/>
      <c r="H169" s="129"/>
      <c r="I169" s="129"/>
      <c r="J169" s="129"/>
      <c r="K169" s="129"/>
      <c r="L169" s="129"/>
      <c r="M169" s="129"/>
      <c r="N169" s="129"/>
      <c r="O169" s="129"/>
      <c r="P169" s="129"/>
      <c r="Q169" s="129"/>
      <c r="R169" s="129"/>
      <c r="S169" s="129"/>
      <c r="T169" s="129"/>
      <c r="U169" s="129"/>
      <c r="V169" s="129"/>
      <c r="AC169"/>
      <c r="AD169"/>
      <c r="AE169"/>
      <c r="AF169"/>
    </row>
    <row r="170" spans="3:32" x14ac:dyDescent="0.3">
      <c r="C170" s="129"/>
      <c r="D170" s="129"/>
      <c r="E170" s="129"/>
      <c r="F170" s="129"/>
      <c r="G170" s="129"/>
      <c r="H170" s="129"/>
      <c r="I170" s="129"/>
      <c r="J170" s="129"/>
      <c r="K170" s="129"/>
      <c r="L170" s="129"/>
      <c r="M170" s="129"/>
      <c r="N170" s="129"/>
      <c r="O170" s="129"/>
      <c r="P170" s="129"/>
      <c r="Q170" s="129"/>
      <c r="R170" s="129"/>
      <c r="S170" s="129"/>
      <c r="T170" s="129"/>
      <c r="U170" s="129"/>
      <c r="V170" s="129"/>
      <c r="AC170"/>
      <c r="AD170"/>
      <c r="AE170"/>
      <c r="AF170"/>
    </row>
    <row r="171" spans="3:32" x14ac:dyDescent="0.3">
      <c r="C171" s="129"/>
      <c r="D171" s="129"/>
      <c r="E171" s="129"/>
      <c r="F171" s="129"/>
      <c r="G171" s="129"/>
      <c r="H171" s="129"/>
      <c r="I171" s="129"/>
      <c r="J171" s="129"/>
      <c r="K171" s="129"/>
      <c r="L171" s="129"/>
      <c r="M171" s="129"/>
      <c r="N171" s="129"/>
      <c r="O171" s="129"/>
      <c r="P171" s="129"/>
      <c r="Q171" s="129"/>
      <c r="R171" s="129"/>
      <c r="S171" s="129"/>
      <c r="T171" s="129"/>
      <c r="U171" s="129"/>
      <c r="V171" s="129"/>
      <c r="AC171"/>
      <c r="AD171"/>
      <c r="AE171"/>
      <c r="AF171"/>
    </row>
    <row r="172" spans="3:32" x14ac:dyDescent="0.3">
      <c r="C172" s="129"/>
      <c r="D172" s="129"/>
      <c r="E172" s="129"/>
      <c r="F172" s="129"/>
      <c r="G172" s="129"/>
      <c r="H172" s="129"/>
      <c r="I172" s="129"/>
      <c r="J172" s="129"/>
      <c r="K172" s="129"/>
      <c r="L172" s="129"/>
      <c r="M172" s="129"/>
      <c r="N172" s="129"/>
      <c r="O172" s="129"/>
      <c r="P172" s="129"/>
      <c r="Q172" s="129"/>
      <c r="R172" s="129"/>
      <c r="S172" s="129"/>
      <c r="T172" s="129"/>
      <c r="U172" s="129"/>
      <c r="V172" s="129"/>
      <c r="AC172"/>
      <c r="AD172"/>
      <c r="AE172"/>
      <c r="AF172"/>
    </row>
    <row r="173" spans="3:32" x14ac:dyDescent="0.3">
      <c r="C173" s="129"/>
      <c r="D173" s="129"/>
      <c r="E173" s="129"/>
      <c r="F173" s="129"/>
      <c r="G173" s="129"/>
      <c r="H173" s="129"/>
      <c r="I173" s="129"/>
      <c r="J173" s="129"/>
      <c r="K173" s="129"/>
      <c r="L173" s="129"/>
      <c r="M173" s="129"/>
      <c r="N173" s="129"/>
      <c r="O173" s="129"/>
      <c r="P173" s="129"/>
      <c r="Q173" s="129"/>
      <c r="R173" s="129"/>
      <c r="S173" s="129"/>
      <c r="T173" s="129"/>
      <c r="U173" s="129"/>
      <c r="V173" s="129"/>
      <c r="AC173"/>
      <c r="AD173"/>
      <c r="AE173"/>
      <c r="AF173"/>
    </row>
    <row r="174" spans="3:32" x14ac:dyDescent="0.3">
      <c r="C174" s="129"/>
      <c r="D174" s="129"/>
      <c r="E174" s="129"/>
      <c r="F174" s="129"/>
      <c r="G174" s="129"/>
      <c r="H174" s="129"/>
      <c r="I174" s="129"/>
      <c r="J174" s="129"/>
      <c r="K174" s="129"/>
      <c r="L174" s="129"/>
      <c r="M174" s="129"/>
      <c r="N174" s="129"/>
      <c r="O174" s="129"/>
      <c r="P174" s="129"/>
      <c r="Q174" s="129"/>
      <c r="R174" s="129"/>
      <c r="S174" s="129"/>
      <c r="T174" s="129"/>
      <c r="U174" s="129"/>
      <c r="V174" s="129"/>
      <c r="AC174"/>
      <c r="AD174"/>
      <c r="AE174"/>
      <c r="AF174"/>
    </row>
    <row r="175" spans="3:32" x14ac:dyDescent="0.3">
      <c r="C175" s="129"/>
      <c r="D175" s="129"/>
      <c r="E175" s="129"/>
      <c r="F175" s="129"/>
      <c r="G175" s="129"/>
      <c r="H175" s="129"/>
      <c r="I175" s="129"/>
      <c r="J175" s="129"/>
      <c r="K175" s="129"/>
      <c r="L175" s="129"/>
      <c r="M175" s="129"/>
      <c r="N175" s="129"/>
      <c r="O175" s="129"/>
      <c r="P175" s="129"/>
      <c r="Q175" s="129"/>
      <c r="R175" s="129"/>
      <c r="S175" s="129"/>
      <c r="T175" s="129"/>
      <c r="U175" s="129"/>
      <c r="V175" s="129"/>
      <c r="AC175"/>
      <c r="AD175"/>
      <c r="AE175"/>
      <c r="AF175"/>
    </row>
    <row r="176" spans="3:32" x14ac:dyDescent="0.3">
      <c r="C176" s="129"/>
      <c r="D176" s="129"/>
      <c r="E176" s="129"/>
      <c r="F176" s="129"/>
      <c r="G176" s="129"/>
      <c r="H176" s="129"/>
      <c r="I176" s="129"/>
      <c r="J176" s="129"/>
      <c r="K176" s="129"/>
      <c r="L176" s="129"/>
      <c r="M176" s="129"/>
      <c r="N176" s="129"/>
      <c r="O176" s="129"/>
      <c r="P176" s="129"/>
      <c r="Q176" s="129"/>
      <c r="R176" s="129"/>
      <c r="S176" s="129"/>
      <c r="T176" s="129"/>
      <c r="U176" s="129"/>
      <c r="V176" s="129"/>
      <c r="AC176"/>
      <c r="AD176"/>
      <c r="AE176"/>
      <c r="AF176"/>
    </row>
    <row r="177" spans="3:32" x14ac:dyDescent="0.3">
      <c r="C177" s="129"/>
      <c r="D177" s="129"/>
      <c r="E177" s="129"/>
      <c r="F177" s="129"/>
      <c r="G177" s="129"/>
      <c r="H177" s="129"/>
      <c r="I177" s="129"/>
      <c r="J177" s="129"/>
      <c r="K177" s="129"/>
      <c r="L177" s="129"/>
      <c r="M177" s="129"/>
      <c r="N177" s="129"/>
      <c r="O177" s="129"/>
      <c r="P177" s="129"/>
      <c r="Q177" s="129"/>
      <c r="R177" s="129"/>
      <c r="S177" s="129"/>
      <c r="T177" s="129"/>
      <c r="U177" s="129"/>
      <c r="V177" s="129"/>
      <c r="AC177"/>
      <c r="AD177"/>
      <c r="AE177"/>
      <c r="AF177"/>
    </row>
    <row r="178" spans="3:32" x14ac:dyDescent="0.3">
      <c r="C178" s="129"/>
      <c r="D178" s="129"/>
      <c r="E178" s="129"/>
      <c r="F178" s="129"/>
      <c r="G178" s="129"/>
      <c r="H178" s="129"/>
      <c r="I178" s="129"/>
      <c r="J178" s="129"/>
      <c r="K178" s="129"/>
      <c r="L178" s="129"/>
      <c r="M178" s="129"/>
      <c r="N178" s="129"/>
      <c r="O178" s="129"/>
      <c r="P178" s="129"/>
      <c r="Q178" s="129"/>
      <c r="R178" s="129"/>
      <c r="S178" s="129"/>
      <c r="T178" s="129"/>
      <c r="U178" s="129"/>
      <c r="V178" s="129"/>
      <c r="AC178"/>
      <c r="AD178"/>
      <c r="AE178"/>
      <c r="AF178"/>
    </row>
    <row r="179" spans="3:32" x14ac:dyDescent="0.3">
      <c r="C179" s="129"/>
      <c r="D179" s="129"/>
      <c r="E179" s="129"/>
      <c r="F179" s="129"/>
      <c r="G179" s="129"/>
      <c r="H179" s="129"/>
      <c r="I179" s="129"/>
      <c r="J179" s="129"/>
      <c r="K179" s="129"/>
      <c r="L179" s="129"/>
      <c r="M179" s="129"/>
      <c r="N179" s="129"/>
      <c r="O179" s="129"/>
      <c r="P179" s="129"/>
      <c r="Q179" s="129"/>
      <c r="R179" s="129"/>
      <c r="S179" s="129"/>
      <c r="T179" s="129"/>
      <c r="U179" s="129"/>
      <c r="V179" s="129"/>
      <c r="AC179"/>
      <c r="AD179"/>
      <c r="AE179"/>
      <c r="AF179"/>
    </row>
    <row r="180" spans="3:32" x14ac:dyDescent="0.3">
      <c r="C180" s="129"/>
      <c r="D180" s="129"/>
      <c r="E180" s="129"/>
      <c r="F180" s="129"/>
      <c r="G180" s="129"/>
      <c r="H180" s="129"/>
      <c r="I180" s="129"/>
      <c r="J180" s="129"/>
      <c r="K180" s="129"/>
      <c r="L180" s="129"/>
      <c r="M180" s="129"/>
      <c r="N180" s="129"/>
      <c r="O180" s="129"/>
      <c r="P180" s="129"/>
      <c r="Q180" s="129"/>
      <c r="R180" s="129"/>
      <c r="S180" s="129"/>
      <c r="T180" s="129"/>
      <c r="U180" s="129"/>
      <c r="V180" s="129"/>
      <c r="AC180"/>
      <c r="AD180"/>
      <c r="AE180"/>
      <c r="AF180"/>
    </row>
    <row r="181" spans="3:32" x14ac:dyDescent="0.3">
      <c r="C181" s="129"/>
      <c r="D181" s="129"/>
      <c r="E181" s="129"/>
      <c r="F181" s="129"/>
      <c r="G181" s="129"/>
      <c r="H181" s="129"/>
      <c r="I181" s="129"/>
      <c r="J181" s="129"/>
      <c r="K181" s="129"/>
      <c r="L181" s="129"/>
      <c r="M181" s="129"/>
      <c r="N181" s="129"/>
      <c r="O181" s="129"/>
      <c r="P181" s="129"/>
      <c r="Q181" s="129"/>
      <c r="R181" s="129"/>
      <c r="S181" s="129"/>
      <c r="T181" s="129"/>
      <c r="U181" s="129"/>
      <c r="V181" s="129"/>
      <c r="AC181"/>
      <c r="AD181"/>
      <c r="AE181"/>
      <c r="AF181"/>
    </row>
    <row r="182" spans="3:32" x14ac:dyDescent="0.3">
      <c r="C182" s="129"/>
      <c r="D182" s="129"/>
      <c r="E182" s="129"/>
      <c r="F182" s="129"/>
      <c r="G182" s="129"/>
      <c r="H182" s="129"/>
      <c r="I182" s="129"/>
      <c r="J182" s="129"/>
      <c r="K182" s="129"/>
      <c r="L182" s="129"/>
      <c r="M182" s="129"/>
      <c r="N182" s="129"/>
      <c r="O182" s="129"/>
      <c r="P182" s="129"/>
      <c r="Q182" s="129"/>
      <c r="R182" s="129"/>
      <c r="S182" s="129"/>
      <c r="T182" s="129"/>
      <c r="U182" s="129"/>
      <c r="V182" s="129"/>
      <c r="AC182"/>
      <c r="AD182"/>
      <c r="AE182"/>
      <c r="AF182"/>
    </row>
    <row r="183" spans="3:32" x14ac:dyDescent="0.3">
      <c r="C183" s="129"/>
      <c r="D183" s="129"/>
      <c r="E183" s="129"/>
      <c r="F183" s="129"/>
      <c r="G183" s="129"/>
      <c r="H183" s="129"/>
      <c r="I183" s="129"/>
      <c r="J183" s="129"/>
      <c r="K183" s="129"/>
      <c r="L183" s="129"/>
      <c r="M183" s="129"/>
      <c r="N183" s="129"/>
      <c r="O183" s="129"/>
      <c r="P183" s="129"/>
      <c r="Q183" s="129"/>
      <c r="R183" s="129"/>
      <c r="S183" s="129"/>
      <c r="T183" s="129"/>
      <c r="U183" s="129"/>
      <c r="V183" s="129"/>
      <c r="AC183"/>
      <c r="AD183"/>
      <c r="AE183"/>
      <c r="AF183"/>
    </row>
    <row r="184" spans="3:32" x14ac:dyDescent="0.3">
      <c r="C184" s="129"/>
      <c r="D184" s="129"/>
      <c r="E184" s="129"/>
      <c r="F184" s="129"/>
      <c r="G184" s="129"/>
      <c r="H184" s="129"/>
      <c r="I184" s="129"/>
      <c r="J184" s="129"/>
      <c r="K184" s="129"/>
      <c r="L184" s="129"/>
      <c r="M184" s="129"/>
      <c r="N184" s="129"/>
      <c r="O184" s="129"/>
      <c r="P184" s="129"/>
      <c r="Q184" s="129"/>
      <c r="R184" s="129"/>
      <c r="S184" s="129"/>
      <c r="T184" s="129"/>
      <c r="U184" s="129"/>
      <c r="V184" s="129"/>
      <c r="AC184"/>
      <c r="AD184"/>
      <c r="AE184"/>
      <c r="AF184"/>
    </row>
    <row r="185" spans="3:32" x14ac:dyDescent="0.3">
      <c r="C185" s="129"/>
      <c r="D185" s="129"/>
      <c r="E185" s="129"/>
      <c r="F185" s="129"/>
      <c r="G185" s="129"/>
      <c r="H185" s="129"/>
      <c r="I185" s="129"/>
      <c r="J185" s="129"/>
      <c r="K185" s="129"/>
      <c r="L185" s="129"/>
      <c r="M185" s="129"/>
      <c r="N185" s="129"/>
      <c r="O185" s="129"/>
      <c r="P185" s="129"/>
      <c r="Q185" s="129"/>
      <c r="R185" s="129"/>
      <c r="S185" s="129"/>
      <c r="T185" s="129"/>
      <c r="U185" s="129"/>
      <c r="V185" s="129"/>
      <c r="AC185"/>
      <c r="AD185"/>
      <c r="AE185"/>
      <c r="AF185"/>
    </row>
    <row r="186" spans="3:32" x14ac:dyDescent="0.3">
      <c r="C186" s="129"/>
      <c r="D186" s="129"/>
      <c r="E186" s="129"/>
      <c r="F186" s="129"/>
      <c r="G186" s="129"/>
      <c r="H186" s="129"/>
      <c r="I186" s="129"/>
      <c r="J186" s="129"/>
      <c r="K186" s="129"/>
      <c r="L186" s="129"/>
      <c r="M186" s="129"/>
      <c r="N186" s="129"/>
      <c r="O186" s="129"/>
      <c r="P186" s="129"/>
      <c r="Q186" s="129"/>
      <c r="R186" s="129"/>
      <c r="S186" s="129"/>
      <c r="T186" s="129"/>
      <c r="U186" s="129"/>
      <c r="V186" s="129"/>
      <c r="AC186"/>
      <c r="AD186"/>
      <c r="AE186"/>
      <c r="AF186"/>
    </row>
    <row r="187" spans="3:32" x14ac:dyDescent="0.3">
      <c r="C187" s="129"/>
      <c r="D187" s="129"/>
      <c r="E187" s="129"/>
      <c r="F187" s="129"/>
      <c r="G187" s="129"/>
      <c r="H187" s="129"/>
      <c r="I187" s="129"/>
      <c r="J187" s="129"/>
      <c r="K187" s="129"/>
      <c r="L187" s="129"/>
      <c r="M187" s="129"/>
      <c r="N187" s="129"/>
      <c r="O187" s="129"/>
      <c r="P187" s="129"/>
      <c r="Q187" s="129"/>
      <c r="R187" s="129"/>
      <c r="S187" s="129"/>
      <c r="T187" s="129"/>
      <c r="U187" s="129"/>
      <c r="V187" s="129"/>
      <c r="AC187"/>
      <c r="AD187"/>
      <c r="AE187"/>
      <c r="AF187"/>
    </row>
    <row r="188" spans="3:32" x14ac:dyDescent="0.3">
      <c r="C188" s="129"/>
      <c r="D188" s="129"/>
      <c r="E188" s="129"/>
      <c r="F188" s="129"/>
      <c r="G188" s="129"/>
      <c r="H188" s="129"/>
      <c r="I188" s="129"/>
      <c r="J188" s="129"/>
      <c r="K188" s="129"/>
      <c r="L188" s="129"/>
      <c r="M188" s="129"/>
      <c r="N188" s="129"/>
      <c r="O188" s="129"/>
      <c r="P188" s="129"/>
      <c r="Q188" s="129"/>
      <c r="R188" s="129"/>
      <c r="S188" s="129"/>
      <c r="T188" s="129"/>
      <c r="U188" s="129"/>
      <c r="V188" s="129"/>
      <c r="AC188"/>
      <c r="AD188"/>
      <c r="AE188"/>
      <c r="AF188"/>
    </row>
    <row r="189" spans="3:32" x14ac:dyDescent="0.3">
      <c r="C189" s="129"/>
      <c r="D189" s="129"/>
      <c r="E189" s="129"/>
      <c r="F189" s="129"/>
      <c r="G189" s="129"/>
      <c r="H189" s="129"/>
      <c r="I189" s="129"/>
      <c r="J189" s="129"/>
      <c r="K189" s="129"/>
      <c r="L189" s="129"/>
      <c r="M189" s="129"/>
      <c r="N189" s="129"/>
      <c r="O189" s="129"/>
      <c r="P189" s="129"/>
      <c r="Q189" s="129"/>
      <c r="R189" s="129"/>
      <c r="S189" s="129"/>
      <c r="T189" s="129"/>
      <c r="U189" s="129"/>
      <c r="V189" s="129"/>
      <c r="AC189"/>
      <c r="AD189"/>
      <c r="AE189"/>
      <c r="AF189"/>
    </row>
    <row r="190" spans="3:32" x14ac:dyDescent="0.3"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AC190"/>
      <c r="AD190"/>
      <c r="AE190"/>
      <c r="AF190"/>
    </row>
    <row r="191" spans="3:32" x14ac:dyDescent="0.3"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AC191"/>
      <c r="AD191"/>
      <c r="AE191"/>
      <c r="AF191"/>
    </row>
    <row r="192" spans="3:32" x14ac:dyDescent="0.3">
      <c r="C192" s="129"/>
      <c r="D192" s="129"/>
      <c r="E192" s="129"/>
      <c r="F192" s="129"/>
      <c r="G192" s="129"/>
      <c r="H192" s="129"/>
      <c r="I192" s="129"/>
      <c r="J192" s="129"/>
      <c r="K192" s="129"/>
      <c r="L192" s="129"/>
      <c r="M192" s="129"/>
      <c r="N192" s="129"/>
      <c r="O192" s="129"/>
      <c r="P192" s="129"/>
      <c r="Q192" s="129"/>
      <c r="R192" s="129"/>
      <c r="S192" s="129"/>
      <c r="T192" s="129"/>
      <c r="U192" s="129"/>
      <c r="V192" s="129"/>
      <c r="AC192"/>
      <c r="AD192"/>
      <c r="AE192"/>
      <c r="AF192"/>
    </row>
    <row r="193" spans="3:32" x14ac:dyDescent="0.3">
      <c r="C193" s="129"/>
      <c r="D193" s="129"/>
      <c r="E193" s="129"/>
      <c r="F193" s="129"/>
      <c r="G193" s="129"/>
      <c r="H193" s="129"/>
      <c r="I193" s="129"/>
      <c r="J193" s="129"/>
      <c r="K193" s="129"/>
      <c r="L193" s="129"/>
      <c r="M193" s="129"/>
      <c r="N193" s="129"/>
      <c r="O193" s="129"/>
      <c r="P193" s="129"/>
      <c r="Q193" s="129"/>
      <c r="R193" s="129"/>
      <c r="S193" s="129"/>
      <c r="T193" s="129"/>
      <c r="U193" s="129"/>
      <c r="V193" s="129"/>
      <c r="AC193"/>
      <c r="AD193"/>
      <c r="AE193"/>
      <c r="AF193"/>
    </row>
    <row r="194" spans="3:32" x14ac:dyDescent="0.3">
      <c r="C194" s="129"/>
      <c r="D194" s="129"/>
      <c r="E194" s="129"/>
      <c r="F194" s="129"/>
      <c r="G194" s="129"/>
      <c r="H194" s="129"/>
      <c r="I194" s="129"/>
      <c r="J194" s="129"/>
      <c r="K194" s="129"/>
      <c r="L194" s="129"/>
      <c r="M194" s="129"/>
      <c r="N194" s="129"/>
      <c r="O194" s="129"/>
      <c r="P194" s="129"/>
      <c r="Q194" s="129"/>
      <c r="R194" s="129"/>
      <c r="S194" s="129"/>
      <c r="T194" s="129"/>
      <c r="U194" s="129"/>
      <c r="V194" s="129"/>
      <c r="AC194"/>
      <c r="AD194"/>
      <c r="AE194"/>
      <c r="AF194"/>
    </row>
    <row r="195" spans="3:32" x14ac:dyDescent="0.3">
      <c r="C195" s="129"/>
      <c r="D195" s="129"/>
      <c r="E195" s="129"/>
      <c r="F195" s="129"/>
      <c r="G195" s="129"/>
      <c r="H195" s="129"/>
      <c r="I195" s="129"/>
      <c r="J195" s="129"/>
      <c r="K195" s="129"/>
      <c r="L195" s="129"/>
      <c r="M195" s="129"/>
      <c r="N195" s="129"/>
      <c r="O195" s="129"/>
      <c r="P195" s="129"/>
      <c r="Q195" s="129"/>
      <c r="R195" s="129"/>
      <c r="S195" s="129"/>
      <c r="T195" s="129"/>
      <c r="U195" s="129"/>
      <c r="V195" s="129"/>
      <c r="AC195"/>
      <c r="AD195"/>
      <c r="AE195"/>
      <c r="AF195"/>
    </row>
    <row r="196" spans="3:32" x14ac:dyDescent="0.3">
      <c r="C196" s="129"/>
      <c r="D196" s="129"/>
      <c r="E196" s="129"/>
      <c r="F196" s="129"/>
      <c r="G196" s="129"/>
      <c r="H196" s="129"/>
      <c r="I196" s="129"/>
      <c r="J196" s="129"/>
      <c r="K196" s="129"/>
      <c r="L196" s="129"/>
      <c r="M196" s="129"/>
      <c r="N196" s="129"/>
      <c r="O196" s="129"/>
      <c r="P196" s="129"/>
      <c r="Q196" s="129"/>
      <c r="R196" s="129"/>
      <c r="S196" s="129"/>
      <c r="T196" s="129"/>
      <c r="U196" s="129"/>
      <c r="V196" s="129"/>
      <c r="AC196"/>
      <c r="AD196"/>
      <c r="AE196"/>
      <c r="AF196"/>
    </row>
    <row r="197" spans="3:32" x14ac:dyDescent="0.3">
      <c r="C197" s="129"/>
      <c r="D197" s="129"/>
      <c r="E197" s="129"/>
      <c r="F197" s="129"/>
      <c r="G197" s="129"/>
      <c r="H197" s="129"/>
      <c r="I197" s="129"/>
      <c r="J197" s="129"/>
      <c r="K197" s="129"/>
      <c r="L197" s="129"/>
      <c r="M197" s="129"/>
      <c r="N197" s="129"/>
      <c r="O197" s="129"/>
      <c r="P197" s="129"/>
      <c r="Q197" s="129"/>
      <c r="R197" s="129"/>
      <c r="S197" s="129"/>
      <c r="T197" s="129"/>
      <c r="U197" s="129"/>
      <c r="V197" s="129"/>
      <c r="AC197"/>
      <c r="AD197"/>
      <c r="AE197"/>
      <c r="AF197"/>
    </row>
    <row r="198" spans="3:32" x14ac:dyDescent="0.3">
      <c r="C198" s="129"/>
      <c r="D198" s="129"/>
      <c r="E198" s="129"/>
      <c r="F198" s="129"/>
      <c r="G198" s="129"/>
      <c r="H198" s="129"/>
      <c r="I198" s="129"/>
      <c r="J198" s="129"/>
      <c r="K198" s="129"/>
      <c r="L198" s="129"/>
      <c r="M198" s="129"/>
      <c r="N198" s="129"/>
      <c r="O198" s="129"/>
      <c r="P198" s="129"/>
      <c r="Q198" s="129"/>
      <c r="R198" s="129"/>
      <c r="S198" s="129"/>
      <c r="T198" s="129"/>
      <c r="U198" s="129"/>
      <c r="V198" s="129"/>
      <c r="AC198"/>
      <c r="AD198"/>
      <c r="AE198"/>
      <c r="AF198"/>
    </row>
    <row r="199" spans="3:32" x14ac:dyDescent="0.3">
      <c r="C199" s="129"/>
      <c r="D199" s="129"/>
      <c r="E199" s="129"/>
      <c r="F199" s="129"/>
      <c r="G199" s="129"/>
      <c r="H199" s="129"/>
      <c r="I199" s="129"/>
      <c r="J199" s="129"/>
      <c r="K199" s="129"/>
      <c r="L199" s="129"/>
      <c r="M199" s="129"/>
      <c r="N199" s="129"/>
      <c r="O199" s="129"/>
      <c r="P199" s="129"/>
      <c r="Q199" s="129"/>
      <c r="R199" s="129"/>
      <c r="S199" s="129"/>
      <c r="T199" s="129"/>
      <c r="U199" s="129"/>
      <c r="V199" s="129"/>
      <c r="AC199"/>
      <c r="AD199"/>
      <c r="AE199"/>
      <c r="AF199"/>
    </row>
    <row r="200" spans="3:32" x14ac:dyDescent="0.3">
      <c r="C200" s="129"/>
      <c r="D200" s="129"/>
      <c r="E200" s="129"/>
      <c r="F200" s="129"/>
      <c r="G200" s="129"/>
      <c r="H200" s="129"/>
      <c r="I200" s="129"/>
      <c r="J200" s="129"/>
      <c r="K200" s="129"/>
      <c r="L200" s="129"/>
      <c r="M200" s="129"/>
      <c r="N200" s="129"/>
      <c r="O200" s="129"/>
      <c r="P200" s="129"/>
      <c r="Q200" s="129"/>
      <c r="R200" s="129"/>
      <c r="S200" s="129"/>
      <c r="T200" s="129"/>
      <c r="U200" s="129"/>
      <c r="V200" s="129"/>
      <c r="AC200"/>
      <c r="AD200"/>
      <c r="AE200"/>
      <c r="AF200"/>
    </row>
    <row r="201" spans="3:32" x14ac:dyDescent="0.3">
      <c r="C201" s="129"/>
      <c r="D201" s="129"/>
      <c r="E201" s="129"/>
      <c r="F201" s="129"/>
      <c r="G201" s="129"/>
      <c r="H201" s="129"/>
      <c r="I201" s="129"/>
      <c r="J201" s="129"/>
      <c r="K201" s="129"/>
      <c r="L201" s="129"/>
      <c r="M201" s="129"/>
      <c r="N201" s="129"/>
      <c r="O201" s="129"/>
      <c r="P201" s="129"/>
      <c r="Q201" s="129"/>
      <c r="R201" s="129"/>
      <c r="S201" s="129"/>
      <c r="T201" s="129"/>
      <c r="U201" s="129"/>
      <c r="V201" s="129"/>
      <c r="AC201"/>
      <c r="AD201"/>
      <c r="AE201"/>
      <c r="AF201"/>
    </row>
    <row r="202" spans="3:32" x14ac:dyDescent="0.3">
      <c r="C202" s="129"/>
      <c r="D202" s="129"/>
      <c r="E202" s="129"/>
      <c r="F202" s="129"/>
      <c r="G202" s="129"/>
      <c r="H202" s="129"/>
      <c r="I202" s="129"/>
      <c r="J202" s="129"/>
      <c r="K202" s="129"/>
      <c r="L202" s="129"/>
      <c r="M202" s="129"/>
      <c r="N202" s="129"/>
      <c r="O202" s="129"/>
      <c r="P202" s="129"/>
      <c r="Q202" s="129"/>
      <c r="R202" s="129"/>
      <c r="S202" s="129"/>
      <c r="T202" s="129"/>
      <c r="U202" s="129"/>
      <c r="V202" s="129"/>
      <c r="AC202"/>
      <c r="AD202"/>
      <c r="AE202"/>
      <c r="AF202"/>
    </row>
    <row r="203" spans="3:32" x14ac:dyDescent="0.3">
      <c r="C203" s="129"/>
      <c r="D203" s="129"/>
      <c r="E203" s="129"/>
      <c r="F203" s="129"/>
      <c r="G203" s="129"/>
      <c r="H203" s="129"/>
      <c r="I203" s="129"/>
      <c r="J203" s="129"/>
      <c r="K203" s="129"/>
      <c r="L203" s="129"/>
      <c r="M203" s="129"/>
      <c r="N203" s="129"/>
      <c r="O203" s="129"/>
      <c r="P203" s="129"/>
      <c r="Q203" s="129"/>
      <c r="R203" s="129"/>
      <c r="S203" s="129"/>
      <c r="T203" s="129"/>
      <c r="U203" s="129"/>
      <c r="V203" s="129"/>
      <c r="AC203"/>
      <c r="AD203"/>
      <c r="AE203"/>
      <c r="AF203"/>
    </row>
    <row r="204" spans="3:32" x14ac:dyDescent="0.3">
      <c r="C204" s="129"/>
      <c r="D204" s="129"/>
      <c r="E204" s="129"/>
      <c r="F204" s="129"/>
      <c r="G204" s="129"/>
      <c r="H204" s="129"/>
      <c r="I204" s="129"/>
      <c r="J204" s="129"/>
      <c r="K204" s="129"/>
      <c r="L204" s="129"/>
      <c r="M204" s="129"/>
      <c r="N204" s="129"/>
      <c r="O204" s="129"/>
      <c r="P204" s="129"/>
      <c r="Q204" s="129"/>
      <c r="R204" s="129"/>
      <c r="S204" s="129"/>
      <c r="T204" s="129"/>
      <c r="U204" s="129"/>
      <c r="V204" s="129"/>
      <c r="AC204"/>
      <c r="AD204"/>
      <c r="AE204"/>
      <c r="AF204"/>
    </row>
    <row r="205" spans="3:32" x14ac:dyDescent="0.3">
      <c r="C205" s="129"/>
      <c r="D205" s="129"/>
      <c r="E205" s="129"/>
      <c r="F205" s="129"/>
      <c r="G205" s="129"/>
      <c r="H205" s="129"/>
      <c r="I205" s="129"/>
      <c r="J205" s="129"/>
      <c r="K205" s="129"/>
      <c r="L205" s="129"/>
      <c r="M205" s="129"/>
      <c r="N205" s="129"/>
      <c r="O205" s="129"/>
      <c r="P205" s="129"/>
      <c r="Q205" s="129"/>
      <c r="R205" s="129"/>
      <c r="S205" s="129"/>
      <c r="T205" s="129"/>
      <c r="U205" s="129"/>
      <c r="V205" s="129"/>
      <c r="AC205"/>
      <c r="AD205"/>
      <c r="AE205"/>
      <c r="AF205"/>
    </row>
    <row r="206" spans="3:32" x14ac:dyDescent="0.3">
      <c r="C206" s="129"/>
      <c r="D206" s="129"/>
      <c r="E206" s="129"/>
      <c r="F206" s="129"/>
      <c r="G206" s="129"/>
      <c r="H206" s="129"/>
      <c r="I206" s="129"/>
      <c r="J206" s="129"/>
      <c r="K206" s="129"/>
      <c r="L206" s="129"/>
      <c r="M206" s="129"/>
      <c r="N206" s="129"/>
      <c r="O206" s="129"/>
      <c r="P206" s="129"/>
      <c r="Q206" s="129"/>
      <c r="R206" s="129"/>
      <c r="S206" s="129"/>
      <c r="T206" s="129"/>
      <c r="U206" s="129"/>
      <c r="V206" s="129"/>
      <c r="AC206"/>
      <c r="AD206"/>
      <c r="AE206"/>
      <c r="AF206"/>
    </row>
    <row r="207" spans="3:32" x14ac:dyDescent="0.3">
      <c r="C207" s="129"/>
      <c r="D207" s="129"/>
      <c r="E207" s="129"/>
      <c r="F207" s="129"/>
      <c r="G207" s="129"/>
      <c r="H207" s="129"/>
      <c r="I207" s="129"/>
      <c r="J207" s="129"/>
      <c r="K207" s="129"/>
      <c r="L207" s="129"/>
      <c r="M207" s="129"/>
      <c r="N207" s="129"/>
      <c r="O207" s="129"/>
      <c r="P207" s="129"/>
      <c r="Q207" s="129"/>
      <c r="R207" s="129"/>
      <c r="S207" s="129"/>
      <c r="T207" s="129"/>
      <c r="U207" s="129"/>
      <c r="V207" s="129"/>
      <c r="AC207"/>
      <c r="AD207"/>
      <c r="AE207"/>
      <c r="AF207"/>
    </row>
    <row r="208" spans="3:32" x14ac:dyDescent="0.3">
      <c r="C208" s="129"/>
      <c r="D208" s="129"/>
      <c r="E208" s="129"/>
      <c r="F208" s="129"/>
      <c r="G208" s="129"/>
      <c r="H208" s="129"/>
      <c r="I208" s="129"/>
      <c r="J208" s="129"/>
      <c r="K208" s="129"/>
      <c r="L208" s="129"/>
      <c r="M208" s="129"/>
      <c r="N208" s="129"/>
      <c r="O208" s="129"/>
      <c r="P208" s="129"/>
      <c r="Q208" s="129"/>
      <c r="R208" s="129"/>
      <c r="S208" s="129"/>
      <c r="T208" s="129"/>
      <c r="U208" s="129"/>
      <c r="V208" s="129"/>
      <c r="AC208"/>
      <c r="AD208"/>
      <c r="AE208"/>
      <c r="AF208"/>
    </row>
    <row r="209" spans="3:32" x14ac:dyDescent="0.3">
      <c r="C209" s="129"/>
      <c r="D209" s="129"/>
      <c r="E209" s="129"/>
      <c r="F209" s="129"/>
      <c r="G209" s="129"/>
      <c r="H209" s="129"/>
      <c r="I209" s="129"/>
      <c r="J209" s="129"/>
      <c r="K209" s="129"/>
      <c r="L209" s="129"/>
      <c r="M209" s="129"/>
      <c r="N209" s="129"/>
      <c r="O209" s="129"/>
      <c r="P209" s="129"/>
      <c r="Q209" s="129"/>
      <c r="R209" s="129"/>
      <c r="S209" s="129"/>
      <c r="T209" s="129"/>
      <c r="U209" s="129"/>
      <c r="V209" s="129"/>
      <c r="AC209"/>
      <c r="AD209"/>
      <c r="AE209"/>
      <c r="AF209"/>
    </row>
    <row r="210" spans="3:32" x14ac:dyDescent="0.3">
      <c r="C210" s="129"/>
      <c r="D210" s="129"/>
      <c r="E210" s="129"/>
      <c r="F210" s="129"/>
      <c r="G210" s="129"/>
      <c r="H210" s="129"/>
      <c r="I210" s="129"/>
      <c r="J210" s="129"/>
      <c r="K210" s="129"/>
      <c r="L210" s="129"/>
      <c r="M210" s="129"/>
      <c r="N210" s="129"/>
      <c r="O210" s="129"/>
      <c r="P210" s="129"/>
      <c r="Q210" s="129"/>
      <c r="R210" s="129"/>
      <c r="S210" s="129"/>
      <c r="T210" s="129"/>
      <c r="U210" s="129"/>
      <c r="V210" s="129"/>
      <c r="AC210"/>
      <c r="AD210"/>
      <c r="AE210"/>
      <c r="AF210"/>
    </row>
    <row r="211" spans="3:32" x14ac:dyDescent="0.3">
      <c r="C211" s="129"/>
      <c r="D211" s="129"/>
      <c r="E211" s="129"/>
      <c r="F211" s="129"/>
      <c r="G211" s="129"/>
      <c r="H211" s="129"/>
      <c r="I211" s="129"/>
      <c r="J211" s="129"/>
      <c r="K211" s="129"/>
      <c r="L211" s="129"/>
      <c r="M211" s="129"/>
      <c r="N211" s="129"/>
      <c r="O211" s="129"/>
      <c r="P211" s="129"/>
      <c r="Q211" s="129"/>
      <c r="R211" s="129"/>
      <c r="S211" s="129"/>
      <c r="T211" s="129"/>
      <c r="U211" s="129"/>
      <c r="V211" s="129"/>
      <c r="AC211"/>
      <c r="AD211"/>
      <c r="AE211"/>
      <c r="AF211"/>
    </row>
    <row r="212" spans="3:32" x14ac:dyDescent="0.3">
      <c r="C212" s="129"/>
      <c r="D212" s="129"/>
      <c r="E212" s="129"/>
      <c r="F212" s="129"/>
      <c r="G212" s="129"/>
      <c r="H212" s="129"/>
      <c r="I212" s="129"/>
      <c r="J212" s="129"/>
      <c r="K212" s="129"/>
      <c r="L212" s="129"/>
      <c r="M212" s="129"/>
      <c r="N212" s="129"/>
      <c r="O212" s="129"/>
      <c r="P212" s="129"/>
      <c r="Q212" s="129"/>
      <c r="R212" s="129"/>
      <c r="S212" s="129"/>
      <c r="T212" s="129"/>
      <c r="U212" s="129"/>
      <c r="V212" s="129"/>
      <c r="AC212"/>
      <c r="AD212"/>
      <c r="AE212"/>
      <c r="AF212"/>
    </row>
    <row r="213" spans="3:32" x14ac:dyDescent="0.3">
      <c r="C213" s="129"/>
      <c r="D213" s="129"/>
      <c r="E213" s="129"/>
      <c r="F213" s="129"/>
      <c r="G213" s="129"/>
      <c r="H213" s="129"/>
      <c r="I213" s="129"/>
      <c r="J213" s="129"/>
      <c r="K213" s="129"/>
      <c r="L213" s="129"/>
      <c r="M213" s="129"/>
      <c r="N213" s="129"/>
      <c r="O213" s="129"/>
      <c r="P213" s="129"/>
      <c r="Q213" s="129"/>
      <c r="R213" s="129"/>
      <c r="S213" s="129"/>
      <c r="T213" s="129"/>
      <c r="U213" s="129"/>
      <c r="V213" s="129"/>
      <c r="AC213"/>
      <c r="AD213"/>
      <c r="AE213"/>
      <c r="AF213"/>
    </row>
    <row r="214" spans="3:32" x14ac:dyDescent="0.3">
      <c r="C214" s="129"/>
      <c r="D214" s="129"/>
      <c r="E214" s="129"/>
      <c r="F214" s="129"/>
      <c r="G214" s="129"/>
      <c r="H214" s="129"/>
      <c r="I214" s="129"/>
      <c r="J214" s="129"/>
      <c r="K214" s="129"/>
      <c r="L214" s="129"/>
      <c r="M214" s="129"/>
      <c r="N214" s="129"/>
      <c r="O214" s="129"/>
      <c r="P214" s="129"/>
      <c r="Q214" s="129"/>
      <c r="R214" s="129"/>
      <c r="S214" s="129"/>
      <c r="T214" s="129"/>
      <c r="U214" s="129"/>
      <c r="V214" s="129"/>
      <c r="AC214"/>
      <c r="AD214"/>
      <c r="AE214"/>
      <c r="AF214"/>
    </row>
    <row r="215" spans="3:32" x14ac:dyDescent="0.3">
      <c r="C215" s="129"/>
      <c r="D215" s="129"/>
      <c r="E215" s="129"/>
      <c r="F215" s="129"/>
      <c r="G215" s="129"/>
      <c r="H215" s="129"/>
      <c r="I215" s="129"/>
      <c r="J215" s="129"/>
      <c r="K215" s="129"/>
      <c r="L215" s="129"/>
      <c r="M215" s="129"/>
      <c r="N215" s="129"/>
      <c r="O215" s="129"/>
      <c r="P215" s="129"/>
      <c r="Q215" s="129"/>
      <c r="R215" s="129"/>
      <c r="S215" s="129"/>
      <c r="T215" s="129"/>
      <c r="U215" s="129"/>
      <c r="V215" s="129"/>
      <c r="AC215"/>
      <c r="AD215"/>
      <c r="AE215"/>
      <c r="AF215"/>
    </row>
    <row r="216" spans="3:32" x14ac:dyDescent="0.3">
      <c r="C216" s="129"/>
      <c r="D216" s="129"/>
      <c r="E216" s="129"/>
      <c r="F216" s="129"/>
      <c r="G216" s="129"/>
      <c r="H216" s="129"/>
      <c r="I216" s="129"/>
      <c r="J216" s="129"/>
      <c r="K216" s="129"/>
      <c r="L216" s="129"/>
      <c r="M216" s="129"/>
      <c r="N216" s="129"/>
      <c r="O216" s="129"/>
      <c r="P216" s="129"/>
      <c r="Q216" s="129"/>
      <c r="R216" s="129"/>
      <c r="S216" s="129"/>
      <c r="T216" s="129"/>
      <c r="U216" s="129"/>
      <c r="V216" s="129"/>
      <c r="AC216"/>
      <c r="AD216"/>
      <c r="AE216"/>
      <c r="AF216"/>
    </row>
    <row r="217" spans="3:32" x14ac:dyDescent="0.3">
      <c r="C217" s="129"/>
      <c r="D217" s="129"/>
      <c r="E217" s="129"/>
      <c r="F217" s="129"/>
      <c r="G217" s="129"/>
      <c r="H217" s="129"/>
      <c r="I217" s="129"/>
      <c r="J217" s="129"/>
      <c r="K217" s="129"/>
      <c r="L217" s="129"/>
      <c r="M217" s="129"/>
      <c r="N217" s="129"/>
      <c r="O217" s="129"/>
      <c r="P217" s="129"/>
      <c r="Q217" s="129"/>
      <c r="R217" s="129"/>
      <c r="S217" s="129"/>
      <c r="T217" s="129"/>
      <c r="U217" s="129"/>
      <c r="V217" s="129"/>
      <c r="AC217"/>
      <c r="AD217"/>
      <c r="AE217"/>
      <c r="AF217"/>
    </row>
    <row r="218" spans="3:32" x14ac:dyDescent="0.3">
      <c r="C218" s="129"/>
      <c r="D218" s="129"/>
      <c r="E218" s="129"/>
      <c r="F218" s="129"/>
      <c r="G218" s="129"/>
      <c r="H218" s="129"/>
      <c r="I218" s="129"/>
      <c r="J218" s="129"/>
      <c r="K218" s="129"/>
      <c r="L218" s="129"/>
      <c r="M218" s="129"/>
      <c r="N218" s="129"/>
      <c r="O218" s="129"/>
      <c r="P218" s="129"/>
      <c r="Q218" s="129"/>
      <c r="R218" s="129"/>
      <c r="S218" s="129"/>
      <c r="T218" s="129"/>
      <c r="U218" s="129"/>
      <c r="V218" s="129"/>
      <c r="AC218"/>
      <c r="AD218"/>
      <c r="AE218"/>
      <c r="AF218"/>
    </row>
    <row r="219" spans="3:32" x14ac:dyDescent="0.3">
      <c r="C219" s="129"/>
      <c r="D219" s="129"/>
      <c r="E219" s="129"/>
      <c r="F219" s="129"/>
      <c r="G219" s="129"/>
      <c r="H219" s="129"/>
      <c r="I219" s="129"/>
      <c r="J219" s="129"/>
      <c r="K219" s="129"/>
      <c r="L219" s="129"/>
      <c r="M219" s="129"/>
      <c r="N219" s="129"/>
      <c r="O219" s="129"/>
      <c r="P219" s="129"/>
      <c r="Q219" s="129"/>
      <c r="R219" s="129"/>
      <c r="S219" s="129"/>
      <c r="T219" s="129"/>
      <c r="U219" s="129"/>
      <c r="V219" s="129"/>
      <c r="AC219"/>
      <c r="AD219"/>
      <c r="AE219"/>
      <c r="AF219"/>
    </row>
    <row r="220" spans="3:32" x14ac:dyDescent="0.3">
      <c r="C220" s="129"/>
      <c r="D220" s="129"/>
      <c r="E220" s="129"/>
      <c r="F220" s="129"/>
      <c r="G220" s="129"/>
      <c r="H220" s="129"/>
      <c r="I220" s="129"/>
      <c r="J220" s="129"/>
      <c r="K220" s="129"/>
      <c r="L220" s="129"/>
      <c r="M220" s="129"/>
      <c r="N220" s="129"/>
      <c r="O220" s="129"/>
      <c r="P220" s="129"/>
      <c r="Q220" s="129"/>
      <c r="R220" s="129"/>
      <c r="S220" s="129"/>
      <c r="T220" s="129"/>
      <c r="U220" s="129"/>
      <c r="V220" s="129"/>
      <c r="AC220"/>
      <c r="AD220"/>
      <c r="AE220"/>
      <c r="AF220"/>
    </row>
    <row r="221" spans="3:32" x14ac:dyDescent="0.3">
      <c r="C221" s="129"/>
      <c r="D221" s="129"/>
      <c r="E221" s="129"/>
      <c r="F221" s="129"/>
      <c r="G221" s="129"/>
      <c r="H221" s="129"/>
      <c r="I221" s="129"/>
      <c r="J221" s="129"/>
      <c r="K221" s="129"/>
      <c r="L221" s="129"/>
      <c r="M221" s="129"/>
      <c r="N221" s="129"/>
      <c r="O221" s="129"/>
      <c r="P221" s="129"/>
      <c r="Q221" s="129"/>
      <c r="R221" s="129"/>
      <c r="S221" s="129"/>
      <c r="T221" s="129"/>
      <c r="U221" s="129"/>
      <c r="V221" s="129"/>
      <c r="AC221"/>
      <c r="AD221"/>
      <c r="AE221"/>
      <c r="AF221"/>
    </row>
    <row r="222" spans="3:32" x14ac:dyDescent="0.3">
      <c r="C222" s="129"/>
      <c r="D222" s="129"/>
      <c r="E222" s="129"/>
      <c r="F222" s="129"/>
      <c r="G222" s="129"/>
      <c r="H222" s="129"/>
      <c r="I222" s="129"/>
      <c r="J222" s="129"/>
      <c r="K222" s="129"/>
      <c r="L222" s="129"/>
      <c r="M222" s="129"/>
      <c r="N222" s="129"/>
      <c r="O222" s="129"/>
      <c r="P222" s="129"/>
      <c r="Q222" s="129"/>
      <c r="R222" s="129"/>
      <c r="S222" s="129"/>
      <c r="T222" s="129"/>
      <c r="U222" s="129"/>
      <c r="V222" s="129"/>
      <c r="AC222"/>
      <c r="AD222"/>
      <c r="AE222"/>
      <c r="AF222"/>
    </row>
    <row r="223" spans="3:32" x14ac:dyDescent="0.3">
      <c r="C223" s="129"/>
      <c r="D223" s="129"/>
      <c r="E223" s="129"/>
      <c r="F223" s="129"/>
      <c r="G223" s="129"/>
      <c r="H223" s="129"/>
      <c r="I223" s="129"/>
      <c r="J223" s="129"/>
      <c r="K223" s="129"/>
      <c r="L223" s="129"/>
      <c r="M223" s="129"/>
      <c r="N223" s="129"/>
      <c r="O223" s="129"/>
      <c r="P223" s="129"/>
      <c r="Q223" s="129"/>
      <c r="R223" s="129"/>
      <c r="S223" s="129"/>
      <c r="T223" s="129"/>
      <c r="U223" s="129"/>
      <c r="V223" s="129"/>
      <c r="AC223"/>
      <c r="AD223"/>
      <c r="AE223"/>
      <c r="AF223"/>
    </row>
    <row r="224" spans="3:32" x14ac:dyDescent="0.3">
      <c r="C224" s="129"/>
      <c r="D224" s="129"/>
      <c r="E224" s="129"/>
      <c r="F224" s="129"/>
      <c r="G224" s="129"/>
      <c r="H224" s="129"/>
      <c r="I224" s="129"/>
      <c r="J224" s="129"/>
      <c r="K224" s="129"/>
      <c r="L224" s="129"/>
      <c r="M224" s="129"/>
      <c r="N224" s="129"/>
      <c r="O224" s="129"/>
      <c r="P224" s="129"/>
      <c r="Q224" s="129"/>
      <c r="R224" s="129"/>
      <c r="S224" s="129"/>
      <c r="T224" s="129"/>
      <c r="U224" s="129"/>
      <c r="V224" s="129"/>
      <c r="AC224"/>
      <c r="AD224"/>
      <c r="AE224"/>
      <c r="AF224"/>
    </row>
    <row r="225" spans="3:32" x14ac:dyDescent="0.3">
      <c r="C225" s="129"/>
      <c r="D225" s="129"/>
      <c r="E225" s="129"/>
      <c r="F225" s="129"/>
      <c r="G225" s="129"/>
      <c r="H225" s="129"/>
      <c r="I225" s="129"/>
      <c r="J225" s="129"/>
      <c r="K225" s="129"/>
      <c r="L225" s="129"/>
      <c r="M225" s="129"/>
      <c r="N225" s="129"/>
      <c r="O225" s="129"/>
      <c r="P225" s="129"/>
      <c r="Q225" s="129"/>
      <c r="R225" s="129"/>
      <c r="S225" s="129"/>
      <c r="T225" s="129"/>
      <c r="U225" s="129"/>
      <c r="V225" s="129"/>
      <c r="AC225"/>
      <c r="AD225"/>
      <c r="AE225"/>
      <c r="AF225"/>
    </row>
    <row r="226" spans="3:32" x14ac:dyDescent="0.3">
      <c r="C226" s="129"/>
      <c r="D226" s="129"/>
      <c r="E226" s="129"/>
      <c r="F226" s="129"/>
      <c r="G226" s="129"/>
      <c r="H226" s="129"/>
      <c r="I226" s="129"/>
      <c r="J226" s="129"/>
      <c r="K226" s="129"/>
      <c r="L226" s="129"/>
      <c r="M226" s="129"/>
      <c r="N226" s="129"/>
      <c r="O226" s="129"/>
      <c r="P226" s="129"/>
      <c r="Q226" s="129"/>
      <c r="R226" s="129"/>
      <c r="S226" s="129"/>
      <c r="T226" s="129"/>
      <c r="U226" s="129"/>
      <c r="V226" s="129"/>
      <c r="AC226"/>
      <c r="AD226"/>
      <c r="AE226"/>
      <c r="AF226"/>
    </row>
    <row r="227" spans="3:32" x14ac:dyDescent="0.3">
      <c r="C227" s="129"/>
      <c r="D227" s="129"/>
      <c r="E227" s="129"/>
      <c r="F227" s="129"/>
      <c r="G227" s="129"/>
      <c r="H227" s="129"/>
      <c r="I227" s="129"/>
      <c r="J227" s="129"/>
      <c r="K227" s="129"/>
      <c r="L227" s="129"/>
      <c r="M227" s="129"/>
      <c r="N227" s="129"/>
      <c r="O227" s="129"/>
      <c r="P227" s="129"/>
      <c r="Q227" s="129"/>
      <c r="R227" s="129"/>
      <c r="S227" s="129"/>
      <c r="T227" s="129"/>
      <c r="U227" s="129"/>
      <c r="V227" s="129"/>
      <c r="AC227"/>
      <c r="AD227"/>
      <c r="AE227"/>
      <c r="AF227"/>
    </row>
    <row r="228" spans="3:32" x14ac:dyDescent="0.3">
      <c r="C228" s="129"/>
      <c r="D228" s="129"/>
      <c r="E228" s="129"/>
      <c r="F228" s="129"/>
      <c r="G228" s="129"/>
      <c r="H228" s="129"/>
      <c r="I228" s="129"/>
      <c r="J228" s="129"/>
      <c r="K228" s="129"/>
      <c r="L228" s="129"/>
      <c r="M228" s="129"/>
      <c r="N228" s="129"/>
      <c r="O228" s="129"/>
      <c r="P228" s="129"/>
      <c r="Q228" s="129"/>
      <c r="R228" s="129"/>
      <c r="S228" s="129"/>
      <c r="T228" s="129"/>
      <c r="U228" s="129"/>
      <c r="V228" s="129"/>
      <c r="AC228"/>
      <c r="AD228"/>
      <c r="AE228"/>
      <c r="AF228"/>
    </row>
    <row r="229" spans="3:32" x14ac:dyDescent="0.3">
      <c r="C229" s="129"/>
      <c r="D229" s="129"/>
      <c r="E229" s="129"/>
      <c r="F229" s="129"/>
      <c r="G229" s="129"/>
      <c r="H229" s="129"/>
      <c r="I229" s="129"/>
      <c r="J229" s="129"/>
      <c r="K229" s="129"/>
      <c r="L229" s="129"/>
      <c r="M229" s="129"/>
      <c r="N229" s="129"/>
      <c r="O229" s="129"/>
      <c r="P229" s="129"/>
      <c r="Q229" s="129"/>
      <c r="R229" s="129"/>
      <c r="S229" s="129"/>
      <c r="T229" s="129"/>
      <c r="U229" s="129"/>
      <c r="V229" s="129"/>
      <c r="AC229"/>
      <c r="AD229"/>
      <c r="AE229"/>
      <c r="AF229"/>
    </row>
    <row r="230" spans="3:32" x14ac:dyDescent="0.3">
      <c r="C230" s="129"/>
      <c r="D230" s="129"/>
      <c r="E230" s="129"/>
      <c r="F230" s="129"/>
      <c r="G230" s="129"/>
      <c r="H230" s="129"/>
      <c r="I230" s="129"/>
      <c r="J230" s="129"/>
      <c r="K230" s="129"/>
      <c r="L230" s="129"/>
      <c r="M230" s="129"/>
      <c r="N230" s="129"/>
      <c r="O230" s="129"/>
      <c r="P230" s="129"/>
      <c r="Q230" s="129"/>
      <c r="R230" s="129"/>
      <c r="S230" s="129"/>
      <c r="T230" s="129"/>
      <c r="U230" s="129"/>
      <c r="V230" s="129"/>
      <c r="AC230"/>
      <c r="AD230"/>
      <c r="AE230"/>
      <c r="AF230"/>
    </row>
    <row r="231" spans="3:32" x14ac:dyDescent="0.3">
      <c r="C231" s="129"/>
      <c r="D231" s="129"/>
      <c r="E231" s="129"/>
      <c r="F231" s="129"/>
      <c r="G231" s="129"/>
      <c r="H231" s="129"/>
      <c r="I231" s="129"/>
      <c r="J231" s="129"/>
      <c r="K231" s="129"/>
      <c r="L231" s="129"/>
      <c r="M231" s="129"/>
      <c r="N231" s="129"/>
      <c r="O231" s="129"/>
      <c r="P231" s="129"/>
      <c r="Q231" s="129"/>
      <c r="R231" s="129"/>
      <c r="S231" s="129"/>
      <c r="T231" s="129"/>
      <c r="U231" s="129"/>
      <c r="V231" s="129"/>
      <c r="AC231"/>
      <c r="AD231"/>
      <c r="AE231"/>
      <c r="AF231"/>
    </row>
    <row r="232" spans="3:32" x14ac:dyDescent="0.3">
      <c r="C232" s="129"/>
      <c r="D232" s="129"/>
      <c r="E232" s="129"/>
      <c r="F232" s="129"/>
      <c r="G232" s="129"/>
      <c r="H232" s="129"/>
      <c r="I232" s="129"/>
      <c r="J232" s="129"/>
      <c r="K232" s="129"/>
      <c r="L232" s="129"/>
      <c r="M232" s="129"/>
      <c r="N232" s="129"/>
      <c r="O232" s="129"/>
      <c r="P232" s="129"/>
      <c r="Q232" s="129"/>
      <c r="R232" s="129"/>
      <c r="S232" s="129"/>
      <c r="T232" s="129"/>
      <c r="U232" s="129"/>
      <c r="V232" s="129"/>
      <c r="AC232"/>
      <c r="AD232"/>
      <c r="AE232"/>
      <c r="AF232"/>
    </row>
    <row r="233" spans="3:32" x14ac:dyDescent="0.3">
      <c r="C233" s="129"/>
      <c r="D233" s="129"/>
      <c r="E233" s="129"/>
      <c r="F233" s="129"/>
      <c r="G233" s="129"/>
      <c r="H233" s="129"/>
      <c r="I233" s="129"/>
      <c r="J233" s="129"/>
      <c r="K233" s="129"/>
      <c r="L233" s="129"/>
      <c r="M233" s="129"/>
      <c r="N233" s="129"/>
      <c r="O233" s="129"/>
      <c r="P233" s="129"/>
      <c r="Q233" s="129"/>
      <c r="R233" s="129"/>
      <c r="S233" s="129"/>
      <c r="T233" s="129"/>
      <c r="U233" s="129"/>
      <c r="V233" s="129"/>
      <c r="AC233"/>
      <c r="AD233"/>
      <c r="AE233"/>
      <c r="AF233"/>
    </row>
    <row r="234" spans="3:32" x14ac:dyDescent="0.3">
      <c r="C234" s="129"/>
      <c r="D234" s="129"/>
      <c r="E234" s="129"/>
      <c r="F234" s="129"/>
      <c r="G234" s="129"/>
      <c r="H234" s="129"/>
      <c r="I234" s="129"/>
      <c r="J234" s="129"/>
      <c r="K234" s="129"/>
      <c r="L234" s="129"/>
      <c r="M234" s="129"/>
      <c r="N234" s="129"/>
      <c r="O234" s="129"/>
      <c r="P234" s="129"/>
      <c r="Q234" s="129"/>
      <c r="R234" s="129"/>
      <c r="S234" s="129"/>
      <c r="T234" s="129"/>
      <c r="U234" s="129"/>
      <c r="V234" s="129"/>
      <c r="AC234"/>
      <c r="AD234"/>
      <c r="AE234"/>
      <c r="AF234"/>
    </row>
    <row r="235" spans="3:32" x14ac:dyDescent="0.3">
      <c r="C235" s="129"/>
      <c r="D235" s="129"/>
      <c r="E235" s="129"/>
      <c r="F235" s="129"/>
      <c r="G235" s="129"/>
      <c r="H235" s="129"/>
      <c r="I235" s="129"/>
      <c r="J235" s="129"/>
      <c r="K235" s="129"/>
      <c r="L235" s="129"/>
      <c r="M235" s="129"/>
      <c r="N235" s="129"/>
      <c r="O235" s="129"/>
      <c r="P235" s="129"/>
      <c r="Q235" s="129"/>
      <c r="R235" s="129"/>
      <c r="S235" s="129"/>
      <c r="T235" s="129"/>
      <c r="U235" s="129"/>
      <c r="V235" s="129"/>
      <c r="AC235"/>
      <c r="AD235"/>
      <c r="AE235"/>
      <c r="AF235"/>
    </row>
    <row r="236" spans="3:32" x14ac:dyDescent="0.3">
      <c r="C236" s="129"/>
      <c r="D236" s="129"/>
      <c r="E236" s="129"/>
      <c r="F236" s="129"/>
      <c r="G236" s="129"/>
      <c r="H236" s="129"/>
      <c r="I236" s="129"/>
      <c r="J236" s="129"/>
      <c r="K236" s="129"/>
      <c r="L236" s="129"/>
      <c r="M236" s="129"/>
      <c r="N236" s="129"/>
      <c r="O236" s="129"/>
      <c r="P236" s="129"/>
      <c r="Q236" s="129"/>
      <c r="R236" s="129"/>
      <c r="S236" s="129"/>
      <c r="T236" s="129"/>
      <c r="U236" s="129"/>
      <c r="V236" s="129"/>
      <c r="AC236"/>
      <c r="AD236"/>
      <c r="AE236"/>
      <c r="AF236"/>
    </row>
    <row r="237" spans="3:32" x14ac:dyDescent="0.3">
      <c r="C237" s="129"/>
      <c r="D237" s="129"/>
      <c r="E237" s="129"/>
      <c r="F237" s="129"/>
      <c r="G237" s="129"/>
      <c r="H237" s="129"/>
      <c r="I237" s="129"/>
      <c r="J237" s="129"/>
      <c r="K237" s="129"/>
      <c r="L237" s="129"/>
      <c r="M237" s="129"/>
      <c r="N237" s="129"/>
      <c r="O237" s="129"/>
      <c r="P237" s="129"/>
      <c r="Q237" s="129"/>
      <c r="R237" s="129"/>
      <c r="S237" s="129"/>
      <c r="T237" s="129"/>
      <c r="U237" s="129"/>
      <c r="V237" s="129"/>
      <c r="AC237"/>
      <c r="AD237"/>
      <c r="AE237"/>
      <c r="AF237"/>
    </row>
    <row r="238" spans="3:32" x14ac:dyDescent="0.3">
      <c r="C238" s="129"/>
      <c r="D238" s="129"/>
      <c r="E238" s="129"/>
      <c r="F238" s="129"/>
      <c r="G238" s="129"/>
      <c r="H238" s="129"/>
      <c r="I238" s="129"/>
      <c r="J238" s="129"/>
      <c r="K238" s="129"/>
      <c r="L238" s="129"/>
      <c r="M238" s="129"/>
      <c r="N238" s="129"/>
      <c r="O238" s="129"/>
      <c r="P238" s="129"/>
      <c r="Q238" s="129"/>
      <c r="R238" s="129"/>
      <c r="S238" s="129"/>
      <c r="T238" s="129"/>
      <c r="U238" s="129"/>
      <c r="V238" s="129"/>
      <c r="AC238"/>
      <c r="AD238"/>
      <c r="AE238"/>
      <c r="AF238"/>
    </row>
    <row r="239" spans="3:32" x14ac:dyDescent="0.3">
      <c r="C239" s="129"/>
      <c r="D239" s="129"/>
      <c r="E239" s="129"/>
      <c r="F239" s="129"/>
      <c r="G239" s="129"/>
      <c r="H239" s="129"/>
      <c r="I239" s="129"/>
      <c r="J239" s="129"/>
      <c r="K239" s="129"/>
      <c r="L239" s="129"/>
      <c r="M239" s="129"/>
      <c r="N239" s="129"/>
      <c r="O239" s="129"/>
      <c r="P239" s="129"/>
      <c r="Q239" s="129"/>
      <c r="R239" s="129"/>
      <c r="S239" s="129"/>
      <c r="T239" s="129"/>
      <c r="U239" s="129"/>
      <c r="V239" s="129"/>
      <c r="AC239"/>
      <c r="AD239"/>
      <c r="AE239"/>
      <c r="AF239"/>
    </row>
    <row r="240" spans="3:32" x14ac:dyDescent="0.3">
      <c r="C240" s="129"/>
      <c r="D240" s="129"/>
      <c r="E240" s="129"/>
      <c r="F240" s="129"/>
      <c r="G240" s="129"/>
      <c r="H240" s="129"/>
      <c r="I240" s="129"/>
      <c r="J240" s="129"/>
      <c r="K240" s="129"/>
      <c r="L240" s="129"/>
      <c r="M240" s="129"/>
      <c r="N240" s="129"/>
      <c r="O240" s="129"/>
      <c r="P240" s="129"/>
      <c r="Q240" s="129"/>
      <c r="R240" s="129"/>
      <c r="S240" s="129"/>
      <c r="T240" s="129"/>
      <c r="U240" s="129"/>
      <c r="V240" s="129"/>
      <c r="AC240"/>
      <c r="AD240"/>
      <c r="AE240"/>
      <c r="AF240"/>
    </row>
    <row r="241" spans="3:32" x14ac:dyDescent="0.3">
      <c r="C241" s="129"/>
      <c r="D241" s="129"/>
      <c r="E241" s="129"/>
      <c r="F241" s="129"/>
      <c r="G241" s="129"/>
      <c r="H241" s="129"/>
      <c r="I241" s="129"/>
      <c r="J241" s="129"/>
      <c r="K241" s="129"/>
      <c r="L241" s="129"/>
      <c r="M241" s="129"/>
      <c r="N241" s="129"/>
      <c r="O241" s="129"/>
      <c r="P241" s="129"/>
      <c r="Q241" s="129"/>
      <c r="R241" s="129"/>
      <c r="S241" s="129"/>
      <c r="T241" s="129"/>
      <c r="U241" s="129"/>
      <c r="V241" s="129"/>
      <c r="AC241"/>
      <c r="AD241"/>
      <c r="AE241"/>
      <c r="AF241"/>
    </row>
    <row r="242" spans="3:32" x14ac:dyDescent="0.3">
      <c r="C242" s="129"/>
      <c r="D242" s="129"/>
      <c r="E242" s="129"/>
      <c r="F242" s="129"/>
      <c r="G242" s="129"/>
      <c r="H242" s="129"/>
      <c r="I242" s="129"/>
      <c r="J242" s="129"/>
      <c r="K242" s="129"/>
      <c r="L242" s="129"/>
      <c r="M242" s="129"/>
      <c r="N242" s="129"/>
      <c r="O242" s="129"/>
      <c r="P242" s="129"/>
      <c r="Q242" s="129"/>
      <c r="R242" s="129"/>
      <c r="S242" s="129"/>
      <c r="T242" s="129"/>
      <c r="U242" s="129"/>
      <c r="V242" s="129"/>
      <c r="AC242"/>
      <c r="AD242"/>
      <c r="AE242"/>
      <c r="AF242"/>
    </row>
    <row r="243" spans="3:32" x14ac:dyDescent="0.3">
      <c r="C243" s="129"/>
      <c r="D243" s="129"/>
      <c r="E243" s="129"/>
      <c r="F243" s="129"/>
      <c r="G243" s="129"/>
      <c r="H243" s="129"/>
      <c r="I243" s="129"/>
      <c r="J243" s="129"/>
      <c r="K243" s="129"/>
      <c r="L243" s="129"/>
      <c r="M243" s="129"/>
      <c r="N243" s="129"/>
      <c r="O243" s="129"/>
      <c r="P243" s="129"/>
      <c r="Q243" s="129"/>
      <c r="R243" s="129"/>
      <c r="S243" s="129"/>
      <c r="T243" s="129"/>
      <c r="U243" s="129"/>
      <c r="V243" s="129"/>
      <c r="AC243"/>
      <c r="AD243"/>
      <c r="AE243"/>
      <c r="AF243"/>
    </row>
    <row r="244" spans="3:32" x14ac:dyDescent="0.3">
      <c r="C244" s="129"/>
      <c r="D244" s="129"/>
      <c r="E244" s="129"/>
      <c r="F244" s="129"/>
      <c r="G244" s="129"/>
      <c r="H244" s="129"/>
      <c r="I244" s="129"/>
      <c r="J244" s="129"/>
      <c r="K244" s="129"/>
      <c r="L244" s="129"/>
      <c r="M244" s="129"/>
      <c r="N244" s="129"/>
      <c r="O244" s="129"/>
      <c r="P244" s="129"/>
      <c r="Q244" s="129"/>
      <c r="R244" s="129"/>
      <c r="S244" s="129"/>
      <c r="T244" s="129"/>
      <c r="U244" s="129"/>
      <c r="V244" s="129"/>
      <c r="AC244"/>
      <c r="AD244"/>
      <c r="AE244"/>
      <c r="AF244"/>
    </row>
    <row r="245" spans="3:32" x14ac:dyDescent="0.3">
      <c r="C245" s="129"/>
      <c r="D245" s="129"/>
      <c r="E245" s="129"/>
      <c r="F245" s="129"/>
      <c r="G245" s="129"/>
      <c r="H245" s="129"/>
      <c r="I245" s="129"/>
      <c r="J245" s="129"/>
      <c r="K245" s="129"/>
      <c r="L245" s="129"/>
      <c r="M245" s="129"/>
      <c r="N245" s="129"/>
      <c r="O245" s="129"/>
      <c r="P245" s="129"/>
      <c r="Q245" s="129"/>
      <c r="R245" s="129"/>
      <c r="S245" s="129"/>
      <c r="T245" s="129"/>
      <c r="U245" s="129"/>
      <c r="V245" s="129"/>
      <c r="AC245"/>
      <c r="AD245"/>
      <c r="AE245"/>
      <c r="AF245"/>
    </row>
    <row r="246" spans="3:32" x14ac:dyDescent="0.3">
      <c r="C246" s="129"/>
      <c r="D246" s="129"/>
      <c r="E246" s="129"/>
      <c r="F246" s="129"/>
      <c r="G246" s="129"/>
      <c r="H246" s="129"/>
      <c r="I246" s="129"/>
      <c r="J246" s="129"/>
      <c r="K246" s="129"/>
      <c r="L246" s="129"/>
      <c r="M246" s="129"/>
      <c r="N246" s="129"/>
      <c r="O246" s="129"/>
      <c r="P246" s="129"/>
      <c r="Q246" s="129"/>
      <c r="R246" s="129"/>
      <c r="S246" s="129"/>
      <c r="T246" s="129"/>
      <c r="U246" s="129"/>
      <c r="V246" s="129"/>
      <c r="AC246"/>
      <c r="AD246"/>
      <c r="AE246"/>
      <c r="AF246"/>
    </row>
    <row r="247" spans="3:32" x14ac:dyDescent="0.3">
      <c r="C247" s="129"/>
      <c r="D247" s="129"/>
      <c r="E247" s="129"/>
      <c r="F247" s="129"/>
      <c r="G247" s="129"/>
      <c r="H247" s="129"/>
      <c r="I247" s="129"/>
      <c r="J247" s="129"/>
      <c r="K247" s="129"/>
      <c r="L247" s="129"/>
      <c r="M247" s="129"/>
      <c r="N247" s="129"/>
      <c r="O247" s="129"/>
      <c r="P247" s="129"/>
      <c r="Q247" s="129"/>
      <c r="R247" s="129"/>
      <c r="S247" s="129"/>
      <c r="T247" s="129"/>
      <c r="U247" s="129"/>
      <c r="V247" s="129"/>
      <c r="AC247"/>
      <c r="AD247"/>
      <c r="AE247"/>
      <c r="AF247"/>
    </row>
    <row r="248" spans="3:32" x14ac:dyDescent="0.3">
      <c r="C248" s="129"/>
      <c r="D248" s="129"/>
      <c r="E248" s="129"/>
      <c r="F248" s="129"/>
      <c r="G248" s="129"/>
      <c r="H248" s="129"/>
      <c r="I248" s="129"/>
      <c r="J248" s="129"/>
      <c r="K248" s="129"/>
      <c r="L248" s="129"/>
      <c r="M248" s="129"/>
      <c r="N248" s="129"/>
      <c r="O248" s="129"/>
      <c r="P248" s="129"/>
      <c r="Q248" s="129"/>
      <c r="R248" s="129"/>
      <c r="S248" s="129"/>
      <c r="T248" s="129"/>
      <c r="U248" s="129"/>
      <c r="V248" s="129"/>
      <c r="AC248"/>
      <c r="AD248"/>
      <c r="AE248"/>
      <c r="AF248"/>
    </row>
    <row r="249" spans="3:32" x14ac:dyDescent="0.3">
      <c r="C249" s="129"/>
      <c r="D249" s="129"/>
      <c r="E249" s="129"/>
      <c r="F249" s="129"/>
      <c r="G249" s="129"/>
      <c r="H249" s="129"/>
      <c r="I249" s="129"/>
      <c r="J249" s="129"/>
      <c r="K249" s="129"/>
      <c r="L249" s="129"/>
      <c r="M249" s="129"/>
      <c r="N249" s="129"/>
      <c r="O249" s="129"/>
      <c r="P249" s="129"/>
      <c r="Q249" s="129"/>
      <c r="R249" s="129"/>
      <c r="S249" s="129"/>
      <c r="T249" s="129"/>
      <c r="U249" s="129"/>
      <c r="V249" s="129"/>
      <c r="AC249"/>
      <c r="AD249"/>
      <c r="AE249"/>
      <c r="AF249"/>
    </row>
    <row r="250" spans="3:32" x14ac:dyDescent="0.3">
      <c r="C250" s="129"/>
      <c r="D250" s="129"/>
      <c r="E250" s="129"/>
      <c r="F250" s="129"/>
      <c r="G250" s="129"/>
      <c r="H250" s="129"/>
      <c r="I250" s="129"/>
      <c r="J250" s="129"/>
      <c r="K250" s="129"/>
      <c r="L250" s="129"/>
      <c r="M250" s="129"/>
      <c r="N250" s="129"/>
      <c r="O250" s="129"/>
      <c r="P250" s="129"/>
      <c r="Q250" s="129"/>
      <c r="R250" s="129"/>
      <c r="S250" s="129"/>
      <c r="T250" s="129"/>
      <c r="U250" s="129"/>
      <c r="V250" s="129"/>
      <c r="AC250"/>
      <c r="AD250"/>
      <c r="AE250"/>
      <c r="AF250"/>
    </row>
    <row r="251" spans="3:32" x14ac:dyDescent="0.3">
      <c r="C251" s="129"/>
      <c r="D251" s="129"/>
      <c r="E251" s="129"/>
      <c r="F251" s="129"/>
      <c r="G251" s="129"/>
      <c r="H251" s="129"/>
      <c r="I251" s="129"/>
      <c r="J251" s="129"/>
      <c r="K251" s="129"/>
      <c r="L251" s="129"/>
      <c r="M251" s="129"/>
      <c r="N251" s="129"/>
      <c r="O251" s="129"/>
      <c r="P251" s="129"/>
      <c r="Q251" s="129"/>
      <c r="R251" s="129"/>
      <c r="S251" s="129"/>
      <c r="T251" s="129"/>
      <c r="U251" s="129"/>
      <c r="V251" s="129"/>
      <c r="AC251"/>
      <c r="AD251"/>
      <c r="AE251"/>
      <c r="AF251"/>
    </row>
    <row r="252" spans="3:32" x14ac:dyDescent="0.3">
      <c r="C252" s="129"/>
      <c r="D252" s="129"/>
      <c r="E252" s="129"/>
      <c r="F252" s="129"/>
      <c r="G252" s="129"/>
      <c r="H252" s="129"/>
      <c r="I252" s="129"/>
      <c r="J252" s="129"/>
      <c r="K252" s="129"/>
      <c r="L252" s="129"/>
      <c r="M252" s="129"/>
      <c r="N252" s="129"/>
      <c r="O252" s="129"/>
      <c r="P252" s="129"/>
      <c r="Q252" s="129"/>
      <c r="R252" s="129"/>
      <c r="S252" s="129"/>
      <c r="T252" s="129"/>
      <c r="U252" s="129"/>
      <c r="V252" s="129"/>
      <c r="AC252"/>
      <c r="AD252"/>
      <c r="AE252"/>
      <c r="AF252"/>
    </row>
    <row r="253" spans="3:32" x14ac:dyDescent="0.3">
      <c r="C253" s="129"/>
      <c r="D253" s="129"/>
      <c r="E253" s="129"/>
      <c r="F253" s="129"/>
      <c r="G253" s="129"/>
      <c r="H253" s="129"/>
      <c r="I253" s="129"/>
      <c r="J253" s="129"/>
      <c r="K253" s="129"/>
      <c r="L253" s="129"/>
      <c r="M253" s="129"/>
      <c r="N253" s="129"/>
      <c r="O253" s="129"/>
      <c r="P253" s="129"/>
      <c r="Q253" s="129"/>
      <c r="R253" s="129"/>
      <c r="S253" s="129"/>
      <c r="T253" s="129"/>
      <c r="U253" s="129"/>
      <c r="V253" s="129"/>
      <c r="AC253"/>
      <c r="AD253"/>
      <c r="AE253"/>
      <c r="AF253"/>
    </row>
    <row r="254" spans="3:32" x14ac:dyDescent="0.3">
      <c r="C254" s="129"/>
      <c r="D254" s="129"/>
      <c r="E254" s="129"/>
      <c r="F254" s="129"/>
      <c r="G254" s="129"/>
      <c r="H254" s="129"/>
      <c r="I254" s="129"/>
      <c r="J254" s="129"/>
      <c r="K254" s="129"/>
      <c r="L254" s="129"/>
      <c r="M254" s="129"/>
      <c r="N254" s="129"/>
      <c r="O254" s="129"/>
      <c r="P254" s="129"/>
      <c r="Q254" s="129"/>
      <c r="R254" s="129"/>
      <c r="S254" s="129"/>
      <c r="T254" s="129"/>
      <c r="U254" s="129"/>
      <c r="V254" s="129"/>
      <c r="AC254"/>
      <c r="AD254"/>
      <c r="AE254"/>
      <c r="AF254"/>
    </row>
    <row r="255" spans="3:32" x14ac:dyDescent="0.3">
      <c r="C255" s="129"/>
      <c r="D255" s="129"/>
      <c r="E255" s="129"/>
      <c r="F255" s="129"/>
      <c r="G255" s="129"/>
      <c r="H255" s="129"/>
      <c r="I255" s="129"/>
      <c r="J255" s="129"/>
      <c r="K255" s="129"/>
      <c r="L255" s="129"/>
      <c r="M255" s="129"/>
      <c r="N255" s="129"/>
      <c r="O255" s="129"/>
      <c r="P255" s="129"/>
      <c r="Q255" s="129"/>
      <c r="R255" s="129"/>
      <c r="S255" s="129"/>
      <c r="T255" s="129"/>
      <c r="U255" s="129"/>
      <c r="V255" s="129"/>
      <c r="AC255"/>
      <c r="AD255"/>
      <c r="AE255"/>
      <c r="AF255"/>
    </row>
    <row r="256" spans="3:32" x14ac:dyDescent="0.3">
      <c r="C256" s="129"/>
      <c r="D256" s="129"/>
      <c r="E256" s="129"/>
      <c r="F256" s="129"/>
      <c r="G256" s="129"/>
      <c r="H256" s="129"/>
      <c r="I256" s="129"/>
      <c r="J256" s="129"/>
      <c r="K256" s="129"/>
      <c r="L256" s="129"/>
      <c r="M256" s="129"/>
      <c r="N256" s="129"/>
      <c r="O256" s="129"/>
      <c r="P256" s="129"/>
      <c r="Q256" s="129"/>
      <c r="R256" s="129"/>
      <c r="S256" s="129"/>
      <c r="T256" s="129"/>
      <c r="U256" s="129"/>
      <c r="V256" s="129"/>
      <c r="AC256"/>
      <c r="AD256"/>
      <c r="AE256"/>
      <c r="AF256"/>
    </row>
    <row r="257" spans="3:32" x14ac:dyDescent="0.3">
      <c r="C257" s="129"/>
      <c r="D257" s="129"/>
      <c r="E257" s="129"/>
      <c r="F257" s="129"/>
      <c r="G257" s="129"/>
      <c r="H257" s="129"/>
      <c r="I257" s="129"/>
      <c r="J257" s="129"/>
      <c r="K257" s="129"/>
      <c r="L257" s="129"/>
      <c r="M257" s="129"/>
      <c r="N257" s="129"/>
      <c r="O257" s="129"/>
      <c r="P257" s="129"/>
      <c r="Q257" s="129"/>
      <c r="R257" s="129"/>
      <c r="S257" s="129"/>
      <c r="T257" s="129"/>
      <c r="U257" s="129"/>
      <c r="V257" s="129"/>
      <c r="AC257"/>
      <c r="AD257"/>
      <c r="AE257"/>
      <c r="AF257"/>
    </row>
    <row r="258" spans="3:32" x14ac:dyDescent="0.3">
      <c r="C258" s="129"/>
      <c r="D258" s="129"/>
      <c r="E258" s="129"/>
      <c r="F258" s="129"/>
      <c r="G258" s="129"/>
      <c r="H258" s="129"/>
      <c r="I258" s="129"/>
      <c r="J258" s="129"/>
      <c r="K258" s="129"/>
      <c r="L258" s="129"/>
      <c r="M258" s="129"/>
      <c r="N258" s="129"/>
      <c r="O258" s="129"/>
      <c r="P258" s="129"/>
      <c r="Q258" s="129"/>
      <c r="R258" s="129"/>
      <c r="S258" s="129"/>
      <c r="T258" s="129"/>
      <c r="U258" s="129"/>
      <c r="V258" s="129"/>
      <c r="AC258"/>
      <c r="AD258"/>
      <c r="AE258"/>
      <c r="AF258"/>
    </row>
    <row r="259" spans="3:32" x14ac:dyDescent="0.3">
      <c r="C259" s="129"/>
      <c r="D259" s="129"/>
      <c r="E259" s="129"/>
      <c r="F259" s="129"/>
      <c r="G259" s="129"/>
      <c r="H259" s="129"/>
      <c r="I259" s="129"/>
      <c r="J259" s="129"/>
      <c r="K259" s="129"/>
      <c r="L259" s="129"/>
      <c r="M259" s="129"/>
      <c r="N259" s="129"/>
      <c r="O259" s="129"/>
      <c r="P259" s="129"/>
      <c r="Q259" s="129"/>
      <c r="R259" s="129"/>
      <c r="S259" s="129"/>
      <c r="T259" s="129"/>
      <c r="U259" s="129"/>
      <c r="V259" s="129"/>
      <c r="AC259"/>
      <c r="AD259"/>
      <c r="AE259"/>
      <c r="AF259"/>
    </row>
    <row r="260" spans="3:32" x14ac:dyDescent="0.3">
      <c r="C260" s="129"/>
      <c r="D260" s="129"/>
      <c r="E260" s="129"/>
      <c r="F260" s="129"/>
      <c r="G260" s="129"/>
      <c r="H260" s="129"/>
      <c r="I260" s="129"/>
      <c r="J260" s="129"/>
      <c r="K260" s="129"/>
      <c r="L260" s="129"/>
      <c r="M260" s="129"/>
      <c r="N260" s="129"/>
      <c r="O260" s="129"/>
      <c r="P260" s="129"/>
      <c r="Q260" s="129"/>
      <c r="R260" s="129"/>
      <c r="S260" s="129"/>
      <c r="T260" s="129"/>
      <c r="U260" s="129"/>
      <c r="V260" s="129"/>
      <c r="AC260"/>
      <c r="AD260"/>
      <c r="AE260"/>
      <c r="AF260"/>
    </row>
    <row r="261" spans="3:32" x14ac:dyDescent="0.3">
      <c r="C261" s="129"/>
      <c r="D261" s="129"/>
      <c r="E261" s="129"/>
      <c r="F261" s="129"/>
      <c r="G261" s="129"/>
      <c r="H261" s="129"/>
      <c r="I261" s="129"/>
      <c r="J261" s="129"/>
      <c r="K261" s="129"/>
      <c r="L261" s="129"/>
      <c r="M261" s="129"/>
      <c r="N261" s="129"/>
      <c r="O261" s="129"/>
      <c r="P261" s="129"/>
      <c r="Q261" s="129"/>
      <c r="R261" s="129"/>
      <c r="S261" s="129"/>
      <c r="T261" s="129"/>
      <c r="U261" s="129"/>
      <c r="V261" s="129"/>
      <c r="AC261"/>
      <c r="AD261"/>
      <c r="AE261"/>
      <c r="AF261"/>
    </row>
    <row r="262" spans="3:32" x14ac:dyDescent="0.3">
      <c r="C262" s="129"/>
      <c r="D262" s="129"/>
      <c r="E262" s="129"/>
      <c r="F262" s="129"/>
      <c r="G262" s="129"/>
      <c r="H262" s="129"/>
      <c r="I262" s="129"/>
      <c r="J262" s="129"/>
      <c r="K262" s="129"/>
      <c r="L262" s="129"/>
      <c r="M262" s="129"/>
      <c r="N262" s="129"/>
      <c r="O262" s="129"/>
      <c r="P262" s="129"/>
      <c r="Q262" s="129"/>
      <c r="R262" s="129"/>
      <c r="S262" s="129"/>
      <c r="T262" s="129"/>
      <c r="U262" s="129"/>
      <c r="V262" s="129"/>
      <c r="AC262"/>
      <c r="AD262"/>
      <c r="AE262"/>
      <c r="AF262"/>
    </row>
    <row r="263" spans="3:32" x14ac:dyDescent="0.3">
      <c r="C263" s="129"/>
      <c r="D263" s="129"/>
      <c r="E263" s="129"/>
      <c r="F263" s="129"/>
      <c r="G263" s="129"/>
      <c r="H263" s="129"/>
      <c r="I263" s="129"/>
      <c r="J263" s="129"/>
      <c r="K263" s="129"/>
      <c r="L263" s="129"/>
      <c r="M263" s="129"/>
      <c r="N263" s="129"/>
      <c r="O263" s="129"/>
      <c r="P263" s="129"/>
      <c r="Q263" s="129"/>
      <c r="R263" s="129"/>
      <c r="S263" s="129"/>
      <c r="T263" s="129"/>
      <c r="U263" s="129"/>
      <c r="V263" s="129"/>
      <c r="AC263"/>
      <c r="AD263"/>
      <c r="AE263"/>
      <c r="AF263"/>
    </row>
    <row r="264" spans="3:32" x14ac:dyDescent="0.3">
      <c r="C264" s="129"/>
      <c r="D264" s="129"/>
      <c r="E264" s="129"/>
      <c r="F264" s="129"/>
      <c r="G264" s="129"/>
      <c r="H264" s="129"/>
      <c r="I264" s="129"/>
      <c r="J264" s="129"/>
      <c r="K264" s="129"/>
      <c r="L264" s="129"/>
      <c r="M264" s="129"/>
      <c r="N264" s="129"/>
      <c r="O264" s="129"/>
      <c r="P264" s="129"/>
      <c r="Q264" s="129"/>
      <c r="R264" s="129"/>
      <c r="S264" s="129"/>
      <c r="T264" s="129"/>
      <c r="U264" s="129"/>
      <c r="V264" s="129"/>
      <c r="AC264"/>
      <c r="AD264"/>
      <c r="AE264"/>
      <c r="AF264"/>
    </row>
    <row r="265" spans="3:32" x14ac:dyDescent="0.3">
      <c r="C265" s="129"/>
      <c r="D265" s="129"/>
      <c r="E265" s="129"/>
      <c r="F265" s="129"/>
      <c r="G265" s="129"/>
      <c r="H265" s="129"/>
      <c r="I265" s="129"/>
      <c r="J265" s="129"/>
      <c r="K265" s="129"/>
      <c r="L265" s="129"/>
      <c r="M265" s="129"/>
      <c r="N265" s="129"/>
      <c r="O265" s="129"/>
      <c r="P265" s="129"/>
      <c r="Q265" s="129"/>
      <c r="R265" s="129"/>
      <c r="S265" s="129"/>
      <c r="T265" s="129"/>
      <c r="U265" s="129"/>
      <c r="V265" s="129"/>
      <c r="AC265"/>
      <c r="AD265"/>
      <c r="AE265"/>
      <c r="AF265"/>
    </row>
    <row r="266" spans="3:32" x14ac:dyDescent="0.3">
      <c r="C266" s="129"/>
      <c r="D266" s="129"/>
      <c r="E266" s="129"/>
      <c r="F266" s="129"/>
      <c r="G266" s="129"/>
      <c r="H266" s="129"/>
      <c r="I266" s="129"/>
      <c r="J266" s="129"/>
      <c r="K266" s="129"/>
      <c r="L266" s="129"/>
      <c r="M266" s="129"/>
      <c r="N266" s="129"/>
      <c r="O266" s="129"/>
      <c r="P266" s="129"/>
      <c r="Q266" s="129"/>
      <c r="R266" s="129"/>
      <c r="S266" s="129"/>
      <c r="T266" s="129"/>
      <c r="U266" s="129"/>
      <c r="V266" s="129"/>
      <c r="AC266"/>
      <c r="AD266"/>
      <c r="AE266"/>
      <c r="AF266"/>
    </row>
    <row r="267" spans="3:32" x14ac:dyDescent="0.3">
      <c r="C267" s="129"/>
      <c r="D267" s="129"/>
      <c r="E267" s="129"/>
      <c r="F267" s="129"/>
      <c r="G267" s="129"/>
      <c r="H267" s="129"/>
      <c r="I267" s="129"/>
      <c r="J267" s="129"/>
      <c r="K267" s="129"/>
      <c r="L267" s="129"/>
      <c r="M267" s="129"/>
      <c r="N267" s="129"/>
      <c r="O267" s="129"/>
      <c r="P267" s="129"/>
      <c r="Q267" s="129"/>
      <c r="R267" s="129"/>
      <c r="S267" s="129"/>
      <c r="T267" s="129"/>
      <c r="U267" s="129"/>
      <c r="V267" s="129"/>
      <c r="AC267"/>
      <c r="AD267"/>
      <c r="AE267"/>
      <c r="AF267"/>
    </row>
    <row r="268" spans="3:32" x14ac:dyDescent="0.3">
      <c r="C268" s="129"/>
      <c r="D268" s="129"/>
      <c r="E268" s="129"/>
      <c r="F268" s="129"/>
      <c r="G268" s="129"/>
      <c r="H268" s="129"/>
      <c r="I268" s="129"/>
      <c r="J268" s="129"/>
      <c r="K268" s="129"/>
      <c r="L268" s="129"/>
      <c r="M268" s="129"/>
      <c r="N268" s="129"/>
      <c r="O268" s="129"/>
      <c r="P268" s="129"/>
      <c r="Q268" s="129"/>
      <c r="R268" s="129"/>
      <c r="S268" s="129"/>
      <c r="T268" s="129"/>
      <c r="U268" s="129"/>
      <c r="V268" s="129"/>
      <c r="AC268"/>
      <c r="AD268"/>
      <c r="AE268"/>
      <c r="AF268"/>
    </row>
    <row r="269" spans="3:32" x14ac:dyDescent="0.3">
      <c r="C269" s="129"/>
      <c r="D269" s="129"/>
      <c r="E269" s="129"/>
      <c r="F269" s="129"/>
      <c r="G269" s="129"/>
      <c r="H269" s="129"/>
      <c r="I269" s="129"/>
      <c r="J269" s="129"/>
      <c r="K269" s="129"/>
      <c r="L269" s="129"/>
      <c r="M269" s="129"/>
      <c r="N269" s="129"/>
      <c r="O269" s="129"/>
      <c r="P269" s="129"/>
      <c r="Q269" s="129"/>
      <c r="R269" s="129"/>
      <c r="S269" s="129"/>
      <c r="T269" s="129"/>
      <c r="U269" s="129"/>
      <c r="V269" s="129"/>
      <c r="AC269"/>
      <c r="AD269"/>
      <c r="AE269"/>
      <c r="AF269"/>
    </row>
    <row r="270" spans="3:32" x14ac:dyDescent="0.3">
      <c r="C270" s="129"/>
      <c r="D270" s="129"/>
      <c r="E270" s="129"/>
      <c r="F270" s="129"/>
      <c r="G270" s="129"/>
      <c r="H270" s="129"/>
      <c r="I270" s="129"/>
      <c r="J270" s="129"/>
      <c r="K270" s="129"/>
      <c r="L270" s="129"/>
      <c r="M270" s="129"/>
      <c r="N270" s="129"/>
      <c r="O270" s="129"/>
      <c r="P270" s="129"/>
      <c r="Q270" s="129"/>
      <c r="R270" s="129"/>
      <c r="S270" s="129"/>
      <c r="T270" s="129"/>
      <c r="U270" s="129"/>
      <c r="V270" s="129"/>
      <c r="AC270"/>
      <c r="AD270"/>
      <c r="AE270"/>
      <c r="AF270"/>
    </row>
    <row r="271" spans="3:32" x14ac:dyDescent="0.3">
      <c r="C271" s="129"/>
      <c r="D271" s="129"/>
      <c r="E271" s="129"/>
      <c r="F271" s="129"/>
      <c r="G271" s="129"/>
      <c r="H271" s="129"/>
      <c r="I271" s="129"/>
      <c r="J271" s="129"/>
      <c r="K271" s="129"/>
      <c r="L271" s="129"/>
      <c r="M271" s="129"/>
      <c r="N271" s="129"/>
      <c r="O271" s="129"/>
      <c r="P271" s="129"/>
      <c r="Q271" s="129"/>
      <c r="R271" s="129"/>
      <c r="S271" s="129"/>
      <c r="T271" s="129"/>
      <c r="U271" s="129"/>
      <c r="V271" s="129"/>
      <c r="AC271"/>
      <c r="AD271"/>
      <c r="AE271"/>
      <c r="AF271"/>
    </row>
    <row r="272" spans="3:32" x14ac:dyDescent="0.3">
      <c r="C272" s="129"/>
      <c r="D272" s="129"/>
      <c r="E272" s="129"/>
      <c r="F272" s="129"/>
      <c r="G272" s="129"/>
      <c r="H272" s="129"/>
      <c r="I272" s="129"/>
      <c r="J272" s="129"/>
      <c r="K272" s="129"/>
      <c r="L272" s="129"/>
      <c r="M272" s="129"/>
      <c r="N272" s="129"/>
      <c r="O272" s="129"/>
      <c r="P272" s="129"/>
      <c r="Q272" s="129"/>
      <c r="R272" s="129"/>
      <c r="S272" s="129"/>
      <c r="T272" s="129"/>
      <c r="U272" s="129"/>
      <c r="V272" s="129"/>
      <c r="AC272"/>
      <c r="AD272"/>
      <c r="AE272"/>
      <c r="AF272"/>
    </row>
    <row r="273" spans="3:32" x14ac:dyDescent="0.3">
      <c r="C273" s="129"/>
      <c r="D273" s="129"/>
      <c r="E273" s="129"/>
      <c r="F273" s="129"/>
      <c r="G273" s="129"/>
      <c r="H273" s="129"/>
      <c r="I273" s="129"/>
      <c r="J273" s="129"/>
      <c r="K273" s="129"/>
      <c r="L273" s="129"/>
      <c r="M273" s="129"/>
      <c r="N273" s="129"/>
      <c r="O273" s="129"/>
      <c r="P273" s="129"/>
      <c r="Q273" s="129"/>
      <c r="R273" s="129"/>
      <c r="S273" s="129"/>
      <c r="T273" s="129"/>
      <c r="U273" s="129"/>
      <c r="V273" s="129"/>
      <c r="AC273"/>
      <c r="AD273"/>
      <c r="AE273"/>
      <c r="AF273"/>
    </row>
    <row r="274" spans="3:32" x14ac:dyDescent="0.3">
      <c r="C274" s="129"/>
      <c r="D274" s="129"/>
      <c r="E274" s="129"/>
      <c r="F274" s="129"/>
      <c r="G274" s="129"/>
      <c r="H274" s="129"/>
      <c r="I274" s="129"/>
      <c r="J274" s="129"/>
      <c r="K274" s="129"/>
      <c r="L274" s="129"/>
      <c r="M274" s="129"/>
      <c r="N274" s="129"/>
      <c r="O274" s="129"/>
      <c r="P274" s="129"/>
      <c r="Q274" s="129"/>
      <c r="R274" s="129"/>
      <c r="S274" s="129"/>
      <c r="T274" s="129"/>
      <c r="U274" s="129"/>
      <c r="V274" s="129"/>
      <c r="AC274"/>
      <c r="AD274"/>
      <c r="AE274"/>
      <c r="AF274"/>
    </row>
    <row r="275" spans="3:32" x14ac:dyDescent="0.3">
      <c r="C275" s="129"/>
      <c r="D275" s="129"/>
      <c r="E275" s="129"/>
      <c r="F275" s="129"/>
      <c r="G275" s="129"/>
      <c r="H275" s="129"/>
      <c r="I275" s="129"/>
      <c r="J275" s="129"/>
      <c r="K275" s="129"/>
      <c r="L275" s="129"/>
      <c r="M275" s="129"/>
      <c r="N275" s="129"/>
      <c r="O275" s="129"/>
      <c r="P275" s="129"/>
      <c r="Q275" s="129"/>
      <c r="R275" s="129"/>
      <c r="S275" s="129"/>
      <c r="T275" s="129"/>
      <c r="U275" s="129"/>
      <c r="V275" s="129"/>
      <c r="AC275"/>
      <c r="AD275"/>
      <c r="AE275"/>
      <c r="AF275"/>
    </row>
    <row r="276" spans="3:32" x14ac:dyDescent="0.3">
      <c r="C276" s="129"/>
      <c r="D276" s="129"/>
      <c r="E276" s="129"/>
      <c r="F276" s="129"/>
      <c r="G276" s="129"/>
      <c r="H276" s="129"/>
      <c r="I276" s="129"/>
      <c r="J276" s="129"/>
      <c r="K276" s="129"/>
      <c r="L276" s="129"/>
      <c r="M276" s="129"/>
      <c r="N276" s="129"/>
      <c r="O276" s="129"/>
      <c r="P276" s="129"/>
      <c r="Q276" s="129"/>
      <c r="R276" s="129"/>
      <c r="S276" s="129"/>
      <c r="T276" s="129"/>
      <c r="U276" s="129"/>
      <c r="V276" s="129"/>
      <c r="AC276"/>
      <c r="AD276"/>
      <c r="AE276"/>
      <c r="AF276"/>
    </row>
    <row r="277" spans="3:32" x14ac:dyDescent="0.3">
      <c r="C277" s="129"/>
      <c r="D277" s="129"/>
      <c r="E277" s="129"/>
      <c r="F277" s="129"/>
      <c r="G277" s="129"/>
      <c r="H277" s="129"/>
      <c r="I277" s="129"/>
      <c r="J277" s="129"/>
      <c r="K277" s="129"/>
      <c r="L277" s="129"/>
      <c r="M277" s="129"/>
      <c r="N277" s="129"/>
      <c r="O277" s="129"/>
      <c r="P277" s="129"/>
      <c r="Q277" s="129"/>
      <c r="R277" s="129"/>
      <c r="S277" s="129"/>
      <c r="T277" s="129"/>
      <c r="U277" s="129"/>
      <c r="V277" s="129"/>
      <c r="AC277"/>
      <c r="AD277"/>
      <c r="AE277"/>
      <c r="AF277"/>
    </row>
    <row r="278" spans="3:32" x14ac:dyDescent="0.3">
      <c r="C278" s="129"/>
      <c r="D278" s="129"/>
      <c r="E278" s="129"/>
      <c r="F278" s="129"/>
      <c r="G278" s="129"/>
      <c r="H278" s="129"/>
      <c r="I278" s="129"/>
      <c r="J278" s="129"/>
      <c r="K278" s="129"/>
      <c r="L278" s="129"/>
      <c r="M278" s="129"/>
      <c r="N278" s="129"/>
      <c r="O278" s="129"/>
      <c r="P278" s="129"/>
      <c r="Q278" s="129"/>
      <c r="R278" s="129"/>
      <c r="S278" s="129"/>
      <c r="T278" s="129"/>
      <c r="U278" s="129"/>
      <c r="V278" s="129"/>
      <c r="AC278"/>
      <c r="AD278"/>
      <c r="AE278"/>
      <c r="AF278"/>
    </row>
    <row r="279" spans="3:32" x14ac:dyDescent="0.3">
      <c r="C279" s="129"/>
      <c r="D279" s="129"/>
      <c r="E279" s="129"/>
      <c r="F279" s="129"/>
      <c r="G279" s="129"/>
      <c r="H279" s="129"/>
      <c r="I279" s="129"/>
      <c r="J279" s="129"/>
      <c r="K279" s="129"/>
      <c r="L279" s="129"/>
      <c r="M279" s="129"/>
      <c r="N279" s="129"/>
      <c r="O279" s="129"/>
      <c r="P279" s="129"/>
      <c r="Q279" s="129"/>
      <c r="R279" s="129"/>
      <c r="S279" s="129"/>
      <c r="T279" s="129"/>
      <c r="U279" s="129"/>
      <c r="V279" s="129"/>
      <c r="AC279"/>
      <c r="AD279"/>
      <c r="AE279"/>
      <c r="AF279"/>
    </row>
    <row r="280" spans="3:32" x14ac:dyDescent="0.3">
      <c r="C280" s="129"/>
      <c r="D280" s="129"/>
      <c r="E280" s="129"/>
      <c r="F280" s="129"/>
      <c r="G280" s="129"/>
      <c r="H280" s="129"/>
      <c r="I280" s="129"/>
      <c r="J280" s="129"/>
      <c r="K280" s="129"/>
      <c r="L280" s="129"/>
      <c r="M280" s="129"/>
      <c r="N280" s="129"/>
      <c r="O280" s="129"/>
      <c r="P280" s="129"/>
      <c r="Q280" s="129"/>
      <c r="R280" s="129"/>
      <c r="S280" s="129"/>
      <c r="T280" s="129"/>
      <c r="U280" s="129"/>
      <c r="V280" s="129"/>
      <c r="AC280"/>
      <c r="AD280"/>
      <c r="AE280"/>
      <c r="AF280"/>
    </row>
    <row r="281" spans="3:32" x14ac:dyDescent="0.3">
      <c r="C281" s="129"/>
      <c r="D281" s="129"/>
      <c r="E281" s="129"/>
      <c r="F281" s="129"/>
      <c r="G281" s="129"/>
      <c r="H281" s="129"/>
      <c r="I281" s="129"/>
      <c r="J281" s="129"/>
      <c r="K281" s="129"/>
      <c r="L281" s="129"/>
      <c r="M281" s="129"/>
      <c r="N281" s="129"/>
      <c r="O281" s="129"/>
      <c r="P281" s="129"/>
      <c r="Q281" s="129"/>
      <c r="R281" s="129"/>
      <c r="S281" s="129"/>
      <c r="T281" s="129"/>
      <c r="U281" s="129"/>
      <c r="V281" s="129"/>
      <c r="AC281"/>
      <c r="AD281"/>
      <c r="AE281"/>
      <c r="AF281"/>
    </row>
    <row r="282" spans="3:32" x14ac:dyDescent="0.3">
      <c r="C282" s="129"/>
      <c r="D282" s="129"/>
      <c r="E282" s="129"/>
      <c r="F282" s="129"/>
      <c r="G282" s="129"/>
      <c r="H282" s="129"/>
      <c r="I282" s="129"/>
      <c r="J282" s="129"/>
      <c r="K282" s="129"/>
      <c r="L282" s="129"/>
      <c r="M282" s="129"/>
      <c r="N282" s="129"/>
      <c r="O282" s="129"/>
      <c r="P282" s="129"/>
      <c r="Q282" s="129"/>
      <c r="R282" s="129"/>
      <c r="S282" s="129"/>
      <c r="T282" s="129"/>
      <c r="U282" s="129"/>
      <c r="V282" s="129"/>
      <c r="AC282"/>
      <c r="AD282"/>
      <c r="AE282"/>
      <c r="AF282"/>
    </row>
    <row r="283" spans="3:32" x14ac:dyDescent="0.3">
      <c r="C283" s="129"/>
      <c r="D283" s="129"/>
      <c r="E283" s="129"/>
      <c r="F283" s="129"/>
      <c r="G283" s="129"/>
      <c r="H283" s="129"/>
      <c r="I283" s="129"/>
      <c r="J283" s="129"/>
      <c r="K283" s="129"/>
      <c r="L283" s="129"/>
      <c r="M283" s="129"/>
      <c r="N283" s="129"/>
      <c r="O283" s="129"/>
      <c r="P283" s="129"/>
      <c r="Q283" s="129"/>
      <c r="R283" s="129"/>
      <c r="S283" s="129"/>
      <c r="T283" s="129"/>
      <c r="U283" s="129"/>
      <c r="V283" s="129"/>
      <c r="AC283"/>
      <c r="AD283"/>
      <c r="AE283"/>
      <c r="AF283"/>
    </row>
    <row r="284" spans="3:32" x14ac:dyDescent="0.3">
      <c r="C284" s="129"/>
      <c r="D284" s="129"/>
      <c r="E284" s="129"/>
      <c r="F284" s="129"/>
      <c r="G284" s="129"/>
      <c r="H284" s="129"/>
      <c r="I284" s="129"/>
      <c r="J284" s="129"/>
      <c r="K284" s="129"/>
      <c r="L284" s="129"/>
      <c r="M284" s="129"/>
      <c r="N284" s="129"/>
      <c r="O284" s="129"/>
      <c r="P284" s="129"/>
      <c r="Q284" s="129"/>
      <c r="R284" s="129"/>
      <c r="S284" s="129"/>
      <c r="T284" s="129"/>
      <c r="U284" s="129"/>
      <c r="V284" s="129"/>
      <c r="AC284"/>
      <c r="AD284"/>
      <c r="AE284"/>
      <c r="AF284"/>
    </row>
    <row r="285" spans="3:32" x14ac:dyDescent="0.3">
      <c r="C285" s="129"/>
      <c r="D285" s="129"/>
      <c r="E285" s="129"/>
      <c r="F285" s="129"/>
      <c r="G285" s="129"/>
      <c r="H285" s="129"/>
      <c r="I285" s="129"/>
      <c r="J285" s="129"/>
      <c r="K285" s="129"/>
      <c r="L285" s="129"/>
      <c r="M285" s="129"/>
      <c r="N285" s="129"/>
      <c r="O285" s="129"/>
      <c r="P285" s="129"/>
      <c r="Q285" s="129"/>
      <c r="R285" s="129"/>
      <c r="S285" s="129"/>
      <c r="T285" s="129"/>
      <c r="U285" s="129"/>
      <c r="V285" s="129"/>
    </row>
    <row r="286" spans="3:32" x14ac:dyDescent="0.3">
      <c r="C286" s="129"/>
      <c r="D286" s="129"/>
      <c r="E286" s="129"/>
      <c r="F286" s="129"/>
      <c r="G286" s="129"/>
      <c r="H286" s="129"/>
      <c r="I286" s="129"/>
      <c r="J286" s="129"/>
      <c r="K286" s="129"/>
      <c r="L286" s="129"/>
      <c r="M286" s="129"/>
      <c r="N286" s="129"/>
      <c r="O286" s="129"/>
      <c r="P286" s="129"/>
      <c r="Q286" s="129"/>
      <c r="R286" s="129"/>
      <c r="S286" s="129"/>
      <c r="T286" s="129"/>
      <c r="U286" s="129"/>
      <c r="V286" s="129"/>
    </row>
    <row r="287" spans="3:32" x14ac:dyDescent="0.3">
      <c r="C287" s="129"/>
      <c r="D287" s="129"/>
      <c r="E287" s="129"/>
      <c r="F287" s="129"/>
      <c r="G287" s="129"/>
      <c r="H287" s="129"/>
      <c r="I287" s="129"/>
      <c r="J287" s="129"/>
      <c r="K287" s="129"/>
      <c r="L287" s="129"/>
      <c r="M287" s="129"/>
      <c r="N287" s="129"/>
      <c r="O287" s="129"/>
      <c r="P287" s="129"/>
      <c r="Q287" s="129"/>
      <c r="R287" s="129"/>
      <c r="S287" s="129"/>
      <c r="T287" s="129"/>
      <c r="U287" s="129"/>
      <c r="V287" s="129"/>
    </row>
    <row r="288" spans="3:32" x14ac:dyDescent="0.3">
      <c r="C288" s="129"/>
      <c r="D288" s="129"/>
      <c r="E288" s="129"/>
      <c r="F288" s="129"/>
      <c r="G288" s="129"/>
      <c r="H288" s="129"/>
      <c r="I288" s="129"/>
      <c r="J288" s="129"/>
      <c r="K288" s="129"/>
      <c r="L288" s="129"/>
      <c r="M288" s="129"/>
      <c r="N288" s="129"/>
      <c r="O288" s="129"/>
      <c r="P288" s="129"/>
      <c r="Q288" s="129"/>
      <c r="R288" s="129"/>
      <c r="S288" s="129"/>
      <c r="T288" s="129"/>
      <c r="U288" s="129"/>
      <c r="V288" s="129"/>
    </row>
    <row r="289" spans="3:22" x14ac:dyDescent="0.3">
      <c r="C289" s="129"/>
      <c r="D289" s="129"/>
      <c r="E289" s="129"/>
      <c r="F289" s="129"/>
      <c r="G289" s="129"/>
      <c r="H289" s="129"/>
      <c r="I289" s="129"/>
      <c r="J289" s="129"/>
      <c r="K289" s="129"/>
      <c r="L289" s="129"/>
      <c r="M289" s="129"/>
      <c r="N289" s="129"/>
      <c r="O289" s="129"/>
      <c r="P289" s="129"/>
      <c r="Q289" s="129"/>
      <c r="R289" s="129"/>
      <c r="S289" s="129"/>
      <c r="T289" s="129"/>
      <c r="U289" s="129"/>
      <c r="V289" s="129"/>
    </row>
    <row r="290" spans="3:22" x14ac:dyDescent="0.3">
      <c r="C290" s="129"/>
      <c r="D290" s="129"/>
      <c r="E290" s="129"/>
      <c r="F290" s="129"/>
      <c r="G290" s="129"/>
      <c r="H290" s="129"/>
      <c r="I290" s="129"/>
      <c r="J290" s="129"/>
      <c r="K290" s="129"/>
      <c r="L290" s="129"/>
      <c r="M290" s="129"/>
      <c r="N290" s="129"/>
      <c r="O290" s="129"/>
      <c r="P290" s="129"/>
      <c r="Q290" s="129"/>
      <c r="R290" s="129"/>
      <c r="S290" s="129"/>
      <c r="T290" s="129"/>
      <c r="U290" s="129"/>
      <c r="V290" s="129"/>
    </row>
    <row r="291" spans="3:22" x14ac:dyDescent="0.3">
      <c r="C291" s="129"/>
      <c r="D291" s="129"/>
      <c r="E291" s="129"/>
      <c r="F291" s="129"/>
      <c r="G291" s="129"/>
      <c r="H291" s="129"/>
      <c r="I291" s="129"/>
      <c r="J291" s="129"/>
      <c r="K291" s="129"/>
      <c r="L291" s="129"/>
      <c r="M291" s="129"/>
      <c r="N291" s="129"/>
      <c r="O291" s="129"/>
      <c r="P291" s="129"/>
      <c r="Q291" s="129"/>
      <c r="R291" s="129"/>
      <c r="S291" s="129"/>
      <c r="T291" s="129"/>
      <c r="U291" s="129"/>
      <c r="V291" s="129"/>
    </row>
    <row r="292" spans="3:22" x14ac:dyDescent="0.3">
      <c r="C292" s="129"/>
      <c r="D292" s="129"/>
      <c r="E292" s="129"/>
      <c r="F292" s="129"/>
      <c r="G292" s="129"/>
      <c r="H292" s="129"/>
      <c r="I292" s="129"/>
      <c r="J292" s="129"/>
      <c r="K292" s="129"/>
      <c r="L292" s="129"/>
      <c r="M292" s="129"/>
      <c r="N292" s="129"/>
      <c r="O292" s="129"/>
      <c r="P292" s="129"/>
      <c r="Q292" s="129"/>
      <c r="R292" s="129"/>
      <c r="S292" s="129"/>
      <c r="T292" s="129"/>
      <c r="U292" s="129"/>
      <c r="V292" s="129"/>
    </row>
    <row r="293" spans="3:22" x14ac:dyDescent="0.3">
      <c r="C293" s="129"/>
      <c r="D293" s="129"/>
      <c r="E293" s="129"/>
      <c r="F293" s="129"/>
      <c r="G293" s="129"/>
      <c r="H293" s="129"/>
      <c r="I293" s="129"/>
      <c r="J293" s="129"/>
      <c r="K293" s="129"/>
      <c r="L293" s="129"/>
      <c r="M293" s="129"/>
      <c r="N293" s="129"/>
      <c r="O293" s="129"/>
      <c r="P293" s="129"/>
      <c r="Q293" s="129"/>
      <c r="R293" s="129"/>
      <c r="S293" s="129"/>
      <c r="T293" s="129"/>
      <c r="U293" s="129"/>
      <c r="V293" s="129"/>
    </row>
    <row r="294" spans="3:22" x14ac:dyDescent="0.3">
      <c r="C294" s="129"/>
      <c r="D294" s="129"/>
      <c r="E294" s="129"/>
      <c r="F294" s="129"/>
      <c r="G294" s="129"/>
      <c r="H294" s="129"/>
      <c r="I294" s="129"/>
      <c r="J294" s="129"/>
      <c r="K294" s="129"/>
      <c r="L294" s="129"/>
      <c r="M294" s="129"/>
      <c r="N294" s="129"/>
      <c r="O294" s="129"/>
      <c r="P294" s="129"/>
      <c r="Q294" s="129"/>
      <c r="R294" s="129"/>
      <c r="S294" s="129"/>
      <c r="T294" s="129"/>
      <c r="U294" s="129"/>
      <c r="V294" s="129"/>
    </row>
    <row r="295" spans="3:22" x14ac:dyDescent="0.3">
      <c r="C295" s="129"/>
      <c r="D295" s="129"/>
      <c r="E295" s="129"/>
      <c r="F295" s="129"/>
      <c r="G295" s="129"/>
      <c r="H295" s="129"/>
      <c r="I295" s="129"/>
      <c r="J295" s="129"/>
      <c r="K295" s="129"/>
      <c r="L295" s="129"/>
      <c r="M295" s="129"/>
      <c r="N295" s="129"/>
      <c r="O295" s="129"/>
      <c r="P295" s="129"/>
      <c r="Q295" s="129"/>
      <c r="R295" s="129"/>
      <c r="S295" s="129"/>
      <c r="T295" s="129"/>
      <c r="U295" s="129"/>
      <c r="V295" s="129"/>
    </row>
    <row r="296" spans="3:22" x14ac:dyDescent="0.3">
      <c r="C296" s="129"/>
      <c r="D296" s="129"/>
      <c r="E296" s="129"/>
      <c r="F296" s="129"/>
      <c r="G296" s="129"/>
      <c r="H296" s="129"/>
      <c r="I296" s="129"/>
      <c r="J296" s="129"/>
      <c r="K296" s="129"/>
      <c r="L296" s="129"/>
      <c r="M296" s="129"/>
      <c r="N296" s="129"/>
      <c r="O296" s="129"/>
      <c r="P296" s="129"/>
      <c r="Q296" s="129"/>
      <c r="R296" s="129"/>
      <c r="S296" s="129"/>
      <c r="T296" s="129"/>
      <c r="U296" s="129"/>
      <c r="V296" s="129"/>
    </row>
    <row r="297" spans="3:22" x14ac:dyDescent="0.3">
      <c r="C297" s="129"/>
      <c r="D297" s="129"/>
      <c r="E297" s="129"/>
      <c r="F297" s="129"/>
      <c r="G297" s="129"/>
      <c r="H297" s="129"/>
      <c r="I297" s="129"/>
      <c r="J297" s="129"/>
      <c r="K297" s="129"/>
      <c r="L297" s="129"/>
      <c r="M297" s="129"/>
      <c r="N297" s="129"/>
      <c r="O297" s="129"/>
      <c r="P297" s="129"/>
      <c r="Q297" s="129"/>
      <c r="R297" s="129"/>
      <c r="S297" s="129"/>
      <c r="T297" s="129"/>
      <c r="U297" s="129"/>
      <c r="V297" s="129"/>
    </row>
    <row r="298" spans="3:22" x14ac:dyDescent="0.3">
      <c r="C298" s="129"/>
      <c r="D298" s="129"/>
      <c r="E298" s="129"/>
      <c r="F298" s="129"/>
      <c r="G298" s="129"/>
      <c r="H298" s="129"/>
      <c r="I298" s="129"/>
      <c r="J298" s="129"/>
      <c r="K298" s="129"/>
      <c r="L298" s="129"/>
      <c r="M298" s="129"/>
      <c r="N298" s="129"/>
      <c r="O298" s="129"/>
      <c r="P298" s="129"/>
      <c r="Q298" s="129"/>
      <c r="R298" s="129"/>
      <c r="S298" s="129"/>
      <c r="T298" s="129"/>
      <c r="U298" s="129"/>
      <c r="V298" s="129"/>
    </row>
    <row r="299" spans="3:22" x14ac:dyDescent="0.3">
      <c r="C299" s="129"/>
      <c r="D299" s="129"/>
      <c r="E299" s="129"/>
      <c r="F299" s="129"/>
      <c r="G299" s="129"/>
      <c r="H299" s="129"/>
      <c r="I299" s="129"/>
      <c r="J299" s="129"/>
      <c r="K299" s="129"/>
      <c r="L299" s="129"/>
      <c r="M299" s="129"/>
      <c r="N299" s="129"/>
      <c r="O299" s="129"/>
      <c r="P299" s="129"/>
      <c r="Q299" s="129"/>
      <c r="R299" s="129"/>
      <c r="S299" s="129"/>
      <c r="T299" s="129"/>
      <c r="U299" s="129"/>
      <c r="V299" s="129"/>
    </row>
    <row r="300" spans="3:22" x14ac:dyDescent="0.3">
      <c r="C300" s="129"/>
      <c r="D300" s="129"/>
      <c r="E300" s="129"/>
      <c r="F300" s="129"/>
      <c r="G300" s="129"/>
      <c r="H300" s="129"/>
      <c r="I300" s="129"/>
      <c r="J300" s="129"/>
      <c r="K300" s="129"/>
      <c r="L300" s="129"/>
      <c r="M300" s="129"/>
      <c r="N300" s="129"/>
      <c r="O300" s="129"/>
      <c r="P300" s="129"/>
      <c r="Q300" s="129"/>
      <c r="R300" s="129"/>
      <c r="S300" s="129"/>
      <c r="T300" s="129"/>
      <c r="U300" s="129"/>
      <c r="V300" s="129"/>
    </row>
    <row r="301" spans="3:22" x14ac:dyDescent="0.3">
      <c r="C301" s="129"/>
      <c r="D301" s="129"/>
      <c r="E301" s="129"/>
      <c r="F301" s="129"/>
      <c r="G301" s="129"/>
      <c r="H301" s="129"/>
      <c r="I301" s="129"/>
      <c r="J301" s="129"/>
      <c r="K301" s="129"/>
      <c r="L301" s="129"/>
      <c r="M301" s="129"/>
      <c r="N301" s="129"/>
      <c r="O301" s="129"/>
      <c r="P301" s="129"/>
      <c r="Q301" s="129"/>
      <c r="R301" s="129"/>
      <c r="S301" s="129"/>
      <c r="T301" s="129"/>
      <c r="U301" s="129"/>
      <c r="V301" s="129"/>
    </row>
    <row r="302" spans="3:22" x14ac:dyDescent="0.3">
      <c r="C302" s="129"/>
      <c r="D302" s="129"/>
      <c r="E302" s="129"/>
      <c r="F302" s="129"/>
      <c r="G302" s="129"/>
      <c r="H302" s="129"/>
      <c r="I302" s="129"/>
      <c r="J302" s="129"/>
      <c r="K302" s="129"/>
      <c r="L302" s="129"/>
      <c r="M302" s="129"/>
      <c r="N302" s="129"/>
      <c r="O302" s="129"/>
      <c r="P302" s="129"/>
      <c r="Q302" s="129"/>
      <c r="R302" s="129"/>
      <c r="S302" s="129"/>
      <c r="T302" s="129"/>
      <c r="U302" s="129"/>
      <c r="V302" s="129"/>
    </row>
    <row r="303" spans="3:22" x14ac:dyDescent="0.3">
      <c r="C303" s="129"/>
      <c r="D303" s="129"/>
      <c r="E303" s="129"/>
      <c r="F303" s="129"/>
      <c r="G303" s="129"/>
      <c r="H303" s="129"/>
      <c r="I303" s="129"/>
      <c r="J303" s="129"/>
      <c r="K303" s="129"/>
      <c r="L303" s="129"/>
      <c r="M303" s="129"/>
      <c r="N303" s="129"/>
      <c r="O303" s="129"/>
      <c r="P303" s="129"/>
      <c r="Q303" s="129"/>
      <c r="R303" s="129"/>
      <c r="S303" s="129"/>
      <c r="T303" s="129"/>
      <c r="U303" s="129"/>
      <c r="V303" s="129"/>
    </row>
    <row r="304" spans="3:22" x14ac:dyDescent="0.3">
      <c r="C304" s="129"/>
      <c r="D304" s="129"/>
      <c r="E304" s="129"/>
      <c r="F304" s="129"/>
      <c r="G304" s="129"/>
      <c r="H304" s="129"/>
      <c r="I304" s="129"/>
      <c r="J304" s="129"/>
      <c r="K304" s="129"/>
      <c r="L304" s="129"/>
      <c r="M304" s="129"/>
      <c r="N304" s="129"/>
      <c r="O304" s="129"/>
      <c r="P304" s="129"/>
      <c r="Q304" s="129"/>
      <c r="R304" s="129"/>
      <c r="S304" s="129"/>
      <c r="T304" s="129"/>
      <c r="U304" s="129"/>
      <c r="V304" s="129"/>
    </row>
    <row r="305" spans="3:22" x14ac:dyDescent="0.3">
      <c r="C305" s="129"/>
      <c r="D305" s="129"/>
      <c r="E305" s="129"/>
      <c r="F305" s="129"/>
      <c r="G305" s="129"/>
      <c r="H305" s="129"/>
      <c r="I305" s="129"/>
      <c r="J305" s="129"/>
      <c r="K305" s="129"/>
      <c r="L305" s="129"/>
      <c r="M305" s="129"/>
      <c r="N305" s="129"/>
      <c r="O305" s="129"/>
      <c r="P305" s="129"/>
      <c r="Q305" s="129"/>
      <c r="R305" s="129"/>
      <c r="S305" s="129"/>
      <c r="T305" s="129"/>
      <c r="U305" s="129"/>
      <c r="V305" s="129"/>
    </row>
    <row r="306" spans="3:22" x14ac:dyDescent="0.3">
      <c r="C306" s="129"/>
      <c r="D306" s="129"/>
      <c r="E306" s="129"/>
      <c r="F306" s="129"/>
      <c r="G306" s="129"/>
      <c r="H306" s="129"/>
      <c r="I306" s="129"/>
      <c r="J306" s="129"/>
      <c r="K306" s="129"/>
      <c r="L306" s="129"/>
      <c r="M306" s="129"/>
      <c r="N306" s="129"/>
      <c r="O306" s="129"/>
      <c r="P306" s="129"/>
      <c r="Q306" s="129"/>
      <c r="R306" s="129"/>
      <c r="S306" s="129"/>
      <c r="T306" s="129"/>
      <c r="U306" s="129"/>
      <c r="V306" s="129"/>
    </row>
    <row r="307" spans="3:22" x14ac:dyDescent="0.3">
      <c r="C307" s="129"/>
      <c r="D307" s="129"/>
      <c r="E307" s="129"/>
      <c r="F307" s="129"/>
      <c r="G307" s="129"/>
      <c r="H307" s="129"/>
      <c r="I307" s="129"/>
      <c r="J307" s="129"/>
      <c r="K307" s="129"/>
      <c r="L307" s="129"/>
      <c r="M307" s="129"/>
      <c r="N307" s="129"/>
      <c r="O307" s="129"/>
      <c r="P307" s="129"/>
      <c r="Q307" s="129"/>
      <c r="R307" s="129"/>
      <c r="S307" s="129"/>
      <c r="T307" s="129"/>
      <c r="U307" s="129"/>
      <c r="V307" s="129"/>
    </row>
    <row r="308" spans="3:22" x14ac:dyDescent="0.3">
      <c r="C308" s="129"/>
      <c r="D308" s="129"/>
      <c r="E308" s="129"/>
      <c r="F308" s="129"/>
      <c r="G308" s="129"/>
      <c r="H308" s="129"/>
      <c r="I308" s="129"/>
      <c r="J308" s="129"/>
      <c r="K308" s="129"/>
      <c r="L308" s="129"/>
      <c r="M308" s="129"/>
      <c r="N308" s="129"/>
      <c r="O308" s="129"/>
      <c r="P308" s="129"/>
      <c r="Q308" s="129"/>
      <c r="R308" s="129"/>
      <c r="S308" s="129"/>
      <c r="T308" s="129"/>
      <c r="U308" s="129"/>
      <c r="V308" s="129"/>
    </row>
    <row r="309" spans="3:22" x14ac:dyDescent="0.3">
      <c r="C309" s="129"/>
      <c r="D309" s="129"/>
      <c r="E309" s="129"/>
      <c r="F309" s="129"/>
      <c r="G309" s="129"/>
      <c r="H309" s="129"/>
      <c r="I309" s="129"/>
      <c r="J309" s="129"/>
      <c r="K309" s="129"/>
      <c r="L309" s="129"/>
      <c r="M309" s="129"/>
      <c r="N309" s="129"/>
      <c r="O309" s="129"/>
      <c r="P309" s="129"/>
      <c r="Q309" s="129"/>
      <c r="R309" s="129"/>
      <c r="S309" s="129"/>
      <c r="T309" s="129"/>
      <c r="U309" s="129"/>
      <c r="V309" s="129"/>
    </row>
    <row r="310" spans="3:22" x14ac:dyDescent="0.3">
      <c r="C310" s="129"/>
      <c r="D310" s="129"/>
      <c r="E310" s="129"/>
      <c r="F310" s="129"/>
      <c r="G310" s="129"/>
      <c r="H310" s="129"/>
      <c r="I310" s="129"/>
      <c r="J310" s="129"/>
      <c r="K310" s="129"/>
      <c r="L310" s="129"/>
      <c r="M310" s="129"/>
      <c r="N310" s="129"/>
      <c r="O310" s="129"/>
      <c r="P310" s="129"/>
      <c r="Q310" s="129"/>
      <c r="R310" s="129"/>
      <c r="S310" s="129"/>
      <c r="T310" s="129"/>
      <c r="U310" s="129"/>
      <c r="V310" s="129"/>
    </row>
    <row r="311" spans="3:22" x14ac:dyDescent="0.3">
      <c r="C311" s="129"/>
      <c r="D311" s="129"/>
      <c r="E311" s="129"/>
      <c r="F311" s="129"/>
      <c r="G311" s="129"/>
      <c r="H311" s="129"/>
      <c r="I311" s="129"/>
      <c r="J311" s="129"/>
      <c r="K311" s="129"/>
      <c r="L311" s="129"/>
      <c r="M311" s="129"/>
      <c r="N311" s="129"/>
      <c r="O311" s="129"/>
      <c r="P311" s="129"/>
      <c r="Q311" s="129"/>
      <c r="R311" s="129"/>
      <c r="S311" s="129"/>
      <c r="T311" s="129"/>
      <c r="U311" s="129"/>
      <c r="V311" s="129"/>
    </row>
    <row r="312" spans="3:22" x14ac:dyDescent="0.3">
      <c r="C312" s="129"/>
      <c r="D312" s="129"/>
      <c r="E312" s="129"/>
      <c r="F312" s="129"/>
      <c r="G312" s="129"/>
      <c r="H312" s="129"/>
      <c r="I312" s="129"/>
      <c r="J312" s="129"/>
      <c r="K312" s="129"/>
      <c r="L312" s="129"/>
      <c r="M312" s="129"/>
      <c r="N312" s="129"/>
      <c r="O312" s="129"/>
      <c r="P312" s="129"/>
      <c r="Q312" s="129"/>
      <c r="R312" s="129"/>
      <c r="S312" s="129"/>
      <c r="T312" s="129"/>
      <c r="U312" s="129"/>
      <c r="V312" s="129"/>
    </row>
    <row r="313" spans="3:22" x14ac:dyDescent="0.3">
      <c r="C313" s="129"/>
      <c r="D313" s="129"/>
      <c r="E313" s="129"/>
      <c r="F313" s="129"/>
      <c r="G313" s="129"/>
      <c r="H313" s="129"/>
      <c r="I313" s="129"/>
      <c r="J313" s="129"/>
      <c r="K313" s="129"/>
      <c r="L313" s="129"/>
      <c r="M313" s="129"/>
      <c r="N313" s="129"/>
      <c r="O313" s="129"/>
      <c r="P313" s="129"/>
      <c r="Q313" s="129"/>
      <c r="R313" s="129"/>
      <c r="S313" s="129"/>
      <c r="T313" s="129"/>
      <c r="U313" s="129"/>
      <c r="V313" s="129"/>
    </row>
    <row r="314" spans="3:22" x14ac:dyDescent="0.3">
      <c r="C314" s="129"/>
      <c r="D314" s="129"/>
      <c r="E314" s="129"/>
      <c r="F314" s="129"/>
      <c r="G314" s="129"/>
      <c r="H314" s="129"/>
      <c r="I314" s="129"/>
      <c r="J314" s="129"/>
      <c r="K314" s="129"/>
      <c r="L314" s="129"/>
      <c r="M314" s="129"/>
      <c r="N314" s="129"/>
      <c r="O314" s="129"/>
      <c r="P314" s="129"/>
      <c r="Q314" s="129"/>
      <c r="R314" s="129"/>
      <c r="S314" s="129"/>
      <c r="T314" s="129"/>
      <c r="U314" s="129"/>
      <c r="V314" s="129"/>
    </row>
    <row r="315" spans="3:22" x14ac:dyDescent="0.3">
      <c r="C315" s="129"/>
      <c r="D315" s="129"/>
      <c r="E315" s="129"/>
      <c r="F315" s="129"/>
      <c r="G315" s="129"/>
      <c r="H315" s="129"/>
      <c r="I315" s="129"/>
      <c r="J315" s="129"/>
      <c r="K315" s="129"/>
      <c r="L315" s="129"/>
      <c r="M315" s="129"/>
      <c r="N315" s="129"/>
      <c r="O315" s="129"/>
      <c r="P315" s="129"/>
      <c r="Q315" s="129"/>
      <c r="R315" s="129"/>
      <c r="S315" s="129"/>
      <c r="T315" s="129"/>
      <c r="U315" s="129"/>
      <c r="V315" s="129"/>
    </row>
    <row r="316" spans="3:22" x14ac:dyDescent="0.3">
      <c r="C316" s="129"/>
      <c r="D316" s="129"/>
      <c r="E316" s="129"/>
      <c r="F316" s="129"/>
      <c r="G316" s="129"/>
      <c r="H316" s="129"/>
      <c r="I316" s="129"/>
      <c r="J316" s="129"/>
      <c r="K316" s="129"/>
      <c r="L316" s="129"/>
      <c r="M316" s="129"/>
      <c r="N316" s="129"/>
      <c r="O316" s="129"/>
      <c r="P316" s="129"/>
      <c r="Q316" s="129"/>
      <c r="R316" s="129"/>
      <c r="S316" s="129"/>
      <c r="T316" s="129"/>
      <c r="U316" s="129"/>
      <c r="V316" s="129"/>
    </row>
    <row r="317" spans="3:22" x14ac:dyDescent="0.3">
      <c r="C317" s="129"/>
      <c r="D317" s="129"/>
      <c r="E317" s="129"/>
      <c r="F317" s="129"/>
      <c r="G317" s="129"/>
      <c r="H317" s="129"/>
      <c r="I317" s="129"/>
      <c r="J317" s="129"/>
      <c r="K317" s="129"/>
      <c r="L317" s="129"/>
      <c r="M317" s="129"/>
      <c r="N317" s="129"/>
      <c r="O317" s="129"/>
      <c r="P317" s="129"/>
      <c r="Q317" s="129"/>
      <c r="R317" s="129"/>
      <c r="S317" s="129"/>
      <c r="T317" s="129"/>
      <c r="U317" s="129"/>
      <c r="V317" s="129"/>
    </row>
    <row r="318" spans="3:22" x14ac:dyDescent="0.3">
      <c r="C318" s="129"/>
      <c r="D318" s="129"/>
      <c r="E318" s="129"/>
      <c r="F318" s="129"/>
      <c r="G318" s="129"/>
      <c r="H318" s="129"/>
      <c r="I318" s="129"/>
      <c r="J318" s="129"/>
      <c r="K318" s="129"/>
      <c r="L318" s="129"/>
      <c r="M318" s="129"/>
      <c r="N318" s="129"/>
      <c r="O318" s="129"/>
      <c r="P318" s="129"/>
      <c r="Q318" s="129"/>
      <c r="R318" s="129"/>
      <c r="S318" s="129"/>
      <c r="T318" s="129"/>
      <c r="U318" s="129"/>
      <c r="V318" s="129"/>
    </row>
    <row r="319" spans="3:22" x14ac:dyDescent="0.3">
      <c r="C319" s="129"/>
      <c r="D319" s="129"/>
      <c r="E319" s="129"/>
      <c r="F319" s="129"/>
      <c r="G319" s="129"/>
      <c r="H319" s="129"/>
      <c r="I319" s="129"/>
      <c r="J319" s="129"/>
      <c r="K319" s="129"/>
      <c r="L319" s="129"/>
      <c r="M319" s="129"/>
      <c r="N319" s="129"/>
      <c r="O319" s="129"/>
      <c r="P319" s="129"/>
      <c r="Q319" s="129"/>
      <c r="R319" s="129"/>
      <c r="S319" s="129"/>
      <c r="T319" s="129"/>
      <c r="U319" s="129"/>
      <c r="V319" s="129"/>
    </row>
    <row r="320" spans="3:22" x14ac:dyDescent="0.3">
      <c r="C320" s="129"/>
      <c r="D320" s="129"/>
      <c r="E320" s="129"/>
      <c r="F320" s="129"/>
      <c r="G320" s="129"/>
      <c r="H320" s="129"/>
      <c r="I320" s="129"/>
      <c r="J320" s="129"/>
      <c r="K320" s="129"/>
      <c r="L320" s="129"/>
      <c r="M320" s="129"/>
      <c r="N320" s="129"/>
      <c r="O320" s="129"/>
      <c r="P320" s="129"/>
      <c r="Q320" s="129"/>
      <c r="R320" s="129"/>
      <c r="S320" s="129"/>
      <c r="T320" s="129"/>
      <c r="U320" s="129"/>
      <c r="V320" s="129"/>
    </row>
    <row r="321" spans="3:22" x14ac:dyDescent="0.3">
      <c r="C321" s="129"/>
      <c r="D321" s="129"/>
      <c r="E321" s="129"/>
      <c r="F321" s="129"/>
      <c r="G321" s="129"/>
      <c r="H321" s="129"/>
      <c r="I321" s="129"/>
      <c r="J321" s="129"/>
      <c r="K321" s="129"/>
      <c r="L321" s="129"/>
      <c r="M321" s="129"/>
      <c r="N321" s="129"/>
      <c r="O321" s="129"/>
      <c r="P321" s="129"/>
      <c r="Q321" s="129"/>
      <c r="R321" s="129"/>
      <c r="S321" s="129"/>
      <c r="T321" s="129"/>
      <c r="U321" s="129"/>
      <c r="V321" s="129"/>
    </row>
    <row r="322" spans="3:22" x14ac:dyDescent="0.3">
      <c r="C322" s="129"/>
      <c r="D322" s="129"/>
      <c r="E322" s="129"/>
      <c r="F322" s="129"/>
      <c r="G322" s="129"/>
      <c r="H322" s="129"/>
      <c r="I322" s="129"/>
      <c r="J322" s="129"/>
      <c r="K322" s="129"/>
      <c r="L322" s="129"/>
      <c r="M322" s="129"/>
      <c r="N322" s="129"/>
      <c r="O322" s="129"/>
      <c r="P322" s="129"/>
      <c r="Q322" s="129"/>
      <c r="R322" s="129"/>
      <c r="S322" s="129"/>
      <c r="T322" s="129"/>
      <c r="U322" s="129"/>
      <c r="V322" s="129"/>
    </row>
    <row r="323" spans="3:22" x14ac:dyDescent="0.3">
      <c r="C323" s="129"/>
      <c r="D323" s="129"/>
      <c r="E323" s="129"/>
      <c r="F323" s="129"/>
      <c r="G323" s="129"/>
      <c r="H323" s="129"/>
      <c r="I323" s="129"/>
      <c r="J323" s="129"/>
      <c r="K323" s="129"/>
      <c r="L323" s="129"/>
      <c r="M323" s="129"/>
      <c r="N323" s="129"/>
      <c r="O323" s="129"/>
      <c r="P323" s="129"/>
      <c r="Q323" s="129"/>
      <c r="R323" s="129"/>
      <c r="S323" s="129"/>
      <c r="T323" s="129"/>
      <c r="U323" s="129"/>
      <c r="V323" s="129"/>
    </row>
    <row r="324" spans="3:22" x14ac:dyDescent="0.3">
      <c r="C324" s="129"/>
      <c r="D324" s="129"/>
      <c r="E324" s="129"/>
      <c r="F324" s="129"/>
      <c r="G324" s="129"/>
      <c r="H324" s="129"/>
      <c r="I324" s="129"/>
      <c r="J324" s="129"/>
      <c r="K324" s="129"/>
      <c r="L324" s="129"/>
      <c r="M324" s="129"/>
      <c r="N324" s="129"/>
      <c r="O324" s="129"/>
      <c r="P324" s="129"/>
      <c r="Q324" s="129"/>
      <c r="R324" s="129"/>
      <c r="S324" s="129"/>
      <c r="T324" s="129"/>
      <c r="U324" s="129"/>
      <c r="V324" s="129"/>
    </row>
    <row r="325" spans="3:22" x14ac:dyDescent="0.3">
      <c r="C325" s="129"/>
      <c r="D325" s="129"/>
      <c r="E325" s="129"/>
      <c r="F325" s="129"/>
      <c r="G325" s="129"/>
      <c r="H325" s="129"/>
      <c r="I325" s="129"/>
      <c r="J325" s="129"/>
      <c r="K325" s="129"/>
      <c r="L325" s="129"/>
      <c r="M325" s="129"/>
      <c r="N325" s="129"/>
      <c r="O325" s="129"/>
      <c r="P325" s="129"/>
      <c r="Q325" s="129"/>
      <c r="R325" s="129"/>
      <c r="S325" s="129"/>
      <c r="T325" s="129"/>
      <c r="U325" s="129"/>
      <c r="V325" s="129"/>
    </row>
    <row r="326" spans="3:22" x14ac:dyDescent="0.3">
      <c r="C326" s="129"/>
      <c r="D326" s="129"/>
      <c r="E326" s="129"/>
      <c r="F326" s="129"/>
      <c r="G326" s="129"/>
      <c r="H326" s="129"/>
      <c r="I326" s="129"/>
      <c r="J326" s="129"/>
      <c r="K326" s="129"/>
      <c r="L326" s="129"/>
      <c r="M326" s="129"/>
      <c r="N326" s="129"/>
      <c r="O326" s="129"/>
      <c r="P326" s="129"/>
      <c r="Q326" s="129"/>
      <c r="R326" s="129"/>
      <c r="S326" s="129"/>
      <c r="T326" s="129"/>
      <c r="U326" s="129"/>
      <c r="V326" s="129"/>
    </row>
    <row r="327" spans="3:22" x14ac:dyDescent="0.3">
      <c r="C327" s="129"/>
      <c r="D327" s="129"/>
      <c r="E327" s="129"/>
      <c r="F327" s="129"/>
      <c r="G327" s="129"/>
      <c r="H327" s="129"/>
      <c r="I327" s="129"/>
      <c r="J327" s="129"/>
      <c r="K327" s="129"/>
      <c r="L327" s="129"/>
      <c r="M327" s="129"/>
      <c r="N327" s="129"/>
      <c r="O327" s="129"/>
      <c r="P327" s="129"/>
      <c r="Q327" s="129"/>
      <c r="R327" s="129"/>
      <c r="S327" s="129"/>
      <c r="T327" s="129"/>
      <c r="U327" s="129"/>
      <c r="V327" s="129"/>
    </row>
    <row r="328" spans="3:22" x14ac:dyDescent="0.3">
      <c r="C328" s="129"/>
      <c r="D328" s="129"/>
      <c r="E328" s="129"/>
      <c r="F328" s="129"/>
      <c r="G328" s="129"/>
      <c r="H328" s="129"/>
      <c r="I328" s="129"/>
      <c r="J328" s="129"/>
      <c r="K328" s="129"/>
      <c r="L328" s="129"/>
      <c r="M328" s="129"/>
      <c r="N328" s="129"/>
      <c r="O328" s="129"/>
      <c r="P328" s="129"/>
      <c r="Q328" s="129"/>
      <c r="R328" s="129"/>
      <c r="S328" s="129"/>
      <c r="T328" s="129"/>
      <c r="U328" s="129"/>
      <c r="V328" s="129"/>
    </row>
    <row r="329" spans="3:22" x14ac:dyDescent="0.3">
      <c r="C329" s="129"/>
      <c r="D329" s="129"/>
      <c r="E329" s="129"/>
      <c r="F329" s="129"/>
      <c r="G329" s="129"/>
      <c r="H329" s="129"/>
      <c r="I329" s="129"/>
      <c r="J329" s="129"/>
      <c r="K329" s="129"/>
      <c r="L329" s="129"/>
      <c r="M329" s="129"/>
      <c r="N329" s="129"/>
      <c r="O329" s="129"/>
      <c r="P329" s="129"/>
      <c r="Q329" s="129"/>
      <c r="R329" s="129"/>
      <c r="S329" s="129"/>
      <c r="T329" s="129"/>
      <c r="U329" s="129"/>
      <c r="V329" s="129"/>
    </row>
    <row r="330" spans="3:22" x14ac:dyDescent="0.3">
      <c r="C330" s="129"/>
      <c r="D330" s="129"/>
      <c r="E330" s="129"/>
      <c r="F330" s="129"/>
      <c r="G330" s="129"/>
      <c r="H330" s="129"/>
      <c r="I330" s="129"/>
      <c r="J330" s="129"/>
      <c r="K330" s="129"/>
      <c r="L330" s="129"/>
      <c r="M330" s="129"/>
      <c r="N330" s="129"/>
      <c r="O330" s="129"/>
      <c r="P330" s="129"/>
      <c r="Q330" s="129"/>
      <c r="R330" s="129"/>
      <c r="S330" s="129"/>
      <c r="T330" s="129"/>
      <c r="U330" s="129"/>
      <c r="V330" s="129"/>
    </row>
    <row r="331" spans="3:22" x14ac:dyDescent="0.3">
      <c r="C331" s="129"/>
      <c r="D331" s="129"/>
      <c r="E331" s="129"/>
      <c r="F331" s="129"/>
      <c r="G331" s="129"/>
      <c r="H331" s="129"/>
      <c r="I331" s="129"/>
      <c r="J331" s="129"/>
      <c r="K331" s="129"/>
      <c r="L331" s="129"/>
      <c r="M331" s="129"/>
      <c r="N331" s="129"/>
      <c r="O331" s="129"/>
      <c r="P331" s="129"/>
      <c r="Q331" s="129"/>
      <c r="R331" s="129"/>
      <c r="S331" s="129"/>
      <c r="T331" s="129"/>
      <c r="U331" s="129"/>
      <c r="V331" s="129"/>
    </row>
    <row r="332" spans="3:22" x14ac:dyDescent="0.3">
      <c r="C332" s="129"/>
      <c r="D332" s="129"/>
      <c r="E332" s="129"/>
      <c r="F332" s="129"/>
      <c r="G332" s="129"/>
      <c r="H332" s="129"/>
      <c r="I332" s="129"/>
      <c r="J332" s="129"/>
      <c r="K332" s="129"/>
      <c r="L332" s="129"/>
      <c r="M332" s="129"/>
      <c r="N332" s="129"/>
      <c r="O332" s="129"/>
      <c r="P332" s="129"/>
      <c r="Q332" s="129"/>
      <c r="R332" s="129"/>
      <c r="S332" s="129"/>
      <c r="T332" s="129"/>
      <c r="U332" s="129"/>
      <c r="V332" s="129"/>
    </row>
    <row r="333" spans="3:22" x14ac:dyDescent="0.3">
      <c r="C333" s="129"/>
      <c r="D333" s="129"/>
      <c r="E333" s="129"/>
      <c r="F333" s="129"/>
      <c r="G333" s="129"/>
      <c r="H333" s="129"/>
      <c r="I333" s="129"/>
      <c r="J333" s="129"/>
      <c r="K333" s="129"/>
      <c r="L333" s="129"/>
      <c r="M333" s="129"/>
      <c r="N333" s="129"/>
      <c r="O333" s="129"/>
      <c r="P333" s="129"/>
      <c r="Q333" s="129"/>
      <c r="R333" s="129"/>
      <c r="S333" s="129"/>
      <c r="T333" s="129"/>
      <c r="U333" s="129"/>
      <c r="V333" s="129"/>
    </row>
    <row r="334" spans="3:22" x14ac:dyDescent="0.3">
      <c r="C334" s="129"/>
      <c r="D334" s="129"/>
      <c r="E334" s="129"/>
      <c r="F334" s="129"/>
      <c r="G334" s="129"/>
      <c r="H334" s="129"/>
      <c r="I334" s="129"/>
      <c r="J334" s="129"/>
      <c r="K334" s="129"/>
      <c r="L334" s="129"/>
      <c r="M334" s="129"/>
      <c r="N334" s="129"/>
      <c r="O334" s="129"/>
      <c r="P334" s="129"/>
      <c r="Q334" s="129"/>
      <c r="R334" s="129"/>
      <c r="S334" s="129"/>
      <c r="T334" s="129"/>
      <c r="U334" s="129"/>
      <c r="V334" s="129"/>
    </row>
    <row r="335" spans="3:22" x14ac:dyDescent="0.3">
      <c r="C335" s="129"/>
      <c r="D335" s="129"/>
      <c r="E335" s="129"/>
      <c r="F335" s="129"/>
      <c r="G335" s="129"/>
      <c r="H335" s="129"/>
      <c r="I335" s="129"/>
      <c r="J335" s="129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</row>
    <row r="336" spans="3:22" x14ac:dyDescent="0.3">
      <c r="C336" s="129"/>
      <c r="D336" s="129"/>
      <c r="E336" s="129"/>
      <c r="F336" s="129"/>
      <c r="G336" s="129"/>
      <c r="H336" s="129"/>
      <c r="I336" s="129"/>
      <c r="J336" s="129"/>
      <c r="K336" s="129"/>
      <c r="L336" s="129"/>
      <c r="M336" s="129"/>
      <c r="N336" s="129"/>
      <c r="O336" s="129"/>
      <c r="P336" s="129"/>
      <c r="Q336" s="129"/>
      <c r="R336" s="129"/>
      <c r="S336" s="129"/>
      <c r="T336" s="129"/>
      <c r="U336" s="129"/>
      <c r="V336" s="129"/>
    </row>
    <row r="337" spans="3:22" x14ac:dyDescent="0.3">
      <c r="C337" s="129"/>
      <c r="D337" s="129"/>
      <c r="E337" s="129"/>
      <c r="F337" s="129"/>
      <c r="G337" s="129"/>
      <c r="H337" s="129"/>
      <c r="I337" s="129"/>
      <c r="J337" s="129"/>
      <c r="K337" s="129"/>
      <c r="L337" s="129"/>
      <c r="M337" s="129"/>
      <c r="N337" s="129"/>
      <c r="O337" s="129"/>
      <c r="P337" s="129"/>
      <c r="Q337" s="129"/>
      <c r="R337" s="129"/>
      <c r="S337" s="129"/>
      <c r="T337" s="129"/>
      <c r="U337" s="129"/>
      <c r="V337" s="129"/>
    </row>
    <row r="338" spans="3:22" x14ac:dyDescent="0.3">
      <c r="C338" s="129"/>
      <c r="D338" s="129"/>
      <c r="E338" s="129"/>
      <c r="F338" s="129"/>
      <c r="G338" s="129"/>
      <c r="H338" s="129"/>
      <c r="I338" s="129"/>
      <c r="J338" s="129"/>
      <c r="K338" s="129"/>
      <c r="L338" s="129"/>
      <c r="M338" s="129"/>
      <c r="N338" s="129"/>
      <c r="O338" s="129"/>
      <c r="P338" s="129"/>
      <c r="Q338" s="129"/>
      <c r="R338" s="129"/>
      <c r="S338" s="129"/>
      <c r="T338" s="129"/>
      <c r="U338" s="129"/>
      <c r="V338" s="129"/>
    </row>
    <row r="339" spans="3:22" x14ac:dyDescent="0.3">
      <c r="C339" s="129"/>
      <c r="D339" s="129"/>
      <c r="E339" s="129"/>
      <c r="F339" s="129"/>
      <c r="G339" s="129"/>
      <c r="H339" s="129"/>
      <c r="I339" s="129"/>
      <c r="J339" s="129"/>
      <c r="K339" s="129"/>
      <c r="L339" s="129"/>
      <c r="M339" s="129"/>
      <c r="N339" s="129"/>
      <c r="O339" s="129"/>
      <c r="P339" s="129"/>
      <c r="Q339" s="129"/>
      <c r="R339" s="129"/>
      <c r="S339" s="129"/>
      <c r="T339" s="129"/>
      <c r="U339" s="129"/>
      <c r="V339" s="129"/>
    </row>
    <row r="340" spans="3:22" x14ac:dyDescent="0.3">
      <c r="C340" s="129"/>
      <c r="D340" s="129"/>
      <c r="E340" s="129"/>
      <c r="F340" s="129"/>
      <c r="G340" s="129"/>
      <c r="H340" s="129"/>
      <c r="I340" s="129"/>
      <c r="J340" s="129"/>
      <c r="K340" s="129"/>
      <c r="L340" s="129"/>
      <c r="M340" s="129"/>
      <c r="N340" s="129"/>
      <c r="O340" s="129"/>
      <c r="P340" s="129"/>
      <c r="Q340" s="129"/>
      <c r="R340" s="129"/>
      <c r="S340" s="129"/>
      <c r="T340" s="129"/>
      <c r="U340" s="129"/>
      <c r="V340" s="129"/>
    </row>
    <row r="341" spans="3:22" x14ac:dyDescent="0.3">
      <c r="C341" s="129"/>
      <c r="D341" s="129"/>
      <c r="E341" s="129"/>
      <c r="F341" s="129"/>
      <c r="G341" s="129"/>
      <c r="H341" s="129"/>
      <c r="I341" s="129"/>
      <c r="J341" s="129"/>
      <c r="K341" s="129"/>
      <c r="L341" s="129"/>
      <c r="M341" s="129"/>
      <c r="N341" s="129"/>
      <c r="O341" s="129"/>
      <c r="P341" s="129"/>
      <c r="Q341" s="129"/>
      <c r="R341" s="129"/>
      <c r="S341" s="129"/>
      <c r="T341" s="129"/>
      <c r="U341" s="129"/>
      <c r="V341" s="129"/>
    </row>
    <row r="342" spans="3:22" x14ac:dyDescent="0.3">
      <c r="C342" s="129"/>
      <c r="D342" s="129"/>
      <c r="E342" s="129"/>
      <c r="F342" s="129"/>
      <c r="G342" s="129"/>
      <c r="H342" s="129"/>
      <c r="I342" s="129"/>
      <c r="J342" s="129"/>
      <c r="K342" s="129"/>
      <c r="L342" s="129"/>
      <c r="M342" s="129"/>
      <c r="N342" s="129"/>
      <c r="O342" s="129"/>
      <c r="P342" s="129"/>
      <c r="Q342" s="129"/>
      <c r="R342" s="129"/>
      <c r="S342" s="129"/>
      <c r="T342" s="129"/>
      <c r="U342" s="129"/>
      <c r="V342" s="129"/>
    </row>
    <row r="343" spans="3:22" x14ac:dyDescent="0.3">
      <c r="C343" s="129"/>
      <c r="D343" s="129"/>
      <c r="E343" s="129"/>
      <c r="F343" s="129"/>
      <c r="G343" s="129"/>
      <c r="H343" s="129"/>
      <c r="I343" s="129"/>
      <c r="J343" s="129"/>
      <c r="K343" s="129"/>
      <c r="L343" s="129"/>
      <c r="M343" s="129"/>
      <c r="N343" s="129"/>
      <c r="O343" s="129"/>
      <c r="P343" s="129"/>
      <c r="Q343" s="129"/>
      <c r="R343" s="129"/>
      <c r="S343" s="129"/>
      <c r="T343" s="129"/>
      <c r="U343" s="129"/>
      <c r="V343" s="129"/>
    </row>
    <row r="344" spans="3:22" x14ac:dyDescent="0.3">
      <c r="C344" s="129"/>
      <c r="D344" s="129"/>
      <c r="E344" s="129"/>
      <c r="F344" s="129"/>
      <c r="G344" s="129"/>
      <c r="H344" s="129"/>
      <c r="I344" s="129"/>
      <c r="J344" s="129"/>
      <c r="K344" s="129"/>
      <c r="L344" s="129"/>
      <c r="M344" s="129"/>
      <c r="N344" s="129"/>
      <c r="O344" s="129"/>
      <c r="P344" s="129"/>
      <c r="Q344" s="129"/>
      <c r="R344" s="129"/>
      <c r="S344" s="129"/>
      <c r="T344" s="129"/>
      <c r="U344" s="129"/>
      <c r="V344" s="129"/>
    </row>
    <row r="345" spans="3:22" x14ac:dyDescent="0.3">
      <c r="C345" s="129"/>
      <c r="D345" s="129"/>
      <c r="E345" s="129"/>
      <c r="F345" s="129"/>
      <c r="G345" s="129"/>
      <c r="H345" s="129"/>
      <c r="I345" s="129"/>
      <c r="J345" s="129"/>
      <c r="K345" s="129"/>
      <c r="L345" s="129"/>
      <c r="M345" s="129"/>
      <c r="N345" s="129"/>
      <c r="O345" s="129"/>
      <c r="P345" s="129"/>
      <c r="Q345" s="129"/>
      <c r="R345" s="129"/>
      <c r="S345" s="129"/>
      <c r="T345" s="129"/>
      <c r="U345" s="129"/>
      <c r="V345" s="129"/>
    </row>
    <row r="346" spans="3:22" x14ac:dyDescent="0.3">
      <c r="C346" s="129"/>
      <c r="D346" s="129"/>
      <c r="E346" s="129"/>
      <c r="F346" s="129"/>
      <c r="G346" s="129"/>
      <c r="H346" s="129"/>
      <c r="I346" s="129"/>
      <c r="J346" s="129"/>
      <c r="K346" s="129"/>
      <c r="L346" s="129"/>
      <c r="M346" s="129"/>
      <c r="N346" s="129"/>
      <c r="O346" s="129"/>
      <c r="P346" s="129"/>
      <c r="Q346" s="129"/>
      <c r="R346" s="129"/>
      <c r="S346" s="129"/>
      <c r="T346" s="129"/>
      <c r="U346" s="129"/>
      <c r="V346" s="129"/>
    </row>
    <row r="347" spans="3:22" x14ac:dyDescent="0.3">
      <c r="C347" s="129"/>
      <c r="D347" s="129"/>
      <c r="E347" s="129"/>
      <c r="F347" s="129"/>
      <c r="G347" s="129"/>
      <c r="H347" s="129"/>
      <c r="I347" s="129"/>
      <c r="J347" s="129"/>
      <c r="K347" s="129"/>
      <c r="L347" s="129"/>
      <c r="M347" s="129"/>
      <c r="N347" s="129"/>
      <c r="O347" s="129"/>
      <c r="P347" s="129"/>
      <c r="Q347" s="129"/>
      <c r="R347" s="129"/>
      <c r="S347" s="129"/>
      <c r="T347" s="129"/>
      <c r="U347" s="129"/>
      <c r="V347" s="129"/>
    </row>
    <row r="348" spans="3:22" x14ac:dyDescent="0.3">
      <c r="C348" s="129"/>
      <c r="D348" s="129"/>
      <c r="E348" s="129"/>
      <c r="F348" s="129"/>
      <c r="G348" s="129"/>
      <c r="H348" s="129"/>
      <c r="I348" s="129"/>
      <c r="J348" s="129"/>
      <c r="K348" s="129"/>
      <c r="L348" s="129"/>
      <c r="M348" s="129"/>
      <c r="N348" s="129"/>
      <c r="O348" s="129"/>
      <c r="P348" s="129"/>
      <c r="Q348" s="129"/>
      <c r="R348" s="129"/>
      <c r="S348" s="129"/>
      <c r="T348" s="129"/>
      <c r="U348" s="129"/>
      <c r="V348" s="129"/>
    </row>
    <row r="349" spans="3:22" x14ac:dyDescent="0.3">
      <c r="C349" s="129"/>
      <c r="D349" s="129"/>
      <c r="E349" s="129"/>
      <c r="F349" s="129"/>
      <c r="G349" s="129"/>
      <c r="H349" s="129"/>
      <c r="I349" s="129"/>
      <c r="J349" s="129"/>
      <c r="K349" s="129"/>
      <c r="L349" s="129"/>
      <c r="M349" s="129"/>
      <c r="N349" s="129"/>
      <c r="O349" s="129"/>
      <c r="P349" s="129"/>
      <c r="Q349" s="129"/>
      <c r="R349" s="129"/>
      <c r="S349" s="129"/>
      <c r="T349" s="129"/>
      <c r="U349" s="129"/>
      <c r="V349" s="129"/>
    </row>
    <row r="350" spans="3:22" x14ac:dyDescent="0.3">
      <c r="C350" s="129"/>
      <c r="D350" s="129"/>
      <c r="E350" s="129"/>
      <c r="F350" s="129"/>
      <c r="G350" s="129"/>
      <c r="H350" s="129"/>
      <c r="I350" s="129"/>
      <c r="J350" s="129"/>
      <c r="K350" s="129"/>
      <c r="L350" s="129"/>
      <c r="M350" s="129"/>
      <c r="N350" s="129"/>
      <c r="O350" s="129"/>
      <c r="P350" s="129"/>
      <c r="Q350" s="129"/>
      <c r="R350" s="129"/>
      <c r="S350" s="129"/>
      <c r="T350" s="129"/>
      <c r="U350" s="129"/>
      <c r="V350" s="129"/>
    </row>
    <row r="351" spans="3:22" x14ac:dyDescent="0.3">
      <c r="C351" s="129"/>
      <c r="D351" s="129"/>
      <c r="E351" s="129"/>
      <c r="F351" s="129"/>
      <c r="G351" s="129"/>
      <c r="H351" s="129"/>
      <c r="I351" s="129"/>
      <c r="J351" s="129"/>
      <c r="K351" s="129"/>
      <c r="L351" s="129"/>
      <c r="M351" s="129"/>
      <c r="N351" s="129"/>
      <c r="O351" s="129"/>
      <c r="P351" s="129"/>
      <c r="Q351" s="129"/>
      <c r="R351" s="129"/>
      <c r="S351" s="129"/>
      <c r="T351" s="129"/>
      <c r="U351" s="129"/>
      <c r="V351" s="129"/>
    </row>
    <row r="352" spans="3:22" x14ac:dyDescent="0.3">
      <c r="C352" s="129"/>
      <c r="D352" s="129"/>
      <c r="E352" s="129"/>
      <c r="F352" s="129"/>
      <c r="G352" s="129"/>
      <c r="H352" s="129"/>
      <c r="I352" s="129"/>
      <c r="J352" s="129"/>
      <c r="K352" s="129"/>
      <c r="L352" s="129"/>
      <c r="M352" s="129"/>
      <c r="N352" s="129"/>
      <c r="O352" s="129"/>
      <c r="P352" s="129"/>
      <c r="Q352" s="129"/>
      <c r="R352" s="129"/>
      <c r="S352" s="129"/>
      <c r="T352" s="129"/>
      <c r="U352" s="129"/>
      <c r="V352" s="129"/>
    </row>
    <row r="353" spans="3:22" x14ac:dyDescent="0.3">
      <c r="C353" s="129"/>
      <c r="D353" s="129"/>
      <c r="E353" s="129"/>
      <c r="F353" s="129"/>
      <c r="G353" s="129"/>
      <c r="H353" s="129"/>
      <c r="I353" s="129"/>
      <c r="J353" s="129"/>
      <c r="K353" s="129"/>
      <c r="L353" s="129"/>
      <c r="M353" s="129"/>
      <c r="N353" s="129"/>
      <c r="O353" s="129"/>
      <c r="P353" s="129"/>
      <c r="Q353" s="129"/>
      <c r="R353" s="129"/>
      <c r="S353" s="129"/>
      <c r="T353" s="129"/>
      <c r="U353" s="129"/>
      <c r="V353" s="129"/>
    </row>
    <row r="354" spans="3:22" x14ac:dyDescent="0.3">
      <c r="C354" s="129"/>
      <c r="D354" s="129"/>
      <c r="E354" s="129"/>
      <c r="F354" s="129"/>
      <c r="G354" s="129"/>
      <c r="H354" s="129"/>
      <c r="I354" s="129"/>
      <c r="J354" s="129"/>
      <c r="K354" s="129"/>
      <c r="L354" s="129"/>
      <c r="M354" s="129"/>
      <c r="N354" s="129"/>
      <c r="O354" s="129"/>
      <c r="P354" s="129"/>
      <c r="Q354" s="129"/>
      <c r="R354" s="129"/>
      <c r="S354" s="129"/>
      <c r="T354" s="129"/>
      <c r="U354" s="129"/>
      <c r="V354" s="129"/>
    </row>
    <row r="355" spans="3:22" x14ac:dyDescent="0.3">
      <c r="C355" s="129"/>
      <c r="D355" s="129"/>
      <c r="E355" s="129"/>
      <c r="F355" s="129"/>
      <c r="G355" s="129"/>
      <c r="H355" s="129"/>
      <c r="I355" s="129"/>
      <c r="J355" s="129"/>
      <c r="K355" s="129"/>
      <c r="L355" s="129"/>
      <c r="M355" s="129"/>
      <c r="N355" s="129"/>
      <c r="O355" s="129"/>
      <c r="P355" s="129"/>
      <c r="Q355" s="129"/>
      <c r="R355" s="129"/>
      <c r="S355" s="129"/>
      <c r="T355" s="129"/>
      <c r="U355" s="129"/>
      <c r="V355" s="129"/>
    </row>
    <row r="356" spans="3:22" x14ac:dyDescent="0.3">
      <c r="C356" s="129"/>
      <c r="D356" s="129"/>
      <c r="E356" s="129"/>
      <c r="F356" s="129"/>
      <c r="G356" s="129"/>
      <c r="H356" s="129"/>
      <c r="I356" s="129"/>
      <c r="J356" s="129"/>
      <c r="K356" s="129"/>
      <c r="L356" s="129"/>
      <c r="M356" s="129"/>
      <c r="N356" s="129"/>
      <c r="O356" s="129"/>
      <c r="P356" s="129"/>
      <c r="Q356" s="129"/>
      <c r="R356" s="129"/>
      <c r="S356" s="129"/>
      <c r="T356" s="129"/>
      <c r="U356" s="129"/>
      <c r="V356" s="129"/>
    </row>
    <row r="357" spans="3:22" x14ac:dyDescent="0.3">
      <c r="C357" s="129"/>
      <c r="D357" s="129"/>
      <c r="E357" s="129"/>
      <c r="F357" s="129"/>
      <c r="G357" s="129"/>
      <c r="H357" s="129"/>
      <c r="I357" s="129"/>
      <c r="J357" s="129"/>
      <c r="K357" s="129"/>
      <c r="L357" s="129"/>
      <c r="M357" s="129"/>
      <c r="N357" s="129"/>
      <c r="O357" s="129"/>
      <c r="P357" s="129"/>
      <c r="Q357" s="129"/>
      <c r="R357" s="129"/>
      <c r="S357" s="129"/>
      <c r="T357" s="129"/>
      <c r="U357" s="129"/>
      <c r="V357" s="129"/>
    </row>
    <row r="358" spans="3:22" x14ac:dyDescent="0.3">
      <c r="C358" s="129"/>
      <c r="D358" s="129"/>
      <c r="E358" s="129"/>
      <c r="F358" s="129"/>
      <c r="G358" s="129"/>
      <c r="H358" s="129"/>
      <c r="I358" s="129"/>
      <c r="J358" s="129"/>
      <c r="K358" s="129"/>
      <c r="L358" s="129"/>
      <c r="M358" s="129"/>
      <c r="N358" s="129"/>
      <c r="O358" s="129"/>
      <c r="P358" s="129"/>
      <c r="Q358" s="129"/>
      <c r="R358" s="129"/>
      <c r="S358" s="129"/>
      <c r="T358" s="129"/>
      <c r="U358" s="129"/>
      <c r="V358" s="129"/>
    </row>
    <row r="359" spans="3:22" x14ac:dyDescent="0.3">
      <c r="C359" s="129"/>
      <c r="D359" s="129"/>
      <c r="E359" s="129"/>
      <c r="F359" s="129"/>
      <c r="G359" s="129"/>
      <c r="H359" s="129"/>
      <c r="I359" s="129"/>
      <c r="J359" s="129"/>
      <c r="K359" s="129"/>
      <c r="L359" s="129"/>
      <c r="M359" s="129"/>
      <c r="N359" s="129"/>
      <c r="O359" s="129"/>
      <c r="P359" s="129"/>
      <c r="Q359" s="129"/>
      <c r="R359" s="129"/>
      <c r="S359" s="129"/>
      <c r="T359" s="129"/>
      <c r="U359" s="129"/>
      <c r="V359" s="129"/>
    </row>
    <row r="360" spans="3:22" x14ac:dyDescent="0.3">
      <c r="C360" s="129"/>
      <c r="D360" s="129"/>
      <c r="E360" s="129"/>
      <c r="F360" s="129"/>
      <c r="G360" s="129"/>
      <c r="H360" s="129"/>
      <c r="I360" s="129"/>
      <c r="J360" s="129"/>
      <c r="K360" s="129"/>
      <c r="L360" s="129"/>
      <c r="M360" s="129"/>
      <c r="N360" s="129"/>
      <c r="O360" s="129"/>
      <c r="P360" s="129"/>
      <c r="Q360" s="129"/>
      <c r="R360" s="129"/>
      <c r="S360" s="129"/>
      <c r="T360" s="129"/>
      <c r="U360" s="129"/>
      <c r="V360" s="129"/>
    </row>
    <row r="361" spans="3:22" x14ac:dyDescent="0.3">
      <c r="C361" s="129"/>
      <c r="D361" s="129"/>
      <c r="E361" s="129"/>
      <c r="F361" s="129"/>
      <c r="G361" s="129"/>
      <c r="H361" s="129"/>
      <c r="I361" s="129"/>
      <c r="J361" s="129"/>
      <c r="K361" s="129"/>
      <c r="L361" s="129"/>
      <c r="M361" s="129"/>
      <c r="N361" s="129"/>
      <c r="O361" s="129"/>
      <c r="P361" s="129"/>
      <c r="Q361" s="129"/>
      <c r="R361" s="129"/>
      <c r="S361" s="129"/>
      <c r="T361" s="129"/>
      <c r="U361" s="129"/>
      <c r="V361" s="129"/>
    </row>
    <row r="362" spans="3:22" x14ac:dyDescent="0.3">
      <c r="C362" s="129"/>
      <c r="D362" s="129"/>
      <c r="E362" s="129"/>
      <c r="F362" s="129"/>
      <c r="G362" s="129"/>
      <c r="H362" s="129"/>
      <c r="I362" s="129"/>
      <c r="J362" s="129"/>
      <c r="K362" s="129"/>
      <c r="L362" s="129"/>
      <c r="M362" s="129"/>
      <c r="N362" s="129"/>
      <c r="O362" s="129"/>
      <c r="P362" s="129"/>
      <c r="Q362" s="129"/>
      <c r="R362" s="129"/>
      <c r="S362" s="129"/>
      <c r="T362" s="129"/>
      <c r="U362" s="129"/>
      <c r="V362" s="129"/>
    </row>
    <row r="363" spans="3:22" x14ac:dyDescent="0.3">
      <c r="C363" s="129"/>
      <c r="D363" s="129"/>
      <c r="E363" s="129"/>
      <c r="F363" s="129"/>
      <c r="G363" s="129"/>
      <c r="H363" s="129"/>
      <c r="I363" s="129"/>
      <c r="J363" s="129"/>
      <c r="K363" s="129"/>
      <c r="L363" s="129"/>
      <c r="M363" s="129"/>
      <c r="N363" s="129"/>
      <c r="O363" s="129"/>
      <c r="P363" s="129"/>
      <c r="Q363" s="129"/>
      <c r="R363" s="129"/>
      <c r="S363" s="129"/>
      <c r="T363" s="129"/>
      <c r="U363" s="129"/>
      <c r="V363" s="129"/>
    </row>
    <row r="364" spans="3:22" x14ac:dyDescent="0.3">
      <c r="C364" s="129"/>
      <c r="D364" s="129"/>
      <c r="E364" s="129"/>
      <c r="F364" s="129"/>
      <c r="G364" s="129"/>
      <c r="H364" s="129"/>
      <c r="I364" s="129"/>
      <c r="J364" s="129"/>
      <c r="K364" s="129"/>
      <c r="L364" s="129"/>
      <c r="M364" s="129"/>
      <c r="N364" s="129"/>
      <c r="O364" s="129"/>
      <c r="P364" s="129"/>
      <c r="Q364" s="129"/>
      <c r="R364" s="129"/>
      <c r="S364" s="129"/>
      <c r="T364" s="129"/>
      <c r="U364" s="129"/>
      <c r="V364" s="129"/>
    </row>
    <row r="365" spans="3:22" x14ac:dyDescent="0.3">
      <c r="C365" s="129"/>
      <c r="D365" s="129"/>
      <c r="E365" s="129"/>
      <c r="F365" s="129"/>
      <c r="G365" s="129"/>
      <c r="H365" s="129"/>
      <c r="I365" s="129"/>
      <c r="J365" s="129"/>
      <c r="K365" s="129"/>
      <c r="L365" s="129"/>
      <c r="M365" s="129"/>
      <c r="N365" s="129"/>
      <c r="O365" s="129"/>
      <c r="P365" s="129"/>
      <c r="Q365" s="129"/>
      <c r="R365" s="129"/>
      <c r="S365" s="129"/>
      <c r="T365" s="129"/>
      <c r="U365" s="129"/>
      <c r="V365" s="129"/>
    </row>
    <row r="366" spans="3:22" x14ac:dyDescent="0.3">
      <c r="C366" s="129"/>
      <c r="D366" s="129"/>
      <c r="E366" s="129"/>
      <c r="F366" s="129"/>
      <c r="G366" s="129"/>
      <c r="H366" s="129"/>
      <c r="I366" s="129"/>
      <c r="J366" s="129"/>
      <c r="K366" s="129"/>
      <c r="L366" s="129"/>
      <c r="M366" s="129"/>
      <c r="N366" s="129"/>
      <c r="O366" s="129"/>
      <c r="P366" s="129"/>
      <c r="Q366" s="129"/>
      <c r="R366" s="129"/>
      <c r="S366" s="129"/>
      <c r="T366" s="129"/>
      <c r="U366" s="129"/>
      <c r="V366" s="129"/>
    </row>
    <row r="367" spans="3:22" x14ac:dyDescent="0.3">
      <c r="C367" s="129"/>
      <c r="D367" s="129"/>
      <c r="E367" s="129"/>
      <c r="F367" s="129"/>
      <c r="G367" s="129"/>
      <c r="H367" s="129"/>
      <c r="I367" s="129"/>
      <c r="J367" s="129"/>
      <c r="K367" s="129"/>
      <c r="L367" s="129"/>
      <c r="M367" s="129"/>
      <c r="N367" s="129"/>
      <c r="O367" s="129"/>
      <c r="P367" s="129"/>
      <c r="Q367" s="129"/>
      <c r="R367" s="129"/>
      <c r="S367" s="129"/>
      <c r="T367" s="129"/>
      <c r="U367" s="129"/>
      <c r="V367" s="129"/>
    </row>
    <row r="368" spans="3:22" x14ac:dyDescent="0.3">
      <c r="C368" s="129"/>
      <c r="D368" s="129"/>
      <c r="E368" s="129"/>
      <c r="F368" s="129"/>
      <c r="G368" s="129"/>
      <c r="H368" s="129"/>
      <c r="I368" s="129"/>
      <c r="J368" s="129"/>
      <c r="K368" s="129"/>
      <c r="L368" s="129"/>
      <c r="M368" s="129"/>
      <c r="N368" s="129"/>
      <c r="O368" s="129"/>
      <c r="P368" s="129"/>
      <c r="Q368" s="129"/>
      <c r="R368" s="129"/>
      <c r="S368" s="129"/>
      <c r="T368" s="129"/>
      <c r="U368" s="129"/>
      <c r="V368" s="129"/>
    </row>
    <row r="369" spans="3:22" x14ac:dyDescent="0.3">
      <c r="C369" s="129"/>
      <c r="D369" s="129"/>
      <c r="E369" s="129"/>
      <c r="F369" s="129"/>
      <c r="G369" s="129"/>
      <c r="H369" s="129"/>
      <c r="I369" s="129"/>
      <c r="J369" s="129"/>
      <c r="K369" s="129"/>
      <c r="L369" s="129"/>
      <c r="M369" s="129"/>
      <c r="N369" s="129"/>
      <c r="O369" s="129"/>
      <c r="P369" s="129"/>
      <c r="Q369" s="129"/>
      <c r="R369" s="129"/>
      <c r="S369" s="129"/>
      <c r="T369" s="129"/>
      <c r="U369" s="129"/>
      <c r="V369" s="129"/>
    </row>
    <row r="370" spans="3:22" x14ac:dyDescent="0.3">
      <c r="C370" s="129"/>
      <c r="D370" s="129"/>
      <c r="E370" s="129"/>
      <c r="F370" s="129"/>
      <c r="G370" s="129"/>
      <c r="H370" s="129"/>
      <c r="I370" s="129"/>
      <c r="J370" s="129"/>
      <c r="K370" s="129"/>
      <c r="L370" s="129"/>
      <c r="M370" s="129"/>
      <c r="N370" s="129"/>
      <c r="O370" s="129"/>
      <c r="P370" s="129"/>
      <c r="Q370" s="129"/>
      <c r="R370" s="129"/>
      <c r="S370" s="129"/>
      <c r="T370" s="129"/>
      <c r="U370" s="129"/>
      <c r="V370" s="129"/>
    </row>
    <row r="371" spans="3:22" x14ac:dyDescent="0.3">
      <c r="C371" s="129"/>
      <c r="D371" s="129"/>
      <c r="E371" s="129"/>
      <c r="F371" s="129"/>
      <c r="G371" s="129"/>
      <c r="H371" s="129"/>
      <c r="I371" s="129"/>
      <c r="J371" s="129"/>
      <c r="K371" s="129"/>
      <c r="L371" s="129"/>
      <c r="M371" s="129"/>
      <c r="N371" s="129"/>
      <c r="O371" s="129"/>
      <c r="P371" s="129"/>
      <c r="Q371" s="129"/>
      <c r="R371" s="129"/>
      <c r="S371" s="129"/>
      <c r="T371" s="129"/>
      <c r="U371" s="129"/>
      <c r="V371" s="129"/>
    </row>
    <row r="372" spans="3:22" x14ac:dyDescent="0.3">
      <c r="C372" s="129"/>
      <c r="D372" s="129"/>
      <c r="E372" s="129"/>
      <c r="F372" s="129"/>
      <c r="G372" s="129"/>
      <c r="H372" s="129"/>
      <c r="I372" s="129"/>
      <c r="J372" s="129"/>
      <c r="K372" s="129"/>
      <c r="L372" s="129"/>
      <c r="M372" s="129"/>
      <c r="N372" s="129"/>
      <c r="O372" s="129"/>
      <c r="P372" s="129"/>
      <c r="Q372" s="129"/>
      <c r="R372" s="129"/>
      <c r="S372" s="129"/>
      <c r="T372" s="129"/>
      <c r="U372" s="129"/>
      <c r="V372" s="129"/>
    </row>
    <row r="373" spans="3:22" x14ac:dyDescent="0.3">
      <c r="C373" s="129"/>
      <c r="D373" s="129"/>
      <c r="E373" s="129"/>
      <c r="F373" s="129"/>
      <c r="G373" s="129"/>
      <c r="H373" s="129"/>
      <c r="I373" s="129"/>
      <c r="J373" s="129"/>
      <c r="K373" s="129"/>
      <c r="L373" s="129"/>
      <c r="M373" s="129"/>
      <c r="N373" s="129"/>
      <c r="O373" s="129"/>
      <c r="P373" s="129"/>
      <c r="Q373" s="129"/>
      <c r="R373" s="129"/>
      <c r="S373" s="129"/>
      <c r="T373" s="129"/>
      <c r="U373" s="129"/>
      <c r="V373" s="129"/>
    </row>
    <row r="374" spans="3:22" x14ac:dyDescent="0.3">
      <c r="C374" s="129"/>
      <c r="D374" s="129"/>
      <c r="E374" s="129"/>
      <c r="F374" s="129"/>
      <c r="G374" s="129"/>
      <c r="H374" s="129"/>
      <c r="I374" s="129"/>
      <c r="J374" s="129"/>
      <c r="K374" s="129"/>
      <c r="L374" s="129"/>
      <c r="M374" s="129"/>
      <c r="N374" s="129"/>
      <c r="O374" s="129"/>
      <c r="P374" s="129"/>
      <c r="Q374" s="129"/>
      <c r="R374" s="129"/>
      <c r="S374" s="129"/>
      <c r="T374" s="129"/>
      <c r="U374" s="129"/>
      <c r="V374" s="129"/>
    </row>
    <row r="375" spans="3:22" x14ac:dyDescent="0.3">
      <c r="C375" s="129"/>
      <c r="D375" s="129"/>
      <c r="E375" s="129"/>
      <c r="F375" s="129"/>
      <c r="G375" s="129"/>
      <c r="H375" s="129"/>
      <c r="I375" s="129"/>
      <c r="J375" s="129"/>
      <c r="K375" s="129"/>
      <c r="L375" s="129"/>
      <c r="M375" s="129"/>
      <c r="N375" s="129"/>
      <c r="O375" s="129"/>
      <c r="P375" s="129"/>
      <c r="Q375" s="129"/>
      <c r="R375" s="129"/>
      <c r="S375" s="129"/>
      <c r="T375" s="129"/>
      <c r="U375" s="129"/>
      <c r="V375" s="129"/>
    </row>
    <row r="376" spans="3:22" x14ac:dyDescent="0.3">
      <c r="C376" s="129"/>
      <c r="D376" s="129"/>
      <c r="E376" s="129"/>
      <c r="F376" s="129"/>
      <c r="G376" s="129"/>
      <c r="H376" s="129"/>
      <c r="I376" s="129"/>
      <c r="J376" s="129"/>
      <c r="K376" s="129"/>
      <c r="L376" s="129"/>
      <c r="M376" s="129"/>
      <c r="N376" s="129"/>
      <c r="O376" s="129"/>
      <c r="P376" s="129"/>
      <c r="Q376" s="129"/>
      <c r="R376" s="129"/>
      <c r="S376" s="129"/>
      <c r="T376" s="129"/>
      <c r="U376" s="129"/>
      <c r="V376" s="129"/>
    </row>
    <row r="377" spans="3:22" x14ac:dyDescent="0.3">
      <c r="C377" s="129"/>
      <c r="D377" s="129"/>
      <c r="E377" s="129"/>
      <c r="F377" s="129"/>
      <c r="G377" s="129"/>
      <c r="H377" s="129"/>
      <c r="I377" s="129"/>
      <c r="J377" s="129"/>
      <c r="K377" s="129"/>
      <c r="L377" s="129"/>
      <c r="M377" s="129"/>
      <c r="N377" s="129"/>
      <c r="O377" s="129"/>
      <c r="P377" s="129"/>
      <c r="Q377" s="129"/>
      <c r="R377" s="129"/>
      <c r="S377" s="129"/>
      <c r="T377" s="129"/>
      <c r="U377" s="129"/>
      <c r="V377" s="129"/>
    </row>
    <row r="378" spans="3:22" x14ac:dyDescent="0.3">
      <c r="C378" s="129"/>
      <c r="D378" s="129"/>
      <c r="E378" s="129"/>
      <c r="F378" s="129"/>
      <c r="G378" s="129"/>
      <c r="H378" s="129"/>
      <c r="I378" s="129"/>
      <c r="J378" s="129"/>
      <c r="K378" s="129"/>
      <c r="L378" s="129"/>
      <c r="M378" s="129"/>
      <c r="N378" s="129"/>
      <c r="O378" s="129"/>
      <c r="P378" s="129"/>
      <c r="Q378" s="129"/>
      <c r="R378" s="129"/>
      <c r="S378" s="129"/>
      <c r="T378" s="129"/>
      <c r="U378" s="129"/>
      <c r="V378" s="129"/>
    </row>
    <row r="379" spans="3:22" x14ac:dyDescent="0.3">
      <c r="C379" s="129"/>
      <c r="D379" s="129"/>
      <c r="E379" s="129"/>
      <c r="F379" s="129"/>
      <c r="G379" s="129"/>
      <c r="H379" s="129"/>
      <c r="I379" s="129"/>
      <c r="J379" s="129"/>
      <c r="K379" s="129"/>
      <c r="L379" s="129"/>
      <c r="M379" s="129"/>
      <c r="N379" s="129"/>
      <c r="O379" s="129"/>
      <c r="P379" s="129"/>
      <c r="Q379" s="129"/>
      <c r="R379" s="129"/>
      <c r="S379" s="129"/>
      <c r="T379" s="129"/>
      <c r="U379" s="129"/>
      <c r="V379" s="129"/>
    </row>
    <row r="380" spans="3:22" x14ac:dyDescent="0.3">
      <c r="C380" s="129"/>
      <c r="D380" s="129"/>
      <c r="E380" s="129"/>
      <c r="F380" s="129"/>
      <c r="G380" s="129"/>
      <c r="H380" s="129"/>
      <c r="I380" s="129"/>
      <c r="J380" s="129"/>
      <c r="K380" s="129"/>
      <c r="L380" s="129"/>
      <c r="M380" s="129"/>
      <c r="N380" s="129"/>
      <c r="O380" s="129"/>
      <c r="P380" s="129"/>
      <c r="Q380" s="129"/>
      <c r="R380" s="129"/>
      <c r="S380" s="129"/>
      <c r="T380" s="129"/>
      <c r="U380" s="129"/>
      <c r="V380" s="129"/>
    </row>
    <row r="381" spans="3:22" x14ac:dyDescent="0.3">
      <c r="C381" s="129"/>
      <c r="D381" s="129"/>
      <c r="E381" s="129"/>
      <c r="F381" s="129"/>
      <c r="G381" s="129"/>
      <c r="H381" s="129"/>
      <c r="I381" s="129"/>
      <c r="J381" s="129"/>
      <c r="K381" s="129"/>
      <c r="L381" s="129"/>
      <c r="M381" s="129"/>
      <c r="N381" s="129"/>
      <c r="O381" s="129"/>
      <c r="P381" s="129"/>
      <c r="Q381" s="129"/>
      <c r="R381" s="129"/>
      <c r="S381" s="129"/>
      <c r="T381" s="129"/>
      <c r="U381" s="129"/>
      <c r="V381" s="129"/>
    </row>
    <row r="382" spans="3:22" x14ac:dyDescent="0.3">
      <c r="C382" s="129"/>
      <c r="D382" s="129"/>
      <c r="E382" s="129"/>
      <c r="F382" s="129"/>
      <c r="G382" s="129"/>
      <c r="H382" s="129"/>
      <c r="I382" s="129"/>
      <c r="J382" s="129"/>
      <c r="K382" s="129"/>
      <c r="L382" s="129"/>
      <c r="M382" s="129"/>
      <c r="N382" s="129"/>
      <c r="O382" s="129"/>
      <c r="P382" s="129"/>
      <c r="Q382" s="129"/>
      <c r="R382" s="129"/>
      <c r="S382" s="129"/>
      <c r="T382" s="129"/>
      <c r="U382" s="129"/>
      <c r="V382" s="129"/>
    </row>
    <row r="383" spans="3:22" x14ac:dyDescent="0.3">
      <c r="C383" s="129"/>
      <c r="D383" s="129"/>
      <c r="E383" s="129"/>
      <c r="F383" s="129"/>
      <c r="G383" s="129"/>
      <c r="H383" s="129"/>
      <c r="I383" s="129"/>
      <c r="J383" s="129"/>
      <c r="K383" s="129"/>
      <c r="L383" s="129"/>
      <c r="M383" s="129"/>
      <c r="N383" s="129"/>
      <c r="O383" s="129"/>
      <c r="P383" s="129"/>
      <c r="Q383" s="129"/>
      <c r="R383" s="129"/>
      <c r="S383" s="129"/>
      <c r="T383" s="129"/>
      <c r="U383" s="129"/>
      <c r="V383" s="129"/>
    </row>
    <row r="384" spans="3:22" x14ac:dyDescent="0.3">
      <c r="C384" s="129"/>
      <c r="D384" s="129"/>
      <c r="E384" s="129"/>
      <c r="F384" s="129"/>
      <c r="G384" s="129"/>
      <c r="H384" s="129"/>
      <c r="I384" s="129"/>
      <c r="J384" s="129"/>
      <c r="K384" s="129"/>
      <c r="L384" s="129"/>
      <c r="M384" s="129"/>
      <c r="N384" s="129"/>
      <c r="O384" s="129"/>
      <c r="P384" s="129"/>
      <c r="Q384" s="129"/>
      <c r="R384" s="129"/>
      <c r="S384" s="129"/>
      <c r="T384" s="129"/>
      <c r="U384" s="129"/>
      <c r="V384" s="129"/>
    </row>
    <row r="385" spans="3:22" x14ac:dyDescent="0.3">
      <c r="C385" s="129"/>
      <c r="D385" s="129"/>
      <c r="E385" s="129"/>
      <c r="F385" s="129"/>
      <c r="G385" s="129"/>
      <c r="H385" s="129"/>
      <c r="I385" s="129"/>
      <c r="J385" s="129"/>
      <c r="K385" s="129"/>
      <c r="L385" s="129"/>
      <c r="M385" s="129"/>
      <c r="N385" s="129"/>
      <c r="O385" s="129"/>
      <c r="P385" s="129"/>
      <c r="Q385" s="129"/>
      <c r="R385" s="129"/>
      <c r="S385" s="129"/>
      <c r="T385" s="129"/>
      <c r="U385" s="129"/>
      <c r="V385" s="129"/>
    </row>
    <row r="386" spans="3:22" x14ac:dyDescent="0.3">
      <c r="C386" s="129"/>
      <c r="D386" s="129"/>
      <c r="E386" s="129"/>
      <c r="F386" s="129"/>
      <c r="G386" s="129"/>
      <c r="H386" s="129"/>
      <c r="I386" s="129"/>
      <c r="J386" s="129"/>
      <c r="K386" s="129"/>
      <c r="L386" s="129"/>
      <c r="M386" s="129"/>
      <c r="N386" s="129"/>
      <c r="O386" s="129"/>
      <c r="P386" s="129"/>
      <c r="Q386" s="129"/>
      <c r="R386" s="129"/>
      <c r="S386" s="129"/>
      <c r="T386" s="129"/>
      <c r="U386" s="129"/>
      <c r="V386" s="129"/>
    </row>
    <row r="387" spans="3:22" x14ac:dyDescent="0.3">
      <c r="C387" s="129"/>
      <c r="D387" s="129"/>
      <c r="E387" s="129"/>
      <c r="F387" s="129"/>
      <c r="G387" s="129"/>
      <c r="H387" s="129"/>
      <c r="I387" s="129"/>
      <c r="J387" s="129"/>
      <c r="K387" s="129"/>
      <c r="L387" s="129"/>
      <c r="M387" s="129"/>
      <c r="N387" s="129"/>
      <c r="O387" s="129"/>
      <c r="P387" s="129"/>
      <c r="Q387" s="129"/>
      <c r="R387" s="129"/>
      <c r="S387" s="129"/>
      <c r="T387" s="129"/>
      <c r="U387" s="129"/>
      <c r="V387" s="129"/>
    </row>
    <row r="388" spans="3:22" x14ac:dyDescent="0.3">
      <c r="C388" s="129"/>
      <c r="D388" s="129"/>
      <c r="E388" s="129"/>
      <c r="F388" s="129"/>
      <c r="G388" s="129"/>
      <c r="H388" s="129"/>
      <c r="I388" s="129"/>
      <c r="J388" s="129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29"/>
      <c r="V388" s="129"/>
    </row>
    <row r="389" spans="3:22" x14ac:dyDescent="0.3">
      <c r="C389" s="129"/>
      <c r="D389" s="129"/>
      <c r="E389" s="129"/>
      <c r="F389" s="129"/>
      <c r="G389" s="129"/>
      <c r="H389" s="129"/>
      <c r="I389" s="129"/>
      <c r="J389" s="129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29"/>
      <c r="V389" s="129"/>
    </row>
    <row r="390" spans="3:22" x14ac:dyDescent="0.3">
      <c r="C390" s="129"/>
      <c r="D390" s="129"/>
      <c r="E390" s="129"/>
      <c r="F390" s="129"/>
      <c r="G390" s="129"/>
      <c r="H390" s="129"/>
      <c r="I390" s="129"/>
      <c r="J390" s="129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29"/>
      <c r="V390" s="129"/>
    </row>
    <row r="391" spans="3:22" x14ac:dyDescent="0.3">
      <c r="C391" s="129"/>
      <c r="D391" s="129"/>
      <c r="E391" s="129"/>
      <c r="F391" s="129"/>
      <c r="G391" s="129"/>
      <c r="H391" s="129"/>
      <c r="I391" s="129"/>
      <c r="J391" s="129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29"/>
      <c r="V391" s="129"/>
    </row>
    <row r="392" spans="3:22" x14ac:dyDescent="0.3">
      <c r="C392" s="129"/>
      <c r="D392" s="129"/>
      <c r="E392" s="129"/>
      <c r="F392" s="129"/>
      <c r="G392" s="129"/>
      <c r="H392" s="129"/>
      <c r="I392" s="129"/>
      <c r="J392" s="129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29"/>
      <c r="V392" s="129"/>
    </row>
    <row r="393" spans="3:22" x14ac:dyDescent="0.3">
      <c r="C393" s="129"/>
      <c r="D393" s="129"/>
      <c r="E393" s="129"/>
      <c r="F393" s="129"/>
      <c r="G393" s="129"/>
      <c r="H393" s="129"/>
      <c r="I393" s="129"/>
      <c r="J393" s="129"/>
      <c r="K393" s="129"/>
      <c r="L393" s="129"/>
      <c r="M393" s="129"/>
      <c r="N393" s="129"/>
      <c r="O393" s="129"/>
      <c r="P393" s="129"/>
      <c r="Q393" s="129"/>
      <c r="R393" s="129"/>
      <c r="S393" s="129"/>
      <c r="T393" s="129"/>
      <c r="U393" s="129"/>
      <c r="V393" s="129"/>
    </row>
    <row r="394" spans="3:22" x14ac:dyDescent="0.3">
      <c r="C394" s="129"/>
      <c r="D394" s="129"/>
      <c r="E394" s="129"/>
      <c r="F394" s="129"/>
      <c r="G394" s="129"/>
      <c r="H394" s="129"/>
      <c r="I394" s="129"/>
      <c r="J394" s="129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29"/>
      <c r="V394" s="129"/>
    </row>
    <row r="395" spans="3:22" x14ac:dyDescent="0.3">
      <c r="C395" s="129"/>
      <c r="D395" s="129"/>
      <c r="E395" s="129"/>
      <c r="F395" s="129"/>
      <c r="G395" s="129"/>
      <c r="H395" s="129"/>
      <c r="I395" s="129"/>
      <c r="J395" s="129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29"/>
      <c r="V395" s="129"/>
    </row>
    <row r="396" spans="3:22" x14ac:dyDescent="0.3">
      <c r="C396" s="129"/>
      <c r="D396" s="129"/>
      <c r="E396" s="129"/>
      <c r="F396" s="129"/>
      <c r="G396" s="129"/>
      <c r="H396" s="129"/>
      <c r="I396" s="129"/>
      <c r="J396" s="129"/>
      <c r="K396" s="129"/>
      <c r="L396" s="129"/>
      <c r="M396" s="129"/>
      <c r="N396" s="129"/>
      <c r="O396" s="129"/>
      <c r="P396" s="129"/>
      <c r="Q396" s="129"/>
      <c r="R396" s="129"/>
      <c r="S396" s="129"/>
      <c r="T396" s="129"/>
      <c r="U396" s="129"/>
      <c r="V396" s="129"/>
    </row>
    <row r="397" spans="3:22" x14ac:dyDescent="0.3">
      <c r="C397" s="129"/>
      <c r="D397" s="129"/>
      <c r="E397" s="129"/>
      <c r="F397" s="129"/>
      <c r="G397" s="129"/>
      <c r="H397" s="129"/>
      <c r="I397" s="129"/>
      <c r="J397" s="129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29"/>
      <c r="V397" s="129"/>
    </row>
    <row r="398" spans="3:22" x14ac:dyDescent="0.3">
      <c r="C398" s="129"/>
      <c r="D398" s="129"/>
      <c r="E398" s="129"/>
      <c r="F398" s="129"/>
      <c r="G398" s="129"/>
      <c r="H398" s="129"/>
      <c r="I398" s="129"/>
      <c r="J398" s="129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29"/>
      <c r="V398" s="129"/>
    </row>
    <row r="399" spans="3:22" x14ac:dyDescent="0.3">
      <c r="C399" s="129"/>
      <c r="D399" s="129"/>
      <c r="E399" s="129"/>
      <c r="F399" s="129"/>
      <c r="G399" s="129"/>
      <c r="H399" s="129"/>
      <c r="I399" s="129"/>
      <c r="J399" s="129"/>
      <c r="K399" s="129"/>
      <c r="L399" s="129"/>
      <c r="M399" s="129"/>
      <c r="N399" s="129"/>
      <c r="O399" s="129"/>
      <c r="P399" s="129"/>
      <c r="Q399" s="129"/>
      <c r="R399" s="129"/>
      <c r="S399" s="129"/>
      <c r="T399" s="129"/>
      <c r="U399" s="129"/>
      <c r="V399" s="129"/>
    </row>
    <row r="400" spans="3:22" x14ac:dyDescent="0.3">
      <c r="C400" s="129"/>
      <c r="D400" s="129"/>
      <c r="E400" s="129"/>
      <c r="F400" s="129"/>
      <c r="G400" s="129"/>
      <c r="H400" s="129"/>
      <c r="I400" s="129"/>
      <c r="J400" s="129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29"/>
      <c r="V400" s="129"/>
    </row>
    <row r="401" spans="3:22" x14ac:dyDescent="0.3">
      <c r="C401" s="129"/>
      <c r="D401" s="129"/>
      <c r="E401" s="129"/>
      <c r="F401" s="129"/>
      <c r="G401" s="129"/>
      <c r="H401" s="129"/>
      <c r="I401" s="129"/>
      <c r="J401" s="129"/>
      <c r="K401" s="129"/>
      <c r="L401" s="129"/>
      <c r="M401" s="129"/>
      <c r="N401" s="129"/>
      <c r="O401" s="129"/>
      <c r="P401" s="129"/>
      <c r="Q401" s="129"/>
      <c r="R401" s="129"/>
      <c r="S401" s="129"/>
      <c r="T401" s="129"/>
      <c r="U401" s="129"/>
      <c r="V401" s="129"/>
    </row>
    <row r="402" spans="3:22" x14ac:dyDescent="0.3">
      <c r="C402" s="129"/>
      <c r="D402" s="129"/>
      <c r="E402" s="129"/>
      <c r="F402" s="129"/>
      <c r="G402" s="129"/>
      <c r="H402" s="129"/>
      <c r="I402" s="129"/>
      <c r="J402" s="129"/>
      <c r="K402" s="129"/>
      <c r="L402" s="129"/>
      <c r="M402" s="129"/>
      <c r="N402" s="129"/>
      <c r="O402" s="129"/>
      <c r="P402" s="129"/>
      <c r="Q402" s="129"/>
      <c r="R402" s="129"/>
      <c r="S402" s="129"/>
      <c r="T402" s="129"/>
      <c r="U402" s="129"/>
      <c r="V402" s="129"/>
    </row>
    <row r="403" spans="3:22" x14ac:dyDescent="0.3">
      <c r="C403" s="129"/>
      <c r="D403" s="129"/>
      <c r="E403" s="129"/>
      <c r="F403" s="129"/>
      <c r="G403" s="129"/>
      <c r="H403" s="129"/>
      <c r="I403" s="129"/>
      <c r="J403" s="129"/>
      <c r="K403" s="129"/>
      <c r="L403" s="129"/>
      <c r="M403" s="129"/>
      <c r="N403" s="129"/>
      <c r="O403" s="129"/>
      <c r="P403" s="129"/>
      <c r="Q403" s="129"/>
      <c r="R403" s="129"/>
      <c r="S403" s="129"/>
      <c r="T403" s="129"/>
      <c r="U403" s="129"/>
      <c r="V403" s="129"/>
    </row>
    <row r="404" spans="3:22" x14ac:dyDescent="0.3">
      <c r="C404" s="129"/>
      <c r="D404" s="129"/>
      <c r="E404" s="129"/>
      <c r="F404" s="129"/>
      <c r="G404" s="129"/>
      <c r="H404" s="129"/>
      <c r="I404" s="129"/>
      <c r="J404" s="129"/>
      <c r="K404" s="129"/>
      <c r="L404" s="129"/>
      <c r="M404" s="129"/>
      <c r="N404" s="129"/>
      <c r="O404" s="129"/>
      <c r="P404" s="129"/>
      <c r="Q404" s="129"/>
      <c r="R404" s="129"/>
      <c r="S404" s="129"/>
      <c r="T404" s="129"/>
      <c r="U404" s="129"/>
      <c r="V404" s="129"/>
    </row>
    <row r="405" spans="3:22" x14ac:dyDescent="0.3">
      <c r="C405" s="129"/>
      <c r="D405" s="129"/>
      <c r="E405" s="129"/>
      <c r="F405" s="129"/>
      <c r="G405" s="129"/>
      <c r="H405" s="129"/>
      <c r="I405" s="129"/>
      <c r="J405" s="129"/>
      <c r="K405" s="129"/>
      <c r="L405" s="129"/>
      <c r="M405" s="129"/>
      <c r="N405" s="129"/>
      <c r="O405" s="129"/>
      <c r="P405" s="129"/>
      <c r="Q405" s="129"/>
      <c r="R405" s="129"/>
      <c r="S405" s="129"/>
      <c r="T405" s="129"/>
      <c r="U405" s="129"/>
      <c r="V405" s="129"/>
    </row>
    <row r="406" spans="3:22" x14ac:dyDescent="0.3">
      <c r="C406" s="129"/>
      <c r="D406" s="129"/>
      <c r="E406" s="129"/>
      <c r="F406" s="129"/>
      <c r="G406" s="129"/>
      <c r="H406" s="129"/>
      <c r="I406" s="129"/>
      <c r="J406" s="129"/>
      <c r="K406" s="129"/>
      <c r="L406" s="129"/>
      <c r="M406" s="129"/>
      <c r="N406" s="129"/>
      <c r="O406" s="129"/>
      <c r="P406" s="129"/>
      <c r="Q406" s="129"/>
      <c r="R406" s="129"/>
      <c r="S406" s="129"/>
      <c r="T406" s="129"/>
      <c r="U406" s="129"/>
      <c r="V406" s="129"/>
    </row>
    <row r="407" spans="3:22" x14ac:dyDescent="0.3">
      <c r="C407" s="129"/>
      <c r="D407" s="129"/>
      <c r="E407" s="129"/>
      <c r="F407" s="129"/>
      <c r="G407" s="129"/>
      <c r="H407" s="129"/>
      <c r="I407" s="129"/>
      <c r="J407" s="129"/>
      <c r="K407" s="129"/>
      <c r="L407" s="129"/>
      <c r="M407" s="129"/>
      <c r="N407" s="129"/>
      <c r="O407" s="129"/>
      <c r="P407" s="129"/>
      <c r="Q407" s="129"/>
      <c r="R407" s="129"/>
      <c r="S407" s="129"/>
      <c r="T407" s="129"/>
      <c r="U407" s="129"/>
      <c r="V407" s="129"/>
    </row>
    <row r="408" spans="3:22" x14ac:dyDescent="0.3">
      <c r="C408" s="129"/>
      <c r="D408" s="129"/>
      <c r="E408" s="129"/>
      <c r="F408" s="129"/>
      <c r="G408" s="129"/>
      <c r="H408" s="129"/>
      <c r="I408" s="129"/>
      <c r="J408" s="129"/>
      <c r="K408" s="129"/>
      <c r="L408" s="129"/>
      <c r="M408" s="129"/>
      <c r="N408" s="129"/>
      <c r="O408" s="129"/>
      <c r="P408" s="129"/>
      <c r="Q408" s="129"/>
      <c r="R408" s="129"/>
      <c r="S408" s="129"/>
      <c r="T408" s="129"/>
      <c r="U408" s="129"/>
      <c r="V408" s="129"/>
    </row>
    <row r="409" spans="3:22" x14ac:dyDescent="0.3">
      <c r="C409" s="129"/>
      <c r="D409" s="129"/>
      <c r="E409" s="129"/>
      <c r="F409" s="129"/>
      <c r="G409" s="129"/>
      <c r="H409" s="129"/>
      <c r="I409" s="129"/>
      <c r="J409" s="129"/>
      <c r="K409" s="129"/>
      <c r="L409" s="129"/>
      <c r="M409" s="129"/>
      <c r="N409" s="129"/>
      <c r="O409" s="129"/>
      <c r="P409" s="129"/>
      <c r="Q409" s="129"/>
      <c r="R409" s="129"/>
      <c r="S409" s="129"/>
      <c r="T409" s="129"/>
      <c r="U409" s="129"/>
      <c r="V409" s="129"/>
    </row>
    <row r="410" spans="3:22" x14ac:dyDescent="0.3">
      <c r="C410" s="129"/>
      <c r="D410" s="129"/>
      <c r="E410" s="129"/>
      <c r="F410" s="129"/>
      <c r="G410" s="129"/>
      <c r="H410" s="129"/>
      <c r="I410" s="129"/>
      <c r="J410" s="129"/>
      <c r="K410" s="129"/>
      <c r="L410" s="129"/>
      <c r="M410" s="129"/>
      <c r="N410" s="129"/>
      <c r="O410" s="129"/>
      <c r="P410" s="129"/>
      <c r="Q410" s="129"/>
      <c r="R410" s="129"/>
      <c r="S410" s="129"/>
      <c r="T410" s="129"/>
      <c r="U410" s="129"/>
      <c r="V410" s="129"/>
    </row>
    <row r="411" spans="3:22" x14ac:dyDescent="0.3">
      <c r="C411" s="129"/>
      <c r="D411" s="129"/>
      <c r="E411" s="129"/>
      <c r="F411" s="129"/>
      <c r="G411" s="129"/>
      <c r="H411" s="129"/>
      <c r="I411" s="129"/>
      <c r="J411" s="129"/>
      <c r="K411" s="129"/>
      <c r="L411" s="129"/>
      <c r="M411" s="129"/>
      <c r="N411" s="129"/>
      <c r="O411" s="129"/>
      <c r="P411" s="129"/>
      <c r="Q411" s="129"/>
      <c r="R411" s="129"/>
      <c r="S411" s="129"/>
      <c r="T411" s="129"/>
      <c r="U411" s="129"/>
      <c r="V411" s="129"/>
    </row>
    <row r="412" spans="3:22" x14ac:dyDescent="0.3">
      <c r="C412" s="129"/>
      <c r="D412" s="129"/>
      <c r="E412" s="129"/>
      <c r="F412" s="129"/>
      <c r="G412" s="129"/>
      <c r="H412" s="129"/>
      <c r="I412" s="129"/>
      <c r="J412" s="129"/>
      <c r="K412" s="129"/>
      <c r="L412" s="129"/>
      <c r="M412" s="129"/>
      <c r="N412" s="129"/>
      <c r="O412" s="129"/>
      <c r="P412" s="129"/>
      <c r="Q412" s="129"/>
      <c r="R412" s="129"/>
      <c r="S412" s="129"/>
      <c r="T412" s="129"/>
      <c r="U412" s="129"/>
      <c r="V412" s="129"/>
    </row>
    <row r="413" spans="3:22" x14ac:dyDescent="0.3">
      <c r="C413" s="129"/>
      <c r="D413" s="129"/>
      <c r="E413" s="129"/>
      <c r="F413" s="129"/>
      <c r="G413" s="129"/>
      <c r="H413" s="129"/>
      <c r="I413" s="129"/>
      <c r="J413" s="129"/>
      <c r="K413" s="129"/>
      <c r="L413" s="129"/>
      <c r="M413" s="129"/>
      <c r="N413" s="129"/>
      <c r="O413" s="129"/>
      <c r="P413" s="129"/>
      <c r="Q413" s="129"/>
      <c r="R413" s="129"/>
      <c r="S413" s="129"/>
      <c r="T413" s="129"/>
      <c r="U413" s="129"/>
      <c r="V413" s="129"/>
    </row>
    <row r="414" spans="3:22" x14ac:dyDescent="0.3">
      <c r="C414" s="129"/>
      <c r="D414" s="129"/>
      <c r="E414" s="129"/>
      <c r="F414" s="129"/>
      <c r="G414" s="129"/>
      <c r="H414" s="129"/>
      <c r="I414" s="129"/>
      <c r="J414" s="129"/>
      <c r="K414" s="129"/>
      <c r="L414" s="129"/>
      <c r="M414" s="129"/>
      <c r="N414" s="129"/>
      <c r="O414" s="129"/>
      <c r="P414" s="129"/>
      <c r="Q414" s="129"/>
      <c r="R414" s="129"/>
      <c r="S414" s="129"/>
      <c r="T414" s="129"/>
      <c r="U414" s="129"/>
      <c r="V414" s="129"/>
    </row>
    <row r="415" spans="3:22" x14ac:dyDescent="0.3">
      <c r="C415" s="129"/>
      <c r="D415" s="129"/>
      <c r="E415" s="129"/>
      <c r="F415" s="129"/>
      <c r="G415" s="129"/>
      <c r="H415" s="129"/>
      <c r="I415" s="129"/>
      <c r="J415" s="129"/>
      <c r="K415" s="129"/>
      <c r="L415" s="129"/>
      <c r="M415" s="129"/>
      <c r="N415" s="129"/>
      <c r="O415" s="129"/>
      <c r="P415" s="129"/>
      <c r="Q415" s="129"/>
      <c r="R415" s="129"/>
      <c r="S415" s="129"/>
      <c r="T415" s="129"/>
      <c r="U415" s="129"/>
      <c r="V415" s="129"/>
    </row>
    <row r="416" spans="3:22" x14ac:dyDescent="0.3">
      <c r="C416" s="129"/>
      <c r="D416" s="129"/>
      <c r="E416" s="129"/>
      <c r="F416" s="129"/>
      <c r="G416" s="129"/>
      <c r="H416" s="129"/>
      <c r="I416" s="129"/>
      <c r="J416" s="129"/>
      <c r="K416" s="129"/>
      <c r="L416" s="129"/>
      <c r="M416" s="129"/>
      <c r="N416" s="129"/>
      <c r="O416" s="129"/>
      <c r="P416" s="129"/>
      <c r="Q416" s="129"/>
      <c r="R416" s="129"/>
      <c r="S416" s="129"/>
      <c r="T416" s="129"/>
      <c r="U416" s="129"/>
      <c r="V416" s="129"/>
    </row>
    <row r="417" spans="3:22" x14ac:dyDescent="0.3">
      <c r="C417" s="129"/>
      <c r="D417" s="129"/>
      <c r="E417" s="129"/>
      <c r="F417" s="129"/>
      <c r="G417" s="129"/>
      <c r="H417" s="129"/>
      <c r="I417" s="129"/>
      <c r="J417" s="129"/>
      <c r="K417" s="129"/>
      <c r="L417" s="129"/>
      <c r="M417" s="129"/>
      <c r="N417" s="129"/>
      <c r="O417" s="129"/>
      <c r="P417" s="129"/>
      <c r="Q417" s="129"/>
      <c r="R417" s="129"/>
      <c r="S417" s="129"/>
      <c r="T417" s="129"/>
      <c r="U417" s="129"/>
      <c r="V417" s="129"/>
    </row>
    <row r="418" spans="3:22" x14ac:dyDescent="0.3">
      <c r="C418" s="129"/>
      <c r="D418" s="129"/>
      <c r="E418" s="129"/>
      <c r="F418" s="129"/>
      <c r="G418" s="129"/>
      <c r="H418" s="129"/>
      <c r="I418" s="129"/>
      <c r="J418" s="129"/>
      <c r="K418" s="129"/>
      <c r="L418" s="129"/>
      <c r="M418" s="129"/>
      <c r="N418" s="129"/>
      <c r="O418" s="129"/>
      <c r="P418" s="129"/>
      <c r="Q418" s="129"/>
      <c r="R418" s="129"/>
      <c r="S418" s="129"/>
      <c r="T418" s="129"/>
      <c r="U418" s="129"/>
      <c r="V418" s="129"/>
    </row>
    <row r="419" spans="3:22" x14ac:dyDescent="0.3">
      <c r="C419" s="129"/>
      <c r="D419" s="129"/>
      <c r="E419" s="129"/>
      <c r="F419" s="129"/>
      <c r="G419" s="129"/>
      <c r="H419" s="129"/>
      <c r="I419" s="129"/>
      <c r="J419" s="129"/>
      <c r="K419" s="129"/>
      <c r="L419" s="129"/>
      <c r="M419" s="129"/>
      <c r="N419" s="129"/>
      <c r="O419" s="129"/>
      <c r="P419" s="129"/>
      <c r="Q419" s="129"/>
      <c r="R419" s="129"/>
      <c r="S419" s="129"/>
      <c r="T419" s="129"/>
      <c r="U419" s="129"/>
      <c r="V419" s="129"/>
    </row>
    <row r="420" spans="3:22" x14ac:dyDescent="0.3">
      <c r="C420" s="129"/>
      <c r="D420" s="129"/>
      <c r="E420" s="129"/>
      <c r="F420" s="129"/>
      <c r="G420" s="129"/>
      <c r="H420" s="129"/>
      <c r="I420" s="129"/>
      <c r="J420" s="129"/>
      <c r="K420" s="129"/>
      <c r="L420" s="129"/>
      <c r="M420" s="129"/>
      <c r="N420" s="129"/>
      <c r="O420" s="129"/>
      <c r="P420" s="129"/>
      <c r="Q420" s="129"/>
      <c r="R420" s="129"/>
      <c r="S420" s="129"/>
      <c r="T420" s="129"/>
      <c r="U420" s="129"/>
      <c r="V420" s="129"/>
    </row>
    <row r="421" spans="3:22" x14ac:dyDescent="0.3">
      <c r="C421" s="129"/>
      <c r="D421" s="129"/>
      <c r="E421" s="129"/>
      <c r="F421" s="129"/>
      <c r="G421" s="129"/>
      <c r="H421" s="129"/>
      <c r="I421" s="129"/>
      <c r="J421" s="129"/>
      <c r="K421" s="129"/>
      <c r="L421" s="129"/>
      <c r="M421" s="129"/>
      <c r="N421" s="129"/>
      <c r="O421" s="129"/>
      <c r="P421" s="129"/>
      <c r="Q421" s="129"/>
      <c r="R421" s="129"/>
      <c r="S421" s="129"/>
      <c r="T421" s="129"/>
      <c r="U421" s="129"/>
      <c r="V421" s="129"/>
    </row>
    <row r="422" spans="3:22" x14ac:dyDescent="0.3">
      <c r="C422" s="129"/>
      <c r="D422" s="129"/>
      <c r="E422" s="129"/>
      <c r="F422" s="129"/>
      <c r="G422" s="129"/>
      <c r="H422" s="129"/>
      <c r="I422" s="129"/>
      <c r="J422" s="129"/>
      <c r="K422" s="129"/>
      <c r="L422" s="129"/>
      <c r="M422" s="129"/>
      <c r="N422" s="129"/>
      <c r="O422" s="129"/>
      <c r="P422" s="129"/>
      <c r="Q422" s="129"/>
      <c r="R422" s="129"/>
      <c r="S422" s="129"/>
      <c r="T422" s="129"/>
      <c r="U422" s="129"/>
      <c r="V422" s="129"/>
    </row>
    <row r="423" spans="3:22" x14ac:dyDescent="0.3">
      <c r="C423" s="129"/>
      <c r="D423" s="129"/>
      <c r="E423" s="129"/>
      <c r="F423" s="129"/>
      <c r="G423" s="129"/>
      <c r="H423" s="129"/>
      <c r="I423" s="129"/>
      <c r="J423" s="129"/>
      <c r="K423" s="129"/>
      <c r="L423" s="129"/>
      <c r="M423" s="129"/>
      <c r="N423" s="129"/>
      <c r="O423" s="129"/>
      <c r="P423" s="129"/>
      <c r="Q423" s="129"/>
      <c r="R423" s="129"/>
      <c r="S423" s="129"/>
      <c r="T423" s="129"/>
      <c r="U423" s="129"/>
      <c r="V423" s="129"/>
    </row>
    <row r="424" spans="3:22" x14ac:dyDescent="0.3">
      <c r="C424" s="129"/>
      <c r="D424" s="129"/>
      <c r="E424" s="129"/>
      <c r="F424" s="129"/>
      <c r="G424" s="129"/>
      <c r="H424" s="129"/>
      <c r="I424" s="129"/>
      <c r="J424" s="129"/>
      <c r="K424" s="129"/>
      <c r="L424" s="129"/>
      <c r="M424" s="129"/>
      <c r="N424" s="129"/>
      <c r="O424" s="129"/>
      <c r="P424" s="129"/>
      <c r="Q424" s="129"/>
      <c r="R424" s="129"/>
      <c r="S424" s="129"/>
      <c r="T424" s="129"/>
      <c r="U424" s="129"/>
      <c r="V424" s="129"/>
    </row>
    <row r="425" spans="3:22" x14ac:dyDescent="0.3">
      <c r="C425" s="129"/>
      <c r="D425" s="129"/>
      <c r="E425" s="129"/>
      <c r="F425" s="129"/>
      <c r="G425" s="129"/>
      <c r="H425" s="129"/>
      <c r="I425" s="129"/>
      <c r="J425" s="129"/>
      <c r="K425" s="129"/>
      <c r="L425" s="129"/>
      <c r="M425" s="129"/>
      <c r="N425" s="129"/>
      <c r="O425" s="129"/>
      <c r="P425" s="129"/>
      <c r="Q425" s="129"/>
      <c r="R425" s="129"/>
      <c r="S425" s="129"/>
      <c r="T425" s="129"/>
      <c r="U425" s="129"/>
      <c r="V425" s="129"/>
    </row>
    <row r="426" spans="3:22" x14ac:dyDescent="0.3">
      <c r="C426" s="129"/>
      <c r="D426" s="129"/>
      <c r="E426" s="129"/>
      <c r="F426" s="129"/>
      <c r="G426" s="129"/>
      <c r="H426" s="129"/>
      <c r="I426" s="129"/>
      <c r="J426" s="129"/>
      <c r="K426" s="129"/>
      <c r="L426" s="129"/>
      <c r="M426" s="129"/>
      <c r="N426" s="129"/>
      <c r="O426" s="129"/>
      <c r="P426" s="129"/>
      <c r="Q426" s="129"/>
      <c r="R426" s="129"/>
      <c r="S426" s="129"/>
      <c r="T426" s="129"/>
      <c r="U426" s="129"/>
      <c r="V426" s="129"/>
    </row>
    <row r="427" spans="3:22" x14ac:dyDescent="0.3">
      <c r="C427" s="129"/>
      <c r="D427" s="129"/>
      <c r="E427" s="129"/>
      <c r="F427" s="129"/>
      <c r="G427" s="129"/>
      <c r="H427" s="129"/>
      <c r="I427" s="129"/>
      <c r="J427" s="129"/>
      <c r="K427" s="129"/>
      <c r="L427" s="129"/>
      <c r="M427" s="129"/>
      <c r="N427" s="129"/>
      <c r="O427" s="129"/>
      <c r="P427" s="129"/>
      <c r="Q427" s="129"/>
      <c r="R427" s="129"/>
      <c r="S427" s="129"/>
      <c r="T427" s="129"/>
      <c r="U427" s="129"/>
      <c r="V427" s="129"/>
    </row>
    <row r="428" spans="3:22" x14ac:dyDescent="0.3">
      <c r="C428" s="129"/>
      <c r="D428" s="129"/>
      <c r="E428" s="129"/>
      <c r="F428" s="129"/>
      <c r="G428" s="129"/>
      <c r="H428" s="129"/>
      <c r="I428" s="129"/>
      <c r="J428" s="129"/>
      <c r="K428" s="129"/>
      <c r="L428" s="129"/>
      <c r="M428" s="129"/>
      <c r="N428" s="129"/>
      <c r="O428" s="129"/>
      <c r="P428" s="129"/>
      <c r="Q428" s="129"/>
      <c r="R428" s="129"/>
      <c r="S428" s="129"/>
      <c r="T428" s="129"/>
      <c r="U428" s="129"/>
      <c r="V428" s="129"/>
    </row>
    <row r="429" spans="3:22" x14ac:dyDescent="0.3">
      <c r="C429" s="129"/>
      <c r="D429" s="129"/>
      <c r="E429" s="129"/>
      <c r="F429" s="129"/>
      <c r="G429" s="129"/>
      <c r="H429" s="129"/>
      <c r="I429" s="129"/>
      <c r="J429" s="129"/>
      <c r="K429" s="129"/>
      <c r="L429" s="129"/>
      <c r="M429" s="129"/>
      <c r="N429" s="129"/>
      <c r="O429" s="129"/>
      <c r="P429" s="129"/>
      <c r="Q429" s="129"/>
      <c r="R429" s="129"/>
      <c r="S429" s="129"/>
      <c r="T429" s="129"/>
      <c r="U429" s="129"/>
      <c r="V429" s="129"/>
    </row>
    <row r="430" spans="3:22" x14ac:dyDescent="0.3">
      <c r="C430" s="129"/>
      <c r="D430" s="129"/>
      <c r="E430" s="129"/>
      <c r="F430" s="129"/>
      <c r="G430" s="129"/>
      <c r="H430" s="129"/>
      <c r="I430" s="129"/>
      <c r="J430" s="129"/>
      <c r="K430" s="129"/>
      <c r="L430" s="129"/>
      <c r="M430" s="129"/>
      <c r="N430" s="129"/>
      <c r="O430" s="129"/>
      <c r="P430" s="129"/>
      <c r="Q430" s="129"/>
      <c r="R430" s="129"/>
      <c r="S430" s="129"/>
      <c r="T430" s="129"/>
      <c r="U430" s="129"/>
      <c r="V430" s="129"/>
    </row>
    <row r="431" spans="3:22" x14ac:dyDescent="0.3">
      <c r="C431" s="129"/>
      <c r="D431" s="129"/>
      <c r="E431" s="129"/>
      <c r="F431" s="129"/>
      <c r="G431" s="129"/>
      <c r="H431" s="129"/>
      <c r="I431" s="129"/>
      <c r="J431" s="129"/>
      <c r="K431" s="129"/>
      <c r="L431" s="129"/>
      <c r="M431" s="129"/>
      <c r="N431" s="129"/>
      <c r="O431" s="129"/>
      <c r="P431" s="129"/>
      <c r="Q431" s="129"/>
      <c r="R431" s="129"/>
      <c r="S431" s="129"/>
      <c r="T431" s="129"/>
      <c r="U431" s="129"/>
      <c r="V431" s="129"/>
    </row>
    <row r="432" spans="3:22" x14ac:dyDescent="0.3">
      <c r="C432" s="129"/>
      <c r="D432" s="129"/>
      <c r="E432" s="129"/>
      <c r="F432" s="129"/>
      <c r="G432" s="129"/>
      <c r="H432" s="129"/>
      <c r="I432" s="129"/>
      <c r="J432" s="129"/>
      <c r="K432" s="129"/>
      <c r="L432" s="129"/>
      <c r="M432" s="129"/>
      <c r="N432" s="129"/>
      <c r="O432" s="129"/>
      <c r="P432" s="129"/>
      <c r="Q432" s="129"/>
      <c r="R432" s="129"/>
      <c r="S432" s="129"/>
      <c r="T432" s="129"/>
      <c r="U432" s="129"/>
      <c r="V432" s="129"/>
    </row>
    <row r="433" spans="3:22" x14ac:dyDescent="0.3">
      <c r="C433" s="129"/>
      <c r="D433" s="129"/>
      <c r="E433" s="129"/>
      <c r="F433" s="129"/>
      <c r="G433" s="129"/>
      <c r="H433" s="129"/>
      <c r="I433" s="129"/>
      <c r="J433" s="129"/>
      <c r="K433" s="129"/>
      <c r="L433" s="129"/>
      <c r="M433" s="129"/>
      <c r="N433" s="129"/>
      <c r="O433" s="129"/>
      <c r="P433" s="129"/>
      <c r="Q433" s="129"/>
      <c r="R433" s="129"/>
      <c r="S433" s="129"/>
      <c r="T433" s="129"/>
      <c r="U433" s="129"/>
      <c r="V433" s="129"/>
    </row>
    <row r="434" spans="3:22" x14ac:dyDescent="0.3">
      <c r="C434" s="129"/>
      <c r="D434" s="129"/>
      <c r="E434" s="129"/>
      <c r="F434" s="129"/>
      <c r="G434" s="129"/>
      <c r="H434" s="129"/>
      <c r="I434" s="129"/>
      <c r="J434" s="129"/>
      <c r="K434" s="129"/>
      <c r="L434" s="129"/>
      <c r="M434" s="129"/>
      <c r="N434" s="129"/>
      <c r="O434" s="129"/>
      <c r="P434" s="129"/>
      <c r="Q434" s="129"/>
      <c r="R434" s="129"/>
      <c r="S434" s="129"/>
      <c r="T434" s="129"/>
      <c r="U434" s="129"/>
      <c r="V434" s="129"/>
    </row>
    <row r="435" spans="3:22" x14ac:dyDescent="0.3">
      <c r="C435" s="129"/>
      <c r="D435" s="129"/>
      <c r="E435" s="129"/>
      <c r="F435" s="129"/>
      <c r="G435" s="129"/>
      <c r="H435" s="129"/>
      <c r="I435" s="129"/>
      <c r="J435" s="129"/>
      <c r="K435" s="129"/>
      <c r="L435" s="129"/>
      <c r="M435" s="129"/>
      <c r="N435" s="129"/>
      <c r="O435" s="129"/>
      <c r="P435" s="129"/>
      <c r="Q435" s="129"/>
      <c r="R435" s="129"/>
      <c r="S435" s="129"/>
      <c r="T435" s="129"/>
      <c r="U435" s="129"/>
      <c r="V435" s="129"/>
    </row>
    <row r="436" spans="3:22" x14ac:dyDescent="0.3">
      <c r="C436" s="129"/>
      <c r="D436" s="129"/>
      <c r="E436" s="129"/>
      <c r="F436" s="129"/>
      <c r="G436" s="129"/>
      <c r="H436" s="129"/>
      <c r="I436" s="129"/>
      <c r="J436" s="129"/>
      <c r="K436" s="129"/>
      <c r="L436" s="129"/>
      <c r="M436" s="129"/>
      <c r="N436" s="129"/>
      <c r="O436" s="129"/>
      <c r="P436" s="129"/>
      <c r="Q436" s="129"/>
      <c r="R436" s="129"/>
      <c r="S436" s="129"/>
      <c r="T436" s="129"/>
      <c r="U436" s="129"/>
      <c r="V436" s="129"/>
    </row>
    <row r="437" spans="3:22" x14ac:dyDescent="0.3">
      <c r="C437" s="129"/>
      <c r="D437" s="129"/>
      <c r="E437" s="129"/>
      <c r="F437" s="129"/>
      <c r="G437" s="129"/>
      <c r="H437" s="129"/>
      <c r="I437" s="129"/>
      <c r="J437" s="129"/>
      <c r="K437" s="129"/>
      <c r="L437" s="129"/>
      <c r="M437" s="129"/>
      <c r="N437" s="129"/>
      <c r="O437" s="129"/>
      <c r="P437" s="129"/>
      <c r="Q437" s="129"/>
      <c r="R437" s="129"/>
      <c r="S437" s="129"/>
      <c r="T437" s="129"/>
      <c r="U437" s="129"/>
      <c r="V437" s="129"/>
    </row>
    <row r="438" spans="3:22" x14ac:dyDescent="0.3">
      <c r="C438" s="129"/>
      <c r="D438" s="129"/>
      <c r="E438" s="129"/>
      <c r="F438" s="129"/>
      <c r="G438" s="129"/>
      <c r="H438" s="129"/>
      <c r="I438" s="129"/>
      <c r="J438" s="129"/>
      <c r="K438" s="129"/>
      <c r="L438" s="129"/>
      <c r="M438" s="129"/>
      <c r="N438" s="129"/>
      <c r="O438" s="129"/>
      <c r="P438" s="129"/>
      <c r="Q438" s="129"/>
      <c r="R438" s="129"/>
      <c r="S438" s="129"/>
      <c r="T438" s="129"/>
      <c r="U438" s="129"/>
      <c r="V438" s="129"/>
    </row>
    <row r="439" spans="3:22" x14ac:dyDescent="0.3">
      <c r="C439" s="129"/>
      <c r="D439" s="129"/>
      <c r="E439" s="129"/>
      <c r="F439" s="129"/>
      <c r="G439" s="129"/>
      <c r="H439" s="129"/>
      <c r="I439" s="129"/>
      <c r="J439" s="129"/>
      <c r="K439" s="129"/>
      <c r="L439" s="129"/>
      <c r="M439" s="129"/>
      <c r="N439" s="129"/>
      <c r="O439" s="129"/>
      <c r="P439" s="129"/>
      <c r="Q439" s="129"/>
      <c r="R439" s="129"/>
      <c r="S439" s="129"/>
      <c r="T439" s="129"/>
      <c r="U439" s="129"/>
      <c r="V439" s="129"/>
    </row>
    <row r="440" spans="3:22" x14ac:dyDescent="0.3">
      <c r="C440" s="129"/>
      <c r="D440" s="129"/>
      <c r="E440" s="129"/>
      <c r="F440" s="129"/>
      <c r="G440" s="129"/>
      <c r="H440" s="129"/>
      <c r="I440" s="129"/>
      <c r="J440" s="129"/>
      <c r="K440" s="129"/>
      <c r="L440" s="129"/>
      <c r="M440" s="129"/>
      <c r="N440" s="129"/>
      <c r="O440" s="129"/>
      <c r="P440" s="129"/>
      <c r="Q440" s="129"/>
      <c r="R440" s="129"/>
      <c r="S440" s="129"/>
      <c r="T440" s="129"/>
      <c r="U440" s="129"/>
      <c r="V440" s="129"/>
    </row>
    <row r="441" spans="3:22" x14ac:dyDescent="0.3">
      <c r="C441" s="129"/>
      <c r="D441" s="129"/>
      <c r="E441" s="129"/>
      <c r="F441" s="129"/>
      <c r="G441" s="129"/>
      <c r="H441" s="129"/>
      <c r="I441" s="129"/>
      <c r="J441" s="129"/>
      <c r="K441" s="129"/>
      <c r="L441" s="129"/>
      <c r="M441" s="129"/>
      <c r="N441" s="129"/>
      <c r="O441" s="129"/>
      <c r="P441" s="129"/>
      <c r="Q441" s="129"/>
      <c r="R441" s="129"/>
      <c r="S441" s="129"/>
      <c r="T441" s="129"/>
      <c r="U441" s="129"/>
      <c r="V441" s="129"/>
    </row>
    <row r="442" spans="3:22" x14ac:dyDescent="0.3">
      <c r="C442" s="129"/>
      <c r="D442" s="129"/>
      <c r="E442" s="129"/>
      <c r="F442" s="129"/>
      <c r="G442" s="129"/>
      <c r="H442" s="129"/>
      <c r="I442" s="129"/>
      <c r="J442" s="129"/>
      <c r="K442" s="129"/>
      <c r="L442" s="129"/>
      <c r="M442" s="129"/>
      <c r="N442" s="129"/>
      <c r="O442" s="129"/>
      <c r="P442" s="129"/>
      <c r="Q442" s="129"/>
      <c r="R442" s="129"/>
      <c r="S442" s="129"/>
      <c r="T442" s="129"/>
      <c r="U442" s="129"/>
      <c r="V442" s="129"/>
    </row>
    <row r="443" spans="3:22" x14ac:dyDescent="0.3">
      <c r="C443" s="129"/>
      <c r="D443" s="129"/>
      <c r="E443" s="129"/>
      <c r="F443" s="129"/>
      <c r="G443" s="129"/>
      <c r="H443" s="129"/>
      <c r="I443" s="129"/>
      <c r="J443" s="129"/>
      <c r="K443" s="129"/>
      <c r="L443" s="129"/>
      <c r="M443" s="129"/>
      <c r="N443" s="129"/>
      <c r="O443" s="129"/>
      <c r="P443" s="129"/>
      <c r="Q443" s="129"/>
      <c r="R443" s="129"/>
      <c r="S443" s="129"/>
      <c r="T443" s="129"/>
      <c r="U443" s="129"/>
      <c r="V443" s="129"/>
    </row>
    <row r="444" spans="3:22" x14ac:dyDescent="0.3">
      <c r="C444" s="129"/>
      <c r="D444" s="129"/>
      <c r="E444" s="129"/>
      <c r="F444" s="129"/>
      <c r="G444" s="129"/>
      <c r="H444" s="129"/>
      <c r="I444" s="129"/>
      <c r="J444" s="129"/>
      <c r="K444" s="129"/>
      <c r="L444" s="129"/>
      <c r="M444" s="129"/>
      <c r="N444" s="129"/>
      <c r="O444" s="129"/>
      <c r="P444" s="129"/>
      <c r="Q444" s="129"/>
      <c r="R444" s="129"/>
      <c r="S444" s="129"/>
      <c r="T444" s="129"/>
      <c r="U444" s="129"/>
      <c r="V444" s="129"/>
    </row>
    <row r="445" spans="3:22" x14ac:dyDescent="0.3">
      <c r="C445" s="129"/>
      <c r="D445" s="129"/>
      <c r="E445" s="129"/>
      <c r="F445" s="129"/>
      <c r="G445" s="129"/>
      <c r="H445" s="129"/>
      <c r="I445" s="129"/>
      <c r="J445" s="129"/>
      <c r="K445" s="129"/>
      <c r="L445" s="129"/>
      <c r="M445" s="129"/>
      <c r="N445" s="129"/>
      <c r="O445" s="129"/>
      <c r="P445" s="129"/>
      <c r="Q445" s="129"/>
      <c r="R445" s="129"/>
      <c r="S445" s="129"/>
      <c r="T445" s="129"/>
      <c r="U445" s="129"/>
      <c r="V445" s="129"/>
    </row>
    <row r="446" spans="3:22" x14ac:dyDescent="0.3">
      <c r="C446" s="129"/>
      <c r="D446" s="129"/>
      <c r="E446" s="129"/>
      <c r="F446" s="129"/>
      <c r="G446" s="129"/>
      <c r="H446" s="129"/>
      <c r="I446" s="129"/>
      <c r="J446" s="129"/>
      <c r="K446" s="129"/>
      <c r="L446" s="129"/>
      <c r="M446" s="129"/>
      <c r="N446" s="129"/>
      <c r="O446" s="129"/>
      <c r="P446" s="129"/>
      <c r="Q446" s="129"/>
      <c r="R446" s="129"/>
      <c r="S446" s="129"/>
      <c r="T446" s="129"/>
      <c r="U446" s="129"/>
      <c r="V446" s="129"/>
    </row>
    <row r="447" spans="3:22" x14ac:dyDescent="0.3">
      <c r="C447" s="129"/>
      <c r="D447" s="129"/>
      <c r="E447" s="129"/>
      <c r="F447" s="129"/>
      <c r="G447" s="129"/>
      <c r="H447" s="129"/>
      <c r="I447" s="129"/>
      <c r="J447" s="129"/>
      <c r="K447" s="129"/>
      <c r="L447" s="129"/>
      <c r="M447" s="129"/>
      <c r="N447" s="129"/>
      <c r="O447" s="129"/>
      <c r="P447" s="129"/>
      <c r="Q447" s="129"/>
      <c r="R447" s="129"/>
      <c r="S447" s="129"/>
      <c r="T447" s="129"/>
      <c r="U447" s="129"/>
      <c r="V447" s="129"/>
    </row>
    <row r="448" spans="3:22" x14ac:dyDescent="0.3">
      <c r="C448" s="129"/>
      <c r="D448" s="129"/>
      <c r="E448" s="129"/>
      <c r="F448" s="129"/>
      <c r="G448" s="129"/>
      <c r="H448" s="129"/>
      <c r="I448" s="129"/>
      <c r="J448" s="129"/>
      <c r="K448" s="129"/>
      <c r="L448" s="129"/>
      <c r="M448" s="129"/>
      <c r="N448" s="129"/>
      <c r="O448" s="129"/>
      <c r="P448" s="129"/>
      <c r="Q448" s="129"/>
      <c r="R448" s="129"/>
      <c r="S448" s="129"/>
      <c r="T448" s="129"/>
      <c r="U448" s="129"/>
      <c r="V448" s="129"/>
    </row>
    <row r="449" spans="3:22" x14ac:dyDescent="0.3">
      <c r="C449" s="129"/>
      <c r="D449" s="129"/>
      <c r="E449" s="129"/>
      <c r="F449" s="129"/>
      <c r="G449" s="129"/>
      <c r="H449" s="129"/>
      <c r="I449" s="129"/>
      <c r="J449" s="129"/>
      <c r="K449" s="129"/>
      <c r="L449" s="129"/>
      <c r="M449" s="129"/>
      <c r="N449" s="129"/>
      <c r="O449" s="129"/>
      <c r="P449" s="129"/>
      <c r="Q449" s="129"/>
      <c r="R449" s="129"/>
      <c r="S449" s="129"/>
      <c r="T449" s="129"/>
      <c r="U449" s="129"/>
      <c r="V449" s="129"/>
    </row>
    <row r="450" spans="3:22" x14ac:dyDescent="0.3">
      <c r="C450" s="129"/>
      <c r="D450" s="129"/>
      <c r="E450" s="129"/>
      <c r="F450" s="129"/>
      <c r="G450" s="129"/>
      <c r="H450" s="129"/>
      <c r="I450" s="129"/>
      <c r="J450" s="129"/>
      <c r="K450" s="129"/>
      <c r="L450" s="129"/>
      <c r="M450" s="129"/>
      <c r="N450" s="129"/>
      <c r="O450" s="129"/>
      <c r="P450" s="129"/>
      <c r="Q450" s="129"/>
      <c r="R450" s="129"/>
      <c r="S450" s="129"/>
      <c r="T450" s="129"/>
      <c r="U450" s="129"/>
      <c r="V450" s="129"/>
    </row>
    <row r="451" spans="3:22" x14ac:dyDescent="0.3">
      <c r="C451" s="129"/>
      <c r="D451" s="129"/>
      <c r="E451" s="129"/>
      <c r="F451" s="129"/>
      <c r="G451" s="129"/>
      <c r="H451" s="129"/>
      <c r="I451" s="129"/>
      <c r="J451" s="129"/>
      <c r="K451" s="129"/>
      <c r="L451" s="129"/>
      <c r="M451" s="129"/>
      <c r="N451" s="129"/>
      <c r="O451" s="129"/>
      <c r="P451" s="129"/>
      <c r="Q451" s="129"/>
      <c r="R451" s="129"/>
      <c r="S451" s="129"/>
      <c r="T451" s="129"/>
      <c r="U451" s="129"/>
      <c r="V451" s="129"/>
    </row>
    <row r="452" spans="3:22" x14ac:dyDescent="0.3">
      <c r="C452" s="129"/>
      <c r="D452" s="129"/>
      <c r="E452" s="129"/>
      <c r="F452" s="129"/>
      <c r="G452" s="129"/>
      <c r="H452" s="129"/>
      <c r="I452" s="129"/>
      <c r="J452" s="129"/>
      <c r="K452" s="129"/>
      <c r="L452" s="129"/>
      <c r="M452" s="129"/>
      <c r="N452" s="129"/>
      <c r="O452" s="129"/>
      <c r="P452" s="129"/>
      <c r="Q452" s="129"/>
      <c r="R452" s="129"/>
      <c r="S452" s="129"/>
      <c r="T452" s="129"/>
      <c r="U452" s="129"/>
      <c r="V452" s="129"/>
    </row>
    <row r="453" spans="3:22" x14ac:dyDescent="0.3">
      <c r="C453" s="129"/>
      <c r="D453" s="129"/>
      <c r="E453" s="129"/>
      <c r="F453" s="129"/>
      <c r="G453" s="129"/>
      <c r="H453" s="129"/>
      <c r="I453" s="129"/>
      <c r="J453" s="129"/>
      <c r="K453" s="129"/>
      <c r="L453" s="129"/>
      <c r="M453" s="129"/>
      <c r="N453" s="129"/>
      <c r="O453" s="129"/>
      <c r="P453" s="129"/>
      <c r="Q453" s="129"/>
      <c r="R453" s="129"/>
      <c r="S453" s="129"/>
      <c r="T453" s="129"/>
      <c r="U453" s="129"/>
      <c r="V453" s="129"/>
    </row>
    <row r="454" spans="3:22" x14ac:dyDescent="0.3">
      <c r="C454" s="129"/>
      <c r="D454" s="129"/>
      <c r="E454" s="129"/>
      <c r="F454" s="129"/>
      <c r="G454" s="129"/>
      <c r="H454" s="129"/>
      <c r="I454" s="129"/>
      <c r="J454" s="129"/>
      <c r="K454" s="129"/>
      <c r="L454" s="129"/>
      <c r="M454" s="129"/>
      <c r="N454" s="129"/>
      <c r="O454" s="129"/>
      <c r="P454" s="129"/>
      <c r="Q454" s="129"/>
      <c r="R454" s="129"/>
      <c r="S454" s="129"/>
      <c r="T454" s="129"/>
      <c r="U454" s="129"/>
      <c r="V454" s="129"/>
    </row>
    <row r="455" spans="3:22" x14ac:dyDescent="0.3">
      <c r="C455" s="129"/>
      <c r="D455" s="129"/>
      <c r="E455" s="129"/>
      <c r="F455" s="129"/>
      <c r="G455" s="129"/>
      <c r="H455" s="129"/>
      <c r="I455" s="129"/>
      <c r="J455" s="129"/>
      <c r="K455" s="129"/>
      <c r="L455" s="129"/>
      <c r="M455" s="129"/>
      <c r="N455" s="129"/>
      <c r="O455" s="129"/>
      <c r="P455" s="129"/>
      <c r="Q455" s="129"/>
      <c r="R455" s="129"/>
      <c r="S455" s="129"/>
      <c r="T455" s="129"/>
      <c r="U455" s="129"/>
      <c r="V455" s="129"/>
    </row>
    <row r="456" spans="3:22" x14ac:dyDescent="0.3">
      <c r="C456" s="129"/>
      <c r="D456" s="129"/>
      <c r="E456" s="129"/>
      <c r="F456" s="129"/>
      <c r="G456" s="129"/>
      <c r="H456" s="129"/>
      <c r="I456" s="129"/>
      <c r="J456" s="129"/>
      <c r="K456" s="129"/>
      <c r="L456" s="129"/>
      <c r="M456" s="129"/>
      <c r="N456" s="129"/>
      <c r="O456" s="129"/>
      <c r="P456" s="129"/>
      <c r="Q456" s="129"/>
      <c r="R456" s="129"/>
      <c r="S456" s="129"/>
      <c r="T456" s="129"/>
      <c r="U456" s="129"/>
      <c r="V456" s="129"/>
    </row>
    <row r="457" spans="3:22" x14ac:dyDescent="0.3">
      <c r="C457" s="129"/>
      <c r="D457" s="129"/>
      <c r="E457" s="129"/>
      <c r="F457" s="129"/>
      <c r="G457" s="129"/>
      <c r="H457" s="129"/>
      <c r="I457" s="129"/>
      <c r="J457" s="129"/>
      <c r="K457" s="129"/>
      <c r="L457" s="129"/>
      <c r="M457" s="129"/>
      <c r="N457" s="129"/>
      <c r="O457" s="129"/>
      <c r="P457" s="129"/>
      <c r="Q457" s="129"/>
      <c r="R457" s="129"/>
      <c r="S457" s="129"/>
      <c r="T457" s="129"/>
      <c r="U457" s="129"/>
      <c r="V457" s="129"/>
    </row>
    <row r="458" spans="3:22" x14ac:dyDescent="0.3">
      <c r="C458" s="129"/>
      <c r="D458" s="129"/>
      <c r="E458" s="129"/>
      <c r="F458" s="129"/>
      <c r="G458" s="129"/>
      <c r="H458" s="129"/>
      <c r="I458" s="129"/>
      <c r="J458" s="129"/>
      <c r="K458" s="129"/>
      <c r="L458" s="129"/>
      <c r="M458" s="129"/>
      <c r="N458" s="129"/>
      <c r="O458" s="129"/>
      <c r="P458" s="129"/>
      <c r="Q458" s="129"/>
      <c r="R458" s="129"/>
      <c r="S458" s="129"/>
      <c r="T458" s="129"/>
      <c r="U458" s="129"/>
      <c r="V458" s="129"/>
    </row>
    <row r="459" spans="3:22" x14ac:dyDescent="0.3">
      <c r="C459" s="129"/>
      <c r="D459" s="129"/>
      <c r="E459" s="129"/>
      <c r="F459" s="129"/>
      <c r="G459" s="129"/>
      <c r="H459" s="129"/>
      <c r="I459" s="129"/>
      <c r="J459" s="129"/>
      <c r="K459" s="129"/>
      <c r="L459" s="129"/>
      <c r="M459" s="129"/>
      <c r="N459" s="129"/>
      <c r="O459" s="129"/>
      <c r="P459" s="129"/>
      <c r="Q459" s="129"/>
      <c r="R459" s="129"/>
      <c r="S459" s="129"/>
      <c r="T459" s="129"/>
      <c r="U459" s="129"/>
      <c r="V459" s="129"/>
    </row>
    <row r="460" spans="3:22" x14ac:dyDescent="0.3">
      <c r="C460" s="129"/>
      <c r="D460" s="129"/>
      <c r="E460" s="129"/>
      <c r="F460" s="129"/>
      <c r="G460" s="129"/>
      <c r="H460" s="129"/>
      <c r="I460" s="129"/>
      <c r="J460" s="129"/>
      <c r="K460" s="129"/>
      <c r="L460" s="129"/>
      <c r="M460" s="129"/>
      <c r="N460" s="129"/>
      <c r="O460" s="129"/>
      <c r="P460" s="129"/>
      <c r="Q460" s="129"/>
      <c r="R460" s="129"/>
      <c r="S460" s="129"/>
      <c r="T460" s="129"/>
      <c r="U460" s="129"/>
      <c r="V460" s="129"/>
    </row>
    <row r="461" spans="3:22" x14ac:dyDescent="0.3">
      <c r="C461" s="129"/>
      <c r="D461" s="129"/>
      <c r="E461" s="129"/>
      <c r="F461" s="129"/>
      <c r="G461" s="129"/>
      <c r="H461" s="129"/>
      <c r="I461" s="129"/>
      <c r="J461" s="129"/>
      <c r="K461" s="129"/>
      <c r="L461" s="129"/>
      <c r="M461" s="129"/>
      <c r="N461" s="129"/>
      <c r="O461" s="129"/>
      <c r="P461" s="129"/>
      <c r="Q461" s="129"/>
      <c r="R461" s="129"/>
      <c r="S461" s="129"/>
      <c r="T461" s="129"/>
      <c r="U461" s="129"/>
      <c r="V461" s="129"/>
    </row>
    <row r="462" spans="3:22" x14ac:dyDescent="0.3">
      <c r="C462" s="129"/>
      <c r="D462" s="129"/>
      <c r="E462" s="129"/>
      <c r="F462" s="129"/>
      <c r="G462" s="129"/>
      <c r="H462" s="129"/>
      <c r="I462" s="129"/>
      <c r="J462" s="129"/>
      <c r="K462" s="129"/>
      <c r="L462" s="129"/>
      <c r="M462" s="129"/>
      <c r="N462" s="129"/>
      <c r="O462" s="129"/>
      <c r="P462" s="129"/>
      <c r="Q462" s="129"/>
      <c r="R462" s="129"/>
      <c r="S462" s="129"/>
      <c r="T462" s="129"/>
      <c r="U462" s="129"/>
      <c r="V462" s="129"/>
    </row>
    <row r="463" spans="3:22" x14ac:dyDescent="0.3">
      <c r="C463" s="129"/>
      <c r="D463" s="129"/>
      <c r="E463" s="129"/>
      <c r="F463" s="129"/>
      <c r="G463" s="129"/>
      <c r="H463" s="129"/>
      <c r="I463" s="129"/>
      <c r="J463" s="129"/>
      <c r="K463" s="129"/>
      <c r="L463" s="129"/>
      <c r="M463" s="129"/>
      <c r="N463" s="129"/>
      <c r="O463" s="129"/>
      <c r="P463" s="129"/>
      <c r="Q463" s="129"/>
      <c r="R463" s="129"/>
      <c r="S463" s="129"/>
      <c r="T463" s="129"/>
      <c r="U463" s="129"/>
      <c r="V463" s="129"/>
    </row>
    <row r="464" spans="3:22" x14ac:dyDescent="0.3">
      <c r="C464" s="129"/>
      <c r="D464" s="129"/>
      <c r="E464" s="129"/>
      <c r="F464" s="129"/>
      <c r="G464" s="129"/>
      <c r="H464" s="129"/>
      <c r="I464" s="129"/>
      <c r="J464" s="129"/>
      <c r="K464" s="129"/>
      <c r="L464" s="129"/>
      <c r="M464" s="129"/>
      <c r="N464" s="129"/>
      <c r="O464" s="129"/>
      <c r="P464" s="129"/>
      <c r="Q464" s="129"/>
      <c r="R464" s="129"/>
      <c r="S464" s="129"/>
      <c r="T464" s="129"/>
      <c r="U464" s="129"/>
      <c r="V464" s="129"/>
    </row>
    <row r="465" spans="3:22" x14ac:dyDescent="0.3">
      <c r="C465" s="129"/>
      <c r="D465" s="129"/>
      <c r="E465" s="129"/>
      <c r="F465" s="129"/>
      <c r="G465" s="129"/>
      <c r="H465" s="129"/>
      <c r="I465" s="129"/>
      <c r="J465" s="129"/>
      <c r="K465" s="129"/>
      <c r="L465" s="129"/>
      <c r="M465" s="129"/>
      <c r="N465" s="129"/>
      <c r="O465" s="129"/>
      <c r="P465" s="129"/>
      <c r="Q465" s="129"/>
      <c r="R465" s="129"/>
      <c r="S465" s="129"/>
      <c r="T465" s="129"/>
      <c r="U465" s="129"/>
      <c r="V465" s="129"/>
    </row>
    <row r="466" spans="3:22" x14ac:dyDescent="0.3">
      <c r="C466" s="129"/>
      <c r="D466" s="129"/>
      <c r="E466" s="129"/>
      <c r="F466" s="129"/>
      <c r="G466" s="129"/>
      <c r="H466" s="129"/>
      <c r="I466" s="129"/>
      <c r="J466" s="129"/>
      <c r="K466" s="129"/>
      <c r="L466" s="129"/>
      <c r="M466" s="129"/>
      <c r="N466" s="129"/>
      <c r="O466" s="129"/>
      <c r="P466" s="129"/>
      <c r="Q466" s="129"/>
      <c r="R466" s="129"/>
      <c r="S466" s="129"/>
      <c r="T466" s="129"/>
      <c r="U466" s="129"/>
      <c r="V466" s="129"/>
    </row>
    <row r="467" spans="3:22" x14ac:dyDescent="0.3">
      <c r="C467" s="129"/>
      <c r="D467" s="129"/>
      <c r="E467" s="129"/>
      <c r="F467" s="129"/>
      <c r="G467" s="129"/>
      <c r="H467" s="129"/>
      <c r="I467" s="129"/>
      <c r="J467" s="129"/>
      <c r="K467" s="129"/>
      <c r="L467" s="129"/>
      <c r="M467" s="129"/>
      <c r="N467" s="129"/>
      <c r="O467" s="129"/>
      <c r="P467" s="129"/>
      <c r="Q467" s="129"/>
      <c r="R467" s="129"/>
      <c r="S467" s="129"/>
      <c r="T467" s="129"/>
      <c r="U467" s="129"/>
      <c r="V467" s="129"/>
    </row>
    <row r="468" spans="3:22" x14ac:dyDescent="0.3">
      <c r="C468" s="129"/>
      <c r="D468" s="129"/>
      <c r="E468" s="129"/>
      <c r="F468" s="129"/>
      <c r="G468" s="129"/>
      <c r="H468" s="129"/>
      <c r="I468" s="129"/>
      <c r="J468" s="129"/>
      <c r="K468" s="129"/>
      <c r="L468" s="129"/>
      <c r="M468" s="129"/>
      <c r="N468" s="129"/>
      <c r="O468" s="129"/>
      <c r="P468" s="129"/>
      <c r="Q468" s="129"/>
      <c r="R468" s="129"/>
      <c r="S468" s="129"/>
      <c r="T468" s="129"/>
      <c r="U468" s="129"/>
      <c r="V468" s="129"/>
    </row>
    <row r="469" spans="3:22" x14ac:dyDescent="0.3">
      <c r="C469" s="129"/>
      <c r="D469" s="129"/>
      <c r="E469" s="129"/>
      <c r="F469" s="129"/>
      <c r="G469" s="129"/>
      <c r="H469" s="129"/>
      <c r="I469" s="129"/>
      <c r="J469" s="129"/>
      <c r="K469" s="129"/>
      <c r="L469" s="129"/>
      <c r="M469" s="129"/>
      <c r="N469" s="129"/>
      <c r="O469" s="129"/>
      <c r="P469" s="129"/>
      <c r="Q469" s="129"/>
      <c r="R469" s="129"/>
      <c r="S469" s="129"/>
      <c r="T469" s="129"/>
      <c r="U469" s="129"/>
      <c r="V469" s="129"/>
    </row>
    <row r="470" spans="3:22" x14ac:dyDescent="0.3">
      <c r="C470" s="129"/>
      <c r="D470" s="129"/>
      <c r="E470" s="129"/>
      <c r="F470" s="129"/>
      <c r="G470" s="129"/>
      <c r="H470" s="129"/>
      <c r="I470" s="129"/>
      <c r="J470" s="129"/>
      <c r="K470" s="129"/>
      <c r="L470" s="129"/>
      <c r="M470" s="129"/>
      <c r="N470" s="129"/>
      <c r="O470" s="129"/>
      <c r="P470" s="129"/>
      <c r="Q470" s="129"/>
      <c r="R470" s="129"/>
      <c r="S470" s="129"/>
      <c r="T470" s="129"/>
      <c r="U470" s="129"/>
      <c r="V470" s="129"/>
    </row>
    <row r="471" spans="3:22" x14ac:dyDescent="0.3">
      <c r="C471" s="129"/>
      <c r="D471" s="129"/>
      <c r="E471" s="129"/>
      <c r="F471" s="129"/>
      <c r="G471" s="129"/>
      <c r="H471" s="129"/>
      <c r="I471" s="129"/>
      <c r="J471" s="129"/>
      <c r="K471" s="129"/>
      <c r="L471" s="129"/>
      <c r="M471" s="129"/>
      <c r="N471" s="129"/>
      <c r="O471" s="129"/>
      <c r="P471" s="129"/>
      <c r="Q471" s="129"/>
      <c r="R471" s="129"/>
      <c r="S471" s="129"/>
      <c r="T471" s="129"/>
      <c r="U471" s="129"/>
      <c r="V471" s="129"/>
    </row>
    <row r="472" spans="3:22" x14ac:dyDescent="0.3">
      <c r="C472" s="129"/>
      <c r="D472" s="129"/>
      <c r="E472" s="129"/>
      <c r="F472" s="129"/>
      <c r="G472" s="129"/>
      <c r="H472" s="129"/>
      <c r="I472" s="129"/>
      <c r="J472" s="129"/>
      <c r="K472" s="129"/>
      <c r="L472" s="129"/>
      <c r="M472" s="129"/>
      <c r="N472" s="129"/>
      <c r="O472" s="129"/>
      <c r="P472" s="129"/>
      <c r="Q472" s="129"/>
      <c r="R472" s="129"/>
      <c r="S472" s="129"/>
      <c r="T472" s="129"/>
      <c r="U472" s="129"/>
      <c r="V472" s="129"/>
    </row>
    <row r="473" spans="3:22" x14ac:dyDescent="0.3">
      <c r="C473" s="129"/>
      <c r="D473" s="129"/>
      <c r="E473" s="129"/>
      <c r="F473" s="129"/>
      <c r="G473" s="129"/>
      <c r="H473" s="129"/>
      <c r="I473" s="129"/>
      <c r="J473" s="129"/>
      <c r="K473" s="129"/>
      <c r="L473" s="129"/>
      <c r="M473" s="129"/>
      <c r="N473" s="129"/>
      <c r="O473" s="129"/>
      <c r="P473" s="129"/>
      <c r="Q473" s="129"/>
      <c r="R473" s="129"/>
      <c r="S473" s="129"/>
      <c r="T473" s="129"/>
      <c r="U473" s="129"/>
      <c r="V473" s="129"/>
    </row>
    <row r="474" spans="3:22" x14ac:dyDescent="0.3">
      <c r="C474" s="129"/>
      <c r="D474" s="129"/>
      <c r="E474" s="129"/>
      <c r="F474" s="129"/>
      <c r="G474" s="129"/>
      <c r="H474" s="129"/>
      <c r="I474" s="129"/>
      <c r="J474" s="129"/>
      <c r="K474" s="129"/>
      <c r="L474" s="129"/>
      <c r="M474" s="129"/>
      <c r="N474" s="129"/>
      <c r="O474" s="129"/>
      <c r="P474" s="129"/>
      <c r="Q474" s="129"/>
      <c r="R474" s="129"/>
      <c r="S474" s="129"/>
      <c r="T474" s="129"/>
      <c r="U474" s="129"/>
      <c r="V474" s="129"/>
    </row>
    <row r="475" spans="3:22" x14ac:dyDescent="0.3">
      <c r="C475" s="129"/>
      <c r="D475" s="129"/>
      <c r="E475" s="129"/>
      <c r="F475" s="129"/>
      <c r="G475" s="129"/>
      <c r="H475" s="129"/>
      <c r="I475" s="129"/>
      <c r="J475" s="129"/>
      <c r="K475" s="129"/>
      <c r="L475" s="129"/>
      <c r="M475" s="129"/>
      <c r="N475" s="129"/>
      <c r="O475" s="129"/>
      <c r="P475" s="129"/>
      <c r="Q475" s="129"/>
      <c r="R475" s="129"/>
      <c r="S475" s="129"/>
      <c r="T475" s="129"/>
      <c r="U475" s="129"/>
      <c r="V475" s="129"/>
    </row>
    <row r="476" spans="3:22" x14ac:dyDescent="0.3">
      <c r="C476" s="129"/>
      <c r="D476" s="129"/>
      <c r="E476" s="129"/>
      <c r="F476" s="129"/>
      <c r="G476" s="129"/>
      <c r="H476" s="129"/>
      <c r="I476" s="129"/>
      <c r="J476" s="129"/>
      <c r="K476" s="129"/>
      <c r="L476" s="129"/>
      <c r="M476" s="129"/>
      <c r="N476" s="129"/>
      <c r="O476" s="129"/>
      <c r="P476" s="129"/>
      <c r="Q476" s="129"/>
      <c r="R476" s="129"/>
      <c r="S476" s="129"/>
      <c r="T476" s="129"/>
      <c r="U476" s="129"/>
      <c r="V476" s="129"/>
    </row>
    <row r="477" spans="3:22" x14ac:dyDescent="0.3">
      <c r="C477" s="129"/>
      <c r="D477" s="129"/>
      <c r="E477" s="129"/>
      <c r="F477" s="129"/>
      <c r="G477" s="129"/>
      <c r="H477" s="129"/>
      <c r="I477" s="129"/>
      <c r="J477" s="129"/>
      <c r="K477" s="129"/>
      <c r="L477" s="129"/>
      <c r="M477" s="129"/>
      <c r="N477" s="129"/>
      <c r="O477" s="129"/>
      <c r="P477" s="129"/>
      <c r="Q477" s="129"/>
      <c r="R477" s="129"/>
      <c r="S477" s="129"/>
      <c r="T477" s="129"/>
      <c r="U477" s="129"/>
      <c r="V477" s="129"/>
    </row>
    <row r="478" spans="3:22" x14ac:dyDescent="0.3">
      <c r="C478" s="129"/>
      <c r="D478" s="129"/>
      <c r="E478" s="129"/>
      <c r="F478" s="129"/>
      <c r="G478" s="129"/>
      <c r="H478" s="129"/>
      <c r="I478" s="129"/>
      <c r="J478" s="129"/>
      <c r="K478" s="129"/>
      <c r="L478" s="129"/>
      <c r="M478" s="129"/>
      <c r="N478" s="129"/>
      <c r="O478" s="129"/>
      <c r="P478" s="129"/>
      <c r="Q478" s="129"/>
      <c r="R478" s="129"/>
      <c r="S478" s="129"/>
      <c r="T478" s="129"/>
      <c r="U478" s="129"/>
      <c r="V478" s="129"/>
    </row>
    <row r="479" spans="3:22" x14ac:dyDescent="0.3">
      <c r="C479" s="129"/>
      <c r="D479" s="129"/>
      <c r="E479" s="129"/>
      <c r="F479" s="129"/>
      <c r="G479" s="129"/>
      <c r="H479" s="129"/>
      <c r="I479" s="129"/>
      <c r="J479" s="129"/>
      <c r="K479" s="129"/>
      <c r="L479" s="129"/>
      <c r="M479" s="129"/>
      <c r="N479" s="129"/>
      <c r="O479" s="129"/>
      <c r="P479" s="129"/>
      <c r="Q479" s="129"/>
      <c r="R479" s="129"/>
      <c r="S479" s="129"/>
      <c r="T479" s="129"/>
      <c r="U479" s="129"/>
      <c r="V479" s="129"/>
    </row>
    <row r="480" spans="3:22" x14ac:dyDescent="0.3">
      <c r="C480" s="129"/>
      <c r="D480" s="129"/>
      <c r="E480" s="129"/>
      <c r="F480" s="129"/>
      <c r="G480" s="129"/>
      <c r="H480" s="129"/>
      <c r="I480" s="129"/>
      <c r="J480" s="129"/>
      <c r="K480" s="129"/>
      <c r="L480" s="129"/>
      <c r="M480" s="129"/>
      <c r="N480" s="129"/>
      <c r="O480" s="129"/>
      <c r="P480" s="129"/>
      <c r="Q480" s="129"/>
      <c r="R480" s="129"/>
      <c r="S480" s="129"/>
      <c r="T480" s="129"/>
      <c r="U480" s="129"/>
      <c r="V480" s="129"/>
    </row>
    <row r="481" spans="3:22" x14ac:dyDescent="0.3">
      <c r="C481" s="129"/>
      <c r="D481" s="129"/>
      <c r="E481" s="129"/>
      <c r="F481" s="129"/>
      <c r="G481" s="129"/>
      <c r="H481" s="129"/>
      <c r="I481" s="129"/>
      <c r="J481" s="129"/>
      <c r="K481" s="129"/>
      <c r="L481" s="129"/>
      <c r="M481" s="129"/>
      <c r="N481" s="129"/>
      <c r="O481" s="129"/>
      <c r="P481" s="129"/>
      <c r="Q481" s="129"/>
      <c r="R481" s="129"/>
      <c r="S481" s="129"/>
      <c r="T481" s="129"/>
      <c r="U481" s="129"/>
      <c r="V481" s="129"/>
    </row>
    <row r="482" spans="3:22" x14ac:dyDescent="0.3">
      <c r="C482" s="129"/>
      <c r="D482" s="129"/>
      <c r="E482" s="129"/>
      <c r="F482" s="129"/>
      <c r="G482" s="129"/>
      <c r="H482" s="129"/>
      <c r="I482" s="129"/>
      <c r="J482" s="129"/>
      <c r="K482" s="129"/>
      <c r="L482" s="129"/>
      <c r="M482" s="129"/>
      <c r="N482" s="129"/>
      <c r="O482" s="129"/>
      <c r="P482" s="129"/>
      <c r="Q482" s="129"/>
      <c r="R482" s="129"/>
      <c r="S482" s="129"/>
      <c r="T482" s="129"/>
      <c r="U482" s="129"/>
      <c r="V482" s="129"/>
    </row>
    <row r="483" spans="3:22" x14ac:dyDescent="0.3">
      <c r="C483" s="129"/>
      <c r="D483" s="129"/>
      <c r="E483" s="129"/>
      <c r="F483" s="129"/>
      <c r="G483" s="129"/>
      <c r="H483" s="129"/>
      <c r="I483" s="129"/>
      <c r="J483" s="129"/>
      <c r="K483" s="129"/>
      <c r="L483" s="129"/>
      <c r="M483" s="129"/>
      <c r="N483" s="129"/>
      <c r="O483" s="129"/>
      <c r="P483" s="129"/>
      <c r="Q483" s="129"/>
      <c r="R483" s="129"/>
      <c r="S483" s="129"/>
      <c r="T483" s="129"/>
      <c r="U483" s="129"/>
      <c r="V483" s="129"/>
    </row>
    <row r="484" spans="3:22" x14ac:dyDescent="0.3">
      <c r="C484" s="129"/>
      <c r="D484" s="129"/>
      <c r="E484" s="129"/>
      <c r="F484" s="129"/>
      <c r="G484" s="129"/>
      <c r="H484" s="129"/>
      <c r="I484" s="129"/>
      <c r="J484" s="129"/>
      <c r="K484" s="129"/>
      <c r="L484" s="129"/>
      <c r="M484" s="129"/>
      <c r="N484" s="129"/>
      <c r="O484" s="129"/>
      <c r="P484" s="129"/>
      <c r="Q484" s="129"/>
      <c r="R484" s="129"/>
      <c r="S484" s="129"/>
      <c r="T484" s="129"/>
      <c r="U484" s="129"/>
      <c r="V484" s="129"/>
    </row>
    <row r="485" spans="3:22" x14ac:dyDescent="0.3">
      <c r="C485" s="129"/>
      <c r="D485" s="129"/>
      <c r="E485" s="129"/>
      <c r="F485" s="129"/>
      <c r="G485" s="129"/>
      <c r="H485" s="129"/>
      <c r="I485" s="129"/>
      <c r="J485" s="129"/>
      <c r="K485" s="129"/>
      <c r="L485" s="129"/>
      <c r="M485" s="129"/>
      <c r="N485" s="129"/>
      <c r="O485" s="129"/>
      <c r="P485" s="129"/>
      <c r="Q485" s="129"/>
      <c r="R485" s="129"/>
      <c r="S485" s="129"/>
      <c r="T485" s="129"/>
      <c r="U485" s="129"/>
      <c r="V485" s="129"/>
    </row>
    <row r="486" spans="3:22" x14ac:dyDescent="0.3">
      <c r="C486" s="129"/>
      <c r="D486" s="129"/>
      <c r="E486" s="129"/>
      <c r="F486" s="129"/>
      <c r="G486" s="129"/>
      <c r="H486" s="129"/>
      <c r="I486" s="129"/>
      <c r="J486" s="129"/>
      <c r="K486" s="129"/>
      <c r="L486" s="129"/>
      <c r="M486" s="129"/>
      <c r="N486" s="129"/>
      <c r="O486" s="129"/>
      <c r="P486" s="129"/>
      <c r="Q486" s="129"/>
      <c r="R486" s="129"/>
      <c r="S486" s="129"/>
      <c r="T486" s="129"/>
      <c r="U486" s="129"/>
      <c r="V486" s="129"/>
    </row>
    <row r="487" spans="3:22" x14ac:dyDescent="0.3">
      <c r="C487" s="129"/>
      <c r="D487" s="129"/>
      <c r="E487" s="129"/>
      <c r="F487" s="129"/>
      <c r="G487" s="129"/>
      <c r="H487" s="129"/>
      <c r="I487" s="129"/>
      <c r="J487" s="129"/>
      <c r="K487" s="129"/>
      <c r="L487" s="129"/>
      <c r="M487" s="129"/>
      <c r="N487" s="129"/>
      <c r="O487" s="129"/>
      <c r="P487" s="129"/>
      <c r="Q487" s="129"/>
      <c r="R487" s="129"/>
      <c r="S487" s="129"/>
      <c r="T487" s="129"/>
      <c r="U487" s="129"/>
      <c r="V487" s="129"/>
    </row>
    <row r="488" spans="3:22" x14ac:dyDescent="0.3">
      <c r="C488" s="129"/>
      <c r="D488" s="129"/>
      <c r="E488" s="129"/>
      <c r="F488" s="129"/>
      <c r="G488" s="129"/>
      <c r="H488" s="129"/>
      <c r="I488" s="129"/>
      <c r="J488" s="129"/>
      <c r="K488" s="129"/>
      <c r="L488" s="129"/>
      <c r="M488" s="129"/>
      <c r="N488" s="129"/>
      <c r="O488" s="129"/>
      <c r="P488" s="129"/>
      <c r="Q488" s="129"/>
      <c r="R488" s="129"/>
      <c r="S488" s="129"/>
      <c r="T488" s="129"/>
      <c r="U488" s="129"/>
      <c r="V488" s="129"/>
    </row>
    <row r="489" spans="3:22" x14ac:dyDescent="0.3">
      <c r="C489" s="129"/>
      <c r="D489" s="129"/>
      <c r="E489" s="129"/>
      <c r="F489" s="129"/>
      <c r="G489" s="129"/>
      <c r="H489" s="129"/>
      <c r="I489" s="129"/>
      <c r="J489" s="129"/>
      <c r="K489" s="129"/>
      <c r="L489" s="129"/>
      <c r="M489" s="129"/>
      <c r="N489" s="129"/>
      <c r="O489" s="129"/>
      <c r="P489" s="129"/>
      <c r="Q489" s="129"/>
      <c r="R489" s="129"/>
      <c r="S489" s="129"/>
      <c r="T489" s="129"/>
      <c r="U489" s="129"/>
      <c r="V489" s="129"/>
    </row>
    <row r="490" spans="3:22" x14ac:dyDescent="0.3">
      <c r="C490" s="129"/>
      <c r="D490" s="129"/>
      <c r="E490" s="129"/>
      <c r="F490" s="129"/>
      <c r="G490" s="129"/>
      <c r="H490" s="129"/>
      <c r="I490" s="129"/>
      <c r="J490" s="129"/>
      <c r="K490" s="129"/>
      <c r="L490" s="129"/>
      <c r="M490" s="129"/>
      <c r="N490" s="129"/>
      <c r="O490" s="129"/>
      <c r="P490" s="129"/>
      <c r="Q490" s="129"/>
      <c r="R490" s="129"/>
      <c r="S490" s="129"/>
      <c r="T490" s="129"/>
      <c r="U490" s="129"/>
      <c r="V490" s="129"/>
    </row>
    <row r="491" spans="3:22" x14ac:dyDescent="0.3">
      <c r="C491" s="129"/>
      <c r="D491" s="129"/>
      <c r="E491" s="129"/>
      <c r="F491" s="129"/>
      <c r="G491" s="129"/>
      <c r="H491" s="129"/>
      <c r="I491" s="129"/>
      <c r="J491" s="129"/>
      <c r="K491" s="129"/>
      <c r="L491" s="129"/>
      <c r="M491" s="129"/>
      <c r="N491" s="129"/>
      <c r="O491" s="129"/>
      <c r="P491" s="129"/>
      <c r="Q491" s="129"/>
      <c r="R491" s="129"/>
      <c r="S491" s="129"/>
      <c r="T491" s="129"/>
      <c r="U491" s="129"/>
      <c r="V491" s="129"/>
    </row>
    <row r="492" spans="3:22" x14ac:dyDescent="0.3">
      <c r="C492" s="129"/>
      <c r="D492" s="129"/>
      <c r="E492" s="129"/>
      <c r="F492" s="129"/>
      <c r="G492" s="129"/>
      <c r="H492" s="129"/>
      <c r="I492" s="129"/>
      <c r="J492" s="129"/>
      <c r="K492" s="129"/>
      <c r="L492" s="129"/>
      <c r="M492" s="129"/>
      <c r="N492" s="129"/>
      <c r="O492" s="129"/>
      <c r="P492" s="129"/>
      <c r="Q492" s="129"/>
      <c r="R492" s="129"/>
      <c r="S492" s="129"/>
      <c r="T492" s="129"/>
      <c r="U492" s="129"/>
      <c r="V492" s="129"/>
    </row>
    <row r="493" spans="3:22" x14ac:dyDescent="0.3">
      <c r="C493" s="129"/>
      <c r="D493" s="129"/>
      <c r="E493" s="129"/>
      <c r="F493" s="129"/>
      <c r="G493" s="129"/>
      <c r="H493" s="129"/>
      <c r="I493" s="129"/>
      <c r="J493" s="129"/>
      <c r="K493" s="129"/>
      <c r="L493" s="129"/>
      <c r="M493" s="129"/>
      <c r="N493" s="129"/>
      <c r="O493" s="129"/>
      <c r="P493" s="129"/>
      <c r="Q493" s="129"/>
      <c r="R493" s="129"/>
      <c r="S493" s="129"/>
      <c r="T493" s="129"/>
      <c r="U493" s="129"/>
      <c r="V493" s="129"/>
    </row>
    <row r="494" spans="3:22" x14ac:dyDescent="0.3">
      <c r="C494" s="129"/>
      <c r="D494" s="129"/>
      <c r="E494" s="129"/>
      <c r="F494" s="129"/>
      <c r="G494" s="129"/>
      <c r="H494" s="129"/>
      <c r="I494" s="129"/>
      <c r="J494" s="129"/>
      <c r="K494" s="129"/>
      <c r="L494" s="129"/>
      <c r="M494" s="129"/>
      <c r="N494" s="129"/>
      <c r="O494" s="129"/>
      <c r="P494" s="129"/>
      <c r="Q494" s="129"/>
      <c r="R494" s="129"/>
      <c r="S494" s="129"/>
      <c r="T494" s="129"/>
      <c r="U494" s="129"/>
      <c r="V494" s="129"/>
    </row>
    <row r="495" spans="3:22" x14ac:dyDescent="0.3">
      <c r="C495" s="129"/>
      <c r="D495" s="129"/>
      <c r="E495" s="129"/>
      <c r="F495" s="129"/>
      <c r="G495" s="129"/>
      <c r="H495" s="129"/>
      <c r="I495" s="129"/>
      <c r="J495" s="129"/>
      <c r="K495" s="129"/>
      <c r="L495" s="129"/>
      <c r="M495" s="129"/>
      <c r="N495" s="129"/>
      <c r="O495" s="129"/>
      <c r="P495" s="129"/>
      <c r="Q495" s="129"/>
      <c r="R495" s="129"/>
      <c r="S495" s="129"/>
      <c r="T495" s="129"/>
      <c r="U495" s="129"/>
      <c r="V495" s="129"/>
    </row>
    <row r="496" spans="3:22" x14ac:dyDescent="0.3">
      <c r="C496" s="129"/>
      <c r="D496" s="129"/>
      <c r="E496" s="129"/>
      <c r="F496" s="129"/>
      <c r="G496" s="129"/>
      <c r="H496" s="129"/>
      <c r="I496" s="129"/>
      <c r="J496" s="129"/>
      <c r="K496" s="129"/>
      <c r="L496" s="129"/>
      <c r="M496" s="129"/>
      <c r="N496" s="129"/>
      <c r="O496" s="129"/>
      <c r="P496" s="129"/>
      <c r="Q496" s="129"/>
      <c r="R496" s="129"/>
      <c r="S496" s="129"/>
      <c r="T496" s="129"/>
      <c r="U496" s="129"/>
      <c r="V496" s="129"/>
    </row>
    <row r="497" spans="3:22" x14ac:dyDescent="0.3">
      <c r="C497" s="129"/>
      <c r="D497" s="129"/>
      <c r="E497" s="129"/>
      <c r="F497" s="129"/>
      <c r="G497" s="129"/>
      <c r="H497" s="129"/>
      <c r="I497" s="129"/>
      <c r="J497" s="129"/>
      <c r="K497" s="129"/>
      <c r="L497" s="129"/>
      <c r="M497" s="129"/>
      <c r="N497" s="129"/>
      <c r="O497" s="129"/>
      <c r="P497" s="129"/>
      <c r="Q497" s="129"/>
      <c r="R497" s="129"/>
      <c r="S497" s="129"/>
      <c r="T497" s="129"/>
      <c r="U497" s="129"/>
      <c r="V497" s="129"/>
    </row>
    <row r="498" spans="3:22" x14ac:dyDescent="0.3">
      <c r="C498" s="129"/>
      <c r="D498" s="129"/>
      <c r="E498" s="129"/>
      <c r="F498" s="129"/>
      <c r="G498" s="129"/>
      <c r="H498" s="129"/>
      <c r="I498" s="129"/>
      <c r="J498" s="129"/>
      <c r="K498" s="129"/>
      <c r="L498" s="129"/>
      <c r="M498" s="129"/>
      <c r="N498" s="129"/>
      <c r="O498" s="129"/>
      <c r="P498" s="129"/>
      <c r="Q498" s="129"/>
      <c r="R498" s="129"/>
      <c r="S498" s="129"/>
      <c r="T498" s="129"/>
      <c r="U498" s="129"/>
      <c r="V498" s="129"/>
    </row>
    <row r="499" spans="3:22" x14ac:dyDescent="0.3">
      <c r="C499" s="129"/>
      <c r="D499" s="129"/>
      <c r="E499" s="129"/>
      <c r="F499" s="129"/>
      <c r="G499" s="129"/>
      <c r="H499" s="129"/>
      <c r="I499" s="129"/>
      <c r="J499" s="129"/>
      <c r="K499" s="129"/>
      <c r="L499" s="129"/>
      <c r="M499" s="129"/>
      <c r="N499" s="129"/>
      <c r="O499" s="129"/>
      <c r="P499" s="129"/>
      <c r="Q499" s="129"/>
      <c r="R499" s="129"/>
      <c r="S499" s="129"/>
      <c r="T499" s="129"/>
      <c r="U499" s="129"/>
      <c r="V499" s="129"/>
    </row>
    <row r="500" spans="3:22" x14ac:dyDescent="0.3">
      <c r="C500" s="129"/>
      <c r="D500" s="129"/>
      <c r="E500" s="129"/>
      <c r="F500" s="129"/>
      <c r="G500" s="129"/>
      <c r="H500" s="129"/>
      <c r="I500" s="129"/>
      <c r="J500" s="129"/>
      <c r="K500" s="129"/>
      <c r="L500" s="129"/>
      <c r="M500" s="129"/>
      <c r="N500" s="129"/>
      <c r="O500" s="129"/>
      <c r="P500" s="129"/>
      <c r="Q500" s="129"/>
      <c r="R500" s="129"/>
      <c r="S500" s="129"/>
      <c r="T500" s="129"/>
      <c r="U500" s="129"/>
      <c r="V500" s="129"/>
    </row>
    <row r="501" spans="3:22" x14ac:dyDescent="0.3">
      <c r="C501" s="129"/>
      <c r="D501" s="129"/>
      <c r="E501" s="129"/>
      <c r="F501" s="129"/>
      <c r="G501" s="129"/>
      <c r="H501" s="129"/>
      <c r="I501" s="129"/>
      <c r="J501" s="129"/>
      <c r="K501" s="129"/>
      <c r="L501" s="129"/>
      <c r="M501" s="129"/>
      <c r="N501" s="129"/>
      <c r="O501" s="129"/>
      <c r="P501" s="129"/>
      <c r="Q501" s="129"/>
      <c r="R501" s="129"/>
      <c r="S501" s="129"/>
      <c r="T501" s="129"/>
      <c r="U501" s="129"/>
      <c r="V501" s="129"/>
    </row>
    <row r="502" spans="3:22" x14ac:dyDescent="0.3">
      <c r="C502" s="129"/>
      <c r="D502" s="129"/>
      <c r="E502" s="129"/>
      <c r="F502" s="129"/>
      <c r="G502" s="129"/>
      <c r="H502" s="129"/>
      <c r="I502" s="129"/>
      <c r="J502" s="129"/>
      <c r="K502" s="129"/>
      <c r="L502" s="129"/>
      <c r="M502" s="129"/>
      <c r="N502" s="129"/>
      <c r="O502" s="129"/>
      <c r="P502" s="129"/>
      <c r="Q502" s="129"/>
      <c r="R502" s="129"/>
      <c r="S502" s="129"/>
      <c r="T502" s="129"/>
      <c r="U502" s="129"/>
      <c r="V502" s="129"/>
    </row>
    <row r="503" spans="3:22" x14ac:dyDescent="0.3">
      <c r="C503" s="129"/>
      <c r="D503" s="129"/>
      <c r="E503" s="129"/>
      <c r="F503" s="129"/>
      <c r="G503" s="129"/>
      <c r="H503" s="129"/>
      <c r="I503" s="129"/>
      <c r="J503" s="129"/>
      <c r="K503" s="129"/>
      <c r="L503" s="129"/>
      <c r="M503" s="129"/>
      <c r="N503" s="129"/>
      <c r="O503" s="129"/>
      <c r="P503" s="129"/>
      <c r="Q503" s="129"/>
      <c r="R503" s="129"/>
      <c r="S503" s="129"/>
      <c r="T503" s="129"/>
      <c r="U503" s="129"/>
      <c r="V503" s="129"/>
    </row>
    <row r="504" spans="3:22" x14ac:dyDescent="0.3">
      <c r="C504" s="129"/>
      <c r="D504" s="129"/>
      <c r="E504" s="129"/>
      <c r="F504" s="129"/>
      <c r="G504" s="129"/>
      <c r="H504" s="129"/>
      <c r="I504" s="129"/>
      <c r="J504" s="129"/>
      <c r="K504" s="129"/>
      <c r="L504" s="129"/>
      <c r="M504" s="129"/>
      <c r="N504" s="129"/>
      <c r="O504" s="129"/>
      <c r="P504" s="129"/>
      <c r="Q504" s="129"/>
      <c r="R504" s="129"/>
      <c r="S504" s="129"/>
      <c r="T504" s="129"/>
      <c r="U504" s="129"/>
      <c r="V504" s="129"/>
    </row>
    <row r="505" spans="3:22" x14ac:dyDescent="0.3">
      <c r="C505" s="129"/>
      <c r="D505" s="129"/>
      <c r="E505" s="129"/>
      <c r="F505" s="129"/>
      <c r="G505" s="129"/>
      <c r="H505" s="129"/>
      <c r="I505" s="129"/>
      <c r="J505" s="129"/>
      <c r="K505" s="129"/>
      <c r="L505" s="129"/>
      <c r="M505" s="129"/>
      <c r="N505" s="129"/>
      <c r="O505" s="129"/>
      <c r="P505" s="129"/>
      <c r="Q505" s="129"/>
      <c r="R505" s="129"/>
      <c r="S505" s="129"/>
      <c r="T505" s="129"/>
      <c r="U505" s="129"/>
      <c r="V505" s="129"/>
    </row>
    <row r="506" spans="3:22" x14ac:dyDescent="0.3">
      <c r="C506" s="129"/>
      <c r="D506" s="129"/>
      <c r="E506" s="129"/>
      <c r="F506" s="129"/>
      <c r="G506" s="129"/>
      <c r="H506" s="129"/>
      <c r="I506" s="129"/>
      <c r="J506" s="129"/>
      <c r="K506" s="129"/>
      <c r="L506" s="129"/>
      <c r="M506" s="129"/>
      <c r="N506" s="129"/>
      <c r="O506" s="129"/>
      <c r="P506" s="129"/>
      <c r="Q506" s="129"/>
      <c r="R506" s="129"/>
      <c r="S506" s="129"/>
      <c r="T506" s="129"/>
      <c r="U506" s="129"/>
      <c r="V506" s="129"/>
    </row>
    <row r="507" spans="3:22" x14ac:dyDescent="0.3">
      <c r="C507" s="129"/>
      <c r="D507" s="129"/>
      <c r="E507" s="129"/>
      <c r="F507" s="129"/>
      <c r="G507" s="129"/>
      <c r="H507" s="129"/>
      <c r="I507" s="129"/>
      <c r="J507" s="129"/>
      <c r="K507" s="129"/>
      <c r="L507" s="129"/>
      <c r="M507" s="129"/>
      <c r="N507" s="129"/>
      <c r="O507" s="129"/>
      <c r="P507" s="129"/>
      <c r="Q507" s="129"/>
      <c r="R507" s="129"/>
      <c r="S507" s="129"/>
      <c r="T507" s="129"/>
      <c r="U507" s="129"/>
      <c r="V507" s="129"/>
    </row>
    <row r="508" spans="3:22" x14ac:dyDescent="0.3">
      <c r="C508" s="129"/>
      <c r="D508" s="129"/>
      <c r="E508" s="129"/>
      <c r="F508" s="129"/>
      <c r="G508" s="129"/>
      <c r="H508" s="129"/>
      <c r="I508" s="129"/>
      <c r="J508" s="129"/>
      <c r="K508" s="129"/>
      <c r="L508" s="129"/>
      <c r="M508" s="129"/>
      <c r="N508" s="129"/>
      <c r="O508" s="129"/>
      <c r="P508" s="129"/>
      <c r="Q508" s="129"/>
      <c r="R508" s="129"/>
      <c r="S508" s="129"/>
      <c r="T508" s="129"/>
      <c r="U508" s="129"/>
      <c r="V508" s="129"/>
    </row>
    <row r="509" spans="3:22" x14ac:dyDescent="0.3">
      <c r="C509" s="129"/>
      <c r="D509" s="129"/>
      <c r="E509" s="129"/>
      <c r="F509" s="129"/>
      <c r="G509" s="129"/>
      <c r="H509" s="129"/>
      <c r="I509" s="129"/>
      <c r="J509" s="129"/>
      <c r="K509" s="129"/>
      <c r="L509" s="129"/>
      <c r="M509" s="129"/>
      <c r="N509" s="129"/>
      <c r="O509" s="129"/>
      <c r="P509" s="129"/>
      <c r="Q509" s="129"/>
      <c r="R509" s="129"/>
      <c r="S509" s="129"/>
      <c r="T509" s="129"/>
      <c r="U509" s="129"/>
      <c r="V509" s="129"/>
    </row>
    <row r="510" spans="3:22" x14ac:dyDescent="0.3">
      <c r="C510" s="129"/>
      <c r="D510" s="129"/>
      <c r="E510" s="129"/>
      <c r="F510" s="129"/>
      <c r="G510" s="129"/>
      <c r="H510" s="129"/>
      <c r="I510" s="129"/>
      <c r="J510" s="129"/>
      <c r="K510" s="129"/>
      <c r="L510" s="129"/>
      <c r="M510" s="129"/>
      <c r="N510" s="129"/>
      <c r="O510" s="129"/>
      <c r="P510" s="129"/>
      <c r="Q510" s="129"/>
      <c r="R510" s="129"/>
      <c r="S510" s="129"/>
      <c r="T510" s="129"/>
      <c r="U510" s="129"/>
      <c r="V510" s="129"/>
    </row>
    <row r="511" spans="3:22" x14ac:dyDescent="0.3">
      <c r="C511" s="129"/>
      <c r="D511" s="129"/>
      <c r="E511" s="129"/>
      <c r="F511" s="129"/>
      <c r="G511" s="129"/>
      <c r="H511" s="129"/>
      <c r="I511" s="129"/>
      <c r="J511" s="129"/>
      <c r="K511" s="129"/>
      <c r="L511" s="129"/>
      <c r="M511" s="129"/>
      <c r="N511" s="129"/>
      <c r="O511" s="129"/>
      <c r="P511" s="129"/>
      <c r="Q511" s="129"/>
      <c r="R511" s="129"/>
      <c r="S511" s="129"/>
      <c r="T511" s="129"/>
      <c r="U511" s="129"/>
      <c r="V511" s="129"/>
    </row>
    <row r="512" spans="3:22" x14ac:dyDescent="0.3">
      <c r="C512" s="129"/>
      <c r="D512" s="129"/>
      <c r="E512" s="129"/>
      <c r="F512" s="129"/>
      <c r="G512" s="129"/>
      <c r="H512" s="129"/>
      <c r="I512" s="129"/>
      <c r="J512" s="129"/>
      <c r="K512" s="129"/>
      <c r="L512" s="129"/>
      <c r="M512" s="129"/>
      <c r="N512" s="129"/>
      <c r="O512" s="129"/>
      <c r="P512" s="129"/>
      <c r="Q512" s="129"/>
      <c r="R512" s="129"/>
      <c r="S512" s="129"/>
      <c r="T512" s="129"/>
      <c r="U512" s="129"/>
      <c r="V512" s="129"/>
    </row>
    <row r="513" spans="3:22" x14ac:dyDescent="0.3">
      <c r="C513" s="129"/>
      <c r="D513" s="129"/>
      <c r="E513" s="129"/>
      <c r="F513" s="129"/>
      <c r="G513" s="129"/>
      <c r="H513" s="129"/>
      <c r="I513" s="129"/>
      <c r="J513" s="129"/>
      <c r="K513" s="129"/>
      <c r="L513" s="129"/>
      <c r="M513" s="129"/>
      <c r="N513" s="129"/>
      <c r="O513" s="129"/>
      <c r="P513" s="129"/>
      <c r="Q513" s="129"/>
      <c r="R513" s="129"/>
      <c r="S513" s="129"/>
      <c r="T513" s="129"/>
      <c r="U513" s="129"/>
      <c r="V513" s="129"/>
    </row>
    <row r="514" spans="3:22" x14ac:dyDescent="0.3">
      <c r="C514" s="129"/>
      <c r="D514" s="129"/>
      <c r="E514" s="129"/>
      <c r="F514" s="129"/>
      <c r="G514" s="129"/>
      <c r="H514" s="129"/>
      <c r="I514" s="129"/>
      <c r="J514" s="129"/>
      <c r="K514" s="129"/>
      <c r="L514" s="129"/>
      <c r="M514" s="129"/>
      <c r="N514" s="129"/>
      <c r="O514" s="129"/>
      <c r="P514" s="129"/>
      <c r="Q514" s="129"/>
      <c r="R514" s="129"/>
      <c r="S514" s="129"/>
      <c r="T514" s="129"/>
      <c r="U514" s="129"/>
      <c r="V514" s="129"/>
    </row>
    <row r="515" spans="3:22" x14ac:dyDescent="0.3">
      <c r="C515" s="129"/>
      <c r="D515" s="129"/>
      <c r="E515" s="129"/>
      <c r="F515" s="129"/>
      <c r="G515" s="129"/>
      <c r="H515" s="129"/>
      <c r="I515" s="129"/>
      <c r="J515" s="129"/>
      <c r="K515" s="129"/>
      <c r="L515" s="129"/>
      <c r="M515" s="129"/>
      <c r="N515" s="129"/>
      <c r="O515" s="129"/>
      <c r="P515" s="129"/>
      <c r="Q515" s="129"/>
      <c r="R515" s="129"/>
      <c r="S515" s="129"/>
      <c r="T515" s="129"/>
      <c r="U515" s="129"/>
      <c r="V515" s="129"/>
    </row>
    <row r="516" spans="3:22" x14ac:dyDescent="0.3">
      <c r="C516" s="129"/>
      <c r="D516" s="129"/>
      <c r="E516" s="129"/>
      <c r="F516" s="129"/>
      <c r="G516" s="129"/>
      <c r="H516" s="129"/>
      <c r="I516" s="129"/>
      <c r="J516" s="129"/>
      <c r="K516" s="129"/>
      <c r="L516" s="129"/>
      <c r="M516" s="129"/>
      <c r="N516" s="129"/>
      <c r="O516" s="129"/>
      <c r="P516" s="129"/>
      <c r="Q516" s="129"/>
      <c r="R516" s="129"/>
      <c r="S516" s="129"/>
      <c r="T516" s="129"/>
      <c r="U516" s="129"/>
      <c r="V516" s="129"/>
    </row>
    <row r="517" spans="3:22" x14ac:dyDescent="0.3">
      <c r="C517" s="129"/>
      <c r="D517" s="129"/>
      <c r="E517" s="129"/>
      <c r="F517" s="129"/>
      <c r="G517" s="129"/>
      <c r="H517" s="129"/>
      <c r="I517" s="129"/>
      <c r="J517" s="129"/>
      <c r="K517" s="129"/>
      <c r="L517" s="129"/>
      <c r="M517" s="129"/>
      <c r="N517" s="129"/>
      <c r="O517" s="129"/>
      <c r="P517" s="129"/>
      <c r="Q517" s="129"/>
      <c r="R517" s="129"/>
      <c r="S517" s="129"/>
      <c r="T517" s="129"/>
      <c r="U517" s="129"/>
      <c r="V517" s="129"/>
    </row>
    <row r="518" spans="3:22" x14ac:dyDescent="0.3">
      <c r="C518" s="129"/>
      <c r="D518" s="129"/>
      <c r="E518" s="129"/>
      <c r="F518" s="129"/>
      <c r="G518" s="129"/>
      <c r="H518" s="129"/>
      <c r="I518" s="129"/>
      <c r="J518" s="129"/>
      <c r="K518" s="129"/>
      <c r="L518" s="129"/>
      <c r="M518" s="129"/>
      <c r="N518" s="129"/>
      <c r="O518" s="129"/>
      <c r="P518" s="129"/>
      <c r="Q518" s="129"/>
      <c r="R518" s="129"/>
      <c r="S518" s="129"/>
      <c r="T518" s="129"/>
      <c r="U518" s="129"/>
      <c r="V518" s="129"/>
    </row>
    <row r="519" spans="3:22" x14ac:dyDescent="0.3">
      <c r="C519" s="129"/>
      <c r="D519" s="129"/>
      <c r="E519" s="129"/>
      <c r="F519" s="129"/>
      <c r="G519" s="129"/>
      <c r="H519" s="129"/>
      <c r="I519" s="129"/>
      <c r="J519" s="129"/>
      <c r="K519" s="129"/>
      <c r="L519" s="129"/>
      <c r="M519" s="129"/>
      <c r="N519" s="129"/>
      <c r="O519" s="129"/>
      <c r="P519" s="129"/>
      <c r="Q519" s="129"/>
      <c r="R519" s="129"/>
      <c r="S519" s="129"/>
      <c r="T519" s="129"/>
      <c r="U519" s="129"/>
      <c r="V519" s="129"/>
    </row>
    <row r="520" spans="3:22" x14ac:dyDescent="0.3">
      <c r="C520" s="129"/>
      <c r="D520" s="129"/>
      <c r="E520" s="129"/>
      <c r="F520" s="129"/>
      <c r="G520" s="129"/>
      <c r="H520" s="129"/>
      <c r="I520" s="129"/>
      <c r="J520" s="129"/>
      <c r="K520" s="129"/>
      <c r="L520" s="129"/>
      <c r="M520" s="129"/>
      <c r="N520" s="129"/>
      <c r="O520" s="129"/>
      <c r="P520" s="129"/>
      <c r="Q520" s="129"/>
      <c r="R520" s="129"/>
      <c r="S520" s="129"/>
      <c r="T520" s="129"/>
      <c r="U520" s="129"/>
      <c r="V520" s="129"/>
    </row>
    <row r="521" spans="3:22" x14ac:dyDescent="0.3">
      <c r="C521" s="129"/>
      <c r="D521" s="129"/>
      <c r="E521" s="129"/>
      <c r="F521" s="129"/>
      <c r="G521" s="129"/>
      <c r="H521" s="129"/>
      <c r="I521" s="129"/>
      <c r="J521" s="129"/>
      <c r="K521" s="129"/>
      <c r="L521" s="129"/>
      <c r="M521" s="129"/>
      <c r="N521" s="129"/>
      <c r="O521" s="129"/>
      <c r="P521" s="129"/>
      <c r="Q521" s="129"/>
      <c r="R521" s="129"/>
      <c r="S521" s="129"/>
      <c r="T521" s="129"/>
      <c r="U521" s="129"/>
      <c r="V521" s="129"/>
    </row>
    <row r="522" spans="3:22" x14ac:dyDescent="0.3">
      <c r="C522" s="129"/>
      <c r="D522" s="129"/>
      <c r="E522" s="129"/>
      <c r="F522" s="129"/>
      <c r="G522" s="129"/>
      <c r="H522" s="129"/>
      <c r="I522" s="129"/>
      <c r="J522" s="129"/>
      <c r="K522" s="129"/>
      <c r="L522" s="129"/>
      <c r="M522" s="129"/>
      <c r="N522" s="129"/>
      <c r="O522" s="129"/>
      <c r="P522" s="129"/>
      <c r="Q522" s="129"/>
      <c r="R522" s="129"/>
      <c r="S522" s="129"/>
      <c r="T522" s="129"/>
      <c r="U522" s="129"/>
      <c r="V522" s="129"/>
    </row>
    <row r="523" spans="3:22" x14ac:dyDescent="0.3">
      <c r="C523" s="129"/>
      <c r="D523" s="129"/>
      <c r="E523" s="129"/>
      <c r="F523" s="129"/>
      <c r="G523" s="129"/>
      <c r="H523" s="129"/>
      <c r="I523" s="129"/>
      <c r="J523" s="129"/>
      <c r="K523" s="129"/>
      <c r="L523" s="129"/>
      <c r="M523" s="129"/>
      <c r="N523" s="129"/>
      <c r="O523" s="129"/>
      <c r="P523" s="129"/>
      <c r="Q523" s="129"/>
      <c r="R523" s="129"/>
      <c r="S523" s="129"/>
      <c r="T523" s="129"/>
      <c r="U523" s="129"/>
      <c r="V523" s="129"/>
    </row>
    <row r="524" spans="3:22" x14ac:dyDescent="0.3">
      <c r="C524" s="129"/>
      <c r="D524" s="129"/>
      <c r="E524" s="129"/>
      <c r="F524" s="129"/>
      <c r="G524" s="129"/>
      <c r="H524" s="129"/>
      <c r="I524" s="129"/>
      <c r="J524" s="129"/>
      <c r="K524" s="129"/>
      <c r="L524" s="129"/>
      <c r="M524" s="129"/>
      <c r="N524" s="129"/>
      <c r="O524" s="129"/>
      <c r="P524" s="129"/>
      <c r="Q524" s="129"/>
      <c r="R524" s="129"/>
      <c r="S524" s="129"/>
      <c r="T524" s="129"/>
      <c r="U524" s="129"/>
      <c r="V524" s="129"/>
    </row>
    <row r="525" spans="3:22" x14ac:dyDescent="0.3">
      <c r="C525" s="129"/>
      <c r="D525" s="129"/>
      <c r="E525" s="129"/>
      <c r="F525" s="129"/>
      <c r="G525" s="129"/>
      <c r="H525" s="129"/>
      <c r="I525" s="129"/>
      <c r="J525" s="129"/>
      <c r="K525" s="129"/>
      <c r="L525" s="129"/>
      <c r="M525" s="129"/>
      <c r="N525" s="129"/>
      <c r="O525" s="129"/>
      <c r="P525" s="129"/>
      <c r="Q525" s="129"/>
      <c r="R525" s="129"/>
      <c r="S525" s="129"/>
      <c r="T525" s="129"/>
      <c r="U525" s="129"/>
      <c r="V525" s="129"/>
    </row>
    <row r="526" spans="3:22" x14ac:dyDescent="0.3">
      <c r="C526" s="129"/>
      <c r="D526" s="129"/>
      <c r="E526" s="129"/>
      <c r="F526" s="129"/>
      <c r="G526" s="129"/>
      <c r="H526" s="129"/>
      <c r="I526" s="129"/>
      <c r="J526" s="129"/>
      <c r="K526" s="129"/>
      <c r="L526" s="129"/>
      <c r="M526" s="129"/>
      <c r="N526" s="129"/>
      <c r="O526" s="129"/>
      <c r="P526" s="129"/>
      <c r="Q526" s="129"/>
      <c r="R526" s="129"/>
      <c r="S526" s="129"/>
      <c r="T526" s="129"/>
      <c r="U526" s="129"/>
      <c r="V526" s="129"/>
    </row>
    <row r="527" spans="3:22" x14ac:dyDescent="0.3">
      <c r="C527" s="129"/>
      <c r="D527" s="129"/>
      <c r="E527" s="129"/>
      <c r="F527" s="129"/>
      <c r="G527" s="129"/>
      <c r="H527" s="129"/>
      <c r="I527" s="129"/>
      <c r="J527" s="129"/>
      <c r="K527" s="129"/>
      <c r="L527" s="129"/>
      <c r="M527" s="129"/>
      <c r="N527" s="129"/>
      <c r="O527" s="129"/>
      <c r="P527" s="129"/>
      <c r="Q527" s="129"/>
      <c r="R527" s="129"/>
      <c r="S527" s="129"/>
      <c r="T527" s="129"/>
      <c r="U527" s="129"/>
      <c r="V527" s="129"/>
    </row>
    <row r="528" spans="3:22" x14ac:dyDescent="0.3">
      <c r="C528" s="129"/>
      <c r="D528" s="129"/>
      <c r="E528" s="129"/>
      <c r="F528" s="129"/>
      <c r="G528" s="129"/>
      <c r="H528" s="129"/>
      <c r="I528" s="129"/>
      <c r="J528" s="129"/>
      <c r="K528" s="129"/>
      <c r="L528" s="129"/>
      <c r="M528" s="129"/>
      <c r="N528" s="129"/>
      <c r="O528" s="129"/>
      <c r="P528" s="129"/>
      <c r="Q528" s="129"/>
      <c r="R528" s="129"/>
      <c r="S528" s="129"/>
      <c r="T528" s="129"/>
      <c r="U528" s="129"/>
      <c r="V528" s="129"/>
    </row>
    <row r="529" spans="3:22" x14ac:dyDescent="0.3">
      <c r="C529" s="129"/>
      <c r="D529" s="129"/>
      <c r="E529" s="129"/>
      <c r="F529" s="129"/>
      <c r="G529" s="129"/>
      <c r="H529" s="129"/>
      <c r="I529" s="129"/>
      <c r="J529" s="129"/>
      <c r="K529" s="129"/>
      <c r="L529" s="129"/>
      <c r="M529" s="129"/>
      <c r="N529" s="129"/>
      <c r="O529" s="129"/>
      <c r="P529" s="129"/>
      <c r="Q529" s="129"/>
      <c r="R529" s="129"/>
      <c r="S529" s="129"/>
      <c r="T529" s="129"/>
      <c r="U529" s="129"/>
      <c r="V529" s="129"/>
    </row>
    <row r="530" spans="3:22" x14ac:dyDescent="0.3">
      <c r="C530" s="129"/>
      <c r="D530" s="129"/>
      <c r="E530" s="129"/>
      <c r="F530" s="129"/>
      <c r="G530" s="129"/>
      <c r="H530" s="129"/>
      <c r="I530" s="129"/>
      <c r="J530" s="129"/>
      <c r="K530" s="129"/>
      <c r="L530" s="129"/>
      <c r="M530" s="129"/>
      <c r="N530" s="129"/>
      <c r="O530" s="129"/>
      <c r="P530" s="129"/>
      <c r="Q530" s="129"/>
      <c r="R530" s="129"/>
      <c r="S530" s="129"/>
      <c r="T530" s="129"/>
      <c r="U530" s="129"/>
      <c r="V530" s="129"/>
    </row>
    <row r="531" spans="3:22" x14ac:dyDescent="0.3">
      <c r="C531" s="129"/>
      <c r="D531" s="129"/>
      <c r="E531" s="129"/>
      <c r="F531" s="129"/>
      <c r="G531" s="129"/>
      <c r="H531" s="129"/>
      <c r="I531" s="129"/>
      <c r="J531" s="129"/>
      <c r="K531" s="129"/>
      <c r="L531" s="129"/>
      <c r="M531" s="129"/>
      <c r="N531" s="129"/>
      <c r="O531" s="129"/>
      <c r="P531" s="129"/>
      <c r="Q531" s="129"/>
      <c r="R531" s="129"/>
      <c r="S531" s="129"/>
      <c r="T531" s="129"/>
      <c r="U531" s="129"/>
      <c r="V531" s="129"/>
    </row>
    <row r="532" spans="3:22" x14ac:dyDescent="0.3">
      <c r="C532" s="129"/>
      <c r="D532" s="129"/>
      <c r="E532" s="129"/>
      <c r="F532" s="129"/>
      <c r="G532" s="129"/>
      <c r="H532" s="129"/>
      <c r="I532" s="129"/>
      <c r="J532" s="129"/>
      <c r="K532" s="129"/>
      <c r="L532" s="129"/>
      <c r="M532" s="129"/>
      <c r="N532" s="129"/>
      <c r="O532" s="129"/>
      <c r="P532" s="129"/>
      <c r="Q532" s="129"/>
      <c r="R532" s="129"/>
      <c r="S532" s="129"/>
      <c r="T532" s="129"/>
      <c r="U532" s="129"/>
      <c r="V532" s="129"/>
    </row>
    <row r="533" spans="3:22" x14ac:dyDescent="0.3">
      <c r="C533" s="129"/>
      <c r="D533" s="129"/>
      <c r="E533" s="129"/>
      <c r="F533" s="129"/>
      <c r="G533" s="129"/>
      <c r="H533" s="129"/>
      <c r="I533" s="129"/>
      <c r="J533" s="129"/>
      <c r="K533" s="129"/>
      <c r="L533" s="129"/>
      <c r="M533" s="129"/>
      <c r="N533" s="129"/>
      <c r="O533" s="129"/>
      <c r="P533" s="129"/>
      <c r="Q533" s="129"/>
      <c r="R533" s="129"/>
      <c r="S533" s="129"/>
      <c r="T533" s="129"/>
      <c r="U533" s="129"/>
      <c r="V533" s="129"/>
    </row>
    <row r="534" spans="3:22" x14ac:dyDescent="0.3">
      <c r="C534" s="129"/>
      <c r="D534" s="129"/>
      <c r="E534" s="129"/>
      <c r="F534" s="129"/>
      <c r="G534" s="129"/>
      <c r="H534" s="129"/>
      <c r="I534" s="129"/>
      <c r="J534" s="129"/>
      <c r="K534" s="129"/>
      <c r="L534" s="129"/>
      <c r="M534" s="129"/>
      <c r="N534" s="129"/>
      <c r="O534" s="129"/>
      <c r="P534" s="129"/>
      <c r="Q534" s="129"/>
      <c r="R534" s="129"/>
      <c r="S534" s="129"/>
      <c r="T534" s="129"/>
      <c r="U534" s="129"/>
      <c r="V534" s="129"/>
    </row>
    <row r="535" spans="3:22" x14ac:dyDescent="0.3">
      <c r="C535" s="129"/>
      <c r="D535" s="129"/>
      <c r="E535" s="129"/>
      <c r="F535" s="129"/>
      <c r="G535" s="129"/>
      <c r="H535" s="129"/>
      <c r="I535" s="129"/>
      <c r="J535" s="129"/>
      <c r="K535" s="129"/>
      <c r="L535" s="129"/>
      <c r="M535" s="129"/>
      <c r="N535" s="129"/>
      <c r="O535" s="129"/>
      <c r="P535" s="129"/>
      <c r="Q535" s="129"/>
      <c r="R535" s="129"/>
      <c r="S535" s="129"/>
      <c r="T535" s="129"/>
      <c r="U535" s="129"/>
      <c r="V535" s="129"/>
    </row>
    <row r="536" spans="3:22" x14ac:dyDescent="0.3">
      <c r="C536" s="129"/>
      <c r="D536" s="129"/>
      <c r="E536" s="129"/>
      <c r="F536" s="129"/>
      <c r="G536" s="129"/>
      <c r="H536" s="129"/>
      <c r="I536" s="129"/>
      <c r="J536" s="129"/>
      <c r="K536" s="129"/>
      <c r="L536" s="129"/>
      <c r="M536" s="129"/>
      <c r="N536" s="129"/>
      <c r="O536" s="129"/>
      <c r="P536" s="129"/>
      <c r="Q536" s="129"/>
      <c r="R536" s="129"/>
      <c r="S536" s="129"/>
      <c r="T536" s="129"/>
      <c r="U536" s="129"/>
      <c r="V536" s="129"/>
    </row>
    <row r="537" spans="3:22" x14ac:dyDescent="0.3">
      <c r="C537" s="129"/>
      <c r="D537" s="129"/>
      <c r="E537" s="129"/>
      <c r="F537" s="129"/>
      <c r="G537" s="129"/>
      <c r="H537" s="129"/>
      <c r="I537" s="129"/>
      <c r="J537" s="129"/>
      <c r="K537" s="129"/>
      <c r="L537" s="129"/>
      <c r="M537" s="129"/>
      <c r="N537" s="129"/>
      <c r="O537" s="129"/>
      <c r="P537" s="129"/>
      <c r="Q537" s="129"/>
      <c r="R537" s="129"/>
      <c r="S537" s="129"/>
      <c r="T537" s="129"/>
      <c r="U537" s="129"/>
      <c r="V537" s="129"/>
    </row>
    <row r="538" spans="3:22" x14ac:dyDescent="0.3">
      <c r="C538" s="129"/>
      <c r="D538" s="129"/>
      <c r="E538" s="129"/>
      <c r="F538" s="129"/>
      <c r="G538" s="129"/>
      <c r="H538" s="129"/>
      <c r="I538" s="129"/>
      <c r="J538" s="129"/>
      <c r="K538" s="129"/>
      <c r="L538" s="129"/>
      <c r="M538" s="129"/>
      <c r="N538" s="129"/>
      <c r="O538" s="129"/>
      <c r="P538" s="129"/>
      <c r="Q538" s="129"/>
      <c r="R538" s="129"/>
      <c r="S538" s="129"/>
      <c r="T538" s="129"/>
      <c r="U538" s="129"/>
      <c r="V538" s="129"/>
    </row>
    <row r="539" spans="3:22" x14ac:dyDescent="0.3">
      <c r="C539" s="129"/>
      <c r="D539" s="129"/>
      <c r="E539" s="129"/>
      <c r="F539" s="129"/>
      <c r="G539" s="129"/>
      <c r="H539" s="129"/>
      <c r="I539" s="129"/>
      <c r="J539" s="129"/>
      <c r="K539" s="129"/>
      <c r="L539" s="129"/>
      <c r="M539" s="129"/>
      <c r="N539" s="129"/>
      <c r="O539" s="129"/>
      <c r="P539" s="129"/>
      <c r="Q539" s="129"/>
      <c r="R539" s="129"/>
      <c r="S539" s="129"/>
      <c r="T539" s="129"/>
      <c r="U539" s="129"/>
      <c r="V539" s="129"/>
    </row>
    <row r="540" spans="3:22" x14ac:dyDescent="0.3">
      <c r="C540" s="129"/>
      <c r="D540" s="129"/>
      <c r="E540" s="129"/>
      <c r="F540" s="129"/>
      <c r="G540" s="129"/>
      <c r="H540" s="129"/>
      <c r="I540" s="129"/>
      <c r="J540" s="129"/>
      <c r="K540" s="129"/>
      <c r="L540" s="129"/>
      <c r="M540" s="129"/>
      <c r="N540" s="129"/>
      <c r="O540" s="129"/>
      <c r="P540" s="129"/>
      <c r="Q540" s="129"/>
      <c r="R540" s="129"/>
      <c r="S540" s="129"/>
      <c r="T540" s="129"/>
      <c r="U540" s="129"/>
      <c r="V540" s="129"/>
    </row>
    <row r="541" spans="3:22" x14ac:dyDescent="0.3">
      <c r="C541" s="129"/>
      <c r="D541" s="129"/>
      <c r="E541" s="129"/>
      <c r="F541" s="129"/>
      <c r="G541" s="129"/>
      <c r="H541" s="129"/>
      <c r="I541" s="129"/>
      <c r="J541" s="129"/>
      <c r="K541" s="129"/>
      <c r="L541" s="129"/>
      <c r="M541" s="129"/>
      <c r="N541" s="129"/>
      <c r="O541" s="129"/>
      <c r="P541" s="129"/>
      <c r="Q541" s="129"/>
      <c r="R541" s="129"/>
      <c r="S541" s="129"/>
      <c r="T541" s="129"/>
      <c r="U541" s="129"/>
      <c r="V541" s="129"/>
    </row>
    <row r="542" spans="3:22" x14ac:dyDescent="0.3">
      <c r="C542" s="129"/>
      <c r="D542" s="129"/>
      <c r="E542" s="129"/>
      <c r="F542" s="129"/>
      <c r="G542" s="129"/>
      <c r="H542" s="129"/>
      <c r="I542" s="129"/>
      <c r="J542" s="129"/>
      <c r="K542" s="129"/>
      <c r="L542" s="129"/>
      <c r="M542" s="129"/>
      <c r="N542" s="129"/>
      <c r="O542" s="129"/>
      <c r="P542" s="129"/>
      <c r="Q542" s="129"/>
      <c r="R542" s="129"/>
      <c r="S542" s="129"/>
      <c r="T542" s="129"/>
      <c r="U542" s="129"/>
      <c r="V542" s="129"/>
    </row>
    <row r="543" spans="3:22" x14ac:dyDescent="0.3">
      <c r="C543" s="129"/>
      <c r="D543" s="129"/>
      <c r="E543" s="129"/>
      <c r="F543" s="129"/>
      <c r="G543" s="129"/>
      <c r="H543" s="129"/>
      <c r="I543" s="129"/>
      <c r="J543" s="129"/>
      <c r="K543" s="129"/>
      <c r="L543" s="129"/>
      <c r="M543" s="129"/>
      <c r="N543" s="129"/>
      <c r="O543" s="129"/>
      <c r="P543" s="129"/>
      <c r="Q543" s="129"/>
      <c r="R543" s="129"/>
      <c r="S543" s="129"/>
      <c r="T543" s="129"/>
      <c r="U543" s="129"/>
      <c r="V543" s="129"/>
    </row>
    <row r="544" spans="3:22" x14ac:dyDescent="0.3">
      <c r="C544" s="129"/>
      <c r="D544" s="129"/>
      <c r="E544" s="129"/>
      <c r="F544" s="129"/>
      <c r="G544" s="129"/>
      <c r="H544" s="129"/>
      <c r="I544" s="129"/>
      <c r="J544" s="129"/>
      <c r="K544" s="129"/>
      <c r="L544" s="129"/>
      <c r="M544" s="129"/>
      <c r="N544" s="129"/>
      <c r="O544" s="129"/>
      <c r="P544" s="129"/>
      <c r="Q544" s="129"/>
      <c r="R544" s="129"/>
      <c r="S544" s="129"/>
      <c r="T544" s="129"/>
      <c r="U544" s="129"/>
      <c r="V544" s="129"/>
    </row>
    <row r="545" spans="3:22" x14ac:dyDescent="0.3">
      <c r="C545" s="129"/>
      <c r="D545" s="129"/>
      <c r="E545" s="129"/>
      <c r="F545" s="129"/>
      <c r="G545" s="129"/>
      <c r="H545" s="129"/>
      <c r="I545" s="129"/>
      <c r="J545" s="129"/>
      <c r="K545" s="129"/>
      <c r="L545" s="129"/>
      <c r="M545" s="129"/>
      <c r="N545" s="129"/>
      <c r="O545" s="129"/>
      <c r="P545" s="129"/>
      <c r="Q545" s="129"/>
      <c r="R545" s="129"/>
      <c r="S545" s="129"/>
      <c r="T545" s="129"/>
      <c r="U545" s="129"/>
      <c r="V545" s="129"/>
    </row>
    <row r="546" spans="3:22" x14ac:dyDescent="0.3">
      <c r="C546" s="129"/>
      <c r="D546" s="129"/>
      <c r="E546" s="129"/>
      <c r="F546" s="129"/>
      <c r="G546" s="129"/>
      <c r="H546" s="129"/>
      <c r="I546" s="129"/>
      <c r="J546" s="129"/>
      <c r="K546" s="129"/>
      <c r="L546" s="129"/>
      <c r="M546" s="129"/>
      <c r="N546" s="129"/>
      <c r="O546" s="129"/>
      <c r="P546" s="129"/>
      <c r="Q546" s="129"/>
      <c r="R546" s="129"/>
      <c r="S546" s="129"/>
      <c r="T546" s="129"/>
      <c r="U546" s="129"/>
      <c r="V546" s="129"/>
    </row>
    <row r="547" spans="3:22" x14ac:dyDescent="0.3">
      <c r="C547" s="129"/>
      <c r="D547" s="129"/>
      <c r="E547" s="129"/>
      <c r="F547" s="129"/>
      <c r="G547" s="129"/>
      <c r="H547" s="129"/>
      <c r="I547" s="129"/>
      <c r="J547" s="129"/>
      <c r="K547" s="129"/>
      <c r="L547" s="129"/>
      <c r="M547" s="129"/>
      <c r="N547" s="129"/>
      <c r="O547" s="129"/>
      <c r="P547" s="129"/>
      <c r="Q547" s="129"/>
      <c r="R547" s="129"/>
      <c r="S547" s="129"/>
      <c r="T547" s="129"/>
      <c r="U547" s="129"/>
      <c r="V547" s="129"/>
    </row>
    <row r="548" spans="3:22" x14ac:dyDescent="0.3">
      <c r="C548" s="129"/>
      <c r="D548" s="129"/>
      <c r="E548" s="129"/>
      <c r="F548" s="129"/>
      <c r="G548" s="129"/>
      <c r="H548" s="129"/>
      <c r="I548" s="129"/>
      <c r="J548" s="129"/>
      <c r="K548" s="129"/>
      <c r="L548" s="129"/>
      <c r="M548" s="129"/>
      <c r="N548" s="129"/>
      <c r="O548" s="129"/>
      <c r="P548" s="129"/>
      <c r="Q548" s="129"/>
      <c r="R548" s="129"/>
      <c r="S548" s="129"/>
      <c r="T548" s="129"/>
      <c r="U548" s="129"/>
      <c r="V548" s="129"/>
    </row>
    <row r="549" spans="3:22" x14ac:dyDescent="0.3">
      <c r="C549" s="129"/>
      <c r="D549" s="129"/>
      <c r="E549" s="129"/>
      <c r="F549" s="129"/>
      <c r="G549" s="129"/>
      <c r="H549" s="129"/>
      <c r="I549" s="129"/>
      <c r="J549" s="129"/>
      <c r="K549" s="129"/>
      <c r="L549" s="129"/>
      <c r="M549" s="129"/>
      <c r="N549" s="129"/>
      <c r="O549" s="129"/>
      <c r="P549" s="129"/>
      <c r="Q549" s="129"/>
      <c r="R549" s="129"/>
      <c r="S549" s="129"/>
      <c r="T549" s="129"/>
      <c r="U549" s="129"/>
      <c r="V549" s="129"/>
    </row>
    <row r="550" spans="3:22" x14ac:dyDescent="0.3">
      <c r="C550" s="129"/>
      <c r="D550" s="129"/>
      <c r="E550" s="129"/>
      <c r="F550" s="129"/>
      <c r="G550" s="129"/>
      <c r="H550" s="129"/>
      <c r="I550" s="129"/>
      <c r="J550" s="129"/>
      <c r="K550" s="129"/>
      <c r="L550" s="129"/>
      <c r="M550" s="129"/>
      <c r="N550" s="129"/>
      <c r="O550" s="129"/>
      <c r="P550" s="129"/>
      <c r="Q550" s="129"/>
      <c r="R550" s="129"/>
      <c r="S550" s="129"/>
      <c r="T550" s="129"/>
      <c r="U550" s="129"/>
      <c r="V550" s="129"/>
    </row>
    <row r="551" spans="3:22" x14ac:dyDescent="0.3">
      <c r="C551" s="129"/>
      <c r="D551" s="129"/>
      <c r="E551" s="129"/>
      <c r="F551" s="129"/>
      <c r="G551" s="129"/>
      <c r="H551" s="129"/>
      <c r="I551" s="129"/>
      <c r="J551" s="129"/>
      <c r="K551" s="129"/>
      <c r="L551" s="129"/>
      <c r="M551" s="129"/>
      <c r="N551" s="129"/>
      <c r="O551" s="129"/>
      <c r="P551" s="129"/>
      <c r="Q551" s="129"/>
      <c r="R551" s="129"/>
      <c r="S551" s="129"/>
      <c r="T551" s="129"/>
      <c r="U551" s="129"/>
      <c r="V551" s="129"/>
    </row>
    <row r="552" spans="3:22" x14ac:dyDescent="0.3">
      <c r="C552" s="129"/>
      <c r="D552" s="129"/>
      <c r="E552" s="129"/>
      <c r="F552" s="129"/>
      <c r="G552" s="129"/>
      <c r="H552" s="129"/>
      <c r="I552" s="129"/>
      <c r="J552" s="129"/>
      <c r="K552" s="129"/>
      <c r="L552" s="129"/>
      <c r="M552" s="129"/>
      <c r="N552" s="129"/>
      <c r="O552" s="129"/>
      <c r="P552" s="129"/>
      <c r="Q552" s="129"/>
      <c r="R552" s="129"/>
      <c r="S552" s="129"/>
      <c r="T552" s="129"/>
      <c r="U552" s="129"/>
      <c r="V552" s="129"/>
    </row>
    <row r="553" spans="3:22" x14ac:dyDescent="0.3">
      <c r="C553" s="129"/>
      <c r="D553" s="129"/>
      <c r="E553" s="129"/>
      <c r="F553" s="129"/>
      <c r="G553" s="129"/>
      <c r="H553" s="129"/>
      <c r="I553" s="129"/>
      <c r="J553" s="129"/>
      <c r="K553" s="129"/>
      <c r="L553" s="129"/>
      <c r="M553" s="129"/>
      <c r="N553" s="129"/>
      <c r="O553" s="129"/>
      <c r="P553" s="129"/>
      <c r="Q553" s="129"/>
      <c r="R553" s="129"/>
      <c r="S553" s="129"/>
      <c r="T553" s="129"/>
      <c r="U553" s="129"/>
      <c r="V553" s="129"/>
    </row>
    <row r="554" spans="3:22" x14ac:dyDescent="0.3">
      <c r="C554" s="129"/>
      <c r="D554" s="129"/>
      <c r="E554" s="129"/>
      <c r="F554" s="129"/>
      <c r="G554" s="129"/>
      <c r="H554" s="129"/>
      <c r="I554" s="129"/>
      <c r="J554" s="129"/>
      <c r="K554" s="129"/>
      <c r="L554" s="129"/>
      <c r="M554" s="129"/>
      <c r="N554" s="129"/>
      <c r="O554" s="129"/>
      <c r="P554" s="129"/>
      <c r="Q554" s="129"/>
      <c r="R554" s="129"/>
      <c r="S554" s="129"/>
      <c r="T554" s="129"/>
      <c r="U554" s="129"/>
      <c r="V554" s="129"/>
    </row>
    <row r="555" spans="3:22" x14ac:dyDescent="0.3">
      <c r="C555" s="129"/>
      <c r="D555" s="129"/>
      <c r="E555" s="129"/>
      <c r="F555" s="129"/>
      <c r="G555" s="129"/>
      <c r="H555" s="129"/>
      <c r="I555" s="129"/>
      <c r="J555" s="129"/>
      <c r="K555" s="129"/>
      <c r="L555" s="129"/>
      <c r="M555" s="129"/>
      <c r="N555" s="129"/>
      <c r="O555" s="129"/>
      <c r="P555" s="129"/>
      <c r="Q555" s="129"/>
      <c r="R555" s="129"/>
      <c r="S555" s="129"/>
      <c r="T555" s="129"/>
      <c r="U555" s="129"/>
      <c r="V555" s="129"/>
    </row>
    <row r="556" spans="3:22" x14ac:dyDescent="0.3">
      <c r="C556" s="129"/>
      <c r="D556" s="129"/>
      <c r="E556" s="129"/>
      <c r="F556" s="129"/>
      <c r="G556" s="129"/>
      <c r="H556" s="129"/>
      <c r="I556" s="129"/>
      <c r="J556" s="129"/>
      <c r="K556" s="129"/>
      <c r="L556" s="129"/>
      <c r="M556" s="129"/>
      <c r="N556" s="129"/>
      <c r="O556" s="129"/>
      <c r="P556" s="129"/>
      <c r="Q556" s="129"/>
      <c r="R556" s="129"/>
      <c r="S556" s="129"/>
      <c r="T556" s="129"/>
      <c r="U556" s="129"/>
      <c r="V556" s="129"/>
    </row>
    <row r="557" spans="3:22" x14ac:dyDescent="0.3">
      <c r="C557" s="129"/>
      <c r="D557" s="129"/>
      <c r="E557" s="129"/>
      <c r="F557" s="129"/>
      <c r="G557" s="129"/>
      <c r="H557" s="129"/>
      <c r="I557" s="129"/>
      <c r="J557" s="129"/>
      <c r="K557" s="129"/>
      <c r="L557" s="129"/>
      <c r="M557" s="129"/>
      <c r="N557" s="129"/>
      <c r="O557" s="129"/>
      <c r="P557" s="129"/>
      <c r="Q557" s="129"/>
      <c r="R557" s="129"/>
      <c r="S557" s="129"/>
      <c r="T557" s="129"/>
      <c r="U557" s="129"/>
      <c r="V557" s="129"/>
    </row>
    <row r="558" spans="3:22" x14ac:dyDescent="0.3">
      <c r="C558" s="129"/>
      <c r="D558" s="129"/>
      <c r="E558" s="129"/>
      <c r="F558" s="129"/>
      <c r="G558" s="129"/>
      <c r="H558" s="129"/>
      <c r="I558" s="129"/>
      <c r="J558" s="129"/>
      <c r="K558" s="129"/>
      <c r="L558" s="129"/>
      <c r="M558" s="129"/>
      <c r="N558" s="129"/>
      <c r="O558" s="129"/>
      <c r="P558" s="129"/>
      <c r="Q558" s="129"/>
      <c r="R558" s="129"/>
      <c r="S558" s="129"/>
      <c r="T558" s="129"/>
      <c r="U558" s="129"/>
      <c r="V558" s="129"/>
    </row>
    <row r="559" spans="3:22" x14ac:dyDescent="0.3">
      <c r="C559" s="129"/>
      <c r="D559" s="129"/>
      <c r="E559" s="129"/>
      <c r="F559" s="129"/>
      <c r="G559" s="129"/>
      <c r="H559" s="129"/>
      <c r="I559" s="129"/>
      <c r="J559" s="129"/>
      <c r="K559" s="129"/>
      <c r="L559" s="129"/>
      <c r="M559" s="129"/>
      <c r="N559" s="129"/>
      <c r="O559" s="129"/>
      <c r="P559" s="129"/>
      <c r="Q559" s="129"/>
      <c r="R559" s="129"/>
      <c r="S559" s="129"/>
      <c r="T559" s="129"/>
      <c r="U559" s="129"/>
      <c r="V559" s="129"/>
    </row>
    <row r="560" spans="3:22" x14ac:dyDescent="0.3">
      <c r="C560" s="129"/>
      <c r="D560" s="129"/>
      <c r="E560" s="129"/>
      <c r="F560" s="129"/>
      <c r="G560" s="129"/>
      <c r="H560" s="129"/>
      <c r="I560" s="129"/>
      <c r="J560" s="129"/>
      <c r="K560" s="129"/>
      <c r="L560" s="129"/>
      <c r="M560" s="129"/>
      <c r="N560" s="129"/>
      <c r="O560" s="129"/>
      <c r="P560" s="129"/>
      <c r="Q560" s="129"/>
      <c r="R560" s="129"/>
      <c r="S560" s="129"/>
      <c r="T560" s="129"/>
      <c r="U560" s="129"/>
      <c r="V560" s="129"/>
    </row>
    <row r="561" spans="3:22" x14ac:dyDescent="0.3">
      <c r="C561" s="129"/>
      <c r="D561" s="129"/>
      <c r="E561" s="129"/>
      <c r="F561" s="129"/>
      <c r="G561" s="129"/>
      <c r="H561" s="129"/>
      <c r="I561" s="129"/>
      <c r="J561" s="129"/>
      <c r="K561" s="129"/>
      <c r="L561" s="129"/>
      <c r="M561" s="129"/>
      <c r="N561" s="129"/>
      <c r="O561" s="129"/>
      <c r="P561" s="129"/>
      <c r="Q561" s="129"/>
      <c r="R561" s="129"/>
      <c r="S561" s="129"/>
      <c r="T561" s="129"/>
      <c r="U561" s="129"/>
      <c r="V561" s="129"/>
    </row>
    <row r="562" spans="3:22" x14ac:dyDescent="0.3">
      <c r="C562" s="129"/>
      <c r="D562" s="129"/>
      <c r="E562" s="129"/>
      <c r="F562" s="129"/>
      <c r="G562" s="129"/>
      <c r="H562" s="129"/>
      <c r="I562" s="129"/>
      <c r="J562" s="129"/>
      <c r="K562" s="129"/>
      <c r="L562" s="129"/>
      <c r="M562" s="129"/>
      <c r="N562" s="129"/>
      <c r="O562" s="129"/>
      <c r="P562" s="129"/>
      <c r="Q562" s="129"/>
      <c r="R562" s="129"/>
      <c r="S562" s="129"/>
      <c r="T562" s="129"/>
      <c r="U562" s="129"/>
      <c r="V562" s="129"/>
    </row>
    <row r="563" spans="3:22" x14ac:dyDescent="0.3">
      <c r="C563" s="129"/>
      <c r="D563" s="129"/>
      <c r="E563" s="129"/>
      <c r="F563" s="129"/>
      <c r="G563" s="129"/>
      <c r="H563" s="129"/>
      <c r="I563" s="129"/>
      <c r="J563" s="129"/>
      <c r="K563" s="129"/>
      <c r="L563" s="129"/>
      <c r="M563" s="129"/>
      <c r="N563" s="129"/>
      <c r="O563" s="129"/>
      <c r="P563" s="129"/>
      <c r="Q563" s="129"/>
      <c r="R563" s="129"/>
      <c r="S563" s="129"/>
      <c r="T563" s="129"/>
      <c r="U563" s="129"/>
      <c r="V563" s="129"/>
    </row>
    <row r="564" spans="3:22" x14ac:dyDescent="0.3">
      <c r="C564" s="129"/>
      <c r="D564" s="129"/>
      <c r="E564" s="129"/>
      <c r="F564" s="129"/>
      <c r="G564" s="129"/>
      <c r="H564" s="129"/>
      <c r="I564" s="129"/>
      <c r="J564" s="129"/>
      <c r="K564" s="129"/>
      <c r="L564" s="129"/>
      <c r="M564" s="129"/>
      <c r="N564" s="129"/>
      <c r="O564" s="129"/>
      <c r="P564" s="129"/>
      <c r="Q564" s="129"/>
      <c r="R564" s="129"/>
      <c r="S564" s="129"/>
      <c r="T564" s="129"/>
      <c r="U564" s="129"/>
      <c r="V564" s="129"/>
    </row>
    <row r="565" spans="3:22" x14ac:dyDescent="0.3">
      <c r="C565" s="129"/>
      <c r="D565" s="129"/>
      <c r="E565" s="129"/>
      <c r="F565" s="129"/>
      <c r="G565" s="129"/>
      <c r="H565" s="129"/>
      <c r="I565" s="129"/>
      <c r="J565" s="129"/>
      <c r="K565" s="129"/>
      <c r="L565" s="129"/>
      <c r="M565" s="129"/>
      <c r="N565" s="129"/>
      <c r="O565" s="129"/>
      <c r="P565" s="129"/>
      <c r="Q565" s="129"/>
      <c r="R565" s="129"/>
      <c r="S565" s="129"/>
      <c r="T565" s="129"/>
      <c r="U565" s="129"/>
      <c r="V565" s="129"/>
    </row>
    <row r="566" spans="3:22" x14ac:dyDescent="0.3">
      <c r="C566" s="129"/>
      <c r="D566" s="129"/>
      <c r="E566" s="129"/>
      <c r="F566" s="129"/>
      <c r="G566" s="129"/>
      <c r="H566" s="129"/>
      <c r="I566" s="129"/>
      <c r="J566" s="129"/>
      <c r="K566" s="129"/>
      <c r="L566" s="129"/>
      <c r="M566" s="129"/>
      <c r="N566" s="129"/>
      <c r="O566" s="129"/>
      <c r="P566" s="129"/>
      <c r="Q566" s="129"/>
      <c r="R566" s="129"/>
      <c r="S566" s="129"/>
      <c r="T566" s="129"/>
      <c r="U566" s="129"/>
      <c r="V566" s="129"/>
    </row>
    <row r="567" spans="3:22" x14ac:dyDescent="0.3">
      <c r="C567" s="129"/>
      <c r="D567" s="129"/>
      <c r="E567" s="129"/>
      <c r="F567" s="129"/>
      <c r="G567" s="129"/>
      <c r="H567" s="129"/>
      <c r="I567" s="129"/>
      <c r="J567" s="129"/>
      <c r="K567" s="129"/>
      <c r="L567" s="129"/>
      <c r="M567" s="129"/>
      <c r="N567" s="129"/>
      <c r="O567" s="129"/>
      <c r="P567" s="129"/>
      <c r="Q567" s="129"/>
      <c r="R567" s="129"/>
      <c r="S567" s="129"/>
      <c r="T567" s="129"/>
      <c r="U567" s="129"/>
      <c r="V567" s="129"/>
    </row>
    <row r="568" spans="3:22" x14ac:dyDescent="0.3">
      <c r="C568" s="129"/>
      <c r="D568" s="129"/>
      <c r="E568" s="129"/>
      <c r="F568" s="129"/>
      <c r="G568" s="129"/>
      <c r="H568" s="129"/>
      <c r="I568" s="129"/>
      <c r="J568" s="129"/>
      <c r="K568" s="129"/>
      <c r="L568" s="129"/>
      <c r="M568" s="129"/>
      <c r="N568" s="129"/>
      <c r="O568" s="129"/>
      <c r="P568" s="129"/>
      <c r="Q568" s="129"/>
      <c r="R568" s="129"/>
      <c r="S568" s="129"/>
      <c r="T568" s="129"/>
      <c r="U568" s="129"/>
      <c r="V568" s="129"/>
    </row>
    <row r="569" spans="3:22" x14ac:dyDescent="0.3">
      <c r="C569" s="129"/>
      <c r="D569" s="129"/>
      <c r="E569" s="129"/>
      <c r="F569" s="129"/>
      <c r="G569" s="129"/>
      <c r="H569" s="129"/>
      <c r="I569" s="129"/>
      <c r="J569" s="129"/>
      <c r="K569" s="129"/>
      <c r="L569" s="129"/>
      <c r="M569" s="129"/>
      <c r="N569" s="129"/>
      <c r="O569" s="129"/>
      <c r="P569" s="129"/>
      <c r="Q569" s="129"/>
      <c r="R569" s="129"/>
      <c r="S569" s="129"/>
      <c r="T569" s="129"/>
      <c r="U569" s="129"/>
      <c r="V569" s="129"/>
    </row>
    <row r="570" spans="3:22" x14ac:dyDescent="0.3">
      <c r="C570" s="129"/>
      <c r="D570" s="129"/>
      <c r="E570" s="129"/>
      <c r="F570" s="129"/>
      <c r="G570" s="129"/>
      <c r="H570" s="129"/>
      <c r="I570" s="129"/>
      <c r="J570" s="129"/>
      <c r="K570" s="129"/>
      <c r="L570" s="129"/>
      <c r="M570" s="129"/>
      <c r="N570" s="129"/>
      <c r="O570" s="129"/>
      <c r="P570" s="129"/>
      <c r="Q570" s="129"/>
      <c r="R570" s="129"/>
      <c r="S570" s="129"/>
      <c r="T570" s="129"/>
      <c r="U570" s="129"/>
      <c r="V570" s="129"/>
    </row>
    <row r="571" spans="3:22" x14ac:dyDescent="0.3">
      <c r="C571" s="129"/>
      <c r="D571" s="129"/>
      <c r="E571" s="129"/>
      <c r="F571" s="129"/>
      <c r="G571" s="129"/>
      <c r="H571" s="129"/>
      <c r="I571" s="129"/>
      <c r="J571" s="129"/>
      <c r="K571" s="129"/>
      <c r="L571" s="129"/>
      <c r="M571" s="129"/>
      <c r="N571" s="129"/>
      <c r="O571" s="129"/>
      <c r="P571" s="129"/>
      <c r="Q571" s="129"/>
      <c r="R571" s="129"/>
      <c r="S571" s="129"/>
      <c r="T571" s="129"/>
      <c r="U571" s="129"/>
      <c r="V571" s="129"/>
    </row>
    <row r="572" spans="3:22" x14ac:dyDescent="0.3">
      <c r="C572" s="129"/>
      <c r="D572" s="129"/>
      <c r="E572" s="129"/>
      <c r="F572" s="129"/>
      <c r="G572" s="129"/>
      <c r="H572" s="129"/>
      <c r="I572" s="129"/>
      <c r="J572" s="129"/>
      <c r="K572" s="129"/>
      <c r="L572" s="129"/>
      <c r="M572" s="129"/>
      <c r="N572" s="129"/>
      <c r="O572" s="129"/>
      <c r="P572" s="129"/>
      <c r="Q572" s="129"/>
      <c r="R572" s="129"/>
      <c r="S572" s="129"/>
      <c r="T572" s="129"/>
      <c r="U572" s="129"/>
      <c r="V572" s="129"/>
    </row>
    <row r="573" spans="3:22" x14ac:dyDescent="0.3">
      <c r="C573" s="129"/>
      <c r="D573" s="129"/>
      <c r="E573" s="129"/>
      <c r="F573" s="129"/>
      <c r="G573" s="129"/>
      <c r="H573" s="129"/>
      <c r="I573" s="129"/>
      <c r="J573" s="129"/>
      <c r="K573" s="129"/>
      <c r="L573" s="129"/>
      <c r="M573" s="129"/>
      <c r="N573" s="129"/>
      <c r="O573" s="129"/>
      <c r="P573" s="129"/>
      <c r="Q573" s="129"/>
      <c r="R573" s="129"/>
      <c r="S573" s="129"/>
      <c r="T573" s="129"/>
      <c r="U573" s="129"/>
      <c r="V573" s="129"/>
    </row>
    <row r="574" spans="3:22" x14ac:dyDescent="0.3">
      <c r="C574" s="129"/>
      <c r="D574" s="129"/>
      <c r="E574" s="129"/>
      <c r="F574" s="129"/>
      <c r="G574" s="129"/>
      <c r="H574" s="129"/>
      <c r="I574" s="129"/>
      <c r="J574" s="129"/>
      <c r="K574" s="129"/>
      <c r="L574" s="129"/>
      <c r="M574" s="129"/>
      <c r="N574" s="129"/>
      <c r="O574" s="129"/>
      <c r="P574" s="129"/>
      <c r="Q574" s="129"/>
      <c r="R574" s="129"/>
      <c r="S574" s="129"/>
      <c r="T574" s="129"/>
      <c r="U574" s="129"/>
      <c r="V574" s="129"/>
    </row>
    <row r="575" spans="3:22" x14ac:dyDescent="0.3">
      <c r="C575" s="129"/>
      <c r="D575" s="129"/>
      <c r="E575" s="129"/>
      <c r="F575" s="129"/>
      <c r="G575" s="129"/>
      <c r="H575" s="129"/>
      <c r="I575" s="129"/>
      <c r="J575" s="129"/>
      <c r="K575" s="129"/>
      <c r="L575" s="129"/>
      <c r="M575" s="129"/>
      <c r="N575" s="129"/>
      <c r="O575" s="129"/>
      <c r="P575" s="129"/>
      <c r="Q575" s="129"/>
      <c r="R575" s="129"/>
      <c r="S575" s="129"/>
      <c r="T575" s="129"/>
      <c r="U575" s="129"/>
      <c r="V575" s="129"/>
    </row>
    <row r="576" spans="3:22" x14ac:dyDescent="0.3">
      <c r="C576" s="129"/>
      <c r="D576" s="129"/>
      <c r="E576" s="129"/>
      <c r="F576" s="129"/>
      <c r="G576" s="129"/>
      <c r="H576" s="129"/>
      <c r="I576" s="129"/>
      <c r="J576" s="129"/>
      <c r="K576" s="129"/>
      <c r="L576" s="129"/>
      <c r="M576" s="129"/>
      <c r="N576" s="129"/>
      <c r="O576" s="129"/>
      <c r="P576" s="129"/>
      <c r="Q576" s="129"/>
      <c r="R576" s="129"/>
      <c r="S576" s="129"/>
      <c r="T576" s="129"/>
      <c r="U576" s="129"/>
      <c r="V576" s="129"/>
    </row>
    <row r="577" spans="3:22" x14ac:dyDescent="0.3">
      <c r="C577" s="129"/>
      <c r="D577" s="129"/>
      <c r="E577" s="129"/>
      <c r="F577" s="129"/>
      <c r="G577" s="129"/>
      <c r="H577" s="129"/>
      <c r="I577" s="129"/>
      <c r="J577" s="129"/>
      <c r="K577" s="129"/>
      <c r="L577" s="129"/>
      <c r="M577" s="129"/>
      <c r="N577" s="129"/>
      <c r="O577" s="129"/>
      <c r="P577" s="129"/>
      <c r="Q577" s="129"/>
      <c r="R577" s="129"/>
      <c r="S577" s="129"/>
      <c r="T577" s="129"/>
      <c r="U577" s="129"/>
      <c r="V577" s="129"/>
    </row>
    <row r="578" spans="3:22" x14ac:dyDescent="0.3">
      <c r="C578" s="129"/>
      <c r="D578" s="129"/>
      <c r="E578" s="129"/>
      <c r="F578" s="129"/>
      <c r="G578" s="129"/>
      <c r="H578" s="129"/>
      <c r="I578" s="129"/>
      <c r="J578" s="129"/>
      <c r="K578" s="129"/>
      <c r="L578" s="129"/>
      <c r="M578" s="129"/>
      <c r="N578" s="129"/>
      <c r="O578" s="129"/>
      <c r="P578" s="129"/>
      <c r="Q578" s="129"/>
      <c r="R578" s="129"/>
      <c r="S578" s="129"/>
      <c r="T578" s="129"/>
      <c r="U578" s="129"/>
      <c r="V578" s="129"/>
    </row>
    <row r="579" spans="3:22" x14ac:dyDescent="0.3">
      <c r="C579" s="129"/>
      <c r="D579" s="129"/>
      <c r="E579" s="129"/>
      <c r="F579" s="129"/>
      <c r="G579" s="129"/>
      <c r="H579" s="129"/>
      <c r="I579" s="129"/>
      <c r="J579" s="129"/>
      <c r="K579" s="129"/>
      <c r="L579" s="129"/>
      <c r="M579" s="129"/>
      <c r="N579" s="129"/>
      <c r="O579" s="129"/>
      <c r="P579" s="129"/>
      <c r="Q579" s="129"/>
      <c r="R579" s="129"/>
      <c r="S579" s="129"/>
      <c r="T579" s="129"/>
      <c r="U579" s="129"/>
      <c r="V579" s="129"/>
    </row>
    <row r="580" spans="3:22" x14ac:dyDescent="0.3">
      <c r="C580" s="129"/>
      <c r="D580" s="129"/>
      <c r="E580" s="129"/>
      <c r="F580" s="129"/>
      <c r="G580" s="129"/>
      <c r="H580" s="129"/>
      <c r="I580" s="129"/>
      <c r="J580" s="129"/>
      <c r="K580" s="129"/>
      <c r="L580" s="129"/>
      <c r="M580" s="129"/>
      <c r="N580" s="129"/>
      <c r="O580" s="129"/>
      <c r="P580" s="129"/>
      <c r="Q580" s="129"/>
      <c r="R580" s="129"/>
      <c r="S580" s="129"/>
      <c r="T580" s="129"/>
      <c r="U580" s="129"/>
      <c r="V580" s="129"/>
    </row>
    <row r="581" spans="3:22" x14ac:dyDescent="0.3">
      <c r="C581" s="129"/>
      <c r="D581" s="129"/>
      <c r="E581" s="129"/>
      <c r="F581" s="129"/>
      <c r="G581" s="129"/>
      <c r="H581" s="129"/>
      <c r="I581" s="129"/>
      <c r="J581" s="129"/>
      <c r="K581" s="129"/>
      <c r="L581" s="129"/>
      <c r="M581" s="129"/>
      <c r="N581" s="129"/>
      <c r="O581" s="129"/>
      <c r="P581" s="129"/>
      <c r="Q581" s="129"/>
      <c r="R581" s="129"/>
      <c r="S581" s="129"/>
      <c r="T581" s="129"/>
      <c r="U581" s="129"/>
      <c r="V581" s="129"/>
    </row>
    <row r="582" spans="3:22" x14ac:dyDescent="0.3">
      <c r="C582" s="129"/>
      <c r="D582" s="129"/>
      <c r="E582" s="129"/>
      <c r="F582" s="129"/>
      <c r="G582" s="129"/>
      <c r="H582" s="129"/>
      <c r="I582" s="129"/>
      <c r="J582" s="129"/>
      <c r="K582" s="129"/>
      <c r="L582" s="129"/>
      <c r="M582" s="129"/>
      <c r="N582" s="129"/>
      <c r="O582" s="129"/>
      <c r="P582" s="129"/>
      <c r="Q582" s="129"/>
      <c r="R582" s="129"/>
      <c r="S582" s="129"/>
      <c r="T582" s="129"/>
      <c r="U582" s="129"/>
      <c r="V582" s="129"/>
    </row>
    <row r="583" spans="3:22" x14ac:dyDescent="0.3">
      <c r="C583" s="129"/>
      <c r="D583" s="129"/>
      <c r="E583" s="129"/>
      <c r="F583" s="129"/>
      <c r="G583" s="129"/>
      <c r="H583" s="129"/>
      <c r="I583" s="129"/>
      <c r="J583" s="129"/>
      <c r="K583" s="129"/>
      <c r="L583" s="129"/>
      <c r="M583" s="129"/>
      <c r="N583" s="129"/>
      <c r="O583" s="129"/>
      <c r="P583" s="129"/>
      <c r="Q583" s="129"/>
      <c r="R583" s="129"/>
      <c r="S583" s="129"/>
      <c r="T583" s="129"/>
      <c r="U583" s="129"/>
      <c r="V583" s="129"/>
    </row>
    <row r="584" spans="3:22" x14ac:dyDescent="0.3">
      <c r="C584" s="129"/>
      <c r="D584" s="129"/>
      <c r="E584" s="129"/>
      <c r="F584" s="129"/>
      <c r="G584" s="129"/>
      <c r="H584" s="129"/>
      <c r="I584" s="129"/>
      <c r="J584" s="129"/>
      <c r="K584" s="129"/>
      <c r="L584" s="129"/>
      <c r="M584" s="129"/>
      <c r="N584" s="129"/>
      <c r="O584" s="129"/>
      <c r="P584" s="129"/>
      <c r="Q584" s="129"/>
      <c r="R584" s="129"/>
      <c r="S584" s="129"/>
      <c r="T584" s="129"/>
      <c r="U584" s="129"/>
      <c r="V584" s="129"/>
    </row>
    <row r="585" spans="3:22" x14ac:dyDescent="0.3">
      <c r="C585" s="129"/>
      <c r="D585" s="129"/>
      <c r="E585" s="129"/>
      <c r="F585" s="129"/>
      <c r="G585" s="129"/>
      <c r="H585" s="129"/>
      <c r="I585" s="129"/>
      <c r="J585" s="129"/>
      <c r="K585" s="129"/>
      <c r="L585" s="129"/>
      <c r="M585" s="129"/>
      <c r="N585" s="129"/>
      <c r="O585" s="129"/>
      <c r="P585" s="129"/>
      <c r="Q585" s="129"/>
      <c r="R585" s="129"/>
      <c r="S585" s="129"/>
      <c r="T585" s="129"/>
      <c r="U585" s="129"/>
      <c r="V585" s="129"/>
    </row>
    <row r="586" spans="3:22" x14ac:dyDescent="0.3">
      <c r="C586" s="129"/>
      <c r="D586" s="129"/>
      <c r="E586" s="129"/>
      <c r="F586" s="129"/>
      <c r="G586" s="129"/>
      <c r="H586" s="129"/>
      <c r="I586" s="129"/>
      <c r="J586" s="129"/>
      <c r="K586" s="129"/>
      <c r="L586" s="129"/>
      <c r="M586" s="129"/>
      <c r="N586" s="129"/>
      <c r="O586" s="129"/>
      <c r="P586" s="129"/>
      <c r="Q586" s="129"/>
      <c r="R586" s="129"/>
      <c r="S586" s="129"/>
      <c r="T586" s="129"/>
      <c r="U586" s="129"/>
      <c r="V586" s="129"/>
    </row>
    <row r="587" spans="3:22" x14ac:dyDescent="0.3">
      <c r="C587" s="129"/>
      <c r="D587" s="129"/>
      <c r="E587" s="129"/>
      <c r="F587" s="129"/>
      <c r="G587" s="129"/>
      <c r="H587" s="129"/>
      <c r="I587" s="129"/>
      <c r="J587" s="129"/>
      <c r="K587" s="129"/>
      <c r="L587" s="129"/>
      <c r="M587" s="129"/>
      <c r="N587" s="129"/>
      <c r="O587" s="129"/>
      <c r="P587" s="129"/>
      <c r="Q587" s="129"/>
      <c r="R587" s="129"/>
      <c r="S587" s="129"/>
      <c r="T587" s="129"/>
      <c r="U587" s="129"/>
      <c r="V587" s="129"/>
    </row>
    <row r="588" spans="3:22" x14ac:dyDescent="0.3">
      <c r="C588" s="129"/>
      <c r="D588" s="129"/>
      <c r="E588" s="129"/>
      <c r="F588" s="129"/>
      <c r="G588" s="129"/>
      <c r="H588" s="129"/>
      <c r="I588" s="129"/>
      <c r="J588" s="129"/>
      <c r="K588" s="129"/>
      <c r="L588" s="129"/>
      <c r="M588" s="129"/>
      <c r="N588" s="129"/>
      <c r="O588" s="129"/>
      <c r="P588" s="129"/>
      <c r="Q588" s="129"/>
      <c r="R588" s="129"/>
      <c r="S588" s="129"/>
      <c r="T588" s="129"/>
      <c r="U588" s="129"/>
      <c r="V588" s="129"/>
    </row>
    <row r="589" spans="3:22" x14ac:dyDescent="0.3">
      <c r="C589" s="129"/>
      <c r="D589" s="129"/>
      <c r="E589" s="129"/>
      <c r="F589" s="129"/>
      <c r="G589" s="129"/>
      <c r="H589" s="129"/>
      <c r="I589" s="129"/>
      <c r="J589" s="129"/>
      <c r="K589" s="129"/>
      <c r="L589" s="129"/>
      <c r="M589" s="129"/>
      <c r="N589" s="129"/>
      <c r="O589" s="129"/>
      <c r="P589" s="129"/>
      <c r="Q589" s="129"/>
      <c r="R589" s="129"/>
      <c r="S589" s="129"/>
      <c r="T589" s="129"/>
      <c r="U589" s="129"/>
      <c r="V589" s="129"/>
    </row>
    <row r="590" spans="3:22" x14ac:dyDescent="0.3">
      <c r="C590" s="129"/>
      <c r="D590" s="129"/>
      <c r="E590" s="129"/>
      <c r="F590" s="129"/>
      <c r="G590" s="129"/>
      <c r="H590" s="129"/>
      <c r="I590" s="129"/>
      <c r="J590" s="129"/>
      <c r="K590" s="129"/>
      <c r="L590" s="129"/>
      <c r="M590" s="129"/>
      <c r="N590" s="129"/>
      <c r="O590" s="129"/>
      <c r="P590" s="129"/>
      <c r="Q590" s="129"/>
      <c r="R590" s="129"/>
      <c r="S590" s="129"/>
      <c r="T590" s="129"/>
      <c r="U590" s="129"/>
      <c r="V590" s="129"/>
    </row>
    <row r="591" spans="3:22" x14ac:dyDescent="0.3">
      <c r="C591" s="129"/>
      <c r="D591" s="129"/>
      <c r="E591" s="129"/>
      <c r="F591" s="129"/>
      <c r="G591" s="129"/>
      <c r="H591" s="129"/>
      <c r="I591" s="129"/>
      <c r="J591" s="129"/>
      <c r="K591" s="129"/>
      <c r="L591" s="129"/>
      <c r="M591" s="129"/>
      <c r="N591" s="129"/>
      <c r="O591" s="129"/>
      <c r="P591" s="129"/>
      <c r="Q591" s="129"/>
      <c r="R591" s="129"/>
      <c r="S591" s="129"/>
      <c r="T591" s="129"/>
      <c r="U591" s="129"/>
      <c r="V591" s="129"/>
    </row>
    <row r="592" spans="3:22" x14ac:dyDescent="0.3">
      <c r="C592" s="129"/>
      <c r="D592" s="129"/>
      <c r="E592" s="129"/>
      <c r="F592" s="129"/>
      <c r="G592" s="129"/>
      <c r="H592" s="129"/>
      <c r="I592" s="129"/>
      <c r="J592" s="129"/>
      <c r="K592" s="129"/>
      <c r="L592" s="129"/>
      <c r="M592" s="129"/>
      <c r="N592" s="129"/>
      <c r="O592" s="129"/>
      <c r="P592" s="129"/>
      <c r="Q592" s="129"/>
      <c r="R592" s="129"/>
      <c r="S592" s="129"/>
      <c r="T592" s="129"/>
      <c r="U592" s="129"/>
      <c r="V592" s="129"/>
    </row>
    <row r="593" spans="3:22" x14ac:dyDescent="0.3">
      <c r="C593" s="129"/>
      <c r="D593" s="129"/>
      <c r="E593" s="129"/>
      <c r="F593" s="129"/>
      <c r="G593" s="129"/>
      <c r="H593" s="129"/>
      <c r="I593" s="129"/>
      <c r="J593" s="129"/>
      <c r="K593" s="129"/>
      <c r="L593" s="129"/>
      <c r="M593" s="129"/>
      <c r="N593" s="129"/>
      <c r="O593" s="129"/>
      <c r="P593" s="129"/>
      <c r="Q593" s="129"/>
      <c r="R593" s="129"/>
      <c r="S593" s="129"/>
      <c r="T593" s="129"/>
      <c r="U593" s="129"/>
      <c r="V593" s="129"/>
    </row>
    <row r="594" spans="3:22" x14ac:dyDescent="0.3">
      <c r="C594" s="129"/>
      <c r="D594" s="129"/>
      <c r="E594" s="129"/>
      <c r="F594" s="129"/>
      <c r="G594" s="129"/>
      <c r="H594" s="129"/>
      <c r="I594" s="129"/>
      <c r="J594" s="129"/>
      <c r="K594" s="129"/>
      <c r="L594" s="129"/>
      <c r="M594" s="129"/>
      <c r="N594" s="129"/>
      <c r="O594" s="129"/>
      <c r="P594" s="129"/>
      <c r="Q594" s="129"/>
      <c r="R594" s="129"/>
      <c r="S594" s="129"/>
      <c r="T594" s="129"/>
      <c r="U594" s="129"/>
      <c r="V594" s="129"/>
    </row>
    <row r="595" spans="3:22" x14ac:dyDescent="0.3">
      <c r="C595" s="129"/>
      <c r="D595" s="129"/>
      <c r="E595" s="129"/>
      <c r="F595" s="129"/>
      <c r="G595" s="129"/>
      <c r="H595" s="129"/>
      <c r="I595" s="129"/>
      <c r="J595" s="129"/>
      <c r="K595" s="129"/>
      <c r="L595" s="129"/>
      <c r="M595" s="129"/>
      <c r="N595" s="129"/>
      <c r="O595" s="129"/>
      <c r="P595" s="129"/>
      <c r="Q595" s="129"/>
      <c r="R595" s="129"/>
      <c r="S595" s="129"/>
      <c r="T595" s="129"/>
      <c r="U595" s="129"/>
      <c r="V595" s="129"/>
    </row>
    <row r="596" spans="3:22" x14ac:dyDescent="0.3">
      <c r="C596" s="129"/>
      <c r="D596" s="129"/>
      <c r="E596" s="129"/>
      <c r="F596" s="129"/>
      <c r="G596" s="129"/>
      <c r="H596" s="129"/>
      <c r="I596" s="129"/>
      <c r="J596" s="129"/>
      <c r="K596" s="129"/>
      <c r="L596" s="129"/>
      <c r="M596" s="129"/>
      <c r="N596" s="129"/>
      <c r="O596" s="129"/>
      <c r="P596" s="129"/>
      <c r="Q596" s="129"/>
      <c r="R596" s="129"/>
      <c r="S596" s="129"/>
      <c r="T596" s="129"/>
      <c r="U596" s="129"/>
      <c r="V596" s="129"/>
    </row>
    <row r="597" spans="3:22" x14ac:dyDescent="0.3">
      <c r="C597" s="129"/>
      <c r="D597" s="129"/>
      <c r="E597" s="129"/>
      <c r="F597" s="129"/>
      <c r="G597" s="129"/>
      <c r="H597" s="129"/>
      <c r="I597" s="129"/>
      <c r="J597" s="129"/>
      <c r="K597" s="129"/>
      <c r="L597" s="129"/>
      <c r="M597" s="129"/>
      <c r="N597" s="129"/>
      <c r="O597" s="129"/>
      <c r="P597" s="129"/>
      <c r="Q597" s="129"/>
      <c r="R597" s="129"/>
      <c r="S597" s="129"/>
      <c r="T597" s="129"/>
      <c r="U597" s="129"/>
      <c r="V597" s="129"/>
    </row>
    <row r="598" spans="3:22" x14ac:dyDescent="0.3">
      <c r="C598" s="129"/>
      <c r="D598" s="129"/>
      <c r="E598" s="129"/>
      <c r="F598" s="129"/>
      <c r="G598" s="129"/>
      <c r="H598" s="129"/>
      <c r="I598" s="129"/>
      <c r="J598" s="129"/>
      <c r="K598" s="129"/>
      <c r="L598" s="129"/>
      <c r="M598" s="129"/>
      <c r="N598" s="129"/>
      <c r="O598" s="129"/>
      <c r="P598" s="129"/>
      <c r="Q598" s="129"/>
      <c r="R598" s="129"/>
      <c r="S598" s="129"/>
      <c r="T598" s="129"/>
      <c r="U598" s="129"/>
      <c r="V598" s="129"/>
    </row>
    <row r="599" spans="3:22" x14ac:dyDescent="0.3">
      <c r="C599" s="129"/>
      <c r="D599" s="129"/>
      <c r="E599" s="129"/>
      <c r="F599" s="129"/>
      <c r="G599" s="129"/>
      <c r="H599" s="129"/>
      <c r="I599" s="129"/>
      <c r="J599" s="129"/>
      <c r="K599" s="129"/>
      <c r="L599" s="129"/>
      <c r="M599" s="129"/>
      <c r="N599" s="129"/>
      <c r="O599" s="129"/>
      <c r="P599" s="129"/>
      <c r="Q599" s="129"/>
      <c r="R599" s="129"/>
      <c r="S599" s="129"/>
      <c r="T599" s="129"/>
      <c r="U599" s="129"/>
      <c r="V599" s="129"/>
    </row>
    <row r="600" spans="3:22" x14ac:dyDescent="0.3">
      <c r="C600" s="129"/>
      <c r="D600" s="129"/>
      <c r="E600" s="129"/>
      <c r="F600" s="129"/>
      <c r="G600" s="129"/>
      <c r="H600" s="129"/>
      <c r="I600" s="129"/>
      <c r="J600" s="129"/>
      <c r="K600" s="129"/>
      <c r="L600" s="129"/>
      <c r="M600" s="129"/>
      <c r="N600" s="129"/>
      <c r="O600" s="129"/>
      <c r="P600" s="129"/>
      <c r="Q600" s="129"/>
      <c r="R600" s="129"/>
      <c r="S600" s="129"/>
      <c r="T600" s="129"/>
      <c r="U600" s="129"/>
      <c r="V600" s="129"/>
    </row>
    <row r="601" spans="3:22" x14ac:dyDescent="0.3">
      <c r="C601" s="129"/>
      <c r="D601" s="129"/>
      <c r="E601" s="129"/>
      <c r="F601" s="129"/>
      <c r="G601" s="129"/>
      <c r="H601" s="129"/>
      <c r="I601" s="129"/>
      <c r="J601" s="129"/>
      <c r="K601" s="129"/>
      <c r="L601" s="129"/>
      <c r="M601" s="129"/>
      <c r="N601" s="129"/>
      <c r="O601" s="129"/>
      <c r="P601" s="129"/>
      <c r="Q601" s="129"/>
      <c r="R601" s="129"/>
      <c r="S601" s="129"/>
      <c r="T601" s="129"/>
      <c r="U601" s="129"/>
      <c r="V601" s="129"/>
    </row>
    <row r="602" spans="3:22" x14ac:dyDescent="0.3">
      <c r="C602" s="129"/>
      <c r="D602" s="129"/>
      <c r="E602" s="129"/>
      <c r="F602" s="129"/>
      <c r="G602" s="129"/>
      <c r="H602" s="129"/>
      <c r="I602" s="129"/>
      <c r="J602" s="129"/>
      <c r="K602" s="129"/>
      <c r="L602" s="129"/>
      <c r="M602" s="129"/>
      <c r="N602" s="129"/>
      <c r="O602" s="129"/>
      <c r="P602" s="129"/>
      <c r="Q602" s="129"/>
      <c r="R602" s="129"/>
      <c r="S602" s="129"/>
      <c r="T602" s="129"/>
      <c r="U602" s="129"/>
      <c r="V602" s="129"/>
    </row>
    <row r="603" spans="3:22" x14ac:dyDescent="0.3">
      <c r="C603" s="129"/>
      <c r="D603" s="129"/>
      <c r="E603" s="129"/>
      <c r="F603" s="129"/>
      <c r="G603" s="129"/>
      <c r="H603" s="129"/>
      <c r="I603" s="129"/>
      <c r="J603" s="129"/>
      <c r="K603" s="129"/>
      <c r="L603" s="129"/>
      <c r="M603" s="129"/>
      <c r="N603" s="129"/>
      <c r="O603" s="129"/>
      <c r="P603" s="129"/>
      <c r="Q603" s="129"/>
      <c r="R603" s="129"/>
      <c r="S603" s="129"/>
      <c r="T603" s="129"/>
      <c r="U603" s="129"/>
      <c r="V603" s="129"/>
    </row>
    <row r="604" spans="3:22" x14ac:dyDescent="0.3">
      <c r="C604" s="129"/>
      <c r="D604" s="129"/>
      <c r="E604" s="129"/>
      <c r="F604" s="129"/>
      <c r="G604" s="129"/>
      <c r="H604" s="129"/>
      <c r="I604" s="129"/>
      <c r="J604" s="129"/>
      <c r="K604" s="129"/>
      <c r="L604" s="129"/>
      <c r="M604" s="129"/>
      <c r="N604" s="129"/>
      <c r="O604" s="129"/>
      <c r="P604" s="129"/>
      <c r="Q604" s="129"/>
      <c r="R604" s="129"/>
      <c r="S604" s="129"/>
      <c r="T604" s="129"/>
      <c r="U604" s="129"/>
      <c r="V604" s="129"/>
    </row>
    <row r="605" spans="3:22" x14ac:dyDescent="0.3">
      <c r="C605" s="129"/>
      <c r="D605" s="129"/>
      <c r="E605" s="129"/>
      <c r="F605" s="129"/>
      <c r="G605" s="129"/>
      <c r="H605" s="129"/>
      <c r="I605" s="129"/>
      <c r="J605" s="129"/>
      <c r="K605" s="129"/>
      <c r="L605" s="129"/>
      <c r="M605" s="129"/>
      <c r="N605" s="129"/>
      <c r="O605" s="129"/>
      <c r="P605" s="129"/>
      <c r="Q605" s="129"/>
      <c r="R605" s="129"/>
      <c r="S605" s="129"/>
      <c r="T605" s="129"/>
      <c r="U605" s="129"/>
      <c r="V605" s="129"/>
    </row>
    <row r="606" spans="3:22" x14ac:dyDescent="0.3">
      <c r="C606" s="129"/>
      <c r="D606" s="129"/>
      <c r="E606" s="129"/>
      <c r="F606" s="129"/>
      <c r="G606" s="129"/>
      <c r="H606" s="129"/>
      <c r="I606" s="129"/>
      <c r="J606" s="129"/>
      <c r="K606" s="129"/>
      <c r="L606" s="129"/>
      <c r="M606" s="129"/>
      <c r="N606" s="129"/>
      <c r="O606" s="129"/>
      <c r="P606" s="129"/>
      <c r="Q606" s="129"/>
      <c r="R606" s="129"/>
      <c r="S606" s="129"/>
      <c r="T606" s="129"/>
      <c r="U606" s="129"/>
      <c r="V606" s="129"/>
    </row>
    <row r="607" spans="3:22" x14ac:dyDescent="0.3">
      <c r="C607" s="129"/>
      <c r="D607" s="129"/>
      <c r="E607" s="129"/>
      <c r="F607" s="129"/>
      <c r="G607" s="129"/>
      <c r="H607" s="129"/>
      <c r="I607" s="129"/>
      <c r="J607" s="129"/>
      <c r="K607" s="129"/>
      <c r="L607" s="129"/>
      <c r="M607" s="129"/>
      <c r="N607" s="129"/>
      <c r="O607" s="129"/>
      <c r="P607" s="129"/>
      <c r="Q607" s="129"/>
      <c r="R607" s="129"/>
      <c r="S607" s="129"/>
      <c r="T607" s="129"/>
      <c r="U607" s="129"/>
      <c r="V607" s="129"/>
    </row>
    <row r="608" spans="3:22" x14ac:dyDescent="0.3">
      <c r="C608" s="129"/>
      <c r="D608" s="129"/>
      <c r="E608" s="129"/>
      <c r="F608" s="129"/>
      <c r="G608" s="129"/>
      <c r="H608" s="129"/>
      <c r="I608" s="129"/>
      <c r="J608" s="129"/>
      <c r="K608" s="129"/>
      <c r="L608" s="129"/>
      <c r="M608" s="129"/>
      <c r="N608" s="129"/>
      <c r="O608" s="129"/>
      <c r="P608" s="129"/>
      <c r="Q608" s="129"/>
      <c r="R608" s="129"/>
      <c r="S608" s="129"/>
      <c r="T608" s="129"/>
      <c r="U608" s="129"/>
      <c r="V608" s="129"/>
    </row>
    <row r="609" spans="3:22" x14ac:dyDescent="0.3">
      <c r="C609" s="129"/>
      <c r="D609" s="129"/>
      <c r="E609" s="129"/>
      <c r="F609" s="129"/>
      <c r="G609" s="129"/>
      <c r="H609" s="129"/>
      <c r="I609" s="129"/>
      <c r="J609" s="129"/>
      <c r="K609" s="129"/>
      <c r="L609" s="129"/>
      <c r="M609" s="129"/>
      <c r="N609" s="129"/>
      <c r="O609" s="129"/>
      <c r="P609" s="129"/>
      <c r="Q609" s="129"/>
      <c r="R609" s="129"/>
      <c r="S609" s="129"/>
      <c r="T609" s="129"/>
      <c r="U609" s="129"/>
      <c r="V609" s="129"/>
    </row>
    <row r="610" spans="3:22" x14ac:dyDescent="0.3">
      <c r="C610" s="129"/>
      <c r="D610" s="129"/>
      <c r="E610" s="129"/>
      <c r="F610" s="129"/>
      <c r="G610" s="129"/>
      <c r="H610" s="129"/>
      <c r="I610" s="129"/>
      <c r="J610" s="129"/>
      <c r="K610" s="129"/>
      <c r="L610" s="129"/>
      <c r="M610" s="129"/>
      <c r="N610" s="129"/>
      <c r="O610" s="129"/>
      <c r="P610" s="129"/>
      <c r="Q610" s="129"/>
      <c r="R610" s="129"/>
      <c r="S610" s="129"/>
      <c r="T610" s="129"/>
      <c r="U610" s="129"/>
      <c r="V610" s="129"/>
    </row>
    <row r="611" spans="3:22" x14ac:dyDescent="0.3">
      <c r="C611" s="129"/>
      <c r="D611" s="129"/>
      <c r="E611" s="129"/>
      <c r="F611" s="129"/>
      <c r="G611" s="129"/>
      <c r="H611" s="129"/>
      <c r="I611" s="129"/>
      <c r="J611" s="129"/>
      <c r="K611" s="129"/>
      <c r="L611" s="129"/>
      <c r="M611" s="129"/>
      <c r="N611" s="129"/>
      <c r="O611" s="129"/>
      <c r="P611" s="129"/>
      <c r="Q611" s="129"/>
      <c r="R611" s="129"/>
      <c r="S611" s="129"/>
      <c r="T611" s="129"/>
      <c r="U611" s="129"/>
      <c r="V611" s="129"/>
    </row>
    <row r="612" spans="3:22" x14ac:dyDescent="0.3">
      <c r="C612" s="129"/>
      <c r="D612" s="129"/>
      <c r="E612" s="129"/>
      <c r="F612" s="129"/>
      <c r="G612" s="129"/>
      <c r="H612" s="129"/>
      <c r="I612" s="129"/>
      <c r="J612" s="129"/>
      <c r="K612" s="129"/>
      <c r="L612" s="129"/>
      <c r="M612" s="129"/>
      <c r="N612" s="129"/>
      <c r="O612" s="129"/>
      <c r="P612" s="129"/>
      <c r="Q612" s="129"/>
      <c r="R612" s="129"/>
      <c r="S612" s="129"/>
      <c r="T612" s="129"/>
      <c r="U612" s="129"/>
      <c r="V612" s="129"/>
    </row>
    <row r="613" spans="3:22" x14ac:dyDescent="0.3">
      <c r="C613" s="129"/>
      <c r="D613" s="129"/>
      <c r="E613" s="129"/>
      <c r="F613" s="129"/>
      <c r="G613" s="129"/>
      <c r="H613" s="129"/>
      <c r="I613" s="129"/>
      <c r="J613" s="129"/>
      <c r="K613" s="129"/>
      <c r="L613" s="129"/>
      <c r="M613" s="129"/>
      <c r="N613" s="129"/>
      <c r="O613" s="129"/>
      <c r="P613" s="129"/>
      <c r="Q613" s="129"/>
      <c r="R613" s="129"/>
      <c r="S613" s="129"/>
      <c r="T613" s="129"/>
      <c r="U613" s="129"/>
      <c r="V613" s="129"/>
    </row>
    <row r="614" spans="3:22" x14ac:dyDescent="0.3">
      <c r="C614" s="129"/>
      <c r="D614" s="129"/>
      <c r="E614" s="129"/>
      <c r="F614" s="129"/>
      <c r="G614" s="129"/>
      <c r="H614" s="129"/>
      <c r="I614" s="129"/>
      <c r="J614" s="129"/>
      <c r="K614" s="129"/>
      <c r="L614" s="129"/>
      <c r="M614" s="129"/>
      <c r="N614" s="129"/>
      <c r="O614" s="129"/>
      <c r="P614" s="129"/>
      <c r="Q614" s="129"/>
      <c r="R614" s="129"/>
      <c r="S614" s="129"/>
      <c r="T614" s="129"/>
      <c r="U614" s="129"/>
      <c r="V614" s="129"/>
    </row>
    <row r="615" spans="3:22" x14ac:dyDescent="0.3">
      <c r="C615" s="129"/>
      <c r="D615" s="129"/>
      <c r="E615" s="129"/>
      <c r="F615" s="129"/>
      <c r="G615" s="129"/>
      <c r="H615" s="129"/>
      <c r="I615" s="129"/>
      <c r="J615" s="129"/>
      <c r="K615" s="129"/>
      <c r="L615" s="129"/>
      <c r="M615" s="129"/>
      <c r="N615" s="129"/>
      <c r="O615" s="129"/>
      <c r="P615" s="129"/>
      <c r="Q615" s="129"/>
      <c r="R615" s="129"/>
      <c r="S615" s="129"/>
      <c r="T615" s="129"/>
      <c r="U615" s="129"/>
      <c r="V615" s="129"/>
    </row>
    <row r="616" spans="3:22" x14ac:dyDescent="0.3">
      <c r="C616" s="129"/>
      <c r="D616" s="129"/>
      <c r="E616" s="129"/>
      <c r="F616" s="129"/>
      <c r="G616" s="129"/>
      <c r="H616" s="129"/>
      <c r="I616" s="129"/>
      <c r="J616" s="129"/>
      <c r="K616" s="129"/>
      <c r="L616" s="129"/>
      <c r="M616" s="129"/>
      <c r="N616" s="129"/>
      <c r="O616" s="129"/>
      <c r="P616" s="129"/>
      <c r="Q616" s="129"/>
      <c r="R616" s="129"/>
      <c r="S616" s="129"/>
      <c r="T616" s="129"/>
      <c r="U616" s="129"/>
      <c r="V616" s="129"/>
    </row>
    <row r="617" spans="3:22" x14ac:dyDescent="0.3">
      <c r="C617" s="129"/>
      <c r="D617" s="129"/>
      <c r="E617" s="129"/>
      <c r="F617" s="129"/>
      <c r="G617" s="129"/>
      <c r="H617" s="129"/>
      <c r="I617" s="129"/>
      <c r="J617" s="129"/>
      <c r="K617" s="129"/>
      <c r="L617" s="129"/>
      <c r="M617" s="129"/>
      <c r="N617" s="129"/>
      <c r="O617" s="129"/>
      <c r="P617" s="129"/>
      <c r="Q617" s="129"/>
      <c r="R617" s="129"/>
      <c r="S617" s="129"/>
      <c r="T617" s="129"/>
      <c r="U617" s="129"/>
      <c r="V617" s="129"/>
    </row>
    <row r="618" spans="3:22" x14ac:dyDescent="0.3">
      <c r="C618" s="129"/>
      <c r="D618" s="129"/>
      <c r="E618" s="129"/>
      <c r="F618" s="129"/>
      <c r="G618" s="129"/>
      <c r="H618" s="129"/>
      <c r="I618" s="129"/>
      <c r="J618" s="129"/>
      <c r="K618" s="129"/>
      <c r="L618" s="129"/>
      <c r="M618" s="129"/>
      <c r="N618" s="129"/>
      <c r="O618" s="129"/>
      <c r="P618" s="129"/>
      <c r="Q618" s="129"/>
      <c r="R618" s="129"/>
      <c r="S618" s="129"/>
      <c r="T618" s="129"/>
      <c r="U618" s="129"/>
      <c r="V618" s="129"/>
    </row>
    <row r="619" spans="3:22" x14ac:dyDescent="0.3">
      <c r="C619" s="129"/>
      <c r="D619" s="129"/>
      <c r="E619" s="129"/>
      <c r="F619" s="129"/>
      <c r="G619" s="129"/>
      <c r="H619" s="129"/>
      <c r="I619" s="129"/>
      <c r="J619" s="129"/>
      <c r="K619" s="129"/>
      <c r="L619" s="129"/>
      <c r="M619" s="129"/>
      <c r="N619" s="129"/>
      <c r="O619" s="129"/>
      <c r="P619" s="129"/>
      <c r="Q619" s="129"/>
      <c r="R619" s="129"/>
      <c r="S619" s="129"/>
      <c r="T619" s="129"/>
      <c r="U619" s="129"/>
      <c r="V619" s="129"/>
    </row>
    <row r="620" spans="3:22" x14ac:dyDescent="0.3">
      <c r="C620" s="129"/>
      <c r="D620" s="129"/>
      <c r="E620" s="129"/>
      <c r="F620" s="129"/>
      <c r="G620" s="129"/>
      <c r="H620" s="129"/>
      <c r="I620" s="129"/>
      <c r="J620" s="129"/>
      <c r="K620" s="129"/>
      <c r="L620" s="129"/>
      <c r="M620" s="129"/>
      <c r="N620" s="129"/>
      <c r="O620" s="129"/>
      <c r="P620" s="129"/>
      <c r="Q620" s="129"/>
      <c r="R620" s="129"/>
      <c r="S620" s="129"/>
      <c r="T620" s="129"/>
      <c r="U620" s="129"/>
      <c r="V620" s="129"/>
    </row>
    <row r="621" spans="3:22" x14ac:dyDescent="0.3">
      <c r="C621" s="129"/>
      <c r="D621" s="129"/>
      <c r="E621" s="129"/>
      <c r="F621" s="129"/>
      <c r="G621" s="129"/>
      <c r="H621" s="129"/>
      <c r="I621" s="129"/>
      <c r="J621" s="129"/>
      <c r="K621" s="129"/>
      <c r="L621" s="129"/>
      <c r="M621" s="129"/>
      <c r="N621" s="129"/>
      <c r="O621" s="129"/>
      <c r="P621" s="129"/>
      <c r="Q621" s="129"/>
      <c r="R621" s="129"/>
      <c r="S621" s="129"/>
      <c r="T621" s="129"/>
      <c r="U621" s="129"/>
      <c r="V621" s="129"/>
    </row>
    <row r="622" spans="3:22" x14ac:dyDescent="0.3">
      <c r="C622" s="129"/>
      <c r="D622" s="129"/>
      <c r="E622" s="129"/>
      <c r="F622" s="129"/>
      <c r="G622" s="129"/>
      <c r="H622" s="129"/>
      <c r="I622" s="129"/>
      <c r="J622" s="129"/>
      <c r="K622" s="129"/>
      <c r="L622" s="129"/>
      <c r="M622" s="129"/>
      <c r="N622" s="129"/>
      <c r="O622" s="129"/>
      <c r="P622" s="129"/>
      <c r="Q622" s="129"/>
      <c r="R622" s="129"/>
      <c r="S622" s="129"/>
      <c r="T622" s="129"/>
      <c r="U622" s="129"/>
      <c r="V622" s="129"/>
    </row>
    <row r="623" spans="3:22" x14ac:dyDescent="0.3">
      <c r="C623" s="129"/>
      <c r="D623" s="129"/>
      <c r="E623" s="129"/>
      <c r="F623" s="129"/>
      <c r="G623" s="129"/>
      <c r="H623" s="129"/>
      <c r="I623" s="129"/>
      <c r="J623" s="129"/>
      <c r="K623" s="129"/>
      <c r="L623" s="129"/>
      <c r="M623" s="129"/>
      <c r="N623" s="129"/>
      <c r="O623" s="129"/>
      <c r="P623" s="129"/>
      <c r="Q623" s="129"/>
      <c r="R623" s="129"/>
      <c r="S623" s="129"/>
      <c r="T623" s="129"/>
      <c r="U623" s="129"/>
      <c r="V623" s="129"/>
    </row>
    <row r="624" spans="3:22" x14ac:dyDescent="0.3">
      <c r="C624" s="129"/>
      <c r="D624" s="129"/>
      <c r="E624" s="129"/>
      <c r="F624" s="129"/>
      <c r="G624" s="129"/>
      <c r="H624" s="129"/>
      <c r="I624" s="129"/>
      <c r="J624" s="129"/>
      <c r="K624" s="129"/>
      <c r="L624" s="129"/>
      <c r="M624" s="129"/>
      <c r="N624" s="129"/>
      <c r="O624" s="129"/>
      <c r="P624" s="129"/>
      <c r="Q624" s="129"/>
      <c r="R624" s="129"/>
      <c r="S624" s="129"/>
      <c r="T624" s="129"/>
      <c r="U624" s="129"/>
      <c r="V624" s="129"/>
    </row>
    <row r="625" spans="3:22" x14ac:dyDescent="0.3">
      <c r="C625" s="129"/>
      <c r="D625" s="129"/>
      <c r="E625" s="129"/>
      <c r="F625" s="129"/>
      <c r="G625" s="129"/>
      <c r="H625" s="129"/>
      <c r="I625" s="129"/>
      <c r="J625" s="129"/>
      <c r="K625" s="129"/>
      <c r="L625" s="129"/>
      <c r="M625" s="129"/>
      <c r="N625" s="129"/>
      <c r="O625" s="129"/>
      <c r="P625" s="129"/>
      <c r="Q625" s="129"/>
      <c r="R625" s="129"/>
      <c r="S625" s="129"/>
      <c r="T625" s="129"/>
      <c r="U625" s="129"/>
      <c r="V625" s="129"/>
    </row>
    <row r="626" spans="3:22" x14ac:dyDescent="0.3">
      <c r="C626" s="129"/>
      <c r="D626" s="129"/>
      <c r="E626" s="129"/>
      <c r="F626" s="129"/>
      <c r="G626" s="129"/>
      <c r="H626" s="129"/>
      <c r="I626" s="129"/>
      <c r="J626" s="129"/>
      <c r="K626" s="129"/>
      <c r="L626" s="129"/>
      <c r="M626" s="129"/>
      <c r="N626" s="129"/>
      <c r="O626" s="129"/>
      <c r="P626" s="129"/>
      <c r="Q626" s="129"/>
      <c r="R626" s="129"/>
      <c r="S626" s="129"/>
      <c r="T626" s="129"/>
      <c r="U626" s="129"/>
      <c r="V626" s="129"/>
    </row>
    <row r="627" spans="3:22" x14ac:dyDescent="0.3">
      <c r="C627" s="129"/>
      <c r="D627" s="129"/>
      <c r="E627" s="129"/>
      <c r="F627" s="129"/>
      <c r="G627" s="129"/>
      <c r="H627" s="129"/>
      <c r="I627" s="129"/>
      <c r="J627" s="129"/>
      <c r="K627" s="129"/>
      <c r="L627" s="129"/>
      <c r="M627" s="129"/>
      <c r="N627" s="129"/>
      <c r="O627" s="129"/>
      <c r="P627" s="129"/>
      <c r="Q627" s="129"/>
      <c r="R627" s="129"/>
      <c r="S627" s="129"/>
      <c r="T627" s="129"/>
      <c r="U627" s="129"/>
      <c r="V627" s="129"/>
    </row>
    <row r="628" spans="3:22" x14ac:dyDescent="0.3">
      <c r="C628" s="129"/>
      <c r="D628" s="129"/>
      <c r="E628" s="129"/>
      <c r="F628" s="129"/>
      <c r="G628" s="129"/>
      <c r="H628" s="129"/>
      <c r="I628" s="129"/>
      <c r="J628" s="129"/>
      <c r="K628" s="129"/>
      <c r="L628" s="129"/>
      <c r="M628" s="129"/>
      <c r="N628" s="129"/>
      <c r="O628" s="129"/>
      <c r="P628" s="129"/>
      <c r="Q628" s="129"/>
      <c r="R628" s="129"/>
      <c r="S628" s="129"/>
      <c r="T628" s="129"/>
      <c r="U628" s="129"/>
      <c r="V628" s="129"/>
    </row>
    <row r="629" spans="3:22" x14ac:dyDescent="0.3">
      <c r="C629" s="129"/>
      <c r="D629" s="129"/>
      <c r="E629" s="129"/>
      <c r="F629" s="129"/>
      <c r="G629" s="129"/>
      <c r="H629" s="129"/>
      <c r="I629" s="129"/>
      <c r="J629" s="129"/>
      <c r="K629" s="129"/>
      <c r="L629" s="129"/>
      <c r="M629" s="129"/>
      <c r="N629" s="129"/>
      <c r="O629" s="129"/>
      <c r="P629" s="129"/>
      <c r="Q629" s="129"/>
      <c r="R629" s="129"/>
      <c r="S629" s="129"/>
      <c r="T629" s="129"/>
      <c r="U629" s="129"/>
      <c r="V629" s="129"/>
    </row>
    <row r="630" spans="3:22" x14ac:dyDescent="0.3">
      <c r="C630" s="129"/>
      <c r="D630" s="129"/>
      <c r="E630" s="129"/>
      <c r="F630" s="129"/>
      <c r="G630" s="129"/>
      <c r="H630" s="129"/>
      <c r="I630" s="129"/>
      <c r="J630" s="129"/>
      <c r="K630" s="129"/>
      <c r="L630" s="129"/>
      <c r="M630" s="129"/>
      <c r="N630" s="129"/>
      <c r="O630" s="129"/>
      <c r="P630" s="129"/>
      <c r="Q630" s="129"/>
      <c r="R630" s="129"/>
      <c r="S630" s="129"/>
      <c r="T630" s="129"/>
      <c r="U630" s="129"/>
      <c r="V630" s="129"/>
    </row>
    <row r="631" spans="3:22" x14ac:dyDescent="0.3">
      <c r="C631" s="129"/>
      <c r="D631" s="129"/>
      <c r="E631" s="129"/>
      <c r="F631" s="129"/>
      <c r="G631" s="129"/>
      <c r="H631" s="129"/>
      <c r="I631" s="129"/>
      <c r="J631" s="129"/>
      <c r="K631" s="129"/>
      <c r="L631" s="129"/>
      <c r="M631" s="129"/>
      <c r="N631" s="129"/>
      <c r="O631" s="129"/>
      <c r="P631" s="129"/>
      <c r="Q631" s="129"/>
      <c r="R631" s="129"/>
      <c r="S631" s="129"/>
      <c r="T631" s="129"/>
      <c r="U631" s="129"/>
      <c r="V631" s="129"/>
    </row>
    <row r="632" spans="3:22" x14ac:dyDescent="0.3">
      <c r="C632" s="129"/>
      <c r="D632" s="129"/>
      <c r="E632" s="129"/>
      <c r="F632" s="129"/>
      <c r="G632" s="129"/>
      <c r="H632" s="129"/>
      <c r="I632" s="129"/>
      <c r="J632" s="129"/>
      <c r="K632" s="129"/>
      <c r="L632" s="129"/>
      <c r="M632" s="129"/>
      <c r="N632" s="129"/>
      <c r="O632" s="129"/>
      <c r="P632" s="129"/>
      <c r="Q632" s="129"/>
      <c r="R632" s="129"/>
      <c r="S632" s="129"/>
      <c r="T632" s="129"/>
      <c r="U632" s="129"/>
      <c r="V632" s="129"/>
    </row>
    <row r="633" spans="3:22" x14ac:dyDescent="0.3">
      <c r="C633" s="129"/>
      <c r="D633" s="129"/>
      <c r="E633" s="129"/>
      <c r="F633" s="129"/>
      <c r="G633" s="129"/>
      <c r="H633" s="129"/>
      <c r="I633" s="129"/>
      <c r="J633" s="129"/>
      <c r="K633" s="129"/>
      <c r="L633" s="129"/>
      <c r="M633" s="129"/>
      <c r="N633" s="129"/>
      <c r="O633" s="129"/>
      <c r="P633" s="129"/>
      <c r="Q633" s="129"/>
      <c r="R633" s="129"/>
      <c r="S633" s="129"/>
      <c r="T633" s="129"/>
      <c r="U633" s="129"/>
      <c r="V633" s="129"/>
    </row>
    <row r="634" spans="3:22" x14ac:dyDescent="0.3">
      <c r="C634" s="129"/>
      <c r="D634" s="129"/>
      <c r="E634" s="129"/>
      <c r="F634" s="129"/>
      <c r="G634" s="129"/>
      <c r="H634" s="129"/>
      <c r="I634" s="129"/>
      <c r="J634" s="129"/>
      <c r="K634" s="129"/>
      <c r="L634" s="129"/>
      <c r="M634" s="129"/>
      <c r="N634" s="129"/>
      <c r="O634" s="129"/>
      <c r="P634" s="129"/>
      <c r="Q634" s="129"/>
      <c r="R634" s="129"/>
      <c r="S634" s="129"/>
      <c r="T634" s="129"/>
      <c r="U634" s="129"/>
      <c r="V634" s="129"/>
    </row>
    <row r="635" spans="3:22" x14ac:dyDescent="0.3">
      <c r="C635" s="129"/>
      <c r="D635" s="129"/>
      <c r="E635" s="129"/>
      <c r="F635" s="129"/>
      <c r="G635" s="129"/>
      <c r="H635" s="129"/>
      <c r="I635" s="129"/>
      <c r="J635" s="129"/>
      <c r="K635" s="129"/>
      <c r="L635" s="129"/>
      <c r="M635" s="129"/>
      <c r="N635" s="129"/>
      <c r="O635" s="129"/>
      <c r="P635" s="129"/>
      <c r="Q635" s="129"/>
      <c r="R635" s="129"/>
      <c r="S635" s="129"/>
      <c r="T635" s="129"/>
      <c r="U635" s="129"/>
      <c r="V635" s="129"/>
    </row>
    <row r="636" spans="3:22" x14ac:dyDescent="0.3">
      <c r="C636" s="129"/>
      <c r="D636" s="129"/>
      <c r="E636" s="129"/>
      <c r="F636" s="129"/>
      <c r="G636" s="129"/>
      <c r="H636" s="129"/>
      <c r="I636" s="129"/>
      <c r="J636" s="129"/>
      <c r="K636" s="129"/>
      <c r="L636" s="129"/>
      <c r="M636" s="129"/>
      <c r="N636" s="129"/>
      <c r="O636" s="129"/>
      <c r="P636" s="129"/>
      <c r="Q636" s="129"/>
      <c r="R636" s="129"/>
      <c r="S636" s="129"/>
      <c r="T636" s="129"/>
      <c r="U636" s="129"/>
      <c r="V636" s="129"/>
    </row>
    <row r="637" spans="3:22" x14ac:dyDescent="0.3">
      <c r="C637" s="129"/>
      <c r="D637" s="129"/>
      <c r="E637" s="129"/>
      <c r="F637" s="129"/>
      <c r="G637" s="129"/>
      <c r="H637" s="129"/>
      <c r="I637" s="129"/>
      <c r="J637" s="129"/>
      <c r="K637" s="129"/>
      <c r="L637" s="129"/>
      <c r="M637" s="129"/>
      <c r="N637" s="129"/>
      <c r="O637" s="129"/>
      <c r="P637" s="129"/>
      <c r="Q637" s="129"/>
      <c r="R637" s="129"/>
      <c r="S637" s="129"/>
      <c r="T637" s="129"/>
      <c r="U637" s="129"/>
      <c r="V637" s="129"/>
    </row>
    <row r="638" spans="3:22" x14ac:dyDescent="0.3">
      <c r="C638" s="129"/>
      <c r="D638" s="129"/>
      <c r="E638" s="129"/>
      <c r="F638" s="129"/>
      <c r="G638" s="129"/>
      <c r="H638" s="129"/>
      <c r="I638" s="129"/>
      <c r="J638" s="129"/>
      <c r="K638" s="129"/>
      <c r="L638" s="129"/>
      <c r="M638" s="129"/>
      <c r="N638" s="129"/>
      <c r="O638" s="129"/>
      <c r="P638" s="129"/>
      <c r="Q638" s="129"/>
      <c r="R638" s="129"/>
      <c r="S638" s="129"/>
      <c r="T638" s="129"/>
      <c r="U638" s="129"/>
      <c r="V638" s="129"/>
    </row>
    <row r="639" spans="3:22" x14ac:dyDescent="0.3">
      <c r="C639" s="129"/>
      <c r="D639" s="129"/>
      <c r="E639" s="129"/>
      <c r="F639" s="129"/>
      <c r="G639" s="129"/>
      <c r="H639" s="129"/>
      <c r="I639" s="129"/>
      <c r="J639" s="129"/>
      <c r="K639" s="129"/>
      <c r="L639" s="129"/>
      <c r="M639" s="129"/>
      <c r="N639" s="129"/>
      <c r="O639" s="129"/>
      <c r="P639" s="129"/>
      <c r="Q639" s="129"/>
      <c r="R639" s="129"/>
      <c r="S639" s="129"/>
      <c r="T639" s="129"/>
      <c r="U639" s="129"/>
      <c r="V639" s="129"/>
    </row>
    <row r="640" spans="3:22" x14ac:dyDescent="0.3">
      <c r="C640" s="129"/>
      <c r="D640" s="129"/>
      <c r="E640" s="129"/>
      <c r="F640" s="129"/>
      <c r="G640" s="129"/>
      <c r="H640" s="129"/>
      <c r="I640" s="129"/>
      <c r="J640" s="129"/>
      <c r="K640" s="129"/>
      <c r="L640" s="129"/>
      <c r="M640" s="129"/>
      <c r="N640" s="129"/>
      <c r="O640" s="129"/>
      <c r="P640" s="129"/>
      <c r="Q640" s="129"/>
      <c r="R640" s="129"/>
      <c r="S640" s="129"/>
      <c r="T640" s="129"/>
      <c r="U640" s="129"/>
      <c r="V640" s="129"/>
    </row>
    <row r="641" spans="3:22" x14ac:dyDescent="0.3">
      <c r="C641" s="129"/>
      <c r="D641" s="129"/>
      <c r="E641" s="129"/>
      <c r="F641" s="129"/>
      <c r="G641" s="129"/>
      <c r="H641" s="129"/>
      <c r="I641" s="129"/>
      <c r="J641" s="129"/>
      <c r="K641" s="129"/>
      <c r="L641" s="129"/>
      <c r="M641" s="129"/>
      <c r="N641" s="129"/>
      <c r="O641" s="129"/>
      <c r="P641" s="129"/>
      <c r="Q641" s="129"/>
      <c r="R641" s="129"/>
      <c r="S641" s="129"/>
      <c r="T641" s="129"/>
      <c r="U641" s="129"/>
      <c r="V641" s="129"/>
    </row>
    <row r="642" spans="3:22" x14ac:dyDescent="0.3">
      <c r="C642" s="129"/>
      <c r="D642" s="129"/>
      <c r="E642" s="129"/>
      <c r="F642" s="129"/>
      <c r="G642" s="129"/>
      <c r="H642" s="129"/>
      <c r="I642" s="129"/>
      <c r="J642" s="129"/>
      <c r="K642" s="129"/>
      <c r="L642" s="129"/>
      <c r="M642" s="129"/>
      <c r="N642" s="129"/>
      <c r="O642" s="129"/>
      <c r="P642" s="129"/>
      <c r="Q642" s="129"/>
      <c r="R642" s="129"/>
      <c r="S642" s="129"/>
      <c r="T642" s="129"/>
      <c r="U642" s="129"/>
      <c r="V642" s="129"/>
    </row>
    <row r="643" spans="3:22" x14ac:dyDescent="0.3">
      <c r="C643" s="129"/>
      <c r="D643" s="129"/>
      <c r="E643" s="129"/>
      <c r="F643" s="129"/>
      <c r="G643" s="129"/>
      <c r="H643" s="129"/>
      <c r="I643" s="129"/>
      <c r="J643" s="129"/>
      <c r="K643" s="129"/>
      <c r="L643" s="129"/>
      <c r="M643" s="129"/>
      <c r="N643" s="129"/>
      <c r="O643" s="129"/>
      <c r="P643" s="129"/>
      <c r="Q643" s="129"/>
      <c r="R643" s="129"/>
      <c r="S643" s="129"/>
      <c r="T643" s="129"/>
      <c r="U643" s="129"/>
      <c r="V643" s="129"/>
    </row>
    <row r="644" spans="3:22" x14ac:dyDescent="0.3">
      <c r="C644" s="129"/>
      <c r="D644" s="129"/>
      <c r="E644" s="129"/>
      <c r="F644" s="129"/>
      <c r="G644" s="129"/>
      <c r="H644" s="129"/>
      <c r="I644" s="129"/>
      <c r="J644" s="129"/>
      <c r="K644" s="129"/>
      <c r="L644" s="129"/>
      <c r="M644" s="129"/>
      <c r="N644" s="129"/>
      <c r="O644" s="129"/>
      <c r="P644" s="129"/>
      <c r="Q644" s="129"/>
      <c r="R644" s="129"/>
      <c r="S644" s="129"/>
      <c r="T644" s="129"/>
      <c r="U644" s="129"/>
      <c r="V644" s="129"/>
    </row>
    <row r="645" spans="3:22" x14ac:dyDescent="0.3">
      <c r="C645" s="129"/>
      <c r="D645" s="129"/>
      <c r="E645" s="129"/>
      <c r="F645" s="129"/>
      <c r="G645" s="129"/>
      <c r="H645" s="129"/>
      <c r="I645" s="129"/>
      <c r="J645" s="129"/>
      <c r="K645" s="129"/>
      <c r="L645" s="129"/>
      <c r="M645" s="129"/>
      <c r="N645" s="129"/>
      <c r="O645" s="129"/>
      <c r="P645" s="129"/>
      <c r="Q645" s="129"/>
      <c r="R645" s="129"/>
      <c r="S645" s="129"/>
      <c r="T645" s="129"/>
      <c r="U645" s="129"/>
      <c r="V645" s="129"/>
    </row>
    <row r="646" spans="3:22" x14ac:dyDescent="0.3">
      <c r="C646" s="129"/>
      <c r="D646" s="129"/>
      <c r="E646" s="129"/>
      <c r="F646" s="129"/>
      <c r="G646" s="129"/>
      <c r="H646" s="129"/>
      <c r="I646" s="129"/>
      <c r="J646" s="129"/>
      <c r="K646" s="129"/>
      <c r="L646" s="129"/>
      <c r="M646" s="129"/>
      <c r="N646" s="129"/>
      <c r="O646" s="129"/>
      <c r="P646" s="129"/>
      <c r="Q646" s="129"/>
      <c r="R646" s="129"/>
      <c r="S646" s="129"/>
      <c r="T646" s="129"/>
      <c r="U646" s="129"/>
      <c r="V646" s="129"/>
    </row>
    <row r="647" spans="3:22" x14ac:dyDescent="0.3">
      <c r="C647" s="129"/>
      <c r="D647" s="129"/>
      <c r="E647" s="129"/>
      <c r="F647" s="129"/>
      <c r="G647" s="129"/>
      <c r="H647" s="129"/>
      <c r="I647" s="129"/>
      <c r="J647" s="129"/>
      <c r="K647" s="129"/>
      <c r="L647" s="129"/>
      <c r="M647" s="129"/>
      <c r="N647" s="129"/>
      <c r="O647" s="129"/>
      <c r="P647" s="129"/>
      <c r="Q647" s="129"/>
      <c r="R647" s="129"/>
      <c r="S647" s="129"/>
      <c r="T647" s="129"/>
      <c r="U647" s="129"/>
      <c r="V647" s="129"/>
    </row>
    <row r="648" spans="3:22" x14ac:dyDescent="0.3">
      <c r="C648" s="129"/>
      <c r="D648" s="129"/>
      <c r="E648" s="129"/>
      <c r="F648" s="129"/>
      <c r="G648" s="129"/>
      <c r="H648" s="129"/>
      <c r="I648" s="129"/>
      <c r="J648" s="129"/>
      <c r="K648" s="129"/>
      <c r="L648" s="129"/>
      <c r="M648" s="129"/>
      <c r="N648" s="129"/>
      <c r="O648" s="129"/>
      <c r="P648" s="129"/>
      <c r="Q648" s="129"/>
      <c r="R648" s="129"/>
      <c r="S648" s="129"/>
      <c r="T648" s="129"/>
      <c r="U648" s="129"/>
      <c r="V648" s="129"/>
    </row>
    <row r="649" spans="3:22" x14ac:dyDescent="0.3">
      <c r="C649" s="129"/>
      <c r="D649" s="129"/>
      <c r="E649" s="129"/>
      <c r="F649" s="129"/>
      <c r="G649" s="129"/>
      <c r="H649" s="129"/>
      <c r="I649" s="129"/>
      <c r="J649" s="129"/>
      <c r="K649" s="129"/>
      <c r="L649" s="129"/>
      <c r="M649" s="129"/>
      <c r="N649" s="129"/>
      <c r="O649" s="129"/>
      <c r="P649" s="129"/>
      <c r="Q649" s="129"/>
      <c r="R649" s="129"/>
      <c r="S649" s="129"/>
      <c r="T649" s="129"/>
      <c r="U649" s="129"/>
      <c r="V649" s="129"/>
    </row>
    <row r="650" spans="3:22" x14ac:dyDescent="0.3">
      <c r="C650" s="129"/>
      <c r="D650" s="129"/>
      <c r="E650" s="129"/>
      <c r="F650" s="129"/>
      <c r="G650" s="129"/>
      <c r="H650" s="129"/>
      <c r="I650" s="129"/>
      <c r="J650" s="129"/>
      <c r="K650" s="129"/>
      <c r="L650" s="129"/>
      <c r="M650" s="129"/>
      <c r="N650" s="129"/>
      <c r="O650" s="129"/>
      <c r="P650" s="129"/>
      <c r="Q650" s="129"/>
      <c r="R650" s="129"/>
      <c r="S650" s="129"/>
      <c r="T650" s="129"/>
      <c r="U650" s="129"/>
      <c r="V650" s="129"/>
    </row>
    <row r="651" spans="3:22" x14ac:dyDescent="0.3">
      <c r="C651" s="129"/>
      <c r="D651" s="129"/>
      <c r="E651" s="129"/>
      <c r="F651" s="129"/>
      <c r="G651" s="129"/>
      <c r="H651" s="129"/>
      <c r="I651" s="129"/>
      <c r="J651" s="129"/>
      <c r="K651" s="129"/>
      <c r="L651" s="129"/>
      <c r="M651" s="129"/>
      <c r="N651" s="129"/>
      <c r="O651" s="129"/>
      <c r="P651" s="129"/>
      <c r="Q651" s="129"/>
      <c r="R651" s="129"/>
      <c r="S651" s="129"/>
      <c r="T651" s="129"/>
      <c r="U651" s="129"/>
      <c r="V651" s="129"/>
    </row>
    <row r="652" spans="3:22" x14ac:dyDescent="0.3">
      <c r="C652" s="129"/>
      <c r="D652" s="129"/>
      <c r="E652" s="129"/>
      <c r="F652" s="129"/>
      <c r="G652" s="129"/>
      <c r="H652" s="129"/>
      <c r="I652" s="129"/>
      <c r="J652" s="129"/>
      <c r="K652" s="129"/>
      <c r="L652" s="129"/>
      <c r="M652" s="129"/>
      <c r="N652" s="129"/>
      <c r="O652" s="129"/>
      <c r="P652" s="129"/>
      <c r="Q652" s="129"/>
      <c r="R652" s="129"/>
      <c r="S652" s="129"/>
      <c r="T652" s="129"/>
      <c r="U652" s="129"/>
      <c r="V652" s="129"/>
    </row>
    <row r="653" spans="3:22" x14ac:dyDescent="0.3">
      <c r="C653" s="129"/>
      <c r="D653" s="129"/>
      <c r="E653" s="129"/>
      <c r="F653" s="129"/>
      <c r="G653" s="129"/>
      <c r="H653" s="129"/>
      <c r="I653" s="129"/>
      <c r="J653" s="129"/>
      <c r="K653" s="129"/>
      <c r="L653" s="129"/>
      <c r="M653" s="129"/>
      <c r="N653" s="129"/>
      <c r="O653" s="129"/>
      <c r="P653" s="129"/>
      <c r="Q653" s="129"/>
      <c r="R653" s="129"/>
      <c r="S653" s="129"/>
      <c r="T653" s="129"/>
      <c r="U653" s="129"/>
      <c r="V653" s="129"/>
    </row>
    <row r="654" spans="3:22" x14ac:dyDescent="0.3">
      <c r="C654" s="129"/>
      <c r="D654" s="129"/>
      <c r="E654" s="129"/>
      <c r="F654" s="129"/>
      <c r="G654" s="129"/>
      <c r="H654" s="129"/>
      <c r="I654" s="129"/>
      <c r="J654" s="129"/>
      <c r="K654" s="129"/>
      <c r="L654" s="129"/>
      <c r="M654" s="129"/>
      <c r="N654" s="129"/>
      <c r="O654" s="129"/>
      <c r="P654" s="129"/>
      <c r="Q654" s="129"/>
      <c r="R654" s="129"/>
      <c r="S654" s="129"/>
      <c r="T654" s="129"/>
      <c r="U654" s="129"/>
      <c r="V654" s="129"/>
    </row>
    <row r="655" spans="3:22" x14ac:dyDescent="0.3">
      <c r="C655" s="129"/>
      <c r="D655" s="129"/>
      <c r="E655" s="129"/>
      <c r="F655" s="129"/>
      <c r="G655" s="129"/>
      <c r="H655" s="129"/>
      <c r="I655" s="129"/>
      <c r="J655" s="129"/>
      <c r="K655" s="129"/>
      <c r="L655" s="129"/>
      <c r="M655" s="129"/>
      <c r="N655" s="129"/>
      <c r="O655" s="129"/>
      <c r="P655" s="129"/>
      <c r="Q655" s="129"/>
      <c r="R655" s="129"/>
      <c r="S655" s="129"/>
      <c r="T655" s="129"/>
      <c r="U655" s="129"/>
      <c r="V655" s="129"/>
    </row>
    <row r="656" spans="3:22" x14ac:dyDescent="0.3">
      <c r="C656" s="129"/>
      <c r="D656" s="129"/>
      <c r="E656" s="129"/>
      <c r="F656" s="129"/>
      <c r="G656" s="129"/>
      <c r="H656" s="129"/>
      <c r="I656" s="129"/>
      <c r="J656" s="129"/>
      <c r="K656" s="129"/>
      <c r="L656" s="129"/>
      <c r="M656" s="129"/>
      <c r="N656" s="129"/>
      <c r="O656" s="129"/>
      <c r="P656" s="129"/>
      <c r="Q656" s="129"/>
      <c r="R656" s="129"/>
      <c r="S656" s="129"/>
      <c r="T656" s="129"/>
      <c r="U656" s="129"/>
      <c r="V656" s="129"/>
    </row>
    <row r="657" spans="3:22" x14ac:dyDescent="0.3">
      <c r="C657" s="129"/>
      <c r="D657" s="129"/>
      <c r="E657" s="129"/>
      <c r="F657" s="129"/>
      <c r="G657" s="129"/>
      <c r="H657" s="129"/>
      <c r="I657" s="129"/>
      <c r="J657" s="129"/>
      <c r="K657" s="129"/>
      <c r="L657" s="129"/>
      <c r="M657" s="129"/>
      <c r="N657" s="129"/>
      <c r="O657" s="129"/>
      <c r="P657" s="129"/>
      <c r="Q657" s="129"/>
      <c r="R657" s="129"/>
      <c r="S657" s="129"/>
      <c r="T657" s="129"/>
      <c r="U657" s="129"/>
      <c r="V657" s="129"/>
    </row>
    <row r="658" spans="3:22" x14ac:dyDescent="0.3">
      <c r="C658" s="129"/>
      <c r="D658" s="129"/>
      <c r="E658" s="129"/>
      <c r="F658" s="129"/>
      <c r="G658" s="129"/>
      <c r="H658" s="129"/>
      <c r="I658" s="129"/>
      <c r="J658" s="129"/>
      <c r="K658" s="129"/>
      <c r="L658" s="129"/>
      <c r="M658" s="129"/>
      <c r="N658" s="129"/>
      <c r="O658" s="129"/>
      <c r="P658" s="129"/>
      <c r="Q658" s="129"/>
      <c r="R658" s="129"/>
      <c r="S658" s="129"/>
      <c r="T658" s="129"/>
      <c r="U658" s="129"/>
      <c r="V658" s="129"/>
    </row>
    <row r="659" spans="3:22" x14ac:dyDescent="0.3">
      <c r="C659" s="129"/>
      <c r="D659" s="129"/>
      <c r="E659" s="129"/>
      <c r="F659" s="129"/>
      <c r="G659" s="129"/>
      <c r="H659" s="129"/>
      <c r="I659" s="129"/>
      <c r="J659" s="129"/>
      <c r="K659" s="129"/>
      <c r="L659" s="129"/>
      <c r="M659" s="129"/>
      <c r="N659" s="129"/>
      <c r="O659" s="129"/>
      <c r="P659" s="129"/>
      <c r="Q659" s="129"/>
      <c r="R659" s="129"/>
      <c r="S659" s="129"/>
      <c r="T659" s="129"/>
      <c r="U659" s="129"/>
      <c r="V659" s="129"/>
    </row>
    <row r="660" spans="3:22" x14ac:dyDescent="0.3">
      <c r="C660" s="129"/>
      <c r="D660" s="129"/>
      <c r="E660" s="129"/>
      <c r="F660" s="129"/>
      <c r="G660" s="129"/>
      <c r="H660" s="129"/>
      <c r="I660" s="129"/>
      <c r="J660" s="129"/>
      <c r="K660" s="129"/>
      <c r="L660" s="129"/>
      <c r="M660" s="129"/>
      <c r="N660" s="129"/>
      <c r="O660" s="129"/>
      <c r="P660" s="129"/>
      <c r="Q660" s="129"/>
      <c r="R660" s="129"/>
      <c r="S660" s="129"/>
      <c r="T660" s="129"/>
      <c r="U660" s="129"/>
      <c r="V660" s="129"/>
    </row>
    <row r="661" spans="3:22" x14ac:dyDescent="0.3">
      <c r="C661" s="129"/>
      <c r="D661" s="129"/>
      <c r="E661" s="129"/>
      <c r="F661" s="129"/>
      <c r="G661" s="129"/>
      <c r="H661" s="129"/>
      <c r="I661" s="129"/>
      <c r="J661" s="129"/>
      <c r="K661" s="129"/>
      <c r="L661" s="129"/>
      <c r="M661" s="129"/>
      <c r="N661" s="129"/>
      <c r="O661" s="129"/>
      <c r="P661" s="129"/>
      <c r="Q661" s="129"/>
      <c r="R661" s="129"/>
      <c r="S661" s="129"/>
      <c r="T661" s="129"/>
      <c r="U661" s="129"/>
      <c r="V661" s="129"/>
    </row>
    <row r="662" spans="3:22" x14ac:dyDescent="0.3">
      <c r="C662" s="129"/>
      <c r="D662" s="129"/>
      <c r="E662" s="129"/>
      <c r="F662" s="129"/>
      <c r="G662" s="129"/>
      <c r="H662" s="129"/>
      <c r="I662" s="129"/>
      <c r="J662" s="129"/>
      <c r="K662" s="129"/>
      <c r="L662" s="129"/>
      <c r="M662" s="129"/>
      <c r="N662" s="129"/>
      <c r="O662" s="129"/>
      <c r="P662" s="129"/>
      <c r="Q662" s="129"/>
      <c r="R662" s="129"/>
      <c r="S662" s="129"/>
      <c r="T662" s="129"/>
      <c r="U662" s="129"/>
      <c r="V662" s="129"/>
    </row>
    <row r="663" spans="3:22" x14ac:dyDescent="0.3">
      <c r="C663" s="129"/>
      <c r="D663" s="129"/>
      <c r="E663" s="129"/>
      <c r="F663" s="129"/>
      <c r="G663" s="129"/>
      <c r="H663" s="129"/>
      <c r="I663" s="129"/>
      <c r="J663" s="129"/>
      <c r="K663" s="129"/>
      <c r="L663" s="129"/>
      <c r="M663" s="129"/>
      <c r="N663" s="129"/>
      <c r="O663" s="129"/>
      <c r="P663" s="129"/>
      <c r="Q663" s="129"/>
      <c r="R663" s="129"/>
      <c r="S663" s="129"/>
      <c r="T663" s="129"/>
      <c r="U663" s="129"/>
      <c r="V663" s="129"/>
    </row>
    <row r="664" spans="3:22" x14ac:dyDescent="0.3">
      <c r="C664" s="129"/>
      <c r="D664" s="129"/>
      <c r="E664" s="129"/>
      <c r="F664" s="129"/>
      <c r="G664" s="129"/>
      <c r="H664" s="129"/>
      <c r="I664" s="129"/>
      <c r="J664" s="129"/>
      <c r="K664" s="129"/>
      <c r="L664" s="129"/>
      <c r="M664" s="129"/>
      <c r="N664" s="129"/>
      <c r="O664" s="129"/>
      <c r="P664" s="129"/>
      <c r="Q664" s="129"/>
      <c r="R664" s="129"/>
      <c r="S664" s="129"/>
      <c r="T664" s="129"/>
      <c r="U664" s="129"/>
      <c r="V664" s="129"/>
    </row>
    <row r="665" spans="3:22" x14ac:dyDescent="0.3">
      <c r="C665" s="129"/>
      <c r="D665" s="129"/>
      <c r="E665" s="129"/>
      <c r="F665" s="129"/>
      <c r="G665" s="129"/>
      <c r="H665" s="129"/>
      <c r="I665" s="129"/>
      <c r="J665" s="129"/>
      <c r="K665" s="129"/>
      <c r="L665" s="129"/>
      <c r="M665" s="129"/>
      <c r="N665" s="129"/>
      <c r="O665" s="129"/>
      <c r="P665" s="129"/>
      <c r="Q665" s="129"/>
      <c r="R665" s="129"/>
      <c r="S665" s="129"/>
      <c r="T665" s="129"/>
      <c r="U665" s="129"/>
      <c r="V665" s="129"/>
    </row>
    <row r="666" spans="3:22" x14ac:dyDescent="0.3">
      <c r="C666" s="129"/>
      <c r="D666" s="129"/>
      <c r="E666" s="129"/>
      <c r="F666" s="129"/>
      <c r="G666" s="129"/>
      <c r="H666" s="129"/>
      <c r="I666" s="129"/>
      <c r="J666" s="129"/>
      <c r="K666" s="129"/>
      <c r="L666" s="129"/>
      <c r="M666" s="129"/>
      <c r="N666" s="129"/>
      <c r="O666" s="129"/>
      <c r="P666" s="129"/>
      <c r="Q666" s="129"/>
      <c r="R666" s="129"/>
      <c r="S666" s="129"/>
      <c r="T666" s="129"/>
      <c r="U666" s="129"/>
      <c r="V666" s="129"/>
    </row>
    <row r="667" spans="3:22" x14ac:dyDescent="0.3">
      <c r="C667" s="129"/>
      <c r="D667" s="129"/>
      <c r="E667" s="129"/>
      <c r="F667" s="129"/>
      <c r="G667" s="129"/>
      <c r="H667" s="129"/>
      <c r="I667" s="129"/>
      <c r="J667" s="129"/>
      <c r="K667" s="129"/>
      <c r="L667" s="129"/>
      <c r="M667" s="129"/>
      <c r="N667" s="129"/>
      <c r="O667" s="129"/>
      <c r="P667" s="129"/>
      <c r="Q667" s="129"/>
      <c r="R667" s="129"/>
      <c r="S667" s="129"/>
      <c r="T667" s="129"/>
      <c r="U667" s="129"/>
      <c r="V667" s="129"/>
    </row>
    <row r="668" spans="3:22" x14ac:dyDescent="0.3">
      <c r="C668" s="129"/>
      <c r="D668" s="129"/>
      <c r="E668" s="129"/>
      <c r="F668" s="129"/>
      <c r="G668" s="129"/>
      <c r="H668" s="129"/>
      <c r="I668" s="129"/>
      <c r="J668" s="129"/>
      <c r="K668" s="129"/>
      <c r="L668" s="129"/>
      <c r="M668" s="129"/>
      <c r="N668" s="129"/>
      <c r="O668" s="129"/>
      <c r="P668" s="129"/>
      <c r="Q668" s="129"/>
      <c r="R668" s="129"/>
      <c r="S668" s="129"/>
      <c r="T668" s="129"/>
      <c r="U668" s="129"/>
      <c r="V668" s="129"/>
    </row>
    <row r="669" spans="3:22" x14ac:dyDescent="0.3">
      <c r="C669" s="129"/>
      <c r="D669" s="129"/>
      <c r="E669" s="129"/>
      <c r="F669" s="129"/>
      <c r="G669" s="129"/>
      <c r="H669" s="129"/>
      <c r="I669" s="129"/>
      <c r="J669" s="129"/>
      <c r="K669" s="129"/>
      <c r="L669" s="129"/>
      <c r="M669" s="129"/>
      <c r="N669" s="129"/>
      <c r="O669" s="129"/>
      <c r="P669" s="129"/>
      <c r="Q669" s="129"/>
      <c r="R669" s="129"/>
      <c r="S669" s="129"/>
      <c r="T669" s="129"/>
      <c r="U669" s="129"/>
      <c r="V669" s="129"/>
    </row>
    <row r="670" spans="3:22" x14ac:dyDescent="0.3">
      <c r="C670" s="129"/>
      <c r="D670" s="129"/>
      <c r="E670" s="129"/>
      <c r="F670" s="129"/>
      <c r="G670" s="129"/>
      <c r="H670" s="129"/>
      <c r="I670" s="129"/>
      <c r="J670" s="129"/>
      <c r="K670" s="129"/>
      <c r="L670" s="129"/>
      <c r="M670" s="129"/>
      <c r="N670" s="129"/>
      <c r="O670" s="129"/>
      <c r="P670" s="129"/>
      <c r="Q670" s="129"/>
      <c r="R670" s="129"/>
      <c r="S670" s="129"/>
      <c r="T670" s="129"/>
      <c r="U670" s="129"/>
      <c r="V670" s="129"/>
    </row>
    <row r="671" spans="3:22" x14ac:dyDescent="0.3">
      <c r="C671" s="129"/>
      <c r="D671" s="129"/>
      <c r="E671" s="129"/>
      <c r="F671" s="129"/>
      <c r="G671" s="129"/>
      <c r="H671" s="129"/>
      <c r="I671" s="129"/>
      <c r="J671" s="129"/>
      <c r="K671" s="129"/>
      <c r="L671" s="129"/>
      <c r="M671" s="129"/>
      <c r="N671" s="129"/>
      <c r="O671" s="129"/>
      <c r="P671" s="129"/>
      <c r="Q671" s="129"/>
      <c r="R671" s="129"/>
      <c r="S671" s="129"/>
      <c r="T671" s="129"/>
      <c r="U671" s="129"/>
      <c r="V671" s="129"/>
    </row>
    <row r="672" spans="3:22" x14ac:dyDescent="0.3">
      <c r="C672" s="129"/>
      <c r="D672" s="129"/>
      <c r="E672" s="129"/>
      <c r="F672" s="129"/>
      <c r="G672" s="129"/>
      <c r="H672" s="129"/>
      <c r="I672" s="129"/>
      <c r="J672" s="129"/>
      <c r="K672" s="129"/>
      <c r="L672" s="129"/>
      <c r="M672" s="129"/>
      <c r="N672" s="129"/>
      <c r="O672" s="129"/>
      <c r="P672" s="129"/>
      <c r="Q672" s="129"/>
      <c r="R672" s="129"/>
      <c r="S672" s="129"/>
      <c r="T672" s="129"/>
      <c r="U672" s="129"/>
      <c r="V672" s="129"/>
    </row>
    <row r="673" spans="3:22" x14ac:dyDescent="0.3">
      <c r="C673" s="129"/>
      <c r="D673" s="129"/>
      <c r="E673" s="129"/>
      <c r="F673" s="129"/>
      <c r="G673" s="129"/>
      <c r="H673" s="129"/>
      <c r="I673" s="129"/>
      <c r="J673" s="129"/>
      <c r="K673" s="129"/>
      <c r="L673" s="129"/>
      <c r="M673" s="129"/>
      <c r="N673" s="129"/>
      <c r="O673" s="129"/>
      <c r="P673" s="129"/>
      <c r="Q673" s="129"/>
      <c r="R673" s="129"/>
      <c r="S673" s="129"/>
      <c r="T673" s="129"/>
      <c r="U673" s="129"/>
      <c r="V673" s="129"/>
    </row>
    <row r="674" spans="3:22" x14ac:dyDescent="0.3">
      <c r="C674" s="129"/>
      <c r="D674" s="129"/>
      <c r="E674" s="129"/>
      <c r="F674" s="129"/>
      <c r="G674" s="129"/>
      <c r="H674" s="129"/>
      <c r="I674" s="129"/>
      <c r="J674" s="129"/>
      <c r="K674" s="129"/>
      <c r="L674" s="129"/>
      <c r="M674" s="129"/>
      <c r="N674" s="129"/>
      <c r="O674" s="129"/>
      <c r="P674" s="129"/>
      <c r="Q674" s="129"/>
      <c r="R674" s="129"/>
      <c r="S674" s="129"/>
      <c r="T674" s="129"/>
      <c r="U674" s="129"/>
      <c r="V674" s="129"/>
    </row>
    <row r="675" spans="3:22" x14ac:dyDescent="0.3">
      <c r="C675" s="129"/>
      <c r="D675" s="129"/>
      <c r="E675" s="129"/>
      <c r="F675" s="129"/>
      <c r="G675" s="129"/>
      <c r="H675" s="129"/>
      <c r="I675" s="129"/>
      <c r="J675" s="129"/>
      <c r="K675" s="129"/>
      <c r="L675" s="129"/>
      <c r="M675" s="129"/>
      <c r="N675" s="129"/>
      <c r="O675" s="129"/>
      <c r="P675" s="129"/>
      <c r="Q675" s="129"/>
      <c r="R675" s="129"/>
      <c r="S675" s="129"/>
      <c r="T675" s="129"/>
      <c r="U675" s="129"/>
      <c r="V675" s="129"/>
    </row>
    <row r="676" spans="3:22" x14ac:dyDescent="0.3">
      <c r="C676" s="129"/>
      <c r="D676" s="129"/>
      <c r="E676" s="129"/>
      <c r="F676" s="129"/>
      <c r="G676" s="129"/>
      <c r="H676" s="129"/>
      <c r="I676" s="129"/>
      <c r="J676" s="129"/>
      <c r="K676" s="129"/>
      <c r="L676" s="129"/>
      <c r="M676" s="129"/>
      <c r="N676" s="129"/>
      <c r="O676" s="129"/>
      <c r="P676" s="129"/>
      <c r="Q676" s="129"/>
      <c r="R676" s="129"/>
      <c r="S676" s="129"/>
      <c r="T676" s="129"/>
      <c r="U676" s="129"/>
      <c r="V676" s="129"/>
    </row>
    <row r="677" spans="3:22" x14ac:dyDescent="0.3">
      <c r="C677" s="129"/>
      <c r="D677" s="129"/>
      <c r="E677" s="129"/>
      <c r="F677" s="129"/>
      <c r="G677" s="129"/>
      <c r="H677" s="129"/>
      <c r="I677" s="129"/>
      <c r="J677" s="129"/>
      <c r="K677" s="129"/>
      <c r="L677" s="129"/>
      <c r="M677" s="129"/>
      <c r="N677" s="129"/>
      <c r="O677" s="129"/>
      <c r="P677" s="129"/>
      <c r="Q677" s="129"/>
      <c r="R677" s="129"/>
      <c r="S677" s="129"/>
      <c r="T677" s="129"/>
      <c r="U677" s="129"/>
      <c r="V677" s="129"/>
    </row>
    <row r="678" spans="3:22" x14ac:dyDescent="0.3">
      <c r="C678" s="129"/>
      <c r="D678" s="129"/>
      <c r="E678" s="129"/>
      <c r="F678" s="129"/>
      <c r="G678" s="129"/>
      <c r="H678" s="129"/>
      <c r="I678" s="129"/>
      <c r="J678" s="129"/>
      <c r="K678" s="129"/>
      <c r="L678" s="129"/>
      <c r="M678" s="129"/>
      <c r="N678" s="129"/>
      <c r="O678" s="129"/>
      <c r="P678" s="129"/>
      <c r="Q678" s="129"/>
      <c r="R678" s="129"/>
      <c r="S678" s="129"/>
      <c r="T678" s="129"/>
      <c r="U678" s="129"/>
      <c r="V678" s="129"/>
    </row>
    <row r="679" spans="3:22" x14ac:dyDescent="0.3">
      <c r="C679" s="129"/>
      <c r="D679" s="129"/>
      <c r="E679" s="129"/>
      <c r="F679" s="129"/>
      <c r="G679" s="129"/>
      <c r="H679" s="129"/>
      <c r="I679" s="129"/>
      <c r="J679" s="129"/>
      <c r="K679" s="129"/>
      <c r="L679" s="129"/>
      <c r="M679" s="129"/>
      <c r="N679" s="129"/>
      <c r="O679" s="129"/>
      <c r="P679" s="129"/>
      <c r="Q679" s="129"/>
      <c r="R679" s="129"/>
      <c r="S679" s="129"/>
      <c r="T679" s="129"/>
      <c r="U679" s="129"/>
      <c r="V679" s="129"/>
    </row>
    <row r="680" spans="3:22" x14ac:dyDescent="0.3">
      <c r="C680" s="129"/>
      <c r="D680" s="129"/>
      <c r="E680" s="129"/>
      <c r="F680" s="129"/>
      <c r="G680" s="129"/>
      <c r="H680" s="129"/>
      <c r="I680" s="129"/>
      <c r="J680" s="129"/>
      <c r="K680" s="129"/>
      <c r="L680" s="129"/>
      <c r="M680" s="129"/>
      <c r="N680" s="129"/>
      <c r="O680" s="129"/>
      <c r="P680" s="129"/>
      <c r="Q680" s="129"/>
      <c r="R680" s="129"/>
      <c r="S680" s="129"/>
      <c r="T680" s="129"/>
      <c r="U680" s="129"/>
      <c r="V680" s="129"/>
    </row>
    <row r="681" spans="3:22" x14ac:dyDescent="0.3">
      <c r="C681" s="129"/>
      <c r="D681" s="129"/>
      <c r="E681" s="129"/>
      <c r="F681" s="129"/>
      <c r="G681" s="129"/>
      <c r="H681" s="129"/>
      <c r="I681" s="129"/>
      <c r="J681" s="129"/>
      <c r="K681" s="129"/>
      <c r="L681" s="129"/>
      <c r="M681" s="129"/>
      <c r="N681" s="129"/>
      <c r="O681" s="129"/>
      <c r="P681" s="129"/>
      <c r="Q681" s="129"/>
      <c r="R681" s="129"/>
      <c r="S681" s="129"/>
      <c r="T681" s="129"/>
      <c r="U681" s="129"/>
      <c r="V681" s="129"/>
    </row>
    <row r="682" spans="3:22" x14ac:dyDescent="0.3">
      <c r="C682" s="129"/>
      <c r="D682" s="129"/>
      <c r="E682" s="129"/>
      <c r="F682" s="129"/>
      <c r="G682" s="129"/>
      <c r="H682" s="129"/>
      <c r="I682" s="129"/>
      <c r="J682" s="129"/>
      <c r="K682" s="129"/>
      <c r="L682" s="129"/>
      <c r="M682" s="129"/>
      <c r="N682" s="129"/>
      <c r="O682" s="129"/>
      <c r="P682" s="129"/>
      <c r="Q682" s="129"/>
      <c r="R682" s="129"/>
      <c r="S682" s="129"/>
      <c r="T682" s="129"/>
      <c r="U682" s="129"/>
      <c r="V682" s="129"/>
    </row>
    <row r="683" spans="3:22" x14ac:dyDescent="0.3">
      <c r="C683" s="129"/>
      <c r="D683" s="129"/>
      <c r="E683" s="129"/>
      <c r="F683" s="129"/>
      <c r="G683" s="129"/>
      <c r="H683" s="129"/>
      <c r="I683" s="129"/>
      <c r="J683" s="129"/>
      <c r="K683" s="129"/>
      <c r="L683" s="129"/>
      <c r="M683" s="129"/>
      <c r="N683" s="129"/>
      <c r="O683" s="129"/>
      <c r="P683" s="129"/>
      <c r="Q683" s="129"/>
      <c r="R683" s="129"/>
      <c r="S683" s="129"/>
      <c r="T683" s="129"/>
      <c r="U683" s="129"/>
      <c r="V683" s="129"/>
    </row>
    <row r="684" spans="3:22" x14ac:dyDescent="0.3">
      <c r="C684" s="129"/>
      <c r="D684" s="129"/>
      <c r="E684" s="129"/>
      <c r="F684" s="129"/>
      <c r="G684" s="129"/>
      <c r="H684" s="129"/>
      <c r="I684" s="129"/>
      <c r="J684" s="129"/>
      <c r="K684" s="129"/>
      <c r="L684" s="129"/>
      <c r="M684" s="129"/>
      <c r="N684" s="129"/>
      <c r="O684" s="129"/>
      <c r="P684" s="129"/>
      <c r="Q684" s="129"/>
      <c r="R684" s="129"/>
      <c r="S684" s="129"/>
      <c r="T684" s="129"/>
      <c r="U684" s="129"/>
      <c r="V684" s="129"/>
    </row>
    <row r="685" spans="3:22" x14ac:dyDescent="0.3">
      <c r="C685" s="129"/>
      <c r="D685" s="129"/>
      <c r="E685" s="129"/>
      <c r="F685" s="129"/>
      <c r="G685" s="129"/>
      <c r="H685" s="129"/>
      <c r="I685" s="129"/>
      <c r="J685" s="129"/>
      <c r="K685" s="129"/>
      <c r="L685" s="129"/>
      <c r="M685" s="129"/>
      <c r="N685" s="129"/>
      <c r="O685" s="129"/>
      <c r="P685" s="129"/>
      <c r="Q685" s="129"/>
      <c r="R685" s="129"/>
      <c r="S685" s="129"/>
      <c r="T685" s="129"/>
      <c r="U685" s="129"/>
      <c r="V685" s="129"/>
    </row>
    <row r="686" spans="3:22" x14ac:dyDescent="0.3">
      <c r="C686" s="129"/>
      <c r="D686" s="129"/>
      <c r="E686" s="129"/>
      <c r="F686" s="129"/>
      <c r="G686" s="129"/>
      <c r="H686" s="129"/>
      <c r="I686" s="129"/>
      <c r="J686" s="129"/>
      <c r="K686" s="129"/>
      <c r="L686" s="129"/>
      <c r="M686" s="129"/>
      <c r="N686" s="129"/>
      <c r="O686" s="129"/>
      <c r="P686" s="129"/>
      <c r="Q686" s="129"/>
      <c r="R686" s="129"/>
      <c r="S686" s="129"/>
      <c r="T686" s="129"/>
      <c r="U686" s="129"/>
      <c r="V686" s="129"/>
    </row>
    <row r="687" spans="3:22" x14ac:dyDescent="0.3">
      <c r="C687" s="129"/>
      <c r="D687" s="129"/>
      <c r="E687" s="129"/>
      <c r="F687" s="129"/>
      <c r="G687" s="129"/>
      <c r="H687" s="129"/>
      <c r="I687" s="129"/>
      <c r="J687" s="129"/>
      <c r="K687" s="129"/>
      <c r="L687" s="129"/>
      <c r="M687" s="129"/>
      <c r="N687" s="129"/>
      <c r="O687" s="129"/>
      <c r="P687" s="129"/>
      <c r="Q687" s="129"/>
      <c r="R687" s="129"/>
      <c r="S687" s="129"/>
      <c r="T687" s="129"/>
      <c r="U687" s="129"/>
      <c r="V687" s="129"/>
    </row>
    <row r="688" spans="3:22" x14ac:dyDescent="0.3">
      <c r="C688" s="129"/>
      <c r="D688" s="129"/>
      <c r="E688" s="129"/>
      <c r="F688" s="129"/>
      <c r="G688" s="129"/>
      <c r="H688" s="129"/>
      <c r="I688" s="129"/>
      <c r="J688" s="129"/>
      <c r="K688" s="129"/>
      <c r="L688" s="129"/>
      <c r="M688" s="129"/>
      <c r="N688" s="129"/>
      <c r="O688" s="129"/>
      <c r="P688" s="129"/>
      <c r="Q688" s="129"/>
      <c r="R688" s="129"/>
      <c r="S688" s="129"/>
      <c r="T688" s="129"/>
      <c r="U688" s="129"/>
      <c r="V688" s="129"/>
    </row>
    <row r="689" spans="3:22" x14ac:dyDescent="0.3">
      <c r="C689" s="129"/>
      <c r="D689" s="129"/>
      <c r="E689" s="129"/>
      <c r="F689" s="129"/>
      <c r="G689" s="129"/>
      <c r="H689" s="129"/>
      <c r="I689" s="129"/>
      <c r="J689" s="129"/>
      <c r="K689" s="129"/>
      <c r="L689" s="129"/>
      <c r="M689" s="129"/>
      <c r="N689" s="129"/>
      <c r="O689" s="129"/>
      <c r="P689" s="129"/>
      <c r="Q689" s="129"/>
      <c r="R689" s="129"/>
      <c r="S689" s="129"/>
      <c r="T689" s="129"/>
      <c r="U689" s="129"/>
      <c r="V689" s="129"/>
    </row>
    <row r="690" spans="3:22" x14ac:dyDescent="0.3">
      <c r="C690" s="129"/>
      <c r="D690" s="129"/>
      <c r="E690" s="129"/>
      <c r="F690" s="129"/>
      <c r="G690" s="129"/>
      <c r="H690" s="129"/>
      <c r="I690" s="129"/>
      <c r="J690" s="129"/>
      <c r="K690" s="129"/>
      <c r="L690" s="129"/>
      <c r="M690" s="129"/>
      <c r="N690" s="129"/>
      <c r="O690" s="129"/>
      <c r="P690" s="129"/>
      <c r="Q690" s="129"/>
      <c r="R690" s="129"/>
      <c r="S690" s="129"/>
      <c r="T690" s="129"/>
      <c r="U690" s="129"/>
      <c r="V690" s="129"/>
    </row>
    <row r="691" spans="3:22" x14ac:dyDescent="0.3">
      <c r="C691" s="129"/>
      <c r="D691" s="129"/>
      <c r="E691" s="129"/>
      <c r="F691" s="129"/>
      <c r="G691" s="129"/>
      <c r="H691" s="129"/>
      <c r="I691" s="129"/>
      <c r="J691" s="129"/>
      <c r="K691" s="129"/>
      <c r="L691" s="129"/>
      <c r="M691" s="129"/>
      <c r="N691" s="129"/>
      <c r="O691" s="129"/>
      <c r="P691" s="129"/>
      <c r="Q691" s="129"/>
      <c r="R691" s="129"/>
      <c r="S691" s="129"/>
      <c r="T691" s="129"/>
      <c r="U691" s="129"/>
      <c r="V691" s="129"/>
    </row>
    <row r="692" spans="3:22" x14ac:dyDescent="0.3">
      <c r="C692" s="129"/>
      <c r="D692" s="129"/>
      <c r="E692" s="129"/>
      <c r="F692" s="129"/>
      <c r="G692" s="129"/>
      <c r="H692" s="129"/>
      <c r="I692" s="129"/>
      <c r="J692" s="129"/>
      <c r="K692" s="129"/>
      <c r="L692" s="129"/>
      <c r="M692" s="129"/>
      <c r="N692" s="129"/>
      <c r="O692" s="129"/>
      <c r="P692" s="129"/>
      <c r="Q692" s="129"/>
      <c r="R692" s="129"/>
      <c r="S692" s="129"/>
      <c r="T692" s="129"/>
      <c r="U692" s="129"/>
      <c r="V692" s="129"/>
    </row>
    <row r="693" spans="3:22" x14ac:dyDescent="0.3">
      <c r="C693" s="129"/>
      <c r="D693" s="129"/>
      <c r="E693" s="129"/>
      <c r="F693" s="129"/>
      <c r="G693" s="129"/>
      <c r="H693" s="129"/>
      <c r="I693" s="129"/>
      <c r="J693" s="129"/>
      <c r="K693" s="129"/>
      <c r="L693" s="129"/>
      <c r="M693" s="129"/>
      <c r="N693" s="129"/>
      <c r="O693" s="129"/>
      <c r="P693" s="129"/>
      <c r="Q693" s="129"/>
      <c r="R693" s="129"/>
      <c r="S693" s="129"/>
      <c r="T693" s="129"/>
      <c r="U693" s="129"/>
      <c r="V693" s="129"/>
    </row>
    <row r="694" spans="3:22" x14ac:dyDescent="0.3">
      <c r="C694" s="129"/>
      <c r="D694" s="129"/>
      <c r="E694" s="129"/>
      <c r="F694" s="129"/>
      <c r="G694" s="129"/>
      <c r="H694" s="129"/>
      <c r="I694" s="129"/>
      <c r="J694" s="129"/>
      <c r="K694" s="129"/>
      <c r="L694" s="129"/>
      <c r="M694" s="129"/>
      <c r="N694" s="129"/>
      <c r="O694" s="129"/>
      <c r="P694" s="129"/>
      <c r="Q694" s="129"/>
      <c r="R694" s="129"/>
      <c r="S694" s="129"/>
      <c r="T694" s="129"/>
      <c r="U694" s="129"/>
      <c r="V694" s="129"/>
    </row>
    <row r="695" spans="3:22" x14ac:dyDescent="0.3">
      <c r="C695" s="129"/>
      <c r="D695" s="129"/>
      <c r="E695" s="129"/>
      <c r="F695" s="129"/>
      <c r="G695" s="129"/>
      <c r="H695" s="129"/>
      <c r="I695" s="129"/>
      <c r="J695" s="129"/>
      <c r="K695" s="129"/>
      <c r="L695" s="129"/>
      <c r="M695" s="129"/>
      <c r="N695" s="129"/>
      <c r="O695" s="129"/>
      <c r="P695" s="129"/>
      <c r="Q695" s="129"/>
      <c r="R695" s="129"/>
      <c r="S695" s="129"/>
      <c r="T695" s="129"/>
      <c r="U695" s="129"/>
      <c r="V695" s="129"/>
    </row>
    <row r="696" spans="3:22" x14ac:dyDescent="0.3">
      <c r="C696" s="129"/>
      <c r="D696" s="129"/>
      <c r="E696" s="129"/>
      <c r="F696" s="129"/>
      <c r="G696" s="129"/>
      <c r="H696" s="129"/>
      <c r="I696" s="129"/>
      <c r="J696" s="129"/>
      <c r="K696" s="129"/>
      <c r="L696" s="129"/>
      <c r="M696" s="129"/>
      <c r="N696" s="129"/>
      <c r="O696" s="129"/>
      <c r="P696" s="129"/>
      <c r="Q696" s="129"/>
      <c r="R696" s="129"/>
      <c r="S696" s="129"/>
      <c r="T696" s="129"/>
      <c r="U696" s="129"/>
      <c r="V696" s="129"/>
    </row>
    <row r="697" spans="3:22" x14ac:dyDescent="0.3">
      <c r="C697" s="129"/>
      <c r="D697" s="129"/>
      <c r="E697" s="129"/>
      <c r="F697" s="129"/>
      <c r="G697" s="129"/>
      <c r="H697" s="129"/>
      <c r="I697" s="129"/>
      <c r="J697" s="129"/>
      <c r="K697" s="129"/>
      <c r="L697" s="129"/>
      <c r="M697" s="129"/>
      <c r="N697" s="129"/>
      <c r="O697" s="129"/>
      <c r="P697" s="129"/>
      <c r="Q697" s="129"/>
      <c r="R697" s="129"/>
      <c r="S697" s="129"/>
      <c r="T697" s="129"/>
      <c r="U697" s="129"/>
      <c r="V697" s="129"/>
    </row>
    <row r="698" spans="3:22" x14ac:dyDescent="0.3">
      <c r="C698" s="129"/>
      <c r="D698" s="129"/>
      <c r="E698" s="129"/>
      <c r="F698" s="129"/>
      <c r="G698" s="129"/>
      <c r="H698" s="129"/>
      <c r="I698" s="129"/>
      <c r="J698" s="129"/>
      <c r="K698" s="129"/>
      <c r="L698" s="129"/>
      <c r="M698" s="129"/>
      <c r="N698" s="129"/>
      <c r="O698" s="129"/>
      <c r="P698" s="129"/>
      <c r="Q698" s="129"/>
      <c r="R698" s="129"/>
      <c r="S698" s="129"/>
      <c r="T698" s="129"/>
      <c r="U698" s="129"/>
      <c r="V698" s="129"/>
    </row>
    <row r="699" spans="3:22" x14ac:dyDescent="0.3">
      <c r="C699" s="129"/>
      <c r="D699" s="129"/>
      <c r="E699" s="129"/>
      <c r="F699" s="129"/>
      <c r="G699" s="129"/>
      <c r="H699" s="129"/>
      <c r="I699" s="129"/>
      <c r="J699" s="129"/>
      <c r="K699" s="129"/>
      <c r="L699" s="129"/>
      <c r="M699" s="129"/>
      <c r="N699" s="129"/>
      <c r="O699" s="129"/>
      <c r="P699" s="129"/>
      <c r="Q699" s="129"/>
      <c r="R699" s="129"/>
      <c r="S699" s="129"/>
      <c r="T699" s="129"/>
      <c r="U699" s="129"/>
      <c r="V699" s="129"/>
    </row>
    <row r="700" spans="3:22" x14ac:dyDescent="0.3">
      <c r="C700" s="129"/>
      <c r="D700" s="129"/>
      <c r="E700" s="129"/>
      <c r="F700" s="129"/>
      <c r="G700" s="129"/>
      <c r="H700" s="129"/>
      <c r="I700" s="129"/>
      <c r="J700" s="129"/>
      <c r="K700" s="129"/>
      <c r="L700" s="129"/>
      <c r="M700" s="129"/>
      <c r="N700" s="129"/>
      <c r="O700" s="129"/>
      <c r="P700" s="129"/>
      <c r="Q700" s="129"/>
      <c r="R700" s="129"/>
      <c r="S700" s="129"/>
      <c r="T700" s="129"/>
      <c r="U700" s="129"/>
      <c r="V700" s="129"/>
    </row>
    <row r="701" spans="3:22" x14ac:dyDescent="0.3">
      <c r="C701" s="129"/>
      <c r="D701" s="129"/>
      <c r="E701" s="129"/>
      <c r="F701" s="129"/>
      <c r="G701" s="129"/>
      <c r="H701" s="129"/>
      <c r="I701" s="129"/>
      <c r="J701" s="129"/>
      <c r="K701" s="129"/>
      <c r="L701" s="129"/>
      <c r="M701" s="129"/>
      <c r="N701" s="129"/>
      <c r="O701" s="129"/>
      <c r="P701" s="129"/>
      <c r="Q701" s="129"/>
      <c r="R701" s="129"/>
      <c r="S701" s="129"/>
      <c r="T701" s="129"/>
      <c r="U701" s="129"/>
      <c r="V701" s="129"/>
    </row>
    <row r="702" spans="3:22" x14ac:dyDescent="0.3">
      <c r="C702" s="129"/>
      <c r="D702" s="129"/>
      <c r="E702" s="129"/>
      <c r="F702" s="129"/>
      <c r="G702" s="129"/>
      <c r="H702" s="129"/>
      <c r="I702" s="129"/>
      <c r="J702" s="129"/>
      <c r="K702" s="129"/>
      <c r="L702" s="129"/>
      <c r="M702" s="129"/>
      <c r="N702" s="129"/>
      <c r="O702" s="129"/>
      <c r="P702" s="129"/>
      <c r="Q702" s="129"/>
      <c r="R702" s="129"/>
      <c r="S702" s="129"/>
      <c r="T702" s="129"/>
      <c r="U702" s="129"/>
      <c r="V702" s="129"/>
    </row>
    <row r="703" spans="3:22" x14ac:dyDescent="0.3">
      <c r="C703" s="129"/>
      <c r="D703" s="129"/>
      <c r="E703" s="129"/>
      <c r="F703" s="129"/>
      <c r="G703" s="129"/>
      <c r="H703" s="129"/>
      <c r="I703" s="129"/>
      <c r="J703" s="129"/>
      <c r="K703" s="129"/>
      <c r="L703" s="129"/>
      <c r="M703" s="129"/>
      <c r="N703" s="129"/>
      <c r="O703" s="129"/>
      <c r="P703" s="129"/>
      <c r="Q703" s="129"/>
      <c r="R703" s="129"/>
      <c r="S703" s="129"/>
      <c r="T703" s="129"/>
      <c r="U703" s="129"/>
      <c r="V703" s="129"/>
    </row>
    <row r="704" spans="3:22" x14ac:dyDescent="0.3">
      <c r="C704" s="129"/>
      <c r="D704" s="129"/>
      <c r="E704" s="129"/>
      <c r="F704" s="129"/>
      <c r="G704" s="129"/>
      <c r="H704" s="129"/>
      <c r="I704" s="129"/>
      <c r="J704" s="129"/>
      <c r="K704" s="129"/>
      <c r="L704" s="129"/>
      <c r="M704" s="129"/>
      <c r="N704" s="129"/>
      <c r="O704" s="129"/>
      <c r="P704" s="129"/>
      <c r="Q704" s="129"/>
      <c r="R704" s="129"/>
      <c r="S704" s="129"/>
      <c r="T704" s="129"/>
      <c r="U704" s="129"/>
      <c r="V704" s="129"/>
    </row>
    <row r="705" spans="3:22" x14ac:dyDescent="0.3">
      <c r="C705" s="129"/>
      <c r="D705" s="129"/>
      <c r="E705" s="129"/>
      <c r="F705" s="129"/>
      <c r="G705" s="129"/>
      <c r="H705" s="129"/>
      <c r="I705" s="129"/>
      <c r="J705" s="129"/>
      <c r="K705" s="129"/>
      <c r="L705" s="129"/>
      <c r="M705" s="129"/>
      <c r="N705" s="129"/>
      <c r="O705" s="129"/>
      <c r="P705" s="129"/>
      <c r="Q705" s="129"/>
      <c r="R705" s="129"/>
      <c r="S705" s="129"/>
      <c r="T705" s="129"/>
      <c r="U705" s="129"/>
      <c r="V705" s="129"/>
    </row>
    <row r="706" spans="3:22" x14ac:dyDescent="0.3">
      <c r="C706" s="129"/>
      <c r="D706" s="129"/>
      <c r="E706" s="129"/>
      <c r="F706" s="129"/>
      <c r="G706" s="129"/>
      <c r="H706" s="129"/>
      <c r="I706" s="129"/>
      <c r="J706" s="129"/>
      <c r="K706" s="129"/>
      <c r="L706" s="129"/>
      <c r="M706" s="129"/>
      <c r="N706" s="129"/>
      <c r="O706" s="129"/>
      <c r="P706" s="129"/>
      <c r="Q706" s="129"/>
      <c r="R706" s="129"/>
      <c r="S706" s="129"/>
      <c r="T706" s="129"/>
      <c r="U706" s="129"/>
      <c r="V706" s="129"/>
    </row>
    <row r="707" spans="3:22" x14ac:dyDescent="0.3">
      <c r="C707" s="129"/>
      <c r="D707" s="129"/>
      <c r="E707" s="129"/>
      <c r="F707" s="129"/>
      <c r="G707" s="129"/>
      <c r="H707" s="129"/>
      <c r="I707" s="129"/>
      <c r="J707" s="129"/>
      <c r="K707" s="129"/>
      <c r="L707" s="129"/>
      <c r="M707" s="129"/>
      <c r="N707" s="129"/>
      <c r="O707" s="129"/>
      <c r="P707" s="129"/>
      <c r="Q707" s="129"/>
      <c r="R707" s="129"/>
      <c r="S707" s="129"/>
      <c r="T707" s="129"/>
      <c r="U707" s="129"/>
      <c r="V707" s="129"/>
    </row>
    <row r="708" spans="3:22" x14ac:dyDescent="0.3">
      <c r="C708" s="129"/>
      <c r="D708" s="129"/>
      <c r="E708" s="129"/>
      <c r="F708" s="129"/>
      <c r="G708" s="129"/>
      <c r="H708" s="129"/>
      <c r="I708" s="129"/>
      <c r="J708" s="129"/>
      <c r="K708" s="129"/>
      <c r="L708" s="129"/>
      <c r="M708" s="129"/>
      <c r="N708" s="129"/>
      <c r="O708" s="129"/>
      <c r="P708" s="129"/>
      <c r="Q708" s="129"/>
      <c r="R708" s="129"/>
      <c r="S708" s="129"/>
      <c r="T708" s="129"/>
      <c r="U708" s="129"/>
      <c r="V708" s="129"/>
    </row>
    <row r="709" spans="3:22" x14ac:dyDescent="0.3">
      <c r="C709" s="129"/>
      <c r="D709" s="129"/>
      <c r="E709" s="129"/>
      <c r="F709" s="129"/>
      <c r="G709" s="129"/>
      <c r="H709" s="129"/>
      <c r="I709" s="129"/>
      <c r="J709" s="129"/>
      <c r="K709" s="129"/>
      <c r="L709" s="129"/>
      <c r="M709" s="129"/>
      <c r="N709" s="129"/>
      <c r="O709" s="129"/>
      <c r="P709" s="129"/>
      <c r="Q709" s="129"/>
      <c r="R709" s="129"/>
      <c r="S709" s="129"/>
      <c r="T709" s="129"/>
      <c r="U709" s="129"/>
      <c r="V709" s="129"/>
    </row>
    <row r="710" spans="3:22" x14ac:dyDescent="0.3">
      <c r="C710" s="129"/>
      <c r="D710" s="129"/>
      <c r="E710" s="129"/>
      <c r="F710" s="129"/>
      <c r="G710" s="129"/>
      <c r="H710" s="129"/>
      <c r="I710" s="129"/>
      <c r="J710" s="129"/>
      <c r="K710" s="129"/>
      <c r="L710" s="129"/>
      <c r="M710" s="129"/>
      <c r="N710" s="129"/>
      <c r="O710" s="129"/>
      <c r="P710" s="129"/>
      <c r="Q710" s="129"/>
      <c r="R710" s="129"/>
      <c r="S710" s="129"/>
      <c r="T710" s="129"/>
      <c r="U710" s="129"/>
      <c r="V710" s="129"/>
    </row>
    <row r="711" spans="3:22" x14ac:dyDescent="0.3">
      <c r="C711" s="129"/>
      <c r="D711" s="129"/>
      <c r="E711" s="129"/>
      <c r="F711" s="129"/>
      <c r="G711" s="129"/>
      <c r="H711" s="129"/>
      <c r="I711" s="129"/>
      <c r="J711" s="129"/>
      <c r="K711" s="129"/>
      <c r="L711" s="129"/>
      <c r="M711" s="129"/>
      <c r="N711" s="129"/>
      <c r="O711" s="129"/>
      <c r="P711" s="129"/>
      <c r="Q711" s="129"/>
      <c r="R711" s="129"/>
      <c r="S711" s="129"/>
      <c r="T711" s="129"/>
      <c r="U711" s="129"/>
      <c r="V711" s="129"/>
    </row>
    <row r="712" spans="3:22" x14ac:dyDescent="0.3">
      <c r="C712" s="129"/>
      <c r="D712" s="129"/>
      <c r="E712" s="129"/>
      <c r="F712" s="129"/>
      <c r="G712" s="129"/>
      <c r="H712" s="129"/>
      <c r="I712" s="129"/>
      <c r="J712" s="129"/>
      <c r="K712" s="129"/>
      <c r="L712" s="129"/>
      <c r="M712" s="129"/>
      <c r="N712" s="129"/>
      <c r="O712" s="129"/>
      <c r="P712" s="129"/>
      <c r="Q712" s="129"/>
      <c r="R712" s="129"/>
      <c r="S712" s="129"/>
      <c r="T712" s="129"/>
      <c r="U712" s="129"/>
      <c r="V712" s="129"/>
    </row>
    <row r="713" spans="3:22" x14ac:dyDescent="0.3">
      <c r="C713" s="129"/>
      <c r="D713" s="129"/>
      <c r="E713" s="129"/>
      <c r="F713" s="129"/>
      <c r="G713" s="129"/>
      <c r="H713" s="129"/>
      <c r="I713" s="129"/>
      <c r="J713" s="129"/>
      <c r="K713" s="129"/>
      <c r="L713" s="129"/>
      <c r="M713" s="129"/>
      <c r="N713" s="129"/>
      <c r="O713" s="129"/>
      <c r="P713" s="129"/>
      <c r="Q713" s="129"/>
      <c r="R713" s="129"/>
      <c r="S713" s="129"/>
      <c r="T713" s="129"/>
      <c r="U713" s="129"/>
      <c r="V713" s="129"/>
    </row>
    <row r="714" spans="3:22" x14ac:dyDescent="0.3">
      <c r="C714" s="129"/>
      <c r="D714" s="129"/>
      <c r="E714" s="129"/>
      <c r="F714" s="129"/>
      <c r="G714" s="129"/>
      <c r="H714" s="129"/>
      <c r="I714" s="129"/>
      <c r="J714" s="129"/>
      <c r="K714" s="129"/>
      <c r="L714" s="129"/>
      <c r="M714" s="129"/>
      <c r="N714" s="129"/>
      <c r="O714" s="129"/>
      <c r="P714" s="129"/>
      <c r="Q714" s="129"/>
      <c r="R714" s="129"/>
      <c r="S714" s="129"/>
      <c r="T714" s="129"/>
      <c r="U714" s="129"/>
      <c r="V714" s="129"/>
    </row>
    <row r="715" spans="3:22" x14ac:dyDescent="0.3">
      <c r="C715" s="129"/>
      <c r="D715" s="129"/>
      <c r="E715" s="129"/>
      <c r="F715" s="129"/>
      <c r="G715" s="129"/>
      <c r="H715" s="129"/>
      <c r="I715" s="129"/>
      <c r="J715" s="129"/>
      <c r="K715" s="129"/>
      <c r="L715" s="129"/>
      <c r="M715" s="129"/>
      <c r="N715" s="129"/>
      <c r="O715" s="129"/>
      <c r="P715" s="129"/>
      <c r="Q715" s="129"/>
      <c r="R715" s="129"/>
      <c r="S715" s="129"/>
      <c r="T715" s="129"/>
      <c r="U715" s="129"/>
      <c r="V715" s="129"/>
    </row>
    <row r="716" spans="3:22" x14ac:dyDescent="0.3">
      <c r="C716" s="129"/>
      <c r="D716" s="129"/>
      <c r="E716" s="129"/>
      <c r="F716" s="129"/>
      <c r="G716" s="129"/>
      <c r="H716" s="129"/>
      <c r="I716" s="129"/>
      <c r="J716" s="129"/>
      <c r="K716" s="129"/>
      <c r="L716" s="129"/>
      <c r="M716" s="129"/>
      <c r="N716" s="129"/>
      <c r="O716" s="129"/>
      <c r="P716" s="129"/>
      <c r="Q716" s="129"/>
      <c r="R716" s="129"/>
      <c r="S716" s="129"/>
      <c r="T716" s="129"/>
      <c r="U716" s="129"/>
      <c r="V716" s="129"/>
    </row>
    <row r="717" spans="3:22" x14ac:dyDescent="0.3">
      <c r="C717" s="129"/>
      <c r="D717" s="129"/>
      <c r="E717" s="129"/>
      <c r="F717" s="129"/>
      <c r="G717" s="129"/>
      <c r="H717" s="129"/>
      <c r="I717" s="129"/>
      <c r="J717" s="129"/>
      <c r="K717" s="129"/>
      <c r="L717" s="129"/>
      <c r="M717" s="129"/>
      <c r="N717" s="129"/>
      <c r="O717" s="129"/>
      <c r="P717" s="129"/>
      <c r="Q717" s="129"/>
      <c r="R717" s="129"/>
      <c r="S717" s="129"/>
      <c r="T717" s="129"/>
      <c r="U717" s="129"/>
      <c r="V717" s="129"/>
    </row>
    <row r="718" spans="3:22" x14ac:dyDescent="0.3">
      <c r="C718" s="129"/>
      <c r="D718" s="129"/>
      <c r="E718" s="129"/>
      <c r="F718" s="129"/>
      <c r="G718" s="129"/>
      <c r="H718" s="129"/>
      <c r="I718" s="129"/>
      <c r="J718" s="129"/>
      <c r="K718" s="129"/>
      <c r="L718" s="129"/>
      <c r="M718" s="129"/>
      <c r="N718" s="129"/>
      <c r="O718" s="129"/>
      <c r="P718" s="129"/>
      <c r="Q718" s="129"/>
      <c r="R718" s="129"/>
      <c r="S718" s="129"/>
      <c r="T718" s="129"/>
      <c r="U718" s="129"/>
      <c r="V718" s="129"/>
    </row>
    <row r="719" spans="3:22" x14ac:dyDescent="0.3">
      <c r="C719" s="129"/>
      <c r="D719" s="129"/>
      <c r="E719" s="129"/>
      <c r="F719" s="129"/>
      <c r="G719" s="129"/>
      <c r="H719" s="129"/>
      <c r="I719" s="129"/>
      <c r="J719" s="129"/>
      <c r="K719" s="129"/>
      <c r="L719" s="129"/>
      <c r="M719" s="129"/>
      <c r="N719" s="129"/>
      <c r="O719" s="129"/>
      <c r="P719" s="129"/>
      <c r="Q719" s="129"/>
      <c r="R719" s="129"/>
      <c r="S719" s="129"/>
      <c r="T719" s="129"/>
      <c r="U719" s="129"/>
      <c r="V719" s="129"/>
    </row>
    <row r="720" spans="3:22" x14ac:dyDescent="0.3">
      <c r="C720" s="129"/>
      <c r="D720" s="129"/>
      <c r="E720" s="129"/>
      <c r="F720" s="129"/>
      <c r="G720" s="129"/>
      <c r="H720" s="129"/>
      <c r="I720" s="129"/>
      <c r="J720" s="129"/>
      <c r="K720" s="129"/>
      <c r="L720" s="129"/>
      <c r="M720" s="129"/>
      <c r="N720" s="129"/>
      <c r="O720" s="129"/>
      <c r="P720" s="129"/>
      <c r="Q720" s="129"/>
      <c r="R720" s="129"/>
      <c r="S720" s="129"/>
      <c r="T720" s="129"/>
      <c r="U720" s="129"/>
      <c r="V720" s="129"/>
    </row>
    <row r="721" spans="3:22" x14ac:dyDescent="0.3">
      <c r="C721" s="129"/>
      <c r="D721" s="129"/>
      <c r="E721" s="129"/>
      <c r="F721" s="129"/>
      <c r="G721" s="129"/>
      <c r="H721" s="129"/>
      <c r="I721" s="129"/>
      <c r="J721" s="129"/>
      <c r="K721" s="129"/>
      <c r="L721" s="129"/>
      <c r="M721" s="129"/>
      <c r="N721" s="129"/>
      <c r="O721" s="129"/>
      <c r="P721" s="129"/>
      <c r="Q721" s="129"/>
      <c r="R721" s="129"/>
      <c r="S721" s="129"/>
      <c r="T721" s="129"/>
      <c r="U721" s="129"/>
      <c r="V721" s="129"/>
    </row>
    <row r="722" spans="3:22" x14ac:dyDescent="0.3">
      <c r="C722" s="129"/>
      <c r="D722" s="129"/>
      <c r="E722" s="129"/>
      <c r="F722" s="129"/>
      <c r="G722" s="129"/>
      <c r="H722" s="129"/>
      <c r="I722" s="129"/>
      <c r="J722" s="129"/>
      <c r="K722" s="129"/>
      <c r="L722" s="129"/>
      <c r="M722" s="129"/>
      <c r="N722" s="129"/>
      <c r="O722" s="129"/>
      <c r="P722" s="129"/>
      <c r="Q722" s="129"/>
      <c r="R722" s="129"/>
      <c r="S722" s="129"/>
      <c r="T722" s="129"/>
      <c r="U722" s="129"/>
      <c r="V722" s="129"/>
    </row>
    <row r="723" spans="3:22" x14ac:dyDescent="0.3">
      <c r="C723" s="129"/>
      <c r="D723" s="129"/>
      <c r="E723" s="129"/>
      <c r="F723" s="129"/>
      <c r="G723" s="129"/>
      <c r="H723" s="129"/>
      <c r="I723" s="129"/>
      <c r="J723" s="129"/>
      <c r="K723" s="129"/>
      <c r="L723" s="129"/>
      <c r="M723" s="129"/>
      <c r="N723" s="129"/>
      <c r="O723" s="129"/>
      <c r="P723" s="129"/>
      <c r="Q723" s="129"/>
      <c r="R723" s="129"/>
      <c r="S723" s="129"/>
      <c r="T723" s="129"/>
      <c r="U723" s="129"/>
      <c r="V723" s="129"/>
    </row>
    <row r="724" spans="3:22" x14ac:dyDescent="0.3">
      <c r="C724" s="129"/>
      <c r="D724" s="129"/>
      <c r="E724" s="129"/>
      <c r="F724" s="129"/>
      <c r="G724" s="129"/>
      <c r="H724" s="129"/>
      <c r="I724" s="129"/>
      <c r="J724" s="129"/>
      <c r="K724" s="129"/>
      <c r="L724" s="129"/>
      <c r="M724" s="129"/>
      <c r="N724" s="129"/>
      <c r="O724" s="129"/>
      <c r="P724" s="129"/>
      <c r="Q724" s="129"/>
      <c r="R724" s="129"/>
      <c r="S724" s="129"/>
      <c r="T724" s="129"/>
      <c r="U724" s="129"/>
      <c r="V724" s="129"/>
    </row>
    <row r="725" spans="3:22" x14ac:dyDescent="0.3">
      <c r="C725" s="129"/>
      <c r="D725" s="129"/>
      <c r="E725" s="129"/>
      <c r="F725" s="129"/>
      <c r="G725" s="129"/>
      <c r="H725" s="129"/>
      <c r="I725" s="129"/>
      <c r="J725" s="129"/>
      <c r="K725" s="129"/>
      <c r="L725" s="129"/>
      <c r="M725" s="129"/>
      <c r="N725" s="129"/>
      <c r="O725" s="129"/>
      <c r="P725" s="129"/>
      <c r="Q725" s="129"/>
      <c r="R725" s="129"/>
      <c r="S725" s="129"/>
      <c r="T725" s="129"/>
      <c r="U725" s="129"/>
      <c r="V725" s="129"/>
    </row>
    <row r="726" spans="3:22" x14ac:dyDescent="0.3">
      <c r="C726" s="129"/>
      <c r="D726" s="129"/>
      <c r="E726" s="129"/>
      <c r="F726" s="129"/>
      <c r="G726" s="129"/>
      <c r="H726" s="129"/>
      <c r="I726" s="129"/>
      <c r="J726" s="129"/>
      <c r="K726" s="129"/>
      <c r="L726" s="129"/>
      <c r="M726" s="129"/>
      <c r="N726" s="129"/>
      <c r="O726" s="129"/>
      <c r="P726" s="129"/>
      <c r="Q726" s="129"/>
      <c r="R726" s="129"/>
      <c r="S726" s="129"/>
      <c r="T726" s="129"/>
      <c r="U726" s="129"/>
      <c r="V726" s="129"/>
    </row>
    <row r="727" spans="3:22" x14ac:dyDescent="0.3">
      <c r="C727" s="129"/>
      <c r="D727" s="129"/>
      <c r="E727" s="129"/>
      <c r="F727" s="129"/>
      <c r="G727" s="129"/>
      <c r="H727" s="129"/>
      <c r="I727" s="129"/>
      <c r="J727" s="129"/>
      <c r="K727" s="129"/>
      <c r="L727" s="129"/>
      <c r="M727" s="129"/>
      <c r="N727" s="129"/>
      <c r="O727" s="129"/>
      <c r="P727" s="129"/>
      <c r="Q727" s="129"/>
      <c r="R727" s="129"/>
      <c r="S727" s="129"/>
      <c r="T727" s="129"/>
      <c r="U727" s="129"/>
      <c r="V727" s="129"/>
    </row>
    <row r="728" spans="3:22" x14ac:dyDescent="0.3">
      <c r="C728" s="129"/>
      <c r="D728" s="129"/>
      <c r="E728" s="129"/>
      <c r="F728" s="129"/>
      <c r="G728" s="129"/>
      <c r="H728" s="129"/>
      <c r="I728" s="129"/>
      <c r="J728" s="129"/>
      <c r="K728" s="129"/>
      <c r="L728" s="129"/>
      <c r="M728" s="129"/>
      <c r="N728" s="129"/>
      <c r="O728" s="129"/>
      <c r="P728" s="129"/>
      <c r="Q728" s="129"/>
      <c r="R728" s="129"/>
      <c r="S728" s="129"/>
      <c r="T728" s="129"/>
      <c r="U728" s="129"/>
      <c r="V728" s="129"/>
    </row>
    <row r="729" spans="3:22" x14ac:dyDescent="0.3">
      <c r="C729" s="129"/>
      <c r="D729" s="129"/>
      <c r="E729" s="129"/>
      <c r="F729" s="129"/>
      <c r="G729" s="129"/>
      <c r="H729" s="129"/>
      <c r="I729" s="129"/>
      <c r="J729" s="129"/>
      <c r="K729" s="129"/>
      <c r="L729" s="129"/>
      <c r="M729" s="129"/>
      <c r="N729" s="129"/>
      <c r="O729" s="129"/>
      <c r="P729" s="129"/>
      <c r="Q729" s="129"/>
      <c r="R729" s="129"/>
      <c r="S729" s="129"/>
      <c r="T729" s="129"/>
      <c r="U729" s="129"/>
      <c r="V729" s="129"/>
    </row>
    <row r="730" spans="3:22" x14ac:dyDescent="0.3">
      <c r="C730" s="129"/>
      <c r="D730" s="129"/>
      <c r="E730" s="129"/>
      <c r="F730" s="129"/>
      <c r="G730" s="129"/>
      <c r="H730" s="129"/>
      <c r="I730" s="129"/>
      <c r="J730" s="129"/>
      <c r="K730" s="129"/>
      <c r="L730" s="129"/>
      <c r="M730" s="129"/>
      <c r="N730" s="129"/>
      <c r="O730" s="129"/>
      <c r="P730" s="129"/>
      <c r="Q730" s="129"/>
      <c r="R730" s="129"/>
      <c r="S730" s="129"/>
      <c r="T730" s="129"/>
      <c r="U730" s="129"/>
      <c r="V730" s="129"/>
    </row>
    <row r="731" spans="3:22" x14ac:dyDescent="0.3">
      <c r="C731" s="129"/>
      <c r="D731" s="129"/>
      <c r="E731" s="129"/>
      <c r="F731" s="129"/>
      <c r="G731" s="129"/>
      <c r="H731" s="129"/>
      <c r="I731" s="129"/>
      <c r="J731" s="129"/>
      <c r="K731" s="129"/>
      <c r="L731" s="129"/>
      <c r="M731" s="129"/>
      <c r="N731" s="129"/>
      <c r="O731" s="129"/>
      <c r="P731" s="129"/>
      <c r="Q731" s="129"/>
      <c r="R731" s="129"/>
      <c r="S731" s="129"/>
      <c r="T731" s="129"/>
      <c r="U731" s="129"/>
      <c r="V731" s="129"/>
    </row>
    <row r="732" spans="3:22" x14ac:dyDescent="0.3">
      <c r="C732" s="129"/>
      <c r="D732" s="129"/>
      <c r="E732" s="129"/>
      <c r="F732" s="129"/>
      <c r="G732" s="129"/>
      <c r="H732" s="129"/>
      <c r="I732" s="129"/>
      <c r="J732" s="129"/>
      <c r="K732" s="129"/>
      <c r="L732" s="129"/>
      <c r="M732" s="129"/>
      <c r="N732" s="129"/>
      <c r="O732" s="129"/>
      <c r="P732" s="129"/>
      <c r="Q732" s="129"/>
      <c r="R732" s="129"/>
      <c r="S732" s="129"/>
      <c r="T732" s="129"/>
      <c r="U732" s="129"/>
      <c r="V732" s="129"/>
    </row>
    <row r="733" spans="3:22" x14ac:dyDescent="0.3">
      <c r="C733" s="129"/>
      <c r="D733" s="129"/>
      <c r="E733" s="129"/>
      <c r="F733" s="129"/>
      <c r="G733" s="129"/>
      <c r="H733" s="129"/>
      <c r="I733" s="129"/>
      <c r="J733" s="129"/>
      <c r="K733" s="129"/>
      <c r="L733" s="129"/>
      <c r="M733" s="129"/>
      <c r="N733" s="129"/>
      <c r="O733" s="129"/>
      <c r="P733" s="129"/>
      <c r="Q733" s="129"/>
      <c r="R733" s="129"/>
      <c r="S733" s="129"/>
      <c r="T733" s="129"/>
      <c r="U733" s="129"/>
      <c r="V733" s="129"/>
    </row>
    <row r="734" spans="3:22" x14ac:dyDescent="0.3">
      <c r="C734" s="129"/>
      <c r="D734" s="129"/>
      <c r="E734" s="129"/>
      <c r="F734" s="129"/>
      <c r="G734" s="129"/>
      <c r="H734" s="129"/>
      <c r="I734" s="129"/>
      <c r="J734" s="129"/>
      <c r="K734" s="129"/>
      <c r="L734" s="129"/>
      <c r="M734" s="129"/>
      <c r="N734" s="129"/>
      <c r="O734" s="129"/>
      <c r="P734" s="129"/>
      <c r="Q734" s="129"/>
      <c r="R734" s="129"/>
      <c r="S734" s="129"/>
      <c r="T734" s="129"/>
      <c r="U734" s="129"/>
      <c r="V734" s="129"/>
    </row>
    <row r="735" spans="3:22" x14ac:dyDescent="0.3">
      <c r="C735" s="129"/>
      <c r="D735" s="129"/>
      <c r="E735" s="129"/>
      <c r="F735" s="129"/>
      <c r="G735" s="129"/>
      <c r="H735" s="129"/>
      <c r="I735" s="129"/>
      <c r="J735" s="129"/>
      <c r="K735" s="129"/>
      <c r="L735" s="129"/>
      <c r="M735" s="129"/>
      <c r="N735" s="129"/>
      <c r="O735" s="129"/>
      <c r="P735" s="129"/>
      <c r="Q735" s="129"/>
      <c r="R735" s="129"/>
      <c r="S735" s="129"/>
      <c r="T735" s="129"/>
      <c r="U735" s="129"/>
      <c r="V735" s="129"/>
    </row>
    <row r="736" spans="3:22" x14ac:dyDescent="0.3">
      <c r="C736" s="129"/>
      <c r="D736" s="129"/>
      <c r="E736" s="129"/>
      <c r="F736" s="129"/>
      <c r="G736" s="129"/>
      <c r="H736" s="129"/>
      <c r="I736" s="129"/>
      <c r="J736" s="129"/>
      <c r="K736" s="129"/>
      <c r="L736" s="129"/>
      <c r="M736" s="129"/>
      <c r="N736" s="129"/>
      <c r="O736" s="129"/>
      <c r="P736" s="129"/>
      <c r="Q736" s="129"/>
      <c r="R736" s="129"/>
      <c r="S736" s="129"/>
      <c r="T736" s="129"/>
      <c r="U736" s="129"/>
      <c r="V736" s="129"/>
    </row>
    <row r="737" spans="3:22" x14ac:dyDescent="0.3">
      <c r="C737" s="129"/>
      <c r="D737" s="129"/>
      <c r="E737" s="129"/>
      <c r="F737" s="129"/>
      <c r="G737" s="129"/>
      <c r="H737" s="129"/>
      <c r="I737" s="129"/>
      <c r="J737" s="129"/>
      <c r="K737" s="129"/>
      <c r="L737" s="129"/>
      <c r="M737" s="129"/>
      <c r="N737" s="129"/>
      <c r="O737" s="129"/>
      <c r="P737" s="129"/>
      <c r="Q737" s="129"/>
      <c r="R737" s="129"/>
      <c r="S737" s="129"/>
      <c r="T737" s="129"/>
      <c r="U737" s="129"/>
      <c r="V737" s="129"/>
    </row>
    <row r="738" spans="3:22" x14ac:dyDescent="0.3">
      <c r="C738" s="129"/>
      <c r="D738" s="129"/>
      <c r="E738" s="129"/>
      <c r="F738" s="129"/>
      <c r="G738" s="129"/>
      <c r="H738" s="129"/>
      <c r="I738" s="129"/>
      <c r="J738" s="129"/>
      <c r="K738" s="129"/>
      <c r="L738" s="129"/>
      <c r="M738" s="129"/>
      <c r="N738" s="129"/>
      <c r="O738" s="129"/>
      <c r="P738" s="129"/>
      <c r="Q738" s="129"/>
      <c r="R738" s="129"/>
      <c r="S738" s="129"/>
      <c r="T738" s="129"/>
      <c r="U738" s="129"/>
      <c r="V738" s="129"/>
    </row>
    <row r="739" spans="3:22" x14ac:dyDescent="0.3">
      <c r="C739" s="129"/>
      <c r="D739" s="129"/>
      <c r="E739" s="129"/>
      <c r="F739" s="129"/>
      <c r="G739" s="129"/>
      <c r="H739" s="129"/>
      <c r="I739" s="129"/>
      <c r="J739" s="129"/>
      <c r="K739" s="129"/>
      <c r="L739" s="129"/>
      <c r="M739" s="129"/>
      <c r="N739" s="129"/>
      <c r="O739" s="129"/>
      <c r="P739" s="129"/>
      <c r="Q739" s="129"/>
      <c r="R739" s="129"/>
      <c r="S739" s="129"/>
      <c r="T739" s="129"/>
      <c r="U739" s="129"/>
      <c r="V739" s="129"/>
    </row>
    <row r="740" spans="3:22" x14ac:dyDescent="0.3">
      <c r="C740" s="129"/>
      <c r="D740" s="129"/>
      <c r="E740" s="129"/>
      <c r="F740" s="129"/>
      <c r="G740" s="129"/>
      <c r="H740" s="129"/>
      <c r="I740" s="129"/>
      <c r="J740" s="129"/>
      <c r="K740" s="129"/>
      <c r="L740" s="129"/>
      <c r="M740" s="129"/>
      <c r="N740" s="129"/>
      <c r="O740" s="129"/>
      <c r="P740" s="129"/>
      <c r="Q740" s="129"/>
      <c r="R740" s="129"/>
      <c r="S740" s="129"/>
      <c r="T740" s="129"/>
      <c r="U740" s="129"/>
      <c r="V740" s="129"/>
    </row>
    <row r="741" spans="3:22" x14ac:dyDescent="0.3">
      <c r="C741" s="129"/>
      <c r="D741" s="129"/>
      <c r="E741" s="129"/>
      <c r="F741" s="129"/>
      <c r="G741" s="129"/>
      <c r="H741" s="129"/>
      <c r="I741" s="129"/>
      <c r="J741" s="129"/>
      <c r="K741" s="129"/>
      <c r="L741" s="129"/>
      <c r="M741" s="129"/>
      <c r="N741" s="129"/>
      <c r="O741" s="129"/>
      <c r="P741" s="129"/>
      <c r="Q741" s="129"/>
      <c r="R741" s="129"/>
      <c r="S741" s="129"/>
      <c r="T741" s="129"/>
      <c r="U741" s="129"/>
      <c r="V741" s="129"/>
    </row>
    <row r="742" spans="3:22" x14ac:dyDescent="0.3">
      <c r="C742" s="129"/>
      <c r="D742" s="129"/>
      <c r="E742" s="129"/>
      <c r="F742" s="129"/>
      <c r="G742" s="129"/>
      <c r="H742" s="129"/>
      <c r="I742" s="129"/>
      <c r="J742" s="129"/>
      <c r="K742" s="129"/>
      <c r="L742" s="129"/>
      <c r="M742" s="129"/>
      <c r="N742" s="129"/>
      <c r="O742" s="129"/>
      <c r="P742" s="129"/>
      <c r="Q742" s="129"/>
      <c r="R742" s="129"/>
      <c r="S742" s="129"/>
      <c r="T742" s="129"/>
      <c r="U742" s="129"/>
      <c r="V742" s="129"/>
    </row>
    <row r="743" spans="3:22" x14ac:dyDescent="0.3">
      <c r="C743" s="129"/>
      <c r="D743" s="129"/>
      <c r="E743" s="129"/>
      <c r="F743" s="129"/>
      <c r="G743" s="129"/>
      <c r="H743" s="129"/>
      <c r="I743" s="129"/>
      <c r="J743" s="129"/>
      <c r="K743" s="129"/>
      <c r="L743" s="129"/>
      <c r="M743" s="129"/>
      <c r="N743" s="129"/>
      <c r="O743" s="129"/>
      <c r="P743" s="129"/>
      <c r="Q743" s="129"/>
      <c r="R743" s="129"/>
      <c r="S743" s="129"/>
      <c r="T743" s="129"/>
      <c r="U743" s="129"/>
      <c r="V743" s="129"/>
    </row>
    <row r="744" spans="3:22" x14ac:dyDescent="0.3">
      <c r="C744" s="129"/>
      <c r="D744" s="129"/>
      <c r="E744" s="129"/>
      <c r="F744" s="129"/>
      <c r="G744" s="129"/>
      <c r="H744" s="129"/>
      <c r="I744" s="129"/>
      <c r="J744" s="129"/>
      <c r="K744" s="129"/>
      <c r="L744" s="129"/>
      <c r="M744" s="129"/>
      <c r="N744" s="129"/>
      <c r="O744" s="129"/>
      <c r="P744" s="129"/>
      <c r="Q744" s="129"/>
      <c r="R744" s="129"/>
      <c r="S744" s="129"/>
      <c r="T744" s="129"/>
      <c r="U744" s="129"/>
      <c r="V744" s="129"/>
    </row>
    <row r="745" spans="3:22" x14ac:dyDescent="0.3">
      <c r="C745" s="129"/>
      <c r="D745" s="129"/>
      <c r="E745" s="129"/>
      <c r="F745" s="129"/>
      <c r="G745" s="129"/>
      <c r="H745" s="129"/>
      <c r="I745" s="129"/>
      <c r="J745" s="129"/>
      <c r="K745" s="129"/>
      <c r="L745" s="129"/>
      <c r="M745" s="129"/>
      <c r="N745" s="129"/>
      <c r="O745" s="129"/>
      <c r="P745" s="129"/>
      <c r="Q745" s="129"/>
      <c r="R745" s="129"/>
      <c r="S745" s="129"/>
      <c r="T745" s="129"/>
      <c r="U745" s="129"/>
      <c r="V745" s="129"/>
    </row>
    <row r="746" spans="3:22" x14ac:dyDescent="0.3">
      <c r="C746" s="129"/>
      <c r="D746" s="129"/>
      <c r="E746" s="129"/>
      <c r="F746" s="129"/>
      <c r="G746" s="129"/>
      <c r="H746" s="129"/>
      <c r="I746" s="129"/>
      <c r="J746" s="129"/>
      <c r="K746" s="129"/>
      <c r="L746" s="129"/>
      <c r="M746" s="129"/>
      <c r="N746" s="129"/>
      <c r="O746" s="129"/>
      <c r="P746" s="129"/>
      <c r="Q746" s="129"/>
      <c r="R746" s="129"/>
      <c r="S746" s="129"/>
      <c r="T746" s="129"/>
      <c r="U746" s="129"/>
      <c r="V746" s="129"/>
    </row>
    <row r="747" spans="3:22" x14ac:dyDescent="0.3">
      <c r="C747" s="129"/>
      <c r="D747" s="129"/>
      <c r="E747" s="129"/>
      <c r="F747" s="129"/>
      <c r="G747" s="129"/>
      <c r="H747" s="129"/>
      <c r="I747" s="129"/>
      <c r="J747" s="129"/>
      <c r="K747" s="129"/>
      <c r="L747" s="129"/>
      <c r="M747" s="129"/>
      <c r="N747" s="129"/>
      <c r="O747" s="129"/>
      <c r="P747" s="129"/>
      <c r="Q747" s="129"/>
      <c r="R747" s="129"/>
      <c r="S747" s="129"/>
      <c r="T747" s="129"/>
      <c r="U747" s="129"/>
      <c r="V747" s="129"/>
    </row>
    <row r="748" spans="3:22" x14ac:dyDescent="0.3">
      <c r="C748" s="129"/>
      <c r="D748" s="129"/>
      <c r="E748" s="129"/>
      <c r="F748" s="129"/>
      <c r="G748" s="129"/>
      <c r="H748" s="129"/>
      <c r="I748" s="129"/>
      <c r="J748" s="129"/>
      <c r="K748" s="129"/>
      <c r="L748" s="129"/>
      <c r="M748" s="129"/>
      <c r="N748" s="129"/>
      <c r="O748" s="129"/>
      <c r="P748" s="129"/>
      <c r="Q748" s="129"/>
      <c r="R748" s="129"/>
      <c r="S748" s="129"/>
      <c r="T748" s="129"/>
      <c r="U748" s="129"/>
      <c r="V748" s="129"/>
    </row>
    <row r="749" spans="3:22" x14ac:dyDescent="0.3">
      <c r="C749" s="129"/>
      <c r="D749" s="129"/>
      <c r="E749" s="129"/>
      <c r="F749" s="129"/>
      <c r="G749" s="129"/>
      <c r="H749" s="129"/>
      <c r="I749" s="129"/>
      <c r="J749" s="129"/>
      <c r="K749" s="129"/>
      <c r="L749" s="129"/>
      <c r="M749" s="129"/>
      <c r="N749" s="129"/>
      <c r="O749" s="129"/>
      <c r="P749" s="129"/>
      <c r="Q749" s="129"/>
      <c r="R749" s="129"/>
      <c r="S749" s="129"/>
      <c r="T749" s="129"/>
      <c r="U749" s="129"/>
      <c r="V749" s="129"/>
    </row>
    <row r="750" spans="3:22" x14ac:dyDescent="0.3">
      <c r="C750" s="129"/>
      <c r="D750" s="129"/>
      <c r="E750" s="129"/>
      <c r="F750" s="129"/>
      <c r="G750" s="129"/>
      <c r="H750" s="129"/>
      <c r="I750" s="129"/>
      <c r="J750" s="129"/>
      <c r="K750" s="129"/>
      <c r="L750" s="129"/>
      <c r="M750" s="129"/>
      <c r="N750" s="129"/>
      <c r="O750" s="129"/>
      <c r="P750" s="129"/>
      <c r="Q750" s="129"/>
      <c r="R750" s="129"/>
      <c r="S750" s="129"/>
      <c r="T750" s="129"/>
      <c r="U750" s="129"/>
      <c r="V750" s="129"/>
    </row>
    <row r="751" spans="3:22" x14ac:dyDescent="0.3">
      <c r="C751" s="129"/>
      <c r="D751" s="129"/>
      <c r="E751" s="129"/>
      <c r="F751" s="129"/>
      <c r="G751" s="129"/>
      <c r="H751" s="129"/>
      <c r="I751" s="129"/>
      <c r="J751" s="129"/>
      <c r="K751" s="129"/>
      <c r="L751" s="129"/>
      <c r="M751" s="129"/>
      <c r="N751" s="129"/>
      <c r="O751" s="129"/>
      <c r="P751" s="129"/>
      <c r="Q751" s="129"/>
      <c r="R751" s="129"/>
      <c r="S751" s="129"/>
      <c r="T751" s="129"/>
      <c r="U751" s="129"/>
      <c r="V751" s="129"/>
    </row>
    <row r="752" spans="3:22" x14ac:dyDescent="0.3">
      <c r="C752" s="129"/>
      <c r="D752" s="129"/>
      <c r="E752" s="129"/>
      <c r="F752" s="129"/>
      <c r="G752" s="129"/>
      <c r="H752" s="129"/>
      <c r="I752" s="129"/>
      <c r="J752" s="129"/>
      <c r="K752" s="129"/>
      <c r="L752" s="129"/>
      <c r="M752" s="129"/>
      <c r="N752" s="129"/>
      <c r="O752" s="129"/>
      <c r="P752" s="129"/>
      <c r="Q752" s="129"/>
      <c r="R752" s="129"/>
      <c r="S752" s="129"/>
      <c r="T752" s="129"/>
      <c r="U752" s="129"/>
      <c r="V752" s="129"/>
    </row>
    <row r="753" spans="3:22" x14ac:dyDescent="0.3">
      <c r="C753" s="129"/>
      <c r="D753" s="129"/>
      <c r="E753" s="129"/>
      <c r="F753" s="129"/>
      <c r="G753" s="129"/>
      <c r="H753" s="129"/>
      <c r="I753" s="129"/>
      <c r="J753" s="129"/>
      <c r="K753" s="129"/>
      <c r="L753" s="129"/>
      <c r="M753" s="129"/>
      <c r="N753" s="129"/>
      <c r="O753" s="129"/>
      <c r="P753" s="129"/>
      <c r="Q753" s="129"/>
      <c r="R753" s="129"/>
      <c r="S753" s="129"/>
      <c r="T753" s="129"/>
      <c r="U753" s="129"/>
      <c r="V753" s="129"/>
    </row>
    <row r="754" spans="3:22" x14ac:dyDescent="0.3">
      <c r="C754" s="129"/>
      <c r="D754" s="129"/>
      <c r="E754" s="129"/>
      <c r="F754" s="129"/>
      <c r="G754" s="129"/>
      <c r="H754" s="129"/>
      <c r="I754" s="129"/>
      <c r="J754" s="129"/>
      <c r="K754" s="129"/>
      <c r="L754" s="129"/>
      <c r="M754" s="129"/>
      <c r="N754" s="129"/>
      <c r="O754" s="129"/>
      <c r="P754" s="129"/>
      <c r="Q754" s="129"/>
      <c r="R754" s="129"/>
      <c r="S754" s="129"/>
      <c r="T754" s="129"/>
      <c r="U754" s="129"/>
      <c r="V754" s="129"/>
    </row>
    <row r="755" spans="3:22" x14ac:dyDescent="0.3">
      <c r="C755" s="129"/>
      <c r="D755" s="129"/>
      <c r="E755" s="129"/>
      <c r="F755" s="129"/>
      <c r="G755" s="129"/>
      <c r="H755" s="129"/>
      <c r="I755" s="129"/>
      <c r="J755" s="129"/>
      <c r="K755" s="129"/>
      <c r="L755" s="129"/>
      <c r="M755" s="129"/>
      <c r="N755" s="129"/>
      <c r="O755" s="129"/>
      <c r="P755" s="129"/>
      <c r="Q755" s="129"/>
      <c r="R755" s="129"/>
      <c r="S755" s="129"/>
      <c r="T755" s="129"/>
      <c r="U755" s="129"/>
      <c r="V755" s="129"/>
    </row>
    <row r="756" spans="3:22" x14ac:dyDescent="0.3">
      <c r="C756" s="129"/>
      <c r="D756" s="129"/>
      <c r="E756" s="129"/>
      <c r="F756" s="129"/>
      <c r="G756" s="129"/>
      <c r="H756" s="129"/>
      <c r="I756" s="129"/>
      <c r="J756" s="129"/>
      <c r="K756" s="129"/>
      <c r="L756" s="129"/>
      <c r="M756" s="129"/>
      <c r="N756" s="129"/>
      <c r="O756" s="129"/>
      <c r="P756" s="129"/>
      <c r="Q756" s="129"/>
      <c r="R756" s="129"/>
      <c r="S756" s="129"/>
      <c r="T756" s="129"/>
      <c r="U756" s="129"/>
      <c r="V756" s="129"/>
    </row>
    <row r="757" spans="3:22" x14ac:dyDescent="0.3">
      <c r="C757" s="129"/>
      <c r="D757" s="129"/>
      <c r="E757" s="129"/>
      <c r="F757" s="129"/>
      <c r="G757" s="129"/>
      <c r="H757" s="129"/>
      <c r="I757" s="129"/>
      <c r="J757" s="129"/>
      <c r="K757" s="129"/>
      <c r="L757" s="129"/>
      <c r="M757" s="129"/>
      <c r="N757" s="129"/>
      <c r="O757" s="129"/>
      <c r="P757" s="129"/>
      <c r="Q757" s="129"/>
      <c r="R757" s="129"/>
      <c r="S757" s="129"/>
      <c r="T757" s="129"/>
      <c r="U757" s="129"/>
      <c r="V757" s="129"/>
    </row>
    <row r="758" spans="3:22" x14ac:dyDescent="0.3">
      <c r="C758" s="129"/>
      <c r="D758" s="129"/>
      <c r="E758" s="129"/>
      <c r="F758" s="129"/>
      <c r="G758" s="129"/>
      <c r="H758" s="129"/>
      <c r="I758" s="129"/>
      <c r="J758" s="129"/>
      <c r="K758" s="129"/>
      <c r="L758" s="129"/>
      <c r="M758" s="129"/>
      <c r="N758" s="129"/>
      <c r="O758" s="129"/>
      <c r="P758" s="129"/>
      <c r="Q758" s="129"/>
      <c r="R758" s="129"/>
      <c r="S758" s="129"/>
      <c r="T758" s="129"/>
      <c r="U758" s="129"/>
      <c r="V758" s="129"/>
    </row>
    <row r="759" spans="3:22" x14ac:dyDescent="0.3">
      <c r="C759" s="129"/>
      <c r="D759" s="129"/>
      <c r="E759" s="129"/>
      <c r="F759" s="129"/>
      <c r="G759" s="129"/>
      <c r="H759" s="129"/>
      <c r="I759" s="129"/>
      <c r="J759" s="129"/>
      <c r="K759" s="129"/>
      <c r="L759" s="129"/>
      <c r="M759" s="129"/>
      <c r="N759" s="129"/>
      <c r="O759" s="129"/>
      <c r="P759" s="129"/>
      <c r="Q759" s="129"/>
      <c r="R759" s="129"/>
      <c r="S759" s="129"/>
      <c r="T759" s="129"/>
      <c r="U759" s="129"/>
      <c r="V759" s="129"/>
    </row>
    <row r="760" spans="3:22" x14ac:dyDescent="0.3">
      <c r="C760" s="129"/>
      <c r="D760" s="129"/>
      <c r="E760" s="129"/>
      <c r="F760" s="129"/>
      <c r="G760" s="129"/>
      <c r="H760" s="129"/>
      <c r="I760" s="129"/>
      <c r="J760" s="129"/>
      <c r="K760" s="129"/>
      <c r="L760" s="129"/>
      <c r="M760" s="129"/>
      <c r="N760" s="129"/>
      <c r="O760" s="129"/>
      <c r="P760" s="129"/>
      <c r="Q760" s="129"/>
      <c r="R760" s="129"/>
      <c r="S760" s="129"/>
      <c r="T760" s="129"/>
      <c r="U760" s="129"/>
      <c r="V760" s="129"/>
    </row>
    <row r="761" spans="3:22" x14ac:dyDescent="0.3">
      <c r="C761" s="129"/>
      <c r="D761" s="129"/>
      <c r="E761" s="129"/>
      <c r="F761" s="129"/>
      <c r="G761" s="129"/>
      <c r="H761" s="129"/>
      <c r="I761" s="129"/>
      <c r="J761" s="129"/>
      <c r="K761" s="129"/>
      <c r="L761" s="129"/>
      <c r="M761" s="129"/>
      <c r="N761" s="129"/>
      <c r="O761" s="129"/>
      <c r="P761" s="129"/>
      <c r="Q761" s="129"/>
      <c r="R761" s="129"/>
      <c r="S761" s="129"/>
      <c r="T761" s="129"/>
      <c r="U761" s="129"/>
      <c r="V761" s="129"/>
    </row>
    <row r="762" spans="3:22" x14ac:dyDescent="0.3">
      <c r="C762" s="129"/>
      <c r="D762" s="129"/>
      <c r="E762" s="129"/>
      <c r="F762" s="129"/>
      <c r="G762" s="129"/>
      <c r="H762" s="129"/>
      <c r="I762" s="129"/>
      <c r="J762" s="129"/>
      <c r="K762" s="129"/>
      <c r="L762" s="129"/>
      <c r="M762" s="129"/>
      <c r="N762" s="129"/>
      <c r="O762" s="129"/>
      <c r="P762" s="129"/>
      <c r="Q762" s="129"/>
      <c r="R762" s="129"/>
      <c r="S762" s="129"/>
      <c r="T762" s="129"/>
      <c r="U762" s="129"/>
      <c r="V762" s="129"/>
    </row>
    <row r="763" spans="3:22" x14ac:dyDescent="0.3">
      <c r="C763" s="129"/>
      <c r="D763" s="129"/>
      <c r="E763" s="129"/>
      <c r="F763" s="129"/>
      <c r="G763" s="129"/>
      <c r="H763" s="129"/>
      <c r="I763" s="129"/>
      <c r="J763" s="129"/>
      <c r="K763" s="129"/>
      <c r="L763" s="129"/>
      <c r="M763" s="129"/>
      <c r="N763" s="129"/>
      <c r="O763" s="129"/>
      <c r="P763" s="129"/>
      <c r="Q763" s="129"/>
      <c r="R763" s="129"/>
      <c r="S763" s="129"/>
      <c r="T763" s="129"/>
      <c r="U763" s="129"/>
      <c r="V763" s="129"/>
    </row>
    <row r="764" spans="3:22" x14ac:dyDescent="0.3">
      <c r="C764" s="129"/>
      <c r="D764" s="129"/>
      <c r="E764" s="129"/>
      <c r="F764" s="129"/>
      <c r="G764" s="129"/>
      <c r="H764" s="129"/>
      <c r="I764" s="129"/>
      <c r="J764" s="129"/>
      <c r="K764" s="129"/>
      <c r="L764" s="129"/>
      <c r="M764" s="129"/>
      <c r="N764" s="129"/>
      <c r="O764" s="129"/>
      <c r="P764" s="129"/>
      <c r="Q764" s="129"/>
      <c r="R764" s="129"/>
      <c r="S764" s="129"/>
      <c r="T764" s="129"/>
      <c r="U764" s="129"/>
      <c r="V764" s="129"/>
    </row>
    <row r="765" spans="3:22" x14ac:dyDescent="0.3">
      <c r="C765" s="129"/>
      <c r="D765" s="129"/>
      <c r="E765" s="129"/>
      <c r="F765" s="129"/>
      <c r="G765" s="129"/>
      <c r="H765" s="129"/>
      <c r="I765" s="129"/>
      <c r="J765" s="129"/>
      <c r="K765" s="129"/>
      <c r="L765" s="129"/>
      <c r="M765" s="129"/>
      <c r="N765" s="129"/>
      <c r="O765" s="129"/>
      <c r="P765" s="129"/>
      <c r="Q765" s="129"/>
      <c r="R765" s="129"/>
      <c r="S765" s="129"/>
      <c r="T765" s="129"/>
      <c r="U765" s="129"/>
      <c r="V765" s="129"/>
    </row>
    <row r="766" spans="3:22" x14ac:dyDescent="0.3">
      <c r="C766" s="129"/>
      <c r="D766" s="129"/>
      <c r="E766" s="129"/>
      <c r="F766" s="129"/>
      <c r="G766" s="129"/>
      <c r="H766" s="129"/>
      <c r="I766" s="129"/>
      <c r="J766" s="129"/>
      <c r="K766" s="129"/>
      <c r="L766" s="129"/>
      <c r="M766" s="129"/>
      <c r="N766" s="129"/>
      <c r="O766" s="129"/>
      <c r="P766" s="129"/>
      <c r="Q766" s="129"/>
      <c r="R766" s="129"/>
      <c r="S766" s="129"/>
      <c r="T766" s="129"/>
      <c r="U766" s="129"/>
      <c r="V766" s="129"/>
    </row>
    <row r="767" spans="3:22" x14ac:dyDescent="0.3">
      <c r="C767" s="129"/>
      <c r="D767" s="129"/>
      <c r="E767" s="129"/>
      <c r="F767" s="129"/>
      <c r="G767" s="129"/>
      <c r="H767" s="129"/>
      <c r="I767" s="129"/>
      <c r="J767" s="129"/>
      <c r="K767" s="129"/>
      <c r="L767" s="129"/>
      <c r="M767" s="129"/>
      <c r="N767" s="129"/>
      <c r="O767" s="129"/>
      <c r="P767" s="129"/>
      <c r="Q767" s="129"/>
      <c r="R767" s="129"/>
      <c r="S767" s="129"/>
      <c r="T767" s="129"/>
      <c r="U767" s="129"/>
      <c r="V767" s="129"/>
    </row>
    <row r="768" spans="3:22" x14ac:dyDescent="0.3">
      <c r="C768" s="129"/>
      <c r="D768" s="129"/>
      <c r="E768" s="129"/>
      <c r="F768" s="129"/>
      <c r="G768" s="129"/>
      <c r="H768" s="129"/>
      <c r="I768" s="129"/>
      <c r="J768" s="129"/>
      <c r="K768" s="129"/>
      <c r="L768" s="129"/>
      <c r="M768" s="129"/>
      <c r="N768" s="129"/>
      <c r="O768" s="129"/>
      <c r="P768" s="129"/>
      <c r="Q768" s="129"/>
      <c r="R768" s="129"/>
      <c r="S768" s="129"/>
      <c r="T768" s="129"/>
      <c r="U768" s="129"/>
      <c r="V768" s="129"/>
    </row>
    <row r="769" spans="3:22" x14ac:dyDescent="0.3">
      <c r="C769" s="129"/>
      <c r="D769" s="129"/>
      <c r="E769" s="129"/>
      <c r="F769" s="129"/>
      <c r="G769" s="129"/>
      <c r="H769" s="129"/>
      <c r="I769" s="129"/>
      <c r="J769" s="129"/>
      <c r="K769" s="129"/>
      <c r="L769" s="129"/>
      <c r="M769" s="129"/>
      <c r="N769" s="129"/>
      <c r="O769" s="129"/>
      <c r="P769" s="129"/>
      <c r="Q769" s="129"/>
      <c r="R769" s="129"/>
      <c r="S769" s="129"/>
      <c r="T769" s="129"/>
      <c r="U769" s="129"/>
      <c r="V769" s="129"/>
    </row>
    <row r="770" spans="3:22" x14ac:dyDescent="0.3">
      <c r="C770" s="129"/>
      <c r="D770" s="129"/>
      <c r="E770" s="129"/>
      <c r="F770" s="129"/>
      <c r="G770" s="129"/>
      <c r="H770" s="129"/>
      <c r="I770" s="129"/>
      <c r="J770" s="129"/>
      <c r="K770" s="129"/>
      <c r="L770" s="129"/>
      <c r="M770" s="129"/>
      <c r="N770" s="129"/>
      <c r="O770" s="129"/>
      <c r="P770" s="129"/>
      <c r="Q770" s="129"/>
      <c r="R770" s="129"/>
      <c r="S770" s="129"/>
      <c r="T770" s="129"/>
      <c r="U770" s="129"/>
      <c r="V770" s="129"/>
    </row>
    <row r="771" spans="3:22" x14ac:dyDescent="0.3">
      <c r="C771" s="129"/>
      <c r="D771" s="129"/>
      <c r="E771" s="129"/>
      <c r="F771" s="129"/>
      <c r="G771" s="129"/>
      <c r="H771" s="129"/>
      <c r="I771" s="129"/>
      <c r="J771" s="129"/>
      <c r="K771" s="129"/>
      <c r="L771" s="129"/>
      <c r="M771" s="129"/>
      <c r="N771" s="129"/>
      <c r="O771" s="129"/>
      <c r="P771" s="129"/>
      <c r="Q771" s="129"/>
      <c r="R771" s="129"/>
      <c r="S771" s="129"/>
      <c r="T771" s="129"/>
      <c r="U771" s="129"/>
      <c r="V771" s="129"/>
    </row>
    <row r="772" spans="3:22" x14ac:dyDescent="0.3">
      <c r="C772" s="129"/>
      <c r="D772" s="129"/>
      <c r="E772" s="129"/>
      <c r="F772" s="129"/>
      <c r="G772" s="129"/>
      <c r="H772" s="129"/>
      <c r="I772" s="129"/>
      <c r="J772" s="129"/>
      <c r="K772" s="129"/>
      <c r="L772" s="129"/>
      <c r="M772" s="129"/>
      <c r="N772" s="129"/>
      <c r="O772" s="129"/>
      <c r="P772" s="129"/>
      <c r="Q772" s="129"/>
      <c r="R772" s="129"/>
      <c r="S772" s="129"/>
      <c r="T772" s="129"/>
      <c r="U772" s="129"/>
      <c r="V772" s="129"/>
    </row>
    <row r="773" spans="3:22" x14ac:dyDescent="0.3">
      <c r="C773" s="129"/>
      <c r="D773" s="129"/>
      <c r="E773" s="129"/>
      <c r="F773" s="129"/>
      <c r="G773" s="129"/>
      <c r="H773" s="129"/>
      <c r="I773" s="129"/>
      <c r="J773" s="129"/>
      <c r="K773" s="129"/>
      <c r="L773" s="129"/>
      <c r="M773" s="129"/>
      <c r="N773" s="129"/>
      <c r="O773" s="129"/>
      <c r="P773" s="129"/>
      <c r="Q773" s="129"/>
      <c r="R773" s="129"/>
      <c r="S773" s="129"/>
      <c r="T773" s="129"/>
      <c r="U773" s="129"/>
      <c r="V773" s="129"/>
    </row>
    <row r="774" spans="3:22" x14ac:dyDescent="0.3">
      <c r="C774" s="129"/>
      <c r="D774" s="129"/>
      <c r="E774" s="129"/>
      <c r="F774" s="129"/>
      <c r="G774" s="129"/>
      <c r="H774" s="129"/>
      <c r="I774" s="129"/>
      <c r="J774" s="129"/>
      <c r="K774" s="129"/>
      <c r="L774" s="129"/>
      <c r="M774" s="129"/>
      <c r="N774" s="129"/>
      <c r="O774" s="129"/>
      <c r="P774" s="129"/>
      <c r="Q774" s="129"/>
      <c r="R774" s="129"/>
      <c r="S774" s="129"/>
      <c r="T774" s="129"/>
      <c r="U774" s="129"/>
      <c r="V774" s="129"/>
    </row>
    <row r="775" spans="3:22" x14ac:dyDescent="0.3">
      <c r="C775" s="129"/>
      <c r="D775" s="129"/>
      <c r="E775" s="129"/>
      <c r="F775" s="129"/>
      <c r="G775" s="129"/>
      <c r="H775" s="129"/>
      <c r="I775" s="129"/>
      <c r="J775" s="129"/>
      <c r="K775" s="129"/>
      <c r="L775" s="129"/>
      <c r="M775" s="129"/>
      <c r="N775" s="129"/>
      <c r="O775" s="129"/>
      <c r="P775" s="129"/>
      <c r="Q775" s="129"/>
      <c r="R775" s="129"/>
      <c r="S775" s="129"/>
      <c r="T775" s="129"/>
      <c r="U775" s="129"/>
      <c r="V775" s="129"/>
    </row>
    <row r="776" spans="3:22" x14ac:dyDescent="0.3">
      <c r="C776" s="129"/>
      <c r="D776" s="129"/>
      <c r="E776" s="129"/>
      <c r="F776" s="129"/>
      <c r="G776" s="129"/>
      <c r="H776" s="129"/>
      <c r="I776" s="129"/>
      <c r="J776" s="129"/>
      <c r="K776" s="129"/>
      <c r="L776" s="129"/>
      <c r="M776" s="129"/>
      <c r="N776" s="129"/>
      <c r="O776" s="129"/>
      <c r="P776" s="129"/>
      <c r="Q776" s="129"/>
      <c r="R776" s="129"/>
      <c r="S776" s="129"/>
      <c r="T776" s="129"/>
      <c r="U776" s="129"/>
      <c r="V776" s="129"/>
    </row>
    <row r="777" spans="3:22" x14ac:dyDescent="0.3">
      <c r="C777" s="129"/>
      <c r="D777" s="129"/>
      <c r="E777" s="129"/>
      <c r="F777" s="129"/>
      <c r="G777" s="129"/>
      <c r="H777" s="129"/>
      <c r="I777" s="129"/>
      <c r="J777" s="129"/>
      <c r="K777" s="129"/>
      <c r="L777" s="129"/>
      <c r="M777" s="129"/>
      <c r="N777" s="129"/>
      <c r="O777" s="129"/>
      <c r="P777" s="129"/>
      <c r="Q777" s="129"/>
      <c r="R777" s="129"/>
      <c r="S777" s="129"/>
      <c r="T777" s="129"/>
      <c r="U777" s="129"/>
      <c r="V777" s="129"/>
    </row>
    <row r="778" spans="3:22" x14ac:dyDescent="0.3">
      <c r="C778" s="129"/>
      <c r="D778" s="129"/>
      <c r="E778" s="129"/>
      <c r="F778" s="129"/>
      <c r="G778" s="129"/>
      <c r="H778" s="129"/>
      <c r="I778" s="129"/>
      <c r="J778" s="129"/>
      <c r="K778" s="129"/>
      <c r="L778" s="129"/>
      <c r="M778" s="129"/>
      <c r="N778" s="129"/>
      <c r="O778" s="129"/>
      <c r="P778" s="129"/>
      <c r="Q778" s="129"/>
      <c r="R778" s="129"/>
      <c r="S778" s="129"/>
      <c r="T778" s="129"/>
      <c r="U778" s="129"/>
      <c r="V778" s="129"/>
    </row>
    <row r="779" spans="3:22" x14ac:dyDescent="0.3">
      <c r="C779" s="129"/>
      <c r="D779" s="129"/>
      <c r="E779" s="129"/>
      <c r="F779" s="129"/>
      <c r="G779" s="129"/>
      <c r="H779" s="129"/>
      <c r="I779" s="129"/>
      <c r="J779" s="129"/>
      <c r="K779" s="129"/>
      <c r="L779" s="129"/>
      <c r="M779" s="129"/>
      <c r="N779" s="129"/>
      <c r="O779" s="129"/>
      <c r="P779" s="129"/>
      <c r="Q779" s="129"/>
      <c r="R779" s="129"/>
      <c r="S779" s="129"/>
      <c r="T779" s="129"/>
      <c r="U779" s="129"/>
      <c r="V779" s="129"/>
    </row>
    <row r="780" spans="3:22" x14ac:dyDescent="0.3">
      <c r="C780" s="129"/>
      <c r="D780" s="129"/>
      <c r="E780" s="129"/>
      <c r="F780" s="129"/>
      <c r="G780" s="129"/>
      <c r="H780" s="129"/>
      <c r="I780" s="129"/>
      <c r="J780" s="129"/>
      <c r="K780" s="129"/>
      <c r="L780" s="129"/>
      <c r="M780" s="129"/>
      <c r="N780" s="129"/>
      <c r="O780" s="129"/>
      <c r="P780" s="129"/>
      <c r="Q780" s="129"/>
      <c r="R780" s="129"/>
      <c r="S780" s="129"/>
      <c r="T780" s="129"/>
      <c r="U780" s="129"/>
      <c r="V780" s="129"/>
    </row>
    <row r="781" spans="3:22" x14ac:dyDescent="0.3">
      <c r="C781" s="129"/>
      <c r="D781" s="129"/>
      <c r="E781" s="129"/>
      <c r="F781" s="129"/>
      <c r="G781" s="129"/>
      <c r="H781" s="129"/>
      <c r="I781" s="129"/>
      <c r="J781" s="129"/>
      <c r="K781" s="129"/>
      <c r="L781" s="129"/>
      <c r="M781" s="129"/>
      <c r="N781" s="129"/>
      <c r="O781" s="129"/>
      <c r="P781" s="129"/>
      <c r="Q781" s="129"/>
      <c r="R781" s="129"/>
      <c r="S781" s="129"/>
      <c r="T781" s="129"/>
      <c r="U781" s="129"/>
      <c r="V781" s="129"/>
    </row>
    <row r="782" spans="3:22" x14ac:dyDescent="0.3">
      <c r="C782" s="129"/>
      <c r="D782" s="129"/>
      <c r="E782" s="129"/>
      <c r="F782" s="129"/>
      <c r="G782" s="129"/>
      <c r="H782" s="129"/>
      <c r="I782" s="129"/>
      <c r="J782" s="129"/>
      <c r="K782" s="129"/>
      <c r="L782" s="129"/>
      <c r="M782" s="129"/>
      <c r="N782" s="129"/>
      <c r="O782" s="129"/>
      <c r="P782" s="129"/>
      <c r="Q782" s="129"/>
      <c r="R782" s="129"/>
      <c r="S782" s="129"/>
      <c r="T782" s="129"/>
      <c r="U782" s="129"/>
      <c r="V782" s="129"/>
    </row>
    <row r="783" spans="3:22" x14ac:dyDescent="0.3">
      <c r="C783" s="129"/>
      <c r="D783" s="129"/>
      <c r="E783" s="129"/>
      <c r="F783" s="129"/>
      <c r="G783" s="129"/>
      <c r="H783" s="129"/>
      <c r="I783" s="129"/>
      <c r="J783" s="129"/>
      <c r="K783" s="129"/>
      <c r="L783" s="129"/>
      <c r="M783" s="129"/>
      <c r="N783" s="129"/>
      <c r="O783" s="129"/>
      <c r="P783" s="129"/>
      <c r="Q783" s="129"/>
      <c r="R783" s="129"/>
      <c r="S783" s="129"/>
      <c r="T783" s="129"/>
      <c r="U783" s="129"/>
      <c r="V783" s="129"/>
    </row>
    <row r="784" spans="3:22" x14ac:dyDescent="0.3">
      <c r="C784" s="129"/>
      <c r="D784" s="129"/>
      <c r="E784" s="129"/>
      <c r="F784" s="129"/>
      <c r="G784" s="129"/>
      <c r="H784" s="129"/>
      <c r="I784" s="129"/>
      <c r="J784" s="129"/>
      <c r="K784" s="129"/>
      <c r="L784" s="129"/>
      <c r="M784" s="129"/>
      <c r="N784" s="129"/>
      <c r="O784" s="129"/>
      <c r="P784" s="129"/>
      <c r="Q784" s="129"/>
      <c r="R784" s="129"/>
      <c r="S784" s="129"/>
      <c r="T784" s="129"/>
      <c r="U784" s="129"/>
      <c r="V784" s="129"/>
    </row>
    <row r="785" spans="3:22" x14ac:dyDescent="0.3">
      <c r="C785" s="129"/>
      <c r="D785" s="129"/>
      <c r="E785" s="129"/>
      <c r="F785" s="129"/>
      <c r="G785" s="129"/>
      <c r="H785" s="129"/>
      <c r="I785" s="129"/>
      <c r="J785" s="129"/>
      <c r="K785" s="129"/>
      <c r="L785" s="129"/>
      <c r="M785" s="129"/>
      <c r="N785" s="129"/>
      <c r="O785" s="129"/>
      <c r="P785" s="129"/>
      <c r="Q785" s="129"/>
      <c r="R785" s="129"/>
      <c r="S785" s="129"/>
      <c r="T785" s="129"/>
      <c r="U785" s="129"/>
      <c r="V785" s="129"/>
    </row>
    <row r="786" spans="3:22" x14ac:dyDescent="0.3">
      <c r="C786" s="129"/>
      <c r="D786" s="129"/>
      <c r="E786" s="129"/>
      <c r="F786" s="129"/>
      <c r="G786" s="129"/>
      <c r="H786" s="129"/>
      <c r="I786" s="129"/>
      <c r="J786" s="129"/>
      <c r="K786" s="129"/>
      <c r="L786" s="129"/>
      <c r="M786" s="129"/>
      <c r="N786" s="129"/>
      <c r="O786" s="129"/>
      <c r="P786" s="129"/>
      <c r="Q786" s="129"/>
      <c r="R786" s="129"/>
      <c r="S786" s="129"/>
      <c r="T786" s="129"/>
      <c r="U786" s="129"/>
      <c r="V786" s="129"/>
    </row>
    <row r="787" spans="3:22" x14ac:dyDescent="0.3">
      <c r="C787" s="129"/>
      <c r="D787" s="129"/>
      <c r="E787" s="129"/>
      <c r="F787" s="129"/>
      <c r="G787" s="129"/>
      <c r="H787" s="129"/>
      <c r="I787" s="129"/>
      <c r="J787" s="129"/>
      <c r="K787" s="129"/>
      <c r="L787" s="129"/>
      <c r="M787" s="129"/>
      <c r="N787" s="129"/>
      <c r="O787" s="129"/>
      <c r="P787" s="129"/>
      <c r="Q787" s="129"/>
      <c r="R787" s="129"/>
      <c r="S787" s="129"/>
      <c r="T787" s="129"/>
      <c r="U787" s="129"/>
      <c r="V787" s="129"/>
    </row>
    <row r="788" spans="3:22" x14ac:dyDescent="0.3">
      <c r="C788" s="129"/>
      <c r="D788" s="129"/>
      <c r="E788" s="129"/>
      <c r="F788" s="129"/>
      <c r="G788" s="129"/>
      <c r="H788" s="129"/>
      <c r="I788" s="129"/>
      <c r="J788" s="129"/>
      <c r="K788" s="129"/>
      <c r="L788" s="129"/>
      <c r="M788" s="129"/>
      <c r="N788" s="129"/>
      <c r="O788" s="129"/>
      <c r="P788" s="129"/>
      <c r="Q788" s="129"/>
      <c r="R788" s="129"/>
      <c r="S788" s="129"/>
      <c r="T788" s="129"/>
      <c r="U788" s="129"/>
      <c r="V788" s="129"/>
    </row>
    <row r="789" spans="3:22" x14ac:dyDescent="0.3">
      <c r="C789" s="129"/>
      <c r="D789" s="129"/>
      <c r="E789" s="129"/>
      <c r="F789" s="129"/>
      <c r="G789" s="129"/>
      <c r="H789" s="129"/>
      <c r="I789" s="129"/>
      <c r="J789" s="129"/>
      <c r="K789" s="129"/>
      <c r="L789" s="129"/>
      <c r="M789" s="129"/>
      <c r="N789" s="129"/>
      <c r="O789" s="129"/>
      <c r="P789" s="129"/>
      <c r="Q789" s="129"/>
      <c r="R789" s="129"/>
      <c r="S789" s="129"/>
      <c r="T789" s="129"/>
      <c r="U789" s="129"/>
      <c r="V789" s="129"/>
    </row>
    <row r="790" spans="3:22" x14ac:dyDescent="0.3">
      <c r="C790" s="129"/>
      <c r="D790" s="129"/>
      <c r="E790" s="129"/>
      <c r="F790" s="129"/>
      <c r="G790" s="129"/>
      <c r="H790" s="129"/>
      <c r="I790" s="129"/>
      <c r="J790" s="129"/>
      <c r="K790" s="129"/>
      <c r="L790" s="129"/>
      <c r="M790" s="129"/>
      <c r="N790" s="129"/>
      <c r="O790" s="129"/>
      <c r="P790" s="129"/>
      <c r="Q790" s="129"/>
      <c r="R790" s="129"/>
      <c r="S790" s="129"/>
      <c r="T790" s="129"/>
      <c r="U790" s="129"/>
      <c r="V790" s="129"/>
    </row>
    <row r="791" spans="3:22" x14ac:dyDescent="0.3">
      <c r="C791" s="129"/>
      <c r="D791" s="129"/>
      <c r="E791" s="129"/>
      <c r="F791" s="129"/>
      <c r="G791" s="129"/>
      <c r="H791" s="129"/>
      <c r="I791" s="129"/>
      <c r="J791" s="129"/>
      <c r="K791" s="129"/>
      <c r="L791" s="129"/>
      <c r="M791" s="129"/>
      <c r="N791" s="129"/>
      <c r="O791" s="129"/>
      <c r="P791" s="129"/>
      <c r="Q791" s="129"/>
      <c r="R791" s="129"/>
      <c r="S791" s="129"/>
      <c r="T791" s="129"/>
      <c r="U791" s="129"/>
      <c r="V791" s="129"/>
    </row>
    <row r="792" spans="3:22" x14ac:dyDescent="0.3">
      <c r="C792" s="129"/>
      <c r="D792" s="129"/>
      <c r="E792" s="129"/>
      <c r="F792" s="129"/>
      <c r="G792" s="129"/>
      <c r="H792" s="129"/>
      <c r="I792" s="129"/>
      <c r="J792" s="129"/>
      <c r="K792" s="129"/>
      <c r="L792" s="129"/>
      <c r="M792" s="129"/>
      <c r="N792" s="129"/>
      <c r="O792" s="129"/>
      <c r="P792" s="129"/>
      <c r="Q792" s="129"/>
      <c r="R792" s="129"/>
      <c r="S792" s="129"/>
      <c r="T792" s="129"/>
      <c r="U792" s="129"/>
      <c r="V792" s="129"/>
    </row>
    <row r="793" spans="3:22" x14ac:dyDescent="0.3">
      <c r="C793" s="129"/>
      <c r="D793" s="129"/>
      <c r="E793" s="129"/>
      <c r="F793" s="129"/>
      <c r="G793" s="129"/>
      <c r="H793" s="129"/>
      <c r="I793" s="129"/>
      <c r="J793" s="129"/>
      <c r="K793" s="129"/>
      <c r="L793" s="129"/>
      <c r="M793" s="129"/>
      <c r="N793" s="129"/>
      <c r="O793" s="129"/>
      <c r="P793" s="129"/>
      <c r="Q793" s="129"/>
      <c r="R793" s="129"/>
      <c r="S793" s="129"/>
      <c r="T793" s="129"/>
      <c r="U793" s="129"/>
      <c r="V793" s="129"/>
    </row>
    <row r="794" spans="3:22" x14ac:dyDescent="0.3">
      <c r="C794" s="129"/>
      <c r="D794" s="129"/>
      <c r="E794" s="129"/>
      <c r="F794" s="129"/>
      <c r="G794" s="129"/>
      <c r="H794" s="129"/>
      <c r="I794" s="129"/>
      <c r="J794" s="129"/>
      <c r="K794" s="129"/>
      <c r="L794" s="129"/>
      <c r="M794" s="129"/>
      <c r="N794" s="129"/>
      <c r="O794" s="129"/>
      <c r="P794" s="129"/>
      <c r="Q794" s="129"/>
      <c r="R794" s="129"/>
      <c r="S794" s="129"/>
      <c r="T794" s="129"/>
      <c r="U794" s="129"/>
      <c r="V794" s="129"/>
    </row>
    <row r="795" spans="3:22" x14ac:dyDescent="0.3">
      <c r="C795" s="129"/>
      <c r="D795" s="129"/>
      <c r="E795" s="129"/>
      <c r="F795" s="129"/>
      <c r="G795" s="129"/>
      <c r="H795" s="129"/>
      <c r="I795" s="129"/>
      <c r="J795" s="129"/>
      <c r="K795" s="129"/>
      <c r="L795" s="129"/>
      <c r="M795" s="129"/>
      <c r="N795" s="129"/>
      <c r="O795" s="129"/>
      <c r="P795" s="129"/>
      <c r="Q795" s="129"/>
      <c r="R795" s="129"/>
      <c r="S795" s="129"/>
      <c r="T795" s="129"/>
      <c r="U795" s="129"/>
      <c r="V795" s="129"/>
    </row>
    <row r="796" spans="3:22" x14ac:dyDescent="0.3">
      <c r="C796" s="129"/>
      <c r="D796" s="129"/>
      <c r="E796" s="129"/>
      <c r="F796" s="129"/>
      <c r="G796" s="129"/>
      <c r="H796" s="129"/>
      <c r="I796" s="129"/>
      <c r="J796" s="129"/>
      <c r="K796" s="129"/>
      <c r="L796" s="129"/>
      <c r="M796" s="129"/>
      <c r="N796" s="129"/>
      <c r="O796" s="129"/>
      <c r="P796" s="129"/>
      <c r="Q796" s="129"/>
      <c r="R796" s="129"/>
      <c r="S796" s="129"/>
      <c r="T796" s="129"/>
      <c r="U796" s="129"/>
      <c r="V796" s="129"/>
    </row>
    <row r="797" spans="3:22" x14ac:dyDescent="0.3">
      <c r="C797" s="129"/>
      <c r="D797" s="129"/>
      <c r="E797" s="129"/>
      <c r="F797" s="129"/>
      <c r="G797" s="129"/>
      <c r="H797" s="129"/>
      <c r="I797" s="129"/>
      <c r="J797" s="129"/>
      <c r="K797" s="129"/>
      <c r="L797" s="129"/>
      <c r="M797" s="129"/>
      <c r="N797" s="129"/>
      <c r="O797" s="129"/>
      <c r="P797" s="129"/>
      <c r="Q797" s="129"/>
      <c r="R797" s="129"/>
      <c r="S797" s="129"/>
      <c r="T797" s="129"/>
      <c r="U797" s="129"/>
      <c r="V797" s="129"/>
    </row>
    <row r="798" spans="3:22" x14ac:dyDescent="0.3">
      <c r="C798" s="129"/>
      <c r="D798" s="129"/>
      <c r="E798" s="129"/>
      <c r="F798" s="129"/>
      <c r="G798" s="129"/>
      <c r="H798" s="129"/>
      <c r="I798" s="129"/>
      <c r="J798" s="129"/>
      <c r="K798" s="129"/>
      <c r="L798" s="129"/>
      <c r="M798" s="129"/>
      <c r="N798" s="129"/>
      <c r="O798" s="129"/>
      <c r="P798" s="129"/>
      <c r="Q798" s="129"/>
      <c r="R798" s="129"/>
      <c r="S798" s="129"/>
      <c r="T798" s="129"/>
      <c r="U798" s="129"/>
      <c r="V798" s="129"/>
    </row>
    <row r="799" spans="3:22" x14ac:dyDescent="0.3">
      <c r="C799" s="129"/>
      <c r="D799" s="129"/>
      <c r="E799" s="129"/>
      <c r="F799" s="129"/>
      <c r="G799" s="129"/>
      <c r="H799" s="129"/>
      <c r="I799" s="129"/>
      <c r="J799" s="129"/>
      <c r="K799" s="129"/>
      <c r="L799" s="129"/>
      <c r="M799" s="129"/>
      <c r="N799" s="129"/>
      <c r="O799" s="129"/>
      <c r="P799" s="129"/>
      <c r="Q799" s="129"/>
      <c r="R799" s="129"/>
      <c r="S799" s="129"/>
      <c r="T799" s="129"/>
      <c r="U799" s="129"/>
      <c r="V799" s="129"/>
    </row>
    <row r="800" spans="3:22" x14ac:dyDescent="0.3">
      <c r="C800" s="129"/>
      <c r="D800" s="129"/>
      <c r="E800" s="129"/>
      <c r="F800" s="129"/>
      <c r="G800" s="129"/>
      <c r="H800" s="129"/>
      <c r="I800" s="129"/>
      <c r="J800" s="129"/>
      <c r="K800" s="129"/>
      <c r="L800" s="129"/>
      <c r="M800" s="129"/>
      <c r="N800" s="129"/>
      <c r="O800" s="129"/>
      <c r="P800" s="129"/>
      <c r="Q800" s="129"/>
      <c r="R800" s="129"/>
      <c r="S800" s="129"/>
      <c r="T800" s="129"/>
      <c r="U800" s="129"/>
      <c r="V800" s="129"/>
    </row>
    <row r="801" spans="3:22" x14ac:dyDescent="0.3">
      <c r="C801" s="129"/>
      <c r="D801" s="129"/>
      <c r="E801" s="129"/>
      <c r="F801" s="129"/>
      <c r="G801" s="129"/>
      <c r="H801" s="129"/>
      <c r="I801" s="129"/>
      <c r="J801" s="129"/>
      <c r="K801" s="129"/>
      <c r="L801" s="129"/>
      <c r="M801" s="129"/>
      <c r="N801" s="129"/>
      <c r="O801" s="129"/>
      <c r="P801" s="129"/>
      <c r="Q801" s="129"/>
      <c r="R801" s="129"/>
      <c r="S801" s="129"/>
      <c r="T801" s="129"/>
      <c r="U801" s="129"/>
      <c r="V801" s="129"/>
    </row>
    <row r="802" spans="3:22" x14ac:dyDescent="0.3">
      <c r="C802" s="129"/>
      <c r="D802" s="129"/>
      <c r="E802" s="129"/>
      <c r="F802" s="129"/>
      <c r="G802" s="129"/>
      <c r="H802" s="129"/>
      <c r="I802" s="129"/>
      <c r="J802" s="129"/>
      <c r="K802" s="129"/>
      <c r="L802" s="129"/>
      <c r="M802" s="129"/>
      <c r="N802" s="129"/>
      <c r="O802" s="129"/>
      <c r="P802" s="129"/>
      <c r="Q802" s="129"/>
      <c r="R802" s="129"/>
      <c r="S802" s="129"/>
      <c r="T802" s="129"/>
      <c r="U802" s="129"/>
      <c r="V802" s="129"/>
    </row>
    <row r="803" spans="3:22" x14ac:dyDescent="0.3">
      <c r="C803" s="129"/>
      <c r="D803" s="129"/>
      <c r="E803" s="129"/>
      <c r="F803" s="129"/>
      <c r="G803" s="129"/>
      <c r="H803" s="129"/>
      <c r="I803" s="129"/>
      <c r="J803" s="129"/>
      <c r="K803" s="129"/>
      <c r="L803" s="129"/>
      <c r="M803" s="129"/>
      <c r="N803" s="129"/>
      <c r="O803" s="129"/>
      <c r="P803" s="129"/>
      <c r="Q803" s="129"/>
      <c r="R803" s="129"/>
      <c r="S803" s="129"/>
      <c r="T803" s="129"/>
      <c r="U803" s="129"/>
      <c r="V803" s="129"/>
    </row>
    <row r="804" spans="3:22" x14ac:dyDescent="0.3">
      <c r="C804" s="129"/>
      <c r="D804" s="129"/>
      <c r="E804" s="129"/>
      <c r="F804" s="129"/>
      <c r="G804" s="129"/>
      <c r="H804" s="129"/>
      <c r="I804" s="129"/>
      <c r="J804" s="129"/>
      <c r="K804" s="129"/>
      <c r="L804" s="129"/>
      <c r="M804" s="129"/>
      <c r="N804" s="129"/>
      <c r="O804" s="129"/>
      <c r="P804" s="129"/>
      <c r="Q804" s="129"/>
      <c r="R804" s="129"/>
      <c r="S804" s="129"/>
      <c r="T804" s="129"/>
      <c r="U804" s="129"/>
      <c r="V804" s="129"/>
    </row>
    <row r="805" spans="3:22" x14ac:dyDescent="0.3">
      <c r="C805" s="129"/>
      <c r="D805" s="129"/>
      <c r="E805" s="129"/>
      <c r="F805" s="129"/>
      <c r="G805" s="129"/>
      <c r="H805" s="129"/>
      <c r="I805" s="129"/>
      <c r="J805" s="129"/>
      <c r="K805" s="129"/>
      <c r="L805" s="129"/>
      <c r="M805" s="129"/>
      <c r="N805" s="129"/>
      <c r="O805" s="129"/>
      <c r="P805" s="129"/>
      <c r="Q805" s="129"/>
      <c r="R805" s="129"/>
      <c r="S805" s="129"/>
      <c r="T805" s="129"/>
      <c r="U805" s="129"/>
      <c r="V805" s="129"/>
    </row>
    <row r="806" spans="3:22" x14ac:dyDescent="0.3">
      <c r="C806" s="129"/>
      <c r="D806" s="129"/>
      <c r="E806" s="129"/>
      <c r="F806" s="129"/>
      <c r="G806" s="129"/>
      <c r="H806" s="129"/>
      <c r="I806" s="129"/>
      <c r="J806" s="129"/>
      <c r="K806" s="129"/>
      <c r="L806" s="129"/>
      <c r="M806" s="129"/>
      <c r="N806" s="129"/>
      <c r="O806" s="129"/>
      <c r="P806" s="129"/>
      <c r="Q806" s="129"/>
      <c r="R806" s="129"/>
      <c r="S806" s="129"/>
      <c r="T806" s="129"/>
      <c r="U806" s="129"/>
      <c r="V806" s="129"/>
    </row>
    <row r="807" spans="3:22" x14ac:dyDescent="0.3">
      <c r="C807" s="129"/>
      <c r="D807" s="129"/>
      <c r="E807" s="129"/>
      <c r="F807" s="129"/>
      <c r="G807" s="129"/>
      <c r="H807" s="129"/>
      <c r="I807" s="129"/>
      <c r="J807" s="129"/>
      <c r="K807" s="129"/>
      <c r="L807" s="129"/>
      <c r="M807" s="129"/>
      <c r="N807" s="129"/>
      <c r="O807" s="129"/>
      <c r="P807" s="129"/>
      <c r="Q807" s="129"/>
      <c r="R807" s="129"/>
      <c r="S807" s="129"/>
      <c r="T807" s="129"/>
      <c r="U807" s="129"/>
      <c r="V807" s="129"/>
    </row>
    <row r="808" spans="3:22" x14ac:dyDescent="0.3">
      <c r="C808" s="129"/>
      <c r="D808" s="129"/>
      <c r="E808" s="129"/>
      <c r="F808" s="129"/>
      <c r="G808" s="129"/>
      <c r="H808" s="129"/>
      <c r="I808" s="129"/>
      <c r="J808" s="129"/>
      <c r="K808" s="129"/>
      <c r="L808" s="129"/>
      <c r="M808" s="129"/>
      <c r="N808" s="129"/>
      <c r="O808" s="129"/>
      <c r="P808" s="129"/>
      <c r="Q808" s="129"/>
      <c r="R808" s="129"/>
      <c r="S808" s="129"/>
      <c r="T808" s="129"/>
      <c r="U808" s="129"/>
      <c r="V808" s="129"/>
    </row>
    <row r="809" spans="3:22" x14ac:dyDescent="0.3">
      <c r="C809" s="129"/>
      <c r="D809" s="129"/>
      <c r="E809" s="129"/>
      <c r="F809" s="129"/>
      <c r="G809" s="129"/>
      <c r="H809" s="129"/>
      <c r="I809" s="129"/>
      <c r="J809" s="129"/>
      <c r="K809" s="129"/>
      <c r="L809" s="129"/>
      <c r="M809" s="129"/>
      <c r="N809" s="129"/>
      <c r="O809" s="129"/>
      <c r="P809" s="129"/>
      <c r="Q809" s="129"/>
      <c r="R809" s="129"/>
      <c r="S809" s="129"/>
      <c r="T809" s="129"/>
      <c r="U809" s="129"/>
      <c r="V809" s="129"/>
    </row>
    <row r="810" spans="3:22" x14ac:dyDescent="0.3">
      <c r="C810" s="129"/>
      <c r="D810" s="129"/>
      <c r="E810" s="129"/>
      <c r="F810" s="129"/>
      <c r="G810" s="129"/>
      <c r="H810" s="129"/>
      <c r="I810" s="129"/>
      <c r="J810" s="129"/>
      <c r="K810" s="129"/>
      <c r="L810" s="129"/>
      <c r="M810" s="129"/>
      <c r="N810" s="129"/>
      <c r="O810" s="129"/>
      <c r="P810" s="129"/>
      <c r="Q810" s="129"/>
      <c r="R810" s="129"/>
      <c r="S810" s="129"/>
      <c r="T810" s="129"/>
      <c r="U810" s="129"/>
      <c r="V810" s="129"/>
    </row>
    <row r="811" spans="3:22" x14ac:dyDescent="0.3">
      <c r="C811" s="129"/>
      <c r="D811" s="129"/>
      <c r="E811" s="129"/>
      <c r="F811" s="129"/>
      <c r="G811" s="129"/>
      <c r="H811" s="129"/>
      <c r="I811" s="129"/>
      <c r="J811" s="129"/>
      <c r="K811" s="129"/>
      <c r="L811" s="129"/>
      <c r="M811" s="129"/>
      <c r="N811" s="129"/>
      <c r="O811" s="129"/>
      <c r="P811" s="129"/>
      <c r="Q811" s="129"/>
      <c r="R811" s="129"/>
      <c r="S811" s="129"/>
      <c r="T811" s="129"/>
      <c r="U811" s="129"/>
      <c r="V811" s="129"/>
    </row>
    <row r="812" spans="3:22" x14ac:dyDescent="0.3">
      <c r="C812" s="129"/>
      <c r="D812" s="129"/>
      <c r="E812" s="129"/>
      <c r="F812" s="129"/>
      <c r="G812" s="129"/>
      <c r="H812" s="129"/>
      <c r="I812" s="129"/>
      <c r="J812" s="129"/>
      <c r="K812" s="129"/>
      <c r="L812" s="129"/>
      <c r="M812" s="129"/>
      <c r="N812" s="129"/>
      <c r="O812" s="129"/>
      <c r="P812" s="129"/>
      <c r="Q812" s="129"/>
      <c r="R812" s="129"/>
      <c r="S812" s="129"/>
      <c r="T812" s="129"/>
      <c r="U812" s="129"/>
      <c r="V812" s="129"/>
    </row>
    <row r="813" spans="3:22" x14ac:dyDescent="0.3">
      <c r="C813" s="129"/>
      <c r="D813" s="129"/>
      <c r="E813" s="129"/>
      <c r="F813" s="129"/>
      <c r="G813" s="129"/>
      <c r="H813" s="129"/>
      <c r="I813" s="129"/>
      <c r="J813" s="129"/>
      <c r="K813" s="129"/>
      <c r="L813" s="129"/>
      <c r="M813" s="129"/>
      <c r="N813" s="129"/>
      <c r="O813" s="129"/>
      <c r="P813" s="129"/>
      <c r="Q813" s="129"/>
      <c r="R813" s="129"/>
      <c r="S813" s="129"/>
      <c r="T813" s="129"/>
      <c r="U813" s="129"/>
      <c r="V813" s="129"/>
    </row>
    <row r="814" spans="3:22" x14ac:dyDescent="0.3">
      <c r="C814" s="129"/>
      <c r="D814" s="129"/>
      <c r="E814" s="129"/>
      <c r="F814" s="129"/>
      <c r="G814" s="129"/>
      <c r="H814" s="129"/>
      <c r="I814" s="129"/>
      <c r="J814" s="129"/>
      <c r="K814" s="129"/>
      <c r="L814" s="129"/>
      <c r="M814" s="129"/>
      <c r="N814" s="129"/>
      <c r="O814" s="129"/>
      <c r="P814" s="129"/>
      <c r="Q814" s="129"/>
      <c r="R814" s="129"/>
      <c r="S814" s="129"/>
      <c r="T814" s="129"/>
      <c r="U814" s="129"/>
      <c r="V814" s="129"/>
    </row>
    <row r="815" spans="3:22" x14ac:dyDescent="0.3">
      <c r="C815" s="129"/>
      <c r="D815" s="129"/>
      <c r="E815" s="129"/>
      <c r="F815" s="129"/>
      <c r="G815" s="129"/>
      <c r="H815" s="129"/>
      <c r="I815" s="129"/>
      <c r="J815" s="129"/>
      <c r="K815" s="129"/>
      <c r="L815" s="129"/>
      <c r="M815" s="129"/>
      <c r="N815" s="129"/>
      <c r="O815" s="129"/>
      <c r="P815" s="129"/>
      <c r="Q815" s="129"/>
      <c r="R815" s="129"/>
      <c r="S815" s="129"/>
      <c r="T815" s="129"/>
      <c r="U815" s="129"/>
      <c r="V815" s="129"/>
    </row>
    <row r="816" spans="3:22" x14ac:dyDescent="0.3">
      <c r="C816" s="129"/>
      <c r="D816" s="129"/>
      <c r="E816" s="129"/>
      <c r="F816" s="129"/>
      <c r="G816" s="129"/>
      <c r="H816" s="129"/>
      <c r="I816" s="129"/>
      <c r="J816" s="129"/>
      <c r="K816" s="129"/>
      <c r="L816" s="129"/>
      <c r="M816" s="129"/>
      <c r="N816" s="129"/>
      <c r="O816" s="129"/>
      <c r="P816" s="129"/>
      <c r="Q816" s="129"/>
      <c r="R816" s="129"/>
      <c r="S816" s="129"/>
      <c r="T816" s="129"/>
      <c r="U816" s="129"/>
      <c r="V816" s="129"/>
    </row>
    <row r="817" spans="3:22" x14ac:dyDescent="0.3">
      <c r="C817" s="129"/>
      <c r="D817" s="129"/>
      <c r="E817" s="129"/>
      <c r="F817" s="129"/>
      <c r="G817" s="129"/>
      <c r="H817" s="129"/>
      <c r="I817" s="129"/>
      <c r="J817" s="129"/>
      <c r="K817" s="129"/>
      <c r="L817" s="129"/>
      <c r="M817" s="129"/>
      <c r="N817" s="129"/>
      <c r="O817" s="129"/>
      <c r="P817" s="129"/>
      <c r="Q817" s="129"/>
      <c r="R817" s="129"/>
      <c r="S817" s="129"/>
      <c r="T817" s="129"/>
      <c r="U817" s="129"/>
      <c r="V817" s="129"/>
    </row>
    <row r="818" spans="3:22" x14ac:dyDescent="0.3">
      <c r="C818" s="129"/>
      <c r="D818" s="129"/>
      <c r="E818" s="129"/>
      <c r="F818" s="129"/>
      <c r="G818" s="129"/>
      <c r="H818" s="129"/>
      <c r="I818" s="129"/>
      <c r="J818" s="129"/>
      <c r="K818" s="129"/>
      <c r="L818" s="129"/>
      <c r="M818" s="129"/>
      <c r="N818" s="129"/>
      <c r="O818" s="129"/>
      <c r="P818" s="129"/>
      <c r="Q818" s="129"/>
      <c r="R818" s="129"/>
      <c r="S818" s="129"/>
      <c r="T818" s="129"/>
      <c r="U818" s="129"/>
      <c r="V818" s="129"/>
    </row>
    <row r="819" spans="3:22" x14ac:dyDescent="0.3">
      <c r="C819" s="129"/>
      <c r="D819" s="129"/>
      <c r="E819" s="129"/>
      <c r="F819" s="129"/>
      <c r="G819" s="129"/>
      <c r="H819" s="129"/>
      <c r="I819" s="129"/>
      <c r="J819" s="129"/>
      <c r="K819" s="129"/>
      <c r="L819" s="129"/>
      <c r="M819" s="129"/>
      <c r="N819" s="129"/>
      <c r="O819" s="129"/>
      <c r="P819" s="129"/>
      <c r="Q819" s="129"/>
      <c r="R819" s="129"/>
      <c r="S819" s="129"/>
      <c r="T819" s="129"/>
      <c r="U819" s="129"/>
      <c r="V819" s="129"/>
    </row>
    <row r="820" spans="3:22" x14ac:dyDescent="0.3">
      <c r="C820" s="129"/>
      <c r="D820" s="129"/>
      <c r="E820" s="129"/>
      <c r="F820" s="129"/>
      <c r="G820" s="129"/>
      <c r="H820" s="129"/>
      <c r="I820" s="129"/>
      <c r="J820" s="129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</row>
    <row r="821" spans="3:22" x14ac:dyDescent="0.3">
      <c r="C821" s="129"/>
      <c r="D821" s="129"/>
      <c r="E821" s="129"/>
      <c r="F821" s="129"/>
      <c r="G821" s="129"/>
      <c r="H821" s="129"/>
      <c r="I821" s="129"/>
      <c r="J821" s="129"/>
      <c r="K821" s="129"/>
      <c r="L821" s="129"/>
      <c r="M821" s="129"/>
      <c r="N821" s="129"/>
      <c r="O821" s="129"/>
      <c r="P821" s="129"/>
      <c r="Q821" s="129"/>
      <c r="R821" s="129"/>
      <c r="S821" s="129"/>
      <c r="T821" s="129"/>
      <c r="U821" s="129"/>
      <c r="V821" s="129"/>
    </row>
    <row r="822" spans="3:22" x14ac:dyDescent="0.3">
      <c r="C822" s="129"/>
      <c r="D822" s="129"/>
      <c r="E822" s="129"/>
      <c r="F822" s="129"/>
      <c r="G822" s="129"/>
      <c r="H822" s="129"/>
      <c r="I822" s="129"/>
      <c r="J822" s="129"/>
      <c r="K822" s="129"/>
      <c r="L822" s="129"/>
      <c r="M822" s="129"/>
      <c r="N822" s="129"/>
      <c r="O822" s="129"/>
      <c r="P822" s="129"/>
      <c r="Q822" s="129"/>
      <c r="R822" s="129"/>
      <c r="S822" s="129"/>
      <c r="T822" s="129"/>
      <c r="U822" s="129"/>
      <c r="V822" s="129"/>
    </row>
    <row r="823" spans="3:22" x14ac:dyDescent="0.3">
      <c r="C823" s="129"/>
      <c r="D823" s="129"/>
      <c r="E823" s="129"/>
      <c r="F823" s="129"/>
      <c r="G823" s="129"/>
      <c r="H823" s="129"/>
      <c r="I823" s="129"/>
      <c r="J823" s="129"/>
      <c r="K823" s="129"/>
      <c r="L823" s="129"/>
      <c r="M823" s="129"/>
      <c r="N823" s="129"/>
      <c r="O823" s="129"/>
      <c r="P823" s="129"/>
      <c r="Q823" s="129"/>
      <c r="R823" s="129"/>
      <c r="S823" s="129"/>
      <c r="T823" s="129"/>
      <c r="U823" s="129"/>
      <c r="V823" s="129"/>
    </row>
    <row r="824" spans="3:22" x14ac:dyDescent="0.3">
      <c r="C824" s="129"/>
      <c r="D824" s="129"/>
      <c r="E824" s="129"/>
      <c r="F824" s="129"/>
      <c r="G824" s="129"/>
      <c r="H824" s="129"/>
      <c r="I824" s="129"/>
      <c r="J824" s="129"/>
      <c r="K824" s="129"/>
      <c r="L824" s="129"/>
      <c r="M824" s="129"/>
      <c r="N824" s="129"/>
      <c r="O824" s="129"/>
      <c r="P824" s="129"/>
      <c r="Q824" s="129"/>
      <c r="R824" s="129"/>
      <c r="S824" s="129"/>
      <c r="T824" s="129"/>
      <c r="U824" s="129"/>
      <c r="V824" s="129"/>
    </row>
    <row r="825" spans="3:22" x14ac:dyDescent="0.3">
      <c r="C825" s="129"/>
      <c r="D825" s="129"/>
      <c r="E825" s="129"/>
      <c r="F825" s="129"/>
      <c r="G825" s="129"/>
      <c r="H825" s="129"/>
      <c r="I825" s="129"/>
      <c r="J825" s="129"/>
      <c r="K825" s="129"/>
      <c r="L825" s="129"/>
      <c r="M825" s="129"/>
      <c r="N825" s="129"/>
      <c r="O825" s="129"/>
      <c r="P825" s="129"/>
      <c r="Q825" s="129"/>
      <c r="R825" s="129"/>
      <c r="S825" s="129"/>
      <c r="T825" s="129"/>
      <c r="U825" s="129"/>
      <c r="V825" s="129"/>
    </row>
    <row r="826" spans="3:22" x14ac:dyDescent="0.3">
      <c r="C826" s="129"/>
      <c r="D826" s="129"/>
      <c r="E826" s="129"/>
      <c r="F826" s="129"/>
      <c r="G826" s="129"/>
      <c r="H826" s="129"/>
      <c r="I826" s="129"/>
      <c r="J826" s="129"/>
      <c r="K826" s="129"/>
      <c r="L826" s="129"/>
      <c r="M826" s="129"/>
      <c r="N826" s="129"/>
      <c r="O826" s="129"/>
      <c r="P826" s="129"/>
      <c r="Q826" s="129"/>
      <c r="R826" s="129"/>
      <c r="S826" s="129"/>
      <c r="T826" s="129"/>
      <c r="U826" s="129"/>
      <c r="V826" s="129"/>
    </row>
    <row r="827" spans="3:22" x14ac:dyDescent="0.3">
      <c r="C827" s="129"/>
      <c r="D827" s="129"/>
      <c r="E827" s="129"/>
      <c r="F827" s="129"/>
      <c r="G827" s="129"/>
      <c r="H827" s="129"/>
      <c r="I827" s="129"/>
      <c r="J827" s="129"/>
      <c r="K827" s="129"/>
      <c r="L827" s="129"/>
      <c r="M827" s="129"/>
      <c r="N827" s="129"/>
      <c r="O827" s="129"/>
      <c r="P827" s="129"/>
      <c r="Q827" s="129"/>
      <c r="R827" s="129"/>
      <c r="S827" s="129"/>
      <c r="T827" s="129"/>
      <c r="U827" s="129"/>
      <c r="V827" s="129"/>
    </row>
    <row r="828" spans="3:22" x14ac:dyDescent="0.3">
      <c r="C828" s="129"/>
      <c r="D828" s="129"/>
      <c r="E828" s="129"/>
      <c r="F828" s="129"/>
      <c r="G828" s="129"/>
      <c r="H828" s="129"/>
      <c r="I828" s="129"/>
      <c r="J828" s="129"/>
      <c r="K828" s="129"/>
      <c r="L828" s="129"/>
      <c r="M828" s="129"/>
      <c r="N828" s="129"/>
      <c r="O828" s="129"/>
      <c r="P828" s="129"/>
      <c r="Q828" s="129"/>
      <c r="R828" s="129"/>
      <c r="S828" s="129"/>
      <c r="T828" s="129"/>
      <c r="U828" s="129"/>
      <c r="V828" s="129"/>
    </row>
    <row r="829" spans="3:22" x14ac:dyDescent="0.3">
      <c r="C829" s="129"/>
      <c r="D829" s="129"/>
      <c r="E829" s="129"/>
      <c r="F829" s="129"/>
      <c r="G829" s="129"/>
      <c r="H829" s="129"/>
      <c r="I829" s="129"/>
      <c r="J829" s="129"/>
      <c r="K829" s="129"/>
      <c r="L829" s="129"/>
      <c r="M829" s="129"/>
      <c r="N829" s="129"/>
      <c r="O829" s="129"/>
      <c r="P829" s="129"/>
      <c r="Q829" s="129"/>
      <c r="R829" s="129"/>
      <c r="S829" s="129"/>
      <c r="T829" s="129"/>
      <c r="U829" s="129"/>
      <c r="V829" s="129"/>
    </row>
    <row r="830" spans="3:22" x14ac:dyDescent="0.3">
      <c r="C830" s="129"/>
      <c r="D830" s="129"/>
      <c r="E830" s="129"/>
      <c r="F830" s="129"/>
      <c r="G830" s="129"/>
      <c r="H830" s="129"/>
      <c r="I830" s="129"/>
      <c r="J830" s="129"/>
      <c r="K830" s="129"/>
      <c r="L830" s="129"/>
      <c r="M830" s="129"/>
      <c r="N830" s="129"/>
      <c r="O830" s="129"/>
      <c r="P830" s="129"/>
      <c r="Q830" s="129"/>
      <c r="R830" s="129"/>
      <c r="S830" s="129"/>
      <c r="T830" s="129"/>
      <c r="U830" s="129"/>
      <c r="V830" s="129"/>
    </row>
    <row r="831" spans="3:22" x14ac:dyDescent="0.3">
      <c r="C831" s="129"/>
      <c r="D831" s="129"/>
      <c r="E831" s="129"/>
      <c r="F831" s="129"/>
      <c r="G831" s="129"/>
      <c r="H831" s="129"/>
      <c r="I831" s="129"/>
      <c r="J831" s="129"/>
      <c r="K831" s="129"/>
      <c r="L831" s="129"/>
      <c r="M831" s="129"/>
      <c r="N831" s="129"/>
      <c r="O831" s="129"/>
      <c r="P831" s="129"/>
      <c r="Q831" s="129"/>
      <c r="R831" s="129"/>
      <c r="S831" s="129"/>
      <c r="T831" s="129"/>
      <c r="U831" s="129"/>
      <c r="V831" s="129"/>
    </row>
    <row r="832" spans="3:22" x14ac:dyDescent="0.3">
      <c r="C832" s="129"/>
      <c r="D832" s="129"/>
      <c r="E832" s="129"/>
      <c r="F832" s="129"/>
      <c r="G832" s="129"/>
      <c r="H832" s="129"/>
      <c r="I832" s="129"/>
      <c r="J832" s="129"/>
      <c r="K832" s="129"/>
      <c r="L832" s="129"/>
      <c r="M832" s="129"/>
      <c r="N832" s="129"/>
      <c r="O832" s="129"/>
      <c r="P832" s="129"/>
      <c r="Q832" s="129"/>
      <c r="R832" s="129"/>
      <c r="S832" s="129"/>
      <c r="T832" s="129"/>
      <c r="U832" s="129"/>
      <c r="V832" s="129"/>
    </row>
    <row r="833" spans="3:22" x14ac:dyDescent="0.3">
      <c r="C833" s="129"/>
      <c r="D833" s="129"/>
      <c r="E833" s="129"/>
      <c r="F833" s="129"/>
      <c r="G833" s="129"/>
      <c r="H833" s="129"/>
      <c r="I833" s="129"/>
      <c r="J833" s="129"/>
      <c r="K833" s="129"/>
      <c r="L833" s="129"/>
      <c r="M833" s="129"/>
      <c r="N833" s="129"/>
      <c r="O833" s="129"/>
      <c r="P833" s="129"/>
      <c r="Q833" s="129"/>
      <c r="R833" s="129"/>
      <c r="S833" s="129"/>
      <c r="T833" s="129"/>
      <c r="U833" s="129"/>
      <c r="V833" s="129"/>
    </row>
    <row r="834" spans="3:22" x14ac:dyDescent="0.3">
      <c r="C834" s="129"/>
      <c r="D834" s="129"/>
      <c r="E834" s="129"/>
      <c r="F834" s="129"/>
      <c r="G834" s="129"/>
      <c r="H834" s="129"/>
      <c r="I834" s="129"/>
      <c r="J834" s="129"/>
      <c r="K834" s="129"/>
      <c r="L834" s="129"/>
      <c r="M834" s="129"/>
      <c r="N834" s="129"/>
      <c r="O834" s="129"/>
      <c r="P834" s="129"/>
      <c r="Q834" s="129"/>
      <c r="R834" s="129"/>
      <c r="S834" s="129"/>
      <c r="T834" s="129"/>
      <c r="U834" s="129"/>
      <c r="V834" s="129"/>
    </row>
    <row r="835" spans="3:22" x14ac:dyDescent="0.3">
      <c r="C835" s="129"/>
      <c r="D835" s="129"/>
      <c r="E835" s="129"/>
      <c r="F835" s="129"/>
      <c r="G835" s="129"/>
      <c r="H835" s="129"/>
      <c r="I835" s="129"/>
      <c r="J835" s="129"/>
      <c r="K835" s="129"/>
      <c r="L835" s="129"/>
      <c r="M835" s="129"/>
      <c r="N835" s="129"/>
      <c r="O835" s="129"/>
      <c r="P835" s="129"/>
      <c r="Q835" s="129"/>
      <c r="R835" s="129"/>
      <c r="S835" s="129"/>
      <c r="T835" s="129"/>
      <c r="U835" s="129"/>
      <c r="V835" s="129"/>
    </row>
    <row r="836" spans="3:22" x14ac:dyDescent="0.3">
      <c r="C836" s="129"/>
      <c r="D836" s="129"/>
      <c r="E836" s="129"/>
      <c r="F836" s="129"/>
      <c r="G836" s="129"/>
      <c r="H836" s="129"/>
      <c r="I836" s="129"/>
      <c r="J836" s="129"/>
      <c r="K836" s="129"/>
      <c r="L836" s="129"/>
      <c r="M836" s="129"/>
      <c r="N836" s="129"/>
      <c r="O836" s="129"/>
      <c r="P836" s="129"/>
      <c r="Q836" s="129"/>
      <c r="R836" s="129"/>
      <c r="S836" s="129"/>
      <c r="T836" s="129"/>
      <c r="U836" s="129"/>
      <c r="V836" s="129"/>
    </row>
    <row r="837" spans="3:22" x14ac:dyDescent="0.3">
      <c r="C837" s="129"/>
      <c r="D837" s="129"/>
      <c r="E837" s="129"/>
      <c r="F837" s="129"/>
      <c r="G837" s="129"/>
      <c r="H837" s="129"/>
      <c r="I837" s="129"/>
      <c r="J837" s="129"/>
      <c r="K837" s="129"/>
      <c r="L837" s="129"/>
      <c r="M837" s="129"/>
      <c r="N837" s="129"/>
      <c r="O837" s="129"/>
      <c r="P837" s="129"/>
      <c r="Q837" s="129"/>
      <c r="R837" s="129"/>
      <c r="S837" s="129"/>
      <c r="T837" s="129"/>
      <c r="U837" s="129"/>
      <c r="V837" s="129"/>
    </row>
    <row r="838" spans="3:22" x14ac:dyDescent="0.3">
      <c r="C838" s="129"/>
      <c r="D838" s="129"/>
      <c r="E838" s="129"/>
      <c r="F838" s="129"/>
      <c r="G838" s="129"/>
      <c r="H838" s="129"/>
      <c r="I838" s="129"/>
      <c r="J838" s="129"/>
      <c r="K838" s="129"/>
      <c r="L838" s="129"/>
      <c r="M838" s="129"/>
      <c r="N838" s="129"/>
      <c r="O838" s="129"/>
      <c r="P838" s="129"/>
      <c r="Q838" s="129"/>
      <c r="R838" s="129"/>
      <c r="S838" s="129"/>
      <c r="T838" s="129"/>
      <c r="U838" s="129"/>
      <c r="V838" s="129"/>
    </row>
    <row r="839" spans="3:22" x14ac:dyDescent="0.3">
      <c r="C839" s="129"/>
      <c r="D839" s="129"/>
      <c r="E839" s="129"/>
      <c r="F839" s="129"/>
      <c r="G839" s="129"/>
      <c r="H839" s="129"/>
      <c r="I839" s="129"/>
      <c r="J839" s="129"/>
      <c r="K839" s="129"/>
      <c r="L839" s="129"/>
      <c r="M839" s="129"/>
      <c r="N839" s="129"/>
      <c r="O839" s="129"/>
      <c r="P839" s="129"/>
      <c r="Q839" s="129"/>
      <c r="R839" s="129"/>
      <c r="S839" s="129"/>
      <c r="T839" s="129"/>
      <c r="U839" s="129"/>
      <c r="V839" s="129"/>
    </row>
    <row r="840" spans="3:22" x14ac:dyDescent="0.3">
      <c r="C840" s="129"/>
      <c r="D840" s="129"/>
      <c r="E840" s="129"/>
      <c r="F840" s="129"/>
      <c r="G840" s="129"/>
      <c r="H840" s="129"/>
      <c r="I840" s="129"/>
      <c r="J840" s="129"/>
      <c r="K840" s="129"/>
      <c r="L840" s="129"/>
      <c r="M840" s="129"/>
      <c r="N840" s="129"/>
      <c r="O840" s="129"/>
      <c r="P840" s="129"/>
      <c r="Q840" s="129"/>
      <c r="R840" s="129"/>
      <c r="S840" s="129"/>
      <c r="T840" s="129"/>
      <c r="U840" s="129"/>
      <c r="V840" s="129"/>
    </row>
    <row r="841" spans="3:22" x14ac:dyDescent="0.3">
      <c r="C841" s="129"/>
      <c r="D841" s="129"/>
      <c r="E841" s="129"/>
      <c r="F841" s="129"/>
      <c r="G841" s="129"/>
      <c r="H841" s="129"/>
      <c r="I841" s="129"/>
      <c r="J841" s="129"/>
      <c r="K841" s="129"/>
      <c r="L841" s="129"/>
      <c r="M841" s="129"/>
      <c r="N841" s="129"/>
      <c r="O841" s="129"/>
      <c r="P841" s="129"/>
      <c r="Q841" s="129"/>
      <c r="R841" s="129"/>
      <c r="S841" s="129"/>
      <c r="T841" s="129"/>
      <c r="U841" s="129"/>
      <c r="V841" s="129"/>
    </row>
    <row r="842" spans="3:22" x14ac:dyDescent="0.3">
      <c r="C842" s="129"/>
      <c r="D842" s="129"/>
      <c r="E842" s="129"/>
      <c r="F842" s="129"/>
      <c r="G842" s="129"/>
      <c r="H842" s="129"/>
      <c r="I842" s="129"/>
      <c r="J842" s="129"/>
      <c r="K842" s="129"/>
      <c r="L842" s="129"/>
      <c r="M842" s="129"/>
      <c r="N842" s="129"/>
      <c r="O842" s="129"/>
      <c r="P842" s="129"/>
      <c r="Q842" s="129"/>
      <c r="R842" s="129"/>
      <c r="S842" s="129"/>
      <c r="T842" s="129"/>
      <c r="U842" s="129"/>
      <c r="V842" s="129"/>
    </row>
    <row r="843" spans="3:22" x14ac:dyDescent="0.3">
      <c r="C843" s="129"/>
      <c r="D843" s="129"/>
      <c r="E843" s="129"/>
      <c r="F843" s="129"/>
      <c r="G843" s="129"/>
      <c r="H843" s="129"/>
      <c r="I843" s="129"/>
      <c r="J843" s="129"/>
      <c r="K843" s="129"/>
      <c r="L843" s="129"/>
      <c r="M843" s="129"/>
      <c r="N843" s="129"/>
      <c r="O843" s="129"/>
      <c r="P843" s="129"/>
      <c r="Q843" s="129"/>
      <c r="R843" s="129"/>
      <c r="S843" s="129"/>
      <c r="T843" s="129"/>
      <c r="U843" s="129"/>
      <c r="V843" s="129"/>
    </row>
    <row r="844" spans="3:22" x14ac:dyDescent="0.3">
      <c r="C844" s="129"/>
      <c r="D844" s="129"/>
      <c r="E844" s="129"/>
      <c r="F844" s="129"/>
      <c r="G844" s="129"/>
      <c r="H844" s="129"/>
      <c r="I844" s="129"/>
      <c r="J844" s="129"/>
      <c r="K844" s="129"/>
      <c r="L844" s="129"/>
      <c r="M844" s="129"/>
      <c r="N844" s="129"/>
      <c r="O844" s="129"/>
      <c r="P844" s="129"/>
      <c r="Q844" s="129"/>
      <c r="R844" s="129"/>
      <c r="S844" s="129"/>
      <c r="T844" s="129"/>
      <c r="U844" s="129"/>
      <c r="V844" s="129"/>
    </row>
    <row r="845" spans="3:22" x14ac:dyDescent="0.3">
      <c r="C845" s="129"/>
      <c r="D845" s="129"/>
      <c r="E845" s="129"/>
      <c r="F845" s="129"/>
      <c r="G845" s="129"/>
      <c r="H845" s="129"/>
      <c r="I845" s="129"/>
      <c r="J845" s="129"/>
      <c r="K845" s="129"/>
      <c r="L845" s="129"/>
      <c r="M845" s="129"/>
      <c r="N845" s="129"/>
      <c r="O845" s="129"/>
      <c r="P845" s="129"/>
      <c r="Q845" s="129"/>
      <c r="R845" s="129"/>
      <c r="S845" s="129"/>
      <c r="T845" s="129"/>
      <c r="U845" s="129"/>
      <c r="V845" s="129"/>
    </row>
    <row r="846" spans="3:22" x14ac:dyDescent="0.3">
      <c r="C846" s="129"/>
      <c r="D846" s="129"/>
      <c r="E846" s="129"/>
      <c r="F846" s="129"/>
      <c r="G846" s="129"/>
      <c r="H846" s="129"/>
      <c r="I846" s="129"/>
      <c r="J846" s="129"/>
      <c r="K846" s="129"/>
      <c r="L846" s="129"/>
      <c r="M846" s="129"/>
      <c r="N846" s="129"/>
      <c r="O846" s="129"/>
      <c r="P846" s="129"/>
      <c r="Q846" s="129"/>
      <c r="R846" s="129"/>
      <c r="S846" s="129"/>
      <c r="T846" s="129"/>
      <c r="U846" s="129"/>
      <c r="V846" s="129"/>
    </row>
    <row r="847" spans="3:22" x14ac:dyDescent="0.3">
      <c r="C847" s="129"/>
      <c r="D847" s="129"/>
      <c r="E847" s="129"/>
      <c r="F847" s="129"/>
      <c r="G847" s="129"/>
      <c r="H847" s="129"/>
      <c r="I847" s="129"/>
      <c r="J847" s="129"/>
      <c r="K847" s="129"/>
      <c r="L847" s="129"/>
      <c r="M847" s="129"/>
      <c r="N847" s="129"/>
      <c r="O847" s="129"/>
      <c r="P847" s="129"/>
      <c r="Q847" s="129"/>
      <c r="R847" s="129"/>
      <c r="S847" s="129"/>
      <c r="T847" s="129"/>
      <c r="U847" s="129"/>
      <c r="V847" s="129"/>
    </row>
    <row r="848" spans="3:22" x14ac:dyDescent="0.3">
      <c r="C848" s="129"/>
      <c r="D848" s="129"/>
      <c r="E848" s="129"/>
      <c r="F848" s="129"/>
      <c r="G848" s="129"/>
      <c r="H848" s="129"/>
      <c r="I848" s="129"/>
      <c r="J848" s="129"/>
      <c r="K848" s="129"/>
      <c r="L848" s="129"/>
      <c r="M848" s="129"/>
      <c r="N848" s="129"/>
      <c r="O848" s="129"/>
      <c r="P848" s="129"/>
      <c r="Q848" s="129"/>
      <c r="R848" s="129"/>
      <c r="S848" s="129"/>
      <c r="T848" s="129"/>
      <c r="U848" s="129"/>
      <c r="V848" s="129"/>
    </row>
    <row r="849" spans="3:22" x14ac:dyDescent="0.3">
      <c r="C849" s="129"/>
      <c r="D849" s="129"/>
      <c r="E849" s="129"/>
      <c r="F849" s="129"/>
      <c r="G849" s="129"/>
      <c r="H849" s="129"/>
      <c r="I849" s="129"/>
      <c r="J849" s="129"/>
      <c r="K849" s="129"/>
      <c r="L849" s="129"/>
      <c r="M849" s="129"/>
      <c r="N849" s="129"/>
      <c r="O849" s="129"/>
      <c r="P849" s="129"/>
      <c r="Q849" s="129"/>
      <c r="R849" s="129"/>
      <c r="S849" s="129"/>
      <c r="T849" s="129"/>
      <c r="U849" s="129"/>
      <c r="V849" s="129"/>
    </row>
    <row r="850" spans="3:22" x14ac:dyDescent="0.3">
      <c r="C850" s="129"/>
      <c r="D850" s="129"/>
      <c r="E850" s="129"/>
      <c r="F850" s="129"/>
      <c r="G850" s="129"/>
      <c r="H850" s="129"/>
      <c r="I850" s="129"/>
      <c r="J850" s="129"/>
      <c r="K850" s="129"/>
      <c r="L850" s="129"/>
      <c r="M850" s="129"/>
      <c r="N850" s="129"/>
      <c r="O850" s="129"/>
      <c r="P850" s="129"/>
      <c r="Q850" s="129"/>
      <c r="R850" s="129"/>
      <c r="S850" s="129"/>
      <c r="T850" s="129"/>
      <c r="U850" s="129"/>
      <c r="V850" s="129"/>
    </row>
    <row r="851" spans="3:22" x14ac:dyDescent="0.3">
      <c r="C851" s="129"/>
      <c r="D851" s="129"/>
      <c r="E851" s="129"/>
      <c r="F851" s="129"/>
      <c r="G851" s="129"/>
      <c r="H851" s="129"/>
      <c r="I851" s="129"/>
      <c r="J851" s="129"/>
      <c r="K851" s="129"/>
      <c r="L851" s="129"/>
      <c r="M851" s="129"/>
      <c r="N851" s="129"/>
      <c r="O851" s="129"/>
      <c r="P851" s="129"/>
      <c r="Q851" s="129"/>
      <c r="R851" s="129"/>
      <c r="S851" s="129"/>
      <c r="T851" s="129"/>
      <c r="U851" s="129"/>
      <c r="V851" s="129"/>
    </row>
    <row r="852" spans="3:22" x14ac:dyDescent="0.3">
      <c r="C852" s="129"/>
      <c r="D852" s="129"/>
      <c r="E852" s="129"/>
      <c r="F852" s="129"/>
      <c r="G852" s="129"/>
      <c r="H852" s="129"/>
      <c r="I852" s="129"/>
      <c r="J852" s="129"/>
      <c r="K852" s="129"/>
      <c r="L852" s="129"/>
      <c r="M852" s="129"/>
      <c r="N852" s="129"/>
      <c r="O852" s="129"/>
      <c r="P852" s="129"/>
      <c r="Q852" s="129"/>
      <c r="R852" s="129"/>
      <c r="S852" s="129"/>
      <c r="T852" s="129"/>
      <c r="U852" s="129"/>
      <c r="V852" s="129"/>
    </row>
    <row r="853" spans="3:22" x14ac:dyDescent="0.3">
      <c r="C853" s="129"/>
      <c r="D853" s="129"/>
      <c r="E853" s="129"/>
      <c r="F853" s="129"/>
      <c r="G853" s="129"/>
      <c r="H853" s="129"/>
      <c r="I853" s="129"/>
      <c r="J853" s="129"/>
      <c r="K853" s="129"/>
      <c r="L853" s="129"/>
      <c r="M853" s="129"/>
      <c r="N853" s="129"/>
      <c r="O853" s="129"/>
      <c r="P853" s="129"/>
      <c r="Q853" s="129"/>
      <c r="R853" s="129"/>
      <c r="S853" s="129"/>
      <c r="T853" s="129"/>
      <c r="U853" s="129"/>
      <c r="V853" s="129"/>
    </row>
    <row r="854" spans="3:22" x14ac:dyDescent="0.3">
      <c r="C854" s="129"/>
      <c r="D854" s="129"/>
      <c r="E854" s="129"/>
      <c r="F854" s="129"/>
      <c r="G854" s="129"/>
      <c r="H854" s="129"/>
      <c r="I854" s="129"/>
      <c r="J854" s="129"/>
      <c r="K854" s="129"/>
      <c r="L854" s="129"/>
      <c r="M854" s="129"/>
      <c r="N854" s="129"/>
      <c r="O854" s="129"/>
      <c r="P854" s="129"/>
      <c r="Q854" s="129"/>
      <c r="R854" s="129"/>
      <c r="S854" s="129"/>
      <c r="T854" s="129"/>
      <c r="U854" s="129"/>
      <c r="V854" s="129"/>
    </row>
    <row r="855" spans="3:22" x14ac:dyDescent="0.3">
      <c r="C855" s="129"/>
      <c r="D855" s="129"/>
      <c r="E855" s="129"/>
      <c r="F855" s="129"/>
      <c r="G855" s="129"/>
      <c r="H855" s="129"/>
      <c r="I855" s="129"/>
      <c r="J855" s="129"/>
      <c r="K855" s="129"/>
      <c r="L855" s="129"/>
      <c r="M855" s="129"/>
      <c r="N855" s="129"/>
      <c r="O855" s="129"/>
      <c r="P855" s="129"/>
      <c r="Q855" s="129"/>
      <c r="R855" s="129"/>
      <c r="S855" s="129"/>
      <c r="T855" s="129"/>
      <c r="U855" s="129"/>
      <c r="V855" s="129"/>
    </row>
    <row r="856" spans="3:22" x14ac:dyDescent="0.3">
      <c r="C856" s="129"/>
      <c r="D856" s="129"/>
      <c r="E856" s="129"/>
      <c r="F856" s="129"/>
      <c r="G856" s="129"/>
      <c r="H856" s="129"/>
      <c r="I856" s="129"/>
      <c r="J856" s="129"/>
      <c r="K856" s="129"/>
      <c r="L856" s="129"/>
      <c r="M856" s="129"/>
      <c r="N856" s="129"/>
      <c r="O856" s="129"/>
      <c r="P856" s="129"/>
      <c r="Q856" s="129"/>
      <c r="R856" s="129"/>
      <c r="S856" s="129"/>
      <c r="T856" s="129"/>
      <c r="U856" s="129"/>
      <c r="V856" s="129"/>
    </row>
    <row r="857" spans="3:22" x14ac:dyDescent="0.3">
      <c r="C857" s="129"/>
      <c r="D857" s="129"/>
      <c r="E857" s="129"/>
      <c r="F857" s="129"/>
      <c r="G857" s="129"/>
      <c r="H857" s="129"/>
      <c r="I857" s="129"/>
      <c r="J857" s="129"/>
      <c r="K857" s="129"/>
      <c r="L857" s="129"/>
      <c r="M857" s="129"/>
      <c r="N857" s="129"/>
      <c r="O857" s="129"/>
      <c r="P857" s="129"/>
      <c r="Q857" s="129"/>
      <c r="R857" s="129"/>
      <c r="S857" s="129"/>
      <c r="T857" s="129"/>
      <c r="U857" s="129"/>
      <c r="V857" s="129"/>
    </row>
    <row r="858" spans="3:22" x14ac:dyDescent="0.3">
      <c r="C858" s="129"/>
      <c r="D858" s="129"/>
      <c r="E858" s="129"/>
      <c r="F858" s="129"/>
      <c r="G858" s="129"/>
      <c r="H858" s="129"/>
      <c r="I858" s="129"/>
      <c r="J858" s="129"/>
      <c r="K858" s="129"/>
      <c r="L858" s="129"/>
      <c r="M858" s="129"/>
      <c r="N858" s="129"/>
      <c r="O858" s="129"/>
      <c r="P858" s="129"/>
      <c r="Q858" s="129"/>
      <c r="R858" s="129"/>
      <c r="S858" s="129"/>
      <c r="T858" s="129"/>
      <c r="U858" s="129"/>
      <c r="V858" s="129"/>
    </row>
    <row r="859" spans="3:22" x14ac:dyDescent="0.3">
      <c r="C859" s="129"/>
      <c r="D859" s="129"/>
      <c r="E859" s="129"/>
      <c r="F859" s="129"/>
      <c r="G859" s="129"/>
      <c r="H859" s="129"/>
      <c r="I859" s="129"/>
      <c r="J859" s="129"/>
      <c r="K859" s="129"/>
      <c r="L859" s="129"/>
      <c r="M859" s="129"/>
      <c r="N859" s="129"/>
      <c r="O859" s="129"/>
      <c r="P859" s="129"/>
      <c r="Q859" s="129"/>
      <c r="R859" s="129"/>
      <c r="S859" s="129"/>
      <c r="T859" s="129"/>
      <c r="U859" s="129"/>
      <c r="V859" s="129"/>
    </row>
    <row r="860" spans="3:22" x14ac:dyDescent="0.3">
      <c r="C860" s="129"/>
      <c r="D860" s="129"/>
      <c r="E860" s="129"/>
      <c r="F860" s="129"/>
      <c r="G860" s="129"/>
      <c r="H860" s="129"/>
      <c r="I860" s="129"/>
      <c r="J860" s="129"/>
      <c r="K860" s="129"/>
      <c r="L860" s="129"/>
      <c r="M860" s="129"/>
      <c r="N860" s="129"/>
      <c r="O860" s="129"/>
      <c r="P860" s="129"/>
      <c r="Q860" s="129"/>
      <c r="R860" s="129"/>
      <c r="S860" s="129"/>
      <c r="T860" s="129"/>
      <c r="U860" s="129"/>
      <c r="V860" s="129"/>
    </row>
    <row r="861" spans="3:22" x14ac:dyDescent="0.3">
      <c r="C861" s="129"/>
      <c r="D861" s="129"/>
      <c r="E861" s="129"/>
      <c r="F861" s="129"/>
      <c r="G861" s="129"/>
      <c r="H861" s="129"/>
      <c r="I861" s="129"/>
      <c r="J861" s="129"/>
      <c r="K861" s="129"/>
      <c r="L861" s="129"/>
      <c r="M861" s="129"/>
      <c r="N861" s="129"/>
      <c r="O861" s="129"/>
      <c r="P861" s="129"/>
      <c r="Q861" s="129"/>
      <c r="R861" s="129"/>
      <c r="S861" s="129"/>
      <c r="T861" s="129"/>
      <c r="U861" s="129"/>
      <c r="V861" s="129"/>
    </row>
    <row r="862" spans="3:22" x14ac:dyDescent="0.3">
      <c r="C862" s="129"/>
      <c r="D862" s="129"/>
      <c r="E862" s="129"/>
      <c r="F862" s="129"/>
      <c r="G862" s="129"/>
      <c r="H862" s="129"/>
      <c r="I862" s="129"/>
      <c r="J862" s="129"/>
      <c r="K862" s="129"/>
      <c r="L862" s="129"/>
      <c r="M862" s="129"/>
      <c r="N862" s="129"/>
      <c r="O862" s="129"/>
      <c r="P862" s="129"/>
      <c r="Q862" s="129"/>
      <c r="R862" s="129"/>
      <c r="S862" s="129"/>
      <c r="T862" s="129"/>
      <c r="U862" s="129"/>
      <c r="V862" s="129"/>
    </row>
    <row r="863" spans="3:22" x14ac:dyDescent="0.3">
      <c r="C863" s="129"/>
      <c r="D863" s="129"/>
      <c r="E863" s="129"/>
      <c r="F863" s="129"/>
      <c r="G863" s="129"/>
      <c r="H863" s="129"/>
      <c r="I863" s="129"/>
      <c r="J863" s="129"/>
      <c r="K863" s="129"/>
      <c r="L863" s="129"/>
      <c r="M863" s="129"/>
      <c r="N863" s="129"/>
      <c r="O863" s="129"/>
      <c r="P863" s="129"/>
      <c r="Q863" s="129"/>
      <c r="R863" s="129"/>
      <c r="S863" s="129"/>
      <c r="T863" s="129"/>
      <c r="U863" s="129"/>
      <c r="V863" s="129"/>
    </row>
    <row r="864" spans="3:22" x14ac:dyDescent="0.3">
      <c r="C864" s="129"/>
      <c r="D864" s="129"/>
      <c r="E864" s="129"/>
      <c r="F864" s="129"/>
      <c r="G864" s="129"/>
      <c r="H864" s="129"/>
      <c r="I864" s="129"/>
      <c r="J864" s="129"/>
      <c r="K864" s="129"/>
      <c r="L864" s="129"/>
      <c r="M864" s="129"/>
      <c r="N864" s="129"/>
      <c r="O864" s="129"/>
      <c r="P864" s="129"/>
      <c r="Q864" s="129"/>
      <c r="R864" s="129"/>
      <c r="S864" s="129"/>
      <c r="T864" s="129"/>
      <c r="U864" s="129"/>
      <c r="V864" s="129"/>
    </row>
    <row r="865" spans="3:22" x14ac:dyDescent="0.3">
      <c r="C865" s="129"/>
      <c r="D865" s="129"/>
      <c r="E865" s="129"/>
      <c r="F865" s="129"/>
      <c r="G865" s="129"/>
      <c r="H865" s="129"/>
      <c r="I865" s="129"/>
      <c r="J865" s="129"/>
      <c r="K865" s="129"/>
      <c r="L865" s="129"/>
      <c r="M865" s="129"/>
      <c r="N865" s="129"/>
      <c r="O865" s="129"/>
      <c r="P865" s="129"/>
      <c r="Q865" s="129"/>
      <c r="R865" s="129"/>
      <c r="S865" s="129"/>
      <c r="T865" s="129"/>
      <c r="U865" s="129"/>
      <c r="V865" s="129"/>
    </row>
    <row r="866" spans="3:22" x14ac:dyDescent="0.3">
      <c r="C866" s="129"/>
      <c r="D866" s="129"/>
      <c r="E866" s="129"/>
      <c r="F866" s="129"/>
      <c r="G866" s="129"/>
      <c r="H866" s="129"/>
      <c r="I866" s="129"/>
      <c r="J866" s="129"/>
      <c r="K866" s="129"/>
      <c r="L866" s="129"/>
      <c r="M866" s="129"/>
      <c r="N866" s="129"/>
      <c r="O866" s="129"/>
      <c r="P866" s="129"/>
      <c r="Q866" s="129"/>
      <c r="R866" s="129"/>
      <c r="S866" s="129"/>
      <c r="T866" s="129"/>
      <c r="U866" s="129"/>
      <c r="V866" s="129"/>
    </row>
    <row r="867" spans="3:22" x14ac:dyDescent="0.3">
      <c r="C867" s="129"/>
      <c r="D867" s="129"/>
      <c r="E867" s="129"/>
      <c r="F867" s="129"/>
      <c r="G867" s="129"/>
      <c r="H867" s="129"/>
      <c r="I867" s="129"/>
      <c r="J867" s="129"/>
      <c r="K867" s="129"/>
      <c r="L867" s="129"/>
      <c r="M867" s="129"/>
      <c r="N867" s="129"/>
      <c r="O867" s="129"/>
      <c r="P867" s="129"/>
      <c r="Q867" s="129"/>
      <c r="R867" s="129"/>
      <c r="S867" s="129"/>
      <c r="T867" s="129"/>
      <c r="U867" s="129"/>
      <c r="V867" s="129"/>
    </row>
    <row r="868" spans="3:22" x14ac:dyDescent="0.3">
      <c r="C868" s="129"/>
      <c r="D868" s="129"/>
      <c r="E868" s="129"/>
      <c r="F868" s="129"/>
      <c r="G868" s="129"/>
      <c r="H868" s="129"/>
      <c r="I868" s="129"/>
      <c r="J868" s="129"/>
      <c r="K868" s="129"/>
      <c r="L868" s="129"/>
      <c r="M868" s="129"/>
      <c r="N868" s="129"/>
      <c r="O868" s="129"/>
      <c r="P868" s="129"/>
      <c r="Q868" s="129"/>
      <c r="R868" s="129"/>
      <c r="S868" s="129"/>
      <c r="T868" s="129"/>
      <c r="U868" s="129"/>
      <c r="V868" s="129"/>
    </row>
    <row r="869" spans="3:22" x14ac:dyDescent="0.3">
      <c r="C869" s="129"/>
      <c r="D869" s="129"/>
      <c r="E869" s="129"/>
      <c r="F869" s="129"/>
      <c r="G869" s="129"/>
      <c r="H869" s="129"/>
      <c r="I869" s="129"/>
      <c r="J869" s="129"/>
      <c r="K869" s="129"/>
      <c r="L869" s="129"/>
      <c r="M869" s="129"/>
      <c r="N869" s="129"/>
      <c r="O869" s="129"/>
      <c r="P869" s="129"/>
      <c r="Q869" s="129"/>
      <c r="R869" s="129"/>
      <c r="S869" s="129"/>
      <c r="T869" s="129"/>
      <c r="U869" s="129"/>
      <c r="V869" s="129"/>
    </row>
    <row r="870" spans="3:22" x14ac:dyDescent="0.3">
      <c r="C870" s="129"/>
      <c r="D870" s="129"/>
      <c r="E870" s="129"/>
      <c r="F870" s="129"/>
      <c r="G870" s="129"/>
      <c r="H870" s="129"/>
      <c r="I870" s="129"/>
      <c r="J870" s="129"/>
      <c r="K870" s="129"/>
      <c r="L870" s="129"/>
      <c r="M870" s="129"/>
      <c r="N870" s="129"/>
      <c r="O870" s="129"/>
      <c r="P870" s="129"/>
      <c r="Q870" s="129"/>
      <c r="R870" s="129"/>
      <c r="S870" s="129"/>
      <c r="T870" s="129"/>
      <c r="U870" s="129"/>
      <c r="V870" s="129"/>
    </row>
    <row r="871" spans="3:22" x14ac:dyDescent="0.3">
      <c r="C871" s="129"/>
      <c r="D871" s="129"/>
      <c r="E871" s="129"/>
      <c r="F871" s="129"/>
      <c r="G871" s="129"/>
      <c r="H871" s="129"/>
      <c r="I871" s="129"/>
      <c r="J871" s="129"/>
      <c r="K871" s="129"/>
      <c r="L871" s="129"/>
      <c r="M871" s="129"/>
      <c r="N871" s="129"/>
      <c r="O871" s="129"/>
      <c r="P871" s="129"/>
      <c r="Q871" s="129"/>
      <c r="R871" s="129"/>
      <c r="S871" s="129"/>
      <c r="T871" s="129"/>
      <c r="U871" s="129"/>
      <c r="V871" s="129"/>
    </row>
    <row r="872" spans="3:22" x14ac:dyDescent="0.3">
      <c r="C872" s="129"/>
      <c r="D872" s="129"/>
      <c r="E872" s="129"/>
      <c r="F872" s="129"/>
      <c r="G872" s="129"/>
      <c r="H872" s="129"/>
      <c r="I872" s="129"/>
      <c r="J872" s="129"/>
      <c r="K872" s="129"/>
      <c r="L872" s="129"/>
      <c r="M872" s="129"/>
      <c r="N872" s="129"/>
      <c r="O872" s="129"/>
      <c r="P872" s="129"/>
      <c r="Q872" s="129"/>
      <c r="R872" s="129"/>
      <c r="S872" s="129"/>
      <c r="T872" s="129"/>
      <c r="U872" s="129"/>
      <c r="V872" s="129"/>
    </row>
    <row r="873" spans="3:22" x14ac:dyDescent="0.3">
      <c r="C873" s="129"/>
      <c r="D873" s="129"/>
      <c r="E873" s="129"/>
      <c r="F873" s="129"/>
      <c r="G873" s="129"/>
      <c r="H873" s="129"/>
      <c r="I873" s="129"/>
      <c r="J873" s="129"/>
      <c r="K873" s="129"/>
      <c r="L873" s="129"/>
      <c r="M873" s="129"/>
      <c r="N873" s="129"/>
      <c r="O873" s="129"/>
      <c r="P873" s="129"/>
      <c r="Q873" s="129"/>
      <c r="R873" s="129"/>
      <c r="S873" s="129"/>
      <c r="T873" s="129"/>
      <c r="U873" s="129"/>
      <c r="V873" s="129"/>
    </row>
    <row r="874" spans="3:22" x14ac:dyDescent="0.3">
      <c r="C874" s="129"/>
      <c r="D874" s="129"/>
      <c r="E874" s="129"/>
      <c r="F874" s="129"/>
      <c r="G874" s="129"/>
      <c r="H874" s="129"/>
      <c r="I874" s="129"/>
      <c r="J874" s="129"/>
      <c r="K874" s="129"/>
      <c r="L874" s="129"/>
      <c r="M874" s="129"/>
      <c r="N874" s="129"/>
      <c r="O874" s="129"/>
      <c r="P874" s="129"/>
      <c r="Q874" s="129"/>
      <c r="R874" s="129"/>
      <c r="S874" s="129"/>
      <c r="T874" s="129"/>
      <c r="U874" s="129"/>
      <c r="V874" s="129"/>
    </row>
    <row r="875" spans="3:22" x14ac:dyDescent="0.3">
      <c r="C875" s="129"/>
      <c r="D875" s="129"/>
      <c r="E875" s="129"/>
      <c r="F875" s="129"/>
      <c r="G875" s="129"/>
      <c r="H875" s="129"/>
      <c r="I875" s="129"/>
      <c r="J875" s="129"/>
      <c r="K875" s="129"/>
      <c r="L875" s="129"/>
      <c r="M875" s="129"/>
      <c r="N875" s="129"/>
      <c r="O875" s="129"/>
      <c r="P875" s="129"/>
      <c r="Q875" s="129"/>
      <c r="R875" s="129"/>
      <c r="S875" s="129"/>
      <c r="T875" s="129"/>
      <c r="U875" s="129"/>
      <c r="V875" s="129"/>
    </row>
    <row r="876" spans="3:22" x14ac:dyDescent="0.3">
      <c r="C876" s="129"/>
      <c r="D876" s="129"/>
      <c r="E876" s="129"/>
      <c r="F876" s="129"/>
      <c r="G876" s="129"/>
      <c r="H876" s="129"/>
      <c r="I876" s="129"/>
      <c r="J876" s="129"/>
      <c r="K876" s="129"/>
      <c r="L876" s="129"/>
      <c r="M876" s="129"/>
      <c r="N876" s="129"/>
      <c r="O876" s="129"/>
      <c r="P876" s="129"/>
      <c r="Q876" s="129"/>
      <c r="R876" s="129"/>
      <c r="S876" s="129"/>
      <c r="T876" s="129"/>
      <c r="U876" s="129"/>
      <c r="V876" s="129"/>
    </row>
    <row r="877" spans="3:22" x14ac:dyDescent="0.3">
      <c r="C877" s="129"/>
      <c r="D877" s="129"/>
      <c r="E877" s="129"/>
      <c r="F877" s="129"/>
      <c r="G877" s="129"/>
      <c r="H877" s="129"/>
      <c r="I877" s="129"/>
      <c r="J877" s="129"/>
      <c r="K877" s="129"/>
      <c r="L877" s="129"/>
      <c r="M877" s="129"/>
      <c r="N877" s="129"/>
      <c r="O877" s="129"/>
      <c r="P877" s="129"/>
      <c r="Q877" s="129"/>
      <c r="R877" s="129"/>
      <c r="S877" s="129"/>
      <c r="T877" s="129"/>
      <c r="U877" s="129"/>
      <c r="V877" s="129"/>
    </row>
    <row r="878" spans="3:22" x14ac:dyDescent="0.3">
      <c r="C878" s="129"/>
      <c r="D878" s="129"/>
      <c r="E878" s="129"/>
      <c r="F878" s="129"/>
      <c r="G878" s="129"/>
      <c r="H878" s="129"/>
      <c r="I878" s="129"/>
      <c r="J878" s="129"/>
      <c r="K878" s="129"/>
      <c r="L878" s="129"/>
      <c r="M878" s="129"/>
      <c r="N878" s="129"/>
      <c r="O878" s="129"/>
      <c r="P878" s="129"/>
      <c r="Q878" s="129"/>
      <c r="R878" s="129"/>
      <c r="S878" s="129"/>
      <c r="T878" s="129"/>
      <c r="U878" s="129"/>
      <c r="V878" s="129"/>
    </row>
    <row r="879" spans="3:22" x14ac:dyDescent="0.3">
      <c r="C879" s="129"/>
      <c r="D879" s="129"/>
      <c r="E879" s="129"/>
      <c r="F879" s="129"/>
      <c r="G879" s="129"/>
      <c r="H879" s="129"/>
      <c r="I879" s="129"/>
      <c r="J879" s="129"/>
      <c r="K879" s="129"/>
      <c r="L879" s="129"/>
      <c r="M879" s="129"/>
      <c r="N879" s="129"/>
      <c r="O879" s="129"/>
      <c r="P879" s="129"/>
      <c r="Q879" s="129"/>
      <c r="R879" s="129"/>
      <c r="S879" s="129"/>
      <c r="T879" s="129"/>
      <c r="U879" s="129"/>
      <c r="V879" s="129"/>
    </row>
    <row r="880" spans="3:22" x14ac:dyDescent="0.3">
      <c r="C880" s="129"/>
      <c r="D880" s="129"/>
      <c r="E880" s="129"/>
      <c r="F880" s="129"/>
      <c r="G880" s="129"/>
      <c r="H880" s="129"/>
      <c r="I880" s="129"/>
      <c r="J880" s="129"/>
      <c r="K880" s="129"/>
      <c r="L880" s="129"/>
      <c r="M880" s="129"/>
      <c r="N880" s="129"/>
      <c r="O880" s="129"/>
      <c r="P880" s="129"/>
      <c r="Q880" s="129"/>
      <c r="R880" s="129"/>
      <c r="S880" s="129"/>
      <c r="T880" s="129"/>
      <c r="U880" s="129"/>
      <c r="V880" s="129"/>
    </row>
    <row r="881" spans="3:22" x14ac:dyDescent="0.3">
      <c r="C881" s="129"/>
      <c r="D881" s="129"/>
      <c r="E881" s="129"/>
      <c r="F881" s="129"/>
      <c r="G881" s="129"/>
      <c r="H881" s="129"/>
      <c r="I881" s="129"/>
      <c r="J881" s="129"/>
      <c r="K881" s="129"/>
      <c r="L881" s="129"/>
      <c r="M881" s="129"/>
      <c r="N881" s="129"/>
      <c r="O881" s="129"/>
      <c r="P881" s="129"/>
      <c r="Q881" s="129"/>
      <c r="R881" s="129"/>
      <c r="S881" s="129"/>
      <c r="T881" s="129"/>
      <c r="U881" s="129"/>
      <c r="V881" s="129"/>
    </row>
    <row r="882" spans="3:22" x14ac:dyDescent="0.3">
      <c r="C882" s="129"/>
      <c r="D882" s="129"/>
      <c r="E882" s="129"/>
      <c r="F882" s="129"/>
      <c r="G882" s="129"/>
      <c r="H882" s="129"/>
      <c r="I882" s="129"/>
      <c r="J882" s="129"/>
      <c r="K882" s="129"/>
      <c r="L882" s="129"/>
      <c r="M882" s="129"/>
      <c r="N882" s="129"/>
      <c r="O882" s="129"/>
      <c r="P882" s="129"/>
      <c r="Q882" s="129"/>
      <c r="R882" s="129"/>
      <c r="S882" s="129"/>
      <c r="T882" s="129"/>
      <c r="U882" s="129"/>
      <c r="V882" s="129"/>
    </row>
    <row r="883" spans="3:22" x14ac:dyDescent="0.3">
      <c r="C883" s="129"/>
      <c r="D883" s="129"/>
      <c r="E883" s="129"/>
      <c r="F883" s="129"/>
      <c r="G883" s="129"/>
      <c r="H883" s="129"/>
      <c r="I883" s="129"/>
      <c r="J883" s="129"/>
      <c r="K883" s="129"/>
      <c r="L883" s="129"/>
      <c r="M883" s="129"/>
      <c r="N883" s="129"/>
      <c r="O883" s="129"/>
      <c r="P883" s="129"/>
      <c r="Q883" s="129"/>
      <c r="R883" s="129"/>
      <c r="S883" s="129"/>
      <c r="T883" s="129"/>
      <c r="U883" s="129"/>
      <c r="V883" s="129"/>
    </row>
    <row r="884" spans="3:22" x14ac:dyDescent="0.3">
      <c r="C884" s="129"/>
      <c r="D884" s="129"/>
      <c r="E884" s="129"/>
      <c r="F884" s="129"/>
      <c r="G884" s="129"/>
      <c r="H884" s="129"/>
      <c r="I884" s="129"/>
      <c r="J884" s="129"/>
      <c r="K884" s="129"/>
      <c r="L884" s="129"/>
      <c r="M884" s="129"/>
      <c r="N884" s="129"/>
      <c r="O884" s="129"/>
      <c r="P884" s="129"/>
      <c r="Q884" s="129"/>
      <c r="R884" s="129"/>
      <c r="S884" s="129"/>
      <c r="T884" s="129"/>
      <c r="U884" s="129"/>
      <c r="V884" s="129"/>
    </row>
    <row r="885" spans="3:22" x14ac:dyDescent="0.3">
      <c r="C885" s="129"/>
      <c r="D885" s="129"/>
      <c r="E885" s="129"/>
      <c r="F885" s="129"/>
      <c r="G885" s="129"/>
      <c r="H885" s="129"/>
      <c r="I885" s="129"/>
      <c r="J885" s="129"/>
      <c r="K885" s="129"/>
      <c r="L885" s="129"/>
      <c r="M885" s="129"/>
      <c r="N885" s="129"/>
      <c r="O885" s="129"/>
      <c r="P885" s="129"/>
      <c r="Q885" s="129"/>
      <c r="R885" s="129"/>
      <c r="S885" s="129"/>
      <c r="T885" s="129"/>
      <c r="U885" s="129"/>
      <c r="V885" s="129"/>
    </row>
    <row r="886" spans="3:22" x14ac:dyDescent="0.3">
      <c r="C886" s="129"/>
      <c r="D886" s="129"/>
      <c r="E886" s="129"/>
      <c r="F886" s="129"/>
      <c r="G886" s="129"/>
      <c r="H886" s="129"/>
      <c r="I886" s="129"/>
      <c r="J886" s="129"/>
      <c r="K886" s="129"/>
      <c r="L886" s="129"/>
      <c r="M886" s="129"/>
      <c r="N886" s="129"/>
      <c r="O886" s="129"/>
      <c r="P886" s="129"/>
      <c r="Q886" s="129"/>
      <c r="R886" s="129"/>
      <c r="S886" s="129"/>
      <c r="T886" s="129"/>
      <c r="U886" s="129"/>
      <c r="V886" s="129"/>
    </row>
    <row r="887" spans="3:22" x14ac:dyDescent="0.3">
      <c r="C887" s="129"/>
      <c r="D887" s="129"/>
      <c r="E887" s="129"/>
      <c r="F887" s="129"/>
      <c r="G887" s="129"/>
      <c r="H887" s="129"/>
      <c r="I887" s="129"/>
      <c r="J887" s="129"/>
      <c r="K887" s="129"/>
      <c r="L887" s="129"/>
      <c r="M887" s="129"/>
      <c r="N887" s="129"/>
      <c r="O887" s="129"/>
      <c r="P887" s="129"/>
      <c r="Q887" s="129"/>
      <c r="R887" s="129"/>
      <c r="S887" s="129"/>
      <c r="T887" s="129"/>
      <c r="U887" s="129"/>
      <c r="V887" s="129"/>
    </row>
    <row r="888" spans="3:22" x14ac:dyDescent="0.3">
      <c r="C888" s="129"/>
      <c r="D888" s="129"/>
      <c r="E888" s="129"/>
      <c r="F888" s="129"/>
      <c r="G888" s="129"/>
      <c r="H888" s="129"/>
      <c r="I888" s="129"/>
      <c r="J888" s="129"/>
      <c r="K888" s="129"/>
      <c r="L888" s="129"/>
      <c r="M888" s="129"/>
      <c r="N888" s="129"/>
      <c r="O888" s="129"/>
      <c r="P888" s="129"/>
      <c r="Q888" s="129"/>
      <c r="R888" s="129"/>
      <c r="S888" s="129"/>
      <c r="T888" s="129"/>
      <c r="U888" s="129"/>
      <c r="V888" s="129"/>
    </row>
    <row r="889" spans="3:22" x14ac:dyDescent="0.3">
      <c r="C889" s="129"/>
      <c r="D889" s="129"/>
      <c r="E889" s="129"/>
      <c r="F889" s="129"/>
      <c r="G889" s="129"/>
      <c r="H889" s="129"/>
      <c r="I889" s="129"/>
      <c r="J889" s="129"/>
      <c r="K889" s="129"/>
      <c r="L889" s="129"/>
      <c r="M889" s="129"/>
      <c r="N889" s="129"/>
      <c r="O889" s="129"/>
      <c r="P889" s="129"/>
      <c r="Q889" s="129"/>
      <c r="R889" s="129"/>
      <c r="S889" s="129"/>
      <c r="T889" s="129"/>
      <c r="U889" s="129"/>
      <c r="V889" s="129"/>
    </row>
    <row r="890" spans="3:22" x14ac:dyDescent="0.3">
      <c r="C890" s="129"/>
      <c r="D890" s="129"/>
      <c r="E890" s="129"/>
      <c r="F890" s="129"/>
      <c r="G890" s="129"/>
      <c r="H890" s="129"/>
      <c r="I890" s="129"/>
      <c r="J890" s="129"/>
      <c r="K890" s="129"/>
      <c r="L890" s="129"/>
      <c r="M890" s="129"/>
      <c r="N890" s="129"/>
      <c r="O890" s="129"/>
      <c r="P890" s="129"/>
      <c r="Q890" s="129"/>
      <c r="R890" s="129"/>
      <c r="S890" s="129"/>
      <c r="T890" s="129"/>
      <c r="U890" s="129"/>
      <c r="V890" s="129"/>
    </row>
    <row r="891" spans="3:22" x14ac:dyDescent="0.3">
      <c r="C891" s="129"/>
      <c r="D891" s="129"/>
      <c r="E891" s="129"/>
      <c r="F891" s="129"/>
      <c r="G891" s="129"/>
      <c r="H891" s="129"/>
      <c r="I891" s="129"/>
      <c r="J891" s="129"/>
      <c r="K891" s="129"/>
      <c r="L891" s="129"/>
      <c r="M891" s="129"/>
      <c r="N891" s="129"/>
      <c r="O891" s="129"/>
      <c r="P891" s="129"/>
      <c r="Q891" s="129"/>
      <c r="R891" s="129"/>
      <c r="S891" s="129"/>
      <c r="T891" s="129"/>
      <c r="U891" s="129"/>
      <c r="V891" s="129"/>
    </row>
    <row r="892" spans="3:22" x14ac:dyDescent="0.3">
      <c r="C892" s="129"/>
      <c r="D892" s="129"/>
      <c r="E892" s="129"/>
      <c r="F892" s="129"/>
      <c r="G892" s="129"/>
      <c r="H892" s="129"/>
      <c r="I892" s="129"/>
      <c r="J892" s="129"/>
      <c r="K892" s="129"/>
      <c r="L892" s="129"/>
      <c r="M892" s="129"/>
      <c r="N892" s="129"/>
      <c r="O892" s="129"/>
      <c r="P892" s="129"/>
      <c r="Q892" s="129"/>
      <c r="R892" s="129"/>
      <c r="S892" s="129"/>
      <c r="T892" s="129"/>
      <c r="U892" s="129"/>
      <c r="V892" s="129"/>
    </row>
    <row r="893" spans="3:22" x14ac:dyDescent="0.3">
      <c r="C893" s="129"/>
      <c r="D893" s="129"/>
      <c r="E893" s="129"/>
      <c r="F893" s="129"/>
      <c r="G893" s="129"/>
      <c r="H893" s="129"/>
      <c r="I893" s="129"/>
      <c r="J893" s="129"/>
      <c r="K893" s="129"/>
      <c r="L893" s="129"/>
      <c r="M893" s="129"/>
      <c r="N893" s="129"/>
      <c r="O893" s="129"/>
      <c r="P893" s="129"/>
      <c r="Q893" s="129"/>
      <c r="R893" s="129"/>
      <c r="S893" s="129"/>
      <c r="T893" s="129"/>
      <c r="U893" s="129"/>
      <c r="V893" s="129"/>
    </row>
    <row r="894" spans="3:22" x14ac:dyDescent="0.3">
      <c r="C894" s="129"/>
      <c r="D894" s="129"/>
      <c r="E894" s="129"/>
      <c r="F894" s="129"/>
      <c r="G894" s="129"/>
      <c r="H894" s="129"/>
      <c r="I894" s="129"/>
      <c r="J894" s="129"/>
      <c r="K894" s="129"/>
      <c r="L894" s="129"/>
      <c r="M894" s="129"/>
      <c r="N894" s="129"/>
      <c r="O894" s="129"/>
      <c r="P894" s="129"/>
      <c r="Q894" s="129"/>
      <c r="R894" s="129"/>
      <c r="S894" s="129"/>
      <c r="T894" s="129"/>
      <c r="U894" s="129"/>
      <c r="V894" s="129"/>
    </row>
    <row r="895" spans="3:22" x14ac:dyDescent="0.3">
      <c r="C895" s="129"/>
      <c r="D895" s="129"/>
      <c r="E895" s="129"/>
      <c r="F895" s="129"/>
      <c r="G895" s="129"/>
      <c r="H895" s="129"/>
      <c r="I895" s="129"/>
      <c r="J895" s="129"/>
      <c r="K895" s="129"/>
      <c r="L895" s="129"/>
      <c r="M895" s="129"/>
      <c r="N895" s="129"/>
      <c r="O895" s="129"/>
      <c r="P895" s="129"/>
      <c r="Q895" s="129"/>
      <c r="R895" s="129"/>
      <c r="S895" s="129"/>
      <c r="T895" s="129"/>
      <c r="U895" s="129"/>
      <c r="V895" s="129"/>
    </row>
    <row r="896" spans="3:22" x14ac:dyDescent="0.3">
      <c r="C896" s="129"/>
      <c r="D896" s="129"/>
      <c r="E896" s="129"/>
      <c r="F896" s="129"/>
      <c r="G896" s="129"/>
      <c r="H896" s="129"/>
      <c r="I896" s="129"/>
      <c r="J896" s="129"/>
      <c r="K896" s="129"/>
      <c r="L896" s="129"/>
      <c r="M896" s="129"/>
      <c r="N896" s="129"/>
      <c r="O896" s="129"/>
      <c r="P896" s="129"/>
      <c r="Q896" s="129"/>
      <c r="R896" s="129"/>
      <c r="S896" s="129"/>
      <c r="T896" s="129"/>
      <c r="U896" s="129"/>
      <c r="V896" s="129"/>
    </row>
    <row r="897" spans="3:22" x14ac:dyDescent="0.3">
      <c r="C897" s="129"/>
      <c r="D897" s="129"/>
      <c r="E897" s="129"/>
      <c r="F897" s="129"/>
      <c r="G897" s="129"/>
      <c r="H897" s="129"/>
      <c r="I897" s="129"/>
      <c r="J897" s="129"/>
      <c r="K897" s="129"/>
      <c r="L897" s="129"/>
      <c r="M897" s="129"/>
      <c r="N897" s="129"/>
      <c r="O897" s="129"/>
      <c r="P897" s="129"/>
      <c r="Q897" s="129"/>
      <c r="R897" s="129"/>
      <c r="S897" s="129"/>
      <c r="T897" s="129"/>
      <c r="U897" s="129"/>
      <c r="V897" s="129"/>
    </row>
    <row r="898" spans="3:22" x14ac:dyDescent="0.3">
      <c r="C898" s="129"/>
      <c r="D898" s="129"/>
      <c r="E898" s="129"/>
      <c r="F898" s="129"/>
      <c r="G898" s="129"/>
      <c r="H898" s="129"/>
      <c r="I898" s="129"/>
      <c r="J898" s="129"/>
      <c r="K898" s="129"/>
      <c r="L898" s="129"/>
      <c r="M898" s="129"/>
      <c r="N898" s="129"/>
      <c r="O898" s="129"/>
      <c r="P898" s="129"/>
      <c r="Q898" s="129"/>
      <c r="R898" s="129"/>
      <c r="S898" s="129"/>
      <c r="T898" s="129"/>
      <c r="U898" s="129"/>
      <c r="V898" s="129"/>
    </row>
    <row r="899" spans="3:22" x14ac:dyDescent="0.3">
      <c r="C899" s="129"/>
      <c r="D899" s="129"/>
      <c r="E899" s="129"/>
      <c r="F899" s="129"/>
      <c r="G899" s="129"/>
      <c r="H899" s="129"/>
      <c r="I899" s="129"/>
      <c r="J899" s="129"/>
      <c r="K899" s="129"/>
      <c r="L899" s="129"/>
      <c r="M899" s="129"/>
      <c r="N899" s="129"/>
      <c r="O899" s="129"/>
      <c r="P899" s="129"/>
      <c r="Q899" s="129"/>
      <c r="R899" s="129"/>
      <c r="S899" s="129"/>
      <c r="T899" s="129"/>
      <c r="U899" s="129"/>
      <c r="V899" s="129"/>
    </row>
    <row r="900" spans="3:22" x14ac:dyDescent="0.3">
      <c r="C900" s="129"/>
      <c r="D900" s="129"/>
      <c r="E900" s="129"/>
      <c r="F900" s="129"/>
      <c r="G900" s="129"/>
      <c r="H900" s="129"/>
      <c r="I900" s="129"/>
      <c r="J900" s="129"/>
      <c r="K900" s="129"/>
      <c r="L900" s="129"/>
      <c r="M900" s="129"/>
      <c r="N900" s="129"/>
      <c r="O900" s="129"/>
      <c r="P900" s="129"/>
      <c r="Q900" s="129"/>
      <c r="R900" s="129"/>
      <c r="S900" s="129"/>
      <c r="T900" s="129"/>
      <c r="U900" s="129"/>
      <c r="V900" s="129"/>
    </row>
    <row r="901" spans="3:22" x14ac:dyDescent="0.3">
      <c r="C901" s="129"/>
      <c r="D901" s="129"/>
      <c r="E901" s="129"/>
      <c r="F901" s="129"/>
      <c r="G901" s="129"/>
      <c r="H901" s="129"/>
      <c r="I901" s="129"/>
      <c r="J901" s="129"/>
      <c r="K901" s="129"/>
      <c r="L901" s="129"/>
      <c r="M901" s="129"/>
      <c r="N901" s="129"/>
      <c r="O901" s="129"/>
      <c r="P901" s="129"/>
      <c r="Q901" s="129"/>
      <c r="R901" s="129"/>
      <c r="S901" s="129"/>
      <c r="T901" s="129"/>
      <c r="U901" s="129"/>
      <c r="V901" s="129"/>
    </row>
    <row r="902" spans="3:22" x14ac:dyDescent="0.3">
      <c r="C902" s="129"/>
      <c r="D902" s="129"/>
      <c r="E902" s="129"/>
      <c r="F902" s="129"/>
      <c r="G902" s="129"/>
      <c r="H902" s="129"/>
      <c r="I902" s="129"/>
      <c r="J902" s="129"/>
      <c r="K902" s="129"/>
      <c r="L902" s="129"/>
      <c r="M902" s="129"/>
      <c r="N902" s="129"/>
      <c r="O902" s="129"/>
      <c r="P902" s="129"/>
      <c r="Q902" s="129"/>
      <c r="R902" s="129"/>
      <c r="S902" s="129"/>
      <c r="T902" s="129"/>
      <c r="U902" s="129"/>
      <c r="V902" s="129"/>
    </row>
    <row r="903" spans="3:22" x14ac:dyDescent="0.3">
      <c r="C903" s="129"/>
      <c r="D903" s="129"/>
      <c r="E903" s="129"/>
      <c r="F903" s="129"/>
      <c r="G903" s="129"/>
      <c r="H903" s="129"/>
      <c r="I903" s="129"/>
      <c r="J903" s="129"/>
      <c r="K903" s="129"/>
      <c r="L903" s="129"/>
      <c r="M903" s="129"/>
      <c r="N903" s="129"/>
      <c r="O903" s="129"/>
      <c r="P903" s="129"/>
      <c r="Q903" s="129"/>
      <c r="R903" s="129"/>
      <c r="S903" s="129"/>
      <c r="T903" s="129"/>
      <c r="U903" s="129"/>
      <c r="V903" s="129"/>
    </row>
    <row r="904" spans="3:22" x14ac:dyDescent="0.3">
      <c r="C904" s="129"/>
      <c r="D904" s="129"/>
      <c r="E904" s="129"/>
      <c r="F904" s="129"/>
      <c r="G904" s="129"/>
      <c r="H904" s="129"/>
      <c r="I904" s="129"/>
      <c r="J904" s="129"/>
      <c r="K904" s="129"/>
      <c r="L904" s="129"/>
      <c r="M904" s="129"/>
      <c r="N904" s="129"/>
      <c r="O904" s="129"/>
      <c r="P904" s="129"/>
      <c r="Q904" s="129"/>
      <c r="R904" s="129"/>
      <c r="S904" s="129"/>
      <c r="T904" s="129"/>
      <c r="U904" s="129"/>
      <c r="V904" s="129"/>
    </row>
    <row r="905" spans="3:22" x14ac:dyDescent="0.3">
      <c r="C905" s="129"/>
      <c r="D905" s="129"/>
      <c r="E905" s="129"/>
      <c r="F905" s="129"/>
      <c r="G905" s="129"/>
      <c r="H905" s="129"/>
      <c r="I905" s="129"/>
      <c r="J905" s="129"/>
      <c r="K905" s="129"/>
      <c r="L905" s="129"/>
      <c r="M905" s="129"/>
      <c r="N905" s="129"/>
      <c r="O905" s="129"/>
      <c r="P905" s="129"/>
      <c r="Q905" s="129"/>
      <c r="R905" s="129"/>
      <c r="S905" s="129"/>
      <c r="T905" s="129"/>
      <c r="U905" s="129"/>
      <c r="V905" s="129"/>
    </row>
    <row r="906" spans="3:22" x14ac:dyDescent="0.3">
      <c r="C906" s="129"/>
      <c r="D906" s="129"/>
      <c r="E906" s="129"/>
      <c r="F906" s="129"/>
      <c r="G906" s="129"/>
      <c r="H906" s="129"/>
      <c r="I906" s="129"/>
      <c r="J906" s="129"/>
      <c r="K906" s="129"/>
      <c r="L906" s="129"/>
      <c r="M906" s="129"/>
      <c r="N906" s="129"/>
      <c r="O906" s="129"/>
      <c r="P906" s="129"/>
      <c r="Q906" s="129"/>
      <c r="R906" s="129"/>
      <c r="S906" s="129"/>
      <c r="T906" s="129"/>
      <c r="U906" s="129"/>
      <c r="V906" s="129"/>
    </row>
    <row r="907" spans="3:22" x14ac:dyDescent="0.3">
      <c r="C907" s="129"/>
      <c r="D907" s="129"/>
      <c r="E907" s="129"/>
      <c r="F907" s="129"/>
      <c r="G907" s="129"/>
      <c r="H907" s="129"/>
      <c r="I907" s="129"/>
      <c r="J907" s="129"/>
      <c r="K907" s="129"/>
      <c r="L907" s="129"/>
      <c r="M907" s="129"/>
      <c r="N907" s="129"/>
      <c r="O907" s="129"/>
      <c r="P907" s="129"/>
      <c r="Q907" s="129"/>
      <c r="R907" s="129"/>
      <c r="S907" s="129"/>
      <c r="T907" s="129"/>
      <c r="U907" s="129"/>
      <c r="V907" s="129"/>
    </row>
    <row r="908" spans="3:22" x14ac:dyDescent="0.3">
      <c r="C908" s="129"/>
      <c r="D908" s="129"/>
      <c r="E908" s="129"/>
      <c r="F908" s="129"/>
      <c r="G908" s="129"/>
      <c r="H908" s="129"/>
      <c r="I908" s="129"/>
      <c r="J908" s="129"/>
      <c r="K908" s="129"/>
      <c r="L908" s="129"/>
      <c r="M908" s="129"/>
      <c r="N908" s="129"/>
      <c r="O908" s="129"/>
      <c r="P908" s="129"/>
      <c r="Q908" s="129"/>
      <c r="R908" s="129"/>
      <c r="S908" s="129"/>
      <c r="T908" s="129"/>
      <c r="U908" s="129"/>
      <c r="V908" s="129"/>
    </row>
    <row r="909" spans="3:22" x14ac:dyDescent="0.3">
      <c r="C909" s="129"/>
      <c r="D909" s="129"/>
      <c r="E909" s="129"/>
      <c r="F909" s="129"/>
      <c r="G909" s="129"/>
      <c r="H909" s="129"/>
      <c r="I909" s="129"/>
      <c r="J909" s="129"/>
      <c r="K909" s="129"/>
      <c r="L909" s="129"/>
      <c r="M909" s="129"/>
      <c r="N909" s="129"/>
      <c r="O909" s="129"/>
      <c r="P909" s="129"/>
      <c r="Q909" s="129"/>
      <c r="R909" s="129"/>
      <c r="S909" s="129"/>
      <c r="T909" s="129"/>
      <c r="U909" s="129"/>
      <c r="V909" s="129"/>
    </row>
    <row r="910" spans="3:22" x14ac:dyDescent="0.3">
      <c r="C910" s="129"/>
      <c r="D910" s="129"/>
      <c r="E910" s="129"/>
      <c r="F910" s="129"/>
      <c r="G910" s="129"/>
      <c r="H910" s="129"/>
      <c r="I910" s="129"/>
      <c r="J910" s="129"/>
      <c r="K910" s="129"/>
      <c r="L910" s="129"/>
      <c r="M910" s="129"/>
      <c r="N910" s="129"/>
      <c r="O910" s="129"/>
      <c r="P910" s="129"/>
      <c r="Q910" s="129"/>
      <c r="R910" s="129"/>
      <c r="S910" s="129"/>
      <c r="T910" s="129"/>
      <c r="U910" s="129"/>
      <c r="V910" s="129"/>
    </row>
    <row r="911" spans="3:22" x14ac:dyDescent="0.3">
      <c r="C911" s="129"/>
      <c r="D911" s="129"/>
      <c r="E911" s="129"/>
      <c r="F911" s="129"/>
      <c r="G911" s="129"/>
      <c r="H911" s="129"/>
      <c r="I911" s="129"/>
      <c r="J911" s="129"/>
      <c r="K911" s="129"/>
      <c r="L911" s="129"/>
      <c r="M911" s="129"/>
      <c r="N911" s="129"/>
      <c r="O911" s="129"/>
      <c r="P911" s="129"/>
      <c r="Q911" s="129"/>
      <c r="R911" s="129"/>
      <c r="S911" s="129"/>
      <c r="T911" s="129"/>
      <c r="U911" s="129"/>
      <c r="V911" s="129"/>
    </row>
    <row r="912" spans="3:22" x14ac:dyDescent="0.3">
      <c r="C912" s="129"/>
      <c r="D912" s="129"/>
      <c r="E912" s="129"/>
      <c r="F912" s="129"/>
      <c r="G912" s="129"/>
      <c r="H912" s="129"/>
      <c r="I912" s="129"/>
      <c r="J912" s="129"/>
      <c r="K912" s="129"/>
      <c r="L912" s="129"/>
      <c r="M912" s="129"/>
      <c r="N912" s="129"/>
      <c r="O912" s="129"/>
      <c r="P912" s="129"/>
      <c r="Q912" s="129"/>
      <c r="R912" s="129"/>
      <c r="S912" s="129"/>
      <c r="T912" s="129"/>
      <c r="U912" s="129"/>
      <c r="V912" s="129"/>
    </row>
    <row r="913" spans="3:22" x14ac:dyDescent="0.3">
      <c r="C913" s="129"/>
      <c r="D913" s="129"/>
      <c r="E913" s="129"/>
      <c r="F913" s="129"/>
      <c r="G913" s="129"/>
      <c r="H913" s="129"/>
      <c r="I913" s="129"/>
      <c r="J913" s="129"/>
      <c r="K913" s="129"/>
      <c r="L913" s="129"/>
      <c r="M913" s="129"/>
      <c r="N913" s="129"/>
      <c r="O913" s="129"/>
      <c r="P913" s="129"/>
      <c r="Q913" s="129"/>
      <c r="R913" s="129"/>
      <c r="S913" s="129"/>
      <c r="T913" s="129"/>
      <c r="U913" s="129"/>
      <c r="V913" s="129"/>
    </row>
    <row r="914" spans="3:22" x14ac:dyDescent="0.3">
      <c r="C914" s="129"/>
      <c r="D914" s="129"/>
      <c r="E914" s="129"/>
      <c r="F914" s="129"/>
      <c r="G914" s="129"/>
      <c r="H914" s="129"/>
      <c r="I914" s="129"/>
      <c r="J914" s="129"/>
      <c r="K914" s="129"/>
      <c r="L914" s="129"/>
      <c r="M914" s="129"/>
      <c r="N914" s="129"/>
      <c r="O914" s="129"/>
      <c r="P914" s="129"/>
      <c r="Q914" s="129"/>
      <c r="R914" s="129"/>
      <c r="S914" s="129"/>
      <c r="T914" s="129"/>
      <c r="U914" s="129"/>
      <c r="V914" s="129"/>
    </row>
    <row r="915" spans="3:22" x14ac:dyDescent="0.3">
      <c r="C915" s="129"/>
      <c r="D915" s="129"/>
      <c r="E915" s="129"/>
      <c r="F915" s="129"/>
      <c r="G915" s="129"/>
      <c r="H915" s="129"/>
      <c r="I915" s="129"/>
      <c r="J915" s="129"/>
      <c r="K915" s="129"/>
      <c r="L915" s="129"/>
      <c r="M915" s="129"/>
      <c r="N915" s="129"/>
      <c r="O915" s="129"/>
      <c r="P915" s="129"/>
      <c r="Q915" s="129"/>
      <c r="R915" s="129"/>
      <c r="S915" s="129"/>
      <c r="T915" s="129"/>
      <c r="U915" s="129"/>
      <c r="V915" s="129"/>
    </row>
    <row r="916" spans="3:22" x14ac:dyDescent="0.3">
      <c r="C916" s="129"/>
      <c r="D916" s="129"/>
      <c r="E916" s="129"/>
      <c r="F916" s="129"/>
      <c r="G916" s="129"/>
      <c r="H916" s="129"/>
      <c r="I916" s="129"/>
      <c r="J916" s="129"/>
      <c r="K916" s="129"/>
      <c r="L916" s="129"/>
      <c r="M916" s="129"/>
      <c r="N916" s="129"/>
      <c r="O916" s="129"/>
      <c r="P916" s="129"/>
      <c r="Q916" s="129"/>
      <c r="R916" s="129"/>
      <c r="S916" s="129"/>
      <c r="T916" s="129"/>
      <c r="U916" s="129"/>
      <c r="V916" s="129"/>
    </row>
    <row r="917" spans="3:22" x14ac:dyDescent="0.3">
      <c r="C917" s="129"/>
      <c r="D917" s="129"/>
      <c r="E917" s="129"/>
      <c r="F917" s="129"/>
      <c r="G917" s="129"/>
      <c r="H917" s="129"/>
      <c r="I917" s="129"/>
      <c r="J917" s="129"/>
      <c r="K917" s="129"/>
      <c r="L917" s="129"/>
      <c r="M917" s="129"/>
      <c r="N917" s="129"/>
      <c r="O917" s="129"/>
      <c r="P917" s="129"/>
      <c r="Q917" s="129"/>
      <c r="R917" s="129"/>
      <c r="S917" s="129"/>
      <c r="T917" s="129"/>
      <c r="U917" s="129"/>
      <c r="V917" s="129"/>
    </row>
    <row r="918" spans="3:22" x14ac:dyDescent="0.3">
      <c r="C918" s="129"/>
      <c r="D918" s="129"/>
      <c r="E918" s="129"/>
      <c r="F918" s="129"/>
      <c r="G918" s="129"/>
      <c r="H918" s="129"/>
      <c r="I918" s="129"/>
      <c r="J918" s="129"/>
      <c r="K918" s="129"/>
      <c r="L918" s="129"/>
      <c r="M918" s="129"/>
      <c r="N918" s="129"/>
      <c r="O918" s="129"/>
      <c r="P918" s="129"/>
      <c r="Q918" s="129"/>
      <c r="R918" s="129"/>
      <c r="S918" s="129"/>
      <c r="T918" s="129"/>
      <c r="U918" s="129"/>
      <c r="V918" s="129"/>
    </row>
    <row r="919" spans="3:22" x14ac:dyDescent="0.3">
      <c r="C919" s="129"/>
      <c r="D919" s="129"/>
      <c r="E919" s="129"/>
      <c r="F919" s="129"/>
      <c r="G919" s="129"/>
      <c r="H919" s="129"/>
      <c r="I919" s="129"/>
      <c r="J919" s="129"/>
      <c r="K919" s="129"/>
      <c r="L919" s="129"/>
      <c r="M919" s="129"/>
      <c r="N919" s="129"/>
      <c r="O919" s="129"/>
      <c r="P919" s="129"/>
      <c r="Q919" s="129"/>
      <c r="R919" s="129"/>
      <c r="S919" s="129"/>
      <c r="T919" s="129"/>
      <c r="U919" s="129"/>
      <c r="V919" s="129"/>
    </row>
    <row r="920" spans="3:22" x14ac:dyDescent="0.3">
      <c r="C920" s="129"/>
      <c r="D920" s="129"/>
      <c r="E920" s="129"/>
      <c r="F920" s="129"/>
      <c r="G920" s="129"/>
      <c r="H920" s="129"/>
      <c r="I920" s="129"/>
      <c r="J920" s="129"/>
      <c r="K920" s="129"/>
      <c r="L920" s="129"/>
      <c r="M920" s="129"/>
      <c r="N920" s="129"/>
      <c r="O920" s="129"/>
      <c r="P920" s="129"/>
      <c r="Q920" s="129"/>
      <c r="R920" s="129"/>
      <c r="S920" s="129"/>
      <c r="T920" s="129"/>
      <c r="U920" s="129"/>
      <c r="V920" s="129"/>
    </row>
    <row r="921" spans="3:22" x14ac:dyDescent="0.3">
      <c r="C921" s="129"/>
      <c r="D921" s="129"/>
      <c r="E921" s="129"/>
      <c r="F921" s="129"/>
      <c r="G921" s="129"/>
      <c r="H921" s="129"/>
      <c r="I921" s="129"/>
      <c r="J921" s="129"/>
      <c r="K921" s="129"/>
      <c r="L921" s="129"/>
      <c r="M921" s="129"/>
      <c r="N921" s="129"/>
      <c r="O921" s="129"/>
      <c r="P921" s="129"/>
      <c r="Q921" s="129"/>
      <c r="R921" s="129"/>
      <c r="S921" s="129"/>
      <c r="T921" s="129"/>
      <c r="U921" s="129"/>
      <c r="V921" s="129"/>
    </row>
    <row r="922" spans="3:22" x14ac:dyDescent="0.3">
      <c r="C922" s="129"/>
      <c r="D922" s="129"/>
      <c r="E922" s="129"/>
      <c r="F922" s="129"/>
      <c r="G922" s="129"/>
      <c r="H922" s="129"/>
      <c r="I922" s="129"/>
      <c r="J922" s="129"/>
      <c r="K922" s="129"/>
      <c r="L922" s="129"/>
      <c r="M922" s="129"/>
      <c r="N922" s="129"/>
      <c r="O922" s="129"/>
      <c r="P922" s="129"/>
      <c r="Q922" s="129"/>
      <c r="R922" s="129"/>
      <c r="S922" s="129"/>
      <c r="T922" s="129"/>
      <c r="U922" s="129"/>
      <c r="V922" s="129"/>
    </row>
    <row r="923" spans="3:22" x14ac:dyDescent="0.3">
      <c r="C923" s="129"/>
      <c r="D923" s="129"/>
      <c r="E923" s="129"/>
      <c r="F923" s="129"/>
      <c r="G923" s="129"/>
      <c r="H923" s="129"/>
      <c r="I923" s="129"/>
      <c r="J923" s="129"/>
      <c r="K923" s="129"/>
      <c r="L923" s="129"/>
      <c r="M923" s="129"/>
      <c r="N923" s="129"/>
      <c r="O923" s="129"/>
      <c r="P923" s="129"/>
      <c r="Q923" s="129"/>
      <c r="R923" s="129"/>
      <c r="S923" s="129"/>
      <c r="T923" s="129"/>
      <c r="U923" s="129"/>
      <c r="V923" s="129"/>
    </row>
    <row r="924" spans="3:22" x14ac:dyDescent="0.3">
      <c r="C924" s="129"/>
      <c r="D924" s="129"/>
      <c r="E924" s="129"/>
      <c r="F924" s="129"/>
      <c r="G924" s="129"/>
      <c r="H924" s="129"/>
      <c r="I924" s="129"/>
      <c r="J924" s="129"/>
      <c r="K924" s="129"/>
      <c r="L924" s="129"/>
      <c r="M924" s="129"/>
      <c r="N924" s="129"/>
      <c r="O924" s="129"/>
      <c r="P924" s="129"/>
      <c r="Q924" s="129"/>
      <c r="R924" s="129"/>
      <c r="S924" s="129"/>
      <c r="T924" s="129"/>
      <c r="U924" s="129"/>
      <c r="V924" s="129"/>
    </row>
    <row r="925" spans="3:22" x14ac:dyDescent="0.3">
      <c r="C925" s="129"/>
      <c r="D925" s="129"/>
      <c r="E925" s="129"/>
      <c r="F925" s="129"/>
      <c r="G925" s="129"/>
      <c r="H925" s="129"/>
      <c r="I925" s="129"/>
      <c r="J925" s="129"/>
      <c r="K925" s="129"/>
      <c r="L925" s="129"/>
      <c r="M925" s="129"/>
      <c r="N925" s="129"/>
      <c r="O925" s="129"/>
      <c r="P925" s="129"/>
      <c r="Q925" s="129"/>
      <c r="R925" s="129"/>
      <c r="S925" s="129"/>
      <c r="T925" s="129"/>
      <c r="U925" s="129"/>
      <c r="V925" s="129"/>
    </row>
    <row r="926" spans="3:22" x14ac:dyDescent="0.3">
      <c r="C926" s="129"/>
      <c r="D926" s="129"/>
      <c r="E926" s="129"/>
      <c r="F926" s="129"/>
      <c r="G926" s="129"/>
      <c r="H926" s="129"/>
      <c r="I926" s="129"/>
      <c r="J926" s="129"/>
      <c r="K926" s="129"/>
      <c r="L926" s="129"/>
      <c r="M926" s="129"/>
      <c r="N926" s="129"/>
      <c r="O926" s="129"/>
      <c r="P926" s="129"/>
      <c r="Q926" s="129"/>
      <c r="R926" s="129"/>
      <c r="S926" s="129"/>
      <c r="T926" s="129"/>
      <c r="U926" s="129"/>
      <c r="V926" s="129"/>
    </row>
    <row r="927" spans="3:22" x14ac:dyDescent="0.3">
      <c r="C927" s="129"/>
      <c r="D927" s="129"/>
      <c r="E927" s="129"/>
      <c r="F927" s="129"/>
      <c r="G927" s="129"/>
      <c r="H927" s="129"/>
      <c r="I927" s="129"/>
      <c r="J927" s="129"/>
      <c r="K927" s="129"/>
      <c r="L927" s="129"/>
      <c r="M927" s="129"/>
      <c r="N927" s="129"/>
      <c r="O927" s="129"/>
      <c r="P927" s="129"/>
      <c r="Q927" s="129"/>
      <c r="R927" s="129"/>
      <c r="S927" s="129"/>
      <c r="T927" s="129"/>
      <c r="U927" s="129"/>
      <c r="V927" s="129"/>
    </row>
    <row r="928" spans="3:22" x14ac:dyDescent="0.3">
      <c r="C928" s="129"/>
      <c r="D928" s="129"/>
      <c r="E928" s="129"/>
      <c r="F928" s="129"/>
      <c r="G928" s="129"/>
      <c r="H928" s="129"/>
      <c r="I928" s="129"/>
      <c r="J928" s="129"/>
      <c r="K928" s="129"/>
      <c r="L928" s="129"/>
      <c r="M928" s="129"/>
      <c r="N928" s="129"/>
      <c r="O928" s="129"/>
      <c r="P928" s="129"/>
      <c r="Q928" s="129"/>
      <c r="R928" s="129"/>
      <c r="S928" s="129"/>
      <c r="T928" s="129"/>
      <c r="U928" s="129"/>
      <c r="V928" s="129"/>
    </row>
    <row r="929" spans="3:22" x14ac:dyDescent="0.3">
      <c r="C929" s="129"/>
      <c r="D929" s="129"/>
      <c r="E929" s="129"/>
      <c r="F929" s="129"/>
      <c r="G929" s="129"/>
      <c r="H929" s="129"/>
      <c r="I929" s="129"/>
      <c r="J929" s="129"/>
      <c r="K929" s="129"/>
      <c r="L929" s="129"/>
      <c r="M929" s="129"/>
      <c r="N929" s="129"/>
      <c r="O929" s="129"/>
      <c r="P929" s="129"/>
      <c r="Q929" s="129"/>
      <c r="R929" s="129"/>
      <c r="S929" s="129"/>
      <c r="T929" s="129"/>
      <c r="U929" s="129"/>
      <c r="V929" s="129"/>
    </row>
    <row r="930" spans="3:22" x14ac:dyDescent="0.3">
      <c r="C930" s="129"/>
      <c r="D930" s="129"/>
      <c r="E930" s="129"/>
      <c r="F930" s="129"/>
      <c r="G930" s="129"/>
      <c r="H930" s="129"/>
      <c r="I930" s="129"/>
      <c r="J930" s="129"/>
      <c r="K930" s="129"/>
      <c r="L930" s="129"/>
      <c r="M930" s="129"/>
      <c r="N930" s="129"/>
      <c r="O930" s="129"/>
      <c r="P930" s="129"/>
      <c r="Q930" s="129"/>
      <c r="R930" s="129"/>
      <c r="S930" s="129"/>
      <c r="T930" s="129"/>
      <c r="U930" s="129"/>
      <c r="V930" s="129"/>
    </row>
    <row r="931" spans="3:22" x14ac:dyDescent="0.3">
      <c r="C931" s="129"/>
      <c r="D931" s="129"/>
      <c r="E931" s="129"/>
      <c r="F931" s="129"/>
      <c r="G931" s="129"/>
      <c r="H931" s="129"/>
      <c r="I931" s="129"/>
      <c r="J931" s="129"/>
      <c r="K931" s="129"/>
      <c r="L931" s="129"/>
      <c r="M931" s="129"/>
      <c r="N931" s="129"/>
      <c r="O931" s="129"/>
      <c r="P931" s="129"/>
      <c r="Q931" s="129"/>
      <c r="R931" s="129"/>
      <c r="S931" s="129"/>
      <c r="T931" s="129"/>
      <c r="U931" s="129"/>
      <c r="V931" s="129"/>
    </row>
    <row r="932" spans="3:22" x14ac:dyDescent="0.3">
      <c r="C932" s="129"/>
      <c r="D932" s="129"/>
      <c r="E932" s="129"/>
      <c r="F932" s="129"/>
      <c r="G932" s="129"/>
      <c r="H932" s="129"/>
      <c r="I932" s="129"/>
      <c r="J932" s="129"/>
      <c r="K932" s="129"/>
      <c r="L932" s="129"/>
      <c r="M932" s="129"/>
      <c r="N932" s="129"/>
      <c r="O932" s="129"/>
      <c r="P932" s="129"/>
      <c r="Q932" s="129"/>
      <c r="R932" s="129"/>
      <c r="S932" s="129"/>
      <c r="T932" s="129"/>
      <c r="U932" s="129"/>
      <c r="V932" s="129"/>
    </row>
    <row r="933" spans="3:22" x14ac:dyDescent="0.3">
      <c r="C933" s="129"/>
      <c r="D933" s="129"/>
      <c r="E933" s="129"/>
      <c r="F933" s="129"/>
      <c r="G933" s="129"/>
      <c r="H933" s="129"/>
      <c r="I933" s="129"/>
      <c r="J933" s="129"/>
      <c r="K933" s="129"/>
      <c r="L933" s="129"/>
      <c r="M933" s="129"/>
      <c r="N933" s="129"/>
      <c r="O933" s="129"/>
      <c r="P933" s="129"/>
      <c r="Q933" s="129"/>
      <c r="R933" s="129"/>
      <c r="S933" s="129"/>
      <c r="T933" s="129"/>
      <c r="U933" s="129"/>
      <c r="V933" s="129"/>
    </row>
    <row r="934" spans="3:22" x14ac:dyDescent="0.3">
      <c r="C934" s="129"/>
      <c r="D934" s="129"/>
      <c r="E934" s="129"/>
      <c r="F934" s="129"/>
      <c r="G934" s="129"/>
      <c r="H934" s="129"/>
      <c r="I934" s="129"/>
      <c r="J934" s="129"/>
      <c r="K934" s="129"/>
      <c r="L934" s="129"/>
      <c r="M934" s="129"/>
      <c r="N934" s="129"/>
      <c r="O934" s="129"/>
      <c r="P934" s="129"/>
      <c r="Q934" s="129"/>
      <c r="R934" s="129"/>
      <c r="S934" s="129"/>
      <c r="T934" s="129"/>
      <c r="U934" s="129"/>
      <c r="V934" s="129"/>
    </row>
    <row r="935" spans="3:22" x14ac:dyDescent="0.3">
      <c r="C935" s="129"/>
      <c r="D935" s="129"/>
      <c r="E935" s="129"/>
      <c r="F935" s="129"/>
      <c r="G935" s="129"/>
      <c r="H935" s="129"/>
      <c r="I935" s="129"/>
      <c r="J935" s="129"/>
      <c r="K935" s="129"/>
      <c r="L935" s="129"/>
      <c r="M935" s="129"/>
      <c r="N935" s="129"/>
      <c r="O935" s="129"/>
      <c r="P935" s="129"/>
      <c r="Q935" s="129"/>
      <c r="R935" s="129"/>
      <c r="S935" s="129"/>
      <c r="T935" s="129"/>
      <c r="U935" s="129"/>
      <c r="V935" s="129"/>
    </row>
    <row r="936" spans="3:22" x14ac:dyDescent="0.3">
      <c r="C936" s="129"/>
      <c r="D936" s="129"/>
      <c r="E936" s="129"/>
      <c r="F936" s="129"/>
      <c r="G936" s="129"/>
      <c r="H936" s="129"/>
      <c r="I936" s="129"/>
      <c r="J936" s="129"/>
      <c r="K936" s="129"/>
      <c r="L936" s="129"/>
      <c r="M936" s="129"/>
      <c r="N936" s="129"/>
      <c r="O936" s="129"/>
      <c r="P936" s="129"/>
      <c r="Q936" s="129"/>
      <c r="R936" s="129"/>
      <c r="S936" s="129"/>
      <c r="T936" s="129"/>
      <c r="U936" s="129"/>
      <c r="V936" s="129"/>
    </row>
    <row r="937" spans="3:22" x14ac:dyDescent="0.3">
      <c r="C937" s="129"/>
      <c r="D937" s="129"/>
      <c r="E937" s="129"/>
      <c r="F937" s="129"/>
      <c r="G937" s="129"/>
      <c r="H937" s="129"/>
      <c r="I937" s="129"/>
      <c r="J937" s="129"/>
      <c r="K937" s="129"/>
      <c r="L937" s="129"/>
      <c r="M937" s="129"/>
      <c r="N937" s="129"/>
      <c r="O937" s="129"/>
      <c r="P937" s="129"/>
      <c r="Q937" s="129"/>
      <c r="R937" s="129"/>
      <c r="S937" s="129"/>
      <c r="T937" s="129"/>
      <c r="U937" s="129"/>
      <c r="V937" s="129"/>
    </row>
    <row r="938" spans="3:22" x14ac:dyDescent="0.3">
      <c r="C938" s="129"/>
      <c r="D938" s="129"/>
      <c r="E938" s="129"/>
      <c r="F938" s="129"/>
      <c r="G938" s="129"/>
      <c r="H938" s="129"/>
      <c r="I938" s="129"/>
      <c r="J938" s="129"/>
      <c r="K938" s="129"/>
      <c r="L938" s="129"/>
      <c r="M938" s="129"/>
      <c r="N938" s="129"/>
      <c r="O938" s="129"/>
      <c r="P938" s="129"/>
      <c r="Q938" s="129"/>
      <c r="R938" s="129"/>
      <c r="S938" s="129"/>
      <c r="T938" s="129"/>
      <c r="U938" s="129"/>
      <c r="V938" s="129"/>
    </row>
    <row r="939" spans="3:22" x14ac:dyDescent="0.3">
      <c r="C939" s="129"/>
      <c r="D939" s="129"/>
      <c r="E939" s="129"/>
      <c r="F939" s="129"/>
      <c r="G939" s="129"/>
      <c r="H939" s="129"/>
      <c r="I939" s="129"/>
      <c r="J939" s="129"/>
      <c r="K939" s="129"/>
      <c r="L939" s="129"/>
      <c r="M939" s="129"/>
      <c r="N939" s="129"/>
      <c r="O939" s="129"/>
      <c r="P939" s="129"/>
      <c r="Q939" s="129"/>
      <c r="R939" s="129"/>
      <c r="S939" s="129"/>
      <c r="T939" s="129"/>
      <c r="U939" s="129"/>
      <c r="V939" s="129"/>
    </row>
    <row r="940" spans="3:22" x14ac:dyDescent="0.3">
      <c r="C940" s="129"/>
      <c r="D940" s="129"/>
      <c r="E940" s="129"/>
      <c r="F940" s="129"/>
      <c r="G940" s="129"/>
      <c r="H940" s="129"/>
      <c r="I940" s="129"/>
      <c r="J940" s="129"/>
      <c r="K940" s="129"/>
      <c r="L940" s="129"/>
      <c r="M940" s="129"/>
      <c r="N940" s="129"/>
      <c r="O940" s="129"/>
      <c r="P940" s="129"/>
      <c r="Q940" s="129"/>
      <c r="R940" s="129"/>
      <c r="S940" s="129"/>
      <c r="T940" s="129"/>
      <c r="U940" s="129"/>
      <c r="V940" s="129"/>
    </row>
    <row r="941" spans="3:22" x14ac:dyDescent="0.3">
      <c r="C941" s="129"/>
      <c r="D941" s="129"/>
      <c r="E941" s="129"/>
      <c r="F941" s="129"/>
      <c r="G941" s="129"/>
      <c r="H941" s="129"/>
      <c r="I941" s="129"/>
      <c r="J941" s="129"/>
      <c r="K941" s="129"/>
      <c r="L941" s="129"/>
      <c r="M941" s="129"/>
      <c r="N941" s="129"/>
      <c r="O941" s="129"/>
      <c r="P941" s="129"/>
      <c r="Q941" s="129"/>
      <c r="R941" s="129"/>
      <c r="S941" s="129"/>
      <c r="T941" s="129"/>
      <c r="U941" s="129"/>
      <c r="V941" s="129"/>
    </row>
    <row r="942" spans="3:22" x14ac:dyDescent="0.3">
      <c r="C942" s="129"/>
      <c r="D942" s="129"/>
      <c r="E942" s="129"/>
      <c r="F942" s="129"/>
      <c r="G942" s="129"/>
      <c r="H942" s="129"/>
      <c r="I942" s="129"/>
      <c r="J942" s="129"/>
      <c r="K942" s="129"/>
      <c r="L942" s="129"/>
      <c r="M942" s="129"/>
      <c r="N942" s="129"/>
      <c r="O942" s="129"/>
      <c r="P942" s="129"/>
      <c r="Q942" s="129"/>
      <c r="R942" s="129"/>
      <c r="S942" s="129"/>
      <c r="T942" s="129"/>
      <c r="U942" s="129"/>
      <c r="V942" s="129"/>
    </row>
    <row r="943" spans="3:22" x14ac:dyDescent="0.3">
      <c r="C943" s="129"/>
      <c r="D943" s="129"/>
      <c r="E943" s="129"/>
      <c r="F943" s="129"/>
      <c r="G943" s="129"/>
      <c r="H943" s="129"/>
      <c r="I943" s="129"/>
      <c r="J943" s="129"/>
      <c r="K943" s="129"/>
      <c r="L943" s="129"/>
      <c r="M943" s="129"/>
      <c r="N943" s="129"/>
      <c r="O943" s="129"/>
      <c r="P943" s="129"/>
      <c r="Q943" s="129"/>
      <c r="R943" s="129"/>
      <c r="S943" s="129"/>
      <c r="T943" s="129"/>
      <c r="U943" s="129"/>
      <c r="V943" s="129"/>
    </row>
    <row r="944" spans="3:22" x14ac:dyDescent="0.3">
      <c r="C944" s="129"/>
      <c r="D944" s="129"/>
      <c r="E944" s="129"/>
      <c r="F944" s="129"/>
      <c r="G944" s="129"/>
      <c r="H944" s="129"/>
      <c r="I944" s="129"/>
      <c r="J944" s="129"/>
      <c r="K944" s="129"/>
      <c r="L944" s="129"/>
      <c r="M944" s="129"/>
      <c r="N944" s="129"/>
      <c r="O944" s="129"/>
      <c r="P944" s="129"/>
      <c r="Q944" s="129"/>
      <c r="R944" s="129"/>
      <c r="S944" s="129"/>
      <c r="T944" s="129"/>
      <c r="U944" s="129"/>
      <c r="V944" s="129"/>
    </row>
    <row r="945" spans="3:22" x14ac:dyDescent="0.3">
      <c r="C945" s="129"/>
      <c r="D945" s="129"/>
      <c r="E945" s="129"/>
      <c r="F945" s="129"/>
      <c r="G945" s="129"/>
      <c r="H945" s="129"/>
      <c r="I945" s="129"/>
      <c r="J945" s="129"/>
      <c r="K945" s="129"/>
      <c r="L945" s="129"/>
      <c r="M945" s="129"/>
      <c r="N945" s="129"/>
      <c r="O945" s="129"/>
      <c r="P945" s="129"/>
      <c r="Q945" s="129"/>
      <c r="R945" s="129"/>
      <c r="S945" s="129"/>
      <c r="T945" s="129"/>
      <c r="U945" s="129"/>
      <c r="V945" s="129"/>
    </row>
    <row r="946" spans="3:22" x14ac:dyDescent="0.3">
      <c r="C946" s="129"/>
      <c r="D946" s="129"/>
      <c r="E946" s="129"/>
      <c r="F946" s="129"/>
      <c r="G946" s="129"/>
      <c r="H946" s="129"/>
      <c r="I946" s="129"/>
      <c r="J946" s="129"/>
      <c r="K946" s="129"/>
      <c r="L946" s="129"/>
      <c r="M946" s="129"/>
      <c r="N946" s="129"/>
      <c r="O946" s="129"/>
      <c r="P946" s="129"/>
      <c r="Q946" s="129"/>
      <c r="R946" s="129"/>
      <c r="S946" s="129"/>
      <c r="T946" s="129"/>
      <c r="U946" s="129"/>
      <c r="V946" s="129"/>
    </row>
    <row r="947" spans="3:22" x14ac:dyDescent="0.3">
      <c r="C947" s="129"/>
      <c r="D947" s="129"/>
      <c r="E947" s="129"/>
      <c r="F947" s="129"/>
      <c r="G947" s="129"/>
      <c r="H947" s="129"/>
      <c r="I947" s="129"/>
      <c r="J947" s="129"/>
      <c r="K947" s="129"/>
      <c r="L947" s="129"/>
      <c r="M947" s="129"/>
      <c r="N947" s="129"/>
      <c r="O947" s="129"/>
      <c r="P947" s="129"/>
      <c r="Q947" s="129"/>
      <c r="R947" s="129"/>
      <c r="S947" s="129"/>
      <c r="T947" s="129"/>
      <c r="U947" s="129"/>
      <c r="V947" s="129"/>
    </row>
    <row r="948" spans="3:22" x14ac:dyDescent="0.3">
      <c r="C948" s="129"/>
      <c r="D948" s="129"/>
      <c r="E948" s="129"/>
      <c r="F948" s="129"/>
      <c r="G948" s="129"/>
      <c r="H948" s="129"/>
      <c r="I948" s="129"/>
      <c r="J948" s="129"/>
      <c r="K948" s="129"/>
      <c r="L948" s="129"/>
      <c r="M948" s="129"/>
      <c r="N948" s="129"/>
      <c r="O948" s="129"/>
      <c r="P948" s="129"/>
      <c r="Q948" s="129"/>
      <c r="R948" s="129"/>
      <c r="S948" s="129"/>
      <c r="T948" s="129"/>
      <c r="U948" s="129"/>
      <c r="V948" s="129"/>
    </row>
    <row r="949" spans="3:22" x14ac:dyDescent="0.3">
      <c r="C949" s="129"/>
      <c r="D949" s="129"/>
      <c r="E949" s="129"/>
      <c r="F949" s="129"/>
      <c r="G949" s="129"/>
      <c r="H949" s="129"/>
      <c r="I949" s="129"/>
      <c r="J949" s="129"/>
      <c r="K949" s="129"/>
      <c r="L949" s="129"/>
      <c r="M949" s="129"/>
      <c r="N949" s="129"/>
      <c r="O949" s="129"/>
      <c r="P949" s="129"/>
      <c r="Q949" s="129"/>
      <c r="R949" s="129"/>
      <c r="S949" s="129"/>
      <c r="T949" s="129"/>
      <c r="U949" s="129"/>
      <c r="V949" s="129"/>
    </row>
    <row r="950" spans="3:22" x14ac:dyDescent="0.3">
      <c r="C950" s="129"/>
      <c r="D950" s="129"/>
      <c r="E950" s="129"/>
      <c r="F950" s="129"/>
      <c r="G950" s="129"/>
      <c r="H950" s="129"/>
      <c r="I950" s="129"/>
      <c r="J950" s="129"/>
      <c r="K950" s="129"/>
      <c r="L950" s="129"/>
      <c r="M950" s="129"/>
      <c r="N950" s="129"/>
      <c r="O950" s="129"/>
      <c r="P950" s="129"/>
      <c r="Q950" s="129"/>
      <c r="R950" s="129"/>
      <c r="S950" s="129"/>
      <c r="T950" s="129"/>
      <c r="U950" s="129"/>
      <c r="V950" s="129"/>
    </row>
    <row r="951" spans="3:22" x14ac:dyDescent="0.3">
      <c r="C951" s="129"/>
      <c r="D951" s="129"/>
      <c r="E951" s="129"/>
      <c r="F951" s="129"/>
      <c r="G951" s="129"/>
      <c r="H951" s="129"/>
      <c r="I951" s="129"/>
      <c r="J951" s="129"/>
      <c r="K951" s="129"/>
      <c r="L951" s="129"/>
      <c r="M951" s="129"/>
      <c r="N951" s="129"/>
      <c r="O951" s="129"/>
      <c r="P951" s="129"/>
      <c r="Q951" s="129"/>
      <c r="R951" s="129"/>
      <c r="S951" s="129"/>
      <c r="T951" s="129"/>
      <c r="U951" s="129"/>
      <c r="V951" s="129"/>
    </row>
    <row r="952" spans="3:22" x14ac:dyDescent="0.3">
      <c r="C952" s="129"/>
      <c r="D952" s="129"/>
      <c r="E952" s="129"/>
      <c r="F952" s="129"/>
      <c r="G952" s="129"/>
      <c r="H952" s="129"/>
      <c r="I952" s="129"/>
      <c r="J952" s="129"/>
      <c r="K952" s="129"/>
      <c r="L952" s="129"/>
      <c r="M952" s="129"/>
      <c r="N952" s="129"/>
      <c r="O952" s="129"/>
      <c r="P952" s="129"/>
      <c r="Q952" s="129"/>
      <c r="R952" s="129"/>
      <c r="S952" s="129"/>
      <c r="T952" s="129"/>
      <c r="U952" s="129"/>
      <c r="V952" s="129"/>
    </row>
    <row r="953" spans="3:22" x14ac:dyDescent="0.3">
      <c r="C953" s="129"/>
      <c r="D953" s="129"/>
      <c r="E953" s="129"/>
      <c r="F953" s="129"/>
      <c r="G953" s="129"/>
      <c r="H953" s="129"/>
      <c r="I953" s="129"/>
      <c r="J953" s="129"/>
      <c r="K953" s="129"/>
      <c r="L953" s="129"/>
      <c r="M953" s="129"/>
      <c r="N953" s="129"/>
      <c r="O953" s="129"/>
      <c r="P953" s="129"/>
      <c r="Q953" s="129"/>
      <c r="R953" s="129"/>
      <c r="S953" s="129"/>
      <c r="T953" s="129"/>
      <c r="U953" s="129"/>
      <c r="V953" s="129"/>
    </row>
    <row r="954" spans="3:22" x14ac:dyDescent="0.3">
      <c r="C954" s="129"/>
      <c r="D954" s="129"/>
      <c r="E954" s="129"/>
      <c r="F954" s="129"/>
      <c r="G954" s="129"/>
      <c r="H954" s="129"/>
      <c r="I954" s="129"/>
      <c r="J954" s="129"/>
      <c r="K954" s="129"/>
      <c r="L954" s="129"/>
      <c r="M954" s="129"/>
      <c r="N954" s="129"/>
      <c r="O954" s="129"/>
      <c r="P954" s="129"/>
      <c r="Q954" s="129"/>
      <c r="R954" s="129"/>
      <c r="S954" s="129"/>
      <c r="T954" s="129"/>
      <c r="U954" s="129"/>
      <c r="V954" s="129"/>
    </row>
    <row r="955" spans="3:22" x14ac:dyDescent="0.3">
      <c r="C955" s="129"/>
      <c r="D955" s="129"/>
      <c r="E955" s="129"/>
      <c r="F955" s="129"/>
      <c r="G955" s="129"/>
      <c r="H955" s="129"/>
      <c r="I955" s="129"/>
      <c r="J955" s="129"/>
      <c r="K955" s="129"/>
      <c r="L955" s="129"/>
      <c r="M955" s="129"/>
      <c r="N955" s="129"/>
      <c r="O955" s="129"/>
      <c r="P955" s="129"/>
      <c r="Q955" s="129"/>
      <c r="R955" s="129"/>
      <c r="S955" s="129"/>
      <c r="T955" s="129"/>
      <c r="U955" s="129"/>
      <c r="V955" s="129"/>
    </row>
    <row r="956" spans="3:22" x14ac:dyDescent="0.3">
      <c r="C956" s="129"/>
      <c r="D956" s="129"/>
      <c r="E956" s="129"/>
      <c r="F956" s="129"/>
      <c r="G956" s="129"/>
      <c r="H956" s="129"/>
      <c r="I956" s="129"/>
      <c r="J956" s="129"/>
      <c r="K956" s="129"/>
      <c r="L956" s="129"/>
      <c r="M956" s="129"/>
      <c r="N956" s="129"/>
      <c r="O956" s="129"/>
      <c r="P956" s="129"/>
      <c r="Q956" s="129"/>
      <c r="R956" s="129"/>
      <c r="S956" s="129"/>
      <c r="T956" s="129"/>
      <c r="U956" s="129"/>
      <c r="V956" s="129"/>
    </row>
    <row r="957" spans="3:22" x14ac:dyDescent="0.3">
      <c r="C957" s="129"/>
      <c r="D957" s="129"/>
      <c r="E957" s="129"/>
      <c r="F957" s="129"/>
      <c r="G957" s="129"/>
      <c r="H957" s="129"/>
      <c r="I957" s="129"/>
      <c r="J957" s="129"/>
      <c r="K957" s="129"/>
      <c r="L957" s="129"/>
      <c r="M957" s="129"/>
      <c r="N957" s="129"/>
      <c r="O957" s="129"/>
      <c r="P957" s="129"/>
      <c r="Q957" s="129"/>
      <c r="R957" s="129"/>
      <c r="S957" s="129"/>
      <c r="T957" s="129"/>
      <c r="U957" s="129"/>
      <c r="V957" s="129"/>
    </row>
    <row r="958" spans="3:22" x14ac:dyDescent="0.3">
      <c r="C958" s="129"/>
      <c r="D958" s="129"/>
      <c r="E958" s="129"/>
      <c r="F958" s="129"/>
      <c r="G958" s="129"/>
      <c r="H958" s="129"/>
      <c r="I958" s="129"/>
      <c r="J958" s="129"/>
      <c r="K958" s="129"/>
      <c r="L958" s="129"/>
      <c r="M958" s="129"/>
      <c r="N958" s="129"/>
      <c r="O958" s="129"/>
      <c r="P958" s="129"/>
      <c r="Q958" s="129"/>
      <c r="R958" s="129"/>
      <c r="S958" s="129"/>
      <c r="T958" s="129"/>
      <c r="U958" s="129"/>
      <c r="V958" s="129"/>
    </row>
    <row r="959" spans="3:22" x14ac:dyDescent="0.3">
      <c r="C959" s="129"/>
      <c r="D959" s="129"/>
      <c r="E959" s="129"/>
      <c r="F959" s="129"/>
      <c r="G959" s="129"/>
      <c r="H959" s="129"/>
      <c r="I959" s="129"/>
      <c r="J959" s="129"/>
      <c r="K959" s="129"/>
      <c r="L959" s="129"/>
      <c r="M959" s="129"/>
      <c r="N959" s="129"/>
      <c r="O959" s="129"/>
      <c r="P959" s="129"/>
      <c r="Q959" s="129"/>
      <c r="R959" s="129"/>
      <c r="S959" s="129"/>
      <c r="T959" s="129"/>
      <c r="U959" s="129"/>
      <c r="V959" s="129"/>
    </row>
    <row r="960" spans="3:22" x14ac:dyDescent="0.3">
      <c r="C960" s="129"/>
      <c r="D960" s="129"/>
      <c r="E960" s="129"/>
      <c r="F960" s="129"/>
      <c r="G960" s="129"/>
      <c r="H960" s="129"/>
      <c r="I960" s="129"/>
      <c r="J960" s="129"/>
      <c r="K960" s="129"/>
      <c r="L960" s="129"/>
      <c r="M960" s="129"/>
      <c r="N960" s="129"/>
      <c r="O960" s="129"/>
      <c r="P960" s="129"/>
      <c r="Q960" s="129"/>
      <c r="R960" s="129"/>
      <c r="S960" s="129"/>
      <c r="T960" s="129"/>
      <c r="U960" s="129"/>
      <c r="V960" s="129"/>
    </row>
    <row r="961" spans="3:22" x14ac:dyDescent="0.3">
      <c r="C961" s="129"/>
      <c r="D961" s="129"/>
      <c r="E961" s="129"/>
      <c r="F961" s="129"/>
      <c r="G961" s="129"/>
      <c r="H961" s="129"/>
      <c r="I961" s="129"/>
      <c r="J961" s="129"/>
      <c r="K961" s="129"/>
      <c r="L961" s="129"/>
      <c r="M961" s="129"/>
      <c r="N961" s="129"/>
      <c r="O961" s="129"/>
      <c r="P961" s="129"/>
      <c r="Q961" s="129"/>
      <c r="R961" s="129"/>
      <c r="S961" s="129"/>
      <c r="T961" s="129"/>
      <c r="U961" s="129"/>
      <c r="V961" s="129"/>
    </row>
    <row r="962" spans="3:22" x14ac:dyDescent="0.3">
      <c r="C962" s="129"/>
      <c r="D962" s="129"/>
      <c r="E962" s="129"/>
      <c r="F962" s="129"/>
      <c r="G962" s="129"/>
      <c r="H962" s="129"/>
      <c r="I962" s="129"/>
      <c r="J962" s="129"/>
      <c r="K962" s="129"/>
      <c r="L962" s="129"/>
      <c r="M962" s="129"/>
      <c r="N962" s="129"/>
      <c r="O962" s="129"/>
      <c r="P962" s="129"/>
      <c r="Q962" s="129"/>
      <c r="R962" s="129"/>
      <c r="S962" s="129"/>
      <c r="T962" s="129"/>
      <c r="U962" s="129"/>
      <c r="V962" s="129"/>
    </row>
    <row r="963" spans="3:22" x14ac:dyDescent="0.3">
      <c r="C963" s="129"/>
      <c r="D963" s="129"/>
      <c r="E963" s="129"/>
      <c r="F963" s="129"/>
      <c r="G963" s="129"/>
      <c r="H963" s="129"/>
      <c r="I963" s="129"/>
      <c r="J963" s="129"/>
      <c r="K963" s="129"/>
      <c r="L963" s="129"/>
      <c r="M963" s="129"/>
      <c r="N963" s="129"/>
      <c r="O963" s="129"/>
      <c r="P963" s="129"/>
      <c r="Q963" s="129"/>
      <c r="R963" s="129"/>
      <c r="S963" s="129"/>
      <c r="T963" s="129"/>
      <c r="U963" s="129"/>
      <c r="V963" s="129"/>
    </row>
    <row r="964" spans="3:22" x14ac:dyDescent="0.3">
      <c r="C964" s="129"/>
      <c r="D964" s="129"/>
      <c r="E964" s="129"/>
      <c r="F964" s="129"/>
      <c r="G964" s="129"/>
      <c r="H964" s="129"/>
      <c r="I964" s="129"/>
      <c r="J964" s="129"/>
      <c r="K964" s="129"/>
      <c r="L964" s="129"/>
      <c r="M964" s="129"/>
      <c r="N964" s="129"/>
      <c r="O964" s="129"/>
      <c r="P964" s="129"/>
      <c r="Q964" s="129"/>
      <c r="R964" s="129"/>
      <c r="S964" s="129"/>
      <c r="T964" s="129"/>
      <c r="U964" s="129"/>
      <c r="V964" s="129"/>
    </row>
    <row r="965" spans="3:22" x14ac:dyDescent="0.3">
      <c r="C965" s="129"/>
      <c r="D965" s="129"/>
      <c r="E965" s="129"/>
      <c r="F965" s="129"/>
      <c r="G965" s="129"/>
      <c r="H965" s="129"/>
      <c r="I965" s="129"/>
      <c r="J965" s="129"/>
      <c r="K965" s="129"/>
      <c r="L965" s="129"/>
      <c r="M965" s="129"/>
      <c r="N965" s="129"/>
      <c r="O965" s="129"/>
      <c r="P965" s="129"/>
      <c r="Q965" s="129"/>
      <c r="R965" s="129"/>
      <c r="S965" s="129"/>
      <c r="T965" s="129"/>
      <c r="U965" s="129"/>
      <c r="V965" s="129"/>
    </row>
    <row r="966" spans="3:22" x14ac:dyDescent="0.3">
      <c r="C966" s="129"/>
      <c r="D966" s="129"/>
      <c r="E966" s="129"/>
      <c r="F966" s="129"/>
      <c r="G966" s="129"/>
      <c r="H966" s="129"/>
      <c r="I966" s="129"/>
      <c r="J966" s="129"/>
      <c r="K966" s="129"/>
      <c r="L966" s="129"/>
      <c r="M966" s="129"/>
      <c r="N966" s="129"/>
      <c r="O966" s="129"/>
      <c r="P966" s="129"/>
      <c r="Q966" s="129"/>
      <c r="R966" s="129"/>
      <c r="S966" s="129"/>
      <c r="T966" s="129"/>
      <c r="U966" s="129"/>
      <c r="V966" s="129"/>
    </row>
    <row r="967" spans="3:22" x14ac:dyDescent="0.3">
      <c r="C967" s="129"/>
      <c r="D967" s="129"/>
      <c r="E967" s="129"/>
      <c r="F967" s="129"/>
      <c r="G967" s="129"/>
      <c r="H967" s="129"/>
      <c r="I967" s="129"/>
      <c r="J967" s="129"/>
      <c r="K967" s="129"/>
      <c r="L967" s="129"/>
      <c r="M967" s="129"/>
      <c r="N967" s="129"/>
      <c r="O967" s="129"/>
      <c r="P967" s="129"/>
      <c r="Q967" s="129"/>
      <c r="R967" s="129"/>
      <c r="S967" s="129"/>
      <c r="T967" s="129"/>
      <c r="U967" s="129"/>
      <c r="V967" s="129"/>
    </row>
    <row r="968" spans="3:22" x14ac:dyDescent="0.3">
      <c r="C968" s="129"/>
      <c r="D968" s="129"/>
      <c r="E968" s="129"/>
      <c r="F968" s="129"/>
      <c r="G968" s="129"/>
      <c r="H968" s="129"/>
      <c r="I968" s="129"/>
      <c r="J968" s="129"/>
      <c r="K968" s="129"/>
      <c r="L968" s="129"/>
      <c r="M968" s="129"/>
      <c r="N968" s="129"/>
      <c r="O968" s="129"/>
      <c r="P968" s="129"/>
      <c r="Q968" s="129"/>
      <c r="R968" s="129"/>
      <c r="S968" s="129"/>
      <c r="T968" s="129"/>
      <c r="U968" s="129"/>
      <c r="V968" s="129"/>
    </row>
    <row r="969" spans="3:22" x14ac:dyDescent="0.3">
      <c r="C969" s="129"/>
      <c r="D969" s="129"/>
      <c r="E969" s="129"/>
      <c r="F969" s="129"/>
      <c r="G969" s="129"/>
      <c r="H969" s="129"/>
      <c r="I969" s="129"/>
      <c r="J969" s="129"/>
      <c r="K969" s="129"/>
      <c r="L969" s="129"/>
      <c r="M969" s="129"/>
      <c r="N969" s="129"/>
      <c r="O969" s="129"/>
      <c r="P969" s="129"/>
      <c r="Q969" s="129"/>
      <c r="R969" s="129"/>
      <c r="S969" s="129"/>
      <c r="T969" s="129"/>
      <c r="U969" s="129"/>
      <c r="V969" s="129"/>
    </row>
    <row r="970" spans="3:22" x14ac:dyDescent="0.3">
      <c r="C970" s="129"/>
      <c r="D970" s="129"/>
      <c r="E970" s="129"/>
      <c r="F970" s="129"/>
      <c r="G970" s="129"/>
      <c r="H970" s="129"/>
      <c r="I970" s="129"/>
      <c r="J970" s="129"/>
      <c r="K970" s="129"/>
      <c r="L970" s="129"/>
      <c r="M970" s="129"/>
      <c r="N970" s="129"/>
      <c r="O970" s="129"/>
      <c r="P970" s="129"/>
      <c r="Q970" s="129"/>
      <c r="R970" s="129"/>
      <c r="S970" s="129"/>
      <c r="T970" s="129"/>
      <c r="U970" s="129"/>
      <c r="V970" s="129"/>
    </row>
    <row r="971" spans="3:22" x14ac:dyDescent="0.3">
      <c r="C971" s="129"/>
      <c r="D971" s="129"/>
      <c r="E971" s="129"/>
      <c r="F971" s="129"/>
      <c r="G971" s="129"/>
      <c r="H971" s="129"/>
      <c r="I971" s="129"/>
      <c r="J971" s="129"/>
      <c r="K971" s="129"/>
      <c r="L971" s="129"/>
      <c r="M971" s="129"/>
      <c r="N971" s="129"/>
      <c r="O971" s="129"/>
      <c r="P971" s="129"/>
      <c r="Q971" s="129"/>
      <c r="R971" s="129"/>
      <c r="S971" s="129"/>
      <c r="T971" s="129"/>
      <c r="U971" s="129"/>
      <c r="V971" s="129"/>
    </row>
    <row r="972" spans="3:22" x14ac:dyDescent="0.3">
      <c r="C972" s="129"/>
      <c r="D972" s="129"/>
      <c r="E972" s="129"/>
      <c r="F972" s="129"/>
      <c r="G972" s="129"/>
      <c r="H972" s="129"/>
      <c r="I972" s="129"/>
      <c r="J972" s="129"/>
      <c r="K972" s="129"/>
      <c r="L972" s="129"/>
      <c r="M972" s="129"/>
      <c r="N972" s="129"/>
      <c r="O972" s="129"/>
      <c r="P972" s="129"/>
      <c r="Q972" s="129"/>
      <c r="R972" s="129"/>
      <c r="S972" s="129"/>
      <c r="T972" s="129"/>
      <c r="U972" s="129"/>
      <c r="V972" s="129"/>
    </row>
    <row r="973" spans="3:22" x14ac:dyDescent="0.3">
      <c r="C973" s="129"/>
      <c r="D973" s="129"/>
      <c r="E973" s="129"/>
      <c r="F973" s="129"/>
      <c r="G973" s="129"/>
      <c r="H973" s="129"/>
      <c r="I973" s="129"/>
      <c r="J973" s="129"/>
      <c r="K973" s="129"/>
      <c r="L973" s="129"/>
      <c r="M973" s="129"/>
      <c r="N973" s="129"/>
      <c r="O973" s="129"/>
      <c r="P973" s="129"/>
      <c r="Q973" s="129"/>
      <c r="R973" s="129"/>
      <c r="S973" s="129"/>
      <c r="T973" s="129"/>
      <c r="U973" s="129"/>
      <c r="V973" s="129"/>
    </row>
    <row r="974" spans="3:22" x14ac:dyDescent="0.3">
      <c r="C974" s="129"/>
      <c r="D974" s="129"/>
      <c r="E974" s="129"/>
      <c r="F974" s="129"/>
      <c r="G974" s="129"/>
      <c r="H974" s="129"/>
      <c r="I974" s="129"/>
      <c r="J974" s="129"/>
      <c r="K974" s="129"/>
      <c r="L974" s="129"/>
      <c r="M974" s="129"/>
      <c r="N974" s="129"/>
      <c r="O974" s="129"/>
      <c r="P974" s="129"/>
      <c r="Q974" s="129"/>
      <c r="R974" s="129"/>
      <c r="S974" s="129"/>
      <c r="T974" s="129"/>
      <c r="U974" s="129"/>
      <c r="V974" s="129"/>
    </row>
    <row r="975" spans="3:22" x14ac:dyDescent="0.3">
      <c r="C975" s="129"/>
      <c r="D975" s="129"/>
      <c r="E975" s="129"/>
      <c r="F975" s="129"/>
      <c r="G975" s="129"/>
      <c r="H975" s="129"/>
      <c r="I975" s="129"/>
      <c r="J975" s="129"/>
      <c r="K975" s="129"/>
      <c r="L975" s="129"/>
      <c r="M975" s="129"/>
      <c r="N975" s="129"/>
      <c r="O975" s="129"/>
      <c r="P975" s="129"/>
      <c r="Q975" s="129"/>
      <c r="R975" s="129"/>
      <c r="S975" s="129"/>
      <c r="T975" s="129"/>
      <c r="U975" s="129"/>
      <c r="V975" s="129"/>
    </row>
    <row r="976" spans="3:22" x14ac:dyDescent="0.3">
      <c r="C976" s="129"/>
      <c r="D976" s="129"/>
      <c r="E976" s="129"/>
      <c r="F976" s="129"/>
      <c r="G976" s="129"/>
      <c r="H976" s="129"/>
      <c r="I976" s="129"/>
      <c r="J976" s="129"/>
      <c r="K976" s="129"/>
      <c r="L976" s="129"/>
      <c r="M976" s="129"/>
      <c r="N976" s="129"/>
      <c r="O976" s="129"/>
      <c r="P976" s="129"/>
      <c r="Q976" s="129"/>
      <c r="R976" s="129"/>
      <c r="S976" s="129"/>
      <c r="T976" s="129"/>
      <c r="U976" s="129"/>
      <c r="V976" s="129"/>
    </row>
    <row r="977" spans="3:22" x14ac:dyDescent="0.3">
      <c r="C977" s="129"/>
      <c r="D977" s="129"/>
      <c r="E977" s="129"/>
      <c r="F977" s="129"/>
      <c r="G977" s="129"/>
      <c r="H977" s="129"/>
      <c r="I977" s="129"/>
      <c r="J977" s="129"/>
      <c r="K977" s="129"/>
      <c r="L977" s="129"/>
      <c r="M977" s="129"/>
      <c r="N977" s="129"/>
      <c r="O977" s="129"/>
      <c r="P977" s="129"/>
      <c r="Q977" s="129"/>
      <c r="R977" s="129"/>
      <c r="S977" s="129"/>
      <c r="T977" s="129"/>
      <c r="U977" s="129"/>
      <c r="V977" s="129"/>
    </row>
    <row r="978" spans="3:22" x14ac:dyDescent="0.3">
      <c r="C978" s="129"/>
      <c r="D978" s="129"/>
      <c r="E978" s="129"/>
      <c r="F978" s="129"/>
      <c r="G978" s="129"/>
      <c r="H978" s="129"/>
      <c r="I978" s="129"/>
      <c r="J978" s="129"/>
      <c r="K978" s="129"/>
      <c r="L978" s="129"/>
      <c r="M978" s="129"/>
      <c r="N978" s="129"/>
      <c r="O978" s="129"/>
      <c r="P978" s="129"/>
      <c r="Q978" s="129"/>
      <c r="R978" s="129"/>
      <c r="S978" s="129"/>
      <c r="T978" s="129"/>
      <c r="U978" s="129"/>
      <c r="V978" s="129"/>
    </row>
    <row r="979" spans="3:22" x14ac:dyDescent="0.3">
      <c r="C979" s="129"/>
      <c r="D979" s="129"/>
      <c r="E979" s="129"/>
      <c r="F979" s="129"/>
      <c r="G979" s="129"/>
      <c r="H979" s="129"/>
      <c r="I979" s="129"/>
      <c r="J979" s="129"/>
      <c r="K979" s="129"/>
      <c r="L979" s="129"/>
      <c r="M979" s="129"/>
      <c r="N979" s="129"/>
      <c r="O979" s="129"/>
      <c r="P979" s="129"/>
      <c r="Q979" s="129"/>
      <c r="R979" s="129"/>
      <c r="S979" s="129"/>
      <c r="T979" s="129"/>
      <c r="U979" s="129"/>
      <c r="V979" s="129"/>
    </row>
    <row r="980" spans="3:22" x14ac:dyDescent="0.3">
      <c r="C980" s="129"/>
      <c r="D980" s="129"/>
      <c r="E980" s="129"/>
      <c r="F980" s="129"/>
      <c r="G980" s="129"/>
      <c r="H980" s="129"/>
      <c r="I980" s="129"/>
      <c r="J980" s="129"/>
      <c r="K980" s="129"/>
      <c r="L980" s="129"/>
      <c r="M980" s="129"/>
      <c r="N980" s="129"/>
      <c r="O980" s="129"/>
      <c r="P980" s="129"/>
      <c r="Q980" s="129"/>
      <c r="R980" s="129"/>
      <c r="S980" s="129"/>
      <c r="T980" s="129"/>
      <c r="U980" s="129"/>
      <c r="V980" s="129"/>
    </row>
    <row r="981" spans="3:22" x14ac:dyDescent="0.3">
      <c r="C981" s="129"/>
      <c r="D981" s="129"/>
      <c r="E981" s="129"/>
      <c r="F981" s="129"/>
      <c r="G981" s="129"/>
      <c r="H981" s="129"/>
      <c r="I981" s="129"/>
      <c r="J981" s="129"/>
      <c r="K981" s="129"/>
      <c r="L981" s="129"/>
      <c r="M981" s="129"/>
      <c r="N981" s="129"/>
      <c r="O981" s="129"/>
      <c r="P981" s="129"/>
      <c r="Q981" s="129"/>
      <c r="R981" s="129"/>
      <c r="S981" s="129"/>
      <c r="T981" s="129"/>
      <c r="U981" s="129"/>
      <c r="V981" s="129"/>
    </row>
    <row r="982" spans="3:22" x14ac:dyDescent="0.3">
      <c r="C982" s="129"/>
      <c r="D982" s="129"/>
      <c r="E982" s="129"/>
      <c r="F982" s="129"/>
      <c r="G982" s="129"/>
      <c r="H982" s="129"/>
      <c r="I982" s="129"/>
      <c r="J982" s="129"/>
      <c r="K982" s="129"/>
      <c r="L982" s="129"/>
      <c r="M982" s="129"/>
      <c r="N982" s="129"/>
      <c r="O982" s="129"/>
      <c r="P982" s="129"/>
      <c r="Q982" s="129"/>
      <c r="R982" s="129"/>
      <c r="S982" s="129"/>
      <c r="T982" s="129"/>
      <c r="U982" s="129"/>
      <c r="V982" s="129"/>
    </row>
    <row r="983" spans="3:22" x14ac:dyDescent="0.3">
      <c r="C983" s="129"/>
      <c r="D983" s="129"/>
      <c r="E983" s="129"/>
      <c r="F983" s="129"/>
      <c r="G983" s="129"/>
      <c r="H983" s="129"/>
      <c r="I983" s="129"/>
      <c r="J983" s="129"/>
      <c r="K983" s="129"/>
      <c r="L983" s="129"/>
      <c r="M983" s="129"/>
      <c r="N983" s="129"/>
      <c r="O983" s="129"/>
      <c r="P983" s="129"/>
      <c r="Q983" s="129"/>
      <c r="R983" s="129"/>
      <c r="S983" s="129"/>
      <c r="T983" s="129"/>
      <c r="U983" s="129"/>
      <c r="V983" s="129"/>
    </row>
    <row r="984" spans="3:22" x14ac:dyDescent="0.3">
      <c r="C984" s="129"/>
      <c r="D984" s="129"/>
      <c r="E984" s="129"/>
      <c r="F984" s="129"/>
      <c r="G984" s="129"/>
      <c r="H984" s="129"/>
      <c r="I984" s="129"/>
      <c r="J984" s="129"/>
      <c r="K984" s="129"/>
      <c r="L984" s="129"/>
      <c r="M984" s="129"/>
      <c r="N984" s="129"/>
      <c r="O984" s="129"/>
      <c r="P984" s="129"/>
      <c r="Q984" s="129"/>
      <c r="R984" s="129"/>
      <c r="S984" s="129"/>
      <c r="T984" s="129"/>
      <c r="U984" s="129"/>
      <c r="V984" s="129"/>
    </row>
    <row r="985" spans="3:22" x14ac:dyDescent="0.3">
      <c r="C985" s="129"/>
      <c r="D985" s="129"/>
      <c r="E985" s="129"/>
      <c r="F985" s="129"/>
      <c r="G985" s="129"/>
      <c r="H985" s="129"/>
      <c r="I985" s="129"/>
      <c r="J985" s="129"/>
      <c r="K985" s="129"/>
      <c r="L985" s="129"/>
      <c r="M985" s="129"/>
      <c r="N985" s="129"/>
      <c r="O985" s="129"/>
      <c r="P985" s="129"/>
      <c r="Q985" s="129"/>
      <c r="R985" s="129"/>
      <c r="S985" s="129"/>
      <c r="T985" s="129"/>
      <c r="U985" s="129"/>
      <c r="V985" s="129"/>
    </row>
    <row r="986" spans="3:22" x14ac:dyDescent="0.3">
      <c r="C986" s="129"/>
      <c r="D986" s="129"/>
      <c r="E986" s="129"/>
      <c r="F986" s="129"/>
      <c r="G986" s="129"/>
      <c r="H986" s="129"/>
      <c r="I986" s="129"/>
      <c r="J986" s="129"/>
      <c r="K986" s="129"/>
      <c r="L986" s="129"/>
      <c r="M986" s="129"/>
      <c r="N986" s="129"/>
      <c r="O986" s="129"/>
      <c r="P986" s="129"/>
      <c r="Q986" s="129"/>
      <c r="R986" s="129"/>
      <c r="S986" s="129"/>
      <c r="T986" s="129"/>
      <c r="U986" s="129"/>
      <c r="V986" s="129"/>
    </row>
    <row r="987" spans="3:22" x14ac:dyDescent="0.3">
      <c r="C987" s="129"/>
      <c r="D987" s="129"/>
      <c r="E987" s="129"/>
      <c r="F987" s="129"/>
      <c r="G987" s="129"/>
      <c r="H987" s="129"/>
      <c r="I987" s="129"/>
      <c r="J987" s="129"/>
      <c r="K987" s="129"/>
      <c r="L987" s="129"/>
      <c r="M987" s="129"/>
      <c r="N987" s="129"/>
      <c r="O987" s="129"/>
      <c r="P987" s="129"/>
      <c r="Q987" s="129"/>
      <c r="R987" s="129"/>
      <c r="S987" s="129"/>
      <c r="T987" s="129"/>
      <c r="U987" s="129"/>
      <c r="V987" s="129"/>
    </row>
    <row r="988" spans="3:22" x14ac:dyDescent="0.3">
      <c r="C988" s="129"/>
      <c r="D988" s="129"/>
      <c r="E988" s="129"/>
      <c r="F988" s="129"/>
      <c r="G988" s="129"/>
      <c r="H988" s="129"/>
      <c r="I988" s="129"/>
      <c r="J988" s="129"/>
      <c r="K988" s="129"/>
      <c r="L988" s="129"/>
      <c r="M988" s="129"/>
      <c r="N988" s="129"/>
      <c r="O988" s="129"/>
      <c r="P988" s="129"/>
      <c r="Q988" s="129"/>
      <c r="R988" s="129"/>
      <c r="S988" s="129"/>
      <c r="T988" s="129"/>
      <c r="U988" s="129"/>
      <c r="V988" s="129"/>
    </row>
    <row r="989" spans="3:22" x14ac:dyDescent="0.3">
      <c r="C989" s="129"/>
      <c r="D989" s="129"/>
      <c r="E989" s="129"/>
      <c r="F989" s="129"/>
      <c r="G989" s="129"/>
      <c r="H989" s="129"/>
      <c r="I989" s="129"/>
      <c r="J989" s="129"/>
      <c r="K989" s="129"/>
      <c r="L989" s="129"/>
      <c r="M989" s="129"/>
      <c r="N989" s="129"/>
      <c r="O989" s="129"/>
      <c r="P989" s="129"/>
      <c r="Q989" s="129"/>
      <c r="R989" s="129"/>
      <c r="S989" s="129"/>
      <c r="T989" s="129"/>
      <c r="U989" s="129"/>
      <c r="V989" s="129"/>
    </row>
    <row r="990" spans="3:22" x14ac:dyDescent="0.3">
      <c r="C990" s="129"/>
      <c r="D990" s="129"/>
      <c r="E990" s="129"/>
      <c r="F990" s="129"/>
      <c r="G990" s="129"/>
      <c r="H990" s="129"/>
      <c r="I990" s="129"/>
      <c r="J990" s="129"/>
      <c r="K990" s="129"/>
      <c r="L990" s="129"/>
      <c r="M990" s="129"/>
      <c r="N990" s="129"/>
      <c r="O990" s="129"/>
      <c r="P990" s="129"/>
      <c r="Q990" s="129"/>
      <c r="R990" s="129"/>
      <c r="S990" s="129"/>
      <c r="T990" s="129"/>
      <c r="U990" s="129"/>
      <c r="V990" s="129"/>
    </row>
    <row r="991" spans="3:22" x14ac:dyDescent="0.3">
      <c r="C991" s="129"/>
      <c r="D991" s="129"/>
      <c r="E991" s="129"/>
      <c r="F991" s="129"/>
      <c r="G991" s="129"/>
      <c r="H991" s="129"/>
      <c r="I991" s="129"/>
      <c r="J991" s="129"/>
      <c r="K991" s="129"/>
      <c r="L991" s="129"/>
      <c r="M991" s="129"/>
      <c r="N991" s="129"/>
      <c r="O991" s="129"/>
      <c r="P991" s="129"/>
      <c r="Q991" s="129"/>
      <c r="R991" s="129"/>
      <c r="S991" s="129"/>
      <c r="T991" s="129"/>
      <c r="U991" s="129"/>
      <c r="V991" s="129"/>
    </row>
    <row r="992" spans="3:22" x14ac:dyDescent="0.3">
      <c r="C992" s="129"/>
      <c r="D992" s="129"/>
      <c r="E992" s="129"/>
      <c r="F992" s="129"/>
      <c r="G992" s="129"/>
      <c r="H992" s="129"/>
      <c r="I992" s="129"/>
      <c r="J992" s="129"/>
      <c r="K992" s="129"/>
      <c r="L992" s="129"/>
      <c r="M992" s="129"/>
      <c r="N992" s="129"/>
      <c r="O992" s="129"/>
      <c r="P992" s="129"/>
      <c r="Q992" s="129"/>
      <c r="R992" s="129"/>
      <c r="S992" s="129"/>
      <c r="T992" s="129"/>
      <c r="U992" s="129"/>
      <c r="V992" s="129"/>
    </row>
    <row r="993" spans="3:22" x14ac:dyDescent="0.3">
      <c r="C993" s="129"/>
      <c r="D993" s="129"/>
      <c r="E993" s="129"/>
      <c r="F993" s="129"/>
      <c r="G993" s="129"/>
      <c r="H993" s="129"/>
      <c r="I993" s="129"/>
      <c r="J993" s="129"/>
      <c r="K993" s="129"/>
      <c r="L993" s="129"/>
      <c r="M993" s="129"/>
      <c r="N993" s="129"/>
      <c r="O993" s="129"/>
      <c r="P993" s="129"/>
      <c r="Q993" s="129"/>
      <c r="R993" s="129"/>
      <c r="S993" s="129"/>
      <c r="T993" s="129"/>
      <c r="U993" s="129"/>
      <c r="V993" s="129"/>
    </row>
    <row r="994" spans="3:22" x14ac:dyDescent="0.3">
      <c r="C994" s="129"/>
      <c r="D994" s="129"/>
      <c r="E994" s="129"/>
      <c r="F994" s="129"/>
      <c r="G994" s="129"/>
      <c r="H994" s="129"/>
      <c r="I994" s="129"/>
      <c r="J994" s="129"/>
      <c r="K994" s="129"/>
      <c r="L994" s="129"/>
      <c r="M994" s="129"/>
      <c r="N994" s="129"/>
      <c r="O994" s="129"/>
      <c r="P994" s="129"/>
      <c r="Q994" s="129"/>
      <c r="R994" s="129"/>
      <c r="S994" s="129"/>
      <c r="T994" s="129"/>
      <c r="U994" s="129"/>
      <c r="V994" s="129"/>
    </row>
    <row r="995" spans="3:22" x14ac:dyDescent="0.3">
      <c r="C995" s="129"/>
      <c r="D995" s="129"/>
      <c r="E995" s="129"/>
      <c r="F995" s="129"/>
      <c r="G995" s="129"/>
      <c r="H995" s="129"/>
      <c r="I995" s="129"/>
      <c r="J995" s="129"/>
      <c r="K995" s="129"/>
      <c r="L995" s="129"/>
      <c r="M995" s="129"/>
      <c r="N995" s="129"/>
      <c r="O995" s="129"/>
      <c r="P995" s="129"/>
      <c r="Q995" s="129"/>
      <c r="R995" s="129"/>
      <c r="S995" s="129"/>
      <c r="T995" s="129"/>
      <c r="U995" s="129"/>
      <c r="V995" s="129"/>
    </row>
    <row r="996" spans="3:22" x14ac:dyDescent="0.3">
      <c r="C996" s="129"/>
      <c r="D996" s="129"/>
      <c r="E996" s="129"/>
      <c r="F996" s="129"/>
      <c r="G996" s="129"/>
      <c r="H996" s="129"/>
      <c r="I996" s="129"/>
      <c r="J996" s="129"/>
      <c r="K996" s="129"/>
      <c r="L996" s="129"/>
      <c r="M996" s="129"/>
      <c r="N996" s="129"/>
      <c r="O996" s="129"/>
      <c r="P996" s="129"/>
      <c r="Q996" s="129"/>
      <c r="R996" s="129"/>
      <c r="S996" s="129"/>
      <c r="T996" s="129"/>
      <c r="U996" s="129"/>
      <c r="V996" s="129"/>
    </row>
    <row r="997" spans="3:22" x14ac:dyDescent="0.3">
      <c r="C997" s="129"/>
      <c r="D997" s="129"/>
      <c r="E997" s="129"/>
      <c r="F997" s="129"/>
      <c r="G997" s="129"/>
      <c r="H997" s="129"/>
      <c r="I997" s="129"/>
      <c r="J997" s="129"/>
      <c r="K997" s="129"/>
      <c r="L997" s="129"/>
      <c r="M997" s="129"/>
      <c r="N997" s="129"/>
      <c r="O997" s="129"/>
      <c r="P997" s="129"/>
      <c r="Q997" s="129"/>
      <c r="R997" s="129"/>
      <c r="S997" s="129"/>
      <c r="T997" s="129"/>
      <c r="U997" s="129"/>
      <c r="V997" s="129"/>
    </row>
    <row r="998" spans="3:22" x14ac:dyDescent="0.3">
      <c r="C998" s="129"/>
      <c r="D998" s="129"/>
      <c r="E998" s="129"/>
      <c r="F998" s="129"/>
      <c r="G998" s="129"/>
      <c r="H998" s="129"/>
      <c r="I998" s="129"/>
      <c r="J998" s="129"/>
      <c r="K998" s="129"/>
      <c r="L998" s="129"/>
      <c r="M998" s="129"/>
      <c r="N998" s="129"/>
      <c r="O998" s="129"/>
      <c r="P998" s="129"/>
      <c r="Q998" s="129"/>
      <c r="R998" s="129"/>
      <c r="S998" s="129"/>
      <c r="T998" s="129"/>
      <c r="U998" s="129"/>
      <c r="V998" s="129"/>
    </row>
    <row r="999" spans="3:22" x14ac:dyDescent="0.3">
      <c r="C999" s="129"/>
      <c r="D999" s="129"/>
      <c r="E999" s="129"/>
      <c r="F999" s="129"/>
      <c r="G999" s="129"/>
      <c r="H999" s="129"/>
      <c r="I999" s="129"/>
      <c r="J999" s="129"/>
      <c r="K999" s="129"/>
      <c r="L999" s="129"/>
      <c r="M999" s="129"/>
      <c r="N999" s="129"/>
      <c r="O999" s="129"/>
      <c r="P999" s="129"/>
      <c r="Q999" s="129"/>
      <c r="R999" s="129"/>
      <c r="S999" s="129"/>
      <c r="T999" s="129"/>
      <c r="U999" s="129"/>
      <c r="V999" s="129"/>
    </row>
    <row r="1000" spans="3:22" x14ac:dyDescent="0.3">
      <c r="C1000" s="129"/>
      <c r="D1000" s="129"/>
      <c r="E1000" s="129"/>
      <c r="F1000" s="129"/>
      <c r="G1000" s="129"/>
      <c r="H1000" s="129"/>
      <c r="I1000" s="129"/>
      <c r="J1000" s="129"/>
      <c r="K1000" s="129"/>
      <c r="L1000" s="129"/>
      <c r="M1000" s="129"/>
      <c r="N1000" s="129"/>
      <c r="O1000" s="129"/>
      <c r="P1000" s="129"/>
      <c r="Q1000" s="129"/>
      <c r="R1000" s="129"/>
      <c r="S1000" s="129"/>
      <c r="T1000" s="129"/>
      <c r="U1000" s="129"/>
      <c r="V1000" s="129"/>
    </row>
    <row r="1001" spans="3:22" x14ac:dyDescent="0.3">
      <c r="C1001" s="129"/>
      <c r="D1001" s="129"/>
      <c r="E1001" s="129"/>
      <c r="F1001" s="129"/>
      <c r="G1001" s="129"/>
      <c r="H1001" s="129"/>
      <c r="I1001" s="129"/>
      <c r="J1001" s="129"/>
      <c r="K1001" s="129"/>
      <c r="L1001" s="129"/>
      <c r="M1001" s="129"/>
      <c r="N1001" s="129"/>
      <c r="O1001" s="129"/>
      <c r="P1001" s="129"/>
      <c r="Q1001" s="129"/>
      <c r="R1001" s="129"/>
      <c r="S1001" s="129"/>
      <c r="T1001" s="129"/>
      <c r="U1001" s="129"/>
      <c r="V1001" s="129"/>
    </row>
    <row r="1002" spans="3:22" x14ac:dyDescent="0.3">
      <c r="C1002" s="129"/>
      <c r="D1002" s="129"/>
      <c r="E1002" s="129"/>
      <c r="F1002" s="129"/>
      <c r="G1002" s="129"/>
      <c r="H1002" s="129"/>
      <c r="I1002" s="129"/>
      <c r="J1002" s="129"/>
      <c r="K1002" s="129"/>
      <c r="L1002" s="129"/>
      <c r="M1002" s="129"/>
      <c r="N1002" s="129"/>
      <c r="O1002" s="129"/>
      <c r="P1002" s="129"/>
      <c r="Q1002" s="129"/>
      <c r="R1002" s="129"/>
      <c r="S1002" s="129"/>
      <c r="T1002" s="129"/>
      <c r="U1002" s="129"/>
      <c r="V1002" s="129"/>
    </row>
    <row r="1003" spans="3:22" x14ac:dyDescent="0.3">
      <c r="C1003" s="129"/>
      <c r="D1003" s="129"/>
      <c r="E1003" s="129"/>
      <c r="F1003" s="129"/>
      <c r="G1003" s="129"/>
      <c r="H1003" s="129"/>
      <c r="I1003" s="129"/>
      <c r="J1003" s="129"/>
      <c r="K1003" s="129"/>
      <c r="L1003" s="129"/>
      <c r="M1003" s="129"/>
      <c r="N1003" s="129"/>
      <c r="O1003" s="129"/>
      <c r="P1003" s="129"/>
      <c r="Q1003" s="129"/>
      <c r="R1003" s="129"/>
      <c r="S1003" s="129"/>
      <c r="T1003" s="129"/>
      <c r="U1003" s="129"/>
      <c r="V1003" s="129"/>
    </row>
    <row r="1004" spans="3:22" x14ac:dyDescent="0.3">
      <c r="C1004" s="129"/>
      <c r="D1004" s="129"/>
      <c r="E1004" s="129"/>
      <c r="F1004" s="129"/>
      <c r="G1004" s="129"/>
      <c r="H1004" s="129"/>
      <c r="I1004" s="129"/>
      <c r="J1004" s="129"/>
      <c r="K1004" s="129"/>
      <c r="L1004" s="129"/>
      <c r="M1004" s="129"/>
      <c r="N1004" s="129"/>
      <c r="O1004" s="129"/>
      <c r="P1004" s="129"/>
      <c r="Q1004" s="129"/>
      <c r="R1004" s="129"/>
      <c r="S1004" s="129"/>
      <c r="T1004" s="129"/>
      <c r="U1004" s="129"/>
      <c r="V1004" s="129"/>
    </row>
    <row r="1005" spans="3:22" x14ac:dyDescent="0.3">
      <c r="C1005" s="129"/>
      <c r="D1005" s="129"/>
      <c r="E1005" s="129"/>
      <c r="F1005" s="129"/>
      <c r="G1005" s="129"/>
      <c r="H1005" s="129"/>
      <c r="I1005" s="129"/>
      <c r="J1005" s="129"/>
      <c r="K1005" s="129"/>
      <c r="L1005" s="129"/>
      <c r="M1005" s="129"/>
      <c r="N1005" s="129"/>
      <c r="O1005" s="129"/>
      <c r="P1005" s="129"/>
      <c r="Q1005" s="129"/>
      <c r="R1005" s="129"/>
      <c r="S1005" s="129"/>
      <c r="T1005" s="129"/>
      <c r="U1005" s="129"/>
      <c r="V1005" s="129"/>
    </row>
    <row r="1006" spans="3:22" x14ac:dyDescent="0.3">
      <c r="C1006" s="129"/>
      <c r="D1006" s="129"/>
      <c r="E1006" s="129"/>
      <c r="F1006" s="129"/>
      <c r="G1006" s="129"/>
      <c r="H1006" s="129"/>
      <c r="I1006" s="129"/>
      <c r="J1006" s="129"/>
      <c r="K1006" s="129"/>
      <c r="L1006" s="129"/>
      <c r="M1006" s="129"/>
      <c r="N1006" s="129"/>
      <c r="O1006" s="129"/>
      <c r="P1006" s="129"/>
      <c r="Q1006" s="129"/>
      <c r="R1006" s="129"/>
      <c r="S1006" s="129"/>
      <c r="T1006" s="129"/>
      <c r="U1006" s="129"/>
      <c r="V1006" s="129"/>
    </row>
    <row r="1007" spans="3:22" x14ac:dyDescent="0.3">
      <c r="C1007" s="129"/>
      <c r="D1007" s="129"/>
      <c r="E1007" s="129"/>
      <c r="F1007" s="129"/>
      <c r="G1007" s="129"/>
      <c r="H1007" s="129"/>
      <c r="I1007" s="129"/>
      <c r="J1007" s="129"/>
      <c r="K1007" s="129"/>
      <c r="L1007" s="129"/>
      <c r="M1007" s="129"/>
      <c r="N1007" s="129"/>
      <c r="O1007" s="129"/>
      <c r="P1007" s="129"/>
      <c r="Q1007" s="129"/>
      <c r="R1007" s="129"/>
      <c r="S1007" s="129"/>
      <c r="T1007" s="129"/>
      <c r="U1007" s="129"/>
      <c r="V1007" s="129"/>
    </row>
    <row r="1008" spans="3:22" x14ac:dyDescent="0.3">
      <c r="C1008" s="129"/>
      <c r="D1008" s="129"/>
      <c r="E1008" s="129"/>
      <c r="F1008" s="129"/>
      <c r="G1008" s="129"/>
      <c r="H1008" s="129"/>
      <c r="I1008" s="129"/>
      <c r="J1008" s="129"/>
      <c r="K1008" s="129"/>
      <c r="L1008" s="129"/>
      <c r="M1008" s="129"/>
      <c r="N1008" s="129"/>
      <c r="O1008" s="129"/>
      <c r="P1008" s="129"/>
      <c r="Q1008" s="129"/>
      <c r="R1008" s="129"/>
      <c r="S1008" s="129"/>
      <c r="T1008" s="129"/>
      <c r="U1008" s="129"/>
      <c r="V1008" s="129"/>
    </row>
    <row r="1009" spans="3:22" x14ac:dyDescent="0.3">
      <c r="C1009" s="129"/>
      <c r="D1009" s="129"/>
      <c r="E1009" s="129"/>
      <c r="F1009" s="129"/>
      <c r="G1009" s="129"/>
      <c r="H1009" s="129"/>
      <c r="I1009" s="129"/>
      <c r="J1009" s="129"/>
      <c r="K1009" s="129"/>
      <c r="L1009" s="129"/>
      <c r="M1009" s="129"/>
      <c r="N1009" s="129"/>
      <c r="O1009" s="129"/>
      <c r="P1009" s="129"/>
      <c r="Q1009" s="129"/>
      <c r="R1009" s="129"/>
      <c r="S1009" s="129"/>
      <c r="T1009" s="129"/>
      <c r="U1009" s="129"/>
      <c r="V1009" s="129"/>
    </row>
    <row r="1010" spans="3:22" x14ac:dyDescent="0.3">
      <c r="C1010" s="129"/>
      <c r="D1010" s="129"/>
      <c r="E1010" s="129"/>
      <c r="F1010" s="129"/>
      <c r="G1010" s="129"/>
      <c r="H1010" s="129"/>
      <c r="I1010" s="129"/>
      <c r="J1010" s="129"/>
      <c r="K1010" s="129"/>
      <c r="L1010" s="129"/>
      <c r="M1010" s="129"/>
      <c r="N1010" s="129"/>
      <c r="O1010" s="129"/>
      <c r="P1010" s="129"/>
      <c r="Q1010" s="129"/>
      <c r="R1010" s="129"/>
      <c r="S1010" s="129"/>
      <c r="T1010" s="129"/>
      <c r="U1010" s="129"/>
      <c r="V1010" s="129"/>
    </row>
    <row r="1011" spans="3:22" x14ac:dyDescent="0.3">
      <c r="C1011" s="129"/>
      <c r="D1011" s="129"/>
      <c r="E1011" s="129"/>
      <c r="F1011" s="129"/>
      <c r="G1011" s="129"/>
      <c r="H1011" s="129"/>
      <c r="I1011" s="129"/>
      <c r="J1011" s="129"/>
      <c r="K1011" s="129"/>
      <c r="L1011" s="129"/>
      <c r="M1011" s="129"/>
      <c r="N1011" s="129"/>
      <c r="O1011" s="129"/>
      <c r="P1011" s="129"/>
      <c r="Q1011" s="129"/>
      <c r="R1011" s="129"/>
      <c r="S1011" s="129"/>
      <c r="T1011" s="129"/>
      <c r="U1011" s="129"/>
      <c r="V1011" s="129"/>
    </row>
    <row r="1012" spans="3:22" x14ac:dyDescent="0.3">
      <c r="C1012" s="129"/>
      <c r="D1012" s="129"/>
      <c r="E1012" s="129"/>
      <c r="F1012" s="129"/>
      <c r="G1012" s="129"/>
      <c r="H1012" s="129"/>
      <c r="I1012" s="129"/>
      <c r="J1012" s="129"/>
      <c r="K1012" s="129"/>
      <c r="L1012" s="129"/>
      <c r="M1012" s="129"/>
      <c r="N1012" s="129"/>
      <c r="O1012" s="129"/>
      <c r="P1012" s="129"/>
      <c r="Q1012" s="129"/>
      <c r="R1012" s="129"/>
      <c r="S1012" s="129"/>
      <c r="T1012" s="129"/>
      <c r="U1012" s="129"/>
      <c r="V1012" s="129"/>
    </row>
    <row r="1013" spans="3:22" x14ac:dyDescent="0.3">
      <c r="C1013" s="129"/>
      <c r="D1013" s="129"/>
      <c r="E1013" s="129"/>
      <c r="F1013" s="129"/>
      <c r="G1013" s="129"/>
      <c r="H1013" s="129"/>
      <c r="I1013" s="129"/>
      <c r="J1013" s="129"/>
      <c r="K1013" s="129"/>
      <c r="L1013" s="129"/>
      <c r="M1013" s="129"/>
      <c r="N1013" s="129"/>
      <c r="O1013" s="129"/>
      <c r="P1013" s="129"/>
      <c r="Q1013" s="129"/>
      <c r="R1013" s="129"/>
      <c r="S1013" s="129"/>
      <c r="T1013" s="129"/>
      <c r="U1013" s="129"/>
      <c r="V1013" s="129"/>
    </row>
    <row r="1014" spans="3:22" x14ac:dyDescent="0.3">
      <c r="C1014" s="129"/>
      <c r="D1014" s="129"/>
      <c r="E1014" s="129"/>
      <c r="F1014" s="129"/>
      <c r="G1014" s="129"/>
      <c r="H1014" s="129"/>
      <c r="I1014" s="129"/>
      <c r="J1014" s="129"/>
      <c r="K1014" s="129"/>
      <c r="L1014" s="129"/>
      <c r="M1014" s="129"/>
      <c r="N1014" s="129"/>
      <c r="O1014" s="129"/>
      <c r="P1014" s="129"/>
      <c r="Q1014" s="129"/>
      <c r="R1014" s="129"/>
      <c r="S1014" s="129"/>
      <c r="T1014" s="129"/>
      <c r="U1014" s="129"/>
      <c r="V1014" s="129"/>
    </row>
    <row r="1015" spans="3:22" x14ac:dyDescent="0.3">
      <c r="C1015" s="129"/>
      <c r="D1015" s="129"/>
      <c r="E1015" s="129"/>
      <c r="F1015" s="129"/>
      <c r="G1015" s="129"/>
      <c r="H1015" s="129"/>
      <c r="I1015" s="129"/>
      <c r="J1015" s="129"/>
      <c r="K1015" s="129"/>
      <c r="L1015" s="129"/>
      <c r="M1015" s="129"/>
      <c r="N1015" s="129"/>
      <c r="O1015" s="129"/>
      <c r="P1015" s="129"/>
      <c r="Q1015" s="129"/>
      <c r="R1015" s="129"/>
      <c r="S1015" s="129"/>
      <c r="T1015" s="129"/>
      <c r="U1015" s="129"/>
      <c r="V1015" s="129"/>
    </row>
    <row r="1016" spans="3:22" x14ac:dyDescent="0.3">
      <c r="C1016" s="129"/>
      <c r="D1016" s="129"/>
      <c r="E1016" s="129"/>
      <c r="F1016" s="129"/>
      <c r="G1016" s="129"/>
      <c r="H1016" s="129"/>
      <c r="I1016" s="129"/>
      <c r="J1016" s="129"/>
      <c r="K1016" s="129"/>
      <c r="L1016" s="129"/>
      <c r="M1016" s="129"/>
      <c r="N1016" s="129"/>
      <c r="O1016" s="129"/>
      <c r="P1016" s="129"/>
      <c r="Q1016" s="129"/>
      <c r="R1016" s="129"/>
      <c r="S1016" s="129"/>
      <c r="T1016" s="129"/>
      <c r="U1016" s="129"/>
      <c r="V1016" s="129"/>
    </row>
    <row r="1017" spans="3:22" x14ac:dyDescent="0.3">
      <c r="C1017" s="129"/>
      <c r="D1017" s="129"/>
      <c r="E1017" s="129"/>
      <c r="F1017" s="129"/>
      <c r="G1017" s="129"/>
      <c r="H1017" s="129"/>
      <c r="I1017" s="129"/>
      <c r="J1017" s="129"/>
      <c r="K1017" s="129"/>
      <c r="L1017" s="129"/>
      <c r="M1017" s="129"/>
      <c r="N1017" s="129"/>
      <c r="O1017" s="129"/>
      <c r="P1017" s="129"/>
      <c r="Q1017" s="129"/>
      <c r="R1017" s="129"/>
      <c r="S1017" s="129"/>
      <c r="T1017" s="129"/>
      <c r="U1017" s="129"/>
      <c r="V1017" s="129"/>
    </row>
    <row r="1018" spans="3:22" x14ac:dyDescent="0.3">
      <c r="C1018" s="129"/>
      <c r="D1018" s="129"/>
      <c r="E1018" s="129"/>
      <c r="F1018" s="129"/>
      <c r="G1018" s="129"/>
      <c r="H1018" s="129"/>
      <c r="I1018" s="129"/>
      <c r="J1018" s="129"/>
      <c r="K1018" s="129"/>
      <c r="L1018" s="129"/>
      <c r="M1018" s="129"/>
      <c r="N1018" s="129"/>
      <c r="O1018" s="129"/>
      <c r="P1018" s="129"/>
      <c r="Q1018" s="129"/>
      <c r="R1018" s="129"/>
      <c r="S1018" s="129"/>
      <c r="T1018" s="129"/>
      <c r="U1018" s="129"/>
      <c r="V1018" s="129"/>
    </row>
    <row r="1019" spans="3:22" x14ac:dyDescent="0.3">
      <c r="C1019" s="129"/>
      <c r="D1019" s="129"/>
      <c r="E1019" s="129"/>
      <c r="F1019" s="129"/>
      <c r="G1019" s="129"/>
      <c r="H1019" s="129"/>
      <c r="I1019" s="129"/>
      <c r="J1019" s="129"/>
      <c r="K1019" s="129"/>
      <c r="L1019" s="129"/>
      <c r="M1019" s="129"/>
      <c r="N1019" s="129"/>
      <c r="O1019" s="129"/>
      <c r="P1019" s="129"/>
      <c r="Q1019" s="129"/>
      <c r="R1019" s="129"/>
      <c r="S1019" s="129"/>
      <c r="T1019" s="129"/>
      <c r="U1019" s="129"/>
      <c r="V1019" s="129"/>
    </row>
    <row r="1020" spans="3:22" x14ac:dyDescent="0.3">
      <c r="C1020" s="129"/>
      <c r="D1020" s="129"/>
      <c r="E1020" s="129"/>
      <c r="F1020" s="129"/>
      <c r="G1020" s="129"/>
      <c r="H1020" s="129"/>
      <c r="I1020" s="129"/>
      <c r="J1020" s="129"/>
      <c r="K1020" s="129"/>
      <c r="L1020" s="129"/>
      <c r="M1020" s="129"/>
      <c r="N1020" s="129"/>
      <c r="O1020" s="129"/>
      <c r="P1020" s="129"/>
      <c r="Q1020" s="129"/>
      <c r="R1020" s="129"/>
      <c r="S1020" s="129"/>
      <c r="T1020" s="129"/>
      <c r="U1020" s="129"/>
      <c r="V1020" s="129"/>
    </row>
    <row r="1021" spans="3:22" x14ac:dyDescent="0.3">
      <c r="C1021" s="129"/>
      <c r="D1021" s="129"/>
      <c r="E1021" s="129"/>
      <c r="F1021" s="129"/>
      <c r="G1021" s="129"/>
      <c r="H1021" s="129"/>
      <c r="I1021" s="129"/>
      <c r="J1021" s="129"/>
      <c r="K1021" s="129"/>
      <c r="L1021" s="129"/>
      <c r="M1021" s="129"/>
      <c r="N1021" s="129"/>
      <c r="O1021" s="129"/>
      <c r="P1021" s="129"/>
      <c r="Q1021" s="129"/>
      <c r="R1021" s="129"/>
      <c r="S1021" s="129"/>
      <c r="T1021" s="129"/>
      <c r="U1021" s="129"/>
      <c r="V1021" s="129"/>
    </row>
    <row r="1022" spans="3:22" x14ac:dyDescent="0.3">
      <c r="C1022" s="129"/>
      <c r="D1022" s="129"/>
      <c r="E1022" s="129"/>
      <c r="F1022" s="129"/>
      <c r="G1022" s="129"/>
      <c r="H1022" s="129"/>
      <c r="I1022" s="129"/>
      <c r="J1022" s="129"/>
      <c r="K1022" s="129"/>
      <c r="L1022" s="129"/>
      <c r="M1022" s="129"/>
      <c r="N1022" s="129"/>
      <c r="O1022" s="129"/>
      <c r="P1022" s="129"/>
      <c r="Q1022" s="129"/>
      <c r="R1022" s="129"/>
      <c r="S1022" s="129"/>
      <c r="T1022" s="129"/>
      <c r="U1022" s="129"/>
      <c r="V1022" s="129"/>
    </row>
    <row r="1023" spans="3:22" x14ac:dyDescent="0.3">
      <c r="C1023" s="129"/>
      <c r="D1023" s="129"/>
      <c r="E1023" s="129"/>
      <c r="F1023" s="129"/>
      <c r="G1023" s="129"/>
      <c r="H1023" s="129"/>
      <c r="I1023" s="129"/>
      <c r="J1023" s="129"/>
      <c r="K1023" s="129"/>
      <c r="L1023" s="129"/>
      <c r="M1023" s="129"/>
      <c r="N1023" s="129"/>
      <c r="O1023" s="129"/>
      <c r="P1023" s="129"/>
      <c r="Q1023" s="129"/>
      <c r="R1023" s="129"/>
      <c r="S1023" s="129"/>
      <c r="T1023" s="129"/>
      <c r="U1023" s="129"/>
      <c r="V1023" s="129"/>
    </row>
    <row r="1024" spans="3:22" x14ac:dyDescent="0.3">
      <c r="C1024" s="129"/>
      <c r="D1024" s="129"/>
      <c r="E1024" s="129"/>
      <c r="F1024" s="129"/>
      <c r="G1024" s="129"/>
      <c r="H1024" s="129"/>
      <c r="I1024" s="129"/>
      <c r="J1024" s="129"/>
      <c r="K1024" s="129"/>
      <c r="L1024" s="129"/>
      <c r="M1024" s="129"/>
      <c r="N1024" s="129"/>
      <c r="O1024" s="129"/>
      <c r="P1024" s="129"/>
      <c r="Q1024" s="129"/>
      <c r="R1024" s="129"/>
      <c r="S1024" s="129"/>
      <c r="T1024" s="129"/>
      <c r="U1024" s="129"/>
      <c r="V1024" s="129"/>
    </row>
    <row r="1025" spans="3:22" x14ac:dyDescent="0.3">
      <c r="C1025" s="129"/>
      <c r="D1025" s="129"/>
      <c r="E1025" s="129"/>
      <c r="F1025" s="129"/>
      <c r="G1025" s="129"/>
      <c r="H1025" s="129"/>
      <c r="I1025" s="129"/>
      <c r="J1025" s="129"/>
      <c r="K1025" s="129"/>
      <c r="L1025" s="129"/>
      <c r="M1025" s="129"/>
      <c r="N1025" s="129"/>
      <c r="O1025" s="129"/>
      <c r="P1025" s="129"/>
      <c r="Q1025" s="129"/>
      <c r="R1025" s="129"/>
      <c r="S1025" s="129"/>
      <c r="T1025" s="129"/>
      <c r="U1025" s="129"/>
      <c r="V1025" s="129"/>
    </row>
    <row r="1026" spans="3:22" x14ac:dyDescent="0.3">
      <c r="C1026" s="129"/>
      <c r="D1026" s="129"/>
      <c r="E1026" s="129"/>
      <c r="F1026" s="129"/>
      <c r="G1026" s="129"/>
      <c r="H1026" s="129"/>
      <c r="I1026" s="129"/>
      <c r="J1026" s="129"/>
      <c r="K1026" s="129"/>
      <c r="L1026" s="129"/>
      <c r="M1026" s="129"/>
      <c r="N1026" s="129"/>
      <c r="O1026" s="129"/>
      <c r="P1026" s="129"/>
      <c r="Q1026" s="129"/>
      <c r="R1026" s="129"/>
      <c r="S1026" s="129"/>
      <c r="T1026" s="129"/>
      <c r="U1026" s="129"/>
      <c r="V1026" s="129"/>
    </row>
    <row r="1027" spans="3:22" x14ac:dyDescent="0.3">
      <c r="C1027" s="129"/>
      <c r="D1027" s="129"/>
      <c r="E1027" s="129"/>
      <c r="F1027" s="129"/>
      <c r="G1027" s="129"/>
      <c r="H1027" s="129"/>
      <c r="I1027" s="129"/>
      <c r="J1027" s="129"/>
      <c r="K1027" s="129"/>
      <c r="L1027" s="129"/>
      <c r="M1027" s="129"/>
      <c r="N1027" s="129"/>
      <c r="O1027" s="129"/>
      <c r="P1027" s="129"/>
      <c r="Q1027" s="129"/>
      <c r="R1027" s="129"/>
      <c r="S1027" s="129"/>
      <c r="T1027" s="129"/>
      <c r="U1027" s="129"/>
      <c r="V1027" s="129"/>
    </row>
    <row r="1028" spans="3:22" x14ac:dyDescent="0.3">
      <c r="C1028" s="129"/>
      <c r="D1028" s="129"/>
      <c r="E1028" s="129"/>
      <c r="F1028" s="129"/>
      <c r="G1028" s="129"/>
      <c r="H1028" s="129"/>
      <c r="I1028" s="129"/>
      <c r="J1028" s="129"/>
      <c r="K1028" s="129"/>
      <c r="L1028" s="129"/>
      <c r="M1028" s="129"/>
      <c r="N1028" s="129"/>
      <c r="O1028" s="129"/>
      <c r="P1028" s="129"/>
      <c r="Q1028" s="129"/>
      <c r="R1028" s="129"/>
      <c r="S1028" s="129"/>
      <c r="T1028" s="129"/>
      <c r="U1028" s="129"/>
      <c r="V1028" s="129"/>
    </row>
    <row r="1029" spans="3:22" x14ac:dyDescent="0.3">
      <c r="C1029" s="129"/>
      <c r="D1029" s="129"/>
      <c r="E1029" s="129"/>
      <c r="F1029" s="129"/>
      <c r="G1029" s="129"/>
      <c r="H1029" s="129"/>
      <c r="I1029" s="129"/>
      <c r="J1029" s="129"/>
      <c r="K1029" s="129"/>
      <c r="L1029" s="129"/>
      <c r="M1029" s="129"/>
      <c r="N1029" s="129"/>
      <c r="O1029" s="129"/>
      <c r="P1029" s="129"/>
      <c r="Q1029" s="129"/>
      <c r="R1029" s="129"/>
      <c r="S1029" s="129"/>
      <c r="T1029" s="129"/>
      <c r="U1029" s="129"/>
      <c r="V1029" s="129"/>
    </row>
    <row r="1030" spans="3:22" x14ac:dyDescent="0.3">
      <c r="C1030" s="129"/>
      <c r="D1030" s="129"/>
      <c r="E1030" s="129"/>
      <c r="F1030" s="129"/>
      <c r="G1030" s="129"/>
      <c r="H1030" s="129"/>
      <c r="I1030" s="129"/>
      <c r="J1030" s="129"/>
      <c r="K1030" s="129"/>
      <c r="L1030" s="129"/>
      <c r="M1030" s="129"/>
      <c r="N1030" s="129"/>
      <c r="O1030" s="129"/>
      <c r="P1030" s="129"/>
      <c r="Q1030" s="129"/>
      <c r="R1030" s="129"/>
      <c r="S1030" s="129"/>
      <c r="T1030" s="129"/>
      <c r="U1030" s="129"/>
      <c r="V1030" s="129"/>
    </row>
    <row r="1031" spans="3:22" x14ac:dyDescent="0.3">
      <c r="C1031" s="129"/>
      <c r="D1031" s="129"/>
      <c r="E1031" s="129"/>
      <c r="F1031" s="129"/>
      <c r="G1031" s="129"/>
      <c r="H1031" s="129"/>
      <c r="I1031" s="129"/>
      <c r="J1031" s="129"/>
      <c r="K1031" s="129"/>
      <c r="L1031" s="129"/>
      <c r="M1031" s="129"/>
      <c r="N1031" s="129"/>
      <c r="O1031" s="129"/>
      <c r="P1031" s="129"/>
      <c r="Q1031" s="129"/>
      <c r="R1031" s="129"/>
      <c r="S1031" s="129"/>
      <c r="T1031" s="129"/>
      <c r="U1031" s="129"/>
      <c r="V1031" s="129"/>
    </row>
    <row r="1032" spans="3:22" x14ac:dyDescent="0.3">
      <c r="C1032" s="129"/>
      <c r="D1032" s="129"/>
      <c r="E1032" s="129"/>
      <c r="F1032" s="129"/>
      <c r="G1032" s="129"/>
      <c r="H1032" s="129"/>
      <c r="I1032" s="129"/>
      <c r="J1032" s="129"/>
      <c r="K1032" s="129"/>
      <c r="L1032" s="129"/>
      <c r="M1032" s="129"/>
      <c r="N1032" s="129"/>
      <c r="O1032" s="129"/>
      <c r="P1032" s="129"/>
      <c r="Q1032" s="129"/>
      <c r="R1032" s="129"/>
      <c r="S1032" s="129"/>
      <c r="T1032" s="129"/>
      <c r="U1032" s="129"/>
      <c r="V1032" s="129"/>
    </row>
    <row r="1033" spans="3:22" x14ac:dyDescent="0.3">
      <c r="C1033" s="129"/>
      <c r="D1033" s="129"/>
      <c r="E1033" s="129"/>
      <c r="F1033" s="129"/>
      <c r="G1033" s="129"/>
      <c r="H1033" s="129"/>
      <c r="I1033" s="129"/>
      <c r="J1033" s="129"/>
      <c r="K1033" s="129"/>
      <c r="L1033" s="129"/>
      <c r="M1033" s="129"/>
      <c r="N1033" s="129"/>
      <c r="O1033" s="129"/>
      <c r="P1033" s="129"/>
      <c r="Q1033" s="129"/>
      <c r="R1033" s="129"/>
      <c r="S1033" s="129"/>
      <c r="T1033" s="129"/>
      <c r="U1033" s="129"/>
      <c r="V1033" s="129"/>
    </row>
    <row r="1034" spans="3:22" x14ac:dyDescent="0.3">
      <c r="C1034" s="129"/>
      <c r="D1034" s="129"/>
      <c r="E1034" s="129"/>
      <c r="F1034" s="129"/>
      <c r="G1034" s="129"/>
      <c r="H1034" s="129"/>
      <c r="I1034" s="129"/>
      <c r="J1034" s="129"/>
      <c r="K1034" s="129"/>
      <c r="L1034" s="129"/>
      <c r="M1034" s="129"/>
      <c r="N1034" s="129"/>
      <c r="O1034" s="129"/>
      <c r="P1034" s="129"/>
      <c r="Q1034" s="129"/>
      <c r="R1034" s="129"/>
      <c r="S1034" s="129"/>
      <c r="T1034" s="129"/>
      <c r="U1034" s="129"/>
      <c r="V1034" s="129"/>
    </row>
    <row r="1035" spans="3:22" x14ac:dyDescent="0.3">
      <c r="C1035" s="129"/>
      <c r="D1035" s="129"/>
      <c r="E1035" s="129"/>
      <c r="F1035" s="129"/>
      <c r="G1035" s="129"/>
      <c r="H1035" s="129"/>
      <c r="I1035" s="129"/>
      <c r="J1035" s="129"/>
      <c r="K1035" s="129"/>
      <c r="L1035" s="129"/>
      <c r="M1035" s="129"/>
      <c r="N1035" s="129"/>
      <c r="O1035" s="129"/>
      <c r="P1035" s="129"/>
      <c r="Q1035" s="129"/>
      <c r="R1035" s="129"/>
      <c r="S1035" s="129"/>
      <c r="T1035" s="129"/>
      <c r="U1035" s="129"/>
      <c r="V1035" s="129"/>
    </row>
    <row r="1036" spans="3:22" x14ac:dyDescent="0.3">
      <c r="C1036" s="129"/>
      <c r="D1036" s="129"/>
      <c r="E1036" s="129"/>
      <c r="F1036" s="129"/>
      <c r="G1036" s="129"/>
      <c r="H1036" s="129"/>
      <c r="I1036" s="129"/>
      <c r="J1036" s="129"/>
      <c r="K1036" s="129"/>
      <c r="L1036" s="129"/>
      <c r="M1036" s="129"/>
      <c r="N1036" s="129"/>
      <c r="O1036" s="129"/>
      <c r="P1036" s="129"/>
      <c r="Q1036" s="129"/>
      <c r="R1036" s="129"/>
      <c r="S1036" s="129"/>
      <c r="T1036" s="129"/>
      <c r="U1036" s="129"/>
      <c r="V1036" s="129"/>
    </row>
    <row r="1037" spans="3:22" x14ac:dyDescent="0.3">
      <c r="C1037" s="129"/>
      <c r="D1037" s="129"/>
      <c r="E1037" s="129"/>
      <c r="F1037" s="129"/>
      <c r="G1037" s="129"/>
      <c r="H1037" s="129"/>
      <c r="I1037" s="129"/>
      <c r="J1037" s="129"/>
      <c r="K1037" s="129"/>
      <c r="L1037" s="129"/>
      <c r="M1037" s="129"/>
      <c r="N1037" s="129"/>
      <c r="O1037" s="129"/>
      <c r="P1037" s="129"/>
      <c r="Q1037" s="129"/>
      <c r="R1037" s="129"/>
      <c r="S1037" s="129"/>
      <c r="T1037" s="129"/>
      <c r="U1037" s="129"/>
      <c r="V1037" s="129"/>
    </row>
    <row r="1038" spans="3:22" x14ac:dyDescent="0.3">
      <c r="C1038" s="129"/>
      <c r="D1038" s="129"/>
      <c r="E1038" s="129"/>
      <c r="F1038" s="129"/>
      <c r="G1038" s="129"/>
      <c r="H1038" s="129"/>
      <c r="I1038" s="129"/>
      <c r="J1038" s="129"/>
      <c r="K1038" s="129"/>
      <c r="L1038" s="129"/>
      <c r="M1038" s="129"/>
      <c r="N1038" s="129"/>
      <c r="O1038" s="129"/>
      <c r="P1038" s="129"/>
      <c r="Q1038" s="129"/>
      <c r="R1038" s="129"/>
      <c r="S1038" s="129"/>
      <c r="T1038" s="129"/>
      <c r="U1038" s="129"/>
      <c r="V1038" s="129"/>
    </row>
    <row r="1039" spans="3:22" x14ac:dyDescent="0.3">
      <c r="C1039" s="129"/>
      <c r="D1039" s="129"/>
      <c r="E1039" s="129"/>
      <c r="F1039" s="129"/>
      <c r="G1039" s="129"/>
      <c r="H1039" s="129"/>
      <c r="I1039" s="129"/>
      <c r="J1039" s="129"/>
      <c r="K1039" s="129"/>
      <c r="L1039" s="129"/>
      <c r="M1039" s="129"/>
      <c r="N1039" s="129"/>
      <c r="O1039" s="129"/>
      <c r="P1039" s="129"/>
      <c r="Q1039" s="129"/>
      <c r="R1039" s="129"/>
      <c r="S1039" s="129"/>
      <c r="T1039" s="129"/>
      <c r="U1039" s="129"/>
      <c r="V1039" s="129"/>
    </row>
    <row r="1040" spans="3:22" x14ac:dyDescent="0.3">
      <c r="C1040" s="129"/>
      <c r="D1040" s="129"/>
      <c r="E1040" s="129"/>
      <c r="F1040" s="129"/>
      <c r="G1040" s="129"/>
      <c r="H1040" s="129"/>
      <c r="I1040" s="129"/>
      <c r="J1040" s="129"/>
      <c r="K1040" s="129"/>
      <c r="L1040" s="129"/>
      <c r="M1040" s="129"/>
      <c r="N1040" s="129"/>
      <c r="O1040" s="129"/>
      <c r="P1040" s="129"/>
      <c r="Q1040" s="129"/>
      <c r="R1040" s="129"/>
      <c r="S1040" s="129"/>
      <c r="T1040" s="129"/>
      <c r="U1040" s="129"/>
      <c r="V1040" s="129"/>
    </row>
    <row r="1041" spans="3:22" x14ac:dyDescent="0.3">
      <c r="C1041" s="129"/>
      <c r="D1041" s="129"/>
      <c r="E1041" s="129"/>
      <c r="F1041" s="129"/>
      <c r="G1041" s="129"/>
      <c r="H1041" s="129"/>
      <c r="I1041" s="129"/>
      <c r="J1041" s="129"/>
      <c r="K1041" s="129"/>
      <c r="L1041" s="129"/>
      <c r="M1041" s="129"/>
      <c r="N1041" s="129"/>
      <c r="O1041" s="129"/>
      <c r="P1041" s="129"/>
      <c r="Q1041" s="129"/>
      <c r="R1041" s="129"/>
      <c r="S1041" s="129"/>
      <c r="T1041" s="129"/>
      <c r="U1041" s="129"/>
      <c r="V1041" s="129"/>
    </row>
    <row r="1042" spans="3:22" x14ac:dyDescent="0.3">
      <c r="C1042" s="129"/>
      <c r="D1042" s="129"/>
      <c r="E1042" s="129"/>
      <c r="F1042" s="129"/>
      <c r="G1042" s="129"/>
      <c r="H1042" s="129"/>
      <c r="I1042" s="129"/>
      <c r="J1042" s="129"/>
      <c r="K1042" s="129"/>
      <c r="L1042" s="129"/>
      <c r="M1042" s="129"/>
      <c r="N1042" s="129"/>
      <c r="O1042" s="129"/>
      <c r="P1042" s="129"/>
      <c r="Q1042" s="129"/>
      <c r="R1042" s="129"/>
      <c r="S1042" s="129"/>
      <c r="T1042" s="129"/>
      <c r="U1042" s="129"/>
      <c r="V1042" s="129"/>
    </row>
    <row r="1043" spans="3:22" x14ac:dyDescent="0.3">
      <c r="C1043" s="129"/>
      <c r="D1043" s="129"/>
      <c r="E1043" s="129"/>
      <c r="F1043" s="129"/>
      <c r="G1043" s="129"/>
      <c r="H1043" s="129"/>
      <c r="I1043" s="129"/>
      <c r="J1043" s="129"/>
      <c r="K1043" s="129"/>
      <c r="L1043" s="129"/>
      <c r="M1043" s="129"/>
      <c r="N1043" s="129"/>
      <c r="O1043" s="129"/>
      <c r="P1043" s="129"/>
      <c r="Q1043" s="129"/>
      <c r="R1043" s="129"/>
      <c r="S1043" s="129"/>
      <c r="T1043" s="129"/>
      <c r="U1043" s="129"/>
      <c r="V1043" s="129"/>
    </row>
    <row r="1044" spans="3:22" x14ac:dyDescent="0.3">
      <c r="C1044" s="129"/>
      <c r="D1044" s="129"/>
      <c r="E1044" s="129"/>
      <c r="F1044" s="129"/>
      <c r="G1044" s="129"/>
      <c r="H1044" s="129"/>
      <c r="I1044" s="129"/>
      <c r="J1044" s="129"/>
      <c r="K1044" s="129"/>
      <c r="L1044" s="129"/>
      <c r="M1044" s="129"/>
      <c r="N1044" s="129"/>
      <c r="O1044" s="129"/>
      <c r="P1044" s="129"/>
      <c r="Q1044" s="129"/>
      <c r="R1044" s="129"/>
      <c r="S1044" s="129"/>
      <c r="T1044" s="129"/>
      <c r="U1044" s="129"/>
      <c r="V1044" s="129"/>
    </row>
    <row r="1045" spans="3:22" x14ac:dyDescent="0.3">
      <c r="C1045" s="129"/>
      <c r="D1045" s="129"/>
      <c r="E1045" s="129"/>
      <c r="F1045" s="129"/>
      <c r="G1045" s="129"/>
      <c r="H1045" s="129"/>
      <c r="I1045" s="129"/>
      <c r="J1045" s="129"/>
      <c r="K1045" s="129"/>
      <c r="L1045" s="129"/>
      <c r="M1045" s="129"/>
      <c r="N1045" s="129"/>
      <c r="O1045" s="129"/>
      <c r="P1045" s="129"/>
      <c r="Q1045" s="129"/>
      <c r="R1045" s="129"/>
      <c r="S1045" s="129"/>
      <c r="T1045" s="129"/>
      <c r="U1045" s="129"/>
      <c r="V1045" s="129"/>
    </row>
    <row r="1046" spans="3:22" x14ac:dyDescent="0.3">
      <c r="C1046" s="129"/>
      <c r="D1046" s="129"/>
      <c r="E1046" s="129"/>
      <c r="F1046" s="129"/>
      <c r="G1046" s="129"/>
      <c r="H1046" s="129"/>
      <c r="I1046" s="129"/>
      <c r="J1046" s="129"/>
      <c r="K1046" s="129"/>
      <c r="L1046" s="129"/>
      <c r="M1046" s="129"/>
      <c r="N1046" s="129"/>
      <c r="O1046" s="129"/>
      <c r="P1046" s="129"/>
      <c r="Q1046" s="129"/>
      <c r="R1046" s="129"/>
      <c r="S1046" s="129"/>
      <c r="T1046" s="129"/>
      <c r="U1046" s="129"/>
      <c r="V1046" s="129"/>
    </row>
    <row r="1047" spans="3:22" x14ac:dyDescent="0.3">
      <c r="C1047" s="129"/>
      <c r="D1047" s="129"/>
      <c r="E1047" s="129"/>
      <c r="F1047" s="129"/>
      <c r="G1047" s="129"/>
      <c r="H1047" s="129"/>
      <c r="I1047" s="129"/>
      <c r="J1047" s="129"/>
      <c r="K1047" s="129"/>
      <c r="L1047" s="129"/>
      <c r="M1047" s="129"/>
      <c r="N1047" s="129"/>
      <c r="O1047" s="129"/>
      <c r="P1047" s="129"/>
      <c r="Q1047" s="129"/>
      <c r="R1047" s="129"/>
      <c r="S1047" s="129"/>
      <c r="T1047" s="129"/>
      <c r="U1047" s="129"/>
      <c r="V1047" s="129"/>
    </row>
    <row r="1048" spans="3:22" x14ac:dyDescent="0.3">
      <c r="C1048" s="129"/>
      <c r="D1048" s="129"/>
      <c r="E1048" s="129"/>
      <c r="F1048" s="129"/>
      <c r="G1048" s="129"/>
      <c r="H1048" s="129"/>
      <c r="I1048" s="129"/>
      <c r="J1048" s="129"/>
      <c r="K1048" s="129"/>
      <c r="L1048" s="129"/>
      <c r="M1048" s="129"/>
      <c r="N1048" s="129"/>
      <c r="O1048" s="129"/>
      <c r="P1048" s="129"/>
      <c r="Q1048" s="129"/>
      <c r="R1048" s="129"/>
      <c r="S1048" s="129"/>
      <c r="T1048" s="129"/>
      <c r="U1048" s="129"/>
      <c r="V1048" s="129"/>
    </row>
    <row r="1049" spans="3:22" x14ac:dyDescent="0.3">
      <c r="C1049" s="129"/>
      <c r="D1049" s="129"/>
      <c r="E1049" s="129"/>
      <c r="F1049" s="129"/>
      <c r="G1049" s="129"/>
      <c r="H1049" s="129"/>
      <c r="I1049" s="129"/>
      <c r="J1049" s="129"/>
      <c r="K1049" s="129"/>
      <c r="L1049" s="129"/>
      <c r="M1049" s="129"/>
      <c r="N1049" s="129"/>
      <c r="O1049" s="129"/>
      <c r="P1049" s="129"/>
      <c r="Q1049" s="129"/>
      <c r="R1049" s="129"/>
      <c r="S1049" s="129"/>
      <c r="T1049" s="129"/>
      <c r="U1049" s="129"/>
      <c r="V1049" s="129"/>
    </row>
    <row r="1050" spans="3:22" x14ac:dyDescent="0.3">
      <c r="C1050" s="129"/>
      <c r="D1050" s="129"/>
      <c r="E1050" s="129"/>
      <c r="F1050" s="129"/>
      <c r="G1050" s="129"/>
      <c r="H1050" s="129"/>
      <c r="I1050" s="129"/>
      <c r="J1050" s="129"/>
      <c r="K1050" s="129"/>
      <c r="L1050" s="129"/>
      <c r="M1050" s="129"/>
      <c r="N1050" s="129"/>
      <c r="O1050" s="129"/>
      <c r="P1050" s="129"/>
      <c r="Q1050" s="129"/>
      <c r="R1050" s="129"/>
      <c r="S1050" s="129"/>
      <c r="T1050" s="129"/>
      <c r="U1050" s="129"/>
      <c r="V1050" s="129"/>
    </row>
    <row r="1051" spans="3:22" x14ac:dyDescent="0.3">
      <c r="C1051" s="129"/>
      <c r="D1051" s="129"/>
      <c r="E1051" s="129"/>
      <c r="F1051" s="129"/>
      <c r="G1051" s="129"/>
      <c r="H1051" s="129"/>
      <c r="I1051" s="129"/>
      <c r="J1051" s="129"/>
      <c r="K1051" s="129"/>
      <c r="L1051" s="129"/>
      <c r="M1051" s="129"/>
      <c r="N1051" s="129"/>
      <c r="O1051" s="129"/>
      <c r="P1051" s="129"/>
      <c r="Q1051" s="129"/>
      <c r="R1051" s="129"/>
      <c r="S1051" s="129"/>
      <c r="T1051" s="129"/>
      <c r="U1051" s="129"/>
      <c r="V1051" s="129"/>
    </row>
    <row r="1052" spans="3:22" x14ac:dyDescent="0.3">
      <c r="C1052" s="129"/>
      <c r="D1052" s="129"/>
      <c r="E1052" s="129"/>
      <c r="F1052" s="129"/>
      <c r="G1052" s="129"/>
      <c r="H1052" s="129"/>
      <c r="I1052" s="129"/>
      <c r="J1052" s="129"/>
      <c r="K1052" s="129"/>
      <c r="L1052" s="129"/>
      <c r="M1052" s="129"/>
      <c r="N1052" s="129"/>
      <c r="O1052" s="129"/>
      <c r="P1052" s="129"/>
      <c r="Q1052" s="129"/>
      <c r="R1052" s="129"/>
      <c r="S1052" s="129"/>
      <c r="T1052" s="129"/>
      <c r="U1052" s="129"/>
      <c r="V1052" s="129"/>
    </row>
    <row r="1053" spans="3:22" x14ac:dyDescent="0.3">
      <c r="C1053" s="129"/>
      <c r="D1053" s="129"/>
      <c r="E1053" s="129"/>
      <c r="F1053" s="129"/>
      <c r="G1053" s="129"/>
      <c r="H1053" s="129"/>
      <c r="I1053" s="129"/>
      <c r="J1053" s="129"/>
      <c r="K1053" s="129"/>
      <c r="L1053" s="129"/>
      <c r="M1053" s="129"/>
      <c r="N1053" s="129"/>
      <c r="O1053" s="129"/>
      <c r="P1053" s="129"/>
      <c r="Q1053" s="129"/>
      <c r="R1053" s="129"/>
      <c r="S1053" s="129"/>
      <c r="T1053" s="129"/>
      <c r="U1053" s="129"/>
      <c r="V1053" s="129"/>
    </row>
    <row r="1054" spans="3:22" x14ac:dyDescent="0.3">
      <c r="C1054" s="129"/>
      <c r="D1054" s="129"/>
      <c r="E1054" s="129"/>
      <c r="F1054" s="129"/>
      <c r="G1054" s="129"/>
      <c r="H1054" s="129"/>
      <c r="I1054" s="129"/>
      <c r="J1054" s="129"/>
      <c r="K1054" s="129"/>
      <c r="L1054" s="129"/>
      <c r="M1054" s="129"/>
      <c r="N1054" s="129"/>
      <c r="O1054" s="129"/>
      <c r="P1054" s="129"/>
      <c r="Q1054" s="129"/>
      <c r="R1054" s="129"/>
      <c r="S1054" s="129"/>
      <c r="T1054" s="129"/>
      <c r="U1054" s="129"/>
      <c r="V1054" s="129"/>
    </row>
    <row r="1055" spans="3:22" x14ac:dyDescent="0.3">
      <c r="C1055" s="129"/>
      <c r="D1055" s="129"/>
      <c r="E1055" s="129"/>
      <c r="F1055" s="129"/>
      <c r="G1055" s="129"/>
      <c r="H1055" s="129"/>
      <c r="I1055" s="129"/>
      <c r="J1055" s="129"/>
      <c r="K1055" s="129"/>
      <c r="L1055" s="129"/>
      <c r="M1055" s="129"/>
      <c r="N1055" s="129"/>
      <c r="O1055" s="129"/>
      <c r="P1055" s="129"/>
      <c r="Q1055" s="129"/>
      <c r="R1055" s="129"/>
      <c r="S1055" s="129"/>
      <c r="T1055" s="129"/>
      <c r="U1055" s="129"/>
      <c r="V1055" s="129"/>
    </row>
    <row r="1056" spans="3:22" x14ac:dyDescent="0.3">
      <c r="C1056" s="129"/>
      <c r="D1056" s="129"/>
      <c r="E1056" s="129"/>
      <c r="F1056" s="129"/>
      <c r="G1056" s="129"/>
      <c r="H1056" s="129"/>
      <c r="I1056" s="129"/>
      <c r="J1056" s="129"/>
      <c r="K1056" s="129"/>
      <c r="L1056" s="129"/>
      <c r="M1056" s="129"/>
      <c r="N1056" s="129"/>
      <c r="O1056" s="129"/>
      <c r="P1056" s="129"/>
      <c r="Q1056" s="129"/>
      <c r="R1056" s="129"/>
      <c r="S1056" s="129"/>
      <c r="T1056" s="129"/>
      <c r="U1056" s="129"/>
      <c r="V1056" s="129"/>
    </row>
    <row r="1057" spans="3:22" x14ac:dyDescent="0.3">
      <c r="C1057" s="129"/>
      <c r="D1057" s="129"/>
      <c r="E1057" s="129"/>
      <c r="F1057" s="129"/>
      <c r="G1057" s="129"/>
      <c r="H1057" s="129"/>
      <c r="I1057" s="129"/>
      <c r="J1057" s="129"/>
      <c r="K1057" s="129"/>
      <c r="L1057" s="129"/>
      <c r="M1057" s="129"/>
      <c r="N1057" s="129"/>
      <c r="O1057" s="129"/>
      <c r="P1057" s="129"/>
      <c r="Q1057" s="129"/>
      <c r="R1057" s="129"/>
      <c r="S1057" s="129"/>
      <c r="T1057" s="129"/>
      <c r="U1057" s="129"/>
      <c r="V1057" s="129"/>
    </row>
    <row r="1058" spans="3:22" x14ac:dyDescent="0.3">
      <c r="C1058" s="129"/>
      <c r="D1058" s="129"/>
      <c r="E1058" s="129"/>
      <c r="F1058" s="129"/>
      <c r="G1058" s="129"/>
      <c r="H1058" s="129"/>
      <c r="I1058" s="129"/>
      <c r="J1058" s="129"/>
      <c r="K1058" s="129"/>
      <c r="L1058" s="129"/>
      <c r="M1058" s="129"/>
      <c r="N1058" s="129"/>
      <c r="O1058" s="129"/>
      <c r="P1058" s="129"/>
      <c r="Q1058" s="129"/>
      <c r="R1058" s="129"/>
      <c r="S1058" s="129"/>
      <c r="T1058" s="129"/>
      <c r="U1058" s="129"/>
      <c r="V1058" s="129"/>
    </row>
    <row r="1059" spans="3:22" x14ac:dyDescent="0.3">
      <c r="C1059" s="129"/>
      <c r="D1059" s="129"/>
      <c r="E1059" s="129"/>
      <c r="F1059" s="129"/>
      <c r="G1059" s="129"/>
      <c r="H1059" s="129"/>
      <c r="I1059" s="129"/>
      <c r="J1059" s="129"/>
      <c r="K1059" s="129"/>
      <c r="L1059" s="129"/>
      <c r="M1059" s="129"/>
      <c r="N1059" s="129"/>
      <c r="O1059" s="129"/>
      <c r="P1059" s="129"/>
      <c r="Q1059" s="129"/>
      <c r="R1059" s="129"/>
      <c r="S1059" s="129"/>
      <c r="T1059" s="129"/>
      <c r="U1059" s="129"/>
      <c r="V1059" s="129"/>
    </row>
    <row r="1060" spans="3:22" x14ac:dyDescent="0.3">
      <c r="C1060" s="129"/>
      <c r="D1060" s="129"/>
      <c r="E1060" s="129"/>
      <c r="F1060" s="129"/>
      <c r="G1060" s="129"/>
      <c r="H1060" s="129"/>
      <c r="I1060" s="129"/>
      <c r="J1060" s="129"/>
      <c r="K1060" s="129"/>
      <c r="L1060" s="129"/>
      <c r="M1060" s="129"/>
      <c r="N1060" s="129"/>
      <c r="O1060" s="129"/>
      <c r="P1060" s="129"/>
      <c r="Q1060" s="129"/>
      <c r="R1060" s="129"/>
      <c r="S1060" s="129"/>
      <c r="T1060" s="129"/>
      <c r="U1060" s="129"/>
      <c r="V1060" s="129"/>
    </row>
    <row r="1061" spans="3:22" x14ac:dyDescent="0.3">
      <c r="C1061" s="129"/>
      <c r="D1061" s="129"/>
      <c r="E1061" s="129"/>
      <c r="F1061" s="129"/>
      <c r="G1061" s="129"/>
      <c r="H1061" s="129"/>
      <c r="I1061" s="129"/>
      <c r="J1061" s="129"/>
      <c r="K1061" s="129"/>
      <c r="L1061" s="129"/>
      <c r="M1061" s="129"/>
      <c r="N1061" s="129"/>
      <c r="O1061" s="129"/>
      <c r="P1061" s="129"/>
      <c r="Q1061" s="129"/>
      <c r="R1061" s="129"/>
      <c r="S1061" s="129"/>
      <c r="T1061" s="129"/>
      <c r="U1061" s="129"/>
      <c r="V1061" s="129"/>
    </row>
    <row r="1062" spans="3:22" x14ac:dyDescent="0.3">
      <c r="C1062" s="129"/>
      <c r="D1062" s="129"/>
      <c r="E1062" s="129"/>
      <c r="F1062" s="129"/>
      <c r="G1062" s="129"/>
      <c r="H1062" s="129"/>
      <c r="I1062" s="129"/>
      <c r="J1062" s="129"/>
      <c r="K1062" s="129"/>
      <c r="L1062" s="129"/>
      <c r="M1062" s="129"/>
      <c r="N1062" s="129"/>
      <c r="O1062" s="129"/>
      <c r="P1062" s="129"/>
      <c r="Q1062" s="129"/>
      <c r="R1062" s="129"/>
      <c r="S1062" s="129"/>
      <c r="T1062" s="129"/>
      <c r="U1062" s="129"/>
      <c r="V1062" s="129"/>
    </row>
    <row r="1063" spans="3:22" x14ac:dyDescent="0.3">
      <c r="C1063" s="129"/>
      <c r="D1063" s="129"/>
      <c r="E1063" s="129"/>
      <c r="F1063" s="129"/>
      <c r="G1063" s="129"/>
      <c r="H1063" s="129"/>
      <c r="I1063" s="129"/>
      <c r="J1063" s="129"/>
      <c r="K1063" s="129"/>
      <c r="L1063" s="129"/>
      <c r="M1063" s="129"/>
      <c r="N1063" s="129"/>
      <c r="O1063" s="129"/>
      <c r="P1063" s="129"/>
      <c r="Q1063" s="129"/>
      <c r="R1063" s="129"/>
      <c r="S1063" s="129"/>
      <c r="T1063" s="129"/>
      <c r="U1063" s="129"/>
      <c r="V1063" s="129"/>
    </row>
    <row r="1064" spans="3:22" x14ac:dyDescent="0.3">
      <c r="C1064" s="129"/>
      <c r="D1064" s="129"/>
      <c r="E1064" s="129"/>
      <c r="F1064" s="129"/>
      <c r="G1064" s="129"/>
      <c r="H1064" s="129"/>
      <c r="I1064" s="129"/>
      <c r="J1064" s="129"/>
      <c r="K1064" s="129"/>
      <c r="L1064" s="129"/>
      <c r="M1064" s="129"/>
      <c r="N1064" s="129"/>
      <c r="O1064" s="129"/>
      <c r="P1064" s="129"/>
      <c r="Q1064" s="129"/>
      <c r="R1064" s="129"/>
      <c r="S1064" s="129"/>
      <c r="T1064" s="129"/>
      <c r="U1064" s="129"/>
      <c r="V1064" s="129"/>
    </row>
    <row r="1065" spans="3:22" x14ac:dyDescent="0.3">
      <c r="C1065" s="129"/>
      <c r="D1065" s="129"/>
      <c r="E1065" s="129"/>
      <c r="F1065" s="129"/>
      <c r="G1065" s="129"/>
      <c r="H1065" s="129"/>
      <c r="I1065" s="129"/>
      <c r="J1065" s="129"/>
      <c r="K1065" s="129"/>
      <c r="L1065" s="129"/>
      <c r="M1065" s="129"/>
      <c r="N1065" s="129"/>
      <c r="O1065" s="129"/>
      <c r="P1065" s="129"/>
      <c r="Q1065" s="129"/>
      <c r="R1065" s="129"/>
      <c r="S1065" s="129"/>
      <c r="T1065" s="129"/>
      <c r="U1065" s="129"/>
      <c r="V1065" s="129"/>
    </row>
    <row r="1066" spans="3:22" x14ac:dyDescent="0.3">
      <c r="C1066" s="129"/>
      <c r="D1066" s="129"/>
      <c r="E1066" s="129"/>
      <c r="F1066" s="129"/>
      <c r="G1066" s="129"/>
      <c r="H1066" s="129"/>
      <c r="I1066" s="129"/>
      <c r="J1066" s="129"/>
      <c r="K1066" s="129"/>
      <c r="L1066" s="129"/>
      <c r="M1066" s="129"/>
      <c r="N1066" s="129"/>
      <c r="O1066" s="129"/>
      <c r="P1066" s="129"/>
      <c r="Q1066" s="129"/>
      <c r="R1066" s="129"/>
      <c r="S1066" s="129"/>
      <c r="T1066" s="129"/>
      <c r="U1066" s="129"/>
      <c r="V1066" s="129"/>
    </row>
    <row r="1067" spans="3:22" x14ac:dyDescent="0.3">
      <c r="C1067" s="129"/>
      <c r="D1067" s="129"/>
      <c r="E1067" s="129"/>
      <c r="F1067" s="129"/>
      <c r="G1067" s="129"/>
      <c r="H1067" s="129"/>
      <c r="I1067" s="129"/>
      <c r="J1067" s="129"/>
      <c r="K1067" s="129"/>
      <c r="L1067" s="129"/>
      <c r="M1067" s="129"/>
      <c r="N1067" s="129"/>
      <c r="O1067" s="129"/>
      <c r="P1067" s="129"/>
      <c r="Q1067" s="129"/>
      <c r="R1067" s="129"/>
      <c r="S1067" s="129"/>
      <c r="T1067" s="129"/>
      <c r="U1067" s="129"/>
      <c r="V1067" s="129"/>
    </row>
    <row r="1068" spans="3:22" x14ac:dyDescent="0.3">
      <c r="C1068" s="129"/>
      <c r="D1068" s="129"/>
      <c r="E1068" s="129"/>
      <c r="F1068" s="129"/>
      <c r="G1068" s="129"/>
      <c r="H1068" s="129"/>
      <c r="I1068" s="129"/>
      <c r="J1068" s="129"/>
      <c r="K1068" s="129"/>
      <c r="L1068" s="129"/>
      <c r="M1068" s="129"/>
      <c r="N1068" s="129"/>
      <c r="O1068" s="129"/>
      <c r="P1068" s="129"/>
      <c r="Q1068" s="129"/>
      <c r="R1068" s="129"/>
      <c r="S1068" s="129"/>
      <c r="T1068" s="129"/>
      <c r="U1068" s="129"/>
      <c r="V1068" s="129"/>
    </row>
    <row r="1069" spans="3:22" x14ac:dyDescent="0.3">
      <c r="C1069" s="129"/>
      <c r="D1069" s="129"/>
      <c r="E1069" s="129"/>
      <c r="F1069" s="129"/>
      <c r="G1069" s="129"/>
      <c r="H1069" s="129"/>
      <c r="I1069" s="129"/>
      <c r="J1069" s="129"/>
      <c r="K1069" s="129"/>
      <c r="L1069" s="129"/>
      <c r="M1069" s="129"/>
      <c r="N1069" s="129"/>
      <c r="O1069" s="129"/>
      <c r="P1069" s="129"/>
      <c r="Q1069" s="129"/>
      <c r="R1069" s="129"/>
      <c r="S1069" s="129"/>
      <c r="T1069" s="129"/>
      <c r="U1069" s="129"/>
      <c r="V1069" s="129"/>
    </row>
    <row r="1070" spans="3:22" x14ac:dyDescent="0.3">
      <c r="C1070" s="129"/>
      <c r="D1070" s="129"/>
      <c r="E1070" s="129"/>
      <c r="F1070" s="129"/>
      <c r="G1070" s="129"/>
      <c r="H1070" s="129"/>
      <c r="I1070" s="129"/>
      <c r="J1070" s="129"/>
      <c r="K1070" s="129"/>
      <c r="L1070" s="129"/>
      <c r="M1070" s="129"/>
      <c r="N1070" s="129"/>
      <c r="O1070" s="129"/>
      <c r="P1070" s="129"/>
      <c r="Q1070" s="129"/>
      <c r="R1070" s="129"/>
      <c r="S1070" s="129"/>
      <c r="T1070" s="129"/>
      <c r="U1070" s="129"/>
      <c r="V1070" s="129"/>
    </row>
    <row r="1071" spans="3:22" x14ac:dyDescent="0.3">
      <c r="C1071" s="129"/>
      <c r="D1071" s="129"/>
      <c r="E1071" s="129"/>
      <c r="F1071" s="129"/>
      <c r="G1071" s="129"/>
      <c r="H1071" s="129"/>
      <c r="I1071" s="129"/>
      <c r="J1071" s="129"/>
      <c r="K1071" s="129"/>
      <c r="L1071" s="129"/>
      <c r="M1071" s="129"/>
      <c r="N1071" s="129"/>
      <c r="O1071" s="129"/>
      <c r="P1071" s="129"/>
      <c r="Q1071" s="129"/>
      <c r="R1071" s="129"/>
      <c r="S1071" s="129"/>
      <c r="T1071" s="129"/>
      <c r="U1071" s="129"/>
      <c r="V1071" s="129"/>
    </row>
    <row r="1072" spans="3:22" x14ac:dyDescent="0.3">
      <c r="C1072" s="129"/>
      <c r="D1072" s="129"/>
      <c r="E1072" s="129"/>
      <c r="F1072" s="129"/>
      <c r="G1072" s="129"/>
      <c r="H1072" s="129"/>
      <c r="I1072" s="129"/>
      <c r="J1072" s="129"/>
      <c r="K1072" s="129"/>
      <c r="L1072" s="129"/>
      <c r="M1072" s="129"/>
      <c r="N1072" s="129"/>
      <c r="O1072" s="129"/>
      <c r="P1072" s="129"/>
      <c r="Q1072" s="129"/>
      <c r="R1072" s="129"/>
      <c r="S1072" s="129"/>
      <c r="T1072" s="129"/>
      <c r="U1072" s="129"/>
      <c r="V1072" s="129"/>
    </row>
    <row r="1073" spans="3:22" x14ac:dyDescent="0.3">
      <c r="C1073" s="129"/>
      <c r="D1073" s="129"/>
      <c r="E1073" s="129"/>
      <c r="F1073" s="129"/>
      <c r="G1073" s="129"/>
      <c r="H1073" s="129"/>
      <c r="I1073" s="129"/>
      <c r="J1073" s="129"/>
      <c r="K1073" s="129"/>
      <c r="L1073" s="129"/>
      <c r="M1073" s="129"/>
      <c r="N1073" s="129"/>
      <c r="O1073" s="129"/>
      <c r="P1073" s="129"/>
      <c r="Q1073" s="129"/>
      <c r="R1073" s="129"/>
      <c r="S1073" s="129"/>
      <c r="T1073" s="129"/>
      <c r="U1073" s="129"/>
      <c r="V1073" s="129"/>
    </row>
    <row r="1074" spans="3:22" x14ac:dyDescent="0.3">
      <c r="C1074" s="129"/>
      <c r="D1074" s="129"/>
      <c r="E1074" s="129"/>
      <c r="F1074" s="129"/>
      <c r="G1074" s="129"/>
      <c r="H1074" s="129"/>
      <c r="I1074" s="129"/>
      <c r="J1074" s="129"/>
      <c r="K1074" s="129"/>
      <c r="L1074" s="129"/>
      <c r="M1074" s="129"/>
      <c r="N1074" s="129"/>
      <c r="O1074" s="129"/>
      <c r="P1074" s="129"/>
      <c r="Q1074" s="129"/>
      <c r="R1074" s="129"/>
      <c r="S1074" s="129"/>
      <c r="T1074" s="129"/>
      <c r="U1074" s="129"/>
      <c r="V1074" s="129"/>
    </row>
    <row r="1075" spans="3:22" x14ac:dyDescent="0.3">
      <c r="C1075" s="129"/>
      <c r="D1075" s="129"/>
      <c r="E1075" s="129"/>
      <c r="F1075" s="129"/>
      <c r="G1075" s="129"/>
      <c r="H1075" s="129"/>
      <c r="I1075" s="129"/>
      <c r="J1075" s="129"/>
      <c r="K1075" s="129"/>
      <c r="L1075" s="129"/>
      <c r="M1075" s="129"/>
      <c r="N1075" s="129"/>
      <c r="O1075" s="129"/>
      <c r="P1075" s="129"/>
      <c r="Q1075" s="129"/>
      <c r="R1075" s="129"/>
      <c r="S1075" s="129"/>
      <c r="T1075" s="129"/>
      <c r="U1075" s="129"/>
      <c r="V1075" s="129"/>
    </row>
    <row r="1076" spans="3:22" x14ac:dyDescent="0.3">
      <c r="C1076" s="129"/>
      <c r="D1076" s="129"/>
      <c r="E1076" s="129"/>
      <c r="F1076" s="129"/>
      <c r="G1076" s="129"/>
      <c r="H1076" s="129"/>
      <c r="I1076" s="129"/>
      <c r="J1076" s="129"/>
      <c r="K1076" s="129"/>
      <c r="L1076" s="129"/>
      <c r="M1076" s="129"/>
      <c r="N1076" s="129"/>
      <c r="O1076" s="129"/>
      <c r="P1076" s="129"/>
      <c r="Q1076" s="129"/>
      <c r="R1076" s="129"/>
      <c r="S1076" s="129"/>
      <c r="T1076" s="129"/>
      <c r="U1076" s="129"/>
      <c r="V1076" s="129"/>
    </row>
    <row r="1077" spans="3:22" x14ac:dyDescent="0.3">
      <c r="C1077" s="129"/>
      <c r="D1077" s="129"/>
      <c r="E1077" s="129"/>
      <c r="F1077" s="129"/>
      <c r="G1077" s="129"/>
      <c r="H1077" s="129"/>
      <c r="I1077" s="129"/>
      <c r="J1077" s="129"/>
      <c r="K1077" s="129"/>
      <c r="L1077" s="129"/>
      <c r="M1077" s="129"/>
      <c r="N1077" s="129"/>
      <c r="O1077" s="129"/>
      <c r="P1077" s="129"/>
      <c r="Q1077" s="129"/>
      <c r="R1077" s="129"/>
      <c r="S1077" s="129"/>
      <c r="T1077" s="129"/>
      <c r="U1077" s="129"/>
      <c r="V1077" s="129"/>
    </row>
    <row r="1078" spans="3:22" x14ac:dyDescent="0.3">
      <c r="C1078" s="129"/>
      <c r="D1078" s="129"/>
      <c r="E1078" s="129"/>
      <c r="F1078" s="129"/>
      <c r="G1078" s="129"/>
      <c r="H1078" s="129"/>
      <c r="I1078" s="129"/>
      <c r="J1078" s="129"/>
      <c r="K1078" s="129"/>
      <c r="L1078" s="129"/>
      <c r="M1078" s="129"/>
      <c r="N1078" s="129"/>
      <c r="O1078" s="129"/>
      <c r="P1078" s="129"/>
      <c r="Q1078" s="129"/>
      <c r="R1078" s="129"/>
      <c r="S1078" s="129"/>
      <c r="T1078" s="129"/>
      <c r="U1078" s="129"/>
      <c r="V1078" s="129"/>
    </row>
    <row r="1079" spans="3:22" x14ac:dyDescent="0.3">
      <c r="C1079" s="129"/>
      <c r="D1079" s="129"/>
      <c r="E1079" s="129"/>
      <c r="F1079" s="129"/>
      <c r="G1079" s="129"/>
      <c r="H1079" s="129"/>
      <c r="I1079" s="129"/>
      <c r="J1079" s="129"/>
      <c r="K1079" s="129"/>
      <c r="L1079" s="129"/>
      <c r="M1079" s="129"/>
      <c r="N1079" s="129"/>
      <c r="O1079" s="129"/>
      <c r="P1079" s="129"/>
      <c r="Q1079" s="129"/>
      <c r="R1079" s="129"/>
      <c r="S1079" s="129"/>
      <c r="T1079" s="129"/>
      <c r="U1079" s="129"/>
      <c r="V1079" s="129"/>
    </row>
    <row r="1080" spans="3:22" x14ac:dyDescent="0.3">
      <c r="C1080" s="129"/>
      <c r="D1080" s="129"/>
      <c r="E1080" s="129"/>
      <c r="F1080" s="129"/>
      <c r="G1080" s="129"/>
      <c r="H1080" s="129"/>
      <c r="I1080" s="129"/>
      <c r="J1080" s="129"/>
      <c r="K1080" s="129"/>
      <c r="L1080" s="129"/>
      <c r="M1080" s="129"/>
      <c r="N1080" s="129"/>
      <c r="O1080" s="129"/>
      <c r="P1080" s="129"/>
      <c r="Q1080" s="129"/>
      <c r="R1080" s="129"/>
      <c r="S1080" s="129"/>
      <c r="T1080" s="129"/>
      <c r="U1080" s="129"/>
      <c r="V1080" s="129"/>
    </row>
    <row r="1081" spans="3:22" x14ac:dyDescent="0.3">
      <c r="C1081" s="129"/>
      <c r="D1081" s="129"/>
      <c r="E1081" s="129"/>
      <c r="F1081" s="129"/>
      <c r="G1081" s="129"/>
      <c r="H1081" s="129"/>
      <c r="I1081" s="129"/>
      <c r="J1081" s="129"/>
      <c r="K1081" s="129"/>
      <c r="L1081" s="129"/>
      <c r="M1081" s="129"/>
      <c r="N1081" s="129"/>
      <c r="O1081" s="129"/>
      <c r="P1081" s="129"/>
      <c r="Q1081" s="129"/>
      <c r="R1081" s="129"/>
      <c r="S1081" s="129"/>
      <c r="T1081" s="129"/>
      <c r="U1081" s="129"/>
      <c r="V1081" s="129"/>
    </row>
    <row r="1082" spans="3:22" x14ac:dyDescent="0.3">
      <c r="C1082" s="129"/>
      <c r="D1082" s="129"/>
      <c r="E1082" s="129"/>
      <c r="F1082" s="129"/>
      <c r="G1082" s="129"/>
      <c r="H1082" s="129"/>
      <c r="I1082" s="129"/>
      <c r="J1082" s="129"/>
      <c r="K1082" s="129"/>
      <c r="L1082" s="129"/>
      <c r="M1082" s="129"/>
      <c r="N1082" s="129"/>
      <c r="O1082" s="129"/>
      <c r="P1082" s="129"/>
      <c r="Q1082" s="129"/>
      <c r="R1082" s="129"/>
      <c r="S1082" s="129"/>
      <c r="T1082" s="129"/>
      <c r="U1082" s="129"/>
      <c r="V1082" s="129"/>
    </row>
    <row r="1083" spans="3:22" x14ac:dyDescent="0.3">
      <c r="C1083" s="129"/>
      <c r="D1083" s="129"/>
      <c r="E1083" s="129"/>
      <c r="F1083" s="129"/>
      <c r="G1083" s="129"/>
      <c r="H1083" s="129"/>
      <c r="I1083" s="129"/>
      <c r="J1083" s="129"/>
      <c r="K1083" s="129"/>
      <c r="L1083" s="129"/>
      <c r="M1083" s="129"/>
      <c r="N1083" s="129"/>
      <c r="O1083" s="129"/>
      <c r="P1083" s="129"/>
      <c r="Q1083" s="129"/>
      <c r="R1083" s="129"/>
      <c r="S1083" s="129"/>
      <c r="T1083" s="129"/>
      <c r="U1083" s="129"/>
      <c r="V1083" s="129"/>
    </row>
    <row r="1084" spans="3:22" x14ac:dyDescent="0.3">
      <c r="C1084" s="129"/>
      <c r="D1084" s="129"/>
      <c r="E1084" s="129"/>
      <c r="F1084" s="129"/>
      <c r="G1084" s="129"/>
      <c r="H1084" s="129"/>
      <c r="I1084" s="129"/>
      <c r="J1084" s="129"/>
      <c r="K1084" s="129"/>
      <c r="L1084" s="129"/>
      <c r="M1084" s="129"/>
      <c r="N1084" s="129"/>
      <c r="O1084" s="129"/>
      <c r="P1084" s="129"/>
      <c r="Q1084" s="129"/>
      <c r="R1084" s="129"/>
      <c r="S1084" s="129"/>
      <c r="T1084" s="129"/>
      <c r="U1084" s="129"/>
      <c r="V1084" s="129"/>
    </row>
    <row r="1085" spans="3:22" x14ac:dyDescent="0.3">
      <c r="C1085" s="129"/>
      <c r="D1085" s="129"/>
      <c r="E1085" s="129"/>
      <c r="F1085" s="129"/>
      <c r="G1085" s="129"/>
      <c r="H1085" s="129"/>
      <c r="I1085" s="129"/>
      <c r="J1085" s="129"/>
      <c r="K1085" s="129"/>
      <c r="L1085" s="129"/>
      <c r="M1085" s="129"/>
      <c r="N1085" s="129"/>
      <c r="O1085" s="129"/>
      <c r="P1085" s="129"/>
      <c r="Q1085" s="129"/>
      <c r="R1085" s="129"/>
      <c r="S1085" s="129"/>
      <c r="T1085" s="129"/>
      <c r="U1085" s="129"/>
      <c r="V1085" s="129"/>
    </row>
    <row r="1086" spans="3:22" x14ac:dyDescent="0.3">
      <c r="C1086" s="129"/>
      <c r="D1086" s="129"/>
      <c r="E1086" s="129"/>
      <c r="F1086" s="129"/>
      <c r="G1086" s="129"/>
      <c r="H1086" s="129"/>
      <c r="I1086" s="129"/>
      <c r="J1086" s="129"/>
      <c r="K1086" s="129"/>
      <c r="L1086" s="129"/>
      <c r="M1086" s="129"/>
      <c r="N1086" s="129"/>
      <c r="O1086" s="129"/>
      <c r="P1086" s="129"/>
      <c r="Q1086" s="129"/>
      <c r="R1086" s="129"/>
      <c r="S1086" s="129"/>
      <c r="T1086" s="129"/>
      <c r="U1086" s="129"/>
      <c r="V1086" s="129"/>
    </row>
    <row r="1087" spans="3:22" x14ac:dyDescent="0.3">
      <c r="C1087" s="129"/>
      <c r="D1087" s="129"/>
      <c r="E1087" s="129"/>
      <c r="F1087" s="129"/>
      <c r="G1087" s="129"/>
      <c r="H1087" s="129"/>
      <c r="I1087" s="129"/>
      <c r="J1087" s="129"/>
      <c r="K1087" s="129"/>
      <c r="L1087" s="129"/>
      <c r="M1087" s="129"/>
      <c r="N1087" s="129"/>
      <c r="O1087" s="129"/>
      <c r="P1087" s="129"/>
      <c r="Q1087" s="129"/>
      <c r="R1087" s="129"/>
      <c r="S1087" s="129"/>
      <c r="T1087" s="129"/>
      <c r="U1087" s="129"/>
      <c r="V1087" s="129"/>
    </row>
    <row r="1088" spans="3:22" x14ac:dyDescent="0.3">
      <c r="C1088" s="129"/>
      <c r="D1088" s="129"/>
      <c r="E1088" s="129"/>
      <c r="F1088" s="129"/>
      <c r="G1088" s="129"/>
      <c r="H1088" s="129"/>
      <c r="I1088" s="129"/>
      <c r="J1088" s="129"/>
      <c r="K1088" s="129"/>
      <c r="L1088" s="129"/>
      <c r="M1088" s="129"/>
      <c r="N1088" s="129"/>
      <c r="O1088" s="129"/>
      <c r="P1088" s="129"/>
      <c r="Q1088" s="129"/>
      <c r="R1088" s="129"/>
      <c r="S1088" s="129"/>
      <c r="T1088" s="129"/>
      <c r="U1088" s="129"/>
      <c r="V1088" s="129"/>
    </row>
    <row r="1089" spans="3:22" x14ac:dyDescent="0.3">
      <c r="C1089" s="129"/>
      <c r="D1089" s="129"/>
      <c r="E1089" s="129"/>
      <c r="F1089" s="129"/>
      <c r="G1089" s="129"/>
      <c r="H1089" s="129"/>
      <c r="I1089" s="129"/>
      <c r="J1089" s="129"/>
      <c r="K1089" s="129"/>
      <c r="L1089" s="129"/>
      <c r="M1089" s="129"/>
      <c r="N1089" s="129"/>
      <c r="O1089" s="129"/>
      <c r="P1089" s="129"/>
      <c r="Q1089" s="129"/>
      <c r="R1089" s="129"/>
      <c r="S1089" s="129"/>
      <c r="T1089" s="129"/>
      <c r="U1089" s="129"/>
      <c r="V1089" s="129"/>
    </row>
    <row r="1090" spans="3:22" x14ac:dyDescent="0.3">
      <c r="C1090" s="129"/>
      <c r="D1090" s="129"/>
      <c r="E1090" s="129"/>
      <c r="F1090" s="129"/>
      <c r="G1090" s="129"/>
      <c r="H1090" s="129"/>
      <c r="I1090" s="129"/>
      <c r="J1090" s="129"/>
      <c r="K1090" s="129"/>
      <c r="L1090" s="129"/>
      <c r="M1090" s="129"/>
      <c r="N1090" s="129"/>
      <c r="O1090" s="129"/>
      <c r="P1090" s="129"/>
      <c r="Q1090" s="129"/>
      <c r="R1090" s="129"/>
      <c r="S1090" s="129"/>
      <c r="T1090" s="129"/>
      <c r="U1090" s="129"/>
      <c r="V1090" s="129"/>
    </row>
    <row r="1091" spans="3:22" x14ac:dyDescent="0.3">
      <c r="C1091" s="129"/>
      <c r="D1091" s="129"/>
      <c r="E1091" s="129"/>
      <c r="F1091" s="129"/>
      <c r="G1091" s="129"/>
      <c r="H1091" s="129"/>
      <c r="I1091" s="129"/>
      <c r="J1091" s="129"/>
      <c r="K1091" s="129"/>
      <c r="L1091" s="129"/>
      <c r="M1091" s="129"/>
      <c r="N1091" s="129"/>
      <c r="O1091" s="129"/>
      <c r="P1091" s="129"/>
      <c r="Q1091" s="129"/>
      <c r="R1091" s="129"/>
      <c r="S1091" s="129"/>
      <c r="T1091" s="129"/>
      <c r="U1091" s="129"/>
      <c r="V1091" s="129"/>
    </row>
    <row r="1092" spans="3:22" x14ac:dyDescent="0.3">
      <c r="C1092" s="129"/>
      <c r="D1092" s="129"/>
      <c r="E1092" s="129"/>
      <c r="F1092" s="129"/>
      <c r="G1092" s="129"/>
      <c r="H1092" s="129"/>
      <c r="I1092" s="129"/>
      <c r="J1092" s="129"/>
      <c r="K1092" s="129"/>
      <c r="L1092" s="129"/>
      <c r="M1092" s="129"/>
      <c r="N1092" s="129"/>
      <c r="O1092" s="129"/>
      <c r="P1092" s="129"/>
      <c r="Q1092" s="129"/>
      <c r="R1092" s="129"/>
      <c r="S1092" s="129"/>
      <c r="T1092" s="129"/>
      <c r="U1092" s="129"/>
      <c r="V1092" s="129"/>
    </row>
    <row r="1093" spans="3:22" x14ac:dyDescent="0.3">
      <c r="C1093" s="129"/>
      <c r="D1093" s="129"/>
      <c r="E1093" s="129"/>
      <c r="F1093" s="129"/>
      <c r="G1093" s="129"/>
      <c r="H1093" s="129"/>
      <c r="I1093" s="129"/>
      <c r="J1093" s="129"/>
      <c r="K1093" s="129"/>
      <c r="L1093" s="129"/>
      <c r="M1093" s="129"/>
      <c r="N1093" s="129"/>
      <c r="O1093" s="129"/>
      <c r="P1093" s="129"/>
      <c r="Q1093" s="129"/>
      <c r="R1093" s="129"/>
      <c r="S1093" s="129"/>
      <c r="T1093" s="129"/>
      <c r="U1093" s="129"/>
      <c r="V1093" s="129"/>
    </row>
    <row r="1094" spans="3:22" x14ac:dyDescent="0.3">
      <c r="C1094" s="129"/>
      <c r="D1094" s="129"/>
      <c r="E1094" s="129"/>
      <c r="F1094" s="129"/>
      <c r="G1094" s="129"/>
      <c r="H1094" s="129"/>
      <c r="I1094" s="129"/>
      <c r="J1094" s="129"/>
      <c r="K1094" s="129"/>
      <c r="L1094" s="129"/>
      <c r="M1094" s="129"/>
      <c r="N1094" s="129"/>
      <c r="O1094" s="129"/>
      <c r="P1094" s="129"/>
      <c r="Q1094" s="129"/>
      <c r="R1094" s="129"/>
      <c r="S1094" s="129"/>
      <c r="T1094" s="129"/>
      <c r="U1094" s="129"/>
      <c r="V1094" s="129"/>
    </row>
    <row r="1095" spans="3:22" x14ac:dyDescent="0.3">
      <c r="C1095" s="129"/>
      <c r="D1095" s="129"/>
      <c r="E1095" s="129"/>
      <c r="F1095" s="129"/>
      <c r="G1095" s="129"/>
      <c r="H1095" s="129"/>
      <c r="I1095" s="129"/>
      <c r="J1095" s="129"/>
      <c r="K1095" s="129"/>
      <c r="L1095" s="129"/>
      <c r="M1095" s="129"/>
      <c r="N1095" s="129"/>
      <c r="O1095" s="129"/>
      <c r="P1095" s="129"/>
      <c r="Q1095" s="129"/>
      <c r="R1095" s="129"/>
      <c r="S1095" s="129"/>
      <c r="T1095" s="129"/>
      <c r="U1095" s="129"/>
      <c r="V1095" s="129"/>
    </row>
    <row r="1096" spans="3:22" x14ac:dyDescent="0.3">
      <c r="C1096" s="129"/>
      <c r="D1096" s="129"/>
      <c r="E1096" s="129"/>
      <c r="F1096" s="129"/>
      <c r="G1096" s="129"/>
      <c r="H1096" s="129"/>
      <c r="I1096" s="129"/>
      <c r="J1096" s="129"/>
      <c r="K1096" s="129"/>
      <c r="L1096" s="129"/>
      <c r="M1096" s="129"/>
      <c r="N1096" s="129"/>
      <c r="O1096" s="129"/>
      <c r="P1096" s="129"/>
      <c r="Q1096" s="129"/>
      <c r="R1096" s="129"/>
      <c r="S1096" s="129"/>
      <c r="T1096" s="129"/>
      <c r="U1096" s="129"/>
      <c r="V1096" s="129"/>
    </row>
    <row r="1097" spans="3:22" x14ac:dyDescent="0.3">
      <c r="C1097" s="129"/>
      <c r="D1097" s="129"/>
      <c r="E1097" s="129"/>
      <c r="F1097" s="129"/>
      <c r="G1097" s="129"/>
      <c r="H1097" s="129"/>
      <c r="I1097" s="129"/>
      <c r="J1097" s="129"/>
      <c r="K1097" s="129"/>
      <c r="L1097" s="129"/>
      <c r="M1097" s="129"/>
      <c r="N1097" s="129"/>
      <c r="O1097" s="129"/>
      <c r="P1097" s="129"/>
      <c r="Q1097" s="129"/>
      <c r="R1097" s="129"/>
      <c r="S1097" s="129"/>
      <c r="T1097" s="129"/>
      <c r="U1097" s="129"/>
      <c r="V1097" s="129"/>
    </row>
    <row r="1098" spans="3:22" x14ac:dyDescent="0.3">
      <c r="C1098" s="129"/>
      <c r="D1098" s="129"/>
      <c r="E1098" s="129"/>
      <c r="F1098" s="129"/>
      <c r="G1098" s="129"/>
      <c r="H1098" s="129"/>
      <c r="I1098" s="129"/>
      <c r="J1098" s="129"/>
      <c r="K1098" s="129"/>
      <c r="L1098" s="129"/>
      <c r="M1098" s="129"/>
      <c r="N1098" s="129"/>
      <c r="O1098" s="129"/>
      <c r="P1098" s="129"/>
      <c r="Q1098" s="129"/>
      <c r="R1098" s="129"/>
      <c r="S1098" s="129"/>
      <c r="T1098" s="129"/>
      <c r="U1098" s="129"/>
      <c r="V1098" s="129"/>
    </row>
    <row r="1099" spans="3:22" x14ac:dyDescent="0.3">
      <c r="C1099" s="129"/>
      <c r="D1099" s="129"/>
      <c r="E1099" s="129"/>
      <c r="F1099" s="129"/>
      <c r="G1099" s="129"/>
      <c r="H1099" s="129"/>
      <c r="I1099" s="129"/>
      <c r="J1099" s="129"/>
      <c r="K1099" s="129"/>
      <c r="L1099" s="129"/>
      <c r="M1099" s="129"/>
      <c r="N1099" s="129"/>
      <c r="O1099" s="129"/>
      <c r="P1099" s="129"/>
      <c r="Q1099" s="129"/>
      <c r="R1099" s="129"/>
      <c r="S1099" s="129"/>
      <c r="T1099" s="129"/>
      <c r="U1099" s="129"/>
      <c r="V1099" s="129"/>
    </row>
    <row r="1100" spans="3:22" x14ac:dyDescent="0.3">
      <c r="C1100" s="129"/>
      <c r="D1100" s="129"/>
      <c r="E1100" s="129"/>
      <c r="F1100" s="129"/>
      <c r="G1100" s="129"/>
      <c r="H1100" s="129"/>
      <c r="I1100" s="129"/>
      <c r="J1100" s="129"/>
      <c r="K1100" s="129"/>
      <c r="L1100" s="129"/>
      <c r="M1100" s="129"/>
      <c r="N1100" s="129"/>
      <c r="O1100" s="129"/>
      <c r="P1100" s="129"/>
      <c r="Q1100" s="129"/>
      <c r="R1100" s="129"/>
      <c r="S1100" s="129"/>
      <c r="T1100" s="129"/>
      <c r="U1100" s="129"/>
      <c r="V1100" s="129"/>
    </row>
    <row r="1101" spans="3:22" x14ac:dyDescent="0.3">
      <c r="C1101" s="129"/>
      <c r="D1101" s="129"/>
      <c r="E1101" s="129"/>
      <c r="F1101" s="129"/>
      <c r="G1101" s="129"/>
      <c r="H1101" s="129"/>
      <c r="I1101" s="129"/>
      <c r="J1101" s="129"/>
      <c r="K1101" s="129"/>
      <c r="L1101" s="129"/>
      <c r="M1101" s="129"/>
      <c r="N1101" s="129"/>
      <c r="O1101" s="129"/>
      <c r="P1101" s="129"/>
      <c r="Q1101" s="129"/>
      <c r="R1101" s="129"/>
      <c r="S1101" s="129"/>
      <c r="T1101" s="129"/>
      <c r="U1101" s="129"/>
      <c r="V1101" s="129"/>
    </row>
    <row r="1102" spans="3:22" x14ac:dyDescent="0.3">
      <c r="C1102" s="129"/>
      <c r="D1102" s="129"/>
      <c r="E1102" s="129"/>
      <c r="F1102" s="129"/>
      <c r="G1102" s="129"/>
      <c r="H1102" s="129"/>
      <c r="I1102" s="129"/>
      <c r="J1102" s="129"/>
      <c r="K1102" s="129"/>
      <c r="L1102" s="129"/>
      <c r="M1102" s="129"/>
      <c r="N1102" s="129"/>
      <c r="O1102" s="129"/>
      <c r="P1102" s="129"/>
      <c r="Q1102" s="129"/>
      <c r="R1102" s="129"/>
      <c r="S1102" s="129"/>
      <c r="T1102" s="129"/>
      <c r="U1102" s="129"/>
      <c r="V1102" s="129"/>
    </row>
    <row r="1103" spans="3:22" x14ac:dyDescent="0.3">
      <c r="C1103" s="129"/>
      <c r="D1103" s="129"/>
      <c r="E1103" s="129"/>
      <c r="F1103" s="129"/>
      <c r="G1103" s="129"/>
      <c r="H1103" s="129"/>
      <c r="I1103" s="129"/>
      <c r="J1103" s="129"/>
      <c r="K1103" s="129"/>
      <c r="L1103" s="129"/>
      <c r="M1103" s="129"/>
      <c r="N1103" s="129"/>
      <c r="O1103" s="129"/>
      <c r="P1103" s="129"/>
      <c r="Q1103" s="129"/>
      <c r="R1103" s="129"/>
      <c r="S1103" s="129"/>
      <c r="T1103" s="129"/>
      <c r="U1103" s="129"/>
      <c r="V1103" s="129"/>
    </row>
    <row r="1104" spans="3:22" x14ac:dyDescent="0.3">
      <c r="C1104" s="129"/>
      <c r="D1104" s="129"/>
      <c r="E1104" s="129"/>
      <c r="F1104" s="129"/>
      <c r="G1104" s="129"/>
      <c r="H1104" s="129"/>
      <c r="I1104" s="129"/>
      <c r="J1104" s="129"/>
      <c r="K1104" s="129"/>
      <c r="L1104" s="129"/>
      <c r="M1104" s="129"/>
      <c r="N1104" s="129"/>
      <c r="O1104" s="129"/>
      <c r="P1104" s="129"/>
      <c r="Q1104" s="129"/>
      <c r="R1104" s="129"/>
      <c r="S1104" s="129"/>
      <c r="T1104" s="129"/>
      <c r="U1104" s="129"/>
      <c r="V1104" s="129"/>
    </row>
    <row r="1105" spans="3:22" x14ac:dyDescent="0.3">
      <c r="C1105" s="129"/>
      <c r="D1105" s="129"/>
      <c r="E1105" s="129"/>
      <c r="F1105" s="129"/>
      <c r="G1105" s="129"/>
      <c r="H1105" s="129"/>
      <c r="I1105" s="129"/>
      <c r="J1105" s="129"/>
      <c r="K1105" s="129"/>
      <c r="L1105" s="129"/>
      <c r="M1105" s="129"/>
      <c r="N1105" s="129"/>
      <c r="O1105" s="129"/>
      <c r="P1105" s="129"/>
      <c r="Q1105" s="129"/>
      <c r="R1105" s="129"/>
      <c r="S1105" s="129"/>
      <c r="T1105" s="129"/>
      <c r="U1105" s="129"/>
      <c r="V1105" s="129"/>
    </row>
    <row r="1106" spans="3:22" x14ac:dyDescent="0.3">
      <c r="C1106" s="129"/>
      <c r="D1106" s="129"/>
      <c r="E1106" s="129"/>
      <c r="F1106" s="129"/>
      <c r="G1106" s="129"/>
      <c r="H1106" s="129"/>
      <c r="I1106" s="129"/>
      <c r="J1106" s="129"/>
      <c r="K1106" s="129"/>
      <c r="L1106" s="129"/>
      <c r="M1106" s="129"/>
      <c r="N1106" s="129"/>
      <c r="O1106" s="129"/>
      <c r="P1106" s="129"/>
      <c r="Q1106" s="129"/>
      <c r="R1106" s="129"/>
      <c r="S1106" s="129"/>
      <c r="T1106" s="129"/>
      <c r="U1106" s="129"/>
      <c r="V1106" s="129"/>
    </row>
    <row r="1107" spans="3:22" x14ac:dyDescent="0.3">
      <c r="C1107" s="129"/>
      <c r="D1107" s="129"/>
      <c r="E1107" s="129"/>
      <c r="F1107" s="129"/>
      <c r="G1107" s="129"/>
      <c r="H1107" s="129"/>
      <c r="I1107" s="129"/>
      <c r="J1107" s="129"/>
      <c r="K1107" s="129"/>
      <c r="L1107" s="129"/>
      <c r="M1107" s="129"/>
      <c r="N1107" s="129"/>
      <c r="O1107" s="129"/>
      <c r="P1107" s="129"/>
      <c r="Q1107" s="129"/>
      <c r="R1107" s="129"/>
      <c r="S1107" s="129"/>
      <c r="T1107" s="129"/>
      <c r="U1107" s="129"/>
      <c r="V1107" s="129"/>
    </row>
    <row r="1108" spans="3:22" x14ac:dyDescent="0.3">
      <c r="C1108" s="129"/>
      <c r="D1108" s="129"/>
      <c r="E1108" s="129"/>
      <c r="F1108" s="129"/>
      <c r="G1108" s="129"/>
      <c r="H1108" s="129"/>
      <c r="I1108" s="129"/>
      <c r="J1108" s="129"/>
      <c r="K1108" s="129"/>
      <c r="L1108" s="129"/>
      <c r="M1108" s="129"/>
      <c r="N1108" s="129"/>
      <c r="O1108" s="129"/>
      <c r="P1108" s="129"/>
      <c r="Q1108" s="129"/>
      <c r="R1108" s="129"/>
      <c r="S1108" s="129"/>
      <c r="T1108" s="129"/>
      <c r="U1108" s="129"/>
      <c r="V1108" s="129"/>
    </row>
    <row r="1109" spans="3:22" x14ac:dyDescent="0.3">
      <c r="C1109" s="129"/>
      <c r="D1109" s="129"/>
      <c r="E1109" s="129"/>
      <c r="F1109" s="129"/>
      <c r="G1109" s="129"/>
      <c r="H1109" s="129"/>
      <c r="I1109" s="129"/>
      <c r="J1109" s="129"/>
      <c r="K1109" s="129"/>
      <c r="L1109" s="129"/>
      <c r="M1109" s="129"/>
      <c r="N1109" s="129"/>
      <c r="O1109" s="129"/>
      <c r="P1109" s="129"/>
      <c r="Q1109" s="129"/>
      <c r="R1109" s="129"/>
      <c r="S1109" s="129"/>
      <c r="T1109" s="129"/>
      <c r="U1109" s="129"/>
      <c r="V1109" s="129"/>
    </row>
    <row r="1110" spans="3:22" x14ac:dyDescent="0.3">
      <c r="C1110" s="129"/>
      <c r="D1110" s="129"/>
      <c r="E1110" s="129"/>
      <c r="F1110" s="129"/>
      <c r="G1110" s="129"/>
      <c r="H1110" s="129"/>
      <c r="I1110" s="129"/>
      <c r="J1110" s="129"/>
      <c r="K1110" s="129"/>
      <c r="L1110" s="129"/>
      <c r="M1110" s="129"/>
      <c r="N1110" s="129"/>
      <c r="O1110" s="129"/>
      <c r="P1110" s="129"/>
      <c r="Q1110" s="129"/>
      <c r="R1110" s="129"/>
      <c r="S1110" s="129"/>
      <c r="T1110" s="129"/>
      <c r="U1110" s="129"/>
      <c r="V1110" s="129"/>
    </row>
    <row r="1111" spans="3:22" x14ac:dyDescent="0.3">
      <c r="C1111" s="129"/>
      <c r="D1111" s="129"/>
      <c r="E1111" s="129"/>
      <c r="F1111" s="129"/>
      <c r="G1111" s="129"/>
      <c r="H1111" s="129"/>
      <c r="I1111" s="129"/>
      <c r="J1111" s="129"/>
      <c r="K1111" s="129"/>
      <c r="L1111" s="129"/>
      <c r="M1111" s="129"/>
      <c r="N1111" s="129"/>
      <c r="O1111" s="129"/>
      <c r="P1111" s="129"/>
      <c r="Q1111" s="129"/>
      <c r="R1111" s="129"/>
      <c r="S1111" s="129"/>
      <c r="T1111" s="129"/>
      <c r="U1111" s="129"/>
      <c r="V1111" s="129"/>
    </row>
    <row r="1112" spans="3:22" x14ac:dyDescent="0.3">
      <c r="C1112" s="129"/>
      <c r="D1112" s="129"/>
      <c r="E1112" s="129"/>
      <c r="F1112" s="129"/>
      <c r="G1112" s="129"/>
      <c r="H1112" s="129"/>
      <c r="I1112" s="129"/>
      <c r="J1112" s="129"/>
      <c r="K1112" s="129"/>
      <c r="L1112" s="129"/>
      <c r="M1112" s="129"/>
      <c r="N1112" s="129"/>
      <c r="O1112" s="129"/>
      <c r="P1112" s="129"/>
      <c r="Q1112" s="129"/>
      <c r="R1112" s="129"/>
      <c r="S1112" s="129"/>
      <c r="T1112" s="129"/>
      <c r="U1112" s="129"/>
      <c r="V1112" s="129"/>
    </row>
    <row r="1113" spans="3:22" x14ac:dyDescent="0.3">
      <c r="C1113" s="129"/>
      <c r="D1113" s="129"/>
      <c r="E1113" s="129"/>
      <c r="F1113" s="129"/>
      <c r="G1113" s="129"/>
      <c r="H1113" s="129"/>
      <c r="I1113" s="129"/>
      <c r="J1113" s="129"/>
      <c r="K1113" s="129"/>
      <c r="L1113" s="129"/>
      <c r="M1113" s="129"/>
      <c r="N1113" s="129"/>
      <c r="O1113" s="129"/>
      <c r="P1113" s="129"/>
      <c r="Q1113" s="129"/>
      <c r="R1113" s="129"/>
      <c r="S1113" s="129"/>
      <c r="T1113" s="129"/>
      <c r="U1113" s="129"/>
      <c r="V1113" s="129"/>
    </row>
    <row r="1114" spans="3:22" x14ac:dyDescent="0.3">
      <c r="C1114" s="129"/>
      <c r="D1114" s="129"/>
      <c r="E1114" s="129"/>
      <c r="F1114" s="129"/>
      <c r="G1114" s="129"/>
      <c r="H1114" s="129"/>
      <c r="I1114" s="129"/>
      <c r="J1114" s="129"/>
      <c r="K1114" s="129"/>
      <c r="L1114" s="129"/>
      <c r="M1114" s="129"/>
      <c r="N1114" s="129"/>
      <c r="O1114" s="129"/>
      <c r="P1114" s="129"/>
      <c r="Q1114" s="129"/>
      <c r="R1114" s="129"/>
      <c r="S1114" s="129"/>
      <c r="T1114" s="129"/>
      <c r="U1114" s="129"/>
      <c r="V1114" s="129"/>
    </row>
    <row r="1115" spans="3:22" x14ac:dyDescent="0.3">
      <c r="C1115" s="129"/>
      <c r="D1115" s="129"/>
      <c r="E1115" s="129"/>
      <c r="F1115" s="129"/>
      <c r="G1115" s="129"/>
      <c r="H1115" s="129"/>
      <c r="I1115" s="129"/>
      <c r="J1115" s="129"/>
      <c r="K1115" s="129"/>
      <c r="L1115" s="129"/>
      <c r="M1115" s="129"/>
      <c r="N1115" s="129"/>
      <c r="O1115" s="129"/>
      <c r="P1115" s="129"/>
      <c r="Q1115" s="129"/>
      <c r="R1115" s="129"/>
      <c r="S1115" s="129"/>
      <c r="T1115" s="129"/>
      <c r="U1115" s="129"/>
      <c r="V1115" s="129"/>
    </row>
    <row r="1116" spans="3:22" x14ac:dyDescent="0.3">
      <c r="C1116" s="129"/>
      <c r="D1116" s="129"/>
      <c r="E1116" s="129"/>
      <c r="F1116" s="129"/>
      <c r="G1116" s="129"/>
      <c r="H1116" s="129"/>
      <c r="I1116" s="129"/>
      <c r="J1116" s="129"/>
      <c r="K1116" s="129"/>
      <c r="L1116" s="129"/>
      <c r="M1116" s="129"/>
      <c r="N1116" s="129"/>
      <c r="O1116" s="129"/>
      <c r="P1116" s="129"/>
      <c r="Q1116" s="129"/>
      <c r="R1116" s="129"/>
      <c r="S1116" s="129"/>
      <c r="T1116" s="129"/>
      <c r="U1116" s="129"/>
      <c r="V1116" s="129"/>
    </row>
    <row r="1117" spans="3:22" x14ac:dyDescent="0.3">
      <c r="C1117" s="129"/>
      <c r="D1117" s="129"/>
      <c r="E1117" s="129"/>
      <c r="F1117" s="129"/>
      <c r="G1117" s="129"/>
      <c r="H1117" s="129"/>
      <c r="I1117" s="129"/>
      <c r="J1117" s="129"/>
      <c r="K1117" s="129"/>
      <c r="L1117" s="129"/>
      <c r="M1117" s="129"/>
      <c r="N1117" s="129"/>
      <c r="O1117" s="129"/>
      <c r="P1117" s="129"/>
      <c r="Q1117" s="129"/>
      <c r="R1117" s="129"/>
      <c r="S1117" s="129"/>
      <c r="T1117" s="129"/>
      <c r="U1117" s="129"/>
      <c r="V1117" s="129"/>
    </row>
    <row r="1118" spans="3:22" x14ac:dyDescent="0.3">
      <c r="C1118" s="129"/>
      <c r="D1118" s="129"/>
      <c r="E1118" s="129"/>
      <c r="F1118" s="129"/>
      <c r="G1118" s="129"/>
      <c r="H1118" s="129"/>
      <c r="I1118" s="129"/>
      <c r="J1118" s="129"/>
      <c r="K1118" s="129"/>
      <c r="L1118" s="129"/>
      <c r="M1118" s="129"/>
      <c r="N1118" s="129"/>
      <c r="O1118" s="129"/>
      <c r="P1118" s="129"/>
      <c r="Q1118" s="129"/>
      <c r="R1118" s="129"/>
      <c r="S1118" s="129"/>
      <c r="T1118" s="129"/>
      <c r="U1118" s="129"/>
      <c r="V1118" s="129"/>
    </row>
    <row r="1119" spans="3:22" x14ac:dyDescent="0.3">
      <c r="C1119" s="129"/>
      <c r="D1119" s="129"/>
      <c r="E1119" s="129"/>
      <c r="F1119" s="129"/>
      <c r="G1119" s="129"/>
      <c r="H1119" s="129"/>
      <c r="I1119" s="129"/>
      <c r="J1119" s="129"/>
      <c r="K1119" s="129"/>
      <c r="L1119" s="129"/>
      <c r="M1119" s="129"/>
      <c r="N1119" s="129"/>
      <c r="O1119" s="129"/>
      <c r="P1119" s="129"/>
      <c r="Q1119" s="129"/>
      <c r="R1119" s="129"/>
      <c r="S1119" s="129"/>
      <c r="T1119" s="129"/>
      <c r="U1119" s="129"/>
      <c r="V1119" s="129"/>
    </row>
    <row r="1120" spans="3:22" x14ac:dyDescent="0.3">
      <c r="C1120" s="129"/>
      <c r="D1120" s="129"/>
      <c r="E1120" s="129"/>
      <c r="F1120" s="129"/>
      <c r="G1120" s="129"/>
      <c r="H1120" s="129"/>
      <c r="I1120" s="129"/>
      <c r="J1120" s="129"/>
      <c r="K1120" s="129"/>
      <c r="L1120" s="129"/>
      <c r="M1120" s="129"/>
      <c r="N1120" s="129"/>
      <c r="O1120" s="129"/>
      <c r="P1120" s="129"/>
      <c r="Q1120" s="129"/>
      <c r="R1120" s="129"/>
      <c r="S1120" s="129"/>
      <c r="T1120" s="129"/>
      <c r="U1120" s="129"/>
      <c r="V1120" s="129"/>
    </row>
    <row r="1121" spans="3:22" x14ac:dyDescent="0.3">
      <c r="C1121" s="129"/>
      <c r="D1121" s="129"/>
      <c r="E1121" s="129"/>
      <c r="F1121" s="129"/>
      <c r="G1121" s="129"/>
      <c r="H1121" s="129"/>
      <c r="I1121" s="129"/>
      <c r="J1121" s="129"/>
      <c r="K1121" s="129"/>
      <c r="L1121" s="129"/>
      <c r="M1121" s="129"/>
      <c r="N1121" s="129"/>
      <c r="O1121" s="129"/>
      <c r="P1121" s="129"/>
      <c r="Q1121" s="129"/>
      <c r="R1121" s="129"/>
      <c r="S1121" s="129"/>
      <c r="T1121" s="129"/>
      <c r="U1121" s="129"/>
      <c r="V1121" s="129"/>
    </row>
    <row r="1122" spans="3:22" x14ac:dyDescent="0.3">
      <c r="C1122" s="129"/>
      <c r="D1122" s="129"/>
      <c r="E1122" s="129"/>
      <c r="F1122" s="129"/>
      <c r="G1122" s="129"/>
      <c r="H1122" s="129"/>
      <c r="I1122" s="129"/>
      <c r="J1122" s="129"/>
      <c r="K1122" s="129"/>
      <c r="L1122" s="129"/>
      <c r="M1122" s="129"/>
      <c r="N1122" s="129"/>
      <c r="O1122" s="129"/>
      <c r="P1122" s="129"/>
      <c r="Q1122" s="129"/>
      <c r="R1122" s="129"/>
      <c r="S1122" s="129"/>
      <c r="T1122" s="129"/>
      <c r="U1122" s="129"/>
      <c r="V1122" s="129"/>
    </row>
    <row r="1123" spans="3:22" x14ac:dyDescent="0.3">
      <c r="C1123" s="129"/>
      <c r="D1123" s="129"/>
      <c r="E1123" s="129"/>
      <c r="F1123" s="129"/>
      <c r="G1123" s="129"/>
      <c r="H1123" s="129"/>
      <c r="I1123" s="129"/>
      <c r="J1123" s="129"/>
      <c r="K1123" s="129"/>
      <c r="L1123" s="129"/>
      <c r="M1123" s="129"/>
      <c r="N1123" s="129"/>
      <c r="O1123" s="129"/>
      <c r="P1123" s="129"/>
      <c r="Q1123" s="129"/>
      <c r="R1123" s="129"/>
      <c r="S1123" s="129"/>
      <c r="T1123" s="129"/>
      <c r="U1123" s="129"/>
      <c r="V1123" s="129"/>
    </row>
    <row r="1124" spans="3:22" x14ac:dyDescent="0.3">
      <c r="C1124" s="129"/>
      <c r="D1124" s="129"/>
      <c r="E1124" s="129"/>
      <c r="F1124" s="129"/>
      <c r="G1124" s="129"/>
      <c r="H1124" s="129"/>
      <c r="I1124" s="129"/>
      <c r="J1124" s="129"/>
      <c r="K1124" s="129"/>
      <c r="L1124" s="129"/>
      <c r="M1124" s="129"/>
      <c r="N1124" s="129"/>
      <c r="O1124" s="129"/>
      <c r="P1124" s="129"/>
      <c r="Q1124" s="129"/>
      <c r="R1124" s="129"/>
      <c r="S1124" s="129"/>
      <c r="T1124" s="129"/>
      <c r="U1124" s="129"/>
      <c r="V1124" s="129"/>
    </row>
    <row r="1125" spans="3:22" x14ac:dyDescent="0.3">
      <c r="C1125" s="129"/>
      <c r="D1125" s="129"/>
      <c r="E1125" s="129"/>
      <c r="F1125" s="129"/>
      <c r="G1125" s="129"/>
      <c r="H1125" s="129"/>
      <c r="I1125" s="129"/>
      <c r="J1125" s="129"/>
      <c r="K1125" s="129"/>
      <c r="L1125" s="129"/>
      <c r="M1125" s="129"/>
      <c r="N1125" s="129"/>
      <c r="O1125" s="129"/>
      <c r="P1125" s="129"/>
      <c r="Q1125" s="129"/>
      <c r="R1125" s="129"/>
      <c r="S1125" s="129"/>
      <c r="T1125" s="129"/>
      <c r="U1125" s="129"/>
      <c r="V1125" s="129"/>
    </row>
    <row r="1126" spans="3:22" x14ac:dyDescent="0.3">
      <c r="C1126" s="129"/>
      <c r="D1126" s="129"/>
      <c r="E1126" s="129"/>
      <c r="F1126" s="129"/>
      <c r="G1126" s="129"/>
      <c r="H1126" s="129"/>
      <c r="I1126" s="129"/>
      <c r="J1126" s="129"/>
      <c r="K1126" s="129"/>
      <c r="L1126" s="129"/>
      <c r="M1126" s="129"/>
      <c r="N1126" s="129"/>
      <c r="O1126" s="129"/>
      <c r="P1126" s="129"/>
      <c r="Q1126" s="129"/>
      <c r="R1126" s="129"/>
      <c r="S1126" s="129"/>
      <c r="T1126" s="129"/>
      <c r="U1126" s="129"/>
      <c r="V1126" s="129"/>
    </row>
    <row r="1127" spans="3:22" x14ac:dyDescent="0.3">
      <c r="C1127" s="129"/>
      <c r="D1127" s="129"/>
      <c r="E1127" s="129"/>
      <c r="F1127" s="129"/>
      <c r="G1127" s="129"/>
      <c r="H1127" s="129"/>
      <c r="I1127" s="129"/>
      <c r="J1127" s="129"/>
      <c r="K1127" s="129"/>
      <c r="L1127" s="129"/>
      <c r="M1127" s="129"/>
      <c r="N1127" s="129"/>
      <c r="O1127" s="129"/>
      <c r="P1127" s="129"/>
      <c r="Q1127" s="129"/>
      <c r="R1127" s="129"/>
      <c r="S1127" s="129"/>
      <c r="T1127" s="129"/>
      <c r="U1127" s="129"/>
      <c r="V1127" s="129"/>
    </row>
    <row r="1128" spans="3:22" x14ac:dyDescent="0.3">
      <c r="C1128" s="129"/>
      <c r="D1128" s="129"/>
      <c r="E1128" s="129"/>
      <c r="F1128" s="129"/>
      <c r="G1128" s="129"/>
      <c r="H1128" s="129"/>
      <c r="I1128" s="129"/>
      <c r="J1128" s="129"/>
      <c r="K1128" s="129"/>
      <c r="L1128" s="129"/>
      <c r="M1128" s="129"/>
      <c r="N1128" s="129"/>
      <c r="O1128" s="129"/>
      <c r="P1128" s="129"/>
      <c r="Q1128" s="129"/>
      <c r="R1128" s="129"/>
      <c r="S1128" s="129"/>
      <c r="T1128" s="129"/>
      <c r="U1128" s="129"/>
      <c r="V1128" s="129"/>
    </row>
    <row r="1129" spans="3:22" x14ac:dyDescent="0.3">
      <c r="C1129" s="129"/>
      <c r="D1129" s="129"/>
      <c r="E1129" s="129"/>
      <c r="F1129" s="129"/>
      <c r="G1129" s="129"/>
      <c r="H1129" s="129"/>
      <c r="I1129" s="129"/>
      <c r="J1129" s="129"/>
      <c r="K1129" s="129"/>
      <c r="L1129" s="129"/>
      <c r="M1129" s="129"/>
      <c r="N1129" s="129"/>
      <c r="O1129" s="129"/>
      <c r="P1129" s="129"/>
      <c r="Q1129" s="129"/>
      <c r="R1129" s="129"/>
      <c r="S1129" s="129"/>
      <c r="T1129" s="129"/>
      <c r="U1129" s="129"/>
      <c r="V1129" s="129"/>
    </row>
    <row r="1130" spans="3:22" x14ac:dyDescent="0.3">
      <c r="C1130" s="129"/>
      <c r="D1130" s="129"/>
      <c r="E1130" s="129"/>
      <c r="F1130" s="129"/>
      <c r="G1130" s="129"/>
      <c r="H1130" s="129"/>
      <c r="I1130" s="129"/>
      <c r="J1130" s="129"/>
      <c r="K1130" s="129"/>
      <c r="L1130" s="129"/>
      <c r="M1130" s="129"/>
      <c r="N1130" s="129"/>
      <c r="O1130" s="129"/>
      <c r="P1130" s="129"/>
      <c r="Q1130" s="129"/>
      <c r="R1130" s="129"/>
      <c r="S1130" s="129"/>
      <c r="T1130" s="129"/>
      <c r="U1130" s="129"/>
      <c r="V1130" s="129"/>
    </row>
    <row r="1131" spans="3:22" x14ac:dyDescent="0.3">
      <c r="C1131" s="129"/>
      <c r="D1131" s="129"/>
      <c r="E1131" s="129"/>
      <c r="F1131" s="129"/>
      <c r="G1131" s="129"/>
      <c r="H1131" s="129"/>
      <c r="I1131" s="129"/>
      <c r="J1131" s="129"/>
      <c r="K1131" s="129"/>
      <c r="L1131" s="129"/>
      <c r="M1131" s="129"/>
      <c r="N1131" s="129"/>
      <c r="O1131" s="129"/>
      <c r="P1131" s="129"/>
      <c r="Q1131" s="129"/>
      <c r="R1131" s="129"/>
      <c r="S1131" s="129"/>
      <c r="T1131" s="129"/>
      <c r="U1131" s="129"/>
      <c r="V1131" s="129"/>
    </row>
    <row r="1132" spans="3:22" x14ac:dyDescent="0.3">
      <c r="C1132" s="129"/>
      <c r="D1132" s="129"/>
      <c r="E1132" s="129"/>
      <c r="F1132" s="129"/>
      <c r="G1132" s="129"/>
      <c r="H1132" s="129"/>
      <c r="I1132" s="129"/>
      <c r="J1132" s="129"/>
      <c r="K1132" s="129"/>
      <c r="L1132" s="129"/>
      <c r="M1132" s="129"/>
      <c r="N1132" s="129"/>
      <c r="O1132" s="129"/>
      <c r="P1132" s="129"/>
      <c r="Q1132" s="129"/>
      <c r="R1132" s="129"/>
      <c r="S1132" s="129"/>
      <c r="T1132" s="129"/>
      <c r="U1132" s="129"/>
      <c r="V1132" s="129"/>
    </row>
    <row r="1133" spans="3:22" x14ac:dyDescent="0.3">
      <c r="C1133" s="129"/>
      <c r="D1133" s="129"/>
      <c r="E1133" s="129"/>
      <c r="F1133" s="129"/>
      <c r="G1133" s="129"/>
      <c r="H1133" s="129"/>
      <c r="I1133" s="129"/>
      <c r="J1133" s="129"/>
      <c r="K1133" s="129"/>
      <c r="L1133" s="129"/>
      <c r="M1133" s="129"/>
      <c r="N1133" s="129"/>
      <c r="O1133" s="129"/>
      <c r="P1133" s="129"/>
      <c r="Q1133" s="129"/>
      <c r="R1133" s="129"/>
      <c r="S1133" s="129"/>
      <c r="T1133" s="129"/>
      <c r="U1133" s="129"/>
      <c r="V1133" s="129"/>
    </row>
    <row r="1134" spans="3:22" x14ac:dyDescent="0.3">
      <c r="C1134" s="129"/>
      <c r="D1134" s="129"/>
      <c r="E1134" s="129"/>
      <c r="F1134" s="129"/>
      <c r="G1134" s="129"/>
      <c r="H1134" s="129"/>
      <c r="I1134" s="129"/>
      <c r="J1134" s="129"/>
      <c r="K1134" s="129"/>
      <c r="L1134" s="129"/>
      <c r="M1134" s="129"/>
      <c r="N1134" s="129"/>
      <c r="O1134" s="129"/>
      <c r="P1134" s="129"/>
      <c r="Q1134" s="129"/>
      <c r="R1134" s="129"/>
      <c r="S1134" s="129"/>
      <c r="T1134" s="129"/>
      <c r="U1134" s="129"/>
      <c r="V1134" s="129"/>
    </row>
    <row r="1135" spans="3:22" x14ac:dyDescent="0.3">
      <c r="C1135" s="129"/>
      <c r="D1135" s="129"/>
      <c r="E1135" s="129"/>
      <c r="F1135" s="129"/>
      <c r="G1135" s="129"/>
      <c r="H1135" s="129"/>
      <c r="I1135" s="129"/>
      <c r="J1135" s="129"/>
      <c r="K1135" s="129"/>
      <c r="L1135" s="129"/>
      <c r="M1135" s="129"/>
      <c r="N1135" s="129"/>
      <c r="O1135" s="129"/>
      <c r="P1135" s="129"/>
      <c r="Q1135" s="129"/>
      <c r="R1135" s="129"/>
      <c r="S1135" s="129"/>
      <c r="T1135" s="129"/>
      <c r="U1135" s="129"/>
      <c r="V1135" s="129"/>
    </row>
    <row r="1136" spans="3:22" x14ac:dyDescent="0.3">
      <c r="C1136" s="129"/>
      <c r="D1136" s="129"/>
      <c r="E1136" s="129"/>
      <c r="F1136" s="129"/>
      <c r="G1136" s="129"/>
      <c r="H1136" s="129"/>
      <c r="I1136" s="129"/>
      <c r="J1136" s="129"/>
      <c r="K1136" s="129"/>
      <c r="L1136" s="129"/>
      <c r="M1136" s="129"/>
      <c r="N1136" s="129"/>
      <c r="O1136" s="129"/>
      <c r="P1136" s="129"/>
      <c r="Q1136" s="129"/>
      <c r="R1136" s="129"/>
      <c r="S1136" s="129"/>
      <c r="T1136" s="129"/>
      <c r="U1136" s="129"/>
      <c r="V1136" s="129"/>
    </row>
    <row r="1137" spans="3:22" x14ac:dyDescent="0.3">
      <c r="C1137" s="129"/>
      <c r="D1137" s="129"/>
      <c r="E1137" s="129"/>
      <c r="F1137" s="129"/>
      <c r="G1137" s="129"/>
      <c r="H1137" s="129"/>
      <c r="I1137" s="129"/>
      <c r="J1137" s="129"/>
      <c r="K1137" s="129"/>
      <c r="L1137" s="129"/>
      <c r="M1137" s="129"/>
      <c r="N1137" s="129"/>
      <c r="O1137" s="129"/>
      <c r="P1137" s="129"/>
      <c r="Q1137" s="129"/>
      <c r="R1137" s="129"/>
      <c r="S1137" s="129"/>
      <c r="T1137" s="129"/>
      <c r="U1137" s="129"/>
      <c r="V1137" s="129"/>
    </row>
    <row r="1138" spans="3:22" x14ac:dyDescent="0.3">
      <c r="C1138" s="129"/>
      <c r="D1138" s="129"/>
      <c r="E1138" s="129"/>
      <c r="F1138" s="129"/>
      <c r="G1138" s="129"/>
      <c r="H1138" s="129"/>
      <c r="I1138" s="129"/>
      <c r="J1138" s="129"/>
      <c r="K1138" s="129"/>
      <c r="L1138" s="129"/>
      <c r="M1138" s="129"/>
      <c r="N1138" s="129"/>
      <c r="O1138" s="129"/>
      <c r="P1138" s="129"/>
      <c r="Q1138" s="129"/>
      <c r="R1138" s="129"/>
      <c r="S1138" s="129"/>
      <c r="T1138" s="129"/>
      <c r="U1138" s="129"/>
      <c r="V1138" s="129"/>
    </row>
    <row r="1139" spans="3:22" x14ac:dyDescent="0.3">
      <c r="C1139" s="129"/>
      <c r="D1139" s="129"/>
      <c r="E1139" s="129"/>
      <c r="F1139" s="129"/>
      <c r="G1139" s="129"/>
      <c r="H1139" s="129"/>
      <c r="I1139" s="129"/>
      <c r="J1139" s="129"/>
      <c r="K1139" s="129"/>
      <c r="L1139" s="129"/>
      <c r="M1139" s="129"/>
      <c r="N1139" s="129"/>
      <c r="O1139" s="129"/>
      <c r="P1139" s="129"/>
      <c r="Q1139" s="129"/>
      <c r="R1139" s="129"/>
      <c r="S1139" s="129"/>
      <c r="T1139" s="129"/>
      <c r="U1139" s="129"/>
      <c r="V1139" s="129"/>
    </row>
    <row r="1140" spans="3:22" x14ac:dyDescent="0.3">
      <c r="C1140" s="129"/>
      <c r="D1140" s="129"/>
      <c r="E1140" s="129"/>
      <c r="F1140" s="129"/>
      <c r="G1140" s="129"/>
      <c r="H1140" s="129"/>
      <c r="I1140" s="129"/>
      <c r="J1140" s="129"/>
      <c r="K1140" s="129"/>
      <c r="L1140" s="129"/>
      <c r="M1140" s="129"/>
      <c r="N1140" s="129"/>
      <c r="O1140" s="129"/>
      <c r="P1140" s="129"/>
      <c r="Q1140" s="129"/>
      <c r="R1140" s="129"/>
      <c r="S1140" s="129"/>
      <c r="T1140" s="129"/>
      <c r="U1140" s="129"/>
      <c r="V1140" s="129"/>
    </row>
    <row r="1141" spans="3:22" x14ac:dyDescent="0.3">
      <c r="C1141" s="129"/>
      <c r="D1141" s="129"/>
      <c r="E1141" s="129"/>
      <c r="F1141" s="129"/>
      <c r="G1141" s="129"/>
      <c r="H1141" s="129"/>
      <c r="I1141" s="129"/>
      <c r="J1141" s="129"/>
      <c r="K1141" s="129"/>
      <c r="L1141" s="129"/>
      <c r="M1141" s="129"/>
      <c r="N1141" s="129"/>
      <c r="O1141" s="129"/>
      <c r="P1141" s="129"/>
      <c r="Q1141" s="129"/>
      <c r="R1141" s="129"/>
      <c r="S1141" s="129"/>
      <c r="T1141" s="129"/>
      <c r="U1141" s="129"/>
      <c r="V1141" s="129"/>
    </row>
    <row r="1142" spans="3:22" x14ac:dyDescent="0.3">
      <c r="C1142" s="129"/>
      <c r="D1142" s="129"/>
      <c r="E1142" s="129"/>
      <c r="F1142" s="129"/>
      <c r="G1142" s="129"/>
      <c r="H1142" s="129"/>
      <c r="I1142" s="129"/>
      <c r="J1142" s="129"/>
      <c r="K1142" s="129"/>
      <c r="L1142" s="129"/>
      <c r="M1142" s="129"/>
      <c r="N1142" s="129"/>
      <c r="O1142" s="129"/>
      <c r="P1142" s="129"/>
      <c r="Q1142" s="129"/>
      <c r="R1142" s="129"/>
      <c r="S1142" s="129"/>
      <c r="T1142" s="129"/>
      <c r="U1142" s="129"/>
      <c r="V1142" s="129"/>
    </row>
    <row r="1143" spans="3:22" x14ac:dyDescent="0.3">
      <c r="C1143" s="129"/>
      <c r="D1143" s="129"/>
      <c r="E1143" s="129"/>
      <c r="F1143" s="129"/>
      <c r="G1143" s="129"/>
      <c r="H1143" s="129"/>
      <c r="I1143" s="129"/>
      <c r="J1143" s="129"/>
      <c r="K1143" s="129"/>
      <c r="L1143" s="129"/>
      <c r="M1143" s="129"/>
      <c r="N1143" s="129"/>
      <c r="O1143" s="129"/>
      <c r="P1143" s="129"/>
      <c r="Q1143" s="129"/>
      <c r="R1143" s="129"/>
      <c r="S1143" s="129"/>
      <c r="T1143" s="129"/>
      <c r="U1143" s="129"/>
      <c r="V1143" s="129"/>
    </row>
    <row r="1144" spans="3:22" x14ac:dyDescent="0.3">
      <c r="C1144" s="129"/>
      <c r="D1144" s="129"/>
      <c r="E1144" s="129"/>
      <c r="F1144" s="129"/>
      <c r="G1144" s="129"/>
      <c r="H1144" s="129"/>
      <c r="I1144" s="129"/>
      <c r="J1144" s="129"/>
      <c r="K1144" s="129"/>
      <c r="L1144" s="129"/>
      <c r="M1144" s="129"/>
      <c r="N1144" s="129"/>
      <c r="O1144" s="129"/>
      <c r="P1144" s="129"/>
      <c r="Q1144" s="129"/>
      <c r="R1144" s="129"/>
      <c r="S1144" s="129"/>
      <c r="T1144" s="129"/>
      <c r="U1144" s="129"/>
      <c r="V1144" s="129"/>
    </row>
    <row r="1145" spans="3:22" x14ac:dyDescent="0.3">
      <c r="C1145" s="129"/>
      <c r="D1145" s="129"/>
      <c r="E1145" s="129"/>
      <c r="F1145" s="129"/>
      <c r="G1145" s="129"/>
      <c r="H1145" s="129"/>
      <c r="I1145" s="129"/>
      <c r="J1145" s="129"/>
      <c r="K1145" s="129"/>
      <c r="L1145" s="129"/>
      <c r="M1145" s="129"/>
      <c r="N1145" s="129"/>
      <c r="O1145" s="129"/>
      <c r="P1145" s="129"/>
      <c r="Q1145" s="129"/>
      <c r="R1145" s="129"/>
      <c r="S1145" s="129"/>
      <c r="T1145" s="129"/>
      <c r="U1145" s="129"/>
      <c r="V1145" s="129"/>
    </row>
    <row r="1146" spans="3:22" x14ac:dyDescent="0.3">
      <c r="C1146" s="129"/>
      <c r="D1146" s="129"/>
      <c r="E1146" s="129"/>
      <c r="F1146" s="129"/>
      <c r="G1146" s="129"/>
      <c r="H1146" s="129"/>
      <c r="I1146" s="129"/>
      <c r="J1146" s="129"/>
      <c r="K1146" s="129"/>
      <c r="L1146" s="129"/>
      <c r="M1146" s="129"/>
      <c r="N1146" s="129"/>
      <c r="O1146" s="129"/>
      <c r="P1146" s="129"/>
      <c r="Q1146" s="129"/>
      <c r="R1146" s="129"/>
      <c r="S1146" s="129"/>
      <c r="T1146" s="129"/>
      <c r="U1146" s="129"/>
      <c r="V1146" s="129"/>
    </row>
    <row r="1147" spans="3:22" x14ac:dyDescent="0.3">
      <c r="C1147" s="129"/>
      <c r="D1147" s="129"/>
      <c r="E1147" s="129"/>
      <c r="F1147" s="129"/>
      <c r="G1147" s="129"/>
      <c r="H1147" s="129"/>
      <c r="I1147" s="129"/>
      <c r="J1147" s="129"/>
      <c r="K1147" s="129"/>
      <c r="L1147" s="129"/>
      <c r="M1147" s="129"/>
      <c r="N1147" s="129"/>
      <c r="O1147" s="129"/>
      <c r="P1147" s="129"/>
      <c r="Q1147" s="129"/>
      <c r="R1147" s="129"/>
      <c r="S1147" s="129"/>
      <c r="T1147" s="129"/>
      <c r="U1147" s="129"/>
      <c r="V1147" s="129"/>
    </row>
    <row r="1148" spans="3:22" x14ac:dyDescent="0.3">
      <c r="C1148" s="129"/>
      <c r="D1148" s="129"/>
      <c r="E1148" s="129"/>
      <c r="F1148" s="129"/>
      <c r="G1148" s="129"/>
      <c r="H1148" s="129"/>
      <c r="I1148" s="129"/>
      <c r="J1148" s="129"/>
      <c r="K1148" s="129"/>
      <c r="L1148" s="129"/>
      <c r="M1148" s="129"/>
      <c r="N1148" s="129"/>
      <c r="O1148" s="129"/>
      <c r="P1148" s="129"/>
      <c r="Q1148" s="129"/>
      <c r="R1148" s="129"/>
      <c r="S1148" s="129"/>
      <c r="T1148" s="129"/>
      <c r="U1148" s="129"/>
      <c r="V1148" s="129"/>
    </row>
    <row r="1149" spans="3:22" x14ac:dyDescent="0.3">
      <c r="C1149" s="129"/>
      <c r="D1149" s="129"/>
      <c r="E1149" s="129"/>
      <c r="F1149" s="129"/>
      <c r="G1149" s="129"/>
      <c r="H1149" s="129"/>
      <c r="I1149" s="129"/>
      <c r="J1149" s="129"/>
      <c r="K1149" s="129"/>
      <c r="L1149" s="129"/>
      <c r="M1149" s="129"/>
      <c r="N1149" s="129"/>
      <c r="O1149" s="129"/>
      <c r="P1149" s="129"/>
      <c r="Q1149" s="129"/>
      <c r="R1149" s="129"/>
      <c r="S1149" s="129"/>
      <c r="T1149" s="129"/>
      <c r="U1149" s="129"/>
      <c r="V1149" s="129"/>
    </row>
    <row r="1150" spans="3:22" x14ac:dyDescent="0.3">
      <c r="C1150" s="129"/>
      <c r="D1150" s="129"/>
      <c r="E1150" s="129"/>
      <c r="F1150" s="129"/>
      <c r="G1150" s="129"/>
      <c r="H1150" s="129"/>
      <c r="I1150" s="129"/>
      <c r="J1150" s="129"/>
      <c r="K1150" s="129"/>
      <c r="L1150" s="129"/>
      <c r="M1150" s="129"/>
      <c r="N1150" s="129"/>
      <c r="O1150" s="129"/>
      <c r="P1150" s="129"/>
      <c r="Q1150" s="129"/>
      <c r="R1150" s="129"/>
      <c r="S1150" s="129"/>
      <c r="T1150" s="129"/>
      <c r="U1150" s="129"/>
      <c r="V1150" s="129"/>
    </row>
    <row r="1151" spans="3:22" x14ac:dyDescent="0.3">
      <c r="C1151" s="129"/>
      <c r="D1151" s="129"/>
      <c r="E1151" s="129"/>
      <c r="F1151" s="129"/>
      <c r="G1151" s="129"/>
      <c r="H1151" s="129"/>
      <c r="I1151" s="129"/>
      <c r="J1151" s="129"/>
      <c r="K1151" s="129"/>
      <c r="L1151" s="129"/>
      <c r="M1151" s="129"/>
      <c r="N1151" s="129"/>
      <c r="O1151" s="129"/>
      <c r="P1151" s="129"/>
      <c r="Q1151" s="129"/>
      <c r="R1151" s="129"/>
      <c r="S1151" s="129"/>
      <c r="T1151" s="129"/>
      <c r="U1151" s="129"/>
      <c r="V1151" s="129"/>
    </row>
    <row r="1152" spans="3:22" x14ac:dyDescent="0.3">
      <c r="C1152" s="129"/>
      <c r="D1152" s="129"/>
      <c r="E1152" s="129"/>
      <c r="F1152" s="129"/>
      <c r="G1152" s="129"/>
      <c r="H1152" s="129"/>
      <c r="I1152" s="129"/>
      <c r="J1152" s="129"/>
      <c r="K1152" s="129"/>
      <c r="L1152" s="129"/>
      <c r="M1152" s="129"/>
      <c r="N1152" s="129"/>
      <c r="O1152" s="129"/>
      <c r="P1152" s="129"/>
      <c r="Q1152" s="129"/>
      <c r="R1152" s="129"/>
      <c r="S1152" s="129"/>
      <c r="T1152" s="129"/>
      <c r="U1152" s="129"/>
      <c r="V1152" s="129"/>
    </row>
    <row r="1153" spans="3:22" x14ac:dyDescent="0.3">
      <c r="C1153" s="129"/>
      <c r="D1153" s="129"/>
      <c r="E1153" s="129"/>
      <c r="F1153" s="129"/>
      <c r="G1153" s="129"/>
      <c r="H1153" s="129"/>
      <c r="I1153" s="129"/>
      <c r="J1153" s="129"/>
      <c r="K1153" s="129"/>
      <c r="L1153" s="129"/>
      <c r="M1153" s="129"/>
      <c r="N1153" s="129"/>
      <c r="O1153" s="129"/>
      <c r="P1153" s="129"/>
      <c r="Q1153" s="129"/>
      <c r="R1153" s="129"/>
      <c r="S1153" s="129"/>
      <c r="T1153" s="129"/>
      <c r="U1153" s="129"/>
      <c r="V1153" s="129"/>
    </row>
    <row r="1154" spans="3:22" x14ac:dyDescent="0.3">
      <c r="C1154" s="129"/>
      <c r="D1154" s="129"/>
      <c r="E1154" s="129"/>
      <c r="F1154" s="129"/>
      <c r="G1154" s="129"/>
      <c r="H1154" s="129"/>
      <c r="I1154" s="129"/>
      <c r="J1154" s="129"/>
      <c r="K1154" s="129"/>
      <c r="L1154" s="129"/>
      <c r="M1154" s="129"/>
      <c r="N1154" s="129"/>
      <c r="O1154" s="129"/>
      <c r="P1154" s="129"/>
      <c r="Q1154" s="129"/>
      <c r="R1154" s="129"/>
      <c r="S1154" s="129"/>
      <c r="T1154" s="129"/>
      <c r="U1154" s="129"/>
      <c r="V1154" s="129"/>
    </row>
    <row r="1155" spans="3:22" x14ac:dyDescent="0.3">
      <c r="C1155" s="129"/>
      <c r="D1155" s="129"/>
      <c r="E1155" s="129"/>
      <c r="F1155" s="129"/>
      <c r="G1155" s="129"/>
      <c r="H1155" s="129"/>
      <c r="I1155" s="129"/>
      <c r="J1155" s="129"/>
      <c r="K1155" s="129"/>
      <c r="L1155" s="129"/>
      <c r="M1155" s="129"/>
      <c r="N1155" s="129"/>
      <c r="O1155" s="129"/>
      <c r="P1155" s="129"/>
      <c r="Q1155" s="129"/>
      <c r="R1155" s="129"/>
      <c r="S1155" s="129"/>
      <c r="T1155" s="129"/>
      <c r="U1155" s="129"/>
      <c r="V1155" s="129"/>
    </row>
    <row r="1156" spans="3:22" x14ac:dyDescent="0.3">
      <c r="C1156" s="129"/>
      <c r="D1156" s="129"/>
      <c r="E1156" s="129"/>
      <c r="F1156" s="129"/>
      <c r="G1156" s="129"/>
      <c r="H1156" s="129"/>
      <c r="I1156" s="129"/>
      <c r="J1156" s="129"/>
      <c r="K1156" s="129"/>
      <c r="L1156" s="129"/>
      <c r="M1156" s="129"/>
      <c r="N1156" s="129"/>
      <c r="O1156" s="129"/>
      <c r="P1156" s="129"/>
      <c r="Q1156" s="129"/>
      <c r="R1156" s="129"/>
      <c r="S1156" s="129"/>
      <c r="T1156" s="129"/>
      <c r="U1156" s="129"/>
      <c r="V1156" s="129"/>
    </row>
    <row r="1157" spans="3:22" x14ac:dyDescent="0.3">
      <c r="C1157" s="129"/>
      <c r="D1157" s="129"/>
      <c r="E1157" s="129"/>
      <c r="F1157" s="129"/>
      <c r="G1157" s="129"/>
      <c r="H1157" s="129"/>
      <c r="I1157" s="129"/>
      <c r="J1157" s="129"/>
      <c r="K1157" s="129"/>
      <c r="L1157" s="129"/>
      <c r="M1157" s="129"/>
      <c r="N1157" s="129"/>
      <c r="O1157" s="129"/>
      <c r="P1157" s="129"/>
      <c r="Q1157" s="129"/>
      <c r="R1157" s="129"/>
      <c r="S1157" s="129"/>
      <c r="T1157" s="129"/>
      <c r="U1157" s="129"/>
      <c r="V1157" s="129"/>
    </row>
    <row r="1158" spans="3:22" x14ac:dyDescent="0.3">
      <c r="C1158" s="129"/>
      <c r="D1158" s="129"/>
      <c r="E1158" s="129"/>
      <c r="F1158" s="129"/>
      <c r="G1158" s="129"/>
      <c r="H1158" s="129"/>
      <c r="I1158" s="129"/>
      <c r="J1158" s="129"/>
      <c r="K1158" s="129"/>
      <c r="L1158" s="129"/>
      <c r="M1158" s="129"/>
      <c r="N1158" s="129"/>
      <c r="O1158" s="129"/>
      <c r="P1158" s="129"/>
      <c r="Q1158" s="129"/>
      <c r="R1158" s="129"/>
      <c r="S1158" s="129"/>
      <c r="T1158" s="129"/>
      <c r="U1158" s="129"/>
      <c r="V1158" s="129"/>
    </row>
    <row r="1159" spans="3:22" x14ac:dyDescent="0.3">
      <c r="C1159" s="129"/>
      <c r="D1159" s="129"/>
      <c r="E1159" s="129"/>
      <c r="F1159" s="129"/>
      <c r="G1159" s="129"/>
      <c r="H1159" s="129"/>
      <c r="I1159" s="129"/>
      <c r="J1159" s="129"/>
      <c r="K1159" s="129"/>
      <c r="L1159" s="129"/>
      <c r="M1159" s="129"/>
      <c r="N1159" s="129"/>
      <c r="O1159" s="129"/>
      <c r="P1159" s="129"/>
      <c r="Q1159" s="129"/>
      <c r="R1159" s="129"/>
      <c r="S1159" s="129"/>
      <c r="T1159" s="129"/>
      <c r="U1159" s="129"/>
      <c r="V1159" s="129"/>
    </row>
    <row r="1160" spans="3:22" x14ac:dyDescent="0.3">
      <c r="C1160" s="129"/>
      <c r="D1160" s="129"/>
      <c r="E1160" s="129"/>
      <c r="F1160" s="129"/>
      <c r="G1160" s="129"/>
      <c r="H1160" s="129"/>
      <c r="I1160" s="129"/>
      <c r="J1160" s="129"/>
      <c r="K1160" s="129"/>
      <c r="L1160" s="129"/>
      <c r="M1160" s="129"/>
      <c r="N1160" s="129"/>
      <c r="O1160" s="129"/>
      <c r="P1160" s="129"/>
      <c r="Q1160" s="129"/>
      <c r="R1160" s="129"/>
      <c r="S1160" s="129"/>
      <c r="T1160" s="129"/>
      <c r="U1160" s="129"/>
      <c r="V1160" s="129"/>
    </row>
    <row r="1161" spans="3:22" x14ac:dyDescent="0.3">
      <c r="C1161" s="129"/>
      <c r="D1161" s="129"/>
      <c r="E1161" s="129"/>
      <c r="F1161" s="129"/>
      <c r="G1161" s="129"/>
      <c r="H1161" s="129"/>
      <c r="I1161" s="129"/>
      <c r="J1161" s="129"/>
      <c r="K1161" s="129"/>
      <c r="L1161" s="129"/>
      <c r="M1161" s="129"/>
      <c r="N1161" s="129"/>
      <c r="O1161" s="129"/>
      <c r="P1161" s="129"/>
      <c r="Q1161" s="129"/>
      <c r="R1161" s="129"/>
      <c r="S1161" s="129"/>
      <c r="T1161" s="129"/>
      <c r="U1161" s="129"/>
      <c r="V1161" s="129"/>
    </row>
    <row r="1162" spans="3:22" x14ac:dyDescent="0.3">
      <c r="C1162" s="129"/>
      <c r="D1162" s="129"/>
      <c r="E1162" s="129"/>
      <c r="F1162" s="129"/>
      <c r="G1162" s="129"/>
      <c r="H1162" s="129"/>
      <c r="I1162" s="129"/>
      <c r="J1162" s="129"/>
      <c r="K1162" s="129"/>
      <c r="L1162" s="129"/>
      <c r="M1162" s="129"/>
      <c r="N1162" s="129"/>
      <c r="O1162" s="129"/>
      <c r="P1162" s="129"/>
      <c r="Q1162" s="129"/>
      <c r="R1162" s="129"/>
      <c r="S1162" s="129"/>
      <c r="T1162" s="129"/>
      <c r="U1162" s="129"/>
      <c r="V1162" s="129"/>
    </row>
    <row r="1163" spans="3:22" x14ac:dyDescent="0.3">
      <c r="C1163" s="129"/>
      <c r="D1163" s="129"/>
      <c r="E1163" s="129"/>
      <c r="F1163" s="129"/>
      <c r="G1163" s="129"/>
      <c r="H1163" s="129"/>
      <c r="I1163" s="129"/>
      <c r="J1163" s="129"/>
      <c r="K1163" s="129"/>
      <c r="L1163" s="129"/>
      <c r="M1163" s="129"/>
      <c r="N1163" s="129"/>
      <c r="O1163" s="129"/>
      <c r="P1163" s="129"/>
      <c r="Q1163" s="129"/>
      <c r="R1163" s="129"/>
      <c r="S1163" s="129"/>
      <c r="T1163" s="129"/>
      <c r="U1163" s="129"/>
      <c r="V1163" s="129"/>
    </row>
    <row r="1164" spans="3:22" x14ac:dyDescent="0.3">
      <c r="C1164" s="129"/>
      <c r="D1164" s="129"/>
      <c r="E1164" s="129"/>
      <c r="F1164" s="129"/>
      <c r="G1164" s="129"/>
      <c r="H1164" s="129"/>
      <c r="I1164" s="129"/>
      <c r="J1164" s="129"/>
      <c r="K1164" s="129"/>
      <c r="L1164" s="129"/>
      <c r="M1164" s="129"/>
      <c r="N1164" s="129"/>
      <c r="O1164" s="129"/>
      <c r="P1164" s="129"/>
      <c r="Q1164" s="129"/>
      <c r="R1164" s="129"/>
      <c r="S1164" s="129"/>
      <c r="T1164" s="129"/>
      <c r="U1164" s="129"/>
      <c r="V1164" s="129"/>
    </row>
    <row r="1165" spans="3:22" x14ac:dyDescent="0.3">
      <c r="C1165" s="129"/>
      <c r="D1165" s="129"/>
      <c r="E1165" s="129"/>
      <c r="F1165" s="129"/>
      <c r="G1165" s="129"/>
      <c r="H1165" s="129"/>
      <c r="I1165" s="129"/>
      <c r="J1165" s="129"/>
      <c r="K1165" s="129"/>
      <c r="L1165" s="129"/>
      <c r="M1165" s="129"/>
      <c r="N1165" s="129"/>
      <c r="O1165" s="129"/>
      <c r="P1165" s="129"/>
      <c r="Q1165" s="129"/>
      <c r="R1165" s="129"/>
      <c r="S1165" s="129"/>
      <c r="T1165" s="129"/>
      <c r="U1165" s="129"/>
      <c r="V1165" s="129"/>
    </row>
    <row r="1166" spans="3:22" x14ac:dyDescent="0.3">
      <c r="C1166" s="129"/>
      <c r="D1166" s="129"/>
      <c r="E1166" s="129"/>
      <c r="F1166" s="129"/>
      <c r="G1166" s="129"/>
      <c r="H1166" s="129"/>
      <c r="I1166" s="129"/>
      <c r="J1166" s="129"/>
      <c r="K1166" s="129"/>
      <c r="L1166" s="129"/>
      <c r="M1166" s="129"/>
      <c r="N1166" s="129"/>
      <c r="O1166" s="129"/>
      <c r="P1166" s="129"/>
      <c r="Q1166" s="129"/>
      <c r="R1166" s="129"/>
      <c r="S1166" s="129"/>
      <c r="T1166" s="129"/>
      <c r="U1166" s="129"/>
      <c r="V1166" s="129"/>
    </row>
    <row r="1167" spans="3:22" x14ac:dyDescent="0.3">
      <c r="C1167" s="129"/>
      <c r="D1167" s="129"/>
      <c r="E1167" s="129"/>
      <c r="F1167" s="129"/>
      <c r="G1167" s="129"/>
      <c r="H1167" s="129"/>
      <c r="I1167" s="129"/>
      <c r="J1167" s="129"/>
      <c r="K1167" s="129"/>
      <c r="L1167" s="129"/>
      <c r="M1167" s="129"/>
      <c r="N1167" s="129"/>
      <c r="O1167" s="129"/>
      <c r="P1167" s="129"/>
      <c r="Q1167" s="129"/>
      <c r="R1167" s="129"/>
      <c r="S1167" s="129"/>
      <c r="T1167" s="129"/>
      <c r="U1167" s="129"/>
      <c r="V1167" s="129"/>
    </row>
    <row r="1168" spans="3:22" x14ac:dyDescent="0.3">
      <c r="C1168" s="129"/>
      <c r="D1168" s="129"/>
      <c r="E1168" s="129"/>
      <c r="F1168" s="129"/>
      <c r="G1168" s="129"/>
      <c r="H1168" s="129"/>
      <c r="I1168" s="129"/>
      <c r="J1168" s="129"/>
      <c r="K1168" s="129"/>
      <c r="L1168" s="129"/>
      <c r="M1168" s="129"/>
      <c r="N1168" s="129"/>
      <c r="O1168" s="129"/>
      <c r="P1168" s="129"/>
      <c r="Q1168" s="129"/>
      <c r="R1168" s="129"/>
      <c r="S1168" s="129"/>
      <c r="T1168" s="129"/>
      <c r="U1168" s="129"/>
      <c r="V1168" s="129"/>
    </row>
    <row r="1169" spans="3:22" x14ac:dyDescent="0.3">
      <c r="C1169" s="129"/>
      <c r="D1169" s="129"/>
      <c r="E1169" s="129"/>
      <c r="F1169" s="129"/>
      <c r="G1169" s="129"/>
      <c r="H1169" s="129"/>
      <c r="I1169" s="129"/>
      <c r="J1169" s="129"/>
      <c r="K1169" s="129"/>
      <c r="L1169" s="129"/>
      <c r="M1169" s="129"/>
      <c r="N1169" s="129"/>
      <c r="O1169" s="129"/>
      <c r="P1169" s="129"/>
      <c r="Q1169" s="129"/>
      <c r="R1169" s="129"/>
      <c r="S1169" s="129"/>
      <c r="T1169" s="129"/>
      <c r="U1169" s="129"/>
      <c r="V1169" s="129"/>
    </row>
    <row r="1170" spans="3:22" x14ac:dyDescent="0.3">
      <c r="C1170" s="129"/>
      <c r="D1170" s="129"/>
      <c r="E1170" s="129"/>
      <c r="F1170" s="129"/>
      <c r="G1170" s="129"/>
      <c r="H1170" s="129"/>
      <c r="I1170" s="129"/>
      <c r="J1170" s="129"/>
      <c r="K1170" s="129"/>
      <c r="L1170" s="129"/>
      <c r="M1170" s="129"/>
      <c r="N1170" s="129"/>
      <c r="O1170" s="129"/>
      <c r="P1170" s="129"/>
      <c r="Q1170" s="129"/>
      <c r="R1170" s="129"/>
      <c r="S1170" s="129"/>
      <c r="T1170" s="129"/>
      <c r="U1170" s="129"/>
      <c r="V1170" s="129"/>
    </row>
    <row r="1171" spans="3:22" x14ac:dyDescent="0.3">
      <c r="C1171" s="129"/>
      <c r="D1171" s="129"/>
      <c r="E1171" s="129"/>
      <c r="F1171" s="129"/>
      <c r="G1171" s="129"/>
      <c r="H1171" s="129"/>
      <c r="I1171" s="129"/>
      <c r="J1171" s="129"/>
      <c r="K1171" s="129"/>
      <c r="L1171" s="129"/>
      <c r="M1171" s="129"/>
      <c r="N1171" s="129"/>
      <c r="O1171" s="129"/>
      <c r="P1171" s="129"/>
      <c r="Q1171" s="129"/>
      <c r="R1171" s="129"/>
      <c r="S1171" s="129"/>
      <c r="T1171" s="129"/>
      <c r="U1171" s="129"/>
      <c r="V1171" s="129"/>
    </row>
    <row r="1172" spans="3:22" x14ac:dyDescent="0.3">
      <c r="C1172" s="129"/>
      <c r="D1172" s="129"/>
      <c r="E1172" s="129"/>
      <c r="F1172" s="129"/>
      <c r="G1172" s="129"/>
      <c r="H1172" s="129"/>
      <c r="I1172" s="129"/>
      <c r="J1172" s="129"/>
      <c r="K1172" s="129"/>
      <c r="L1172" s="129"/>
      <c r="M1172" s="129"/>
      <c r="N1172" s="129"/>
      <c r="O1172" s="129"/>
      <c r="P1172" s="129"/>
      <c r="Q1172" s="129"/>
      <c r="R1172" s="129"/>
      <c r="S1172" s="129"/>
      <c r="T1172" s="129"/>
      <c r="U1172" s="129"/>
      <c r="V1172" s="129"/>
    </row>
    <row r="1173" spans="3:22" x14ac:dyDescent="0.3">
      <c r="C1173" s="129"/>
      <c r="D1173" s="129"/>
      <c r="E1173" s="129"/>
      <c r="F1173" s="129"/>
      <c r="G1173" s="129"/>
      <c r="H1173" s="129"/>
      <c r="I1173" s="129"/>
      <c r="J1173" s="129"/>
      <c r="K1173" s="129"/>
      <c r="L1173" s="129"/>
      <c r="M1173" s="129"/>
      <c r="N1173" s="129"/>
      <c r="O1173" s="129"/>
      <c r="P1173" s="129"/>
      <c r="Q1173" s="129"/>
      <c r="R1173" s="129"/>
      <c r="S1173" s="129"/>
      <c r="T1173" s="129"/>
      <c r="U1173" s="129"/>
      <c r="V1173" s="129"/>
    </row>
    <row r="1174" spans="3:22" x14ac:dyDescent="0.3">
      <c r="C1174" s="129"/>
      <c r="D1174" s="129"/>
      <c r="E1174" s="129"/>
      <c r="F1174" s="129"/>
      <c r="G1174" s="129"/>
      <c r="H1174" s="129"/>
      <c r="I1174" s="129"/>
      <c r="J1174" s="129"/>
      <c r="K1174" s="129"/>
      <c r="L1174" s="129"/>
      <c r="M1174" s="129"/>
      <c r="N1174" s="129"/>
      <c r="O1174" s="129"/>
      <c r="P1174" s="129"/>
      <c r="Q1174" s="129"/>
      <c r="R1174" s="129"/>
      <c r="S1174" s="129"/>
      <c r="T1174" s="129"/>
      <c r="U1174" s="129"/>
      <c r="V1174" s="129"/>
    </row>
    <row r="1175" spans="3:22" x14ac:dyDescent="0.3">
      <c r="C1175" s="129"/>
      <c r="D1175" s="129"/>
      <c r="E1175" s="129"/>
      <c r="F1175" s="129"/>
      <c r="G1175" s="129"/>
      <c r="H1175" s="129"/>
      <c r="I1175" s="129"/>
      <c r="J1175" s="129"/>
      <c r="K1175" s="129"/>
      <c r="L1175" s="129"/>
      <c r="M1175" s="129"/>
      <c r="N1175" s="129"/>
      <c r="O1175" s="129"/>
      <c r="P1175" s="129"/>
      <c r="Q1175" s="129"/>
      <c r="R1175" s="129"/>
      <c r="S1175" s="129"/>
      <c r="T1175" s="129"/>
      <c r="U1175" s="129"/>
      <c r="V1175" s="129"/>
    </row>
    <row r="1176" spans="3:22" x14ac:dyDescent="0.3">
      <c r="C1176" s="129"/>
      <c r="D1176" s="129"/>
      <c r="E1176" s="129"/>
      <c r="F1176" s="129"/>
      <c r="G1176" s="129"/>
      <c r="H1176" s="129"/>
      <c r="I1176" s="129"/>
      <c r="J1176" s="129"/>
      <c r="K1176" s="129"/>
      <c r="L1176" s="129"/>
      <c r="M1176" s="129"/>
      <c r="N1176" s="129"/>
      <c r="O1176" s="129"/>
      <c r="P1176" s="129"/>
      <c r="Q1176" s="129"/>
      <c r="R1176" s="129"/>
      <c r="S1176" s="129"/>
      <c r="T1176" s="129"/>
      <c r="U1176" s="129"/>
      <c r="V1176" s="129"/>
    </row>
    <row r="1177" spans="3:22" x14ac:dyDescent="0.3">
      <c r="C1177" s="129"/>
      <c r="D1177" s="129"/>
      <c r="E1177" s="129"/>
      <c r="F1177" s="129"/>
      <c r="G1177" s="129"/>
      <c r="H1177" s="129"/>
      <c r="I1177" s="129"/>
      <c r="J1177" s="129"/>
      <c r="K1177" s="129"/>
      <c r="L1177" s="129"/>
      <c r="M1177" s="129"/>
      <c r="N1177" s="129"/>
      <c r="O1177" s="129"/>
      <c r="P1177" s="129"/>
      <c r="Q1177" s="129"/>
      <c r="R1177" s="129"/>
      <c r="S1177" s="129"/>
      <c r="T1177" s="129"/>
      <c r="U1177" s="129"/>
      <c r="V1177" s="129"/>
    </row>
    <row r="1178" spans="3:22" x14ac:dyDescent="0.3">
      <c r="C1178" s="129"/>
      <c r="D1178" s="129"/>
      <c r="E1178" s="129"/>
      <c r="F1178" s="129"/>
      <c r="G1178" s="129"/>
      <c r="H1178" s="129"/>
      <c r="I1178" s="129"/>
      <c r="J1178" s="129"/>
      <c r="K1178" s="129"/>
      <c r="L1178" s="129"/>
      <c r="M1178" s="129"/>
      <c r="N1178" s="129"/>
      <c r="O1178" s="129"/>
      <c r="P1178" s="129"/>
      <c r="Q1178" s="129"/>
      <c r="R1178" s="129"/>
      <c r="S1178" s="129"/>
      <c r="T1178" s="129"/>
      <c r="U1178" s="129"/>
      <c r="V1178" s="129"/>
    </row>
    <row r="1179" spans="3:22" x14ac:dyDescent="0.3">
      <c r="C1179" s="129"/>
      <c r="D1179" s="129"/>
      <c r="E1179" s="129"/>
      <c r="F1179" s="129"/>
      <c r="G1179" s="129"/>
      <c r="H1179" s="129"/>
      <c r="I1179" s="129"/>
      <c r="J1179" s="129"/>
      <c r="K1179" s="129"/>
      <c r="L1179" s="129"/>
      <c r="M1179" s="129"/>
      <c r="N1179" s="129"/>
      <c r="O1179" s="129"/>
      <c r="P1179" s="129"/>
      <c r="Q1179" s="129"/>
      <c r="R1179" s="129"/>
      <c r="S1179" s="129"/>
      <c r="T1179" s="129"/>
      <c r="U1179" s="129"/>
      <c r="V1179" s="129"/>
    </row>
    <row r="1180" spans="3:22" x14ac:dyDescent="0.3">
      <c r="C1180" s="129"/>
      <c r="D1180" s="129"/>
      <c r="E1180" s="129"/>
      <c r="F1180" s="129"/>
      <c r="G1180" s="129"/>
      <c r="H1180" s="129"/>
      <c r="I1180" s="129"/>
      <c r="J1180" s="129"/>
      <c r="K1180" s="129"/>
      <c r="L1180" s="129"/>
      <c r="M1180" s="129"/>
      <c r="N1180" s="129"/>
      <c r="O1180" s="129"/>
      <c r="P1180" s="129"/>
      <c r="Q1180" s="129"/>
      <c r="R1180" s="129"/>
      <c r="S1180" s="129"/>
      <c r="T1180" s="129"/>
      <c r="U1180" s="129"/>
      <c r="V1180" s="129"/>
    </row>
    <row r="1181" spans="3:22" x14ac:dyDescent="0.3">
      <c r="C1181" s="129"/>
      <c r="D1181" s="129"/>
      <c r="E1181" s="129"/>
      <c r="F1181" s="129"/>
      <c r="G1181" s="129"/>
      <c r="H1181" s="129"/>
      <c r="I1181" s="129"/>
      <c r="J1181" s="129"/>
      <c r="K1181" s="129"/>
      <c r="L1181" s="129"/>
      <c r="M1181" s="129"/>
      <c r="N1181" s="129"/>
      <c r="O1181" s="129"/>
      <c r="P1181" s="129"/>
      <c r="Q1181" s="129"/>
      <c r="R1181" s="129"/>
      <c r="S1181" s="129"/>
      <c r="T1181" s="129"/>
      <c r="U1181" s="129"/>
      <c r="V1181" s="129"/>
    </row>
    <row r="1182" spans="3:22" x14ac:dyDescent="0.3">
      <c r="C1182" s="129"/>
      <c r="D1182" s="129"/>
      <c r="E1182" s="129"/>
      <c r="F1182" s="129"/>
      <c r="G1182" s="129"/>
      <c r="H1182" s="129"/>
      <c r="I1182" s="129"/>
      <c r="J1182" s="129"/>
      <c r="K1182" s="129"/>
      <c r="L1182" s="129"/>
      <c r="M1182" s="129"/>
      <c r="N1182" s="129"/>
      <c r="O1182" s="129"/>
      <c r="P1182" s="129"/>
      <c r="Q1182" s="129"/>
      <c r="R1182" s="129"/>
      <c r="S1182" s="129"/>
      <c r="T1182" s="129"/>
      <c r="U1182" s="129"/>
      <c r="V1182" s="129"/>
    </row>
    <row r="1183" spans="3:22" x14ac:dyDescent="0.3">
      <c r="C1183" s="129"/>
      <c r="D1183" s="129"/>
      <c r="E1183" s="129"/>
      <c r="F1183" s="129"/>
      <c r="G1183" s="129"/>
      <c r="H1183" s="129"/>
      <c r="I1183" s="129"/>
      <c r="J1183" s="129"/>
      <c r="K1183" s="129"/>
      <c r="L1183" s="129"/>
      <c r="M1183" s="129"/>
      <c r="N1183" s="129"/>
      <c r="O1183" s="129"/>
      <c r="P1183" s="129"/>
      <c r="Q1183" s="129"/>
      <c r="R1183" s="129"/>
      <c r="S1183" s="129"/>
      <c r="T1183" s="129"/>
      <c r="U1183" s="129"/>
      <c r="V1183" s="129"/>
    </row>
    <row r="1184" spans="3:22" x14ac:dyDescent="0.3">
      <c r="C1184" s="129"/>
      <c r="D1184" s="129"/>
      <c r="E1184" s="129"/>
      <c r="F1184" s="129"/>
      <c r="G1184" s="129"/>
      <c r="H1184" s="129"/>
      <c r="I1184" s="129"/>
      <c r="J1184" s="129"/>
      <c r="K1184" s="129"/>
      <c r="L1184" s="129"/>
      <c r="M1184" s="129"/>
      <c r="N1184" s="129"/>
      <c r="O1184" s="129"/>
      <c r="P1184" s="129"/>
      <c r="Q1184" s="129"/>
      <c r="R1184" s="129"/>
      <c r="S1184" s="129"/>
      <c r="T1184" s="129"/>
      <c r="U1184" s="129"/>
      <c r="V1184" s="129"/>
    </row>
    <row r="1185" spans="3:22" x14ac:dyDescent="0.3">
      <c r="C1185" s="129"/>
      <c r="D1185" s="129"/>
      <c r="E1185" s="129"/>
      <c r="F1185" s="129"/>
      <c r="G1185" s="129"/>
      <c r="H1185" s="129"/>
      <c r="I1185" s="129"/>
      <c r="J1185" s="129"/>
      <c r="K1185" s="129"/>
      <c r="L1185" s="129"/>
      <c r="M1185" s="129"/>
      <c r="N1185" s="129"/>
      <c r="O1185" s="129"/>
      <c r="P1185" s="129"/>
      <c r="Q1185" s="129"/>
      <c r="R1185" s="129"/>
      <c r="S1185" s="129"/>
      <c r="T1185" s="129"/>
      <c r="U1185" s="129"/>
      <c r="V1185" s="129"/>
    </row>
    <row r="1186" spans="3:22" x14ac:dyDescent="0.3">
      <c r="C1186" s="129"/>
      <c r="D1186" s="129"/>
      <c r="E1186" s="129"/>
      <c r="F1186" s="129"/>
      <c r="G1186" s="129"/>
      <c r="H1186" s="129"/>
      <c r="I1186" s="129"/>
      <c r="J1186" s="129"/>
      <c r="K1186" s="129"/>
      <c r="L1186" s="129"/>
      <c r="M1186" s="129"/>
      <c r="N1186" s="129"/>
      <c r="O1186" s="129"/>
      <c r="P1186" s="129"/>
      <c r="Q1186" s="129"/>
      <c r="R1186" s="129"/>
      <c r="S1186" s="129"/>
      <c r="T1186" s="129"/>
      <c r="U1186" s="129"/>
      <c r="V1186" s="129"/>
    </row>
    <row r="1187" spans="3:22" x14ac:dyDescent="0.3">
      <c r="C1187" s="129"/>
      <c r="D1187" s="129"/>
      <c r="E1187" s="129"/>
      <c r="F1187" s="129"/>
      <c r="G1187" s="129"/>
      <c r="H1187" s="129"/>
      <c r="I1187" s="129"/>
      <c r="J1187" s="129"/>
      <c r="K1187" s="129"/>
      <c r="L1187" s="129"/>
      <c r="M1187" s="129"/>
      <c r="N1187" s="129"/>
      <c r="O1187" s="129"/>
      <c r="P1187" s="129"/>
      <c r="Q1187" s="129"/>
      <c r="R1187" s="129"/>
      <c r="S1187" s="129"/>
      <c r="T1187" s="129"/>
      <c r="U1187" s="129"/>
      <c r="V1187" s="129"/>
    </row>
    <row r="1188" spans="3:22" x14ac:dyDescent="0.3">
      <c r="C1188" s="129"/>
      <c r="D1188" s="129"/>
      <c r="E1188" s="129"/>
      <c r="F1188" s="129"/>
      <c r="G1188" s="129"/>
      <c r="H1188" s="129"/>
      <c r="I1188" s="129"/>
      <c r="J1188" s="129"/>
      <c r="K1188" s="129"/>
      <c r="L1188" s="129"/>
      <c r="M1188" s="129"/>
      <c r="N1188" s="129"/>
      <c r="O1188" s="129"/>
      <c r="P1188" s="129"/>
      <c r="Q1188" s="129"/>
      <c r="R1188" s="129"/>
      <c r="S1188" s="129"/>
      <c r="T1188" s="129"/>
      <c r="U1188" s="129"/>
      <c r="V1188" s="129"/>
    </row>
    <row r="1189" spans="3:22" x14ac:dyDescent="0.3">
      <c r="C1189" s="129"/>
      <c r="D1189" s="129"/>
      <c r="E1189" s="129"/>
      <c r="F1189" s="129"/>
      <c r="G1189" s="129"/>
      <c r="H1189" s="129"/>
      <c r="I1189" s="129"/>
      <c r="J1189" s="129"/>
      <c r="K1189" s="129"/>
      <c r="L1189" s="129"/>
      <c r="M1189" s="129"/>
      <c r="N1189" s="129"/>
      <c r="O1189" s="129"/>
      <c r="P1189" s="129"/>
      <c r="Q1189" s="129"/>
      <c r="R1189" s="129"/>
      <c r="S1189" s="129"/>
      <c r="T1189" s="129"/>
      <c r="U1189" s="129"/>
      <c r="V1189" s="129"/>
    </row>
    <row r="1190" spans="3:22" x14ac:dyDescent="0.3">
      <c r="C1190" s="129"/>
      <c r="D1190" s="129"/>
      <c r="E1190" s="129"/>
      <c r="F1190" s="129"/>
      <c r="G1190" s="129"/>
      <c r="H1190" s="129"/>
      <c r="I1190" s="129"/>
      <c r="J1190" s="129"/>
      <c r="K1190" s="129"/>
      <c r="L1190" s="129"/>
      <c r="M1190" s="129"/>
      <c r="N1190" s="129"/>
      <c r="O1190" s="129"/>
      <c r="P1190" s="129"/>
      <c r="Q1190" s="129"/>
      <c r="R1190" s="129"/>
      <c r="S1190" s="129"/>
      <c r="T1190" s="129"/>
      <c r="U1190" s="129"/>
      <c r="V1190" s="129"/>
    </row>
    <row r="1191" spans="3:22" x14ac:dyDescent="0.3">
      <c r="C1191" s="129"/>
      <c r="D1191" s="129"/>
      <c r="E1191" s="129"/>
      <c r="F1191" s="129"/>
      <c r="G1191" s="129"/>
      <c r="H1191" s="129"/>
      <c r="I1191" s="129"/>
      <c r="J1191" s="129"/>
      <c r="K1191" s="129"/>
      <c r="L1191" s="129"/>
      <c r="M1191" s="129"/>
      <c r="N1191" s="129"/>
      <c r="O1191" s="129"/>
      <c r="P1191" s="129"/>
      <c r="Q1191" s="129"/>
      <c r="R1191" s="129"/>
      <c r="S1191" s="129"/>
      <c r="T1191" s="129"/>
      <c r="U1191" s="129"/>
      <c r="V1191" s="129"/>
    </row>
    <row r="1192" spans="3:22" x14ac:dyDescent="0.3">
      <c r="C1192" s="129"/>
      <c r="D1192" s="129"/>
      <c r="E1192" s="129"/>
      <c r="F1192" s="129"/>
      <c r="G1192" s="129"/>
      <c r="H1192" s="129"/>
      <c r="I1192" s="129"/>
      <c r="J1192" s="129"/>
      <c r="K1192" s="129"/>
      <c r="L1192" s="129"/>
      <c r="M1192" s="129"/>
      <c r="N1192" s="129"/>
      <c r="O1192" s="129"/>
      <c r="P1192" s="129"/>
      <c r="Q1192" s="129"/>
      <c r="R1192" s="129"/>
      <c r="S1192" s="129"/>
      <c r="T1192" s="129"/>
      <c r="U1192" s="129"/>
      <c r="V1192" s="129"/>
    </row>
    <row r="1193" spans="3:22" x14ac:dyDescent="0.3">
      <c r="C1193" s="129"/>
      <c r="D1193" s="129"/>
      <c r="E1193" s="129"/>
      <c r="F1193" s="129"/>
      <c r="G1193" s="129"/>
      <c r="H1193" s="129"/>
      <c r="I1193" s="129"/>
      <c r="J1193" s="129"/>
      <c r="K1193" s="129"/>
      <c r="L1193" s="129"/>
      <c r="M1193" s="129"/>
      <c r="N1193" s="129"/>
      <c r="O1193" s="129"/>
      <c r="P1193" s="129"/>
      <c r="Q1193" s="129"/>
      <c r="R1193" s="129"/>
      <c r="S1193" s="129"/>
      <c r="T1193" s="129"/>
      <c r="U1193" s="129"/>
      <c r="V1193" s="129"/>
    </row>
    <row r="1194" spans="3:22" x14ac:dyDescent="0.3">
      <c r="C1194" s="129"/>
      <c r="D1194" s="129"/>
      <c r="E1194" s="129"/>
      <c r="F1194" s="129"/>
      <c r="G1194" s="129"/>
      <c r="H1194" s="129"/>
      <c r="I1194" s="129"/>
      <c r="J1194" s="129"/>
      <c r="K1194" s="129"/>
      <c r="L1194" s="129"/>
      <c r="M1194" s="129"/>
      <c r="N1194" s="129"/>
      <c r="O1194" s="129"/>
      <c r="P1194" s="129"/>
      <c r="Q1194" s="129"/>
      <c r="R1194" s="129"/>
      <c r="S1194" s="129"/>
      <c r="T1194" s="129"/>
      <c r="U1194" s="129"/>
      <c r="V1194" s="129"/>
    </row>
    <row r="1195" spans="3:22" x14ac:dyDescent="0.3">
      <c r="C1195" s="129"/>
      <c r="D1195" s="129"/>
      <c r="E1195" s="129"/>
      <c r="F1195" s="129"/>
      <c r="G1195" s="129"/>
      <c r="H1195" s="129"/>
      <c r="I1195" s="129"/>
      <c r="J1195" s="129"/>
      <c r="K1195" s="129"/>
      <c r="L1195" s="129"/>
      <c r="M1195" s="129"/>
      <c r="N1195" s="129"/>
      <c r="O1195" s="129"/>
      <c r="P1195" s="129"/>
      <c r="Q1195" s="129"/>
      <c r="R1195" s="129"/>
      <c r="S1195" s="129"/>
      <c r="T1195" s="129"/>
      <c r="U1195" s="129"/>
      <c r="V1195" s="129"/>
    </row>
    <row r="1196" spans="3:22" x14ac:dyDescent="0.3">
      <c r="C1196" s="129"/>
      <c r="D1196" s="129"/>
      <c r="E1196" s="129"/>
      <c r="F1196" s="129"/>
      <c r="G1196" s="129"/>
      <c r="H1196" s="129"/>
      <c r="I1196" s="129"/>
      <c r="J1196" s="129"/>
      <c r="K1196" s="129"/>
      <c r="L1196" s="129"/>
      <c r="M1196" s="129"/>
      <c r="N1196" s="129"/>
      <c r="O1196" s="129"/>
      <c r="P1196" s="129"/>
      <c r="Q1196" s="129"/>
      <c r="R1196" s="129"/>
      <c r="S1196" s="129"/>
      <c r="T1196" s="129"/>
      <c r="U1196" s="129"/>
      <c r="V1196" s="129"/>
    </row>
    <row r="1197" spans="3:22" x14ac:dyDescent="0.3">
      <c r="C1197" s="129"/>
      <c r="D1197" s="129"/>
      <c r="E1197" s="129"/>
      <c r="F1197" s="129"/>
      <c r="G1197" s="129"/>
      <c r="H1197" s="129"/>
      <c r="I1197" s="129"/>
      <c r="J1197" s="129"/>
      <c r="K1197" s="129"/>
      <c r="L1197" s="129"/>
      <c r="M1197" s="129"/>
      <c r="N1197" s="129"/>
      <c r="O1197" s="129"/>
      <c r="P1197" s="129"/>
      <c r="Q1197" s="129"/>
      <c r="R1197" s="129"/>
      <c r="S1197" s="129"/>
      <c r="T1197" s="129"/>
      <c r="U1197" s="129"/>
      <c r="V1197" s="129"/>
    </row>
    <row r="1198" spans="3:22" x14ac:dyDescent="0.3">
      <c r="C1198" s="129"/>
      <c r="D1198" s="129"/>
      <c r="E1198" s="129"/>
      <c r="F1198" s="129"/>
      <c r="G1198" s="129"/>
      <c r="H1198" s="129"/>
      <c r="I1198" s="129"/>
      <c r="J1198" s="129"/>
      <c r="K1198" s="129"/>
      <c r="L1198" s="129"/>
      <c r="M1198" s="129"/>
      <c r="N1198" s="129"/>
      <c r="O1198" s="129"/>
      <c r="P1198" s="129"/>
      <c r="Q1198" s="129"/>
      <c r="R1198" s="129"/>
      <c r="S1198" s="129"/>
      <c r="T1198" s="129"/>
      <c r="U1198" s="129"/>
      <c r="V1198" s="129"/>
    </row>
    <row r="1199" spans="3:22" x14ac:dyDescent="0.3">
      <c r="C1199" s="129"/>
      <c r="D1199" s="129"/>
      <c r="E1199" s="129"/>
      <c r="F1199" s="129"/>
      <c r="G1199" s="129"/>
      <c r="H1199" s="129"/>
      <c r="I1199" s="129"/>
      <c r="J1199" s="129"/>
      <c r="K1199" s="129"/>
      <c r="L1199" s="129"/>
      <c r="M1199" s="129"/>
      <c r="N1199" s="129"/>
      <c r="O1199" s="129"/>
      <c r="P1199" s="129"/>
      <c r="Q1199" s="129"/>
      <c r="R1199" s="129"/>
      <c r="S1199" s="129"/>
      <c r="T1199" s="129"/>
      <c r="U1199" s="129"/>
      <c r="V1199" s="129"/>
    </row>
    <row r="1200" spans="3:22" x14ac:dyDescent="0.3">
      <c r="C1200" s="129"/>
      <c r="D1200" s="129"/>
      <c r="E1200" s="129"/>
      <c r="F1200" s="129"/>
      <c r="G1200" s="129"/>
      <c r="H1200" s="129"/>
      <c r="I1200" s="129"/>
      <c r="J1200" s="129"/>
      <c r="K1200" s="129"/>
      <c r="L1200" s="129"/>
      <c r="M1200" s="129"/>
      <c r="N1200" s="129"/>
      <c r="O1200" s="129"/>
      <c r="P1200" s="129"/>
      <c r="Q1200" s="129"/>
      <c r="R1200" s="129"/>
      <c r="S1200" s="129"/>
      <c r="T1200" s="129"/>
      <c r="U1200" s="129"/>
      <c r="V1200" s="129"/>
    </row>
    <row r="1201" spans="3:22" x14ac:dyDescent="0.3">
      <c r="C1201" s="129"/>
      <c r="D1201" s="129"/>
      <c r="E1201" s="129"/>
      <c r="F1201" s="129"/>
      <c r="G1201" s="129"/>
      <c r="H1201" s="129"/>
      <c r="I1201" s="129"/>
      <c r="J1201" s="129"/>
      <c r="K1201" s="129"/>
      <c r="L1201" s="129"/>
      <c r="M1201" s="129"/>
      <c r="N1201" s="129"/>
      <c r="O1201" s="129"/>
      <c r="P1201" s="129"/>
      <c r="Q1201" s="129"/>
      <c r="R1201" s="129"/>
      <c r="S1201" s="129"/>
      <c r="T1201" s="129"/>
      <c r="U1201" s="129"/>
      <c r="V1201" s="129"/>
    </row>
    <row r="1202" spans="3:22" x14ac:dyDescent="0.3">
      <c r="C1202" s="129"/>
      <c r="D1202" s="129"/>
      <c r="E1202" s="129"/>
      <c r="F1202" s="129"/>
      <c r="G1202" s="129"/>
      <c r="H1202" s="129"/>
      <c r="I1202" s="129"/>
      <c r="J1202" s="129"/>
      <c r="K1202" s="129"/>
      <c r="L1202" s="129"/>
      <c r="M1202" s="129"/>
      <c r="N1202" s="129"/>
      <c r="O1202" s="129"/>
      <c r="P1202" s="129"/>
      <c r="Q1202" s="129"/>
      <c r="R1202" s="129"/>
      <c r="S1202" s="129"/>
      <c r="T1202" s="129"/>
      <c r="U1202" s="129"/>
      <c r="V1202" s="129"/>
    </row>
    <row r="1203" spans="3:22" x14ac:dyDescent="0.3">
      <c r="C1203" s="129"/>
      <c r="D1203" s="129"/>
      <c r="E1203" s="129"/>
      <c r="F1203" s="129"/>
      <c r="G1203" s="129"/>
      <c r="H1203" s="129"/>
      <c r="I1203" s="129"/>
      <c r="J1203" s="129"/>
      <c r="K1203" s="129"/>
      <c r="L1203" s="129"/>
      <c r="M1203" s="129"/>
      <c r="N1203" s="129"/>
      <c r="O1203" s="129"/>
      <c r="P1203" s="129"/>
      <c r="Q1203" s="129"/>
      <c r="R1203" s="129"/>
      <c r="S1203" s="129"/>
      <c r="T1203" s="129"/>
      <c r="U1203" s="129"/>
      <c r="V1203" s="129"/>
    </row>
    <row r="1204" spans="3:22" x14ac:dyDescent="0.3">
      <c r="C1204" s="129"/>
      <c r="D1204" s="129"/>
      <c r="E1204" s="129"/>
      <c r="F1204" s="129"/>
      <c r="G1204" s="129"/>
      <c r="H1204" s="129"/>
      <c r="I1204" s="129"/>
      <c r="J1204" s="129"/>
      <c r="K1204" s="129"/>
      <c r="L1204" s="129"/>
      <c r="M1204" s="129"/>
      <c r="N1204" s="129"/>
      <c r="O1204" s="129"/>
      <c r="P1204" s="129"/>
      <c r="Q1204" s="129"/>
      <c r="R1204" s="129"/>
      <c r="S1204" s="129"/>
      <c r="T1204" s="129"/>
      <c r="U1204" s="129"/>
      <c r="V1204" s="129"/>
    </row>
    <row r="1205" spans="3:22" x14ac:dyDescent="0.3">
      <c r="C1205" s="129"/>
      <c r="D1205" s="129"/>
      <c r="E1205" s="129"/>
      <c r="F1205" s="129"/>
      <c r="G1205" s="129"/>
      <c r="H1205" s="129"/>
      <c r="I1205" s="129"/>
      <c r="J1205" s="129"/>
      <c r="K1205" s="129"/>
      <c r="L1205" s="129"/>
      <c r="M1205" s="129"/>
      <c r="N1205" s="129"/>
      <c r="O1205" s="129"/>
      <c r="P1205" s="129"/>
      <c r="Q1205" s="129"/>
      <c r="R1205" s="129"/>
      <c r="S1205" s="129"/>
      <c r="T1205" s="129"/>
      <c r="U1205" s="129"/>
      <c r="V1205" s="129"/>
    </row>
    <row r="1206" spans="3:22" x14ac:dyDescent="0.3">
      <c r="C1206" s="129"/>
      <c r="D1206" s="129"/>
      <c r="E1206" s="129"/>
      <c r="F1206" s="129"/>
      <c r="G1206" s="129"/>
      <c r="H1206" s="129"/>
      <c r="I1206" s="129"/>
      <c r="J1206" s="129"/>
      <c r="K1206" s="129"/>
      <c r="L1206" s="129"/>
      <c r="M1206" s="129"/>
      <c r="N1206" s="129"/>
      <c r="O1206" s="129"/>
      <c r="P1206" s="129"/>
      <c r="Q1206" s="129"/>
      <c r="R1206" s="129"/>
      <c r="S1206" s="129"/>
      <c r="T1206" s="129"/>
      <c r="U1206" s="129"/>
      <c r="V1206" s="129"/>
    </row>
    <row r="1207" spans="3:22" x14ac:dyDescent="0.3">
      <c r="C1207" s="129"/>
      <c r="D1207" s="129"/>
      <c r="E1207" s="129"/>
      <c r="F1207" s="129"/>
      <c r="G1207" s="129"/>
      <c r="H1207" s="129"/>
      <c r="I1207" s="129"/>
      <c r="J1207" s="129"/>
      <c r="K1207" s="129"/>
      <c r="L1207" s="129"/>
      <c r="M1207" s="129"/>
      <c r="N1207" s="129"/>
      <c r="O1207" s="129"/>
      <c r="P1207" s="129"/>
      <c r="Q1207" s="129"/>
      <c r="R1207" s="129"/>
      <c r="S1207" s="129"/>
      <c r="T1207" s="129"/>
      <c r="U1207" s="129"/>
      <c r="V1207" s="129"/>
    </row>
    <row r="1208" spans="3:22" x14ac:dyDescent="0.3">
      <c r="C1208" s="129"/>
      <c r="D1208" s="129"/>
      <c r="E1208" s="129"/>
      <c r="F1208" s="129"/>
      <c r="G1208" s="129"/>
      <c r="H1208" s="129"/>
      <c r="I1208" s="129"/>
      <c r="J1208" s="129"/>
      <c r="K1208" s="129"/>
      <c r="L1208" s="129"/>
      <c r="M1208" s="129"/>
      <c r="N1208" s="129"/>
      <c r="O1208" s="129"/>
      <c r="P1208" s="129"/>
      <c r="Q1208" s="129"/>
      <c r="R1208" s="129"/>
      <c r="S1208" s="129"/>
      <c r="T1208" s="129"/>
      <c r="U1208" s="129"/>
      <c r="V1208" s="129"/>
    </row>
    <row r="1209" spans="3:22" x14ac:dyDescent="0.3">
      <c r="C1209" s="129"/>
      <c r="D1209" s="129"/>
      <c r="E1209" s="129"/>
      <c r="F1209" s="129"/>
      <c r="G1209" s="129"/>
      <c r="H1209" s="129"/>
      <c r="I1209" s="129"/>
      <c r="J1209" s="129"/>
      <c r="K1209" s="129"/>
      <c r="L1209" s="129"/>
      <c r="M1209" s="129"/>
      <c r="N1209" s="129"/>
      <c r="O1209" s="129"/>
      <c r="P1209" s="129"/>
      <c r="Q1209" s="129"/>
      <c r="R1209" s="129"/>
      <c r="S1209" s="129"/>
      <c r="T1209" s="129"/>
      <c r="U1209" s="129"/>
      <c r="V1209" s="129"/>
    </row>
    <row r="1210" spans="3:22" x14ac:dyDescent="0.3">
      <c r="C1210" s="129"/>
      <c r="D1210" s="129"/>
      <c r="E1210" s="129"/>
      <c r="F1210" s="129"/>
      <c r="G1210" s="129"/>
      <c r="H1210" s="129"/>
      <c r="I1210" s="129"/>
      <c r="J1210" s="129"/>
      <c r="K1210" s="129"/>
      <c r="L1210" s="129"/>
      <c r="M1210" s="129"/>
      <c r="N1210" s="129"/>
      <c r="O1210" s="129"/>
      <c r="P1210" s="129"/>
      <c r="Q1210" s="129"/>
      <c r="R1210" s="129"/>
      <c r="S1210" s="129"/>
      <c r="T1210" s="129"/>
      <c r="U1210" s="129"/>
      <c r="V1210" s="129"/>
    </row>
    <row r="1211" spans="3:22" x14ac:dyDescent="0.3">
      <c r="C1211" s="129"/>
      <c r="D1211" s="129"/>
      <c r="E1211" s="129"/>
      <c r="F1211" s="129"/>
      <c r="G1211" s="129"/>
      <c r="H1211" s="129"/>
      <c r="I1211" s="129"/>
      <c r="J1211" s="129"/>
      <c r="K1211" s="129"/>
      <c r="L1211" s="129"/>
      <c r="M1211" s="129"/>
      <c r="N1211" s="129"/>
      <c r="O1211" s="129"/>
      <c r="P1211" s="129"/>
      <c r="Q1211" s="129"/>
      <c r="R1211" s="129"/>
      <c r="S1211" s="129"/>
      <c r="T1211" s="129"/>
      <c r="U1211" s="129"/>
      <c r="V1211" s="129"/>
    </row>
    <row r="1212" spans="3:22" x14ac:dyDescent="0.3">
      <c r="C1212" s="129"/>
      <c r="D1212" s="129"/>
      <c r="E1212" s="129"/>
      <c r="F1212" s="129"/>
      <c r="G1212" s="129"/>
      <c r="H1212" s="129"/>
      <c r="I1212" s="129"/>
      <c r="J1212" s="129"/>
      <c r="K1212" s="129"/>
      <c r="L1212" s="129"/>
      <c r="M1212" s="129"/>
      <c r="N1212" s="129"/>
      <c r="O1212" s="129"/>
      <c r="P1212" s="129"/>
      <c r="Q1212" s="129"/>
      <c r="R1212" s="129"/>
      <c r="S1212" s="129"/>
      <c r="T1212" s="129"/>
      <c r="U1212" s="129"/>
      <c r="V1212" s="129"/>
    </row>
    <row r="1213" spans="3:22" x14ac:dyDescent="0.3">
      <c r="C1213" s="129"/>
      <c r="D1213" s="129"/>
      <c r="E1213" s="129"/>
      <c r="F1213" s="129"/>
      <c r="G1213" s="129"/>
      <c r="H1213" s="129"/>
      <c r="I1213" s="129"/>
      <c r="J1213" s="129"/>
      <c r="K1213" s="129"/>
      <c r="L1213" s="129"/>
      <c r="M1213" s="129"/>
      <c r="N1213" s="129"/>
      <c r="O1213" s="129"/>
      <c r="P1213" s="129"/>
      <c r="Q1213" s="129"/>
      <c r="R1213" s="129"/>
      <c r="S1213" s="129"/>
      <c r="T1213" s="129"/>
      <c r="U1213" s="129"/>
      <c r="V1213" s="129"/>
    </row>
    <row r="1214" spans="3:22" x14ac:dyDescent="0.3">
      <c r="C1214" s="129"/>
      <c r="D1214" s="129"/>
      <c r="E1214" s="129"/>
      <c r="F1214" s="129"/>
      <c r="G1214" s="129"/>
      <c r="H1214" s="129"/>
      <c r="I1214" s="129"/>
      <c r="J1214" s="129"/>
      <c r="K1214" s="129"/>
      <c r="L1214" s="129"/>
      <c r="M1214" s="129"/>
      <c r="N1214" s="129"/>
      <c r="O1214" s="129"/>
      <c r="P1214" s="129"/>
      <c r="Q1214" s="129"/>
      <c r="R1214" s="129"/>
      <c r="S1214" s="129"/>
      <c r="T1214" s="129"/>
      <c r="U1214" s="129"/>
      <c r="V1214" s="129"/>
    </row>
    <row r="1215" spans="3:22" x14ac:dyDescent="0.3">
      <c r="C1215" s="129"/>
      <c r="D1215" s="129"/>
      <c r="E1215" s="129"/>
      <c r="F1215" s="129"/>
      <c r="G1215" s="129"/>
      <c r="H1215" s="129"/>
      <c r="I1215" s="129"/>
      <c r="J1215" s="129"/>
      <c r="K1215" s="129"/>
      <c r="L1215" s="129"/>
      <c r="M1215" s="129"/>
      <c r="N1215" s="129"/>
      <c r="O1215" s="129"/>
      <c r="P1215" s="129"/>
      <c r="Q1215" s="129"/>
      <c r="R1215" s="129"/>
      <c r="S1215" s="129"/>
      <c r="T1215" s="129"/>
      <c r="U1215" s="129"/>
      <c r="V1215" s="129"/>
    </row>
    <row r="1216" spans="3:22" x14ac:dyDescent="0.3">
      <c r="C1216" s="129"/>
      <c r="D1216" s="129"/>
      <c r="E1216" s="129"/>
      <c r="F1216" s="129"/>
      <c r="G1216" s="129"/>
      <c r="H1216" s="129"/>
      <c r="I1216" s="129"/>
      <c r="J1216" s="129"/>
      <c r="K1216" s="129"/>
      <c r="L1216" s="129"/>
      <c r="M1216" s="129"/>
      <c r="N1216" s="129"/>
      <c r="O1216" s="129"/>
      <c r="P1216" s="129"/>
      <c r="Q1216" s="129"/>
      <c r="R1216" s="129"/>
      <c r="S1216" s="129"/>
      <c r="T1216" s="129"/>
      <c r="U1216" s="129"/>
      <c r="V1216" s="129"/>
    </row>
    <row r="1217" spans="3:22" x14ac:dyDescent="0.3">
      <c r="C1217" s="129"/>
      <c r="D1217" s="129"/>
      <c r="E1217" s="129"/>
      <c r="F1217" s="129"/>
      <c r="G1217" s="129"/>
      <c r="H1217" s="129"/>
      <c r="I1217" s="129"/>
      <c r="J1217" s="129"/>
      <c r="K1217" s="129"/>
      <c r="L1217" s="129"/>
      <c r="M1217" s="129"/>
      <c r="N1217" s="129"/>
      <c r="O1217" s="129"/>
      <c r="P1217" s="129"/>
      <c r="Q1217" s="129"/>
      <c r="R1217" s="129"/>
      <c r="S1217" s="129"/>
      <c r="T1217" s="129"/>
      <c r="U1217" s="129"/>
      <c r="V1217" s="129"/>
    </row>
    <row r="1218" spans="3:22" x14ac:dyDescent="0.3">
      <c r="C1218" s="129"/>
      <c r="D1218" s="129"/>
      <c r="E1218" s="129"/>
      <c r="F1218" s="129"/>
      <c r="G1218" s="129"/>
      <c r="H1218" s="129"/>
      <c r="I1218" s="129"/>
      <c r="J1218" s="129"/>
      <c r="K1218" s="129"/>
      <c r="L1218" s="129"/>
      <c r="M1218" s="129"/>
      <c r="N1218" s="129"/>
      <c r="O1218" s="129"/>
      <c r="P1218" s="129"/>
      <c r="Q1218" s="129"/>
      <c r="R1218" s="129"/>
      <c r="S1218" s="129"/>
      <c r="T1218" s="129"/>
      <c r="U1218" s="129"/>
      <c r="V1218" s="129"/>
    </row>
    <row r="1219" spans="3:22" x14ac:dyDescent="0.3">
      <c r="C1219" s="129"/>
      <c r="D1219" s="129"/>
      <c r="E1219" s="129"/>
      <c r="F1219" s="129"/>
      <c r="G1219" s="129"/>
      <c r="H1219" s="129"/>
      <c r="I1219" s="129"/>
      <c r="J1219" s="129"/>
      <c r="K1219" s="129"/>
      <c r="L1219" s="129"/>
      <c r="M1219" s="129"/>
      <c r="N1219" s="129"/>
      <c r="O1219" s="129"/>
      <c r="P1219" s="129"/>
      <c r="Q1219" s="129"/>
      <c r="R1219" s="129"/>
      <c r="S1219" s="129"/>
      <c r="T1219" s="129"/>
      <c r="U1219" s="129"/>
      <c r="V1219" s="129"/>
    </row>
    <row r="1220" spans="3:22" x14ac:dyDescent="0.3">
      <c r="C1220" s="129"/>
      <c r="D1220" s="129"/>
      <c r="E1220" s="129"/>
      <c r="F1220" s="129"/>
      <c r="G1220" s="129"/>
      <c r="H1220" s="129"/>
      <c r="I1220" s="129"/>
      <c r="J1220" s="129"/>
      <c r="K1220" s="129"/>
      <c r="L1220" s="129"/>
      <c r="M1220" s="129"/>
      <c r="N1220" s="129"/>
      <c r="O1220" s="129"/>
      <c r="P1220" s="129"/>
      <c r="Q1220" s="129"/>
      <c r="R1220" s="129"/>
      <c r="S1220" s="129"/>
      <c r="T1220" s="129"/>
      <c r="U1220" s="129"/>
      <c r="V1220" s="129"/>
    </row>
    <row r="1221" spans="3:22" x14ac:dyDescent="0.3">
      <c r="C1221" s="129"/>
      <c r="D1221" s="129"/>
      <c r="E1221" s="129"/>
      <c r="F1221" s="129"/>
      <c r="G1221" s="129"/>
      <c r="H1221" s="129"/>
      <c r="I1221" s="129"/>
      <c r="J1221" s="129"/>
      <c r="K1221" s="129"/>
      <c r="L1221" s="129"/>
      <c r="M1221" s="129"/>
      <c r="N1221" s="129"/>
      <c r="O1221" s="129"/>
      <c r="P1221" s="129"/>
      <c r="Q1221" s="129"/>
      <c r="R1221" s="129"/>
      <c r="S1221" s="129"/>
      <c r="T1221" s="129"/>
      <c r="U1221" s="129"/>
      <c r="V1221" s="129"/>
    </row>
    <row r="1222" spans="3:22" x14ac:dyDescent="0.3">
      <c r="C1222" s="129"/>
      <c r="D1222" s="129"/>
      <c r="E1222" s="129"/>
      <c r="F1222" s="129"/>
      <c r="G1222" s="129"/>
      <c r="H1222" s="129"/>
      <c r="I1222" s="129"/>
      <c r="J1222" s="129"/>
      <c r="K1222" s="129"/>
      <c r="L1222" s="129"/>
      <c r="M1222" s="129"/>
      <c r="N1222" s="129"/>
      <c r="O1222" s="129"/>
      <c r="P1222" s="129"/>
      <c r="Q1222" s="129"/>
      <c r="R1222" s="129"/>
      <c r="S1222" s="129"/>
      <c r="T1222" s="129"/>
      <c r="U1222" s="129"/>
      <c r="V1222" s="129"/>
    </row>
    <row r="1223" spans="3:22" x14ac:dyDescent="0.3">
      <c r="C1223" s="129"/>
      <c r="D1223" s="129"/>
      <c r="E1223" s="129"/>
      <c r="F1223" s="129"/>
      <c r="G1223" s="129"/>
      <c r="H1223" s="129"/>
      <c r="I1223" s="129"/>
      <c r="J1223" s="129"/>
      <c r="K1223" s="129"/>
      <c r="L1223" s="129"/>
      <c r="M1223" s="129"/>
      <c r="N1223" s="129"/>
      <c r="O1223" s="129"/>
      <c r="P1223" s="129"/>
      <c r="Q1223" s="129"/>
      <c r="R1223" s="129"/>
      <c r="S1223" s="129"/>
      <c r="T1223" s="129"/>
      <c r="U1223" s="129"/>
      <c r="V1223" s="129"/>
    </row>
    <row r="1224" spans="3:22" x14ac:dyDescent="0.3">
      <c r="C1224" s="129"/>
      <c r="D1224" s="129"/>
      <c r="E1224" s="129"/>
      <c r="F1224" s="129"/>
      <c r="G1224" s="129"/>
      <c r="H1224" s="129"/>
      <c r="I1224" s="129"/>
      <c r="J1224" s="129"/>
      <c r="K1224" s="129"/>
      <c r="L1224" s="129"/>
      <c r="M1224" s="129"/>
      <c r="N1224" s="129"/>
      <c r="O1224" s="129"/>
      <c r="P1224" s="129"/>
      <c r="Q1224" s="129"/>
      <c r="R1224" s="129"/>
      <c r="S1224" s="129"/>
      <c r="T1224" s="129"/>
      <c r="U1224" s="129"/>
      <c r="V1224" s="129"/>
    </row>
    <row r="1225" spans="3:22" x14ac:dyDescent="0.3">
      <c r="C1225" s="129"/>
      <c r="D1225" s="129"/>
      <c r="E1225" s="129"/>
      <c r="F1225" s="129"/>
      <c r="G1225" s="129"/>
      <c r="H1225" s="129"/>
      <c r="I1225" s="129"/>
      <c r="J1225" s="129"/>
      <c r="K1225" s="129"/>
      <c r="L1225" s="129"/>
      <c r="M1225" s="129"/>
      <c r="N1225" s="129"/>
      <c r="O1225" s="129"/>
      <c r="P1225" s="129"/>
      <c r="Q1225" s="129"/>
      <c r="R1225" s="129"/>
      <c r="S1225" s="129"/>
      <c r="T1225" s="129"/>
      <c r="U1225" s="129"/>
      <c r="V1225" s="129"/>
    </row>
    <row r="1226" spans="3:22" x14ac:dyDescent="0.3">
      <c r="C1226" s="129"/>
      <c r="D1226" s="129"/>
      <c r="E1226" s="129"/>
      <c r="F1226" s="129"/>
      <c r="G1226" s="129"/>
      <c r="H1226" s="129"/>
      <c r="I1226" s="129"/>
      <c r="J1226" s="129"/>
      <c r="K1226" s="129"/>
      <c r="L1226" s="129"/>
      <c r="M1226" s="129"/>
      <c r="N1226" s="129"/>
      <c r="O1226" s="129"/>
      <c r="P1226" s="129"/>
      <c r="Q1226" s="129"/>
      <c r="R1226" s="129"/>
      <c r="S1226" s="129"/>
      <c r="T1226" s="129"/>
      <c r="U1226" s="129"/>
      <c r="V1226" s="129"/>
    </row>
    <row r="1227" spans="3:22" x14ac:dyDescent="0.3">
      <c r="C1227" s="129"/>
      <c r="D1227" s="129"/>
      <c r="E1227" s="129"/>
      <c r="F1227" s="129"/>
      <c r="G1227" s="129"/>
      <c r="H1227" s="129"/>
      <c r="I1227" s="129"/>
      <c r="J1227" s="129"/>
      <c r="K1227" s="129"/>
      <c r="L1227" s="129"/>
      <c r="M1227" s="129"/>
      <c r="N1227" s="129"/>
      <c r="O1227" s="129"/>
      <c r="P1227" s="129"/>
      <c r="Q1227" s="129"/>
      <c r="R1227" s="129"/>
      <c r="S1227" s="129"/>
      <c r="T1227" s="129"/>
      <c r="U1227" s="129"/>
      <c r="V1227" s="129"/>
    </row>
    <row r="1228" spans="3:22" x14ac:dyDescent="0.3">
      <c r="C1228" s="129"/>
      <c r="D1228" s="129"/>
      <c r="E1228" s="129"/>
      <c r="F1228" s="129"/>
      <c r="G1228" s="129"/>
      <c r="H1228" s="129"/>
      <c r="I1228" s="129"/>
      <c r="J1228" s="129"/>
      <c r="K1228" s="129"/>
      <c r="L1228" s="129"/>
      <c r="M1228" s="129"/>
      <c r="N1228" s="129"/>
      <c r="O1228" s="129"/>
      <c r="P1228" s="129"/>
      <c r="Q1228" s="129"/>
      <c r="R1228" s="129"/>
      <c r="S1228" s="129"/>
      <c r="T1228" s="129"/>
      <c r="U1228" s="129"/>
      <c r="V1228" s="129"/>
    </row>
    <row r="1229" spans="3:22" x14ac:dyDescent="0.3">
      <c r="C1229" s="129"/>
      <c r="D1229" s="129"/>
      <c r="E1229" s="129"/>
      <c r="F1229" s="129"/>
      <c r="G1229" s="129"/>
      <c r="H1229" s="129"/>
      <c r="I1229" s="129"/>
      <c r="J1229" s="129"/>
      <c r="K1229" s="129"/>
      <c r="L1229" s="129"/>
      <c r="M1229" s="129"/>
      <c r="N1229" s="129"/>
      <c r="O1229" s="129"/>
      <c r="P1229" s="129"/>
      <c r="Q1229" s="129"/>
      <c r="R1229" s="129"/>
      <c r="S1229" s="129"/>
      <c r="T1229" s="129"/>
      <c r="U1229" s="129"/>
      <c r="V1229" s="129"/>
    </row>
    <row r="1230" spans="3:22" x14ac:dyDescent="0.3">
      <c r="C1230" s="129"/>
      <c r="D1230" s="129"/>
      <c r="E1230" s="129"/>
      <c r="F1230" s="129"/>
      <c r="G1230" s="129"/>
      <c r="H1230" s="129"/>
      <c r="I1230" s="129"/>
      <c r="J1230" s="129"/>
      <c r="K1230" s="129"/>
      <c r="L1230" s="129"/>
      <c r="M1230" s="129"/>
      <c r="N1230" s="129"/>
      <c r="O1230" s="129"/>
      <c r="P1230" s="129"/>
      <c r="Q1230" s="129"/>
      <c r="R1230" s="129"/>
      <c r="S1230" s="129"/>
      <c r="T1230" s="129"/>
      <c r="U1230" s="129"/>
      <c r="V1230" s="129"/>
    </row>
    <row r="1231" spans="3:22" x14ac:dyDescent="0.3">
      <c r="C1231" s="129"/>
      <c r="D1231" s="129"/>
      <c r="E1231" s="129"/>
      <c r="F1231" s="129"/>
      <c r="G1231" s="129"/>
      <c r="H1231" s="129"/>
      <c r="I1231" s="129"/>
      <c r="J1231" s="129"/>
      <c r="K1231" s="129"/>
      <c r="L1231" s="129"/>
      <c r="M1231" s="129"/>
      <c r="N1231" s="129"/>
      <c r="O1231" s="129"/>
      <c r="P1231" s="129"/>
      <c r="Q1231" s="129"/>
      <c r="R1231" s="129"/>
      <c r="S1231" s="129"/>
      <c r="T1231" s="129"/>
      <c r="U1231" s="129"/>
      <c r="V1231" s="129"/>
    </row>
    <row r="1232" spans="3:22" x14ac:dyDescent="0.3">
      <c r="C1232" s="129"/>
      <c r="D1232" s="129"/>
      <c r="E1232" s="129"/>
      <c r="F1232" s="129"/>
      <c r="G1232" s="129"/>
      <c r="H1232" s="129"/>
      <c r="I1232" s="129"/>
      <c r="J1232" s="129"/>
      <c r="K1232" s="129"/>
      <c r="L1232" s="129"/>
      <c r="M1232" s="129"/>
      <c r="N1232" s="129"/>
      <c r="O1232" s="129"/>
      <c r="P1232" s="129"/>
      <c r="Q1232" s="129"/>
      <c r="R1232" s="129"/>
      <c r="S1232" s="129"/>
      <c r="T1232" s="129"/>
      <c r="U1232" s="129"/>
      <c r="V1232" s="129"/>
    </row>
    <row r="1233" spans="3:22" x14ac:dyDescent="0.3">
      <c r="C1233" s="129"/>
      <c r="D1233" s="129"/>
      <c r="E1233" s="129"/>
      <c r="F1233" s="129"/>
      <c r="G1233" s="129"/>
      <c r="H1233" s="129"/>
      <c r="I1233" s="129"/>
      <c r="J1233" s="129"/>
      <c r="K1233" s="129"/>
      <c r="L1233" s="129"/>
      <c r="M1233" s="129"/>
      <c r="N1233" s="129"/>
      <c r="O1233" s="129"/>
      <c r="P1233" s="129"/>
      <c r="Q1233" s="129"/>
      <c r="R1233" s="129"/>
      <c r="S1233" s="129"/>
      <c r="T1233" s="129"/>
      <c r="U1233" s="129"/>
      <c r="V1233" s="129"/>
    </row>
    <row r="1234" spans="3:22" x14ac:dyDescent="0.3">
      <c r="C1234" s="129"/>
      <c r="D1234" s="129"/>
      <c r="E1234" s="129"/>
      <c r="F1234" s="129"/>
      <c r="G1234" s="129"/>
      <c r="H1234" s="129"/>
      <c r="I1234" s="129"/>
      <c r="J1234" s="129"/>
      <c r="K1234" s="129"/>
      <c r="L1234" s="129"/>
      <c r="M1234" s="129"/>
      <c r="N1234" s="129"/>
      <c r="O1234" s="129"/>
      <c r="P1234" s="129"/>
      <c r="Q1234" s="129"/>
      <c r="R1234" s="129"/>
      <c r="S1234" s="129"/>
      <c r="T1234" s="129"/>
      <c r="U1234" s="129"/>
      <c r="V1234" s="129"/>
    </row>
    <row r="1235" spans="3:22" x14ac:dyDescent="0.3">
      <c r="C1235" s="129"/>
      <c r="D1235" s="129"/>
      <c r="E1235" s="129"/>
      <c r="F1235" s="129"/>
      <c r="G1235" s="129"/>
      <c r="H1235" s="129"/>
      <c r="I1235" s="129"/>
      <c r="J1235" s="129"/>
      <c r="K1235" s="129"/>
      <c r="L1235" s="129"/>
      <c r="M1235" s="129"/>
      <c r="N1235" s="129"/>
      <c r="O1235" s="129"/>
      <c r="P1235" s="129"/>
      <c r="Q1235" s="129"/>
      <c r="R1235" s="129"/>
      <c r="S1235" s="129"/>
      <c r="T1235" s="129"/>
      <c r="U1235" s="129"/>
      <c r="V1235" s="129"/>
    </row>
    <row r="1236" spans="3:22" x14ac:dyDescent="0.3">
      <c r="C1236" s="129"/>
      <c r="D1236" s="129"/>
      <c r="E1236" s="129"/>
      <c r="F1236" s="129"/>
      <c r="G1236" s="129"/>
      <c r="H1236" s="129"/>
      <c r="I1236" s="129"/>
      <c r="J1236" s="129"/>
      <c r="K1236" s="129"/>
      <c r="L1236" s="129"/>
      <c r="M1236" s="129"/>
      <c r="N1236" s="129"/>
      <c r="O1236" s="129"/>
      <c r="P1236" s="129"/>
      <c r="Q1236" s="129"/>
      <c r="R1236" s="129"/>
      <c r="S1236" s="129"/>
      <c r="T1236" s="129"/>
      <c r="U1236" s="129"/>
      <c r="V1236" s="129"/>
    </row>
    <row r="1237" spans="3:22" x14ac:dyDescent="0.3">
      <c r="C1237" s="129"/>
      <c r="D1237" s="129"/>
      <c r="E1237" s="129"/>
      <c r="F1237" s="129"/>
      <c r="G1237" s="129"/>
      <c r="H1237" s="129"/>
      <c r="I1237" s="129"/>
      <c r="J1237" s="129"/>
      <c r="K1237" s="129"/>
      <c r="L1237" s="129"/>
      <c r="M1237" s="129"/>
      <c r="N1237" s="129"/>
      <c r="O1237" s="129"/>
      <c r="P1237" s="129"/>
      <c r="Q1237" s="129"/>
      <c r="R1237" s="129"/>
      <c r="S1237" s="129"/>
      <c r="T1237" s="129"/>
      <c r="U1237" s="129"/>
      <c r="V1237" s="129"/>
    </row>
    <row r="1238" spans="3:22" x14ac:dyDescent="0.3">
      <c r="C1238" s="129"/>
      <c r="D1238" s="129"/>
      <c r="E1238" s="129"/>
      <c r="F1238" s="129"/>
      <c r="G1238" s="129"/>
      <c r="H1238" s="129"/>
      <c r="I1238" s="129"/>
      <c r="J1238" s="129"/>
      <c r="K1238" s="129"/>
      <c r="L1238" s="129"/>
      <c r="M1238" s="129"/>
      <c r="N1238" s="129"/>
      <c r="O1238" s="129"/>
      <c r="P1238" s="129"/>
      <c r="Q1238" s="129"/>
      <c r="R1238" s="129"/>
      <c r="S1238" s="129"/>
      <c r="T1238" s="129"/>
      <c r="U1238" s="129"/>
      <c r="V1238" s="129"/>
    </row>
    <row r="1239" spans="3:22" x14ac:dyDescent="0.3">
      <c r="C1239" s="129"/>
      <c r="D1239" s="129"/>
      <c r="E1239" s="129"/>
      <c r="F1239" s="129"/>
      <c r="G1239" s="129"/>
      <c r="H1239" s="129"/>
      <c r="I1239" s="129"/>
      <c r="J1239" s="129"/>
      <c r="K1239" s="129"/>
      <c r="L1239" s="129"/>
      <c r="M1239" s="129"/>
      <c r="N1239" s="129"/>
      <c r="O1239" s="129"/>
      <c r="P1239" s="129"/>
      <c r="Q1239" s="129"/>
      <c r="R1239" s="129"/>
      <c r="S1239" s="129"/>
      <c r="T1239" s="129"/>
      <c r="U1239" s="129"/>
      <c r="V1239" s="129"/>
    </row>
    <row r="1240" spans="3:22" x14ac:dyDescent="0.3">
      <c r="C1240" s="129"/>
      <c r="D1240" s="129"/>
      <c r="E1240" s="129"/>
      <c r="F1240" s="129"/>
      <c r="G1240" s="129"/>
      <c r="H1240" s="129"/>
      <c r="I1240" s="129"/>
      <c r="J1240" s="129"/>
      <c r="K1240" s="129"/>
      <c r="L1240" s="129"/>
      <c r="M1240" s="129"/>
      <c r="N1240" s="129"/>
      <c r="O1240" s="129"/>
      <c r="P1240" s="129"/>
      <c r="Q1240" s="129"/>
      <c r="R1240" s="129"/>
      <c r="S1240" s="129"/>
      <c r="T1240" s="129"/>
      <c r="U1240" s="129"/>
      <c r="V1240" s="129"/>
    </row>
    <row r="1241" spans="3:22" x14ac:dyDescent="0.3">
      <c r="C1241" s="129"/>
      <c r="D1241" s="129"/>
      <c r="E1241" s="129"/>
      <c r="F1241" s="129"/>
      <c r="G1241" s="129"/>
      <c r="H1241" s="129"/>
      <c r="I1241" s="129"/>
      <c r="J1241" s="129"/>
      <c r="K1241" s="129"/>
      <c r="L1241" s="129"/>
      <c r="M1241" s="129"/>
      <c r="N1241" s="129"/>
      <c r="O1241" s="129"/>
      <c r="P1241" s="129"/>
      <c r="Q1241" s="129"/>
      <c r="R1241" s="129"/>
      <c r="S1241" s="129"/>
      <c r="T1241" s="129"/>
      <c r="U1241" s="129"/>
      <c r="V1241" s="129"/>
    </row>
    <row r="1242" spans="3:22" x14ac:dyDescent="0.3">
      <c r="C1242" s="129"/>
      <c r="D1242" s="129"/>
      <c r="E1242" s="129"/>
      <c r="F1242" s="129"/>
      <c r="G1242" s="129"/>
      <c r="H1242" s="129"/>
      <c r="I1242" s="129"/>
      <c r="J1242" s="129"/>
      <c r="K1242" s="129"/>
      <c r="L1242" s="129"/>
      <c r="M1242" s="129"/>
      <c r="N1242" s="129"/>
      <c r="O1242" s="129"/>
      <c r="P1242" s="129"/>
      <c r="Q1242" s="129"/>
      <c r="R1242" s="129"/>
      <c r="S1242" s="129"/>
      <c r="T1242" s="129"/>
      <c r="U1242" s="129"/>
      <c r="V1242" s="129"/>
    </row>
    <row r="1243" spans="3:22" x14ac:dyDescent="0.3">
      <c r="C1243" s="129"/>
      <c r="D1243" s="129"/>
      <c r="E1243" s="129"/>
      <c r="F1243" s="129"/>
      <c r="G1243" s="129"/>
      <c r="H1243" s="129"/>
      <c r="I1243" s="129"/>
      <c r="J1243" s="129"/>
      <c r="K1243" s="129"/>
      <c r="L1243" s="129"/>
      <c r="M1243" s="129"/>
      <c r="N1243" s="129"/>
      <c r="O1243" s="129"/>
      <c r="P1243" s="129"/>
      <c r="Q1243" s="129"/>
      <c r="R1243" s="129"/>
      <c r="S1243" s="129"/>
      <c r="T1243" s="129"/>
      <c r="U1243" s="129"/>
      <c r="V1243" s="129"/>
    </row>
    <row r="1244" spans="3:22" x14ac:dyDescent="0.3">
      <c r="C1244" s="129"/>
      <c r="D1244" s="129"/>
      <c r="E1244" s="129"/>
      <c r="F1244" s="129"/>
      <c r="G1244" s="129"/>
      <c r="H1244" s="129"/>
      <c r="I1244" s="129"/>
      <c r="J1244" s="129"/>
      <c r="K1244" s="129"/>
      <c r="L1244" s="129"/>
      <c r="M1244" s="129"/>
      <c r="N1244" s="129"/>
      <c r="O1244" s="129"/>
      <c r="P1244" s="129"/>
      <c r="Q1244" s="129"/>
      <c r="R1244" s="129"/>
      <c r="S1244" s="129"/>
      <c r="T1244" s="129"/>
      <c r="U1244" s="129"/>
      <c r="V1244" s="129"/>
    </row>
    <row r="1245" spans="3:22" x14ac:dyDescent="0.3">
      <c r="C1245" s="129"/>
      <c r="D1245" s="129"/>
      <c r="E1245" s="129"/>
      <c r="F1245" s="129"/>
      <c r="G1245" s="129"/>
      <c r="H1245" s="129"/>
      <c r="I1245" s="129"/>
      <c r="J1245" s="129"/>
      <c r="K1245" s="129"/>
      <c r="L1245" s="129"/>
      <c r="M1245" s="129"/>
      <c r="N1245" s="129"/>
      <c r="O1245" s="129"/>
      <c r="P1245" s="129"/>
      <c r="Q1245" s="129"/>
      <c r="R1245" s="129"/>
      <c r="S1245" s="129"/>
      <c r="T1245" s="129"/>
      <c r="U1245" s="129"/>
      <c r="V1245" s="129"/>
    </row>
    <row r="1246" spans="3:22" x14ac:dyDescent="0.3">
      <c r="C1246" s="129"/>
      <c r="D1246" s="129"/>
      <c r="E1246" s="129"/>
      <c r="F1246" s="129"/>
      <c r="G1246" s="129"/>
      <c r="H1246" s="129"/>
      <c r="I1246" s="129"/>
      <c r="J1246" s="129"/>
      <c r="K1246" s="129"/>
      <c r="L1246" s="129"/>
      <c r="M1246" s="129"/>
      <c r="N1246" s="129"/>
      <c r="O1246" s="129"/>
      <c r="P1246" s="129"/>
      <c r="Q1246" s="129"/>
      <c r="R1246" s="129"/>
      <c r="S1246" s="129"/>
      <c r="T1246" s="129"/>
      <c r="U1246" s="129"/>
      <c r="V1246" s="129"/>
    </row>
    <row r="1247" spans="3:22" x14ac:dyDescent="0.3">
      <c r="C1247" s="129"/>
      <c r="D1247" s="129"/>
      <c r="E1247" s="129"/>
      <c r="F1247" s="129"/>
      <c r="G1247" s="129"/>
      <c r="H1247" s="129"/>
      <c r="I1247" s="129"/>
      <c r="J1247" s="129"/>
      <c r="K1247" s="129"/>
      <c r="L1247" s="129"/>
      <c r="M1247" s="129"/>
      <c r="N1247" s="129"/>
      <c r="O1247" s="129"/>
      <c r="P1247" s="129"/>
      <c r="Q1247" s="129"/>
      <c r="R1247" s="129"/>
      <c r="S1247" s="129"/>
      <c r="T1247" s="129"/>
      <c r="U1247" s="129"/>
      <c r="V1247" s="129"/>
    </row>
    <row r="1248" spans="3:22" x14ac:dyDescent="0.3">
      <c r="C1248" s="129"/>
      <c r="D1248" s="129"/>
      <c r="E1248" s="129"/>
      <c r="F1248" s="129"/>
      <c r="G1248" s="129"/>
      <c r="H1248" s="129"/>
      <c r="I1248" s="129"/>
      <c r="J1248" s="129"/>
      <c r="K1248" s="129"/>
      <c r="L1248" s="129"/>
      <c r="M1248" s="129"/>
      <c r="N1248" s="129"/>
      <c r="O1248" s="129"/>
      <c r="P1248" s="129"/>
      <c r="Q1248" s="129"/>
      <c r="R1248" s="129"/>
      <c r="S1248" s="129"/>
      <c r="T1248" s="129"/>
      <c r="U1248" s="129"/>
      <c r="V1248" s="129"/>
    </row>
    <row r="1249" spans="3:22" x14ac:dyDescent="0.3">
      <c r="C1249" s="129"/>
      <c r="D1249" s="129"/>
      <c r="E1249" s="129"/>
      <c r="F1249" s="129"/>
      <c r="G1249" s="129"/>
      <c r="H1249" s="129"/>
      <c r="I1249" s="129"/>
      <c r="J1249" s="129"/>
      <c r="K1249" s="129"/>
      <c r="L1249" s="129"/>
      <c r="M1249" s="129"/>
      <c r="N1249" s="129"/>
      <c r="O1249" s="129"/>
      <c r="P1249" s="129"/>
      <c r="Q1249" s="129"/>
      <c r="R1249" s="129"/>
      <c r="S1249" s="129"/>
      <c r="T1249" s="129"/>
      <c r="U1249" s="129"/>
      <c r="V1249" s="129"/>
    </row>
    <row r="1250" spans="3:22" x14ac:dyDescent="0.3">
      <c r="C1250" s="129"/>
      <c r="D1250" s="129"/>
      <c r="E1250" s="129"/>
      <c r="F1250" s="129"/>
      <c r="G1250" s="129"/>
      <c r="H1250" s="129"/>
      <c r="I1250" s="129"/>
      <c r="J1250" s="129"/>
      <c r="K1250" s="129"/>
      <c r="L1250" s="129"/>
      <c r="M1250" s="129"/>
      <c r="N1250" s="129"/>
      <c r="O1250" s="129"/>
      <c r="P1250" s="129"/>
      <c r="Q1250" s="129"/>
      <c r="R1250" s="129"/>
      <c r="S1250" s="129"/>
      <c r="T1250" s="129"/>
      <c r="U1250" s="129"/>
      <c r="V1250" s="129"/>
    </row>
    <row r="1251" spans="3:22" x14ac:dyDescent="0.3">
      <c r="C1251" s="129"/>
      <c r="D1251" s="129"/>
      <c r="E1251" s="129"/>
      <c r="F1251" s="129"/>
      <c r="G1251" s="129"/>
      <c r="H1251" s="129"/>
      <c r="I1251" s="129"/>
      <c r="J1251" s="129"/>
      <c r="K1251" s="129"/>
      <c r="L1251" s="129"/>
      <c r="M1251" s="129"/>
      <c r="N1251" s="129"/>
      <c r="O1251" s="129"/>
      <c r="P1251" s="129"/>
      <c r="Q1251" s="129"/>
      <c r="R1251" s="129"/>
      <c r="S1251" s="129"/>
      <c r="T1251" s="129"/>
      <c r="U1251" s="129"/>
      <c r="V1251" s="129"/>
    </row>
    <row r="1252" spans="3:22" x14ac:dyDescent="0.3">
      <c r="C1252" s="129"/>
      <c r="D1252" s="129"/>
      <c r="E1252" s="129"/>
      <c r="F1252" s="129"/>
      <c r="G1252" s="129"/>
      <c r="H1252" s="129"/>
      <c r="I1252" s="129"/>
      <c r="J1252" s="129"/>
      <c r="K1252" s="129"/>
      <c r="L1252" s="129"/>
      <c r="M1252" s="129"/>
      <c r="N1252" s="129"/>
      <c r="O1252" s="129"/>
      <c r="P1252" s="129"/>
      <c r="Q1252" s="129"/>
      <c r="R1252" s="129"/>
      <c r="S1252" s="129"/>
      <c r="T1252" s="129"/>
      <c r="U1252" s="129"/>
      <c r="V1252" s="129"/>
    </row>
    <row r="1253" spans="3:22" x14ac:dyDescent="0.3">
      <c r="C1253" s="129"/>
      <c r="D1253" s="129"/>
      <c r="E1253" s="129"/>
      <c r="F1253" s="129"/>
      <c r="G1253" s="129"/>
      <c r="H1253" s="129"/>
      <c r="I1253" s="129"/>
      <c r="J1253" s="129"/>
      <c r="K1253" s="129"/>
      <c r="L1253" s="129"/>
      <c r="M1253" s="129"/>
      <c r="N1253" s="129"/>
      <c r="O1253" s="129"/>
      <c r="P1253" s="129"/>
      <c r="Q1253" s="129"/>
      <c r="R1253" s="129"/>
      <c r="S1253" s="129"/>
      <c r="T1253" s="129"/>
      <c r="U1253" s="129"/>
      <c r="V1253" s="129"/>
    </row>
    <row r="1254" spans="3:22" x14ac:dyDescent="0.3">
      <c r="C1254" s="129"/>
      <c r="D1254" s="129"/>
      <c r="E1254" s="129"/>
      <c r="F1254" s="129"/>
      <c r="G1254" s="129"/>
      <c r="H1254" s="129"/>
      <c r="I1254" s="129"/>
      <c r="J1254" s="129"/>
      <c r="K1254" s="129"/>
      <c r="L1254" s="129"/>
      <c r="M1254" s="129"/>
      <c r="N1254" s="129"/>
      <c r="O1254" s="129"/>
      <c r="P1254" s="129"/>
      <c r="Q1254" s="129"/>
      <c r="R1254" s="129"/>
      <c r="S1254" s="129"/>
      <c r="T1254" s="129"/>
      <c r="U1254" s="129"/>
      <c r="V1254" s="129"/>
    </row>
    <row r="1255" spans="3:22" x14ac:dyDescent="0.3">
      <c r="C1255" s="129"/>
      <c r="D1255" s="129"/>
      <c r="E1255" s="129"/>
      <c r="F1255" s="129"/>
      <c r="G1255" s="129"/>
      <c r="H1255" s="129"/>
      <c r="I1255" s="129"/>
      <c r="J1255" s="129"/>
      <c r="K1255" s="129"/>
      <c r="L1255" s="129"/>
      <c r="M1255" s="129"/>
      <c r="N1255" s="129"/>
      <c r="O1255" s="129"/>
      <c r="P1255" s="129"/>
      <c r="Q1255" s="129"/>
      <c r="R1255" s="129"/>
      <c r="S1255" s="129"/>
      <c r="T1255" s="129"/>
      <c r="U1255" s="129"/>
      <c r="V1255" s="129"/>
    </row>
    <row r="1256" spans="3:22" x14ac:dyDescent="0.3">
      <c r="C1256" s="129"/>
      <c r="D1256" s="129"/>
      <c r="E1256" s="129"/>
      <c r="F1256" s="129"/>
      <c r="G1256" s="129"/>
      <c r="H1256" s="129"/>
      <c r="I1256" s="129"/>
      <c r="J1256" s="129"/>
      <c r="K1256" s="129"/>
      <c r="L1256" s="129"/>
      <c r="M1256" s="129"/>
      <c r="N1256" s="129"/>
      <c r="O1256" s="129"/>
      <c r="P1256" s="129"/>
      <c r="Q1256" s="129"/>
      <c r="R1256" s="129"/>
      <c r="S1256" s="129"/>
      <c r="T1256" s="129"/>
      <c r="U1256" s="129"/>
      <c r="V1256" s="129"/>
    </row>
    <row r="1257" spans="3:22" x14ac:dyDescent="0.3">
      <c r="C1257" s="129"/>
      <c r="D1257" s="129"/>
      <c r="E1257" s="129"/>
      <c r="F1257" s="129"/>
      <c r="G1257" s="129"/>
      <c r="H1257" s="129"/>
      <c r="I1257" s="129"/>
      <c r="J1257" s="129"/>
      <c r="K1257" s="129"/>
      <c r="L1257" s="129"/>
      <c r="M1257" s="129"/>
      <c r="N1257" s="129"/>
      <c r="O1257" s="129"/>
      <c r="P1257" s="129"/>
      <c r="Q1257" s="129"/>
      <c r="R1257" s="129"/>
      <c r="S1257" s="129"/>
      <c r="T1257" s="129"/>
      <c r="U1257" s="129"/>
      <c r="V1257" s="129"/>
    </row>
    <row r="1258" spans="3:22" x14ac:dyDescent="0.3">
      <c r="C1258" s="129"/>
      <c r="D1258" s="129"/>
      <c r="E1258" s="129"/>
      <c r="F1258" s="129"/>
      <c r="G1258" s="129"/>
      <c r="H1258" s="129"/>
      <c r="I1258" s="129"/>
      <c r="J1258" s="129"/>
      <c r="K1258" s="129"/>
      <c r="L1258" s="129"/>
      <c r="M1258" s="129"/>
      <c r="N1258" s="129"/>
      <c r="O1258" s="129"/>
      <c r="P1258" s="129"/>
      <c r="Q1258" s="129"/>
      <c r="R1258" s="129"/>
      <c r="S1258" s="129"/>
      <c r="T1258" s="129"/>
      <c r="U1258" s="129"/>
      <c r="V1258" s="129"/>
    </row>
    <row r="1259" spans="3:22" x14ac:dyDescent="0.3">
      <c r="C1259" s="129"/>
      <c r="D1259" s="129"/>
      <c r="E1259" s="129"/>
      <c r="F1259" s="129"/>
      <c r="G1259" s="129"/>
      <c r="H1259" s="129"/>
      <c r="I1259" s="129"/>
      <c r="J1259" s="129"/>
      <c r="K1259" s="129"/>
      <c r="L1259" s="129"/>
      <c r="M1259" s="129"/>
      <c r="N1259" s="129"/>
      <c r="O1259" s="129"/>
      <c r="P1259" s="129"/>
      <c r="Q1259" s="129"/>
      <c r="R1259" s="129"/>
      <c r="S1259" s="129"/>
      <c r="T1259" s="129"/>
      <c r="U1259" s="129"/>
      <c r="V1259" s="129"/>
    </row>
    <row r="1260" spans="3:22" x14ac:dyDescent="0.3">
      <c r="C1260" s="129"/>
      <c r="D1260" s="129"/>
      <c r="E1260" s="129"/>
      <c r="F1260" s="129"/>
      <c r="G1260" s="129"/>
      <c r="H1260" s="129"/>
      <c r="I1260" s="129"/>
      <c r="J1260" s="129"/>
      <c r="K1260" s="129"/>
      <c r="L1260" s="129"/>
      <c r="M1260" s="129"/>
      <c r="N1260" s="129"/>
      <c r="O1260" s="129"/>
      <c r="P1260" s="129"/>
      <c r="Q1260" s="129"/>
      <c r="R1260" s="129"/>
      <c r="S1260" s="129"/>
      <c r="T1260" s="129"/>
      <c r="U1260" s="129"/>
      <c r="V1260" s="129"/>
    </row>
    <row r="1261" spans="3:22" x14ac:dyDescent="0.3">
      <c r="C1261" s="129"/>
      <c r="D1261" s="129"/>
      <c r="E1261" s="129"/>
      <c r="F1261" s="129"/>
      <c r="G1261" s="129"/>
      <c r="H1261" s="129"/>
      <c r="I1261" s="129"/>
      <c r="J1261" s="129"/>
      <c r="K1261" s="129"/>
      <c r="L1261" s="129"/>
      <c r="M1261" s="129"/>
      <c r="N1261" s="129"/>
      <c r="O1261" s="129"/>
      <c r="P1261" s="129"/>
      <c r="Q1261" s="129"/>
      <c r="R1261" s="129"/>
      <c r="S1261" s="129"/>
      <c r="T1261" s="129"/>
      <c r="U1261" s="129"/>
      <c r="V1261" s="129"/>
    </row>
    <row r="1262" spans="3:22" x14ac:dyDescent="0.3">
      <c r="C1262" s="129"/>
      <c r="D1262" s="129"/>
      <c r="E1262" s="129"/>
      <c r="F1262" s="129"/>
      <c r="G1262" s="129"/>
      <c r="H1262" s="129"/>
      <c r="I1262" s="129"/>
      <c r="J1262" s="129"/>
      <c r="K1262" s="129"/>
      <c r="L1262" s="129"/>
      <c r="M1262" s="129"/>
      <c r="N1262" s="129"/>
      <c r="O1262" s="129"/>
      <c r="P1262" s="129"/>
      <c r="Q1262" s="129"/>
      <c r="R1262" s="129"/>
      <c r="S1262" s="129"/>
      <c r="T1262" s="129"/>
      <c r="U1262" s="129"/>
      <c r="V1262" s="129"/>
    </row>
    <row r="1263" spans="3:22" x14ac:dyDescent="0.3">
      <c r="C1263" s="129"/>
      <c r="D1263" s="129"/>
      <c r="E1263" s="129"/>
      <c r="F1263" s="129"/>
      <c r="G1263" s="129"/>
      <c r="H1263" s="129"/>
      <c r="I1263" s="129"/>
      <c r="J1263" s="129"/>
      <c r="K1263" s="129"/>
      <c r="L1263" s="129"/>
      <c r="M1263" s="129"/>
      <c r="N1263" s="129"/>
      <c r="O1263" s="129"/>
      <c r="P1263" s="129"/>
      <c r="Q1263" s="129"/>
      <c r="R1263" s="129"/>
      <c r="S1263" s="129"/>
      <c r="T1263" s="129"/>
      <c r="U1263" s="129"/>
      <c r="V1263" s="129"/>
    </row>
    <row r="1264" spans="3:22" x14ac:dyDescent="0.3">
      <c r="C1264" s="129"/>
      <c r="D1264" s="129"/>
      <c r="E1264" s="129"/>
      <c r="F1264" s="129"/>
      <c r="G1264" s="129"/>
      <c r="H1264" s="129"/>
      <c r="I1264" s="129"/>
      <c r="J1264" s="129"/>
      <c r="K1264" s="129"/>
      <c r="L1264" s="129"/>
      <c r="M1264" s="129"/>
      <c r="N1264" s="129"/>
      <c r="O1264" s="129"/>
      <c r="P1264" s="129"/>
      <c r="Q1264" s="129"/>
      <c r="R1264" s="129"/>
      <c r="S1264" s="129"/>
      <c r="T1264" s="129"/>
      <c r="U1264" s="129"/>
      <c r="V1264" s="129"/>
    </row>
    <row r="1265" spans="3:22" x14ac:dyDescent="0.3">
      <c r="C1265" s="129"/>
      <c r="D1265" s="129"/>
      <c r="E1265" s="129"/>
      <c r="F1265" s="129"/>
      <c r="G1265" s="129"/>
      <c r="H1265" s="129"/>
      <c r="I1265" s="129"/>
      <c r="J1265" s="129"/>
      <c r="K1265" s="129"/>
      <c r="L1265" s="129"/>
      <c r="M1265" s="129"/>
      <c r="N1265" s="129"/>
      <c r="O1265" s="129"/>
      <c r="P1265" s="129"/>
      <c r="Q1265" s="129"/>
      <c r="R1265" s="129"/>
      <c r="S1265" s="129"/>
      <c r="T1265" s="129"/>
      <c r="U1265" s="129"/>
      <c r="V1265" s="129"/>
    </row>
    <row r="1266" spans="3:22" x14ac:dyDescent="0.3">
      <c r="C1266" s="129"/>
      <c r="D1266" s="129"/>
      <c r="E1266" s="129"/>
      <c r="F1266" s="129"/>
      <c r="G1266" s="129"/>
      <c r="H1266" s="129"/>
      <c r="I1266" s="129"/>
      <c r="J1266" s="129"/>
      <c r="K1266" s="129"/>
      <c r="L1266" s="129"/>
      <c r="M1266" s="129"/>
      <c r="N1266" s="129"/>
      <c r="O1266" s="129"/>
      <c r="P1266" s="129"/>
      <c r="Q1266" s="129"/>
      <c r="R1266" s="129"/>
      <c r="S1266" s="129"/>
      <c r="T1266" s="129"/>
      <c r="U1266" s="129"/>
      <c r="V1266" s="129"/>
    </row>
    <row r="1267" spans="3:22" x14ac:dyDescent="0.3">
      <c r="C1267" s="129"/>
      <c r="D1267" s="129"/>
      <c r="E1267" s="129"/>
      <c r="F1267" s="129"/>
      <c r="G1267" s="129"/>
      <c r="H1267" s="129"/>
      <c r="I1267" s="129"/>
      <c r="J1267" s="129"/>
      <c r="K1267" s="129"/>
      <c r="L1267" s="129"/>
      <c r="M1267" s="129"/>
      <c r="N1267" s="129"/>
      <c r="O1267" s="129"/>
      <c r="P1267" s="129"/>
      <c r="Q1267" s="129"/>
      <c r="R1267" s="129"/>
      <c r="S1267" s="129"/>
      <c r="T1267" s="129"/>
      <c r="U1267" s="129"/>
      <c r="V1267" s="129"/>
    </row>
    <row r="1268" spans="3:22" x14ac:dyDescent="0.3">
      <c r="C1268" s="129"/>
      <c r="D1268" s="129"/>
      <c r="E1268" s="129"/>
      <c r="F1268" s="129"/>
      <c r="G1268" s="129"/>
      <c r="H1268" s="129"/>
      <c r="I1268" s="129"/>
      <c r="J1268" s="129"/>
      <c r="K1268" s="129"/>
      <c r="L1268" s="129"/>
      <c r="M1268" s="129"/>
      <c r="N1268" s="129"/>
      <c r="O1268" s="129"/>
      <c r="P1268" s="129"/>
      <c r="Q1268" s="129"/>
      <c r="R1268" s="129"/>
      <c r="S1268" s="129"/>
      <c r="T1268" s="129"/>
      <c r="U1268" s="129"/>
      <c r="V1268" s="129"/>
    </row>
    <row r="1269" spans="3:22" x14ac:dyDescent="0.3">
      <c r="C1269" s="129"/>
      <c r="D1269" s="129"/>
      <c r="E1269" s="129"/>
      <c r="F1269" s="129"/>
      <c r="G1269" s="129"/>
      <c r="H1269" s="129"/>
      <c r="I1269" s="129"/>
      <c r="J1269" s="129"/>
      <c r="K1269" s="129"/>
      <c r="L1269" s="129"/>
      <c r="M1269" s="129"/>
      <c r="N1269" s="129"/>
      <c r="O1269" s="129"/>
      <c r="P1269" s="129"/>
      <c r="Q1269" s="129"/>
      <c r="R1269" s="129"/>
      <c r="S1269" s="129"/>
      <c r="T1269" s="129"/>
      <c r="U1269" s="129"/>
      <c r="V1269" s="129"/>
    </row>
    <row r="1270" spans="3:22" x14ac:dyDescent="0.3">
      <c r="C1270" s="129"/>
      <c r="D1270" s="129"/>
      <c r="E1270" s="129"/>
      <c r="F1270" s="129"/>
      <c r="G1270" s="129"/>
      <c r="H1270" s="129"/>
      <c r="I1270" s="129"/>
      <c r="J1270" s="129"/>
      <c r="K1270" s="129"/>
      <c r="L1270" s="129"/>
      <c r="M1270" s="129"/>
      <c r="N1270" s="129"/>
      <c r="O1270" s="129"/>
      <c r="P1270" s="129"/>
      <c r="Q1270" s="129"/>
      <c r="R1270" s="129"/>
      <c r="S1270" s="129"/>
      <c r="T1270" s="129"/>
      <c r="U1270" s="129"/>
      <c r="V1270" s="129"/>
    </row>
    <row r="1271" spans="3:22" x14ac:dyDescent="0.3">
      <c r="C1271" s="129"/>
      <c r="D1271" s="129"/>
      <c r="E1271" s="129"/>
      <c r="F1271" s="129"/>
      <c r="G1271" s="129"/>
      <c r="H1271" s="129"/>
      <c r="I1271" s="129"/>
      <c r="J1271" s="129"/>
      <c r="K1271" s="129"/>
      <c r="L1271" s="129"/>
      <c r="M1271" s="129"/>
      <c r="N1271" s="129"/>
      <c r="O1271" s="129"/>
      <c r="P1271" s="129"/>
      <c r="Q1271" s="129"/>
      <c r="R1271" s="129"/>
      <c r="S1271" s="129"/>
      <c r="T1271" s="129"/>
      <c r="U1271" s="129"/>
      <c r="V1271" s="129"/>
    </row>
    <row r="1272" spans="3:22" x14ac:dyDescent="0.3">
      <c r="C1272" s="129"/>
      <c r="D1272" s="129"/>
      <c r="E1272" s="129"/>
      <c r="F1272" s="129"/>
      <c r="G1272" s="129"/>
      <c r="H1272" s="129"/>
      <c r="I1272" s="129"/>
      <c r="J1272" s="129"/>
      <c r="K1272" s="129"/>
      <c r="L1272" s="129"/>
      <c r="M1272" s="129"/>
      <c r="N1272" s="129"/>
      <c r="O1272" s="129"/>
      <c r="P1272" s="129"/>
      <c r="Q1272" s="129"/>
      <c r="R1272" s="129"/>
      <c r="S1272" s="129"/>
      <c r="T1272" s="129"/>
      <c r="U1272" s="129"/>
      <c r="V1272" s="129"/>
    </row>
    <row r="1273" spans="3:22" x14ac:dyDescent="0.3">
      <c r="C1273" s="129"/>
      <c r="D1273" s="129"/>
      <c r="E1273" s="129"/>
      <c r="F1273" s="129"/>
      <c r="G1273" s="129"/>
      <c r="H1273" s="129"/>
      <c r="I1273" s="129"/>
      <c r="J1273" s="129"/>
      <c r="K1273" s="129"/>
      <c r="L1273" s="129"/>
      <c r="M1273" s="129"/>
      <c r="N1273" s="129"/>
      <c r="O1273" s="129"/>
      <c r="P1273" s="129"/>
      <c r="Q1273" s="129"/>
      <c r="R1273" s="129"/>
      <c r="S1273" s="129"/>
      <c r="T1273" s="129"/>
      <c r="U1273" s="129"/>
      <c r="V1273" s="129"/>
    </row>
    <row r="1274" spans="3:22" x14ac:dyDescent="0.3">
      <c r="C1274" s="129"/>
      <c r="D1274" s="129"/>
      <c r="E1274" s="129"/>
      <c r="F1274" s="129"/>
      <c r="G1274" s="129"/>
      <c r="H1274" s="129"/>
      <c r="I1274" s="129"/>
      <c r="J1274" s="129"/>
      <c r="K1274" s="129"/>
      <c r="L1274" s="129"/>
      <c r="M1274" s="129"/>
      <c r="N1274" s="129"/>
      <c r="O1274" s="129"/>
      <c r="P1274" s="129"/>
      <c r="Q1274" s="129"/>
      <c r="R1274" s="129"/>
      <c r="S1274" s="129"/>
      <c r="T1274" s="129"/>
      <c r="U1274" s="129"/>
      <c r="V1274" s="129"/>
    </row>
    <row r="1275" spans="3:22" x14ac:dyDescent="0.3">
      <c r="C1275" s="129"/>
      <c r="D1275" s="129"/>
      <c r="E1275" s="129"/>
      <c r="F1275" s="129"/>
      <c r="G1275" s="129"/>
      <c r="H1275" s="129"/>
      <c r="I1275" s="129"/>
      <c r="J1275" s="129"/>
      <c r="K1275" s="129"/>
      <c r="L1275" s="129"/>
      <c r="M1275" s="129"/>
      <c r="N1275" s="129"/>
      <c r="O1275" s="129"/>
      <c r="P1275" s="129"/>
      <c r="Q1275" s="129"/>
      <c r="R1275" s="129"/>
      <c r="S1275" s="129"/>
      <c r="T1275" s="129"/>
      <c r="U1275" s="129"/>
      <c r="V1275" s="129"/>
    </row>
    <row r="1276" spans="3:22" x14ac:dyDescent="0.3">
      <c r="C1276" s="129"/>
      <c r="D1276" s="129"/>
      <c r="E1276" s="129"/>
      <c r="F1276" s="129"/>
      <c r="G1276" s="129"/>
      <c r="H1276" s="129"/>
      <c r="I1276" s="129"/>
      <c r="J1276" s="129"/>
      <c r="K1276" s="129"/>
      <c r="L1276" s="129"/>
      <c r="M1276" s="129"/>
      <c r="N1276" s="129"/>
      <c r="O1276" s="129"/>
      <c r="P1276" s="129"/>
      <c r="Q1276" s="129"/>
      <c r="R1276" s="129"/>
      <c r="S1276" s="129"/>
      <c r="T1276" s="129"/>
      <c r="U1276" s="129"/>
      <c r="V1276" s="129"/>
    </row>
    <row r="1277" spans="3:22" x14ac:dyDescent="0.3">
      <c r="C1277" s="129"/>
      <c r="D1277" s="129"/>
      <c r="E1277" s="129"/>
      <c r="F1277" s="129"/>
      <c r="G1277" s="129"/>
      <c r="H1277" s="129"/>
      <c r="I1277" s="129"/>
      <c r="J1277" s="129"/>
      <c r="K1277" s="129"/>
      <c r="L1277" s="129"/>
      <c r="M1277" s="129"/>
      <c r="N1277" s="129"/>
      <c r="O1277" s="129"/>
      <c r="P1277" s="129"/>
      <c r="Q1277" s="129"/>
      <c r="R1277" s="129"/>
      <c r="S1277" s="129"/>
      <c r="T1277" s="129"/>
      <c r="U1277" s="129"/>
      <c r="V1277" s="129"/>
    </row>
    <row r="1278" spans="3:22" x14ac:dyDescent="0.3">
      <c r="C1278" s="129"/>
      <c r="D1278" s="129"/>
      <c r="E1278" s="129"/>
      <c r="F1278" s="129"/>
      <c r="G1278" s="129"/>
      <c r="H1278" s="129"/>
      <c r="I1278" s="129"/>
      <c r="J1278" s="129"/>
      <c r="K1278" s="129"/>
      <c r="L1278" s="129"/>
      <c r="M1278" s="129"/>
      <c r="N1278" s="129"/>
      <c r="O1278" s="129"/>
      <c r="P1278" s="129"/>
      <c r="Q1278" s="129"/>
      <c r="R1278" s="129"/>
      <c r="S1278" s="129"/>
      <c r="T1278" s="129"/>
      <c r="U1278" s="129"/>
      <c r="V1278" s="129"/>
    </row>
    <row r="1279" spans="3:22" x14ac:dyDescent="0.3">
      <c r="C1279" s="129"/>
      <c r="D1279" s="129"/>
      <c r="E1279" s="129"/>
      <c r="F1279" s="129"/>
      <c r="G1279" s="129"/>
      <c r="H1279" s="129"/>
      <c r="I1279" s="129"/>
      <c r="J1279" s="129"/>
      <c r="K1279" s="129"/>
      <c r="L1279" s="129"/>
      <c r="M1279" s="129"/>
      <c r="N1279" s="129"/>
      <c r="O1279" s="129"/>
      <c r="P1279" s="129"/>
      <c r="Q1279" s="129"/>
      <c r="R1279" s="129"/>
      <c r="S1279" s="129"/>
      <c r="T1279" s="129"/>
      <c r="U1279" s="129"/>
      <c r="V1279" s="129"/>
    </row>
    <row r="1280" spans="3:22" x14ac:dyDescent="0.3">
      <c r="C1280" s="129"/>
      <c r="D1280" s="129"/>
      <c r="E1280" s="129"/>
      <c r="F1280" s="129"/>
      <c r="G1280" s="129"/>
      <c r="H1280" s="129"/>
      <c r="I1280" s="129"/>
      <c r="J1280" s="129"/>
      <c r="K1280" s="129"/>
      <c r="L1280" s="129"/>
      <c r="M1280" s="129"/>
      <c r="N1280" s="129"/>
      <c r="O1280" s="129"/>
      <c r="P1280" s="129"/>
      <c r="Q1280" s="129"/>
      <c r="R1280" s="129"/>
      <c r="S1280" s="129"/>
      <c r="T1280" s="129"/>
      <c r="U1280" s="129"/>
      <c r="V1280" s="129"/>
    </row>
    <row r="1281" spans="3:22" x14ac:dyDescent="0.3">
      <c r="C1281" s="129"/>
      <c r="D1281" s="129"/>
      <c r="E1281" s="129"/>
      <c r="F1281" s="129"/>
      <c r="G1281" s="129"/>
      <c r="H1281" s="129"/>
      <c r="I1281" s="129"/>
      <c r="J1281" s="129"/>
      <c r="K1281" s="129"/>
      <c r="L1281" s="129"/>
      <c r="M1281" s="129"/>
      <c r="N1281" s="129"/>
      <c r="O1281" s="129"/>
      <c r="P1281" s="129"/>
      <c r="Q1281" s="129"/>
      <c r="R1281" s="129"/>
      <c r="S1281" s="129"/>
      <c r="T1281" s="129"/>
      <c r="U1281" s="129"/>
      <c r="V1281" s="129"/>
    </row>
    <row r="1282" spans="3:22" x14ac:dyDescent="0.3">
      <c r="C1282" s="129"/>
      <c r="D1282" s="129"/>
      <c r="E1282" s="129"/>
      <c r="F1282" s="129"/>
      <c r="G1282" s="129"/>
      <c r="H1282" s="129"/>
      <c r="I1282" s="129"/>
      <c r="J1282" s="129"/>
      <c r="K1282" s="129"/>
      <c r="L1282" s="129"/>
      <c r="M1282" s="129"/>
      <c r="N1282" s="129"/>
      <c r="O1282" s="129"/>
      <c r="P1282" s="129"/>
      <c r="Q1282" s="129"/>
      <c r="R1282" s="129"/>
      <c r="S1282" s="129"/>
      <c r="T1282" s="129"/>
      <c r="U1282" s="129"/>
      <c r="V1282" s="129"/>
    </row>
    <row r="1283" spans="3:22" x14ac:dyDescent="0.3">
      <c r="C1283" s="129"/>
      <c r="D1283" s="129"/>
      <c r="E1283" s="129"/>
      <c r="F1283" s="129"/>
      <c r="G1283" s="129"/>
      <c r="H1283" s="129"/>
      <c r="I1283" s="129"/>
      <c r="J1283" s="129"/>
      <c r="K1283" s="129"/>
      <c r="L1283" s="129"/>
      <c r="M1283" s="129"/>
      <c r="N1283" s="129"/>
      <c r="O1283" s="129"/>
      <c r="P1283" s="129"/>
      <c r="Q1283" s="129"/>
      <c r="R1283" s="129"/>
      <c r="S1283" s="129"/>
      <c r="T1283" s="129"/>
      <c r="U1283" s="129"/>
      <c r="V1283" s="129"/>
    </row>
    <row r="1284" spans="3:22" x14ac:dyDescent="0.3">
      <c r="C1284" s="129"/>
      <c r="D1284" s="129"/>
      <c r="E1284" s="129"/>
      <c r="F1284" s="129"/>
      <c r="G1284" s="129"/>
      <c r="H1284" s="129"/>
      <c r="I1284" s="129"/>
      <c r="J1284" s="129"/>
      <c r="K1284" s="129"/>
      <c r="L1284" s="129"/>
      <c r="M1284" s="129"/>
      <c r="N1284" s="129"/>
      <c r="O1284" s="129"/>
      <c r="P1284" s="129"/>
      <c r="Q1284" s="129"/>
      <c r="R1284" s="129"/>
      <c r="S1284" s="129"/>
      <c r="T1284" s="129"/>
      <c r="U1284" s="129"/>
      <c r="V1284" s="129"/>
    </row>
    <row r="1285" spans="3:22" x14ac:dyDescent="0.3">
      <c r="C1285" s="129"/>
      <c r="D1285" s="129"/>
      <c r="E1285" s="129"/>
      <c r="F1285" s="129"/>
      <c r="G1285" s="129"/>
      <c r="H1285" s="129"/>
      <c r="I1285" s="129"/>
      <c r="J1285" s="129"/>
      <c r="K1285" s="129"/>
      <c r="L1285" s="129"/>
      <c r="M1285" s="129"/>
      <c r="N1285" s="129"/>
      <c r="O1285" s="129"/>
      <c r="P1285" s="129"/>
      <c r="Q1285" s="129"/>
      <c r="R1285" s="129"/>
      <c r="S1285" s="129"/>
      <c r="T1285" s="129"/>
      <c r="U1285" s="129"/>
      <c r="V1285" s="129"/>
    </row>
    <row r="1286" spans="3:22" x14ac:dyDescent="0.3">
      <c r="C1286" s="129"/>
      <c r="D1286" s="129"/>
      <c r="E1286" s="129"/>
      <c r="F1286" s="129"/>
      <c r="G1286" s="129"/>
      <c r="H1286" s="129"/>
      <c r="I1286" s="129"/>
      <c r="J1286" s="129"/>
      <c r="K1286" s="129"/>
      <c r="L1286" s="129"/>
      <c r="M1286" s="129"/>
      <c r="N1286" s="129"/>
      <c r="O1286" s="129"/>
      <c r="P1286" s="129"/>
      <c r="Q1286" s="129"/>
      <c r="R1286" s="129"/>
      <c r="S1286" s="129"/>
      <c r="T1286" s="129"/>
      <c r="U1286" s="129"/>
      <c r="V1286" s="129"/>
    </row>
    <row r="1287" spans="3:22" x14ac:dyDescent="0.3">
      <c r="C1287" s="129"/>
      <c r="D1287" s="129"/>
      <c r="E1287" s="129"/>
      <c r="F1287" s="129"/>
      <c r="G1287" s="129"/>
      <c r="H1287" s="129"/>
      <c r="I1287" s="129"/>
      <c r="J1287" s="129"/>
      <c r="K1287" s="129"/>
      <c r="L1287" s="129"/>
      <c r="M1287" s="129"/>
      <c r="N1287" s="129"/>
      <c r="O1287" s="129"/>
      <c r="P1287" s="129"/>
      <c r="Q1287" s="129"/>
      <c r="R1287" s="129"/>
      <c r="S1287" s="129"/>
      <c r="T1287" s="129"/>
      <c r="U1287" s="129"/>
      <c r="V1287" s="129"/>
    </row>
    <row r="1288" spans="3:22" x14ac:dyDescent="0.3">
      <c r="C1288" s="129"/>
      <c r="D1288" s="129"/>
      <c r="E1288" s="129"/>
      <c r="F1288" s="129"/>
      <c r="G1288" s="129"/>
      <c r="H1288" s="129"/>
      <c r="I1288" s="129"/>
      <c r="J1288" s="129"/>
      <c r="K1288" s="129"/>
      <c r="L1288" s="129"/>
      <c r="M1288" s="129"/>
      <c r="N1288" s="129"/>
      <c r="O1288" s="129"/>
      <c r="P1288" s="129"/>
      <c r="Q1288" s="129"/>
      <c r="R1288" s="129"/>
      <c r="S1288" s="129"/>
      <c r="T1288" s="129"/>
      <c r="U1288" s="129"/>
      <c r="V1288" s="129"/>
    </row>
    <row r="1289" spans="3:22" x14ac:dyDescent="0.3">
      <c r="C1289" s="129"/>
      <c r="D1289" s="129"/>
      <c r="E1289" s="129"/>
      <c r="F1289" s="129"/>
      <c r="G1289" s="129"/>
      <c r="H1289" s="129"/>
      <c r="I1289" s="129"/>
      <c r="J1289" s="129"/>
      <c r="K1289" s="129"/>
      <c r="L1289" s="129"/>
      <c r="M1289" s="129"/>
      <c r="N1289" s="129"/>
      <c r="O1289" s="129"/>
      <c r="P1289" s="129"/>
      <c r="Q1289" s="129"/>
      <c r="R1289" s="129"/>
      <c r="S1289" s="129"/>
      <c r="T1289" s="129"/>
      <c r="U1289" s="129"/>
      <c r="V1289" s="129"/>
    </row>
    <row r="1290" spans="3:22" x14ac:dyDescent="0.3">
      <c r="C1290" s="129"/>
      <c r="D1290" s="129"/>
      <c r="E1290" s="129"/>
      <c r="F1290" s="129"/>
      <c r="G1290" s="129"/>
      <c r="H1290" s="129"/>
      <c r="I1290" s="129"/>
      <c r="J1290" s="129"/>
      <c r="K1290" s="129"/>
      <c r="L1290" s="129"/>
      <c r="M1290" s="129"/>
      <c r="N1290" s="129"/>
      <c r="O1290" s="129"/>
      <c r="P1290" s="129"/>
      <c r="Q1290" s="129"/>
      <c r="R1290" s="129"/>
      <c r="S1290" s="129"/>
      <c r="T1290" s="129"/>
      <c r="U1290" s="129"/>
      <c r="V1290" s="129"/>
    </row>
    <row r="1291" spans="3:22" x14ac:dyDescent="0.3">
      <c r="C1291" s="129"/>
      <c r="D1291" s="129"/>
      <c r="E1291" s="129"/>
      <c r="F1291" s="129"/>
      <c r="G1291" s="129"/>
      <c r="H1291" s="129"/>
      <c r="I1291" s="129"/>
      <c r="J1291" s="129"/>
      <c r="K1291" s="129"/>
      <c r="L1291" s="129"/>
      <c r="M1291" s="129"/>
      <c r="N1291" s="129"/>
      <c r="O1291" s="129"/>
      <c r="P1291" s="129"/>
      <c r="Q1291" s="129"/>
      <c r="R1291" s="129"/>
      <c r="S1291" s="129"/>
      <c r="T1291" s="129"/>
      <c r="U1291" s="129"/>
      <c r="V1291" s="129"/>
    </row>
    <row r="1292" spans="3:22" x14ac:dyDescent="0.3">
      <c r="C1292" s="129"/>
      <c r="D1292" s="129"/>
      <c r="E1292" s="129"/>
      <c r="F1292" s="129"/>
      <c r="G1292" s="129"/>
      <c r="H1292" s="129"/>
      <c r="I1292" s="129"/>
      <c r="J1292" s="129"/>
      <c r="K1292" s="129"/>
      <c r="L1292" s="129"/>
      <c r="M1292" s="129"/>
      <c r="N1292" s="129"/>
      <c r="O1292" s="129"/>
      <c r="P1292" s="129"/>
      <c r="Q1292" s="129"/>
      <c r="R1292" s="129"/>
      <c r="S1292" s="129"/>
      <c r="T1292" s="129"/>
      <c r="U1292" s="129"/>
      <c r="V1292" s="129"/>
    </row>
    <row r="1293" spans="3:22" x14ac:dyDescent="0.3">
      <c r="C1293" s="129"/>
      <c r="D1293" s="129"/>
      <c r="E1293" s="129"/>
      <c r="F1293" s="129"/>
      <c r="G1293" s="129"/>
      <c r="H1293" s="129"/>
      <c r="I1293" s="129"/>
      <c r="J1293" s="129"/>
      <c r="K1293" s="129"/>
      <c r="L1293" s="129"/>
      <c r="M1293" s="129"/>
      <c r="N1293" s="129"/>
      <c r="O1293" s="129"/>
      <c r="P1293" s="129"/>
      <c r="Q1293" s="129"/>
      <c r="R1293" s="129"/>
      <c r="S1293" s="129"/>
      <c r="T1293" s="129"/>
      <c r="U1293" s="129"/>
      <c r="V1293" s="129"/>
    </row>
    <row r="1294" spans="3:22" x14ac:dyDescent="0.3">
      <c r="C1294" s="129"/>
      <c r="D1294" s="129"/>
      <c r="E1294" s="129"/>
      <c r="F1294" s="129"/>
      <c r="G1294" s="129"/>
      <c r="H1294" s="129"/>
      <c r="I1294" s="129"/>
      <c r="J1294" s="129"/>
      <c r="K1294" s="129"/>
      <c r="L1294" s="129"/>
      <c r="M1294" s="129"/>
      <c r="N1294" s="129"/>
      <c r="O1294" s="129"/>
      <c r="P1294" s="129"/>
      <c r="Q1294" s="129"/>
      <c r="R1294" s="129"/>
      <c r="S1294" s="129"/>
      <c r="T1294" s="129"/>
      <c r="U1294" s="129"/>
      <c r="V1294" s="129"/>
    </row>
    <row r="1295" spans="3:22" x14ac:dyDescent="0.3">
      <c r="C1295" s="129"/>
      <c r="D1295" s="129"/>
      <c r="E1295" s="129"/>
      <c r="F1295" s="129"/>
      <c r="G1295" s="129"/>
      <c r="H1295" s="129"/>
      <c r="I1295" s="129"/>
      <c r="J1295" s="129"/>
      <c r="K1295" s="129"/>
      <c r="L1295" s="129"/>
      <c r="M1295" s="129"/>
      <c r="N1295" s="129"/>
      <c r="O1295" s="129"/>
      <c r="P1295" s="129"/>
      <c r="Q1295" s="129"/>
      <c r="R1295" s="129"/>
      <c r="S1295" s="129"/>
      <c r="T1295" s="129"/>
      <c r="U1295" s="129"/>
      <c r="V1295" s="129"/>
    </row>
    <row r="1296" spans="3:22" x14ac:dyDescent="0.3">
      <c r="C1296" s="129"/>
      <c r="D1296" s="129"/>
      <c r="E1296" s="129"/>
      <c r="F1296" s="129"/>
      <c r="G1296" s="129"/>
      <c r="H1296" s="129"/>
      <c r="I1296" s="129"/>
      <c r="J1296" s="129"/>
      <c r="K1296" s="129"/>
      <c r="L1296" s="129"/>
      <c r="M1296" s="129"/>
      <c r="N1296" s="129"/>
      <c r="O1296" s="129"/>
      <c r="P1296" s="129"/>
      <c r="Q1296" s="129"/>
      <c r="R1296" s="129"/>
      <c r="S1296" s="129"/>
      <c r="T1296" s="129"/>
      <c r="U1296" s="129"/>
      <c r="V1296" s="129"/>
    </row>
    <row r="1297" spans="3:22" x14ac:dyDescent="0.3">
      <c r="C1297" s="129"/>
      <c r="D1297" s="129"/>
      <c r="E1297" s="129"/>
      <c r="F1297" s="129"/>
      <c r="G1297" s="129"/>
      <c r="H1297" s="129"/>
      <c r="I1297" s="129"/>
      <c r="J1297" s="129"/>
      <c r="K1297" s="129"/>
      <c r="L1297" s="129"/>
      <c r="M1297" s="129"/>
      <c r="N1297" s="129"/>
      <c r="O1297" s="129"/>
      <c r="P1297" s="129"/>
      <c r="Q1297" s="129"/>
      <c r="R1297" s="129"/>
      <c r="S1297" s="129"/>
      <c r="T1297" s="129"/>
      <c r="U1297" s="129"/>
      <c r="V1297" s="129"/>
    </row>
    <row r="1298" spans="3:22" x14ac:dyDescent="0.3">
      <c r="C1298" s="129"/>
      <c r="D1298" s="129"/>
      <c r="E1298" s="129"/>
      <c r="F1298" s="129"/>
      <c r="G1298" s="129"/>
      <c r="H1298" s="129"/>
      <c r="I1298" s="129"/>
      <c r="J1298" s="129"/>
      <c r="K1298" s="129"/>
      <c r="L1298" s="129"/>
      <c r="M1298" s="129"/>
      <c r="N1298" s="129"/>
      <c r="O1298" s="129"/>
      <c r="P1298" s="129"/>
      <c r="Q1298" s="129"/>
      <c r="R1298" s="129"/>
      <c r="S1298" s="129"/>
      <c r="T1298" s="129"/>
      <c r="U1298" s="129"/>
      <c r="V1298" s="129"/>
    </row>
    <row r="1299" spans="3:22" x14ac:dyDescent="0.3">
      <c r="C1299" s="129"/>
      <c r="D1299" s="129"/>
      <c r="E1299" s="129"/>
      <c r="F1299" s="129"/>
      <c r="G1299" s="129"/>
      <c r="H1299" s="129"/>
      <c r="I1299" s="129"/>
      <c r="J1299" s="129"/>
      <c r="K1299" s="129"/>
      <c r="L1299" s="129"/>
      <c r="M1299" s="129"/>
      <c r="N1299" s="129"/>
      <c r="O1299" s="129"/>
      <c r="P1299" s="129"/>
      <c r="Q1299" s="129"/>
      <c r="R1299" s="129"/>
      <c r="S1299" s="129"/>
      <c r="T1299" s="129"/>
      <c r="U1299" s="129"/>
      <c r="V1299" s="129"/>
    </row>
    <row r="1300" spans="3:22" x14ac:dyDescent="0.3">
      <c r="C1300" s="129"/>
      <c r="D1300" s="129"/>
      <c r="E1300" s="129"/>
      <c r="F1300" s="129"/>
      <c r="G1300" s="129"/>
      <c r="H1300" s="129"/>
      <c r="I1300" s="129"/>
      <c r="J1300" s="129"/>
      <c r="K1300" s="129"/>
      <c r="L1300" s="129"/>
      <c r="M1300" s="129"/>
      <c r="N1300" s="129"/>
      <c r="O1300" s="129"/>
      <c r="P1300" s="129"/>
      <c r="Q1300" s="129"/>
      <c r="R1300" s="129"/>
      <c r="S1300" s="129"/>
      <c r="T1300" s="129"/>
      <c r="U1300" s="129"/>
      <c r="V1300" s="129"/>
    </row>
    <row r="1301" spans="3:22" x14ac:dyDescent="0.3">
      <c r="C1301" s="129"/>
      <c r="D1301" s="129"/>
      <c r="E1301" s="129"/>
      <c r="F1301" s="129"/>
      <c r="G1301" s="129"/>
      <c r="H1301" s="129"/>
      <c r="I1301" s="129"/>
      <c r="J1301" s="129"/>
      <c r="K1301" s="129"/>
      <c r="L1301" s="129"/>
      <c r="M1301" s="129"/>
      <c r="N1301" s="129"/>
      <c r="O1301" s="129"/>
      <c r="P1301" s="129"/>
      <c r="Q1301" s="129"/>
      <c r="R1301" s="129"/>
      <c r="S1301" s="129"/>
      <c r="T1301" s="129"/>
      <c r="U1301" s="129"/>
      <c r="V1301" s="129"/>
    </row>
    <row r="1302" spans="3:22" x14ac:dyDescent="0.3">
      <c r="C1302" s="129"/>
      <c r="D1302" s="129"/>
      <c r="E1302" s="129"/>
      <c r="F1302" s="129"/>
      <c r="G1302" s="129"/>
      <c r="H1302" s="129"/>
      <c r="I1302" s="129"/>
      <c r="J1302" s="129"/>
      <c r="K1302" s="129"/>
      <c r="L1302" s="129"/>
      <c r="M1302" s="129"/>
      <c r="N1302" s="129"/>
      <c r="O1302" s="129"/>
      <c r="P1302" s="129"/>
      <c r="Q1302" s="129"/>
      <c r="R1302" s="129"/>
      <c r="S1302" s="129"/>
      <c r="T1302" s="129"/>
      <c r="U1302" s="129"/>
      <c r="V1302" s="129"/>
    </row>
    <row r="1303" spans="3:22" x14ac:dyDescent="0.3">
      <c r="C1303" s="129"/>
      <c r="D1303" s="129"/>
      <c r="E1303" s="129"/>
      <c r="F1303" s="129"/>
      <c r="G1303" s="129"/>
      <c r="H1303" s="129"/>
      <c r="I1303" s="129"/>
      <c r="J1303" s="129"/>
      <c r="K1303" s="129"/>
      <c r="L1303" s="129"/>
      <c r="M1303" s="129"/>
      <c r="N1303" s="129"/>
      <c r="O1303" s="129"/>
      <c r="P1303" s="129"/>
      <c r="Q1303" s="129"/>
      <c r="R1303" s="129"/>
      <c r="S1303" s="129"/>
      <c r="T1303" s="129"/>
      <c r="U1303" s="129"/>
      <c r="V1303" s="129"/>
    </row>
    <row r="1304" spans="3:22" x14ac:dyDescent="0.3">
      <c r="C1304" s="129"/>
      <c r="D1304" s="129"/>
      <c r="E1304" s="129"/>
      <c r="F1304" s="129"/>
      <c r="G1304" s="129"/>
      <c r="H1304" s="129"/>
      <c r="I1304" s="129"/>
      <c r="J1304" s="129"/>
      <c r="K1304" s="129"/>
      <c r="L1304" s="129"/>
      <c r="M1304" s="129"/>
      <c r="N1304" s="129"/>
      <c r="O1304" s="129"/>
      <c r="P1304" s="129"/>
      <c r="Q1304" s="129"/>
      <c r="R1304" s="129"/>
      <c r="S1304" s="129"/>
      <c r="T1304" s="129"/>
      <c r="U1304" s="129"/>
      <c r="V1304" s="129"/>
    </row>
    <row r="1305" spans="3:22" x14ac:dyDescent="0.3">
      <c r="C1305" s="129"/>
      <c r="D1305" s="129"/>
      <c r="E1305" s="129"/>
      <c r="F1305" s="129"/>
      <c r="G1305" s="129"/>
      <c r="H1305" s="129"/>
      <c r="I1305" s="129"/>
      <c r="J1305" s="129"/>
      <c r="K1305" s="129"/>
      <c r="L1305" s="129"/>
      <c r="M1305" s="129"/>
      <c r="N1305" s="129"/>
      <c r="O1305" s="129"/>
      <c r="P1305" s="129"/>
      <c r="Q1305" s="129"/>
      <c r="R1305" s="129"/>
      <c r="S1305" s="129"/>
      <c r="T1305" s="129"/>
      <c r="U1305" s="129"/>
      <c r="V1305" s="129"/>
    </row>
    <row r="1306" spans="3:22" x14ac:dyDescent="0.3">
      <c r="C1306" s="129"/>
      <c r="D1306" s="129"/>
      <c r="E1306" s="129"/>
      <c r="F1306" s="129"/>
      <c r="G1306" s="129"/>
      <c r="H1306" s="129"/>
      <c r="I1306" s="129"/>
      <c r="J1306" s="129"/>
      <c r="K1306" s="129"/>
      <c r="L1306" s="129"/>
      <c r="M1306" s="129"/>
      <c r="N1306" s="129"/>
      <c r="O1306" s="129"/>
      <c r="P1306" s="129"/>
      <c r="Q1306" s="129"/>
      <c r="R1306" s="129"/>
      <c r="S1306" s="129"/>
      <c r="T1306" s="129"/>
      <c r="U1306" s="129"/>
      <c r="V1306" s="129"/>
    </row>
    <row r="1307" spans="3:22" x14ac:dyDescent="0.3">
      <c r="C1307" s="129"/>
      <c r="D1307" s="129"/>
      <c r="E1307" s="129"/>
      <c r="F1307" s="129"/>
      <c r="G1307" s="129"/>
      <c r="H1307" s="129"/>
      <c r="I1307" s="129"/>
      <c r="J1307" s="129"/>
      <c r="K1307" s="129"/>
      <c r="L1307" s="129"/>
      <c r="M1307" s="129"/>
      <c r="N1307" s="129"/>
      <c r="O1307" s="129"/>
      <c r="P1307" s="129"/>
      <c r="Q1307" s="129"/>
      <c r="R1307" s="129"/>
      <c r="S1307" s="129"/>
      <c r="T1307" s="129"/>
      <c r="U1307" s="129"/>
      <c r="V1307" s="129"/>
    </row>
    <row r="1308" spans="3:22" x14ac:dyDescent="0.3">
      <c r="C1308" s="129"/>
      <c r="D1308" s="129"/>
      <c r="E1308" s="129"/>
      <c r="F1308" s="129"/>
      <c r="G1308" s="129"/>
      <c r="H1308" s="129"/>
      <c r="I1308" s="129"/>
      <c r="J1308" s="129"/>
      <c r="K1308" s="129"/>
      <c r="L1308" s="129"/>
      <c r="M1308" s="129"/>
      <c r="N1308" s="129"/>
      <c r="O1308" s="129"/>
      <c r="P1308" s="129"/>
      <c r="Q1308" s="129"/>
      <c r="R1308" s="129"/>
      <c r="S1308" s="129"/>
      <c r="T1308" s="129"/>
      <c r="U1308" s="129"/>
      <c r="V1308" s="129"/>
    </row>
    <row r="1309" spans="3:22" x14ac:dyDescent="0.3">
      <c r="C1309" s="129"/>
      <c r="D1309" s="129"/>
      <c r="E1309" s="129"/>
      <c r="F1309" s="129"/>
      <c r="G1309" s="129"/>
      <c r="H1309" s="129"/>
      <c r="I1309" s="129"/>
      <c r="J1309" s="129"/>
      <c r="K1309" s="129"/>
      <c r="L1309" s="129"/>
      <c r="M1309" s="129"/>
      <c r="N1309" s="129"/>
      <c r="O1309" s="129"/>
      <c r="P1309" s="129"/>
      <c r="Q1309" s="129"/>
      <c r="R1309" s="129"/>
      <c r="S1309" s="129"/>
      <c r="T1309" s="129"/>
      <c r="U1309" s="129"/>
      <c r="V1309" s="129"/>
    </row>
    <row r="1310" spans="3:22" x14ac:dyDescent="0.3">
      <c r="C1310" s="129"/>
      <c r="D1310" s="129"/>
      <c r="E1310" s="129"/>
      <c r="F1310" s="129"/>
      <c r="G1310" s="129"/>
      <c r="H1310" s="129"/>
      <c r="I1310" s="129"/>
      <c r="J1310" s="129"/>
      <c r="K1310" s="129"/>
      <c r="L1310" s="129"/>
      <c r="M1310" s="129"/>
      <c r="N1310" s="129"/>
      <c r="O1310" s="129"/>
      <c r="P1310" s="129"/>
      <c r="Q1310" s="129"/>
      <c r="R1310" s="129"/>
      <c r="S1310" s="129"/>
      <c r="T1310" s="129"/>
      <c r="U1310" s="129"/>
      <c r="V1310" s="129"/>
    </row>
    <row r="1311" spans="3:22" x14ac:dyDescent="0.3">
      <c r="C1311" s="129"/>
      <c r="D1311" s="129"/>
      <c r="E1311" s="129"/>
      <c r="F1311" s="129"/>
      <c r="G1311" s="129"/>
      <c r="H1311" s="129"/>
      <c r="I1311" s="129"/>
      <c r="J1311" s="129"/>
      <c r="K1311" s="129"/>
      <c r="L1311" s="129"/>
      <c r="M1311" s="129"/>
      <c r="N1311" s="129"/>
      <c r="O1311" s="129"/>
      <c r="P1311" s="129"/>
      <c r="Q1311" s="129"/>
      <c r="R1311" s="129"/>
      <c r="S1311" s="129"/>
      <c r="T1311" s="129"/>
      <c r="U1311" s="129"/>
      <c r="V1311" s="129"/>
    </row>
    <row r="1312" spans="3:22" x14ac:dyDescent="0.3">
      <c r="C1312" s="129"/>
      <c r="D1312" s="129"/>
      <c r="E1312" s="129"/>
      <c r="F1312" s="129"/>
      <c r="G1312" s="129"/>
      <c r="H1312" s="129"/>
      <c r="I1312" s="129"/>
      <c r="J1312" s="129"/>
      <c r="K1312" s="129"/>
      <c r="L1312" s="129"/>
      <c r="M1312" s="129"/>
      <c r="N1312" s="129"/>
      <c r="O1312" s="129"/>
      <c r="P1312" s="129"/>
      <c r="Q1312" s="129"/>
      <c r="R1312" s="129"/>
      <c r="S1312" s="129"/>
      <c r="T1312" s="129"/>
      <c r="U1312" s="129"/>
      <c r="V1312" s="129"/>
    </row>
    <row r="1313" spans="3:22" x14ac:dyDescent="0.3">
      <c r="C1313" s="129"/>
      <c r="D1313" s="129"/>
      <c r="E1313" s="129"/>
      <c r="F1313" s="129"/>
      <c r="G1313" s="129"/>
      <c r="H1313" s="129"/>
      <c r="I1313" s="129"/>
      <c r="J1313" s="129"/>
      <c r="K1313" s="129"/>
      <c r="L1313" s="129"/>
      <c r="M1313" s="129"/>
      <c r="N1313" s="129"/>
      <c r="O1313" s="129"/>
      <c r="P1313" s="129"/>
      <c r="Q1313" s="129"/>
      <c r="R1313" s="129"/>
      <c r="S1313" s="129"/>
      <c r="T1313" s="129"/>
      <c r="U1313" s="129"/>
      <c r="V1313" s="129"/>
    </row>
    <row r="1314" spans="3:22" x14ac:dyDescent="0.3">
      <c r="C1314" s="129"/>
      <c r="D1314" s="129"/>
      <c r="E1314" s="129"/>
      <c r="F1314" s="129"/>
      <c r="G1314" s="129"/>
      <c r="H1314" s="129"/>
      <c r="I1314" s="129"/>
      <c r="J1314" s="129"/>
      <c r="K1314" s="129"/>
      <c r="L1314" s="129"/>
      <c r="M1314" s="129"/>
      <c r="N1314" s="129"/>
      <c r="O1314" s="129"/>
      <c r="P1314" s="129"/>
      <c r="Q1314" s="129"/>
      <c r="R1314" s="129"/>
      <c r="S1314" s="129"/>
      <c r="T1314" s="129"/>
      <c r="U1314" s="129"/>
      <c r="V1314" s="129"/>
    </row>
    <row r="1315" spans="3:22" x14ac:dyDescent="0.3">
      <c r="C1315" s="129"/>
      <c r="D1315" s="129"/>
      <c r="E1315" s="129"/>
      <c r="F1315" s="129"/>
      <c r="G1315" s="129"/>
      <c r="H1315" s="129"/>
      <c r="I1315" s="129"/>
      <c r="J1315" s="129"/>
      <c r="K1315" s="129"/>
      <c r="L1315" s="129"/>
      <c r="M1315" s="129"/>
      <c r="N1315" s="129"/>
      <c r="O1315" s="129"/>
      <c r="P1315" s="129"/>
      <c r="Q1315" s="129"/>
      <c r="R1315" s="129"/>
      <c r="S1315" s="129"/>
      <c r="T1315" s="129"/>
      <c r="U1315" s="129"/>
      <c r="V1315" s="129"/>
    </row>
    <row r="1316" spans="3:22" x14ac:dyDescent="0.3">
      <c r="C1316" s="129"/>
      <c r="D1316" s="129"/>
      <c r="E1316" s="129"/>
      <c r="F1316" s="129"/>
      <c r="G1316" s="129"/>
      <c r="H1316" s="129"/>
      <c r="I1316" s="129"/>
      <c r="J1316" s="129"/>
      <c r="K1316" s="129"/>
      <c r="L1316" s="129"/>
      <c r="M1316" s="129"/>
      <c r="N1316" s="129"/>
      <c r="O1316" s="129"/>
      <c r="P1316" s="129"/>
      <c r="Q1316" s="129"/>
      <c r="R1316" s="129"/>
      <c r="S1316" s="129"/>
      <c r="T1316" s="129"/>
      <c r="U1316" s="129"/>
      <c r="V1316" s="129"/>
    </row>
    <row r="1317" spans="3:22" x14ac:dyDescent="0.3">
      <c r="C1317" s="129"/>
      <c r="D1317" s="129"/>
      <c r="E1317" s="129"/>
      <c r="F1317" s="129"/>
      <c r="G1317" s="129"/>
      <c r="H1317" s="129"/>
      <c r="I1317" s="129"/>
      <c r="J1317" s="129"/>
      <c r="K1317" s="129"/>
      <c r="L1317" s="129"/>
      <c r="M1317" s="129"/>
      <c r="N1317" s="129"/>
      <c r="O1317" s="129"/>
      <c r="P1317" s="129"/>
      <c r="Q1317" s="129"/>
      <c r="R1317" s="129"/>
      <c r="S1317" s="129"/>
      <c r="T1317" s="129"/>
      <c r="U1317" s="129"/>
      <c r="V1317" s="129"/>
    </row>
    <row r="1318" spans="3:22" x14ac:dyDescent="0.3">
      <c r="C1318" s="129"/>
      <c r="D1318" s="129"/>
      <c r="E1318" s="129"/>
      <c r="F1318" s="129"/>
      <c r="G1318" s="129"/>
      <c r="H1318" s="129"/>
      <c r="I1318" s="129"/>
      <c r="J1318" s="129"/>
      <c r="K1318" s="129"/>
      <c r="L1318" s="129"/>
      <c r="M1318" s="129"/>
      <c r="N1318" s="129"/>
      <c r="O1318" s="129"/>
      <c r="P1318" s="129"/>
      <c r="Q1318" s="129"/>
      <c r="R1318" s="129"/>
      <c r="S1318" s="129"/>
      <c r="T1318" s="129"/>
      <c r="U1318" s="129"/>
      <c r="V1318" s="129"/>
    </row>
    <row r="1319" spans="3:22" x14ac:dyDescent="0.3">
      <c r="C1319" s="129"/>
      <c r="D1319" s="129"/>
      <c r="E1319" s="129"/>
      <c r="F1319" s="129"/>
      <c r="G1319" s="129"/>
      <c r="H1319" s="129"/>
      <c r="I1319" s="129"/>
      <c r="J1319" s="129"/>
      <c r="K1319" s="129"/>
      <c r="L1319" s="129"/>
      <c r="M1319" s="129"/>
      <c r="N1319" s="129"/>
      <c r="O1319" s="129"/>
      <c r="P1319" s="129"/>
      <c r="Q1319" s="129"/>
      <c r="R1319" s="129"/>
      <c r="S1319" s="129"/>
      <c r="T1319" s="129"/>
      <c r="U1319" s="129"/>
      <c r="V1319" s="129"/>
    </row>
    <row r="1320" spans="3:22" x14ac:dyDescent="0.3">
      <c r="C1320" s="129"/>
      <c r="D1320" s="129"/>
      <c r="E1320" s="129"/>
      <c r="F1320" s="129"/>
      <c r="G1320" s="129"/>
      <c r="H1320" s="129"/>
      <c r="I1320" s="129"/>
      <c r="J1320" s="129"/>
      <c r="K1320" s="129"/>
      <c r="L1320" s="129"/>
      <c r="M1320" s="129"/>
      <c r="N1320" s="129"/>
      <c r="O1320" s="129"/>
      <c r="P1320" s="129"/>
      <c r="Q1320" s="129"/>
      <c r="R1320" s="129"/>
      <c r="S1320" s="129"/>
      <c r="T1320" s="129"/>
      <c r="U1320" s="129"/>
      <c r="V1320" s="129"/>
    </row>
    <row r="1321" spans="3:22" x14ac:dyDescent="0.3">
      <c r="C1321" s="129"/>
      <c r="D1321" s="129"/>
      <c r="E1321" s="129"/>
      <c r="F1321" s="129"/>
      <c r="G1321" s="129"/>
      <c r="H1321" s="129"/>
      <c r="I1321" s="129"/>
      <c r="J1321" s="129"/>
      <c r="K1321" s="129"/>
      <c r="L1321" s="129"/>
      <c r="M1321" s="129"/>
      <c r="N1321" s="129"/>
      <c r="O1321" s="129"/>
      <c r="P1321" s="129"/>
      <c r="Q1321" s="129"/>
      <c r="R1321" s="129"/>
      <c r="S1321" s="129"/>
      <c r="T1321" s="129"/>
      <c r="U1321" s="129"/>
      <c r="V1321" s="129"/>
    </row>
    <row r="1322" spans="3:22" x14ac:dyDescent="0.3">
      <c r="C1322" s="129"/>
      <c r="D1322" s="129"/>
      <c r="E1322" s="129"/>
      <c r="F1322" s="129"/>
      <c r="G1322" s="129"/>
      <c r="H1322" s="129"/>
      <c r="I1322" s="129"/>
      <c r="J1322" s="129"/>
      <c r="K1322" s="129"/>
      <c r="L1322" s="129"/>
      <c r="M1322" s="129"/>
      <c r="N1322" s="129"/>
      <c r="O1322" s="129"/>
      <c r="P1322" s="129"/>
      <c r="Q1322" s="129"/>
      <c r="R1322" s="129"/>
      <c r="S1322" s="129"/>
      <c r="T1322" s="129"/>
      <c r="U1322" s="129"/>
      <c r="V1322" s="129"/>
    </row>
    <row r="1323" spans="3:22" x14ac:dyDescent="0.3">
      <c r="C1323" s="129"/>
      <c r="D1323" s="129"/>
      <c r="E1323" s="129"/>
      <c r="F1323" s="129"/>
      <c r="G1323" s="129"/>
      <c r="H1323" s="129"/>
      <c r="I1323" s="129"/>
      <c r="J1323" s="129"/>
      <c r="K1323" s="129"/>
      <c r="L1323" s="129"/>
      <c r="M1323" s="129"/>
      <c r="N1323" s="129"/>
      <c r="O1323" s="129"/>
      <c r="P1323" s="129"/>
      <c r="Q1323" s="129"/>
      <c r="R1323" s="129"/>
      <c r="S1323" s="129"/>
      <c r="T1323" s="129"/>
      <c r="U1323" s="129"/>
      <c r="V1323" s="129"/>
    </row>
    <row r="1324" spans="3:22" x14ac:dyDescent="0.3">
      <c r="C1324" s="129"/>
      <c r="D1324" s="129"/>
      <c r="E1324" s="129"/>
      <c r="F1324" s="129"/>
      <c r="G1324" s="129"/>
      <c r="H1324" s="129"/>
      <c r="I1324" s="129"/>
      <c r="J1324" s="129"/>
      <c r="K1324" s="129"/>
      <c r="L1324" s="129"/>
      <c r="M1324" s="129"/>
      <c r="N1324" s="129"/>
      <c r="O1324" s="129"/>
      <c r="P1324" s="129"/>
      <c r="Q1324" s="129"/>
      <c r="R1324" s="129"/>
      <c r="S1324" s="129"/>
      <c r="T1324" s="129"/>
      <c r="U1324" s="129"/>
      <c r="V1324" s="129"/>
    </row>
    <row r="1325" spans="3:22" x14ac:dyDescent="0.3">
      <c r="C1325" s="129"/>
      <c r="D1325" s="129"/>
      <c r="E1325" s="129"/>
      <c r="F1325" s="129"/>
      <c r="G1325" s="129"/>
      <c r="H1325" s="129"/>
      <c r="I1325" s="129"/>
      <c r="J1325" s="129"/>
      <c r="K1325" s="129"/>
      <c r="L1325" s="129"/>
      <c r="M1325" s="129"/>
      <c r="N1325" s="129"/>
      <c r="O1325" s="129"/>
      <c r="P1325" s="129"/>
      <c r="Q1325" s="129"/>
      <c r="R1325" s="129"/>
      <c r="S1325" s="129"/>
      <c r="T1325" s="129"/>
      <c r="U1325" s="129"/>
      <c r="V1325" s="129"/>
    </row>
    <row r="1326" spans="3:22" x14ac:dyDescent="0.3">
      <c r="C1326" s="129"/>
      <c r="D1326" s="129"/>
      <c r="E1326" s="129"/>
      <c r="F1326" s="129"/>
      <c r="G1326" s="129"/>
      <c r="H1326" s="129"/>
      <c r="I1326" s="129"/>
      <c r="J1326" s="129"/>
      <c r="K1326" s="129"/>
      <c r="L1326" s="129"/>
      <c r="M1326" s="129"/>
      <c r="N1326" s="129"/>
      <c r="O1326" s="129"/>
      <c r="P1326" s="129"/>
      <c r="Q1326" s="129"/>
      <c r="R1326" s="129"/>
      <c r="S1326" s="129"/>
      <c r="T1326" s="129"/>
      <c r="U1326" s="129"/>
      <c r="V1326" s="129"/>
    </row>
    <row r="1327" spans="3:22" x14ac:dyDescent="0.3">
      <c r="C1327" s="129"/>
      <c r="D1327" s="129"/>
      <c r="E1327" s="129"/>
      <c r="F1327" s="129"/>
      <c r="G1327" s="129"/>
      <c r="H1327" s="129"/>
      <c r="I1327" s="129"/>
      <c r="J1327" s="129"/>
      <c r="K1327" s="129"/>
      <c r="L1327" s="129"/>
      <c r="M1327" s="129"/>
      <c r="N1327" s="129"/>
      <c r="O1327" s="129"/>
      <c r="P1327" s="129"/>
      <c r="Q1327" s="129"/>
      <c r="R1327" s="129"/>
      <c r="S1327" s="129"/>
      <c r="T1327" s="129"/>
      <c r="U1327" s="129"/>
      <c r="V1327" s="129"/>
    </row>
    <row r="1328" spans="3:22" x14ac:dyDescent="0.3">
      <c r="C1328" s="129"/>
      <c r="D1328" s="129"/>
      <c r="E1328" s="129"/>
      <c r="F1328" s="129"/>
      <c r="G1328" s="129"/>
      <c r="H1328" s="129"/>
      <c r="I1328" s="129"/>
      <c r="J1328" s="129"/>
      <c r="K1328" s="129"/>
      <c r="L1328" s="129"/>
      <c r="M1328" s="129"/>
      <c r="N1328" s="129"/>
      <c r="O1328" s="129"/>
      <c r="P1328" s="129"/>
      <c r="Q1328" s="129"/>
      <c r="R1328" s="129"/>
      <c r="S1328" s="129"/>
      <c r="T1328" s="129"/>
      <c r="U1328" s="129"/>
      <c r="V1328" s="129"/>
    </row>
    <row r="1329" spans="3:22" x14ac:dyDescent="0.3">
      <c r="C1329" s="129"/>
      <c r="D1329" s="129"/>
      <c r="E1329" s="129"/>
      <c r="F1329" s="129"/>
      <c r="G1329" s="129"/>
      <c r="H1329" s="129"/>
      <c r="I1329" s="129"/>
      <c r="J1329" s="129"/>
      <c r="K1329" s="129"/>
      <c r="L1329" s="129"/>
      <c r="M1329" s="129"/>
      <c r="N1329" s="129"/>
      <c r="O1329" s="129"/>
      <c r="P1329" s="129"/>
      <c r="Q1329" s="129"/>
      <c r="R1329" s="129"/>
      <c r="S1329" s="129"/>
      <c r="T1329" s="129"/>
      <c r="U1329" s="129"/>
      <c r="V1329" s="129"/>
    </row>
    <row r="1330" spans="3:22" x14ac:dyDescent="0.3">
      <c r="C1330" s="129"/>
      <c r="D1330" s="129"/>
      <c r="E1330" s="129"/>
      <c r="F1330" s="129"/>
      <c r="G1330" s="129"/>
      <c r="H1330" s="129"/>
      <c r="I1330" s="129"/>
      <c r="J1330" s="129"/>
      <c r="K1330" s="129"/>
      <c r="L1330" s="129"/>
      <c r="M1330" s="129"/>
      <c r="N1330" s="129"/>
      <c r="O1330" s="129"/>
      <c r="P1330" s="129"/>
      <c r="Q1330" s="129"/>
      <c r="R1330" s="129"/>
      <c r="S1330" s="129"/>
      <c r="T1330" s="129"/>
      <c r="U1330" s="129"/>
      <c r="V1330" s="129"/>
    </row>
    <row r="1331" spans="3:22" x14ac:dyDescent="0.3">
      <c r="C1331" s="129"/>
      <c r="D1331" s="129"/>
      <c r="E1331" s="129"/>
      <c r="F1331" s="129"/>
      <c r="G1331" s="129"/>
      <c r="H1331" s="129"/>
      <c r="I1331" s="129"/>
      <c r="J1331" s="129"/>
      <c r="K1331" s="129"/>
      <c r="L1331" s="129"/>
      <c r="M1331" s="129"/>
      <c r="N1331" s="129"/>
      <c r="O1331" s="129"/>
      <c r="P1331" s="129"/>
      <c r="Q1331" s="129"/>
      <c r="R1331" s="129"/>
      <c r="S1331" s="129"/>
      <c r="T1331" s="129"/>
      <c r="U1331" s="129"/>
      <c r="V1331" s="129"/>
    </row>
    <row r="1332" spans="3:22" x14ac:dyDescent="0.3">
      <c r="C1332" s="129"/>
      <c r="D1332" s="129"/>
      <c r="E1332" s="129"/>
      <c r="F1332" s="129"/>
      <c r="G1332" s="129"/>
      <c r="H1332" s="129"/>
      <c r="I1332" s="129"/>
      <c r="J1332" s="129"/>
      <c r="K1332" s="129"/>
      <c r="L1332" s="129"/>
      <c r="M1332" s="129"/>
      <c r="N1332" s="129"/>
      <c r="O1332" s="129"/>
      <c r="P1332" s="129"/>
      <c r="Q1332" s="129"/>
      <c r="R1332" s="129"/>
      <c r="S1332" s="129"/>
      <c r="T1332" s="129"/>
      <c r="U1332" s="129"/>
      <c r="V1332" s="129"/>
    </row>
    <row r="1333" spans="3:22" x14ac:dyDescent="0.3">
      <c r="C1333" s="129"/>
      <c r="D1333" s="129"/>
      <c r="E1333" s="129"/>
      <c r="F1333" s="129"/>
      <c r="G1333" s="129"/>
      <c r="H1333" s="129"/>
      <c r="I1333" s="129"/>
      <c r="J1333" s="129"/>
      <c r="K1333" s="129"/>
      <c r="L1333" s="129"/>
      <c r="M1333" s="129"/>
      <c r="N1333" s="129"/>
      <c r="O1333" s="129"/>
      <c r="P1333" s="129"/>
      <c r="Q1333" s="129"/>
      <c r="R1333" s="129"/>
      <c r="S1333" s="129"/>
      <c r="T1333" s="129"/>
      <c r="U1333" s="129"/>
      <c r="V1333" s="129"/>
    </row>
    <row r="1334" spans="3:22" x14ac:dyDescent="0.3">
      <c r="C1334" s="129"/>
      <c r="D1334" s="129"/>
      <c r="E1334" s="129"/>
      <c r="F1334" s="129"/>
      <c r="G1334" s="129"/>
      <c r="H1334" s="129"/>
      <c r="I1334" s="129"/>
      <c r="J1334" s="129"/>
      <c r="K1334" s="129"/>
      <c r="L1334" s="129"/>
      <c r="M1334" s="129"/>
      <c r="N1334" s="129"/>
      <c r="O1334" s="129"/>
      <c r="P1334" s="129"/>
      <c r="Q1334" s="129"/>
      <c r="R1334" s="129"/>
      <c r="S1334" s="129"/>
      <c r="T1334" s="129"/>
      <c r="U1334" s="129"/>
      <c r="V1334" s="129"/>
    </row>
    <row r="1335" spans="3:22" x14ac:dyDescent="0.3">
      <c r="C1335" s="129"/>
      <c r="D1335" s="129"/>
      <c r="E1335" s="129"/>
      <c r="F1335" s="129"/>
      <c r="G1335" s="129"/>
      <c r="H1335" s="129"/>
      <c r="I1335" s="129"/>
      <c r="J1335" s="129"/>
      <c r="K1335" s="129"/>
      <c r="L1335" s="129"/>
      <c r="M1335" s="129"/>
      <c r="N1335" s="129"/>
      <c r="O1335" s="129"/>
      <c r="P1335" s="129"/>
      <c r="Q1335" s="129"/>
      <c r="R1335" s="129"/>
      <c r="S1335" s="129"/>
      <c r="T1335" s="129"/>
      <c r="U1335" s="129"/>
      <c r="V1335" s="129"/>
    </row>
    <row r="1336" spans="3:22" x14ac:dyDescent="0.3">
      <c r="C1336" s="129"/>
      <c r="D1336" s="129"/>
      <c r="E1336" s="129"/>
      <c r="F1336" s="129"/>
      <c r="G1336" s="129"/>
      <c r="H1336" s="129"/>
      <c r="I1336" s="129"/>
      <c r="J1336" s="129"/>
      <c r="K1336" s="129"/>
      <c r="L1336" s="129"/>
      <c r="M1336" s="129"/>
      <c r="N1336" s="129"/>
      <c r="O1336" s="129"/>
      <c r="P1336" s="129"/>
      <c r="Q1336" s="129"/>
      <c r="R1336" s="129"/>
      <c r="S1336" s="129"/>
      <c r="T1336" s="129"/>
      <c r="U1336" s="129"/>
      <c r="V1336" s="129"/>
    </row>
    <row r="1337" spans="3:22" x14ac:dyDescent="0.3">
      <c r="C1337" s="129"/>
      <c r="D1337" s="129"/>
      <c r="E1337" s="129"/>
      <c r="F1337" s="129"/>
      <c r="G1337" s="129"/>
      <c r="H1337" s="129"/>
      <c r="I1337" s="129"/>
      <c r="J1337" s="129"/>
      <c r="K1337" s="129"/>
      <c r="L1337" s="129"/>
      <c r="M1337" s="129"/>
      <c r="N1337" s="129"/>
      <c r="O1337" s="129"/>
      <c r="P1337" s="129"/>
      <c r="Q1337" s="129"/>
      <c r="R1337" s="129"/>
      <c r="S1337" s="129"/>
      <c r="T1337" s="129"/>
      <c r="U1337" s="129"/>
      <c r="V1337" s="129"/>
    </row>
    <row r="1338" spans="3:22" x14ac:dyDescent="0.3">
      <c r="C1338" s="129"/>
      <c r="D1338" s="129"/>
      <c r="E1338" s="129"/>
      <c r="F1338" s="129"/>
      <c r="G1338" s="129"/>
      <c r="H1338" s="129"/>
      <c r="I1338" s="129"/>
      <c r="J1338" s="129"/>
      <c r="K1338" s="129"/>
      <c r="L1338" s="129"/>
      <c r="M1338" s="129"/>
      <c r="N1338" s="129"/>
      <c r="O1338" s="129"/>
      <c r="P1338" s="129"/>
      <c r="Q1338" s="129"/>
      <c r="R1338" s="129"/>
      <c r="S1338" s="129"/>
      <c r="T1338" s="129"/>
      <c r="U1338" s="129"/>
      <c r="V1338" s="129"/>
    </row>
    <row r="1339" spans="3:22" x14ac:dyDescent="0.3">
      <c r="C1339" s="129"/>
      <c r="D1339" s="129"/>
      <c r="E1339" s="129"/>
      <c r="F1339" s="129"/>
      <c r="G1339" s="129"/>
      <c r="H1339" s="129"/>
      <c r="I1339" s="129"/>
      <c r="J1339" s="129"/>
      <c r="K1339" s="129"/>
      <c r="L1339" s="129"/>
      <c r="M1339" s="129"/>
      <c r="N1339" s="129"/>
      <c r="O1339" s="129"/>
      <c r="P1339" s="129"/>
      <c r="Q1339" s="129"/>
      <c r="R1339" s="129"/>
      <c r="S1339" s="129"/>
      <c r="T1339" s="129"/>
      <c r="U1339" s="129"/>
      <c r="V1339" s="129"/>
    </row>
    <row r="1340" spans="3:22" x14ac:dyDescent="0.3">
      <c r="C1340" s="129"/>
      <c r="D1340" s="129"/>
      <c r="E1340" s="129"/>
      <c r="F1340" s="129"/>
      <c r="G1340" s="129"/>
      <c r="H1340" s="129"/>
      <c r="I1340" s="129"/>
      <c r="J1340" s="129"/>
      <c r="K1340" s="129"/>
      <c r="L1340" s="129"/>
      <c r="M1340" s="129"/>
      <c r="N1340" s="129"/>
      <c r="O1340" s="129"/>
      <c r="P1340" s="129"/>
      <c r="Q1340" s="129"/>
      <c r="R1340" s="129"/>
      <c r="S1340" s="129"/>
      <c r="T1340" s="129"/>
      <c r="U1340" s="129"/>
      <c r="V1340" s="129"/>
    </row>
    <row r="1341" spans="3:22" x14ac:dyDescent="0.3">
      <c r="C1341" s="129"/>
      <c r="D1341" s="129"/>
      <c r="E1341" s="129"/>
      <c r="F1341" s="129"/>
      <c r="G1341" s="129"/>
      <c r="H1341" s="129"/>
      <c r="I1341" s="129"/>
      <c r="J1341" s="129"/>
      <c r="K1341" s="129"/>
      <c r="L1341" s="129"/>
      <c r="M1341" s="129"/>
      <c r="N1341" s="129"/>
      <c r="O1341" s="129"/>
      <c r="P1341" s="129"/>
      <c r="Q1341" s="129"/>
      <c r="R1341" s="129"/>
      <c r="S1341" s="129"/>
      <c r="T1341" s="129"/>
      <c r="U1341" s="129"/>
      <c r="V1341" s="129"/>
    </row>
    <row r="1342" spans="3:22" x14ac:dyDescent="0.3">
      <c r="C1342" s="129"/>
      <c r="D1342" s="129"/>
      <c r="E1342" s="129"/>
      <c r="F1342" s="129"/>
      <c r="G1342" s="129"/>
      <c r="H1342" s="129"/>
      <c r="I1342" s="129"/>
      <c r="J1342" s="129"/>
      <c r="K1342" s="129"/>
      <c r="L1342" s="129"/>
      <c r="M1342" s="129"/>
      <c r="N1342" s="129"/>
      <c r="O1342" s="129"/>
      <c r="P1342" s="129"/>
      <c r="Q1342" s="129"/>
      <c r="R1342" s="129"/>
      <c r="S1342" s="129"/>
      <c r="T1342" s="129"/>
      <c r="U1342" s="129"/>
      <c r="V1342" s="129"/>
    </row>
    <row r="1343" spans="3:22" x14ac:dyDescent="0.3">
      <c r="C1343" s="129"/>
      <c r="D1343" s="129"/>
      <c r="E1343" s="129"/>
      <c r="F1343" s="129"/>
      <c r="G1343" s="129"/>
      <c r="H1343" s="129"/>
      <c r="I1343" s="129"/>
      <c r="J1343" s="129"/>
      <c r="K1343" s="129"/>
      <c r="L1343" s="129"/>
      <c r="M1343" s="129"/>
      <c r="N1343" s="129"/>
      <c r="O1343" s="129"/>
      <c r="P1343" s="129"/>
      <c r="Q1343" s="129"/>
      <c r="R1343" s="129"/>
      <c r="S1343" s="129"/>
      <c r="T1343" s="129"/>
      <c r="U1343" s="129"/>
      <c r="V1343" s="129"/>
    </row>
    <row r="1344" spans="3:22" x14ac:dyDescent="0.3">
      <c r="C1344" s="129"/>
      <c r="D1344" s="129"/>
      <c r="E1344" s="129"/>
      <c r="F1344" s="129"/>
      <c r="G1344" s="129"/>
      <c r="H1344" s="129"/>
      <c r="I1344" s="129"/>
      <c r="J1344" s="129"/>
      <c r="K1344" s="129"/>
      <c r="L1344" s="129"/>
      <c r="M1344" s="129"/>
      <c r="N1344" s="129"/>
      <c r="O1344" s="129"/>
      <c r="P1344" s="129"/>
      <c r="Q1344" s="129"/>
      <c r="R1344" s="129"/>
      <c r="S1344" s="129"/>
      <c r="T1344" s="129"/>
      <c r="U1344" s="129"/>
      <c r="V1344" s="129"/>
    </row>
    <row r="1345" spans="3:22" x14ac:dyDescent="0.3">
      <c r="C1345" s="129"/>
      <c r="D1345" s="129"/>
      <c r="E1345" s="129"/>
      <c r="F1345" s="129"/>
      <c r="G1345" s="129"/>
      <c r="H1345" s="129"/>
      <c r="I1345" s="129"/>
      <c r="J1345" s="129"/>
      <c r="K1345" s="129"/>
      <c r="L1345" s="129"/>
      <c r="M1345" s="129"/>
      <c r="N1345" s="129"/>
      <c r="O1345" s="129"/>
      <c r="P1345" s="129"/>
      <c r="Q1345" s="129"/>
      <c r="R1345" s="129"/>
      <c r="S1345" s="129"/>
      <c r="T1345" s="129"/>
      <c r="U1345" s="129"/>
      <c r="V1345" s="129"/>
    </row>
    <row r="1346" spans="3:22" x14ac:dyDescent="0.3">
      <c r="C1346" s="129"/>
      <c r="D1346" s="129"/>
      <c r="E1346" s="129"/>
      <c r="F1346" s="129"/>
      <c r="G1346" s="129"/>
      <c r="H1346" s="129"/>
      <c r="I1346" s="129"/>
      <c r="J1346" s="129"/>
      <c r="K1346" s="129"/>
      <c r="L1346" s="129"/>
      <c r="M1346" s="129"/>
      <c r="N1346" s="129"/>
      <c r="O1346" s="129"/>
      <c r="P1346" s="129"/>
      <c r="Q1346" s="129"/>
      <c r="R1346" s="129"/>
      <c r="S1346" s="129"/>
      <c r="T1346" s="129"/>
      <c r="U1346" s="129"/>
      <c r="V1346" s="129"/>
    </row>
    <row r="1347" spans="3:22" x14ac:dyDescent="0.3">
      <c r="C1347" s="129"/>
      <c r="D1347" s="129"/>
      <c r="E1347" s="129"/>
      <c r="F1347" s="129"/>
      <c r="G1347" s="129"/>
      <c r="H1347" s="129"/>
      <c r="I1347" s="129"/>
      <c r="J1347" s="129"/>
      <c r="K1347" s="129"/>
      <c r="L1347" s="129"/>
      <c r="M1347" s="129"/>
      <c r="N1347" s="129"/>
      <c r="O1347" s="129"/>
      <c r="P1347" s="129"/>
      <c r="Q1347" s="129"/>
      <c r="R1347" s="129"/>
      <c r="S1347" s="129"/>
      <c r="T1347" s="129"/>
      <c r="U1347" s="129"/>
      <c r="V1347" s="129"/>
    </row>
    <row r="1348" spans="3:22" x14ac:dyDescent="0.3">
      <c r="C1348" s="129"/>
      <c r="D1348" s="129"/>
      <c r="E1348" s="129"/>
      <c r="F1348" s="129"/>
      <c r="G1348" s="129"/>
      <c r="H1348" s="129"/>
      <c r="I1348" s="129"/>
      <c r="J1348" s="129"/>
      <c r="K1348" s="129"/>
      <c r="L1348" s="129"/>
      <c r="M1348" s="129"/>
      <c r="N1348" s="129"/>
      <c r="O1348" s="129"/>
      <c r="P1348" s="129"/>
      <c r="Q1348" s="129"/>
      <c r="R1348" s="129"/>
      <c r="S1348" s="129"/>
      <c r="T1348" s="129"/>
      <c r="U1348" s="129"/>
      <c r="V1348" s="129"/>
    </row>
    <row r="1349" spans="3:22" x14ac:dyDescent="0.3">
      <c r="C1349" s="129"/>
      <c r="D1349" s="129"/>
      <c r="E1349" s="129"/>
      <c r="F1349" s="129"/>
      <c r="G1349" s="129"/>
      <c r="H1349" s="129"/>
      <c r="I1349" s="129"/>
      <c r="J1349" s="129"/>
      <c r="K1349" s="129"/>
      <c r="L1349" s="129"/>
      <c r="M1349" s="129"/>
      <c r="N1349" s="129"/>
      <c r="O1349" s="129"/>
      <c r="P1349" s="129"/>
      <c r="Q1349" s="129"/>
      <c r="R1349" s="129"/>
      <c r="S1349" s="129"/>
      <c r="T1349" s="129"/>
      <c r="U1349" s="129"/>
      <c r="V1349" s="129"/>
    </row>
    <row r="1350" spans="3:22" x14ac:dyDescent="0.3">
      <c r="C1350" s="129"/>
      <c r="D1350" s="129"/>
      <c r="E1350" s="129"/>
      <c r="F1350" s="129"/>
      <c r="G1350" s="129"/>
      <c r="H1350" s="129"/>
      <c r="I1350" s="129"/>
      <c r="J1350" s="129"/>
      <c r="K1350" s="129"/>
      <c r="L1350" s="129"/>
      <c r="M1350" s="129"/>
      <c r="N1350" s="129"/>
      <c r="O1350" s="129"/>
      <c r="P1350" s="129"/>
      <c r="Q1350" s="129"/>
      <c r="R1350" s="129"/>
      <c r="S1350" s="129"/>
      <c r="T1350" s="129"/>
      <c r="U1350" s="129"/>
      <c r="V1350" s="129"/>
    </row>
    <row r="1351" spans="3:22" x14ac:dyDescent="0.3">
      <c r="C1351" s="129"/>
      <c r="D1351" s="129"/>
      <c r="E1351" s="129"/>
      <c r="F1351" s="129"/>
      <c r="G1351" s="129"/>
      <c r="H1351" s="129"/>
      <c r="I1351" s="129"/>
      <c r="J1351" s="129"/>
      <c r="K1351" s="129"/>
      <c r="L1351" s="129"/>
      <c r="M1351" s="129"/>
      <c r="N1351" s="129"/>
      <c r="O1351" s="129"/>
      <c r="P1351" s="129"/>
      <c r="Q1351" s="129"/>
      <c r="R1351" s="129"/>
      <c r="S1351" s="129"/>
      <c r="T1351" s="129"/>
      <c r="U1351" s="129"/>
      <c r="V1351" s="129"/>
    </row>
    <row r="1352" spans="3:22" x14ac:dyDescent="0.3">
      <c r="C1352" s="129"/>
      <c r="D1352" s="129"/>
      <c r="E1352" s="129"/>
      <c r="F1352" s="129"/>
      <c r="G1352" s="129"/>
      <c r="H1352" s="129"/>
      <c r="I1352" s="129"/>
      <c r="J1352" s="129"/>
      <c r="K1352" s="129"/>
      <c r="L1352" s="129"/>
      <c r="M1352" s="129"/>
      <c r="N1352" s="129"/>
      <c r="O1352" s="129"/>
      <c r="P1352" s="129"/>
      <c r="Q1352" s="129"/>
      <c r="R1352" s="129"/>
      <c r="S1352" s="129"/>
      <c r="T1352" s="129"/>
      <c r="U1352" s="129"/>
      <c r="V1352" s="129"/>
    </row>
    <row r="1353" spans="3:22" x14ac:dyDescent="0.3">
      <c r="C1353" s="129"/>
      <c r="D1353" s="129"/>
      <c r="E1353" s="129"/>
      <c r="F1353" s="129"/>
      <c r="G1353" s="129"/>
      <c r="H1353" s="129"/>
      <c r="I1353" s="129"/>
      <c r="J1353" s="129"/>
      <c r="K1353" s="129"/>
      <c r="L1353" s="129"/>
      <c r="M1353" s="129"/>
      <c r="N1353" s="129"/>
      <c r="O1353" s="129"/>
      <c r="P1353" s="129"/>
      <c r="Q1353" s="129"/>
      <c r="R1353" s="129"/>
      <c r="S1353" s="129"/>
      <c r="T1353" s="129"/>
      <c r="U1353" s="129"/>
      <c r="V1353" s="129"/>
    </row>
    <row r="1354" spans="3:22" x14ac:dyDescent="0.3">
      <c r="C1354" s="129"/>
      <c r="D1354" s="129"/>
      <c r="E1354" s="129"/>
      <c r="F1354" s="129"/>
      <c r="G1354" s="129"/>
      <c r="H1354" s="129"/>
      <c r="I1354" s="129"/>
      <c r="J1354" s="129"/>
      <c r="K1354" s="129"/>
      <c r="L1354" s="129"/>
      <c r="M1354" s="129"/>
      <c r="N1354" s="129"/>
      <c r="O1354" s="129"/>
      <c r="P1354" s="129"/>
      <c r="Q1354" s="129"/>
      <c r="R1354" s="129"/>
      <c r="S1354" s="129"/>
      <c r="T1354" s="129"/>
      <c r="U1354" s="129"/>
      <c r="V1354" s="129"/>
    </row>
    <row r="1355" spans="3:22" x14ac:dyDescent="0.3">
      <c r="C1355" s="129"/>
      <c r="D1355" s="129"/>
      <c r="E1355" s="129"/>
      <c r="F1355" s="129"/>
      <c r="G1355" s="129"/>
      <c r="H1355" s="129"/>
      <c r="I1355" s="129"/>
      <c r="J1355" s="129"/>
      <c r="K1355" s="129"/>
      <c r="L1355" s="129"/>
      <c r="M1355" s="129"/>
      <c r="N1355" s="129"/>
      <c r="O1355" s="129"/>
      <c r="P1355" s="129"/>
      <c r="Q1355" s="129"/>
      <c r="R1355" s="129"/>
      <c r="S1355" s="129"/>
      <c r="T1355" s="129"/>
      <c r="U1355" s="129"/>
      <c r="V1355" s="129"/>
    </row>
    <row r="1356" spans="3:22" x14ac:dyDescent="0.3">
      <c r="C1356" s="129"/>
      <c r="D1356" s="129"/>
      <c r="E1356" s="129"/>
      <c r="F1356" s="129"/>
      <c r="G1356" s="129"/>
      <c r="H1356" s="129"/>
      <c r="I1356" s="129"/>
      <c r="J1356" s="129"/>
      <c r="K1356" s="129"/>
      <c r="L1356" s="129"/>
      <c r="M1356" s="129"/>
      <c r="N1356" s="129"/>
      <c r="O1356" s="129"/>
      <c r="P1356" s="129"/>
      <c r="Q1356" s="129"/>
      <c r="R1356" s="129"/>
      <c r="S1356" s="129"/>
      <c r="T1356" s="129"/>
      <c r="U1356" s="129"/>
      <c r="V1356" s="129"/>
    </row>
    <row r="1357" spans="3:22" x14ac:dyDescent="0.3">
      <c r="C1357" s="129"/>
      <c r="D1357" s="129"/>
      <c r="E1357" s="129"/>
      <c r="F1357" s="129"/>
      <c r="G1357" s="129"/>
      <c r="H1357" s="129"/>
      <c r="I1357" s="129"/>
      <c r="J1357" s="129"/>
      <c r="K1357" s="129"/>
      <c r="L1357" s="129"/>
      <c r="M1357" s="129"/>
      <c r="N1357" s="129"/>
      <c r="O1357" s="129"/>
      <c r="P1357" s="129"/>
      <c r="Q1357" s="129"/>
      <c r="R1357" s="129"/>
      <c r="S1357" s="129"/>
      <c r="T1357" s="129"/>
      <c r="U1357" s="129"/>
      <c r="V1357" s="129"/>
    </row>
    <row r="1358" spans="3:22" x14ac:dyDescent="0.3">
      <c r="C1358" s="129"/>
      <c r="D1358" s="129"/>
      <c r="E1358" s="129"/>
      <c r="F1358" s="129"/>
      <c r="G1358" s="129"/>
      <c r="H1358" s="129"/>
      <c r="I1358" s="129"/>
      <c r="J1358" s="129"/>
      <c r="K1358" s="129"/>
      <c r="L1358" s="129"/>
      <c r="M1358" s="129"/>
      <c r="N1358" s="129"/>
      <c r="O1358" s="129"/>
      <c r="P1358" s="129"/>
      <c r="Q1358" s="129"/>
      <c r="R1358" s="129"/>
      <c r="S1358" s="129"/>
      <c r="T1358" s="129"/>
      <c r="U1358" s="129"/>
      <c r="V1358" s="129"/>
    </row>
    <row r="1359" spans="3:22" x14ac:dyDescent="0.3">
      <c r="C1359" s="129"/>
      <c r="D1359" s="129"/>
      <c r="E1359" s="129"/>
      <c r="F1359" s="129"/>
      <c r="G1359" s="129"/>
      <c r="H1359" s="129"/>
      <c r="I1359" s="129"/>
      <c r="J1359" s="129"/>
      <c r="K1359" s="129"/>
      <c r="L1359" s="129"/>
      <c r="M1359" s="129"/>
      <c r="N1359" s="129"/>
      <c r="O1359" s="129"/>
      <c r="P1359" s="129"/>
      <c r="Q1359" s="129"/>
      <c r="R1359" s="129"/>
      <c r="S1359" s="129"/>
      <c r="T1359" s="129"/>
      <c r="U1359" s="129"/>
      <c r="V1359" s="129"/>
    </row>
    <row r="1360" spans="3:22" x14ac:dyDescent="0.3">
      <c r="C1360" s="129"/>
      <c r="D1360" s="129"/>
      <c r="E1360" s="129"/>
      <c r="F1360" s="129"/>
      <c r="G1360" s="129"/>
      <c r="H1360" s="129"/>
      <c r="I1360" s="129"/>
      <c r="J1360" s="129"/>
      <c r="K1360" s="129"/>
      <c r="L1360" s="129"/>
      <c r="M1360" s="129"/>
      <c r="N1360" s="129"/>
      <c r="O1360" s="129"/>
      <c r="P1360" s="129"/>
      <c r="Q1360" s="129"/>
      <c r="R1360" s="129"/>
      <c r="S1360" s="129"/>
      <c r="T1360" s="129"/>
      <c r="U1360" s="129"/>
      <c r="V1360" s="129"/>
    </row>
    <row r="1361" spans="3:22" x14ac:dyDescent="0.3">
      <c r="C1361" s="129"/>
      <c r="D1361" s="129"/>
      <c r="E1361" s="129"/>
      <c r="F1361" s="129"/>
      <c r="G1361" s="129"/>
      <c r="H1361" s="129"/>
      <c r="I1361" s="129"/>
      <c r="J1361" s="129"/>
      <c r="K1361" s="129"/>
      <c r="L1361" s="129"/>
      <c r="M1361" s="129"/>
      <c r="N1361" s="129"/>
      <c r="O1361" s="129"/>
      <c r="P1361" s="129"/>
      <c r="Q1361" s="129"/>
      <c r="R1361" s="129"/>
      <c r="S1361" s="129"/>
      <c r="T1361" s="129"/>
      <c r="U1361" s="129"/>
      <c r="V1361" s="129"/>
    </row>
    <row r="1362" spans="3:22" x14ac:dyDescent="0.3">
      <c r="C1362" s="129"/>
      <c r="D1362" s="129"/>
      <c r="E1362" s="129"/>
      <c r="F1362" s="129"/>
      <c r="G1362" s="129"/>
      <c r="H1362" s="129"/>
      <c r="I1362" s="129"/>
      <c r="J1362" s="129"/>
      <c r="K1362" s="129"/>
      <c r="L1362" s="129"/>
      <c r="M1362" s="129"/>
      <c r="N1362" s="129"/>
      <c r="O1362" s="129"/>
      <c r="P1362" s="129"/>
      <c r="Q1362" s="129"/>
      <c r="R1362" s="129"/>
      <c r="S1362" s="129"/>
      <c r="T1362" s="129"/>
      <c r="U1362" s="129"/>
      <c r="V1362" s="129"/>
    </row>
    <row r="1363" spans="3:22" x14ac:dyDescent="0.3">
      <c r="C1363" s="129"/>
      <c r="D1363" s="129"/>
      <c r="E1363" s="129"/>
      <c r="F1363" s="129"/>
      <c r="G1363" s="129"/>
      <c r="H1363" s="129"/>
      <c r="I1363" s="129"/>
      <c r="J1363" s="129"/>
      <c r="K1363" s="129"/>
      <c r="L1363" s="129"/>
      <c r="M1363" s="129"/>
      <c r="N1363" s="129"/>
      <c r="O1363" s="129"/>
      <c r="P1363" s="129"/>
      <c r="Q1363" s="129"/>
      <c r="R1363" s="129"/>
      <c r="S1363" s="129"/>
      <c r="T1363" s="129"/>
      <c r="U1363" s="129"/>
      <c r="V1363" s="129"/>
    </row>
    <row r="1364" spans="3:22" x14ac:dyDescent="0.3">
      <c r="C1364" s="129"/>
      <c r="D1364" s="129"/>
      <c r="E1364" s="129"/>
      <c r="F1364" s="129"/>
      <c r="G1364" s="129"/>
      <c r="H1364" s="129"/>
      <c r="I1364" s="129"/>
      <c r="J1364" s="129"/>
      <c r="K1364" s="129"/>
      <c r="L1364" s="129"/>
      <c r="M1364" s="129"/>
      <c r="N1364" s="129"/>
      <c r="O1364" s="129"/>
      <c r="P1364" s="129"/>
      <c r="Q1364" s="129"/>
      <c r="R1364" s="129"/>
      <c r="S1364" s="129"/>
      <c r="T1364" s="129"/>
      <c r="U1364" s="129"/>
      <c r="V1364" s="129"/>
    </row>
    <row r="1365" spans="3:22" x14ac:dyDescent="0.3">
      <c r="C1365" s="129"/>
      <c r="D1365" s="129"/>
      <c r="E1365" s="129"/>
      <c r="F1365" s="129"/>
      <c r="G1365" s="129"/>
      <c r="H1365" s="129"/>
      <c r="I1365" s="129"/>
      <c r="J1365" s="129"/>
      <c r="K1365" s="129"/>
      <c r="L1365" s="129"/>
      <c r="M1365" s="129"/>
      <c r="N1365" s="129"/>
      <c r="O1365" s="129"/>
      <c r="P1365" s="129"/>
      <c r="Q1365" s="129"/>
      <c r="R1365" s="129"/>
      <c r="S1365" s="129"/>
      <c r="T1365" s="129"/>
      <c r="U1365" s="129"/>
      <c r="V1365" s="129"/>
    </row>
    <row r="1366" spans="3:22" x14ac:dyDescent="0.3">
      <c r="C1366" s="129"/>
      <c r="D1366" s="129"/>
      <c r="E1366" s="129"/>
      <c r="F1366" s="129"/>
      <c r="G1366" s="129"/>
      <c r="H1366" s="129"/>
      <c r="I1366" s="129"/>
      <c r="J1366" s="129"/>
      <c r="K1366" s="129"/>
      <c r="L1366" s="129"/>
      <c r="M1366" s="129"/>
      <c r="N1366" s="129"/>
      <c r="O1366" s="129"/>
      <c r="P1366" s="129"/>
      <c r="Q1366" s="129"/>
      <c r="R1366" s="129"/>
      <c r="S1366" s="129"/>
      <c r="T1366" s="129"/>
      <c r="U1366" s="129"/>
      <c r="V1366" s="129"/>
    </row>
    <row r="1367" spans="3:22" x14ac:dyDescent="0.3">
      <c r="C1367" s="129"/>
      <c r="D1367" s="129"/>
      <c r="E1367" s="129"/>
      <c r="F1367" s="129"/>
      <c r="G1367" s="129"/>
      <c r="H1367" s="129"/>
      <c r="I1367" s="129"/>
      <c r="J1367" s="129"/>
      <c r="K1367" s="129"/>
      <c r="L1367" s="129"/>
      <c r="M1367" s="129"/>
      <c r="N1367" s="129"/>
      <c r="O1367" s="129"/>
      <c r="P1367" s="129"/>
      <c r="Q1367" s="129"/>
      <c r="R1367" s="129"/>
      <c r="S1367" s="129"/>
      <c r="T1367" s="129"/>
      <c r="U1367" s="129"/>
      <c r="V1367" s="129"/>
    </row>
    <row r="1368" spans="3:22" x14ac:dyDescent="0.3">
      <c r="C1368" s="129"/>
      <c r="D1368" s="129"/>
      <c r="E1368" s="129"/>
      <c r="F1368" s="129"/>
      <c r="G1368" s="129"/>
      <c r="H1368" s="129"/>
      <c r="I1368" s="129"/>
      <c r="J1368" s="129"/>
      <c r="K1368" s="129"/>
      <c r="L1368" s="129"/>
      <c r="M1368" s="129"/>
      <c r="N1368" s="129"/>
      <c r="O1368" s="129"/>
      <c r="P1368" s="129"/>
      <c r="Q1368" s="129"/>
      <c r="R1368" s="129"/>
      <c r="S1368" s="129"/>
      <c r="T1368" s="129"/>
      <c r="U1368" s="129"/>
      <c r="V1368" s="129"/>
    </row>
    <row r="1369" spans="3:22" x14ac:dyDescent="0.3">
      <c r="C1369" s="129"/>
      <c r="D1369" s="129"/>
      <c r="E1369" s="129"/>
      <c r="F1369" s="129"/>
      <c r="G1369" s="129"/>
      <c r="H1369" s="129"/>
      <c r="I1369" s="129"/>
      <c r="J1369" s="129"/>
      <c r="K1369" s="129"/>
      <c r="L1369" s="129"/>
      <c r="M1369" s="129"/>
      <c r="N1369" s="129"/>
      <c r="O1369" s="129"/>
      <c r="P1369" s="129"/>
      <c r="Q1369" s="129"/>
      <c r="R1369" s="129"/>
      <c r="S1369" s="129"/>
      <c r="T1369" s="129"/>
      <c r="U1369" s="129"/>
      <c r="V1369" s="129"/>
    </row>
    <row r="1370" spans="3:22" x14ac:dyDescent="0.3">
      <c r="C1370" s="129"/>
      <c r="D1370" s="129"/>
      <c r="E1370" s="129"/>
      <c r="F1370" s="129"/>
      <c r="G1370" s="129"/>
      <c r="H1370" s="129"/>
      <c r="I1370" s="129"/>
      <c r="J1370" s="129"/>
      <c r="K1370" s="129"/>
      <c r="L1370" s="129"/>
      <c r="M1370" s="129"/>
      <c r="N1370" s="129"/>
      <c r="O1370" s="129"/>
      <c r="P1370" s="129"/>
      <c r="Q1370" s="129"/>
      <c r="R1370" s="129"/>
      <c r="S1370" s="129"/>
      <c r="T1370" s="129"/>
      <c r="U1370" s="129"/>
      <c r="V1370" s="129"/>
    </row>
    <row r="1371" spans="3:22" x14ac:dyDescent="0.3">
      <c r="C1371" s="129"/>
      <c r="D1371" s="129"/>
      <c r="E1371" s="129"/>
      <c r="F1371" s="129"/>
      <c r="G1371" s="129"/>
      <c r="H1371" s="129"/>
      <c r="I1371" s="129"/>
      <c r="J1371" s="129"/>
      <c r="K1371" s="129"/>
      <c r="L1371" s="129"/>
      <c r="M1371" s="129"/>
      <c r="N1371" s="129"/>
      <c r="O1371" s="129"/>
      <c r="P1371" s="129"/>
      <c r="Q1371" s="129"/>
      <c r="R1371" s="129"/>
      <c r="S1371" s="129"/>
      <c r="T1371" s="129"/>
      <c r="U1371" s="129"/>
      <c r="V1371" s="129"/>
    </row>
    <row r="1372" spans="3:22" x14ac:dyDescent="0.3">
      <c r="C1372" s="129"/>
      <c r="D1372" s="129"/>
      <c r="E1372" s="129"/>
      <c r="F1372" s="129"/>
      <c r="G1372" s="129"/>
      <c r="H1372" s="129"/>
      <c r="I1372" s="129"/>
      <c r="J1372" s="129"/>
      <c r="K1372" s="129"/>
      <c r="L1372" s="129"/>
      <c r="M1372" s="129"/>
      <c r="N1372" s="129"/>
      <c r="O1372" s="129"/>
      <c r="P1372" s="129"/>
      <c r="Q1372" s="129"/>
      <c r="R1372" s="129"/>
      <c r="S1372" s="129"/>
      <c r="T1372" s="129"/>
      <c r="U1372" s="129"/>
      <c r="V1372" s="129"/>
    </row>
    <row r="1373" spans="3:22" x14ac:dyDescent="0.3">
      <c r="C1373" s="129"/>
      <c r="D1373" s="129"/>
      <c r="E1373" s="129"/>
      <c r="F1373" s="129"/>
      <c r="G1373" s="129"/>
      <c r="H1373" s="129"/>
      <c r="I1373" s="129"/>
      <c r="J1373" s="129"/>
      <c r="K1373" s="129"/>
      <c r="L1373" s="129"/>
      <c r="M1373" s="129"/>
      <c r="N1373" s="129"/>
      <c r="O1373" s="129"/>
      <c r="P1373" s="129"/>
      <c r="Q1373" s="129"/>
      <c r="R1373" s="129"/>
      <c r="S1373" s="129"/>
      <c r="T1373" s="129"/>
      <c r="U1373" s="129"/>
      <c r="V1373" s="129"/>
    </row>
    <row r="1374" spans="3:22" x14ac:dyDescent="0.3">
      <c r="C1374" s="129"/>
      <c r="D1374" s="129"/>
      <c r="E1374" s="129"/>
      <c r="F1374" s="129"/>
      <c r="G1374" s="129"/>
      <c r="H1374" s="129"/>
      <c r="I1374" s="129"/>
      <c r="J1374" s="129"/>
      <c r="K1374" s="129"/>
      <c r="L1374" s="129"/>
      <c r="M1374" s="129"/>
      <c r="N1374" s="129"/>
      <c r="O1374" s="129"/>
      <c r="P1374" s="129"/>
      <c r="Q1374" s="129"/>
      <c r="R1374" s="129"/>
      <c r="S1374" s="129"/>
      <c r="T1374" s="129"/>
      <c r="U1374" s="129"/>
      <c r="V1374" s="129"/>
    </row>
    <row r="1375" spans="3:22" x14ac:dyDescent="0.3">
      <c r="C1375" s="129"/>
      <c r="D1375" s="129"/>
      <c r="E1375" s="129"/>
      <c r="F1375" s="129"/>
      <c r="G1375" s="129"/>
      <c r="H1375" s="129"/>
      <c r="I1375" s="129"/>
      <c r="J1375" s="129"/>
      <c r="K1375" s="129"/>
      <c r="L1375" s="129"/>
      <c r="M1375" s="129"/>
      <c r="N1375" s="129"/>
      <c r="O1375" s="129"/>
      <c r="P1375" s="129"/>
      <c r="Q1375" s="129"/>
      <c r="R1375" s="129"/>
      <c r="S1375" s="129"/>
      <c r="T1375" s="129"/>
      <c r="U1375" s="129"/>
      <c r="V1375" s="129"/>
    </row>
    <row r="1376" spans="3:22" x14ac:dyDescent="0.3">
      <c r="C1376" s="129"/>
      <c r="D1376" s="129"/>
      <c r="E1376" s="129"/>
      <c r="F1376" s="129"/>
      <c r="G1376" s="129"/>
      <c r="H1376" s="129"/>
      <c r="I1376" s="129"/>
      <c r="J1376" s="129"/>
      <c r="K1376" s="129"/>
      <c r="L1376" s="129"/>
      <c r="M1376" s="129"/>
      <c r="N1376" s="129"/>
      <c r="O1376" s="129"/>
      <c r="P1376" s="129"/>
      <c r="Q1376" s="129"/>
      <c r="R1376" s="129"/>
      <c r="S1376" s="129"/>
      <c r="T1376" s="129"/>
      <c r="U1376" s="129"/>
      <c r="V1376" s="129"/>
    </row>
    <row r="1377" spans="3:22" x14ac:dyDescent="0.3">
      <c r="C1377" s="129"/>
      <c r="D1377" s="129"/>
      <c r="E1377" s="129"/>
      <c r="F1377" s="129"/>
      <c r="G1377" s="129"/>
      <c r="H1377" s="129"/>
      <c r="I1377" s="129"/>
      <c r="J1377" s="129"/>
      <c r="K1377" s="129"/>
      <c r="L1377" s="129"/>
      <c r="M1377" s="129"/>
      <c r="N1377" s="129"/>
      <c r="O1377" s="129"/>
      <c r="P1377" s="129"/>
      <c r="Q1377" s="129"/>
      <c r="R1377" s="129"/>
      <c r="S1377" s="129"/>
      <c r="T1377" s="129"/>
      <c r="U1377" s="129"/>
      <c r="V1377" s="129"/>
    </row>
    <row r="1378" spans="3:22" x14ac:dyDescent="0.3">
      <c r="C1378" s="129"/>
      <c r="D1378" s="129"/>
      <c r="E1378" s="129"/>
      <c r="F1378" s="129"/>
      <c r="G1378" s="129"/>
      <c r="H1378" s="129"/>
      <c r="I1378" s="129"/>
      <c r="J1378" s="129"/>
      <c r="K1378" s="129"/>
      <c r="L1378" s="129"/>
      <c r="M1378" s="129"/>
      <c r="N1378" s="129"/>
      <c r="O1378" s="129"/>
      <c r="P1378" s="129"/>
      <c r="Q1378" s="129"/>
      <c r="R1378" s="129"/>
      <c r="S1378" s="129"/>
      <c r="T1378" s="129"/>
      <c r="U1378" s="129"/>
      <c r="V1378" s="129"/>
    </row>
    <row r="1379" spans="3:22" x14ac:dyDescent="0.3">
      <c r="C1379" s="129"/>
      <c r="D1379" s="129"/>
      <c r="E1379" s="129"/>
      <c r="F1379" s="129"/>
      <c r="G1379" s="129"/>
      <c r="H1379" s="129"/>
      <c r="I1379" s="129"/>
      <c r="J1379" s="129"/>
      <c r="K1379" s="129"/>
      <c r="L1379" s="129"/>
      <c r="M1379" s="129"/>
      <c r="N1379" s="129"/>
      <c r="O1379" s="129"/>
      <c r="P1379" s="129"/>
      <c r="Q1379" s="129"/>
      <c r="R1379" s="129"/>
      <c r="S1379" s="129"/>
      <c r="T1379" s="129"/>
      <c r="U1379" s="129"/>
      <c r="V1379" s="129"/>
    </row>
    <row r="1380" spans="3:22" x14ac:dyDescent="0.3">
      <c r="C1380" s="129"/>
      <c r="D1380" s="129"/>
      <c r="E1380" s="129"/>
      <c r="F1380" s="129"/>
      <c r="G1380" s="129"/>
      <c r="H1380" s="129"/>
      <c r="I1380" s="129"/>
      <c r="J1380" s="129"/>
      <c r="K1380" s="129"/>
      <c r="L1380" s="129"/>
      <c r="M1380" s="129"/>
      <c r="N1380" s="129"/>
      <c r="O1380" s="129"/>
      <c r="P1380" s="129"/>
      <c r="Q1380" s="129"/>
      <c r="R1380" s="129"/>
      <c r="S1380" s="129"/>
      <c r="T1380" s="129"/>
      <c r="U1380" s="129"/>
      <c r="V1380" s="129"/>
    </row>
    <row r="1381" spans="3:22" x14ac:dyDescent="0.3">
      <c r="C1381" s="129"/>
      <c r="D1381" s="129"/>
      <c r="E1381" s="129"/>
      <c r="F1381" s="129"/>
      <c r="G1381" s="129"/>
      <c r="H1381" s="129"/>
      <c r="I1381" s="129"/>
      <c r="J1381" s="129"/>
      <c r="K1381" s="129"/>
      <c r="L1381" s="129"/>
      <c r="M1381" s="129"/>
      <c r="N1381" s="129"/>
      <c r="O1381" s="129"/>
      <c r="P1381" s="129"/>
      <c r="Q1381" s="129"/>
      <c r="R1381" s="129"/>
      <c r="S1381" s="129"/>
      <c r="T1381" s="129"/>
      <c r="U1381" s="129"/>
      <c r="V1381" s="129"/>
    </row>
    <row r="1382" spans="3:22" x14ac:dyDescent="0.3">
      <c r="C1382" s="129"/>
      <c r="D1382" s="129"/>
      <c r="E1382" s="129"/>
      <c r="F1382" s="129"/>
      <c r="G1382" s="129"/>
      <c r="H1382" s="129"/>
      <c r="I1382" s="129"/>
      <c r="J1382" s="129"/>
      <c r="K1382" s="129"/>
      <c r="L1382" s="129"/>
      <c r="M1382" s="129"/>
      <c r="N1382" s="129"/>
      <c r="O1382" s="129"/>
      <c r="P1382" s="129"/>
      <c r="Q1382" s="129"/>
      <c r="R1382" s="129"/>
      <c r="S1382" s="129"/>
      <c r="T1382" s="129"/>
      <c r="U1382" s="129"/>
      <c r="V1382" s="129"/>
    </row>
    <row r="1383" spans="3:22" x14ac:dyDescent="0.3">
      <c r="C1383" s="129"/>
      <c r="D1383" s="129"/>
      <c r="E1383" s="129"/>
      <c r="F1383" s="129"/>
      <c r="G1383" s="129"/>
      <c r="H1383" s="129"/>
      <c r="I1383" s="129"/>
      <c r="J1383" s="129"/>
      <c r="K1383" s="129"/>
      <c r="L1383" s="129"/>
      <c r="M1383" s="129"/>
      <c r="N1383" s="129"/>
      <c r="O1383" s="129"/>
      <c r="P1383" s="129"/>
      <c r="Q1383" s="129"/>
      <c r="R1383" s="129"/>
      <c r="S1383" s="129"/>
      <c r="T1383" s="129"/>
      <c r="U1383" s="129"/>
      <c r="V1383" s="129"/>
    </row>
  </sheetData>
  <pageMargins left="0.7" right="0.7" top="0.78740157499999996" bottom="0.78740157499999996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C056-E1FA-4906-A16C-A1B23FC4D0B5}">
  <sheetPr codeName="Tabelle16"/>
  <dimension ref="A1"/>
  <sheetViews>
    <sheetView tabSelected="1" topLeftCell="G1" zoomScale="55" zoomScaleNormal="55" workbookViewId="0">
      <selection activeCell="S46" sqref="S46"/>
    </sheetView>
  </sheetViews>
  <sheetFormatPr baseColWidth="10" defaultRowHeight="13.8" x14ac:dyDescent="0.25"/>
  <sheetData/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CA11-51FD-43A6-BF53-B8073DB41B45}">
  <sheetPr codeName="Tabelle1"/>
  <dimension ref="A1:W136"/>
  <sheetViews>
    <sheetView topLeftCell="A43" zoomScale="85" zoomScaleNormal="85" workbookViewId="0">
      <selection activeCell="C69" sqref="C69"/>
    </sheetView>
  </sheetViews>
  <sheetFormatPr baseColWidth="10" defaultColWidth="11.44140625" defaultRowHeight="15.6" x14ac:dyDescent="0.3"/>
  <cols>
    <col min="1" max="1" width="81.44140625" style="7" bestFit="1" customWidth="1"/>
    <col min="2" max="2" width="13.44140625" style="7" bestFit="1" customWidth="1"/>
    <col min="3" max="16" width="16" style="7" bestFit="1" customWidth="1"/>
    <col min="17" max="17" width="16" style="7" customWidth="1"/>
    <col min="18" max="21" width="16" style="7" bestFit="1" customWidth="1"/>
    <col min="22" max="22" width="17" style="7" bestFit="1" customWidth="1"/>
    <col min="23" max="16384" width="11.44140625" style="7"/>
  </cols>
  <sheetData>
    <row r="1" spans="1:23" x14ac:dyDescent="0.3">
      <c r="A1" s="22" t="s">
        <v>13</v>
      </c>
      <c r="B1" s="22" t="s">
        <v>14</v>
      </c>
      <c r="C1" s="22" t="s">
        <v>15</v>
      </c>
      <c r="D1" s="22" t="s">
        <v>16</v>
      </c>
      <c r="E1" s="22" t="s">
        <v>17</v>
      </c>
      <c r="F1" s="22" t="s">
        <v>18</v>
      </c>
      <c r="G1" s="22" t="s">
        <v>19</v>
      </c>
      <c r="H1" s="22" t="s">
        <v>20</v>
      </c>
      <c r="I1" s="22" t="s">
        <v>21</v>
      </c>
      <c r="J1" s="22" t="s">
        <v>22</v>
      </c>
      <c r="K1" s="22" t="s">
        <v>23</v>
      </c>
      <c r="L1" s="22" t="s">
        <v>24</v>
      </c>
      <c r="M1" s="22" t="s">
        <v>25</v>
      </c>
      <c r="N1" s="22" t="s">
        <v>26</v>
      </c>
      <c r="O1" s="22" t="s">
        <v>27</v>
      </c>
      <c r="P1" s="22" t="s">
        <v>28</v>
      </c>
      <c r="Q1" s="22" t="s">
        <v>29</v>
      </c>
      <c r="R1" s="22" t="s">
        <v>30</v>
      </c>
      <c r="S1" s="22" t="s">
        <v>31</v>
      </c>
      <c r="T1" s="22" t="s">
        <v>32</v>
      </c>
      <c r="U1" s="22" t="s">
        <v>33</v>
      </c>
      <c r="V1" s="22" t="s">
        <v>34</v>
      </c>
    </row>
    <row r="2" spans="1:23" x14ac:dyDescent="0.3">
      <c r="A2" s="16" t="s">
        <v>36</v>
      </c>
      <c r="B2" s="16"/>
      <c r="C2" s="24">
        <f t="shared" ref="C2:V2" si="0">C64*C58</f>
        <v>24.812840273461759</v>
      </c>
      <c r="D2" s="24">
        <f t="shared" si="0"/>
        <v>24.197469428259769</v>
      </c>
      <c r="E2" s="24">
        <f t="shared" si="0"/>
        <v>23.597360087704214</v>
      </c>
      <c r="F2" s="24">
        <f t="shared" si="0"/>
        <v>23.012133758849107</v>
      </c>
      <c r="G2" s="24">
        <f t="shared" si="0"/>
        <v>22.441421335562769</v>
      </c>
      <c r="H2" s="24">
        <f t="shared" si="0"/>
        <v>21.884862865730145</v>
      </c>
      <c r="I2" s="24">
        <f t="shared" si="0"/>
        <v>21.342107324228607</v>
      </c>
      <c r="J2" s="24">
        <f t="shared" si="0"/>
        <v>20.812812391534074</v>
      </c>
      <c r="K2" s="24">
        <f t="shared" si="0"/>
        <v>20.296644237817834</v>
      </c>
      <c r="L2" s="24">
        <f t="shared" si="0"/>
        <v>19.793277312397834</v>
      </c>
      <c r="M2" s="24">
        <f t="shared" si="0"/>
        <v>19.302394138411707</v>
      </c>
      <c r="N2" s="24">
        <f t="shared" si="0"/>
        <v>18.82368511258203</v>
      </c>
      <c r="O2" s="24">
        <f t="shared" si="0"/>
        <v>18.356848309947438</v>
      </c>
      <c r="P2" s="24">
        <f t="shared" si="0"/>
        <v>17.901589293436583</v>
      </c>
      <c r="Q2" s="24">
        <f t="shared" si="0"/>
        <v>17.457620928164708</v>
      </c>
      <c r="R2" s="24">
        <f t="shared" si="0"/>
        <v>17.024663200335759</v>
      </c>
      <c r="S2" s="24">
        <f t="shared" si="0"/>
        <v>16.602443040635833</v>
      </c>
      <c r="T2" s="24">
        <f t="shared" si="0"/>
        <v>16.190694152006543</v>
      </c>
      <c r="U2" s="24">
        <f t="shared" si="0"/>
        <v>15.789156841689703</v>
      </c>
      <c r="V2" s="24">
        <f t="shared" si="0"/>
        <v>15.397577857437376</v>
      </c>
    </row>
    <row r="3" spans="1:23" x14ac:dyDescent="0.3">
      <c r="A3" s="17" t="s">
        <v>52</v>
      </c>
      <c r="B3" s="17"/>
      <c r="C3" s="17">
        <f>C60*C59</f>
        <v>122.1632859384754</v>
      </c>
      <c r="D3" s="17">
        <f t="shared" ref="D3:V3" si="1">D60*D59</f>
        <v>124.97016111159343</v>
      </c>
      <c r="E3" s="17">
        <f t="shared" si="1"/>
        <v>127.23382246489251</v>
      </c>
      <c r="F3" s="17">
        <f t="shared" si="1"/>
        <v>129.88860366820876</v>
      </c>
      <c r="G3" s="17">
        <f t="shared" si="1"/>
        <v>132.50898928332933</v>
      </c>
      <c r="H3" s="17">
        <f t="shared" si="1"/>
        <v>135.45369445033106</v>
      </c>
      <c r="I3" s="17">
        <f t="shared" si="1"/>
        <v>138.27250753890593</v>
      </c>
      <c r="J3" s="17">
        <f t="shared" si="1"/>
        <v>141.07324218144475</v>
      </c>
      <c r="K3" s="17">
        <f t="shared" si="1"/>
        <v>144.12424291567103</v>
      </c>
      <c r="L3" s="17">
        <f t="shared" si="1"/>
        <v>146.98907879398206</v>
      </c>
      <c r="M3" s="17">
        <f t="shared" si="1"/>
        <v>150.28334153143882</v>
      </c>
      <c r="N3" s="17">
        <f t="shared" si="1"/>
        <v>153.5263118068838</v>
      </c>
      <c r="O3" s="17">
        <f t="shared" si="1"/>
        <v>156.63994519567976</v>
      </c>
      <c r="P3" s="17">
        <f t="shared" si="1"/>
        <v>160.15025638299369</v>
      </c>
      <c r="Q3" s="17">
        <f t="shared" si="1"/>
        <v>163.99320985741724</v>
      </c>
      <c r="R3" s="17">
        <f t="shared" si="1"/>
        <v>167.26888502277691</v>
      </c>
      <c r="S3" s="17">
        <f t="shared" si="1"/>
        <v>170.64930213225284</v>
      </c>
      <c r="T3" s="17">
        <f t="shared" si="1"/>
        <v>174.3102301753666</v>
      </c>
      <c r="U3" s="17">
        <f t="shared" si="1"/>
        <v>178.7246780770223</v>
      </c>
      <c r="V3" s="17">
        <f t="shared" si="1"/>
        <v>182.67202587181276</v>
      </c>
    </row>
    <row r="4" spans="1:23" x14ac:dyDescent="0.3">
      <c r="A4" s="17" t="s">
        <v>37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>
        <f>0.45*B10*(-1)</f>
        <v>-2430.678082191781</v>
      </c>
      <c r="M4" s="17"/>
      <c r="N4" s="17"/>
      <c r="O4" s="17"/>
      <c r="P4" s="17"/>
      <c r="Q4" s="17"/>
      <c r="R4" s="17"/>
      <c r="S4" s="17"/>
      <c r="T4" s="17"/>
      <c r="U4" s="17"/>
      <c r="V4" s="17"/>
    </row>
    <row r="5" spans="1:23" x14ac:dyDescent="0.3">
      <c r="A5" s="84" t="s">
        <v>117</v>
      </c>
      <c r="B5" s="17">
        <f>B10*(-1)</f>
        <v>-5401.5068493150684</v>
      </c>
      <c r="C5" s="17">
        <f t="shared" ref="C5:V5" si="2">SUM(C3:C4)</f>
        <v>122.1632859384754</v>
      </c>
      <c r="D5" s="17">
        <f t="shared" si="2"/>
        <v>124.97016111159343</v>
      </c>
      <c r="E5" s="17">
        <f t="shared" si="2"/>
        <v>127.23382246489251</v>
      </c>
      <c r="F5" s="17">
        <f t="shared" si="2"/>
        <v>129.88860366820876</v>
      </c>
      <c r="G5" s="17">
        <f t="shared" si="2"/>
        <v>132.50898928332933</v>
      </c>
      <c r="H5" s="17">
        <f t="shared" si="2"/>
        <v>135.45369445033106</v>
      </c>
      <c r="I5" s="17">
        <f t="shared" si="2"/>
        <v>138.27250753890593</v>
      </c>
      <c r="J5" s="17">
        <f t="shared" si="2"/>
        <v>141.07324218144475</v>
      </c>
      <c r="K5" s="17">
        <f t="shared" si="2"/>
        <v>144.12424291567103</v>
      </c>
      <c r="L5" s="17">
        <f t="shared" si="2"/>
        <v>-2283.6890033977988</v>
      </c>
      <c r="M5" s="17">
        <f t="shared" si="2"/>
        <v>150.28334153143882</v>
      </c>
      <c r="N5" s="17">
        <f t="shared" si="2"/>
        <v>153.5263118068838</v>
      </c>
      <c r="O5" s="17">
        <f t="shared" si="2"/>
        <v>156.63994519567976</v>
      </c>
      <c r="P5" s="17">
        <f t="shared" si="2"/>
        <v>160.15025638299369</v>
      </c>
      <c r="Q5" s="17">
        <f t="shared" si="2"/>
        <v>163.99320985741724</v>
      </c>
      <c r="R5" s="17">
        <f t="shared" si="2"/>
        <v>167.26888502277691</v>
      </c>
      <c r="S5" s="17">
        <f t="shared" si="2"/>
        <v>170.64930213225284</v>
      </c>
      <c r="T5" s="17">
        <f t="shared" si="2"/>
        <v>174.3102301753666</v>
      </c>
      <c r="U5" s="17">
        <f t="shared" si="2"/>
        <v>178.7246780770223</v>
      </c>
      <c r="V5" s="17">
        <f t="shared" si="2"/>
        <v>182.67202587181276</v>
      </c>
    </row>
    <row r="6" spans="1:23" x14ac:dyDescent="0.3">
      <c r="A6" s="85" t="s">
        <v>118</v>
      </c>
      <c r="B6" s="16">
        <f>SUM(B2)</f>
        <v>0</v>
      </c>
      <c r="C6" s="16">
        <f t="shared" ref="C6:V6" si="3">SUM(C2)</f>
        <v>24.812840273461759</v>
      </c>
      <c r="D6" s="16">
        <f t="shared" si="3"/>
        <v>24.197469428259769</v>
      </c>
      <c r="E6" s="16">
        <f t="shared" si="3"/>
        <v>23.597360087704214</v>
      </c>
      <c r="F6" s="16">
        <f t="shared" si="3"/>
        <v>23.012133758849107</v>
      </c>
      <c r="G6" s="16">
        <f t="shared" si="3"/>
        <v>22.441421335562769</v>
      </c>
      <c r="H6" s="16">
        <f t="shared" si="3"/>
        <v>21.884862865730145</v>
      </c>
      <c r="I6" s="16">
        <f t="shared" si="3"/>
        <v>21.342107324228607</v>
      </c>
      <c r="J6" s="16">
        <f t="shared" si="3"/>
        <v>20.812812391534074</v>
      </c>
      <c r="K6" s="16">
        <f t="shared" si="3"/>
        <v>20.296644237817834</v>
      </c>
      <c r="L6" s="16">
        <f t="shared" si="3"/>
        <v>19.793277312397834</v>
      </c>
      <c r="M6" s="16">
        <f t="shared" si="3"/>
        <v>19.302394138411707</v>
      </c>
      <c r="N6" s="16">
        <f t="shared" si="3"/>
        <v>18.82368511258203</v>
      </c>
      <c r="O6" s="16">
        <f t="shared" si="3"/>
        <v>18.356848309947438</v>
      </c>
      <c r="P6" s="16">
        <f t="shared" si="3"/>
        <v>17.901589293436583</v>
      </c>
      <c r="Q6" s="16">
        <f t="shared" si="3"/>
        <v>17.457620928164708</v>
      </c>
      <c r="R6" s="16">
        <f t="shared" si="3"/>
        <v>17.024663200335759</v>
      </c>
      <c r="S6" s="16">
        <f t="shared" si="3"/>
        <v>16.602443040635833</v>
      </c>
      <c r="T6" s="16">
        <f t="shared" si="3"/>
        <v>16.190694152006543</v>
      </c>
      <c r="U6" s="16">
        <f t="shared" si="3"/>
        <v>15.789156841689703</v>
      </c>
      <c r="V6" s="16">
        <f t="shared" si="3"/>
        <v>15.397577857437376</v>
      </c>
    </row>
    <row r="7" spans="1:23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3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</row>
    <row r="9" spans="1:23" x14ac:dyDescent="0.3">
      <c r="A9" s="114" t="s">
        <v>49</v>
      </c>
      <c r="B9" s="115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</row>
    <row r="10" spans="1:23" x14ac:dyDescent="0.3">
      <c r="A10" s="115" t="s">
        <v>38</v>
      </c>
      <c r="B10" s="115">
        <f>-SUM(C11:V11)</f>
        <v>5401.5068493150684</v>
      </c>
      <c r="C10" s="115" t="s">
        <v>35</v>
      </c>
      <c r="D10" s="115" t="s">
        <v>35</v>
      </c>
      <c r="E10" s="115" t="s">
        <v>35</v>
      </c>
      <c r="F10" s="115" t="s">
        <v>35</v>
      </c>
      <c r="G10" s="115" t="s">
        <v>35</v>
      </c>
      <c r="H10" s="115" t="s">
        <v>35</v>
      </c>
      <c r="I10" s="115" t="s">
        <v>35</v>
      </c>
      <c r="J10" s="115" t="s">
        <v>35</v>
      </c>
      <c r="K10" s="115" t="s">
        <v>35</v>
      </c>
      <c r="L10" s="115" t="s">
        <v>35</v>
      </c>
      <c r="M10" s="115" t="s">
        <v>35</v>
      </c>
      <c r="N10" s="115" t="s">
        <v>35</v>
      </c>
      <c r="O10" s="115" t="s">
        <v>35</v>
      </c>
      <c r="P10" s="115" t="s">
        <v>35</v>
      </c>
      <c r="Q10" s="115" t="s">
        <v>35</v>
      </c>
      <c r="R10" s="115" t="s">
        <v>35</v>
      </c>
      <c r="S10" s="115" t="s">
        <v>35</v>
      </c>
      <c r="T10" s="115" t="s">
        <v>35</v>
      </c>
      <c r="U10" s="115" t="s">
        <v>35</v>
      </c>
      <c r="V10" s="115" t="s">
        <v>35</v>
      </c>
    </row>
    <row r="11" spans="1:23" x14ac:dyDescent="0.3">
      <c r="A11" s="115" t="s">
        <v>2</v>
      </c>
      <c r="B11" s="115"/>
      <c r="C11" s="115">
        <v>0</v>
      </c>
      <c r="D11" s="115">
        <v>0</v>
      </c>
      <c r="E11" s="115">
        <v>0</v>
      </c>
      <c r="F11" s="115">
        <v>-317.73569701853341</v>
      </c>
      <c r="G11" s="115">
        <v>-317.73569701853341</v>
      </c>
      <c r="H11" s="115">
        <v>-317.73569701853341</v>
      </c>
      <c r="I11" s="115">
        <v>-317.73569701853341</v>
      </c>
      <c r="J11" s="115">
        <v>-317.73569701853341</v>
      </c>
      <c r="K11" s="115">
        <v>-317.73569701853341</v>
      </c>
      <c r="L11" s="115">
        <v>-317.73569701853341</v>
      </c>
      <c r="M11" s="115">
        <v>-317.73569701853341</v>
      </c>
      <c r="N11" s="115">
        <v>-317.73569701853341</v>
      </c>
      <c r="O11" s="115">
        <v>-317.73569701853341</v>
      </c>
      <c r="P11" s="115">
        <v>-317.73569701853341</v>
      </c>
      <c r="Q11" s="115">
        <v>-317.73569701853341</v>
      </c>
      <c r="R11" s="115">
        <v>-317.73569701853341</v>
      </c>
      <c r="S11" s="115">
        <v>-317.73569701853341</v>
      </c>
      <c r="T11" s="115">
        <v>-317.73569701853341</v>
      </c>
      <c r="U11" s="115">
        <v>-317.73569701853341</v>
      </c>
      <c r="V11" s="115">
        <v>-317.73569701853341</v>
      </c>
      <c r="W11" s="14"/>
    </row>
    <row r="12" spans="1:23" x14ac:dyDescent="0.3">
      <c r="A12" s="115" t="s">
        <v>39</v>
      </c>
      <c r="B12" s="115"/>
      <c r="C12" s="115">
        <v>-290.60106849315071</v>
      </c>
      <c r="D12" s="115">
        <v>-290.60106849315071</v>
      </c>
      <c r="E12" s="115">
        <v>-290.60106849315071</v>
      </c>
      <c r="F12" s="115">
        <v>-284.19075080580183</v>
      </c>
      <c r="G12" s="115">
        <v>-267.0965703062048</v>
      </c>
      <c r="H12" s="115">
        <v>-250.00238980660777</v>
      </c>
      <c r="I12" s="115">
        <v>-232.90820930701074</v>
      </c>
      <c r="J12" s="115">
        <v>-215.81402880741371</v>
      </c>
      <c r="K12" s="115">
        <v>-198.71984830781656</v>
      </c>
      <c r="L12" s="115">
        <v>-181.62566780821945</v>
      </c>
      <c r="M12" s="115">
        <v>-164.53148730862233</v>
      </c>
      <c r="N12" s="115">
        <v>-147.43730680902524</v>
      </c>
      <c r="O12" s="115">
        <v>-130.3431263094281</v>
      </c>
      <c r="P12" s="115">
        <v>-113.24894580983099</v>
      </c>
      <c r="Q12" s="115">
        <v>-96.15476531023387</v>
      </c>
      <c r="R12" s="115">
        <v>-79.060584810636755</v>
      </c>
      <c r="S12" s="115">
        <v>-61.966404311039646</v>
      </c>
      <c r="T12" s="115">
        <v>-44.872223811442538</v>
      </c>
      <c r="U12" s="115">
        <v>-27.778043311845451</v>
      </c>
      <c r="V12" s="115">
        <v>-10.683862812248357</v>
      </c>
      <c r="W12" s="14"/>
    </row>
    <row r="13" spans="1:23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4"/>
    </row>
    <row r="14" spans="1:23" x14ac:dyDescent="0.3">
      <c r="A14" s="99" t="s">
        <v>124</v>
      </c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14"/>
    </row>
    <row r="15" spans="1:23" x14ac:dyDescent="0.3">
      <c r="A15" s="100" t="s">
        <v>38</v>
      </c>
      <c r="B15" s="94"/>
      <c r="C15" s="94">
        <f t="shared" ref="C15:V15" si="4">-IF(SUM(C6,C34,C17,C21)+B42&lt;0,SUM(C6,C34,C17,C21)+B42,0)</f>
        <v>0</v>
      </c>
      <c r="D15" s="94">
        <f t="shared" si="4"/>
        <v>0</v>
      </c>
      <c r="E15" s="94">
        <f t="shared" si="4"/>
        <v>0</v>
      </c>
      <c r="F15" s="94">
        <f t="shared" si="4"/>
        <v>0</v>
      </c>
      <c r="G15" s="94">
        <f t="shared" si="4"/>
        <v>0</v>
      </c>
      <c r="H15" s="94">
        <f t="shared" si="4"/>
        <v>0</v>
      </c>
      <c r="I15" s="94">
        <f t="shared" si="4"/>
        <v>0</v>
      </c>
      <c r="J15" s="94">
        <f t="shared" si="4"/>
        <v>0</v>
      </c>
      <c r="K15" s="94">
        <f t="shared" si="4"/>
        <v>0</v>
      </c>
      <c r="L15" s="94">
        <f t="shared" si="4"/>
        <v>0</v>
      </c>
      <c r="M15" s="94">
        <f t="shared" si="4"/>
        <v>0</v>
      </c>
      <c r="N15" s="94">
        <f t="shared" si="4"/>
        <v>0</v>
      </c>
      <c r="O15" s="94">
        <f t="shared" si="4"/>
        <v>0</v>
      </c>
      <c r="P15" s="94">
        <f t="shared" si="4"/>
        <v>0</v>
      </c>
      <c r="Q15" s="94">
        <f t="shared" si="4"/>
        <v>0</v>
      </c>
      <c r="R15" s="94">
        <f t="shared" si="4"/>
        <v>0</v>
      </c>
      <c r="S15" s="94">
        <f t="shared" si="4"/>
        <v>0</v>
      </c>
      <c r="T15" s="94">
        <f t="shared" si="4"/>
        <v>0</v>
      </c>
      <c r="U15" s="94">
        <f t="shared" si="4"/>
        <v>0</v>
      </c>
      <c r="V15" s="94">
        <f t="shared" si="4"/>
        <v>0</v>
      </c>
      <c r="W15" s="14"/>
    </row>
    <row r="16" spans="1:23" x14ac:dyDescent="0.3">
      <c r="A16" s="100" t="s">
        <v>2</v>
      </c>
      <c r="B16" s="94"/>
      <c r="C16" s="94">
        <f>IF(-SUM(C6,C17,C34)+B41&lt;0,0,-IF(+B41&lt;0,IF(C15=0,IF(SUM(C6,C17,C34)+B41&gt;0,(SUM(C6,C17,C34)+B41),0),0),0))</f>
        <v>0</v>
      </c>
      <c r="D16" s="94">
        <f t="shared" ref="D16:V16" si="5">IF(-SUM(D6,D17,D34)+C41&lt;0,0,-IF(+C41&lt;0,IF(D15=0,IF(SUM(D6,D17,D34)+C41&gt;0,(SUM(D6,D17,D34)+C41),0),0),0))</f>
        <v>0</v>
      </c>
      <c r="E16" s="94">
        <f t="shared" si="5"/>
        <v>0</v>
      </c>
      <c r="F16" s="94">
        <f t="shared" si="5"/>
        <v>0</v>
      </c>
      <c r="G16" s="94">
        <f t="shared" si="5"/>
        <v>0</v>
      </c>
      <c r="H16" s="94">
        <f t="shared" si="5"/>
        <v>0</v>
      </c>
      <c r="I16" s="94">
        <f t="shared" si="5"/>
        <v>0</v>
      </c>
      <c r="J16" s="94">
        <f t="shared" si="5"/>
        <v>0</v>
      </c>
      <c r="K16" s="94">
        <f t="shared" si="5"/>
        <v>0</v>
      </c>
      <c r="L16" s="94">
        <f t="shared" si="5"/>
        <v>0</v>
      </c>
      <c r="M16" s="94">
        <f t="shared" si="5"/>
        <v>0</v>
      </c>
      <c r="N16" s="94">
        <f t="shared" si="5"/>
        <v>0</v>
      </c>
      <c r="O16" s="94">
        <f t="shared" si="5"/>
        <v>0</v>
      </c>
      <c r="P16" s="94">
        <f t="shared" si="5"/>
        <v>0</v>
      </c>
      <c r="Q16" s="94">
        <f t="shared" si="5"/>
        <v>0</v>
      </c>
      <c r="R16" s="94">
        <f t="shared" si="5"/>
        <v>0</v>
      </c>
      <c r="S16" s="94">
        <f t="shared" si="5"/>
        <v>0</v>
      </c>
      <c r="T16" s="94">
        <f t="shared" si="5"/>
        <v>0</v>
      </c>
      <c r="U16" s="94">
        <f t="shared" si="5"/>
        <v>0</v>
      </c>
      <c r="V16" s="94">
        <f t="shared" si="5"/>
        <v>0</v>
      </c>
      <c r="W16" s="14"/>
    </row>
    <row r="17" spans="1:23" x14ac:dyDescent="0.3">
      <c r="A17" s="100" t="s">
        <v>39</v>
      </c>
      <c r="B17" s="94"/>
      <c r="C17" s="94">
        <f t="shared" ref="C17:V17" si="6">B42*Fremdkapitalzins</f>
        <v>0</v>
      </c>
      <c r="D17" s="94">
        <f t="shared" si="6"/>
        <v>0</v>
      </c>
      <c r="E17" s="94">
        <f t="shared" si="6"/>
        <v>0</v>
      </c>
      <c r="F17" s="94">
        <f t="shared" si="6"/>
        <v>0</v>
      </c>
      <c r="G17" s="94">
        <f t="shared" si="6"/>
        <v>0</v>
      </c>
      <c r="H17" s="94">
        <f t="shared" si="6"/>
        <v>0</v>
      </c>
      <c r="I17" s="94">
        <f t="shared" si="6"/>
        <v>0</v>
      </c>
      <c r="J17" s="94">
        <f t="shared" si="6"/>
        <v>0</v>
      </c>
      <c r="K17" s="94">
        <f t="shared" si="6"/>
        <v>0</v>
      </c>
      <c r="L17" s="94">
        <f t="shared" si="6"/>
        <v>0</v>
      </c>
      <c r="M17" s="94">
        <f t="shared" si="6"/>
        <v>0</v>
      </c>
      <c r="N17" s="94">
        <f t="shared" si="6"/>
        <v>0</v>
      </c>
      <c r="O17" s="94">
        <f t="shared" si="6"/>
        <v>0</v>
      </c>
      <c r="P17" s="94">
        <f t="shared" si="6"/>
        <v>0</v>
      </c>
      <c r="Q17" s="94">
        <f t="shared" si="6"/>
        <v>0</v>
      </c>
      <c r="R17" s="94">
        <f t="shared" si="6"/>
        <v>0</v>
      </c>
      <c r="S17" s="94">
        <f t="shared" si="6"/>
        <v>0</v>
      </c>
      <c r="T17" s="94">
        <f t="shared" si="6"/>
        <v>0</v>
      </c>
      <c r="U17" s="94">
        <f t="shared" si="6"/>
        <v>0</v>
      </c>
      <c r="V17" s="94">
        <f t="shared" si="6"/>
        <v>0</v>
      </c>
      <c r="W17" s="14"/>
    </row>
    <row r="18" spans="1:23" x14ac:dyDescent="0.3">
      <c r="A18" s="100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14"/>
    </row>
    <row r="19" spans="1:23" x14ac:dyDescent="0.3">
      <c r="A19" s="99" t="s">
        <v>125</v>
      </c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14"/>
    </row>
    <row r="20" spans="1:23" x14ac:dyDescent="0.3">
      <c r="A20" s="100" t="s">
        <v>126</v>
      </c>
      <c r="B20" s="94"/>
      <c r="C20" s="94">
        <f t="shared" ref="C20:V20" si="7">IF(AND(C6+C34+C21&gt;0,B42&lt;=0),-(C6+C34+C21),IF(AND(C6+C34+C21&gt;0,B42&gt;0,C6+C34+C21&gt;B42),-((C6+C34+C21)-B42),0))</f>
        <v>-24.812840273461759</v>
      </c>
      <c r="D20" s="94">
        <f t="shared" si="7"/>
        <v>-24.619287712908619</v>
      </c>
      <c r="E20" s="94">
        <f t="shared" si="7"/>
        <v>-24.43770626347251</v>
      </c>
      <c r="F20" s="94">
        <f t="shared" si="7"/>
        <v>-24.267920941096435</v>
      </c>
      <c r="G20" s="94">
        <f t="shared" si="7"/>
        <v>-24.109763173808737</v>
      </c>
      <c r="H20" s="94">
        <f t="shared" si="7"/>
        <v>-23.963070677930862</v>
      </c>
      <c r="I20" s="94">
        <f t="shared" si="7"/>
        <v>-23.827687337954149</v>
      </c>
      <c r="J20" s="94">
        <f t="shared" si="7"/>
        <v>-23.703463090004835</v>
      </c>
      <c r="K20" s="94">
        <f t="shared" si="7"/>
        <v>-23.59025380881868</v>
      </c>
      <c r="L20" s="94">
        <f t="shared" si="7"/>
        <v>-23.487921198148598</v>
      </c>
      <c r="M20" s="94">
        <f t="shared" si="7"/>
        <v>-23.396332684530996</v>
      </c>
      <c r="N20" s="94">
        <f t="shared" si="7"/>
        <v>-23.315361314338347</v>
      </c>
      <c r="O20" s="94">
        <f t="shared" si="7"/>
        <v>-23.244885654047508</v>
      </c>
      <c r="P20" s="94">
        <f t="shared" si="7"/>
        <v>-23.18478969365546</v>
      </c>
      <c r="Q20" s="94">
        <f t="shared" si="7"/>
        <v>-23.134962753175728</v>
      </c>
      <c r="R20" s="94">
        <f t="shared" si="7"/>
        <v>-23.095299392150764</v>
      </c>
      <c r="S20" s="94">
        <f t="shared" si="7"/>
        <v>-23.065699322117403</v>
      </c>
      <c r="T20" s="94">
        <f t="shared" si="7"/>
        <v>-23.046067321964106</v>
      </c>
      <c r="U20" s="94">
        <f t="shared" si="7"/>
        <v>-23.036313156120656</v>
      </c>
      <c r="V20" s="94">
        <f t="shared" si="7"/>
        <v>-23.036351495522382</v>
      </c>
      <c r="W20" s="14"/>
    </row>
    <row r="21" spans="1:23" x14ac:dyDescent="0.3">
      <c r="A21" s="101" t="s">
        <v>127</v>
      </c>
      <c r="B21" s="94"/>
      <c r="C21" s="94">
        <f t="shared" ref="C21:V21" si="8">IF(B41&gt;=1,B41*Festgeld,0)</f>
        <v>0</v>
      </c>
      <c r="D21" s="94">
        <f t="shared" si="8"/>
        <v>0.42181828464884996</v>
      </c>
      <c r="E21" s="94">
        <f t="shared" si="8"/>
        <v>0.8403461757682964</v>
      </c>
      <c r="F21" s="94">
        <f t="shared" si="8"/>
        <v>1.255787182247329</v>
      </c>
      <c r="G21" s="94">
        <f t="shared" si="8"/>
        <v>1.6683418382459685</v>
      </c>
      <c r="H21" s="94">
        <f t="shared" si="8"/>
        <v>2.0782078122007173</v>
      </c>
      <c r="I21" s="94">
        <f t="shared" si="8"/>
        <v>2.4855800137255417</v>
      </c>
      <c r="J21" s="94">
        <f t="shared" si="8"/>
        <v>2.8906506984707625</v>
      </c>
      <c r="K21" s="94">
        <f t="shared" si="8"/>
        <v>3.2936095710008448</v>
      </c>
      <c r="L21" s="94">
        <f t="shared" si="8"/>
        <v>3.6946438857507626</v>
      </c>
      <c r="M21" s="94">
        <f t="shared" si="8"/>
        <v>4.093938546119289</v>
      </c>
      <c r="N21" s="94">
        <f t="shared" si="8"/>
        <v>4.4916762017563157</v>
      </c>
      <c r="O21" s="94">
        <f t="shared" si="8"/>
        <v>4.8880373441000682</v>
      </c>
      <c r="P21" s="94">
        <f t="shared" si="8"/>
        <v>5.2832004002188757</v>
      </c>
      <c r="Q21" s="94">
        <f t="shared" si="8"/>
        <v>5.6773418250110179</v>
      </c>
      <c r="R21" s="94">
        <f t="shared" si="8"/>
        <v>6.0706361918150051</v>
      </c>
      <c r="S21" s="94">
        <f t="shared" si="8"/>
        <v>6.4632562814815682</v>
      </c>
      <c r="T21" s="94">
        <f t="shared" si="8"/>
        <v>6.8553731699575637</v>
      </c>
      <c r="U21" s="94">
        <f t="shared" si="8"/>
        <v>7.2471563144309536</v>
      </c>
      <c r="V21" s="94">
        <f t="shared" si="8"/>
        <v>7.6387736380850049</v>
      </c>
      <c r="W21" s="14"/>
    </row>
    <row r="22" spans="1:23" x14ac:dyDescent="0.3">
      <c r="A22" s="100" t="s">
        <v>128</v>
      </c>
      <c r="B22" s="94"/>
      <c r="C22" s="94">
        <f>IF(AND(C6+C34+C17+C21&lt;0,B41&gt;=0,C6+C34+C17+C21&gt;(-B41)),-(C6+C34+C17+C21),IF(AND(C6+C34+C17+C21&lt;0,B41&gt;=0,C6+C34+C17+C21&lt;(-B41)),B41,0))</f>
        <v>0</v>
      </c>
      <c r="D22" s="94">
        <f t="shared" ref="D22:V22" si="9">IF(AND(D6+D34+D17+D21&lt;0,C41&gt;=0,D6+D34+D17+D21&gt;(-C41)),-(D6+D34+D17+D21),IF(AND(D6+D34+D17+D21&lt;0,C41&gt;=0,D6+D34+D17+D21&lt;(-C41)),C41,0))</f>
        <v>0</v>
      </c>
      <c r="E22" s="94">
        <f t="shared" si="9"/>
        <v>0</v>
      </c>
      <c r="F22" s="94">
        <f t="shared" si="9"/>
        <v>0</v>
      </c>
      <c r="G22" s="94">
        <f t="shared" si="9"/>
        <v>0</v>
      </c>
      <c r="H22" s="94">
        <f t="shared" si="9"/>
        <v>0</v>
      </c>
      <c r="I22" s="94">
        <f t="shared" si="9"/>
        <v>0</v>
      </c>
      <c r="J22" s="94">
        <f t="shared" si="9"/>
        <v>0</v>
      </c>
      <c r="K22" s="94">
        <f t="shared" si="9"/>
        <v>0</v>
      </c>
      <c r="L22" s="94">
        <f t="shared" si="9"/>
        <v>0</v>
      </c>
      <c r="M22" s="94">
        <f t="shared" si="9"/>
        <v>0</v>
      </c>
      <c r="N22" s="94">
        <f t="shared" si="9"/>
        <v>0</v>
      </c>
      <c r="O22" s="94">
        <f t="shared" si="9"/>
        <v>0</v>
      </c>
      <c r="P22" s="94">
        <f t="shared" si="9"/>
        <v>0</v>
      </c>
      <c r="Q22" s="94">
        <f t="shared" si="9"/>
        <v>0</v>
      </c>
      <c r="R22" s="94">
        <f t="shared" si="9"/>
        <v>0</v>
      </c>
      <c r="S22" s="94">
        <f t="shared" si="9"/>
        <v>0</v>
      </c>
      <c r="T22" s="94">
        <f t="shared" si="9"/>
        <v>0</v>
      </c>
      <c r="U22" s="94">
        <f t="shared" si="9"/>
        <v>0</v>
      </c>
      <c r="V22" s="94">
        <f t="shared" si="9"/>
        <v>0</v>
      </c>
      <c r="W22" s="14"/>
    </row>
    <row r="23" spans="1:23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4"/>
    </row>
    <row r="24" spans="1:23" x14ac:dyDescent="0.3">
      <c r="A24" s="102" t="s">
        <v>124</v>
      </c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4"/>
    </row>
    <row r="25" spans="1:23" x14ac:dyDescent="0.3">
      <c r="A25" s="104" t="s">
        <v>38</v>
      </c>
      <c r="B25" s="103">
        <v>0</v>
      </c>
      <c r="C25" s="103">
        <f>-IF(SUM(C5,C35,C11,C12,C27,C31)+B46&lt;0,SUM(C5,C35,C11,C12,C27,C31)+B46,0)</f>
        <v>941.40653942430197</v>
      </c>
      <c r="D25" s="103">
        <f t="shared" ref="D25:V25" si="10">-IF(SUM(D5,D35,D11,D12,D27,D31)+C46&lt;0,SUM(D5,D35,D11,D12,D27,D31)+C46,0)</f>
        <v>926.51210705747417</v>
      </c>
      <c r="E25" s="103">
        <f t="shared" si="10"/>
        <v>921.53177536191242</v>
      </c>
      <c r="F25" s="103">
        <f t="shared" si="10"/>
        <v>1226.2025389727655</v>
      </c>
      <c r="G25" s="103">
        <f t="shared" si="10"/>
        <v>1203.5387714654883</v>
      </c>
      <c r="H25" s="103">
        <f t="shared" si="10"/>
        <v>1189.359321139699</v>
      </c>
      <c r="I25" s="103">
        <f t="shared" si="10"/>
        <v>1172.199697247499</v>
      </c>
      <c r="J25" s="103">
        <f t="shared" si="10"/>
        <v>1152.0002215820896</v>
      </c>
      <c r="K25" s="103">
        <f t="shared" si="10"/>
        <v>1116.1367146740799</v>
      </c>
      <c r="L25" s="103">
        <f t="shared" si="10"/>
        <v>2899.2283805831735</v>
      </c>
      <c r="M25" s="103">
        <f t="shared" si="10"/>
        <v>1141.0530193517723</v>
      </c>
      <c r="N25" s="103">
        <f t="shared" si="10"/>
        <v>1094.81503824942</v>
      </c>
      <c r="O25" s="103">
        <f t="shared" si="10"/>
        <v>1057.6157524917896</v>
      </c>
      <c r="P25" s="103">
        <f t="shared" si="10"/>
        <v>1017.1847572909304</v>
      </c>
      <c r="Q25" s="103">
        <f t="shared" si="10"/>
        <v>973.58550481772818</v>
      </c>
      <c r="R25" s="103">
        <f t="shared" si="10"/>
        <v>927.58741321267985</v>
      </c>
      <c r="S25" s="103">
        <f t="shared" si="10"/>
        <v>891.09592263480954</v>
      </c>
      <c r="T25" s="103">
        <f t="shared" si="10"/>
        <v>839.69586340264004</v>
      </c>
      <c r="U25" s="103">
        <f t="shared" si="10"/>
        <v>784.85984131065311</v>
      </c>
      <c r="V25" s="103">
        <f t="shared" si="10"/>
        <v>727.61044247378231</v>
      </c>
      <c r="W25" s="14"/>
    </row>
    <row r="26" spans="1:23" x14ac:dyDescent="0.3">
      <c r="A26" s="104" t="s">
        <v>2</v>
      </c>
      <c r="B26" s="103"/>
      <c r="C26" s="103">
        <f>IF(-SUM(C11:C12,C5,C35,C27)+B46&lt;0,0,-IF(B47&lt;0,IF(C25=0,IF(SUM(C11:C12,C5,C35,C27)+B46&gt;0,(SUM(C11:C12,C5,C35,C27)+B47),0),0),0))</f>
        <v>0</v>
      </c>
      <c r="D26" s="103">
        <f t="shared" ref="D26:U26" si="11">IF(-SUM(D11:D12,D5,D35,D27)+C46&lt;0,0,-IF(C47&lt;0,IF(D25=0,IF(SUM(D11:D12,D5,D35,D27)+C46&gt;0,(SUM(D11:D12,D5,D35,D27)+C47),0),0),0))</f>
        <v>0</v>
      </c>
      <c r="E26" s="103">
        <f t="shared" si="11"/>
        <v>0</v>
      </c>
      <c r="F26" s="103">
        <f t="shared" si="11"/>
        <v>0</v>
      </c>
      <c r="G26" s="103">
        <f t="shared" si="11"/>
        <v>0</v>
      </c>
      <c r="H26" s="103">
        <f t="shared" si="11"/>
        <v>0</v>
      </c>
      <c r="I26" s="103">
        <f t="shared" si="11"/>
        <v>0</v>
      </c>
      <c r="J26" s="103">
        <f t="shared" si="11"/>
        <v>0</v>
      </c>
      <c r="K26" s="103">
        <f t="shared" si="11"/>
        <v>0</v>
      </c>
      <c r="L26" s="103">
        <f t="shared" si="11"/>
        <v>0</v>
      </c>
      <c r="M26" s="103">
        <f t="shared" si="11"/>
        <v>0</v>
      </c>
      <c r="N26" s="103">
        <f t="shared" si="11"/>
        <v>0</v>
      </c>
      <c r="O26" s="103">
        <f t="shared" si="11"/>
        <v>0</v>
      </c>
      <c r="P26" s="103">
        <f t="shared" si="11"/>
        <v>0</v>
      </c>
      <c r="Q26" s="103">
        <f t="shared" si="11"/>
        <v>0</v>
      </c>
      <c r="R26" s="103">
        <f t="shared" si="11"/>
        <v>0</v>
      </c>
      <c r="S26" s="103">
        <f t="shared" si="11"/>
        <v>0</v>
      </c>
      <c r="T26" s="103">
        <f t="shared" si="11"/>
        <v>0</v>
      </c>
      <c r="U26" s="103">
        <f t="shared" si="11"/>
        <v>0</v>
      </c>
      <c r="V26" s="103">
        <f>IF(-SUM(V11:V12,V5,V35,V27)+U46&lt;0,0,-IF(U47&lt;0,IF(V25=0,IF(SUM(V11:V12,V5,V35,V27)+U46&gt;0,(SUM(V11:V12,V5,V35,V27)+U47),0),0),0))</f>
        <v>0</v>
      </c>
      <c r="W26" s="14"/>
    </row>
    <row r="27" spans="1:23" x14ac:dyDescent="0.3">
      <c r="A27" s="104" t="s">
        <v>39</v>
      </c>
      <c r="B27" s="103"/>
      <c r="C27" s="103">
        <f t="shared" ref="C27:V27" si="12">B47*Fremdkapitalzins</f>
        <v>0</v>
      </c>
      <c r="D27" s="103">
        <f t="shared" si="12"/>
        <v>-50.647671821027444</v>
      </c>
      <c r="E27" s="103">
        <f t="shared" si="12"/>
        <v>-97.769178436748291</v>
      </c>
      <c r="F27" s="103">
        <f t="shared" si="12"/>
        <v>-142.08760615132212</v>
      </c>
      <c r="G27" s="103">
        <f t="shared" si="12"/>
        <v>-200.41298953711575</v>
      </c>
      <c r="H27" s="103">
        <f t="shared" si="12"/>
        <v>-254.38115660486216</v>
      </c>
      <c r="I27" s="103">
        <f t="shared" si="12"/>
        <v>-304.68298185683636</v>
      </c>
      <c r="J27" s="103">
        <f t="shared" si="12"/>
        <v>-351.35538114485399</v>
      </c>
      <c r="K27" s="103">
        <f t="shared" si="12"/>
        <v>-394.43007356037731</v>
      </c>
      <c r="L27" s="103">
        <f t="shared" si="12"/>
        <v>-433.25789085229451</v>
      </c>
      <c r="M27" s="103">
        <f t="shared" si="12"/>
        <v>-565.92710319981586</v>
      </c>
      <c r="N27" s="103">
        <f t="shared" si="12"/>
        <v>-596.8688774887911</v>
      </c>
      <c r="O27" s="103">
        <f t="shared" si="12"/>
        <v>-623.65838093771299</v>
      </c>
      <c r="P27" s="103">
        <f t="shared" si="12"/>
        <v>-647.00528752732225</v>
      </c>
      <c r="Q27" s="103">
        <f t="shared" si="12"/>
        <v>-666.92094300060432</v>
      </c>
      <c r="R27" s="103">
        <f t="shared" si="12"/>
        <v>-683.41949642636553</v>
      </c>
      <c r="S27" s="103">
        <f t="shared" si="12"/>
        <v>-696.55573034946917</v>
      </c>
      <c r="T27" s="103">
        <f t="shared" si="12"/>
        <v>-707.02199269442053</v>
      </c>
      <c r="U27" s="103">
        <f t="shared" si="12"/>
        <v>-714.15984693852272</v>
      </c>
      <c r="V27" s="103">
        <f t="shared" si="12"/>
        <v>-717.96350663574333</v>
      </c>
      <c r="W27" s="14"/>
    </row>
    <row r="28" spans="1:23" x14ac:dyDescent="0.3">
      <c r="A28" s="104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4"/>
    </row>
    <row r="29" spans="1:23" x14ac:dyDescent="0.3">
      <c r="A29" s="102" t="s">
        <v>125</v>
      </c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4"/>
    </row>
    <row r="30" spans="1:23" x14ac:dyDescent="0.3">
      <c r="A30" s="104" t="s">
        <v>126</v>
      </c>
      <c r="B30" s="103"/>
      <c r="C30" s="103">
        <f>IF(AND(C5+C35+C11+C12+C27+C31+C26&gt;0,B47&lt;=0),-(C5+C35+C11+C12+C27+C31+C26),IF(AND(C5+C35+C11+C12+C27+C31+C26&gt;0,B47&gt;0,C5+C35+C11+C12+C27+C31+C26&gt;B47),-((C5+C35+C11+C12+C27+C31)-B47-C26),0))</f>
        <v>0</v>
      </c>
      <c r="D30" s="103">
        <f t="shared" ref="D30:V30" si="13">IF(AND(D5+D35+D11+D12+D27+D31+D26&gt;0,C47&lt;=0),-(D5+D35+D11+D12+D27+D31+D26),IF(AND(D5+D35+D11+D12+D27+D31+D26&gt;0,C47&gt;0,D5+D35+D11+D12+D27+D31+D26&gt;C47),-((D5+D35+D11+D12+D27+D31)-C47-D26),0))</f>
        <v>0</v>
      </c>
      <c r="E30" s="103">
        <f t="shared" si="13"/>
        <v>0</v>
      </c>
      <c r="F30" s="103">
        <f t="shared" si="13"/>
        <v>0</v>
      </c>
      <c r="G30" s="103">
        <f t="shared" si="13"/>
        <v>0</v>
      </c>
      <c r="H30" s="103">
        <f t="shared" si="13"/>
        <v>0</v>
      </c>
      <c r="I30" s="103">
        <f t="shared" si="13"/>
        <v>0</v>
      </c>
      <c r="J30" s="103">
        <f t="shared" si="13"/>
        <v>0</v>
      </c>
      <c r="K30" s="103">
        <f t="shared" si="13"/>
        <v>0</v>
      </c>
      <c r="L30" s="103">
        <f t="shared" si="13"/>
        <v>0</v>
      </c>
      <c r="M30" s="103">
        <f t="shared" si="13"/>
        <v>0</v>
      </c>
      <c r="N30" s="103">
        <f t="shared" si="13"/>
        <v>0</v>
      </c>
      <c r="O30" s="103">
        <f t="shared" si="13"/>
        <v>0</v>
      </c>
      <c r="P30" s="103">
        <f t="shared" si="13"/>
        <v>0</v>
      </c>
      <c r="Q30" s="103">
        <f t="shared" si="13"/>
        <v>0</v>
      </c>
      <c r="R30" s="103">
        <f t="shared" si="13"/>
        <v>0</v>
      </c>
      <c r="S30" s="103">
        <f t="shared" si="13"/>
        <v>0</v>
      </c>
      <c r="T30" s="103">
        <f t="shared" si="13"/>
        <v>0</v>
      </c>
      <c r="U30" s="103">
        <f t="shared" si="13"/>
        <v>0</v>
      </c>
      <c r="V30" s="103">
        <f t="shared" si="13"/>
        <v>0</v>
      </c>
      <c r="W30" s="14"/>
    </row>
    <row r="31" spans="1:23" x14ac:dyDescent="0.3">
      <c r="A31" s="105" t="s">
        <v>127</v>
      </c>
      <c r="B31" s="103"/>
      <c r="C31" s="103">
        <f t="shared" ref="C31:V31" si="14">IF(B46&gt;=1,B46*Festgeld,0)</f>
        <v>0</v>
      </c>
      <c r="D31" s="103">
        <f t="shared" si="14"/>
        <v>0</v>
      </c>
      <c r="E31" s="103">
        <f t="shared" si="14"/>
        <v>0</v>
      </c>
      <c r="F31" s="103">
        <f t="shared" si="14"/>
        <v>0</v>
      </c>
      <c r="G31" s="103">
        <f t="shared" si="14"/>
        <v>0</v>
      </c>
      <c r="H31" s="103">
        <f t="shared" si="14"/>
        <v>0</v>
      </c>
      <c r="I31" s="103">
        <f t="shared" si="14"/>
        <v>0</v>
      </c>
      <c r="J31" s="103">
        <f t="shared" si="14"/>
        <v>0</v>
      </c>
      <c r="K31" s="103">
        <f t="shared" si="14"/>
        <v>0</v>
      </c>
      <c r="L31" s="103">
        <f t="shared" si="14"/>
        <v>0</v>
      </c>
      <c r="M31" s="103">
        <f t="shared" si="14"/>
        <v>0</v>
      </c>
      <c r="N31" s="103">
        <f t="shared" si="14"/>
        <v>0</v>
      </c>
      <c r="O31" s="103">
        <f t="shared" si="14"/>
        <v>0</v>
      </c>
      <c r="P31" s="103">
        <f t="shared" si="14"/>
        <v>0</v>
      </c>
      <c r="Q31" s="103">
        <f t="shared" si="14"/>
        <v>0</v>
      </c>
      <c r="R31" s="103">
        <f t="shared" si="14"/>
        <v>0</v>
      </c>
      <c r="S31" s="103">
        <f t="shared" si="14"/>
        <v>0</v>
      </c>
      <c r="T31" s="103">
        <f t="shared" si="14"/>
        <v>0</v>
      </c>
      <c r="U31" s="103">
        <f t="shared" si="14"/>
        <v>0</v>
      </c>
      <c r="V31" s="103">
        <f t="shared" si="14"/>
        <v>0</v>
      </c>
      <c r="W31" s="14"/>
    </row>
    <row r="32" spans="1:23" x14ac:dyDescent="0.3">
      <c r="A32" s="104" t="s">
        <v>128</v>
      </c>
      <c r="B32" s="103"/>
      <c r="C32" s="103">
        <f>IF(AND(C5+C35+C11+C12+C27+C31&lt;0,B46&gt;=0,C5+C35+C11+C12+C27+C31&gt;(-B46)),-(C5+C35+C11+C12+C27+C31),IF(AND(C5+C35+C11+C12+C27+C31&lt;0,B46&gt;=0,C5+C35+C11+C12+C27+C31&lt;(-B46)),B46,0))</f>
        <v>0</v>
      </c>
      <c r="D32" s="103">
        <f t="shared" ref="D32:V32" si="15">IF(AND(D5+D35+D11+D12+D27+D31&lt;0,C46&gt;=0,D5+D35+D11+D12+D27+D31&gt;(-C46)),-(D5+D35+D11+D12+D27+D31),IF(AND(D5+D35+D11+D12+D27+D31&lt;0,C46&gt;=0,D5+D35+D11+D12+D27+D31&lt;(-C46)),C46,0))</f>
        <v>0</v>
      </c>
      <c r="E32" s="103">
        <f t="shared" si="15"/>
        <v>0</v>
      </c>
      <c r="F32" s="103">
        <f t="shared" si="15"/>
        <v>0</v>
      </c>
      <c r="G32" s="103">
        <f t="shared" si="15"/>
        <v>0</v>
      </c>
      <c r="H32" s="103">
        <f t="shared" si="15"/>
        <v>0</v>
      </c>
      <c r="I32" s="103">
        <f t="shared" si="15"/>
        <v>0</v>
      </c>
      <c r="J32" s="103">
        <f t="shared" si="15"/>
        <v>0</v>
      </c>
      <c r="K32" s="103">
        <f t="shared" si="15"/>
        <v>0</v>
      </c>
      <c r="L32" s="103">
        <f t="shared" si="15"/>
        <v>0</v>
      </c>
      <c r="M32" s="103">
        <f t="shared" si="15"/>
        <v>0</v>
      </c>
      <c r="N32" s="103">
        <f t="shared" si="15"/>
        <v>0</v>
      </c>
      <c r="O32" s="103">
        <f t="shared" si="15"/>
        <v>0</v>
      </c>
      <c r="P32" s="103">
        <f t="shared" si="15"/>
        <v>0</v>
      </c>
      <c r="Q32" s="103">
        <f t="shared" si="15"/>
        <v>0</v>
      </c>
      <c r="R32" s="103">
        <f t="shared" si="15"/>
        <v>0</v>
      </c>
      <c r="S32" s="103">
        <f t="shared" si="15"/>
        <v>0</v>
      </c>
      <c r="T32" s="103">
        <f t="shared" si="15"/>
        <v>0</v>
      </c>
      <c r="U32" s="103">
        <f t="shared" si="15"/>
        <v>0</v>
      </c>
      <c r="V32" s="103">
        <f t="shared" si="15"/>
        <v>0</v>
      </c>
    </row>
    <row r="33" spans="1:22" x14ac:dyDescent="0.3">
      <c r="A33" s="104"/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103"/>
      <c r="V33" s="103"/>
    </row>
    <row r="34" spans="1:22" x14ac:dyDescent="0.3">
      <c r="A34" s="99" t="s">
        <v>131</v>
      </c>
      <c r="B34" s="94"/>
      <c r="C34" s="94">
        <f>B136</f>
        <v>0</v>
      </c>
      <c r="D34" s="94">
        <f t="shared" ref="D34:V34" si="16">C136</f>
        <v>0</v>
      </c>
      <c r="E34" s="94">
        <f t="shared" si="16"/>
        <v>0</v>
      </c>
      <c r="F34" s="94">
        <f t="shared" si="16"/>
        <v>0</v>
      </c>
      <c r="G34" s="94">
        <f t="shared" si="16"/>
        <v>0</v>
      </c>
      <c r="H34" s="94">
        <f t="shared" si="16"/>
        <v>0</v>
      </c>
      <c r="I34" s="94">
        <f t="shared" si="16"/>
        <v>0</v>
      </c>
      <c r="J34" s="94">
        <f t="shared" si="16"/>
        <v>0</v>
      </c>
      <c r="K34" s="94">
        <f t="shared" si="16"/>
        <v>0</v>
      </c>
      <c r="L34" s="94">
        <f t="shared" si="16"/>
        <v>0</v>
      </c>
      <c r="M34" s="94">
        <f t="shared" si="16"/>
        <v>0</v>
      </c>
      <c r="N34" s="94">
        <f t="shared" si="16"/>
        <v>0</v>
      </c>
      <c r="O34" s="94">
        <f t="shared" si="16"/>
        <v>0</v>
      </c>
      <c r="P34" s="94">
        <f t="shared" si="16"/>
        <v>0</v>
      </c>
      <c r="Q34" s="94">
        <f t="shared" si="16"/>
        <v>0</v>
      </c>
      <c r="R34" s="94">
        <f t="shared" si="16"/>
        <v>0</v>
      </c>
      <c r="S34" s="94">
        <f t="shared" si="16"/>
        <v>0</v>
      </c>
      <c r="T34" s="94">
        <f t="shared" si="16"/>
        <v>0</v>
      </c>
      <c r="U34" s="94">
        <f t="shared" si="16"/>
        <v>0</v>
      </c>
      <c r="V34" s="94">
        <f t="shared" si="16"/>
        <v>0</v>
      </c>
    </row>
    <row r="35" spans="1:22" x14ac:dyDescent="0.3">
      <c r="A35" s="102" t="s">
        <v>121</v>
      </c>
      <c r="B35" s="103"/>
      <c r="C35" s="103">
        <f>B135</f>
        <v>-772.96875686962665</v>
      </c>
      <c r="D35" s="103">
        <f t="shared" ref="D35:U35" si="17">C135</f>
        <v>-710.23352785488953</v>
      </c>
      <c r="E35" s="103">
        <f>D135</f>
        <v>-660.39535089690594</v>
      </c>
      <c r="F35" s="103">
        <f t="shared" si="17"/>
        <v>-612.07708866531686</v>
      </c>
      <c r="G35" s="103">
        <f t="shared" si="17"/>
        <v>-550.80250388696368</v>
      </c>
      <c r="H35" s="103">
        <f t="shared" si="17"/>
        <v>-502.69377216002658</v>
      </c>
      <c r="I35" s="103">
        <f t="shared" si="17"/>
        <v>-455.14531660402434</v>
      </c>
      <c r="J35" s="103">
        <f t="shared" si="17"/>
        <v>-408.16835679273322</v>
      </c>
      <c r="K35" s="103">
        <f t="shared" si="17"/>
        <v>-349.37533870302371</v>
      </c>
      <c r="L35" s="103">
        <f t="shared" si="17"/>
        <v>317.07987849367288</v>
      </c>
      <c r="M35" s="103">
        <f t="shared" si="17"/>
        <v>-243.14207335623945</v>
      </c>
      <c r="N35" s="103">
        <f t="shared" si="17"/>
        <v>-186.29946873995405</v>
      </c>
      <c r="O35" s="103">
        <f t="shared" si="17"/>
        <v>-142.51849342179491</v>
      </c>
      <c r="P35" s="103">
        <f>O135</f>
        <v>-99.345083318237414</v>
      </c>
      <c r="Q35" s="103">
        <f>P135</f>
        <v>-56.767309345773825</v>
      </c>
      <c r="R35" s="103">
        <f t="shared" si="17"/>
        <v>-14.640519979921052</v>
      </c>
      <c r="S35" s="103">
        <f t="shared" si="17"/>
        <v>14.51260691197978</v>
      </c>
      <c r="T35" s="103">
        <f t="shared" si="17"/>
        <v>55.623819946389808</v>
      </c>
      <c r="U35" s="103">
        <f t="shared" si="17"/>
        <v>96.089067881226185</v>
      </c>
      <c r="V35" s="103">
        <f>U135</f>
        <v>136.10059812092999</v>
      </c>
    </row>
    <row r="36" spans="1:22" x14ac:dyDescent="0.3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22" x14ac:dyDescent="0.3">
      <c r="A37" s="99" t="s">
        <v>130</v>
      </c>
      <c r="B37" s="94">
        <f t="shared" ref="B37:V37" si="18">SUM(B6,B15:B22,B34)</f>
        <v>0</v>
      </c>
      <c r="C37" s="94">
        <f t="shared" si="18"/>
        <v>0</v>
      </c>
      <c r="D37" s="94">
        <f t="shared" si="18"/>
        <v>-3.3306690738754696E-16</v>
      </c>
      <c r="E37" s="94">
        <f t="shared" si="18"/>
        <v>2.2204460492503131E-16</v>
      </c>
      <c r="F37" s="94">
        <f t="shared" si="18"/>
        <v>8.8817841970012523E-16</v>
      </c>
      <c r="G37" s="94">
        <f t="shared" si="18"/>
        <v>0</v>
      </c>
      <c r="H37" s="94">
        <f t="shared" si="18"/>
        <v>8.8817841970012523E-16</v>
      </c>
      <c r="I37" s="94">
        <f t="shared" si="18"/>
        <v>-4.4408920985006262E-16</v>
      </c>
      <c r="J37" s="94">
        <f t="shared" si="18"/>
        <v>1.3322676295501878E-15</v>
      </c>
      <c r="K37" s="94">
        <f t="shared" si="18"/>
        <v>-1.7763568394002505E-15</v>
      </c>
      <c r="L37" s="94">
        <f t="shared" si="18"/>
        <v>-1.7763568394002505E-15</v>
      </c>
      <c r="M37" s="94">
        <f t="shared" si="18"/>
        <v>-8.8817841970012523E-16</v>
      </c>
      <c r="N37" s="94">
        <f t="shared" si="18"/>
        <v>-8.8817841970012523E-16</v>
      </c>
      <c r="O37" s="94">
        <f t="shared" si="18"/>
        <v>-1.7763568394002505E-15</v>
      </c>
      <c r="P37" s="94">
        <f t="shared" si="18"/>
        <v>-1.7763568394002505E-15</v>
      </c>
      <c r="Q37" s="94">
        <f t="shared" si="18"/>
        <v>-1.7763568394002505E-15</v>
      </c>
      <c r="R37" s="94">
        <f t="shared" si="18"/>
        <v>0</v>
      </c>
      <c r="S37" s="94">
        <f t="shared" si="18"/>
        <v>-1.7763568394002505E-15</v>
      </c>
      <c r="T37" s="94">
        <f t="shared" si="18"/>
        <v>8.8817841970012523E-16</v>
      </c>
      <c r="U37" s="94">
        <f t="shared" si="18"/>
        <v>8.8817841970012523E-16</v>
      </c>
      <c r="V37" s="94">
        <f t="shared" si="18"/>
        <v>-8.8817841970012523E-16</v>
      </c>
    </row>
    <row r="38" spans="1:22" x14ac:dyDescent="0.3">
      <c r="A38" s="84" t="s">
        <v>129</v>
      </c>
      <c r="B38" s="17">
        <f>SUM(B5,B10:B12,B25:B32,B35)</f>
        <v>0</v>
      </c>
      <c r="C38" s="17">
        <f t="shared" ref="C38:U38" si="19">SUM(C5,C10:C12,C25:C32,C35)</f>
        <v>0</v>
      </c>
      <c r="D38" s="17">
        <f t="shared" si="19"/>
        <v>0</v>
      </c>
      <c r="E38" s="17">
        <f t="shared" si="19"/>
        <v>0</v>
      </c>
      <c r="F38" s="17">
        <f t="shared" si="19"/>
        <v>0</v>
      </c>
      <c r="G38" s="17">
        <f t="shared" si="19"/>
        <v>0</v>
      </c>
      <c r="H38" s="17">
        <f t="shared" si="19"/>
        <v>0</v>
      </c>
      <c r="I38" s="17">
        <f t="shared" si="19"/>
        <v>0</v>
      </c>
      <c r="J38" s="17">
        <f t="shared" si="19"/>
        <v>0</v>
      </c>
      <c r="K38" s="17">
        <f t="shared" si="19"/>
        <v>0</v>
      </c>
      <c r="L38" s="17">
        <f t="shared" si="19"/>
        <v>0</v>
      </c>
      <c r="M38" s="17">
        <f t="shared" si="19"/>
        <v>0</v>
      </c>
      <c r="N38" s="17">
        <f t="shared" si="19"/>
        <v>0</v>
      </c>
      <c r="O38" s="17">
        <f t="shared" si="19"/>
        <v>0</v>
      </c>
      <c r="P38" s="17">
        <f t="shared" si="19"/>
        <v>0</v>
      </c>
      <c r="Q38" s="17">
        <f t="shared" si="19"/>
        <v>0</v>
      </c>
      <c r="R38" s="17">
        <f t="shared" si="19"/>
        <v>7.1054273576010019E-14</v>
      </c>
      <c r="S38" s="17">
        <f t="shared" si="19"/>
        <v>0</v>
      </c>
      <c r="T38" s="17">
        <f t="shared" si="19"/>
        <v>0</v>
      </c>
      <c r="U38" s="17">
        <f t="shared" si="19"/>
        <v>0</v>
      </c>
      <c r="V38" s="17">
        <f>SUM(V5,V10:V12,V25:V32,V35)</f>
        <v>0</v>
      </c>
    </row>
    <row r="39" spans="1:22" x14ac:dyDescent="0.3">
      <c r="A39" s="21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</row>
    <row r="40" spans="1:22" x14ac:dyDescent="0.3">
      <c r="A40" s="99" t="s">
        <v>132</v>
      </c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85"/>
    </row>
    <row r="41" spans="1:22" x14ac:dyDescent="0.3">
      <c r="A41" s="100" t="s">
        <v>125</v>
      </c>
      <c r="B41" s="24"/>
      <c r="C41" s="24">
        <f>Tabelle2[[#This Row],[0]]-C20-C22</f>
        <v>24.812840273461759</v>
      </c>
      <c r="D41" s="24">
        <f>Tabelle2[[#This Row],[1]]-D20-D22</f>
        <v>49.432127986370375</v>
      </c>
      <c r="E41" s="24">
        <f>Tabelle2[[#This Row],[2]]-E20-E22</f>
        <v>73.869834249842881</v>
      </c>
      <c r="F41" s="24">
        <f>Tabelle2[[#This Row],[3]]-F20-F22</f>
        <v>98.137755190939316</v>
      </c>
      <c r="G41" s="24">
        <f>Tabelle2[[#This Row],[4]]-G20-G22</f>
        <v>122.24751836474806</v>
      </c>
      <c r="H41" s="24">
        <f>Tabelle2[[#This Row],[5]]-H20-H22</f>
        <v>146.21058904267892</v>
      </c>
      <c r="I41" s="24">
        <f>Tabelle2[[#This Row],[6]]-I20-I22</f>
        <v>170.03827638063308</v>
      </c>
      <c r="J41" s="24">
        <f>Tabelle2[[#This Row],[7]]-J20-J22</f>
        <v>193.74173947063792</v>
      </c>
      <c r="K41" s="24">
        <f>Tabelle2[[#This Row],[8]]-K20-K22</f>
        <v>217.33199327945661</v>
      </c>
      <c r="L41" s="24">
        <f>Tabelle2[[#This Row],[9]]-L20-L22</f>
        <v>240.81991447760521</v>
      </c>
      <c r="M41" s="24">
        <f>Tabelle2[[#This Row],[10]]-M20-M22</f>
        <v>264.2162471621362</v>
      </c>
      <c r="N41" s="24">
        <f>Tabelle2[[#This Row],[11]]-N20-N22</f>
        <v>287.53160847647456</v>
      </c>
      <c r="O41" s="24">
        <f>Tabelle2[[#This Row],[12]]-O20-O22</f>
        <v>310.77649413052205</v>
      </c>
      <c r="P41" s="24">
        <f>Tabelle2[[#This Row],[13]]-P20-P22</f>
        <v>333.96128382417749</v>
      </c>
      <c r="Q41" s="24">
        <f>Tabelle2[[#This Row],[14]]-Q20-Q22</f>
        <v>357.09624657735321</v>
      </c>
      <c r="R41" s="24">
        <f>Tabelle2[[#This Row],[15]]-R20-R22</f>
        <v>380.19154596950398</v>
      </c>
      <c r="S41" s="24">
        <f>Tabelle2[[#This Row],[16]]-S20-S22</f>
        <v>403.25724529162136</v>
      </c>
      <c r="T41" s="24">
        <f>Tabelle2[[#This Row],[17]]-T20-T22</f>
        <v>426.30331261358549</v>
      </c>
      <c r="U41" s="24">
        <f>Tabelle2[[#This Row],[18]]-U20-U22</f>
        <v>449.33962576970612</v>
      </c>
      <c r="V41" s="24">
        <f>Tabelle2[[#This Row],[19]]-V20-V22</f>
        <v>472.37597726522847</v>
      </c>
    </row>
    <row r="42" spans="1:22" x14ac:dyDescent="0.3">
      <c r="A42" s="94" t="s">
        <v>124</v>
      </c>
      <c r="B42" s="24">
        <v>0</v>
      </c>
      <c r="C42" s="24">
        <f t="shared" ref="C42:V42" si="20">IF(B42-C15-C17&gt;0,0,B42-C15-C17)</f>
        <v>0</v>
      </c>
      <c r="D42" s="24">
        <f t="shared" si="20"/>
        <v>0</v>
      </c>
      <c r="E42" s="24">
        <f t="shared" si="20"/>
        <v>0</v>
      </c>
      <c r="F42" s="24">
        <f t="shared" si="20"/>
        <v>0</v>
      </c>
      <c r="G42" s="24">
        <f t="shared" si="20"/>
        <v>0</v>
      </c>
      <c r="H42" s="24">
        <f t="shared" si="20"/>
        <v>0</v>
      </c>
      <c r="I42" s="24">
        <f t="shared" si="20"/>
        <v>0</v>
      </c>
      <c r="J42" s="24">
        <f t="shared" si="20"/>
        <v>0</v>
      </c>
      <c r="K42" s="24">
        <f t="shared" si="20"/>
        <v>0</v>
      </c>
      <c r="L42" s="24">
        <f t="shared" si="20"/>
        <v>0</v>
      </c>
      <c r="M42" s="24">
        <f t="shared" si="20"/>
        <v>0</v>
      </c>
      <c r="N42" s="24">
        <f t="shared" si="20"/>
        <v>0</v>
      </c>
      <c r="O42" s="24">
        <f t="shared" si="20"/>
        <v>0</v>
      </c>
      <c r="P42" s="24">
        <f t="shared" si="20"/>
        <v>0</v>
      </c>
      <c r="Q42" s="24">
        <f t="shared" si="20"/>
        <v>0</v>
      </c>
      <c r="R42" s="24">
        <f t="shared" si="20"/>
        <v>0</v>
      </c>
      <c r="S42" s="24">
        <f t="shared" si="20"/>
        <v>0</v>
      </c>
      <c r="T42" s="24">
        <f t="shared" si="20"/>
        <v>0</v>
      </c>
      <c r="U42" s="24">
        <f t="shared" si="20"/>
        <v>0</v>
      </c>
      <c r="V42" s="24">
        <f t="shared" si="20"/>
        <v>0</v>
      </c>
    </row>
    <row r="43" spans="1:22" x14ac:dyDescent="0.3">
      <c r="A43" s="118" t="s">
        <v>134</v>
      </c>
      <c r="B43" s="119"/>
      <c r="C43" s="119">
        <f t="shared" ref="C43:V43" si="21">SUM(C41:C42)</f>
        <v>24.812840273461759</v>
      </c>
      <c r="D43" s="119">
        <f t="shared" si="21"/>
        <v>49.432127986370375</v>
      </c>
      <c r="E43" s="119">
        <f t="shared" si="21"/>
        <v>73.869834249842881</v>
      </c>
      <c r="F43" s="119">
        <f t="shared" si="21"/>
        <v>98.137755190939316</v>
      </c>
      <c r="G43" s="119">
        <f t="shared" si="21"/>
        <v>122.24751836474806</v>
      </c>
      <c r="H43" s="119">
        <f t="shared" si="21"/>
        <v>146.21058904267892</v>
      </c>
      <c r="I43" s="119">
        <f t="shared" si="21"/>
        <v>170.03827638063308</v>
      </c>
      <c r="J43" s="119">
        <f t="shared" si="21"/>
        <v>193.74173947063792</v>
      </c>
      <c r="K43" s="119">
        <f t="shared" si="21"/>
        <v>217.33199327945661</v>
      </c>
      <c r="L43" s="119">
        <f t="shared" si="21"/>
        <v>240.81991447760521</v>
      </c>
      <c r="M43" s="119">
        <f t="shared" si="21"/>
        <v>264.2162471621362</v>
      </c>
      <c r="N43" s="119">
        <f t="shared" si="21"/>
        <v>287.53160847647456</v>
      </c>
      <c r="O43" s="119">
        <f t="shared" si="21"/>
        <v>310.77649413052205</v>
      </c>
      <c r="P43" s="119">
        <f t="shared" si="21"/>
        <v>333.96128382417749</v>
      </c>
      <c r="Q43" s="119">
        <f t="shared" si="21"/>
        <v>357.09624657735321</v>
      </c>
      <c r="R43" s="119">
        <f t="shared" si="21"/>
        <v>380.19154596950398</v>
      </c>
      <c r="S43" s="119">
        <f t="shared" si="21"/>
        <v>403.25724529162136</v>
      </c>
      <c r="T43" s="119">
        <f t="shared" si="21"/>
        <v>426.30331261358549</v>
      </c>
      <c r="U43" s="119">
        <f t="shared" si="21"/>
        <v>449.33962576970612</v>
      </c>
      <c r="V43" s="119">
        <f t="shared" si="21"/>
        <v>472.37597726522847</v>
      </c>
    </row>
    <row r="44" spans="1:22" x14ac:dyDescent="0.3">
      <c r="A44" s="107" t="s">
        <v>132</v>
      </c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</row>
    <row r="45" spans="1:22" x14ac:dyDescent="0.3">
      <c r="A45" s="109" t="s">
        <v>133</v>
      </c>
      <c r="B45" s="108">
        <f>-B10</f>
        <v>-5401.5068493150684</v>
      </c>
      <c r="C45" s="108">
        <f>B45-SUM(C11)</f>
        <v>-5401.5068493150684</v>
      </c>
      <c r="D45" s="108">
        <f t="shared" ref="D45:V45" si="22">C45-SUM(D11)</f>
        <v>-5401.5068493150684</v>
      </c>
      <c r="E45" s="108">
        <f t="shared" si="22"/>
        <v>-5401.5068493150684</v>
      </c>
      <c r="F45" s="108">
        <f t="shared" si="22"/>
        <v>-5083.7711522965346</v>
      </c>
      <c r="G45" s="108">
        <f t="shared" si="22"/>
        <v>-4766.0354552780009</v>
      </c>
      <c r="H45" s="108">
        <f t="shared" si="22"/>
        <v>-4448.2997582594671</v>
      </c>
      <c r="I45" s="108">
        <f t="shared" si="22"/>
        <v>-4130.5640612409334</v>
      </c>
      <c r="J45" s="108">
        <f t="shared" si="22"/>
        <v>-3812.8283642224001</v>
      </c>
      <c r="K45" s="108">
        <f t="shared" si="22"/>
        <v>-3495.0926672038668</v>
      </c>
      <c r="L45" s="108">
        <f t="shared" si="22"/>
        <v>-3177.3569701853335</v>
      </c>
      <c r="M45" s="108">
        <f t="shared" si="22"/>
        <v>-2859.6212731668002</v>
      </c>
      <c r="N45" s="108">
        <f t="shared" si="22"/>
        <v>-2541.8855761482669</v>
      </c>
      <c r="O45" s="108">
        <f t="shared" si="22"/>
        <v>-2224.1498791297336</v>
      </c>
      <c r="P45" s="108">
        <f t="shared" si="22"/>
        <v>-1906.4141821112003</v>
      </c>
      <c r="Q45" s="108">
        <f t="shared" si="22"/>
        <v>-1588.678485092667</v>
      </c>
      <c r="R45" s="108">
        <f t="shared" si="22"/>
        <v>-1270.9427880741337</v>
      </c>
      <c r="S45" s="108">
        <f t="shared" si="22"/>
        <v>-953.20709105560024</v>
      </c>
      <c r="T45" s="108">
        <f t="shared" si="22"/>
        <v>-635.47139403706683</v>
      </c>
      <c r="U45" s="108">
        <f t="shared" si="22"/>
        <v>-317.73569701853341</v>
      </c>
      <c r="V45" s="108">
        <f t="shared" si="22"/>
        <v>0</v>
      </c>
    </row>
    <row r="46" spans="1:22" x14ac:dyDescent="0.3">
      <c r="A46" s="109" t="s">
        <v>125</v>
      </c>
      <c r="B46" s="108"/>
      <c r="C46" s="108">
        <f>Tabelle2[[#This Row],[0]]-C30-C32</f>
        <v>0</v>
      </c>
      <c r="D46" s="108">
        <f>Tabelle2[[#This Row],[1]]-D30-D32</f>
        <v>0</v>
      </c>
      <c r="E46" s="108">
        <f>Tabelle2[[#This Row],[2]]-E30-E32</f>
        <v>0</v>
      </c>
      <c r="F46" s="108">
        <f>Tabelle2[[#This Row],[3]]-F30-F32</f>
        <v>0</v>
      </c>
      <c r="G46" s="108">
        <f>Tabelle2[[#This Row],[4]]-G30-G32</f>
        <v>0</v>
      </c>
      <c r="H46" s="108">
        <f>Tabelle2[[#This Row],[5]]-H30-H32</f>
        <v>0</v>
      </c>
      <c r="I46" s="108">
        <f>Tabelle2[[#This Row],[6]]-I30-I32</f>
        <v>0</v>
      </c>
      <c r="J46" s="108">
        <f>Tabelle2[[#This Row],[7]]-J30-J32</f>
        <v>0</v>
      </c>
      <c r="K46" s="108">
        <f>Tabelle2[[#This Row],[8]]-K30-K32</f>
        <v>0</v>
      </c>
      <c r="L46" s="108">
        <f>Tabelle2[[#This Row],[9]]-L30-L32</f>
        <v>0</v>
      </c>
      <c r="M46" s="108">
        <f>Tabelle2[[#This Row],[10]]-M30-M32</f>
        <v>0</v>
      </c>
      <c r="N46" s="108">
        <f>Tabelle2[[#This Row],[11]]-N30-N32</f>
        <v>0</v>
      </c>
      <c r="O46" s="108">
        <f>Tabelle2[[#This Row],[12]]-O30-O32</f>
        <v>0</v>
      </c>
      <c r="P46" s="108">
        <f>Tabelle2[[#This Row],[13]]-P30-P32</f>
        <v>0</v>
      </c>
      <c r="Q46" s="108">
        <f>Tabelle2[[#This Row],[14]]-Q30-Q32</f>
        <v>0</v>
      </c>
      <c r="R46" s="108">
        <f>Tabelle2[[#This Row],[15]]-R30-R32</f>
        <v>0</v>
      </c>
      <c r="S46" s="108">
        <f>Tabelle2[[#This Row],[16]]-S30-S32</f>
        <v>0</v>
      </c>
      <c r="T46" s="108">
        <f>Tabelle2[[#This Row],[17]]-T30-T32</f>
        <v>0</v>
      </c>
      <c r="U46" s="108">
        <f>Tabelle2[[#This Row],[18]]-U30-U32</f>
        <v>0</v>
      </c>
      <c r="V46" s="108">
        <f>Tabelle2[[#This Row],[19]]-V30-V32</f>
        <v>0</v>
      </c>
    </row>
    <row r="47" spans="1:22" x14ac:dyDescent="0.3">
      <c r="A47" s="110" t="s">
        <v>124</v>
      </c>
      <c r="B47" s="108">
        <v>0</v>
      </c>
      <c r="C47" s="108">
        <f>IF(B47-C25-C27&gt;0,0,B47-C25-C27)</f>
        <v>-941.40653942430197</v>
      </c>
      <c r="D47" s="108">
        <f t="shared" ref="D47:V47" si="23">IF(C47-D25-D27&gt;0,0,C47-D25-D27)</f>
        <v>-1817.2709746607488</v>
      </c>
      <c r="E47" s="108">
        <f t="shared" si="23"/>
        <v>-2641.0335715859128</v>
      </c>
      <c r="F47" s="108">
        <f t="shared" si="23"/>
        <v>-3725.1485044073561</v>
      </c>
      <c r="G47" s="108">
        <f t="shared" si="23"/>
        <v>-4728.274286335728</v>
      </c>
      <c r="H47" s="108">
        <f t="shared" si="23"/>
        <v>-5663.2524508705646</v>
      </c>
      <c r="I47" s="108">
        <f t="shared" si="23"/>
        <v>-6530.7691662612269</v>
      </c>
      <c r="J47" s="108">
        <f t="shared" si="23"/>
        <v>-7331.4140066984628</v>
      </c>
      <c r="K47" s="108">
        <f t="shared" si="23"/>
        <v>-8053.1206478121658</v>
      </c>
      <c r="L47" s="108">
        <f t="shared" si="23"/>
        <v>-10519.091137543046</v>
      </c>
      <c r="M47" s="108">
        <f t="shared" si="23"/>
        <v>-11094.217053695002</v>
      </c>
      <c r="N47" s="108">
        <f t="shared" si="23"/>
        <v>-11592.163214455632</v>
      </c>
      <c r="O47" s="108">
        <f t="shared" si="23"/>
        <v>-12026.120586009707</v>
      </c>
      <c r="P47" s="108">
        <f t="shared" si="23"/>
        <v>-12396.300055773314</v>
      </c>
      <c r="Q47" s="108">
        <f t="shared" si="23"/>
        <v>-12702.964617590438</v>
      </c>
      <c r="R47" s="108">
        <f t="shared" si="23"/>
        <v>-12947.132534376751</v>
      </c>
      <c r="S47" s="108">
        <f t="shared" si="23"/>
        <v>-13141.672726662091</v>
      </c>
      <c r="T47" s="108">
        <f t="shared" si="23"/>
        <v>-13274.34659737031</v>
      </c>
      <c r="U47" s="108">
        <f t="shared" si="23"/>
        <v>-13345.046591742441</v>
      </c>
      <c r="V47" s="108">
        <f t="shared" si="23"/>
        <v>-13354.693527580479</v>
      </c>
    </row>
    <row r="48" spans="1:22" x14ac:dyDescent="0.3">
      <c r="A48" s="116" t="s">
        <v>134</v>
      </c>
      <c r="B48" s="117"/>
      <c r="C48" s="117">
        <f>SUM(C46:C47)</f>
        <v>-941.40653942430197</v>
      </c>
      <c r="D48" s="117">
        <f t="shared" ref="D48:V48" si="24">SUM(D46:D47)</f>
        <v>-1817.2709746607488</v>
      </c>
      <c r="E48" s="117">
        <f t="shared" si="24"/>
        <v>-2641.0335715859128</v>
      </c>
      <c r="F48" s="117">
        <f t="shared" si="24"/>
        <v>-3725.1485044073561</v>
      </c>
      <c r="G48" s="117">
        <f t="shared" si="24"/>
        <v>-4728.274286335728</v>
      </c>
      <c r="H48" s="117">
        <f t="shared" si="24"/>
        <v>-5663.2524508705646</v>
      </c>
      <c r="I48" s="117">
        <f t="shared" si="24"/>
        <v>-6530.7691662612269</v>
      </c>
      <c r="J48" s="117">
        <f t="shared" si="24"/>
        <v>-7331.4140066984628</v>
      </c>
      <c r="K48" s="117">
        <f t="shared" si="24"/>
        <v>-8053.1206478121658</v>
      </c>
      <c r="L48" s="117">
        <f t="shared" si="24"/>
        <v>-10519.091137543046</v>
      </c>
      <c r="M48" s="117">
        <f t="shared" si="24"/>
        <v>-11094.217053695002</v>
      </c>
      <c r="N48" s="117">
        <f t="shared" si="24"/>
        <v>-11592.163214455632</v>
      </c>
      <c r="O48" s="117">
        <f t="shared" si="24"/>
        <v>-12026.120586009707</v>
      </c>
      <c r="P48" s="117">
        <f t="shared" si="24"/>
        <v>-12396.300055773314</v>
      </c>
      <c r="Q48" s="117">
        <f t="shared" si="24"/>
        <v>-12702.964617590438</v>
      </c>
      <c r="R48" s="117">
        <f t="shared" si="24"/>
        <v>-12947.132534376751</v>
      </c>
      <c r="S48" s="117">
        <f t="shared" si="24"/>
        <v>-13141.672726662091</v>
      </c>
      <c r="T48" s="117">
        <f t="shared" si="24"/>
        <v>-13274.34659737031</v>
      </c>
      <c r="U48" s="117">
        <f t="shared" si="24"/>
        <v>-13345.046591742441</v>
      </c>
      <c r="V48" s="117">
        <f t="shared" si="24"/>
        <v>-13354.693527580479</v>
      </c>
    </row>
    <row r="49" spans="1:22" x14ac:dyDescent="0.3">
      <c r="B49" s="106"/>
      <c r="C49" s="106"/>
      <c r="D49" s="106"/>
    </row>
    <row r="55" spans="1:22" x14ac:dyDescent="0.3">
      <c r="A55" s="30" t="s">
        <v>58</v>
      </c>
    </row>
    <row r="56" spans="1:22" ht="16.2" thickBot="1" x14ac:dyDescent="0.35"/>
    <row r="57" spans="1:22" x14ac:dyDescent="0.3">
      <c r="A57" s="4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6"/>
    </row>
    <row r="58" spans="1:22" x14ac:dyDescent="0.3">
      <c r="A58" s="11" t="s">
        <v>9</v>
      </c>
      <c r="B58" s="12"/>
      <c r="C58" s="12">
        <v>303.19999999999982</v>
      </c>
      <c r="D58" s="12">
        <f>C58*(1-0.005)</f>
        <v>301.6839999999998</v>
      </c>
      <c r="E58" s="12">
        <f t="shared" ref="E58:U58" si="25">D58*(1-0.005)</f>
        <v>300.1755799999998</v>
      </c>
      <c r="F58" s="12">
        <f t="shared" si="25"/>
        <v>298.67470209999982</v>
      </c>
      <c r="G58" s="12">
        <f t="shared" si="25"/>
        <v>297.1813285894998</v>
      </c>
      <c r="H58" s="12">
        <f t="shared" si="25"/>
        <v>295.6954219465523</v>
      </c>
      <c r="I58" s="12">
        <f t="shared" si="25"/>
        <v>294.21694483681955</v>
      </c>
      <c r="J58" s="12">
        <f t="shared" si="25"/>
        <v>292.74586011263546</v>
      </c>
      <c r="K58" s="12">
        <f t="shared" si="25"/>
        <v>291.2821308120723</v>
      </c>
      <c r="L58" s="12">
        <f t="shared" si="25"/>
        <v>289.82572015801196</v>
      </c>
      <c r="M58" s="12">
        <f t="shared" si="25"/>
        <v>288.3765915572219</v>
      </c>
      <c r="N58" s="12">
        <f t="shared" si="25"/>
        <v>286.93470859943579</v>
      </c>
      <c r="O58" s="12">
        <f t="shared" si="25"/>
        <v>285.50003505643861</v>
      </c>
      <c r="P58" s="12">
        <f t="shared" si="25"/>
        <v>284.0725348811564</v>
      </c>
      <c r="Q58" s="12">
        <f t="shared" si="25"/>
        <v>282.65217220675061</v>
      </c>
      <c r="R58" s="12">
        <f t="shared" si="25"/>
        <v>281.23891134571687</v>
      </c>
      <c r="S58" s="12">
        <f t="shared" si="25"/>
        <v>279.83271678898831</v>
      </c>
      <c r="T58" s="12">
        <f t="shared" si="25"/>
        <v>278.43355320504338</v>
      </c>
      <c r="U58" s="12">
        <f t="shared" si="25"/>
        <v>277.04138543901814</v>
      </c>
      <c r="V58" s="12">
        <f>U58*(1-0.005)</f>
        <v>275.65617851182304</v>
      </c>
    </row>
    <row r="59" spans="1:22" x14ac:dyDescent="0.3">
      <c r="A59" s="11" t="s">
        <v>56</v>
      </c>
      <c r="B59" s="12"/>
      <c r="C59" s="12">
        <f t="shared" ref="C59:V59" si="26">C58*Wirkungsgrad</f>
        <v>288.03999999999979</v>
      </c>
      <c r="D59" s="12">
        <f t="shared" si="26"/>
        <v>286.59979999999979</v>
      </c>
      <c r="E59" s="12">
        <f t="shared" si="26"/>
        <v>285.16680099999979</v>
      </c>
      <c r="F59" s="12">
        <f t="shared" si="26"/>
        <v>283.74096699499984</v>
      </c>
      <c r="G59" s="12">
        <f t="shared" si="26"/>
        <v>282.32226216002482</v>
      </c>
      <c r="H59" s="12">
        <f t="shared" si="26"/>
        <v>280.91065084922468</v>
      </c>
      <c r="I59" s="12">
        <f t="shared" si="26"/>
        <v>279.50609759497854</v>
      </c>
      <c r="J59" s="12">
        <f t="shared" si="26"/>
        <v>278.10856710700369</v>
      </c>
      <c r="K59" s="12">
        <f t="shared" si="26"/>
        <v>276.71802427146866</v>
      </c>
      <c r="L59" s="12">
        <f t="shared" si="26"/>
        <v>275.33443415011135</v>
      </c>
      <c r="M59" s="12">
        <f t="shared" si="26"/>
        <v>273.95776197936078</v>
      </c>
      <c r="N59" s="12">
        <f t="shared" si="26"/>
        <v>272.58797316946396</v>
      </c>
      <c r="O59" s="12">
        <f t="shared" si="26"/>
        <v>271.22503330361667</v>
      </c>
      <c r="P59" s="12">
        <f t="shared" si="26"/>
        <v>269.86890813709857</v>
      </c>
      <c r="Q59" s="12">
        <f t="shared" si="26"/>
        <v>268.51956359641304</v>
      </c>
      <c r="R59" s="12">
        <f t="shared" si="26"/>
        <v>267.176965778431</v>
      </c>
      <c r="S59" s="12">
        <f t="shared" si="26"/>
        <v>265.84108094953888</v>
      </c>
      <c r="T59" s="12">
        <f t="shared" si="26"/>
        <v>264.51187554479122</v>
      </c>
      <c r="U59" s="12">
        <f t="shared" si="26"/>
        <v>263.1893161670672</v>
      </c>
      <c r="V59" s="12">
        <f t="shared" si="26"/>
        <v>261.87336958623189</v>
      </c>
    </row>
    <row r="60" spans="1:22" x14ac:dyDescent="0.3">
      <c r="A60" s="11" t="s">
        <v>8</v>
      </c>
      <c r="B60" s="12"/>
      <c r="C60" s="12">
        <v>0.42411917073488226</v>
      </c>
      <c r="D60" s="12">
        <v>0.4360441323113049</v>
      </c>
      <c r="E60" s="12">
        <v>0.44617333440891183</v>
      </c>
      <c r="F60" s="12">
        <v>0.4577717664241896</v>
      </c>
      <c r="G60" s="12">
        <v>0.46935366793080274</v>
      </c>
      <c r="H60" s="12">
        <v>0.48219494006666963</v>
      </c>
      <c r="I60" s="12">
        <v>0.49470300908880804</v>
      </c>
      <c r="J60" s="12">
        <v>0.50725960601985376</v>
      </c>
      <c r="K60" s="12">
        <v>0.52083431606999631</v>
      </c>
      <c r="L60" s="12">
        <v>0.5338565052631381</v>
      </c>
      <c r="M60" s="12">
        <v>0.54856391162503637</v>
      </c>
      <c r="N60" s="12">
        <v>0.56321748176115871</v>
      </c>
      <c r="O60" s="12">
        <v>0.57752760977757078</v>
      </c>
      <c r="P60" s="12">
        <v>0.59343722657237086</v>
      </c>
      <c r="Q60" s="12">
        <v>0.61073095628853435</v>
      </c>
      <c r="R60" s="12">
        <v>0.62606027632446604</v>
      </c>
      <c r="S60" s="12">
        <v>0.64192223986873176</v>
      </c>
      <c r="T60" s="12">
        <v>0.65898829614494836</v>
      </c>
      <c r="U60" s="12">
        <v>0.67907269443859763</v>
      </c>
      <c r="V60" s="13">
        <v>0.69755861835222222</v>
      </c>
    </row>
    <row r="61" spans="1:22" x14ac:dyDescent="0.3">
      <c r="A61" s="11" t="s">
        <v>10</v>
      </c>
      <c r="B61" s="12"/>
      <c r="C61" s="12">
        <f>1-0.19</f>
        <v>0.81</v>
      </c>
      <c r="D61" s="12">
        <f t="shared" ref="D61:V61" si="27">1-0.19</f>
        <v>0.81</v>
      </c>
      <c r="E61" s="12">
        <f t="shared" si="27"/>
        <v>0.81</v>
      </c>
      <c r="F61" s="12">
        <f t="shared" si="27"/>
        <v>0.81</v>
      </c>
      <c r="G61" s="12">
        <f t="shared" si="27"/>
        <v>0.81</v>
      </c>
      <c r="H61" s="12">
        <f t="shared" si="27"/>
        <v>0.81</v>
      </c>
      <c r="I61" s="12">
        <f t="shared" si="27"/>
        <v>0.81</v>
      </c>
      <c r="J61" s="12">
        <f t="shared" si="27"/>
        <v>0.81</v>
      </c>
      <c r="K61" s="12">
        <f t="shared" si="27"/>
        <v>0.81</v>
      </c>
      <c r="L61" s="12">
        <f t="shared" si="27"/>
        <v>0.81</v>
      </c>
      <c r="M61" s="12">
        <f t="shared" si="27"/>
        <v>0.81</v>
      </c>
      <c r="N61" s="12">
        <f t="shared" si="27"/>
        <v>0.81</v>
      </c>
      <c r="O61" s="12">
        <f t="shared" si="27"/>
        <v>0.81</v>
      </c>
      <c r="P61" s="12">
        <f t="shared" si="27"/>
        <v>0.81</v>
      </c>
      <c r="Q61" s="12">
        <f t="shared" si="27"/>
        <v>0.81</v>
      </c>
      <c r="R61" s="12">
        <f t="shared" si="27"/>
        <v>0.81</v>
      </c>
      <c r="S61" s="12">
        <f t="shared" si="27"/>
        <v>0.81</v>
      </c>
      <c r="T61" s="12">
        <f t="shared" si="27"/>
        <v>0.81</v>
      </c>
      <c r="U61" s="12">
        <f t="shared" si="27"/>
        <v>0.81</v>
      </c>
      <c r="V61" s="13">
        <f t="shared" si="27"/>
        <v>0.81</v>
      </c>
    </row>
    <row r="62" spans="1:22" x14ac:dyDescent="0.3">
      <c r="A62" s="11" t="s">
        <v>46</v>
      </c>
      <c r="B62" s="12"/>
      <c r="C62" s="12">
        <f>C60*C61</f>
        <v>0.34353652829525466</v>
      </c>
      <c r="D62" s="12">
        <f t="shared" ref="D62:V62" si="28">D60*D61</f>
        <v>0.35319574717215702</v>
      </c>
      <c r="E62" s="12">
        <f t="shared" si="28"/>
        <v>0.36140040087121861</v>
      </c>
      <c r="F62" s="12">
        <f t="shared" si="28"/>
        <v>0.37079513080359361</v>
      </c>
      <c r="G62" s="12">
        <f t="shared" si="28"/>
        <v>0.38017647102395025</v>
      </c>
      <c r="H62" s="12">
        <f t="shared" si="28"/>
        <v>0.39057790145400245</v>
      </c>
      <c r="I62" s="12">
        <f t="shared" si="28"/>
        <v>0.40070943736193454</v>
      </c>
      <c r="J62" s="12">
        <f t="shared" si="28"/>
        <v>0.41088028087608158</v>
      </c>
      <c r="K62" s="12">
        <f t="shared" si="28"/>
        <v>0.42187579601669706</v>
      </c>
      <c r="L62" s="12">
        <f t="shared" si="28"/>
        <v>0.43242376926314191</v>
      </c>
      <c r="M62" s="12">
        <f t="shared" si="28"/>
        <v>0.4443367684162795</v>
      </c>
      <c r="N62" s="12">
        <f t="shared" si="28"/>
        <v>0.45620616022653859</v>
      </c>
      <c r="O62" s="12">
        <f t="shared" si="28"/>
        <v>0.46779736391983234</v>
      </c>
      <c r="P62" s="12">
        <f t="shared" si="28"/>
        <v>0.48068415352362043</v>
      </c>
      <c r="Q62" s="12">
        <f t="shared" si="28"/>
        <v>0.49469207459371284</v>
      </c>
      <c r="R62" s="12">
        <f t="shared" si="28"/>
        <v>0.50710882382281752</v>
      </c>
      <c r="S62" s="12">
        <f t="shared" si="28"/>
        <v>0.5199570142936728</v>
      </c>
      <c r="T62" s="12">
        <f t="shared" si="28"/>
        <v>0.53378051987740815</v>
      </c>
      <c r="U62" s="12">
        <f t="shared" si="28"/>
        <v>0.55004888249526407</v>
      </c>
      <c r="V62" s="13">
        <f t="shared" si="28"/>
        <v>0.56502248086530005</v>
      </c>
    </row>
    <row r="63" spans="1:22" x14ac:dyDescent="0.3">
      <c r="A63" s="8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10"/>
    </row>
    <row r="64" spans="1:22" ht="16.2" thickBot="1" x14ac:dyDescent="0.35">
      <c r="A64" s="18" t="s">
        <v>7</v>
      </c>
      <c r="B64" s="19"/>
      <c r="C64" s="19">
        <v>8.1836544437538836E-2</v>
      </c>
      <c r="D64" s="19">
        <v>8.0207997203231809E-2</v>
      </c>
      <c r="E64" s="19">
        <v>7.8611858058887499E-2</v>
      </c>
      <c r="F64" s="19">
        <v>7.7047482083515639E-2</v>
      </c>
      <c r="G64" s="19">
        <v>7.5514237190053679E-2</v>
      </c>
      <c r="H64" s="19">
        <v>7.4011503869971615E-2</v>
      </c>
      <c r="I64" s="19">
        <v>7.253867494295918E-2</v>
      </c>
      <c r="J64" s="19">
        <v>7.1095155311594285E-2</v>
      </c>
      <c r="K64" s="19">
        <v>6.9680361720893563E-2</v>
      </c>
      <c r="L64" s="19">
        <v>6.8293722522647773E-2</v>
      </c>
      <c r="M64" s="19">
        <v>6.6934677444447074E-2</v>
      </c>
      <c r="N64" s="19">
        <v>6.5602677363302581E-2</v>
      </c>
      <c r="O64" s="19">
        <v>6.4297184083772857E-2</v>
      </c>
      <c r="P64" s="19">
        <v>6.301767012050577E-2</v>
      </c>
      <c r="Q64" s="19">
        <v>6.1763618485107703E-2</v>
      </c>
      <c r="R64" s="19">
        <v>6.0534522477254056E-2</v>
      </c>
      <c r="S64" s="19">
        <v>5.9329885479956698E-2</v>
      </c>
      <c r="T64" s="19">
        <v>5.8149220758905558E-2</v>
      </c>
      <c r="U64" s="19">
        <v>5.6992051265803333E-2</v>
      </c>
      <c r="V64" s="20">
        <v>5.5857909445613842E-2</v>
      </c>
    </row>
    <row r="68" spans="1:4" ht="16.2" thickBot="1" x14ac:dyDescent="0.35"/>
    <row r="69" spans="1:4" ht="31.2" x14ac:dyDescent="0.3">
      <c r="A69" s="25" t="s">
        <v>55</v>
      </c>
      <c r="C69" s="29" t="s">
        <v>57</v>
      </c>
      <c r="D69" s="7">
        <v>0.95</v>
      </c>
    </row>
    <row r="70" spans="1:4" x14ac:dyDescent="0.3">
      <c r="A70" s="26">
        <f>3.84*365*2</f>
        <v>2803.2</v>
      </c>
    </row>
    <row r="71" spans="1:4" x14ac:dyDescent="0.3">
      <c r="A71" s="26">
        <f>A70-100</f>
        <v>2703.2</v>
      </c>
    </row>
    <row r="72" spans="1:4" x14ac:dyDescent="0.3">
      <c r="A72" s="26">
        <f t="shared" ref="A72" si="29">A71-100</f>
        <v>2603.1999999999998</v>
      </c>
    </row>
    <row r="73" spans="1:4" x14ac:dyDescent="0.3">
      <c r="A73" s="26">
        <f t="shared" ref="A73" si="30">A72-100</f>
        <v>2503.1999999999998</v>
      </c>
    </row>
    <row r="74" spans="1:4" x14ac:dyDescent="0.3">
      <c r="A74" s="26">
        <f t="shared" ref="A74" si="31">A73-100</f>
        <v>2403.1999999999998</v>
      </c>
    </row>
    <row r="75" spans="1:4" x14ac:dyDescent="0.3">
      <c r="A75" s="26">
        <f t="shared" ref="A75" si="32">A74-100</f>
        <v>2303.1999999999998</v>
      </c>
    </row>
    <row r="76" spans="1:4" x14ac:dyDescent="0.3">
      <c r="A76" s="26">
        <f t="shared" ref="A76" si="33">A75-100</f>
        <v>2203.1999999999998</v>
      </c>
    </row>
    <row r="77" spans="1:4" x14ac:dyDescent="0.3">
      <c r="A77" s="26">
        <f t="shared" ref="A77" si="34">A76-100</f>
        <v>2103.1999999999998</v>
      </c>
    </row>
    <row r="78" spans="1:4" x14ac:dyDescent="0.3">
      <c r="A78" s="26">
        <f t="shared" ref="A78" si="35">A77-100</f>
        <v>2003.1999999999998</v>
      </c>
    </row>
    <row r="79" spans="1:4" x14ac:dyDescent="0.3">
      <c r="A79" s="26">
        <f t="shared" ref="A79" si="36">A78-100</f>
        <v>1903.1999999999998</v>
      </c>
    </row>
    <row r="80" spans="1:4" x14ac:dyDescent="0.3">
      <c r="A80" s="26">
        <f t="shared" ref="A80" si="37">A79-100</f>
        <v>1803.1999999999998</v>
      </c>
    </row>
    <row r="81" spans="1:1" x14ac:dyDescent="0.3">
      <c r="A81" s="26">
        <f t="shared" ref="A81" si="38">A80-100</f>
        <v>1703.1999999999998</v>
      </c>
    </row>
    <row r="82" spans="1:1" x14ac:dyDescent="0.3">
      <c r="A82" s="26">
        <f t="shared" ref="A82" si="39">A81-100</f>
        <v>1603.1999999999998</v>
      </c>
    </row>
    <row r="83" spans="1:1" x14ac:dyDescent="0.3">
      <c r="A83" s="26">
        <f t="shared" ref="A83" si="40">A82-100</f>
        <v>1503.1999999999998</v>
      </c>
    </row>
    <row r="84" spans="1:1" x14ac:dyDescent="0.3">
      <c r="A84" s="26">
        <f t="shared" ref="A84" si="41">A83-100</f>
        <v>1403.1999999999998</v>
      </c>
    </row>
    <row r="85" spans="1:1" x14ac:dyDescent="0.3">
      <c r="A85" s="26">
        <f t="shared" ref="A85" si="42">A84-100</f>
        <v>1303.1999999999998</v>
      </c>
    </row>
    <row r="86" spans="1:1" x14ac:dyDescent="0.3">
      <c r="A86" s="26">
        <f t="shared" ref="A86" si="43">A85-100</f>
        <v>1203.1999999999998</v>
      </c>
    </row>
    <row r="87" spans="1:1" x14ac:dyDescent="0.3">
      <c r="A87" s="26">
        <f>A86-100</f>
        <v>1103.1999999999998</v>
      </c>
    </row>
    <row r="88" spans="1:1" x14ac:dyDescent="0.3">
      <c r="A88" s="26">
        <f t="shared" ref="A88" si="44">A87-100</f>
        <v>1003.1999999999998</v>
      </c>
    </row>
    <row r="89" spans="1:1" x14ac:dyDescent="0.3">
      <c r="A89" s="26">
        <f t="shared" ref="A89:A95" si="45">A88-100</f>
        <v>903.19999999999982</v>
      </c>
    </row>
    <row r="90" spans="1:1" x14ac:dyDescent="0.3">
      <c r="A90" s="26">
        <f t="shared" si="45"/>
        <v>803.19999999999982</v>
      </c>
    </row>
    <row r="91" spans="1:1" x14ac:dyDescent="0.3">
      <c r="A91" s="26">
        <f t="shared" si="45"/>
        <v>703.19999999999982</v>
      </c>
    </row>
    <row r="92" spans="1:1" x14ac:dyDescent="0.3">
      <c r="A92" s="26">
        <f t="shared" si="45"/>
        <v>603.19999999999982</v>
      </c>
    </row>
    <row r="93" spans="1:1" x14ac:dyDescent="0.3">
      <c r="A93" s="26">
        <f t="shared" si="45"/>
        <v>503.19999999999982</v>
      </c>
    </row>
    <row r="94" spans="1:1" x14ac:dyDescent="0.3">
      <c r="A94" s="26">
        <f t="shared" si="45"/>
        <v>403.19999999999982</v>
      </c>
    </row>
    <row r="95" spans="1:1" ht="16.2" thickBot="1" x14ac:dyDescent="0.35">
      <c r="A95" s="27">
        <f t="shared" si="45"/>
        <v>303.19999999999982</v>
      </c>
    </row>
    <row r="98" spans="1:22" ht="16.2" thickBot="1" x14ac:dyDescent="0.35">
      <c r="A98" t="s">
        <v>59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 s="28"/>
      <c r="V98"/>
    </row>
    <row r="99" spans="1:22" ht="16.2" thickBot="1" x14ac:dyDescent="0.35">
      <c r="A99" s="31" t="s">
        <v>13</v>
      </c>
      <c r="B99" s="32" t="s">
        <v>15</v>
      </c>
      <c r="C99" s="32" t="s">
        <v>16</v>
      </c>
      <c r="D99" s="32" t="s">
        <v>17</v>
      </c>
      <c r="E99" s="32" t="s">
        <v>18</v>
      </c>
      <c r="F99" s="32" t="s">
        <v>19</v>
      </c>
      <c r="G99" s="32" t="s">
        <v>20</v>
      </c>
      <c r="H99" s="32" t="s">
        <v>21</v>
      </c>
      <c r="I99" s="32" t="s">
        <v>22</v>
      </c>
      <c r="J99" s="32" t="s">
        <v>23</v>
      </c>
      <c r="K99" s="32" t="s">
        <v>24</v>
      </c>
      <c r="L99" s="32" t="s">
        <v>25</v>
      </c>
      <c r="M99" s="32" t="s">
        <v>26</v>
      </c>
      <c r="N99" s="32" t="s">
        <v>27</v>
      </c>
      <c r="O99" s="32" t="s">
        <v>28</v>
      </c>
      <c r="P99" s="32" t="s">
        <v>29</v>
      </c>
      <c r="Q99" s="32" t="s">
        <v>30</v>
      </c>
      <c r="R99" s="32" t="s">
        <v>31</v>
      </c>
      <c r="S99" s="32" t="s">
        <v>32</v>
      </c>
      <c r="T99" s="32" t="s">
        <v>33</v>
      </c>
      <c r="U99" s="32" t="s">
        <v>34</v>
      </c>
      <c r="V99" s="33"/>
    </row>
    <row r="100" spans="1:22" x14ac:dyDescent="0.3">
      <c r="A100" s="34"/>
      <c r="B100" s="35"/>
      <c r="C100" s="35" t="s">
        <v>35</v>
      </c>
      <c r="D100" s="35" t="s">
        <v>35</v>
      </c>
      <c r="E100" s="35" t="s">
        <v>35</v>
      </c>
      <c r="F100" s="35" t="s">
        <v>35</v>
      </c>
      <c r="G100" s="35" t="s">
        <v>35</v>
      </c>
      <c r="H100" s="35" t="s">
        <v>35</v>
      </c>
      <c r="I100" s="35" t="s">
        <v>35</v>
      </c>
      <c r="J100" s="35" t="s">
        <v>35</v>
      </c>
      <c r="K100" s="35" t="s">
        <v>35</v>
      </c>
      <c r="L100" s="35" t="s">
        <v>35</v>
      </c>
      <c r="M100" s="35" t="s">
        <v>35</v>
      </c>
      <c r="N100" s="35" t="s">
        <v>35</v>
      </c>
      <c r="O100" s="35" t="s">
        <v>35</v>
      </c>
      <c r="P100" s="35" t="s">
        <v>35</v>
      </c>
      <c r="Q100" s="35" t="s">
        <v>35</v>
      </c>
      <c r="R100" s="35" t="s">
        <v>35</v>
      </c>
      <c r="S100" s="35" t="s">
        <v>35</v>
      </c>
      <c r="T100" s="36" t="s">
        <v>35</v>
      </c>
      <c r="U100" s="35" t="s">
        <v>35</v>
      </c>
      <c r="V100"/>
    </row>
    <row r="101" spans="1:22" x14ac:dyDescent="0.3">
      <c r="A101" s="86" t="s">
        <v>60</v>
      </c>
      <c r="B101" s="87"/>
      <c r="C101" s="87"/>
      <c r="D101" s="87"/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8"/>
      <c r="U101" s="87"/>
      <c r="V101" s="39"/>
    </row>
    <row r="102" spans="1:22" x14ac:dyDescent="0.3">
      <c r="A102" s="89" t="s">
        <v>61</v>
      </c>
      <c r="B102" s="87">
        <f>B10</f>
        <v>5401.5068493150684</v>
      </c>
      <c r="C102" s="87">
        <f>B104</f>
        <v>5131.4315068493152</v>
      </c>
      <c r="D102" s="87">
        <f t="shared" ref="D102:U102" si="46">C104</f>
        <v>4861.3561643835619</v>
      </c>
      <c r="E102" s="87">
        <f t="shared" si="46"/>
        <v>4591.2808219178087</v>
      </c>
      <c r="F102" s="87">
        <f t="shared" si="46"/>
        <v>4321.2054794520554</v>
      </c>
      <c r="G102" s="87">
        <f t="shared" si="46"/>
        <v>4051.1301369863022</v>
      </c>
      <c r="H102" s="87">
        <f t="shared" si="46"/>
        <v>3781.054794520549</v>
      </c>
      <c r="I102" s="87">
        <f t="shared" si="46"/>
        <v>3510.9794520547957</v>
      </c>
      <c r="J102" s="87">
        <f t="shared" si="46"/>
        <v>3240.9041095890425</v>
      </c>
      <c r="K102" s="87">
        <f t="shared" si="46"/>
        <v>2970.8287671232893</v>
      </c>
      <c r="L102" s="87">
        <f t="shared" si="46"/>
        <v>2700.753424657536</v>
      </c>
      <c r="M102" s="87">
        <f t="shared" si="46"/>
        <v>2430.6780821917828</v>
      </c>
      <c r="N102" s="87">
        <f t="shared" si="46"/>
        <v>2160.6027397260295</v>
      </c>
      <c r="O102" s="87">
        <f t="shared" si="46"/>
        <v>1890.5273972602761</v>
      </c>
      <c r="P102" s="87">
        <f t="shared" si="46"/>
        <v>1620.4520547945226</v>
      </c>
      <c r="Q102" s="87">
        <f t="shared" si="46"/>
        <v>1350.3767123287691</v>
      </c>
      <c r="R102" s="87">
        <f t="shared" si="46"/>
        <v>1080.3013698630157</v>
      </c>
      <c r="S102" s="87">
        <f t="shared" si="46"/>
        <v>810.22602739726221</v>
      </c>
      <c r="T102" s="87">
        <f t="shared" si="46"/>
        <v>540.15068493150875</v>
      </c>
      <c r="U102" s="87">
        <f t="shared" si="46"/>
        <v>270.07534246575534</v>
      </c>
      <c r="V102" s="39"/>
    </row>
    <row r="103" spans="1:22" x14ac:dyDescent="0.3">
      <c r="A103" s="86" t="s">
        <v>60</v>
      </c>
      <c r="B103" s="87">
        <f>$B$102/$U$99*(-1)</f>
        <v>-270.07534246575341</v>
      </c>
      <c r="C103" s="87">
        <f t="shared" ref="C103:U103" si="47">$B$102/$U$99*(-1)</f>
        <v>-270.07534246575341</v>
      </c>
      <c r="D103" s="87">
        <f t="shared" si="47"/>
        <v>-270.07534246575341</v>
      </c>
      <c r="E103" s="87">
        <f t="shared" si="47"/>
        <v>-270.07534246575341</v>
      </c>
      <c r="F103" s="87">
        <f t="shared" si="47"/>
        <v>-270.07534246575341</v>
      </c>
      <c r="G103" s="87">
        <f t="shared" si="47"/>
        <v>-270.07534246575341</v>
      </c>
      <c r="H103" s="87">
        <f t="shared" si="47"/>
        <v>-270.07534246575341</v>
      </c>
      <c r="I103" s="87">
        <f t="shared" si="47"/>
        <v>-270.07534246575341</v>
      </c>
      <c r="J103" s="87">
        <f t="shared" si="47"/>
        <v>-270.07534246575341</v>
      </c>
      <c r="K103" s="87">
        <f t="shared" si="47"/>
        <v>-270.07534246575341</v>
      </c>
      <c r="L103" s="87">
        <f t="shared" si="47"/>
        <v>-270.07534246575341</v>
      </c>
      <c r="M103" s="87">
        <f t="shared" si="47"/>
        <v>-270.07534246575341</v>
      </c>
      <c r="N103" s="87">
        <f t="shared" si="47"/>
        <v>-270.07534246575341</v>
      </c>
      <c r="O103" s="87">
        <f t="shared" si="47"/>
        <v>-270.07534246575341</v>
      </c>
      <c r="P103" s="87">
        <f t="shared" si="47"/>
        <v>-270.07534246575341</v>
      </c>
      <c r="Q103" s="87">
        <f t="shared" si="47"/>
        <v>-270.07534246575341</v>
      </c>
      <c r="R103" s="87">
        <f t="shared" si="47"/>
        <v>-270.07534246575341</v>
      </c>
      <c r="S103" s="87">
        <f t="shared" si="47"/>
        <v>-270.07534246575341</v>
      </c>
      <c r="T103" s="87">
        <f t="shared" si="47"/>
        <v>-270.07534246575341</v>
      </c>
      <c r="U103" s="87">
        <f t="shared" si="47"/>
        <v>-270.07534246575341</v>
      </c>
      <c r="V103" s="39"/>
    </row>
    <row r="104" spans="1:22" x14ac:dyDescent="0.3">
      <c r="A104" s="89" t="s">
        <v>62</v>
      </c>
      <c r="B104" s="87">
        <f>SUM(B102:B103)</f>
        <v>5131.4315068493152</v>
      </c>
      <c r="C104" s="87">
        <f t="shared" ref="C104:U104" si="48">SUM(C102:C103)</f>
        <v>4861.3561643835619</v>
      </c>
      <c r="D104" s="87">
        <f t="shared" si="48"/>
        <v>4591.2808219178087</v>
      </c>
      <c r="E104" s="87">
        <f t="shared" si="48"/>
        <v>4321.2054794520554</v>
      </c>
      <c r="F104" s="87">
        <f t="shared" si="48"/>
        <v>4051.1301369863022</v>
      </c>
      <c r="G104" s="87">
        <f t="shared" si="48"/>
        <v>3781.054794520549</v>
      </c>
      <c r="H104" s="87">
        <f t="shared" si="48"/>
        <v>3510.9794520547957</v>
      </c>
      <c r="I104" s="87">
        <f t="shared" si="48"/>
        <v>3240.9041095890425</v>
      </c>
      <c r="J104" s="87">
        <f t="shared" si="48"/>
        <v>2970.8287671232893</v>
      </c>
      <c r="K104" s="87">
        <f t="shared" si="48"/>
        <v>2700.753424657536</v>
      </c>
      <c r="L104" s="87">
        <f t="shared" si="48"/>
        <v>2430.6780821917828</v>
      </c>
      <c r="M104" s="87">
        <f t="shared" si="48"/>
        <v>2160.6027397260295</v>
      </c>
      <c r="N104" s="87">
        <f t="shared" si="48"/>
        <v>1890.5273972602761</v>
      </c>
      <c r="O104" s="87">
        <f t="shared" si="48"/>
        <v>1620.4520547945226</v>
      </c>
      <c r="P104" s="87">
        <f t="shared" si="48"/>
        <v>1350.3767123287691</v>
      </c>
      <c r="Q104" s="87">
        <f t="shared" si="48"/>
        <v>1080.3013698630157</v>
      </c>
      <c r="R104" s="87">
        <f t="shared" si="48"/>
        <v>810.22602739726221</v>
      </c>
      <c r="S104" s="87">
        <f t="shared" si="48"/>
        <v>540.15068493150875</v>
      </c>
      <c r="T104" s="87">
        <f t="shared" si="48"/>
        <v>270.07534246575534</v>
      </c>
      <c r="U104" s="87">
        <f t="shared" si="48"/>
        <v>1.9326762412674725E-12</v>
      </c>
      <c r="V104" s="39"/>
    </row>
    <row r="105" spans="1:22" x14ac:dyDescent="0.3">
      <c r="A105" s="34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 s="39"/>
    </row>
    <row r="106" spans="1:22" ht="31.2" x14ac:dyDescent="0.3">
      <c r="A106" s="90" t="s">
        <v>63</v>
      </c>
      <c r="B106" s="87"/>
      <c r="C106" s="87"/>
      <c r="D106" s="87"/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39"/>
    </row>
    <row r="107" spans="1:22" x14ac:dyDescent="0.3">
      <c r="A107" s="86" t="s">
        <v>64</v>
      </c>
      <c r="B107" s="87">
        <f>C5</f>
        <v>122.1632859384754</v>
      </c>
      <c r="C107" s="87">
        <f t="shared" ref="C107:U107" si="49">D5</f>
        <v>124.97016111159343</v>
      </c>
      <c r="D107" s="87">
        <f t="shared" si="49"/>
        <v>127.23382246489251</v>
      </c>
      <c r="E107" s="87">
        <f t="shared" si="49"/>
        <v>129.88860366820876</v>
      </c>
      <c r="F107" s="87">
        <f t="shared" si="49"/>
        <v>132.50898928332933</v>
      </c>
      <c r="G107" s="87">
        <f t="shared" si="49"/>
        <v>135.45369445033106</v>
      </c>
      <c r="H107" s="87">
        <f t="shared" si="49"/>
        <v>138.27250753890593</v>
      </c>
      <c r="I107" s="87">
        <f t="shared" si="49"/>
        <v>141.07324218144475</v>
      </c>
      <c r="J107" s="87">
        <f t="shared" si="49"/>
        <v>144.12424291567103</v>
      </c>
      <c r="K107" s="87">
        <f t="shared" si="49"/>
        <v>-2283.6890033977988</v>
      </c>
      <c r="L107" s="87">
        <f t="shared" si="49"/>
        <v>150.28334153143882</v>
      </c>
      <c r="M107" s="87">
        <f t="shared" si="49"/>
        <v>153.5263118068838</v>
      </c>
      <c r="N107" s="87">
        <f t="shared" si="49"/>
        <v>156.63994519567976</v>
      </c>
      <c r="O107" s="87">
        <f t="shared" si="49"/>
        <v>160.15025638299369</v>
      </c>
      <c r="P107" s="87">
        <f t="shared" si="49"/>
        <v>163.99320985741724</v>
      </c>
      <c r="Q107" s="87">
        <f t="shared" si="49"/>
        <v>167.26888502277691</v>
      </c>
      <c r="R107" s="87">
        <f t="shared" si="49"/>
        <v>170.64930213225284</v>
      </c>
      <c r="S107" s="87">
        <f t="shared" si="49"/>
        <v>174.3102301753666</v>
      </c>
      <c r="T107" s="87">
        <f t="shared" si="49"/>
        <v>178.7246780770223</v>
      </c>
      <c r="U107" s="87">
        <f t="shared" si="49"/>
        <v>182.67202587181276</v>
      </c>
      <c r="V107" s="39"/>
    </row>
    <row r="108" spans="1:22" ht="31.2" x14ac:dyDescent="0.3">
      <c r="A108" s="90" t="s">
        <v>119</v>
      </c>
      <c r="B108" s="87">
        <f>IF(B107&gt;0,SUM(B123:B124)*(-1)*0.25,0)</f>
        <v>72.650267123287676</v>
      </c>
      <c r="C108" s="87">
        <f t="shared" ref="C108:U108" si="50">IF(C107&gt;0,SUM(C123:C124)*(-1)*0.25,0)</f>
        <v>85.31218507854453</v>
      </c>
      <c r="D108" s="87">
        <f t="shared" si="50"/>
        <v>97.092561732474749</v>
      </c>
      <c r="E108" s="87">
        <f t="shared" si="50"/>
        <v>106.56958923928099</v>
      </c>
      <c r="F108" s="87">
        <f t="shared" si="50"/>
        <v>116.87738996083013</v>
      </c>
      <c r="G108" s="87">
        <f t="shared" si="50"/>
        <v>126.09588660286748</v>
      </c>
      <c r="H108" s="87">
        <f t="shared" si="50"/>
        <v>134.39779779096176</v>
      </c>
      <c r="I108" s="87">
        <f t="shared" si="50"/>
        <v>141.79235248806691</v>
      </c>
      <c r="J108" s="87">
        <f t="shared" si="50"/>
        <v>148.28748046704845</v>
      </c>
      <c r="K108" s="87">
        <f t="shared" si="50"/>
        <v>0</v>
      </c>
      <c r="L108" s="87">
        <f t="shared" si="50"/>
        <v>182.61464762710955</v>
      </c>
      <c r="M108" s="87">
        <f t="shared" si="50"/>
        <v>186.07654607445409</v>
      </c>
      <c r="N108" s="87">
        <f t="shared" si="50"/>
        <v>188.50037681178526</v>
      </c>
      <c r="O108" s="87">
        <f t="shared" si="50"/>
        <v>190.0635583342883</v>
      </c>
      <c r="P108" s="87">
        <f t="shared" si="50"/>
        <v>190.76892707770955</v>
      </c>
      <c r="Q108" s="87">
        <f t="shared" si="50"/>
        <v>190.62002030925058</v>
      </c>
      <c r="R108" s="87">
        <f t="shared" si="50"/>
        <v>189.63053366512722</v>
      </c>
      <c r="S108" s="87">
        <f t="shared" si="50"/>
        <v>187.97355412646576</v>
      </c>
      <c r="T108" s="87">
        <f t="shared" si="50"/>
        <v>185.48447256259203</v>
      </c>
      <c r="U108" s="87">
        <f t="shared" si="50"/>
        <v>182.16184236199791</v>
      </c>
      <c r="V108" s="39"/>
    </row>
    <row r="109" spans="1:22" x14ac:dyDescent="0.3">
      <c r="A109" s="86" t="s">
        <v>65</v>
      </c>
      <c r="B109" s="87">
        <f>IF(B107&gt;0,SUM(B123),0)</f>
        <v>-290.60106849315071</v>
      </c>
      <c r="C109" s="87">
        <f t="shared" ref="C109:U109" si="51">IF(C107&gt;0,SUM(C123),0)</f>
        <v>-341.24874031417812</v>
      </c>
      <c r="D109" s="87">
        <f t="shared" si="51"/>
        <v>-388.370246929899</v>
      </c>
      <c r="E109" s="87">
        <f t="shared" si="51"/>
        <v>-426.27835695712395</v>
      </c>
      <c r="F109" s="87">
        <f t="shared" si="51"/>
        <v>-467.50955984332052</v>
      </c>
      <c r="G109" s="87">
        <f t="shared" si="51"/>
        <v>-504.38354641146992</v>
      </c>
      <c r="H109" s="87">
        <f t="shared" si="51"/>
        <v>-537.59119116384704</v>
      </c>
      <c r="I109" s="87">
        <f t="shared" si="51"/>
        <v>-567.16940995226764</v>
      </c>
      <c r="J109" s="87">
        <f t="shared" si="51"/>
        <v>-593.14992186819381</v>
      </c>
      <c r="K109" s="87">
        <f t="shared" si="51"/>
        <v>0</v>
      </c>
      <c r="L109" s="87">
        <f t="shared" si="51"/>
        <v>-730.45859050843819</v>
      </c>
      <c r="M109" s="87">
        <f t="shared" si="51"/>
        <v>-744.30618429781634</v>
      </c>
      <c r="N109" s="87">
        <f t="shared" si="51"/>
        <v>-754.00150724714103</v>
      </c>
      <c r="O109" s="87">
        <f t="shared" si="51"/>
        <v>-760.25423333715321</v>
      </c>
      <c r="P109" s="87">
        <f t="shared" si="51"/>
        <v>-763.07570831083819</v>
      </c>
      <c r="Q109" s="87">
        <f t="shared" si="51"/>
        <v>-762.48008123700231</v>
      </c>
      <c r="R109" s="87">
        <f t="shared" si="51"/>
        <v>-758.52213466050887</v>
      </c>
      <c r="S109" s="87">
        <f t="shared" si="51"/>
        <v>-751.89421650586303</v>
      </c>
      <c r="T109" s="87">
        <f t="shared" si="51"/>
        <v>-741.93789025036813</v>
      </c>
      <c r="U109" s="87">
        <f t="shared" si="51"/>
        <v>-728.64736944799165</v>
      </c>
      <c r="V109" s="39"/>
    </row>
    <row r="110" spans="1:22" x14ac:dyDescent="0.3">
      <c r="A110" s="86" t="s">
        <v>66</v>
      </c>
      <c r="B110" s="87">
        <f>IF(B107&gt;0,B124,0)</f>
        <v>0</v>
      </c>
      <c r="C110" s="87">
        <f t="shared" ref="C110:U110" si="52">IF(C107&gt;0,C124,0)</f>
        <v>0</v>
      </c>
      <c r="D110" s="87">
        <f t="shared" si="52"/>
        <v>0</v>
      </c>
      <c r="E110" s="87">
        <f t="shared" si="52"/>
        <v>0</v>
      </c>
      <c r="F110" s="87">
        <f t="shared" si="52"/>
        <v>0</v>
      </c>
      <c r="G110" s="87">
        <f t="shared" si="52"/>
        <v>0</v>
      </c>
      <c r="H110" s="87">
        <f t="shared" si="52"/>
        <v>0</v>
      </c>
      <c r="I110" s="87">
        <f t="shared" si="52"/>
        <v>0</v>
      </c>
      <c r="J110" s="87">
        <f t="shared" si="52"/>
        <v>0</v>
      </c>
      <c r="K110" s="87">
        <f t="shared" si="52"/>
        <v>0</v>
      </c>
      <c r="L110" s="87">
        <f t="shared" si="52"/>
        <v>0</v>
      </c>
      <c r="M110" s="87">
        <f t="shared" si="52"/>
        <v>0</v>
      </c>
      <c r="N110" s="87">
        <f t="shared" si="52"/>
        <v>0</v>
      </c>
      <c r="O110" s="87">
        <f t="shared" si="52"/>
        <v>0</v>
      </c>
      <c r="P110" s="87">
        <f t="shared" si="52"/>
        <v>0</v>
      </c>
      <c r="Q110" s="87">
        <f t="shared" si="52"/>
        <v>0</v>
      </c>
      <c r="R110" s="87">
        <f t="shared" si="52"/>
        <v>0</v>
      </c>
      <c r="S110" s="87">
        <f t="shared" si="52"/>
        <v>0</v>
      </c>
      <c r="T110" s="87">
        <f t="shared" si="52"/>
        <v>0</v>
      </c>
      <c r="U110" s="87">
        <f t="shared" si="52"/>
        <v>0</v>
      </c>
      <c r="V110" s="39"/>
    </row>
    <row r="111" spans="1:22" ht="31.2" x14ac:dyDescent="0.3">
      <c r="A111" s="91" t="s">
        <v>120</v>
      </c>
      <c r="B111" s="87">
        <f t="shared" ref="B111:U111" si="53">IF(SUM(B107:B110)&gt;0,ROUNDDOWN(SUM(B107:B110),-2),ROUNDUP(SUM(B107:B110),-2))*Gewerbesteuer</f>
        <v>-12.425000000000001</v>
      </c>
      <c r="C111" s="87">
        <f t="shared" si="53"/>
        <v>-24.85</v>
      </c>
      <c r="D111" s="87">
        <f t="shared" si="53"/>
        <v>-24.85</v>
      </c>
      <c r="E111" s="87">
        <f t="shared" si="53"/>
        <v>-24.85</v>
      </c>
      <c r="F111" s="87">
        <f t="shared" si="53"/>
        <v>-37.274999999999999</v>
      </c>
      <c r="G111" s="87">
        <f t="shared" si="53"/>
        <v>-37.274999999999999</v>
      </c>
      <c r="H111" s="87">
        <f t="shared" si="53"/>
        <v>-37.274999999999999</v>
      </c>
      <c r="I111" s="87">
        <f t="shared" si="53"/>
        <v>-37.274999999999999</v>
      </c>
      <c r="J111" s="87">
        <f t="shared" si="53"/>
        <v>-49.7</v>
      </c>
      <c r="K111" s="87">
        <f t="shared" si="53"/>
        <v>-285.77499999999998</v>
      </c>
      <c r="L111" s="87">
        <f t="shared" si="53"/>
        <v>-49.7</v>
      </c>
      <c r="M111" s="87">
        <f t="shared" si="53"/>
        <v>-62.125</v>
      </c>
      <c r="N111" s="87">
        <f t="shared" si="53"/>
        <v>-62.125</v>
      </c>
      <c r="O111" s="87">
        <f t="shared" si="53"/>
        <v>-62.125</v>
      </c>
      <c r="P111" s="87">
        <f t="shared" si="53"/>
        <v>-62.125</v>
      </c>
      <c r="Q111" s="87">
        <f t="shared" si="53"/>
        <v>-62.125</v>
      </c>
      <c r="R111" s="87">
        <f t="shared" si="53"/>
        <v>-49.7</v>
      </c>
      <c r="S111" s="87">
        <f t="shared" si="53"/>
        <v>-49.7</v>
      </c>
      <c r="T111" s="87">
        <f t="shared" si="53"/>
        <v>-49.7</v>
      </c>
      <c r="U111" s="87">
        <f t="shared" si="53"/>
        <v>-49.7</v>
      </c>
      <c r="V111" s="39"/>
    </row>
    <row r="112" spans="1:22" x14ac:dyDescent="0.3">
      <c r="A112" s="91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87"/>
      <c r="V112" s="39"/>
    </row>
    <row r="113" spans="1:22" ht="31.2" x14ac:dyDescent="0.3">
      <c r="A113" s="93" t="s">
        <v>63</v>
      </c>
      <c r="B113" s="94"/>
      <c r="C113" s="94"/>
      <c r="D113" s="94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O113" s="94"/>
      <c r="P113" s="94"/>
      <c r="Q113" s="94"/>
      <c r="R113" s="94"/>
      <c r="S113" s="94"/>
      <c r="T113" s="95"/>
      <c r="U113" s="94"/>
      <c r="V113" s="39"/>
    </row>
    <row r="114" spans="1:22" x14ac:dyDescent="0.3">
      <c r="A114" s="96" t="s">
        <v>64</v>
      </c>
      <c r="B114" s="94">
        <f t="shared" ref="B114:U114" si="54">C6</f>
        <v>24.812840273461759</v>
      </c>
      <c r="C114" s="94">
        <f t="shared" si="54"/>
        <v>24.197469428259769</v>
      </c>
      <c r="D114" s="94">
        <f t="shared" si="54"/>
        <v>23.597360087704214</v>
      </c>
      <c r="E114" s="94">
        <f t="shared" si="54"/>
        <v>23.012133758849107</v>
      </c>
      <c r="F114" s="94">
        <f t="shared" si="54"/>
        <v>22.441421335562769</v>
      </c>
      <c r="G114" s="94">
        <f t="shared" si="54"/>
        <v>21.884862865730145</v>
      </c>
      <c r="H114" s="94">
        <f t="shared" si="54"/>
        <v>21.342107324228607</v>
      </c>
      <c r="I114" s="94">
        <f t="shared" si="54"/>
        <v>20.812812391534074</v>
      </c>
      <c r="J114" s="94">
        <f t="shared" si="54"/>
        <v>20.296644237817834</v>
      </c>
      <c r="K114" s="94">
        <f t="shared" si="54"/>
        <v>19.793277312397834</v>
      </c>
      <c r="L114" s="94">
        <f t="shared" si="54"/>
        <v>19.302394138411707</v>
      </c>
      <c r="M114" s="94">
        <f t="shared" si="54"/>
        <v>18.82368511258203</v>
      </c>
      <c r="N114" s="94">
        <f t="shared" si="54"/>
        <v>18.356848309947438</v>
      </c>
      <c r="O114" s="94">
        <f t="shared" si="54"/>
        <v>17.901589293436583</v>
      </c>
      <c r="P114" s="94">
        <f t="shared" si="54"/>
        <v>17.457620928164708</v>
      </c>
      <c r="Q114" s="94">
        <f t="shared" si="54"/>
        <v>17.024663200335759</v>
      </c>
      <c r="R114" s="94">
        <f t="shared" si="54"/>
        <v>16.602443040635833</v>
      </c>
      <c r="S114" s="94">
        <f t="shared" si="54"/>
        <v>16.190694152006543</v>
      </c>
      <c r="T114" s="94">
        <f t="shared" si="54"/>
        <v>15.789156841689703</v>
      </c>
      <c r="U114" s="94">
        <f t="shared" si="54"/>
        <v>15.397577857437376</v>
      </c>
      <c r="V114" s="39"/>
    </row>
    <row r="115" spans="1:22" ht="31.2" x14ac:dyDescent="0.3">
      <c r="A115" s="93" t="s">
        <v>119</v>
      </c>
      <c r="B115" s="94">
        <f>IF(B114&gt;0,SUM(B130:B131)*(-1)*0.25,0)</f>
        <v>0</v>
      </c>
      <c r="C115" s="94">
        <f t="shared" ref="C115:U115" si="55">IF(C114&gt;0,SUM(C130:C131)*(-1)*0.25,0)</f>
        <v>-0.10545457116221249</v>
      </c>
      <c r="D115" s="94">
        <f t="shared" si="55"/>
        <v>-0.2100865439420741</v>
      </c>
      <c r="E115" s="94">
        <f t="shared" si="55"/>
        <v>-0.31394679556183225</v>
      </c>
      <c r="F115" s="94">
        <f t="shared" si="55"/>
        <v>-0.41708545956149212</v>
      </c>
      <c r="G115" s="94">
        <f t="shared" si="55"/>
        <v>-0.51955195305017932</v>
      </c>
      <c r="H115" s="94">
        <f t="shared" si="55"/>
        <v>-0.62139500343138543</v>
      </c>
      <c r="I115" s="94">
        <f t="shared" si="55"/>
        <v>-0.72266267461769063</v>
      </c>
      <c r="J115" s="94">
        <f t="shared" si="55"/>
        <v>-0.82340239275021121</v>
      </c>
      <c r="K115" s="94">
        <f t="shared" si="55"/>
        <v>-0.92366097143769066</v>
      </c>
      <c r="L115" s="94">
        <f t="shared" si="55"/>
        <v>-1.0234846365298222</v>
      </c>
      <c r="M115" s="94">
        <f t="shared" si="55"/>
        <v>-1.1229190504390789</v>
      </c>
      <c r="N115" s="94">
        <f t="shared" si="55"/>
        <v>-1.222009336025017</v>
      </c>
      <c r="O115" s="94">
        <f t="shared" si="55"/>
        <v>-1.3208001000547189</v>
      </c>
      <c r="P115" s="94">
        <f t="shared" si="55"/>
        <v>-1.4193354562527545</v>
      </c>
      <c r="Q115" s="94">
        <f t="shared" si="55"/>
        <v>-1.5176590479537513</v>
      </c>
      <c r="R115" s="94">
        <f t="shared" si="55"/>
        <v>-1.615814070370392</v>
      </c>
      <c r="S115" s="94">
        <f t="shared" si="55"/>
        <v>-1.7138432924893909</v>
      </c>
      <c r="T115" s="94">
        <f t="shared" si="55"/>
        <v>-1.8117890786077384</v>
      </c>
      <c r="U115" s="94">
        <f t="shared" si="55"/>
        <v>-1.9096934095212512</v>
      </c>
      <c r="V115" s="39"/>
    </row>
    <row r="116" spans="1:22" x14ac:dyDescent="0.3">
      <c r="A116" s="96" t="s">
        <v>65</v>
      </c>
      <c r="B116" s="94">
        <f>IF(B114&gt;0,SUM(B130),0)</f>
        <v>0</v>
      </c>
      <c r="C116" s="94">
        <f t="shared" ref="C116:U116" si="56">IF(C114&gt;0,SUM(C130),0)</f>
        <v>0</v>
      </c>
      <c r="D116" s="94">
        <f t="shared" si="56"/>
        <v>0</v>
      </c>
      <c r="E116" s="94">
        <f t="shared" si="56"/>
        <v>0</v>
      </c>
      <c r="F116" s="94">
        <f t="shared" si="56"/>
        <v>0</v>
      </c>
      <c r="G116" s="94">
        <f t="shared" si="56"/>
        <v>0</v>
      </c>
      <c r="H116" s="94">
        <f t="shared" si="56"/>
        <v>0</v>
      </c>
      <c r="I116" s="94">
        <f t="shared" si="56"/>
        <v>0</v>
      </c>
      <c r="J116" s="94">
        <f t="shared" si="56"/>
        <v>0</v>
      </c>
      <c r="K116" s="94">
        <f t="shared" si="56"/>
        <v>0</v>
      </c>
      <c r="L116" s="94">
        <f t="shared" si="56"/>
        <v>0</v>
      </c>
      <c r="M116" s="94">
        <f t="shared" si="56"/>
        <v>0</v>
      </c>
      <c r="N116" s="94">
        <f t="shared" si="56"/>
        <v>0</v>
      </c>
      <c r="O116" s="94">
        <f t="shared" si="56"/>
        <v>0</v>
      </c>
      <c r="P116" s="94">
        <f t="shared" si="56"/>
        <v>0</v>
      </c>
      <c r="Q116" s="94">
        <f t="shared" si="56"/>
        <v>0</v>
      </c>
      <c r="R116" s="94">
        <f t="shared" si="56"/>
        <v>0</v>
      </c>
      <c r="S116" s="94">
        <f t="shared" si="56"/>
        <v>0</v>
      </c>
      <c r="T116" s="94">
        <f t="shared" si="56"/>
        <v>0</v>
      </c>
      <c r="U116" s="94">
        <f t="shared" si="56"/>
        <v>0</v>
      </c>
      <c r="V116" s="39"/>
    </row>
    <row r="117" spans="1:22" x14ac:dyDescent="0.3">
      <c r="A117" s="96" t="s">
        <v>66</v>
      </c>
      <c r="B117" s="94">
        <f>IF(B114&gt;0,B131,0)</f>
        <v>0</v>
      </c>
      <c r="C117" s="94">
        <f t="shared" ref="C117:U117" si="57">IF(C114&gt;0,C131,0)</f>
        <v>0.42181828464884996</v>
      </c>
      <c r="D117" s="94">
        <f t="shared" si="57"/>
        <v>0.8403461757682964</v>
      </c>
      <c r="E117" s="94">
        <f t="shared" si="57"/>
        <v>1.255787182247329</v>
      </c>
      <c r="F117" s="94">
        <f t="shared" si="57"/>
        <v>1.6683418382459685</v>
      </c>
      <c r="G117" s="94">
        <f t="shared" si="57"/>
        <v>2.0782078122007173</v>
      </c>
      <c r="H117" s="94">
        <f t="shared" si="57"/>
        <v>2.4855800137255417</v>
      </c>
      <c r="I117" s="94">
        <f t="shared" si="57"/>
        <v>2.8906506984707625</v>
      </c>
      <c r="J117" s="94">
        <f t="shared" si="57"/>
        <v>3.2936095710008448</v>
      </c>
      <c r="K117" s="94">
        <f t="shared" si="57"/>
        <v>3.6946438857507626</v>
      </c>
      <c r="L117" s="94">
        <f t="shared" si="57"/>
        <v>4.093938546119289</v>
      </c>
      <c r="M117" s="94">
        <f t="shared" si="57"/>
        <v>4.4916762017563157</v>
      </c>
      <c r="N117" s="94">
        <f t="shared" si="57"/>
        <v>4.8880373441000682</v>
      </c>
      <c r="O117" s="94">
        <f t="shared" si="57"/>
        <v>5.2832004002188757</v>
      </c>
      <c r="P117" s="94">
        <f t="shared" si="57"/>
        <v>5.6773418250110179</v>
      </c>
      <c r="Q117" s="94">
        <f t="shared" si="57"/>
        <v>6.0706361918150051</v>
      </c>
      <c r="R117" s="94">
        <f t="shared" si="57"/>
        <v>6.4632562814815682</v>
      </c>
      <c r="S117" s="94">
        <f t="shared" si="57"/>
        <v>6.8553731699575637</v>
      </c>
      <c r="T117" s="94">
        <f t="shared" si="57"/>
        <v>7.2471563144309536</v>
      </c>
      <c r="U117" s="94">
        <f t="shared" si="57"/>
        <v>7.6387736380850049</v>
      </c>
      <c r="V117" s="39"/>
    </row>
    <row r="118" spans="1:22" ht="31.2" x14ac:dyDescent="0.3">
      <c r="A118" s="97" t="s">
        <v>120</v>
      </c>
      <c r="B118" s="94">
        <f>IF(SUM(B114:B117)&gt;0,ROUNDDOWN(SUM(B114:B117),-2),ROUNDUP(SUM(B114:B117),-2))*Gewerbesteuer</f>
        <v>0</v>
      </c>
      <c r="C118" s="94">
        <f t="shared" ref="C118" si="58">ROUNDDOWN(SUM(C114:C117),-2)*Gewerbesteuer</f>
        <v>0</v>
      </c>
      <c r="D118" s="94">
        <f t="shared" ref="D118:U118" si="59">IF(SUM(D114:D117)&gt;0,ROUNDDOWN(SUM(D114:D117),-2),ROUNDUP(SUM(D114:D117),-2))*Gewerbesteuer</f>
        <v>0</v>
      </c>
      <c r="E118" s="94">
        <f t="shared" si="59"/>
        <v>0</v>
      </c>
      <c r="F118" s="94">
        <f t="shared" si="59"/>
        <v>0</v>
      </c>
      <c r="G118" s="94">
        <f t="shared" si="59"/>
        <v>0</v>
      </c>
      <c r="H118" s="94">
        <f t="shared" si="59"/>
        <v>0</v>
      </c>
      <c r="I118" s="94">
        <f t="shared" si="59"/>
        <v>0</v>
      </c>
      <c r="J118" s="94">
        <f t="shared" si="59"/>
        <v>0</v>
      </c>
      <c r="K118" s="94">
        <f t="shared" si="59"/>
        <v>0</v>
      </c>
      <c r="L118" s="94">
        <f t="shared" si="59"/>
        <v>0</v>
      </c>
      <c r="M118" s="94">
        <f t="shared" si="59"/>
        <v>0</v>
      </c>
      <c r="N118" s="94">
        <f t="shared" si="59"/>
        <v>0</v>
      </c>
      <c r="O118" s="94">
        <f t="shared" si="59"/>
        <v>0</v>
      </c>
      <c r="P118" s="94">
        <f t="shared" si="59"/>
        <v>0</v>
      </c>
      <c r="Q118" s="94">
        <f t="shared" si="59"/>
        <v>0</v>
      </c>
      <c r="R118" s="94">
        <f t="shared" si="59"/>
        <v>0</v>
      </c>
      <c r="S118" s="94">
        <f t="shared" si="59"/>
        <v>0</v>
      </c>
      <c r="T118" s="95">
        <f t="shared" si="59"/>
        <v>0</v>
      </c>
      <c r="U118" s="94">
        <f t="shared" si="59"/>
        <v>0</v>
      </c>
      <c r="V118" s="39"/>
    </row>
    <row r="119" spans="1:22" x14ac:dyDescent="0.3">
      <c r="A119" s="34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 s="41"/>
      <c r="V119" s="39"/>
    </row>
    <row r="120" spans="1:22" x14ac:dyDescent="0.3">
      <c r="A120" s="111" t="s">
        <v>67</v>
      </c>
      <c r="B120" s="110"/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2"/>
      <c r="U120" s="110"/>
      <c r="V120" s="39"/>
    </row>
    <row r="121" spans="1:22" x14ac:dyDescent="0.3">
      <c r="A121" s="111" t="s">
        <v>64</v>
      </c>
      <c r="B121" s="110">
        <f>B107</f>
        <v>122.1632859384754</v>
      </c>
      <c r="C121" s="110">
        <f t="shared" ref="C121:J121" si="60">C107</f>
        <v>124.97016111159343</v>
      </c>
      <c r="D121" s="110">
        <f t="shared" si="60"/>
        <v>127.23382246489251</v>
      </c>
      <c r="E121" s="110">
        <f t="shared" si="60"/>
        <v>129.88860366820876</v>
      </c>
      <c r="F121" s="110">
        <f t="shared" si="60"/>
        <v>132.50898928332933</v>
      </c>
      <c r="G121" s="110">
        <f t="shared" si="60"/>
        <v>135.45369445033106</v>
      </c>
      <c r="H121" s="110">
        <f t="shared" si="60"/>
        <v>138.27250753890593</v>
      </c>
      <c r="I121" s="110">
        <f t="shared" si="60"/>
        <v>141.07324218144475</v>
      </c>
      <c r="J121" s="110">
        <f t="shared" si="60"/>
        <v>144.12424291567103</v>
      </c>
      <c r="K121" s="110">
        <f t="shared" ref="K121:U121" si="61">K107</f>
        <v>-2283.6890033977988</v>
      </c>
      <c r="L121" s="110">
        <f t="shared" si="61"/>
        <v>150.28334153143882</v>
      </c>
      <c r="M121" s="110">
        <f t="shared" si="61"/>
        <v>153.5263118068838</v>
      </c>
      <c r="N121" s="110">
        <f t="shared" si="61"/>
        <v>156.63994519567976</v>
      </c>
      <c r="O121" s="110">
        <f t="shared" si="61"/>
        <v>160.15025638299369</v>
      </c>
      <c r="P121" s="110">
        <f t="shared" si="61"/>
        <v>163.99320985741724</v>
      </c>
      <c r="Q121" s="110">
        <f t="shared" si="61"/>
        <v>167.26888502277691</v>
      </c>
      <c r="R121" s="110">
        <f t="shared" si="61"/>
        <v>170.64930213225284</v>
      </c>
      <c r="S121" s="110">
        <f t="shared" si="61"/>
        <v>174.3102301753666</v>
      </c>
      <c r="T121" s="110">
        <f t="shared" si="61"/>
        <v>178.7246780770223</v>
      </c>
      <c r="U121" s="110">
        <f t="shared" si="61"/>
        <v>182.67202587181276</v>
      </c>
      <c r="V121" s="39"/>
    </row>
    <row r="122" spans="1:22" x14ac:dyDescent="0.3">
      <c r="A122" s="111" t="s">
        <v>60</v>
      </c>
      <c r="B122" s="110">
        <f>B104</f>
        <v>5131.4315068493152</v>
      </c>
      <c r="C122" s="110">
        <f t="shared" ref="C122:J122" si="62">C104</f>
        <v>4861.3561643835619</v>
      </c>
      <c r="D122" s="110">
        <f t="shared" si="62"/>
        <v>4591.2808219178087</v>
      </c>
      <c r="E122" s="110">
        <f t="shared" si="62"/>
        <v>4321.2054794520554</v>
      </c>
      <c r="F122" s="110">
        <f t="shared" si="62"/>
        <v>4051.1301369863022</v>
      </c>
      <c r="G122" s="110">
        <f t="shared" si="62"/>
        <v>3781.054794520549</v>
      </c>
      <c r="H122" s="110">
        <f t="shared" si="62"/>
        <v>3510.9794520547957</v>
      </c>
      <c r="I122" s="110">
        <f t="shared" si="62"/>
        <v>3240.9041095890425</v>
      </c>
      <c r="J122" s="110">
        <f t="shared" si="62"/>
        <v>2970.8287671232893</v>
      </c>
      <c r="K122" s="110">
        <f t="shared" ref="K122:U122" si="63">K104</f>
        <v>2700.753424657536</v>
      </c>
      <c r="L122" s="110">
        <f t="shared" si="63"/>
        <v>2430.6780821917828</v>
      </c>
      <c r="M122" s="110">
        <f t="shared" si="63"/>
        <v>2160.6027397260295</v>
      </c>
      <c r="N122" s="110">
        <f t="shared" si="63"/>
        <v>1890.5273972602761</v>
      </c>
      <c r="O122" s="110">
        <f t="shared" si="63"/>
        <v>1620.4520547945226</v>
      </c>
      <c r="P122" s="110">
        <f t="shared" si="63"/>
        <v>1350.3767123287691</v>
      </c>
      <c r="Q122" s="110">
        <f t="shared" si="63"/>
        <v>1080.3013698630157</v>
      </c>
      <c r="R122" s="110">
        <f t="shared" si="63"/>
        <v>810.22602739726221</v>
      </c>
      <c r="S122" s="110">
        <f t="shared" si="63"/>
        <v>540.15068493150875</v>
      </c>
      <c r="T122" s="110">
        <f t="shared" si="63"/>
        <v>270.07534246575534</v>
      </c>
      <c r="U122" s="110">
        <f t="shared" si="63"/>
        <v>1.9326762412674725E-12</v>
      </c>
      <c r="V122" s="39"/>
    </row>
    <row r="123" spans="1:22" x14ac:dyDescent="0.3">
      <c r="A123" s="111" t="s">
        <v>65</v>
      </c>
      <c r="B123" s="110">
        <f>SUM(C27,C12)</f>
        <v>-290.60106849315071</v>
      </c>
      <c r="C123" s="110">
        <f t="shared" ref="C123:J123" si="64">SUM(D27,D12)</f>
        <v>-341.24874031417812</v>
      </c>
      <c r="D123" s="110">
        <f t="shared" si="64"/>
        <v>-388.370246929899</v>
      </c>
      <c r="E123" s="110">
        <f t="shared" si="64"/>
        <v>-426.27835695712395</v>
      </c>
      <c r="F123" s="110">
        <f t="shared" si="64"/>
        <v>-467.50955984332052</v>
      </c>
      <c r="G123" s="110">
        <f t="shared" si="64"/>
        <v>-504.38354641146992</v>
      </c>
      <c r="H123" s="110">
        <f t="shared" si="64"/>
        <v>-537.59119116384704</v>
      </c>
      <c r="I123" s="110">
        <f t="shared" si="64"/>
        <v>-567.16940995226764</v>
      </c>
      <c r="J123" s="110">
        <f t="shared" si="64"/>
        <v>-593.14992186819381</v>
      </c>
      <c r="K123" s="110">
        <f t="shared" ref="K123:U123" si="65">SUM(L27,L12)</f>
        <v>-614.88355866051393</v>
      </c>
      <c r="L123" s="110">
        <f t="shared" si="65"/>
        <v>-730.45859050843819</v>
      </c>
      <c r="M123" s="110">
        <f t="shared" si="65"/>
        <v>-744.30618429781634</v>
      </c>
      <c r="N123" s="110">
        <f t="shared" si="65"/>
        <v>-754.00150724714103</v>
      </c>
      <c r="O123" s="110">
        <f t="shared" si="65"/>
        <v>-760.25423333715321</v>
      </c>
      <c r="P123" s="110">
        <f t="shared" si="65"/>
        <v>-763.07570831083819</v>
      </c>
      <c r="Q123" s="110">
        <f t="shared" si="65"/>
        <v>-762.48008123700231</v>
      </c>
      <c r="R123" s="110">
        <f t="shared" si="65"/>
        <v>-758.52213466050887</v>
      </c>
      <c r="S123" s="110">
        <f t="shared" si="65"/>
        <v>-751.89421650586303</v>
      </c>
      <c r="T123" s="110">
        <f t="shared" si="65"/>
        <v>-741.93789025036813</v>
      </c>
      <c r="U123" s="110">
        <f t="shared" si="65"/>
        <v>-728.64736944799165</v>
      </c>
      <c r="V123" s="39"/>
    </row>
    <row r="124" spans="1:22" x14ac:dyDescent="0.3">
      <c r="A124" s="111" t="s">
        <v>66</v>
      </c>
      <c r="B124" s="110">
        <f>C31</f>
        <v>0</v>
      </c>
      <c r="C124" s="110">
        <f t="shared" ref="C124:J124" si="66">D31</f>
        <v>0</v>
      </c>
      <c r="D124" s="110">
        <f t="shared" si="66"/>
        <v>0</v>
      </c>
      <c r="E124" s="110">
        <f t="shared" si="66"/>
        <v>0</v>
      </c>
      <c r="F124" s="110">
        <f t="shared" si="66"/>
        <v>0</v>
      </c>
      <c r="G124" s="110">
        <f t="shared" si="66"/>
        <v>0</v>
      </c>
      <c r="H124" s="110">
        <f t="shared" si="66"/>
        <v>0</v>
      </c>
      <c r="I124" s="110">
        <f t="shared" si="66"/>
        <v>0</v>
      </c>
      <c r="J124" s="110">
        <f t="shared" si="66"/>
        <v>0</v>
      </c>
      <c r="K124" s="110">
        <f t="shared" ref="K124:U124" si="67">L31</f>
        <v>0</v>
      </c>
      <c r="L124" s="110">
        <f t="shared" si="67"/>
        <v>0</v>
      </c>
      <c r="M124" s="110">
        <f t="shared" si="67"/>
        <v>0</v>
      </c>
      <c r="N124" s="110">
        <f t="shared" si="67"/>
        <v>0</v>
      </c>
      <c r="O124" s="110">
        <f t="shared" si="67"/>
        <v>0</v>
      </c>
      <c r="P124" s="110">
        <f t="shared" si="67"/>
        <v>0</v>
      </c>
      <c r="Q124" s="110">
        <f t="shared" si="67"/>
        <v>0</v>
      </c>
      <c r="R124" s="110">
        <f t="shared" si="67"/>
        <v>0</v>
      </c>
      <c r="S124" s="110">
        <f t="shared" si="67"/>
        <v>0</v>
      </c>
      <c r="T124" s="110">
        <f t="shared" si="67"/>
        <v>0</v>
      </c>
      <c r="U124" s="110">
        <f t="shared" si="67"/>
        <v>0</v>
      </c>
      <c r="V124" s="39"/>
    </row>
    <row r="125" spans="1:22" x14ac:dyDescent="0.3">
      <c r="A125" s="111" t="s">
        <v>68</v>
      </c>
      <c r="B125" s="110">
        <f>SUM(B121:B124)</f>
        <v>4962.9937242946398</v>
      </c>
      <c r="C125" s="110">
        <f t="shared" ref="C125:J125" si="68">SUM(C121:C124)</f>
        <v>4645.0775851809776</v>
      </c>
      <c r="D125" s="110">
        <f t="shared" si="68"/>
        <v>4330.1443974528029</v>
      </c>
      <c r="E125" s="110">
        <f t="shared" si="68"/>
        <v>4024.8157261631404</v>
      </c>
      <c r="F125" s="110">
        <f t="shared" si="68"/>
        <v>3716.1295664263112</v>
      </c>
      <c r="G125" s="110">
        <f t="shared" si="68"/>
        <v>3412.1249425594101</v>
      </c>
      <c r="H125" s="110">
        <f t="shared" si="68"/>
        <v>3111.6607684298542</v>
      </c>
      <c r="I125" s="110">
        <f t="shared" si="68"/>
        <v>2814.8079418182197</v>
      </c>
      <c r="J125" s="110">
        <f t="shared" si="68"/>
        <v>2521.8030881707664</v>
      </c>
      <c r="K125" s="110">
        <f t="shared" ref="K125" si="69">SUM(K121:K124)</f>
        <v>-197.81913740077675</v>
      </c>
      <c r="L125" s="110">
        <f t="shared" ref="L125" si="70">SUM(L121:L124)</f>
        <v>1850.5028332147835</v>
      </c>
      <c r="M125" s="110">
        <f t="shared" ref="M125" si="71">SUM(M121:M124)</f>
        <v>1569.822867235097</v>
      </c>
      <c r="N125" s="110">
        <f t="shared" ref="N125" si="72">SUM(N121:N124)</f>
        <v>1293.1658352088148</v>
      </c>
      <c r="O125" s="110">
        <f t="shared" ref="O125" si="73">SUM(O121:O124)</f>
        <v>1020.348077840363</v>
      </c>
      <c r="P125" s="110">
        <f t="shared" ref="P125" si="74">SUM(P121:P124)</f>
        <v>751.29421387534819</v>
      </c>
      <c r="Q125" s="110">
        <f t="shared" ref="Q125:R125" si="75">SUM(Q121:Q124)</f>
        <v>485.09017364879026</v>
      </c>
      <c r="R125" s="110">
        <f t="shared" si="75"/>
        <v>222.35319486900619</v>
      </c>
      <c r="S125" s="110">
        <f t="shared" ref="S125" si="76">SUM(S121:S124)</f>
        <v>-37.433301398987737</v>
      </c>
      <c r="T125" s="110">
        <f t="shared" ref="T125" si="77">SUM(T121:T124)</f>
        <v>-293.13786970759048</v>
      </c>
      <c r="U125" s="110">
        <f t="shared" ref="U125" si="78">SUM(U121:U124)</f>
        <v>-545.97534357617701</v>
      </c>
      <c r="V125" s="39"/>
    </row>
    <row r="126" spans="1:22" x14ac:dyDescent="0.3">
      <c r="A126" s="113" t="s">
        <v>69</v>
      </c>
      <c r="B126" s="110">
        <f t="shared" ref="B126:U126" si="79">B125*Kst_Soli</f>
        <v>785.3937568696266</v>
      </c>
      <c r="C126" s="110">
        <f t="shared" si="79"/>
        <v>735.08352785488955</v>
      </c>
      <c r="D126" s="110">
        <f t="shared" si="79"/>
        <v>685.24535089690596</v>
      </c>
      <c r="E126" s="110">
        <f t="shared" si="79"/>
        <v>636.92708866531689</v>
      </c>
      <c r="F126" s="110">
        <f t="shared" si="79"/>
        <v>588.07750388696365</v>
      </c>
      <c r="G126" s="110">
        <f t="shared" si="79"/>
        <v>539.96877216002656</v>
      </c>
      <c r="H126" s="110">
        <f t="shared" si="79"/>
        <v>492.42031660402432</v>
      </c>
      <c r="I126" s="110">
        <f t="shared" si="79"/>
        <v>445.4433567927332</v>
      </c>
      <c r="J126" s="110">
        <f t="shared" si="79"/>
        <v>399.0753387030237</v>
      </c>
      <c r="K126" s="110">
        <f t="shared" si="79"/>
        <v>-31.304878493672916</v>
      </c>
      <c r="L126" s="110">
        <f t="shared" si="79"/>
        <v>292.84207335623944</v>
      </c>
      <c r="M126" s="110">
        <f t="shared" si="79"/>
        <v>248.42446873995405</v>
      </c>
      <c r="N126" s="110">
        <f t="shared" si="79"/>
        <v>204.64349342179491</v>
      </c>
      <c r="O126" s="110">
        <f t="shared" si="79"/>
        <v>161.47008331823741</v>
      </c>
      <c r="P126" s="110">
        <f t="shared" si="79"/>
        <v>118.89230934577382</v>
      </c>
      <c r="Q126" s="110">
        <f t="shared" si="79"/>
        <v>76.765519979921052</v>
      </c>
      <c r="R126" s="110">
        <f t="shared" si="79"/>
        <v>35.187393088020222</v>
      </c>
      <c r="S126" s="110">
        <f t="shared" si="79"/>
        <v>-5.9238199463898082</v>
      </c>
      <c r="T126" s="110">
        <f t="shared" si="79"/>
        <v>-46.38906788122619</v>
      </c>
      <c r="U126" s="110">
        <f t="shared" si="79"/>
        <v>-86.400598120929999</v>
      </c>
      <c r="V126" s="39"/>
    </row>
    <row r="127" spans="1:22" x14ac:dyDescent="0.3">
      <c r="A127" s="40"/>
      <c r="B127" s="37"/>
      <c r="C127" s="35"/>
      <c r="D127" s="37"/>
      <c r="E127" s="35"/>
      <c r="F127" s="37"/>
      <c r="G127" s="35"/>
      <c r="H127" s="37"/>
      <c r="I127" s="35"/>
      <c r="J127" s="37"/>
      <c r="K127" s="35"/>
      <c r="L127" s="37"/>
      <c r="M127" s="35"/>
      <c r="N127" s="37"/>
      <c r="O127" s="35"/>
      <c r="P127" s="37"/>
      <c r="Q127" s="35"/>
      <c r="R127" s="37"/>
      <c r="S127" s="35"/>
      <c r="T127" s="38"/>
      <c r="U127" s="35"/>
      <c r="V127" s="39"/>
    </row>
    <row r="128" spans="1:22" x14ac:dyDescent="0.3">
      <c r="A128" s="96" t="s">
        <v>64</v>
      </c>
      <c r="B128" s="94">
        <f>B114</f>
        <v>24.812840273461759</v>
      </c>
      <c r="C128" s="94">
        <f t="shared" ref="C128:U128" si="80">C114</f>
        <v>24.197469428259769</v>
      </c>
      <c r="D128" s="94">
        <f t="shared" si="80"/>
        <v>23.597360087704214</v>
      </c>
      <c r="E128" s="94">
        <f t="shared" si="80"/>
        <v>23.012133758849107</v>
      </c>
      <c r="F128" s="94">
        <f t="shared" si="80"/>
        <v>22.441421335562769</v>
      </c>
      <c r="G128" s="94">
        <f t="shared" si="80"/>
        <v>21.884862865730145</v>
      </c>
      <c r="H128" s="94">
        <f t="shared" si="80"/>
        <v>21.342107324228607</v>
      </c>
      <c r="I128" s="94">
        <f t="shared" si="80"/>
        <v>20.812812391534074</v>
      </c>
      <c r="J128" s="94">
        <f t="shared" si="80"/>
        <v>20.296644237817834</v>
      </c>
      <c r="K128" s="94">
        <f t="shared" si="80"/>
        <v>19.793277312397834</v>
      </c>
      <c r="L128" s="94">
        <f t="shared" si="80"/>
        <v>19.302394138411707</v>
      </c>
      <c r="M128" s="94">
        <f t="shared" si="80"/>
        <v>18.82368511258203</v>
      </c>
      <c r="N128" s="94">
        <f t="shared" si="80"/>
        <v>18.356848309947438</v>
      </c>
      <c r="O128" s="94">
        <f t="shared" si="80"/>
        <v>17.901589293436583</v>
      </c>
      <c r="P128" s="94">
        <f t="shared" si="80"/>
        <v>17.457620928164708</v>
      </c>
      <c r="Q128" s="94">
        <f t="shared" si="80"/>
        <v>17.024663200335759</v>
      </c>
      <c r="R128" s="94">
        <f t="shared" si="80"/>
        <v>16.602443040635833</v>
      </c>
      <c r="S128" s="94">
        <f t="shared" si="80"/>
        <v>16.190694152006543</v>
      </c>
      <c r="T128" s="94">
        <f t="shared" si="80"/>
        <v>15.789156841689703</v>
      </c>
      <c r="U128" s="94">
        <f t="shared" si="80"/>
        <v>15.397577857437376</v>
      </c>
      <c r="V128" s="39"/>
    </row>
    <row r="129" spans="1:22" x14ac:dyDescent="0.3">
      <c r="A129" s="96" t="s">
        <v>60</v>
      </c>
      <c r="B129" s="94">
        <f>0</f>
        <v>0</v>
      </c>
      <c r="C129" s="94">
        <f>0</f>
        <v>0</v>
      </c>
      <c r="D129" s="94">
        <f>0</f>
        <v>0</v>
      </c>
      <c r="E129" s="94">
        <f>0</f>
        <v>0</v>
      </c>
      <c r="F129" s="94">
        <f>0</f>
        <v>0</v>
      </c>
      <c r="G129" s="94">
        <f>0</f>
        <v>0</v>
      </c>
      <c r="H129" s="94">
        <f>0</f>
        <v>0</v>
      </c>
      <c r="I129" s="94">
        <f>0</f>
        <v>0</v>
      </c>
      <c r="J129" s="94">
        <f>0</f>
        <v>0</v>
      </c>
      <c r="K129" s="94">
        <f>0</f>
        <v>0</v>
      </c>
      <c r="L129" s="94">
        <f>0</f>
        <v>0</v>
      </c>
      <c r="M129" s="94">
        <f>0</f>
        <v>0</v>
      </c>
      <c r="N129" s="94">
        <f>0</f>
        <v>0</v>
      </c>
      <c r="O129" s="94">
        <f>0</f>
        <v>0</v>
      </c>
      <c r="P129" s="94">
        <f>0</f>
        <v>0</v>
      </c>
      <c r="Q129" s="94">
        <f>0</f>
        <v>0</v>
      </c>
      <c r="R129" s="94">
        <f>0</f>
        <v>0</v>
      </c>
      <c r="S129" s="94">
        <f>0</f>
        <v>0</v>
      </c>
      <c r="T129" s="94">
        <f>0</f>
        <v>0</v>
      </c>
      <c r="U129" s="94">
        <f>0</f>
        <v>0</v>
      </c>
      <c r="V129" s="39"/>
    </row>
    <row r="130" spans="1:22" x14ac:dyDescent="0.3">
      <c r="A130" s="96" t="s">
        <v>65</v>
      </c>
      <c r="B130" s="94">
        <f t="shared" ref="B130:U130" si="81">SUM(C17)</f>
        <v>0</v>
      </c>
      <c r="C130" s="94">
        <f t="shared" si="81"/>
        <v>0</v>
      </c>
      <c r="D130" s="94">
        <f t="shared" si="81"/>
        <v>0</v>
      </c>
      <c r="E130" s="94">
        <f t="shared" si="81"/>
        <v>0</v>
      </c>
      <c r="F130" s="94">
        <f t="shared" si="81"/>
        <v>0</v>
      </c>
      <c r="G130" s="94">
        <f t="shared" si="81"/>
        <v>0</v>
      </c>
      <c r="H130" s="94">
        <f t="shared" si="81"/>
        <v>0</v>
      </c>
      <c r="I130" s="94">
        <f t="shared" si="81"/>
        <v>0</v>
      </c>
      <c r="J130" s="94">
        <f t="shared" si="81"/>
        <v>0</v>
      </c>
      <c r="K130" s="94">
        <f t="shared" si="81"/>
        <v>0</v>
      </c>
      <c r="L130" s="94">
        <f t="shared" si="81"/>
        <v>0</v>
      </c>
      <c r="M130" s="94">
        <f t="shared" si="81"/>
        <v>0</v>
      </c>
      <c r="N130" s="94">
        <f t="shared" si="81"/>
        <v>0</v>
      </c>
      <c r="O130" s="94">
        <f t="shared" si="81"/>
        <v>0</v>
      </c>
      <c r="P130" s="94">
        <f t="shared" si="81"/>
        <v>0</v>
      </c>
      <c r="Q130" s="94">
        <f t="shared" si="81"/>
        <v>0</v>
      </c>
      <c r="R130" s="94">
        <f t="shared" si="81"/>
        <v>0</v>
      </c>
      <c r="S130" s="94">
        <f t="shared" si="81"/>
        <v>0</v>
      </c>
      <c r="T130" s="94">
        <f t="shared" si="81"/>
        <v>0</v>
      </c>
      <c r="U130" s="94">
        <f t="shared" si="81"/>
        <v>0</v>
      </c>
      <c r="V130" s="39"/>
    </row>
    <row r="131" spans="1:22" x14ac:dyDescent="0.3">
      <c r="A131" s="96" t="s">
        <v>66</v>
      </c>
      <c r="B131" s="94">
        <f>C21</f>
        <v>0</v>
      </c>
      <c r="C131" s="94">
        <f t="shared" ref="C131:U131" si="82">D21</f>
        <v>0.42181828464884996</v>
      </c>
      <c r="D131" s="94">
        <f t="shared" si="82"/>
        <v>0.8403461757682964</v>
      </c>
      <c r="E131" s="94">
        <f t="shared" si="82"/>
        <v>1.255787182247329</v>
      </c>
      <c r="F131" s="94">
        <f t="shared" si="82"/>
        <v>1.6683418382459685</v>
      </c>
      <c r="G131" s="94">
        <f t="shared" si="82"/>
        <v>2.0782078122007173</v>
      </c>
      <c r="H131" s="94">
        <f t="shared" si="82"/>
        <v>2.4855800137255417</v>
      </c>
      <c r="I131" s="94">
        <f t="shared" si="82"/>
        <v>2.8906506984707625</v>
      </c>
      <c r="J131" s="94">
        <f t="shared" si="82"/>
        <v>3.2936095710008448</v>
      </c>
      <c r="K131" s="94">
        <f t="shared" si="82"/>
        <v>3.6946438857507626</v>
      </c>
      <c r="L131" s="94">
        <f t="shared" si="82"/>
        <v>4.093938546119289</v>
      </c>
      <c r="M131" s="94">
        <f t="shared" si="82"/>
        <v>4.4916762017563157</v>
      </c>
      <c r="N131" s="94">
        <f t="shared" si="82"/>
        <v>4.8880373441000682</v>
      </c>
      <c r="O131" s="94">
        <f t="shared" si="82"/>
        <v>5.2832004002188757</v>
      </c>
      <c r="P131" s="94">
        <f t="shared" si="82"/>
        <v>5.6773418250110179</v>
      </c>
      <c r="Q131" s="94">
        <f t="shared" si="82"/>
        <v>6.0706361918150051</v>
      </c>
      <c r="R131" s="94">
        <f t="shared" si="82"/>
        <v>6.4632562814815682</v>
      </c>
      <c r="S131" s="94">
        <f t="shared" si="82"/>
        <v>6.8553731699575637</v>
      </c>
      <c r="T131" s="94">
        <f t="shared" si="82"/>
        <v>7.2471563144309536</v>
      </c>
      <c r="U131" s="94">
        <f t="shared" si="82"/>
        <v>7.6387736380850049</v>
      </c>
      <c r="V131" s="39"/>
    </row>
    <row r="132" spans="1:22" x14ac:dyDescent="0.3">
      <c r="A132" s="96" t="s">
        <v>68</v>
      </c>
      <c r="B132" s="94">
        <f t="shared" ref="B132:U132" si="83">SUM(B128:B131)</f>
        <v>24.812840273461759</v>
      </c>
      <c r="C132" s="94">
        <f t="shared" si="83"/>
        <v>24.619287712908619</v>
      </c>
      <c r="D132" s="94">
        <f t="shared" si="83"/>
        <v>24.43770626347251</v>
      </c>
      <c r="E132" s="94">
        <f t="shared" si="83"/>
        <v>24.267920941096435</v>
      </c>
      <c r="F132" s="94">
        <f t="shared" si="83"/>
        <v>24.109763173808737</v>
      </c>
      <c r="G132" s="94">
        <f t="shared" si="83"/>
        <v>23.963070677930862</v>
      </c>
      <c r="H132" s="94">
        <f t="shared" si="83"/>
        <v>23.827687337954149</v>
      </c>
      <c r="I132" s="94">
        <f t="shared" si="83"/>
        <v>23.703463090004835</v>
      </c>
      <c r="J132" s="94">
        <f t="shared" si="83"/>
        <v>23.59025380881868</v>
      </c>
      <c r="K132" s="94">
        <f t="shared" si="83"/>
        <v>23.487921198148598</v>
      </c>
      <c r="L132" s="94">
        <f t="shared" si="83"/>
        <v>23.396332684530996</v>
      </c>
      <c r="M132" s="94">
        <f t="shared" si="83"/>
        <v>23.315361314338347</v>
      </c>
      <c r="N132" s="94">
        <f t="shared" si="83"/>
        <v>23.244885654047508</v>
      </c>
      <c r="O132" s="94">
        <f t="shared" si="83"/>
        <v>23.18478969365546</v>
      </c>
      <c r="P132" s="94">
        <f t="shared" si="83"/>
        <v>23.134962753175728</v>
      </c>
      <c r="Q132" s="94">
        <f t="shared" si="83"/>
        <v>23.095299392150764</v>
      </c>
      <c r="R132" s="94">
        <f t="shared" si="83"/>
        <v>23.065699322117403</v>
      </c>
      <c r="S132" s="94">
        <f t="shared" si="83"/>
        <v>23.046067321964106</v>
      </c>
      <c r="T132" s="95">
        <f t="shared" si="83"/>
        <v>23.036313156120656</v>
      </c>
      <c r="U132" s="94">
        <f t="shared" si="83"/>
        <v>23.036351495522382</v>
      </c>
      <c r="V132" s="39"/>
    </row>
    <row r="133" spans="1:22" x14ac:dyDescent="0.3">
      <c r="A133" s="98" t="s">
        <v>123</v>
      </c>
      <c r="B133" s="94">
        <f>B132*Kst_Soli</f>
        <v>3.926631973275323</v>
      </c>
      <c r="C133" s="94">
        <f t="shared" ref="C133:U133" si="84">C132*Kst_Soli</f>
        <v>3.8960022805677883</v>
      </c>
      <c r="D133" s="94">
        <f t="shared" si="84"/>
        <v>3.867267016194524</v>
      </c>
      <c r="E133" s="94">
        <f t="shared" si="84"/>
        <v>3.8403984889285101</v>
      </c>
      <c r="F133" s="94">
        <f t="shared" si="84"/>
        <v>3.815370022255232</v>
      </c>
      <c r="G133" s="94">
        <f t="shared" si="84"/>
        <v>3.7921559347825582</v>
      </c>
      <c r="H133" s="94">
        <f t="shared" si="84"/>
        <v>3.7707315212312436</v>
      </c>
      <c r="I133" s="94">
        <f t="shared" si="84"/>
        <v>3.7510730339932645</v>
      </c>
      <c r="J133" s="94">
        <f t="shared" si="84"/>
        <v>3.7331576652455554</v>
      </c>
      <c r="K133" s="94">
        <f t="shared" si="84"/>
        <v>3.7169635296070149</v>
      </c>
      <c r="L133" s="94">
        <f t="shared" si="84"/>
        <v>3.7024696473270295</v>
      </c>
      <c r="M133" s="94">
        <f t="shared" si="84"/>
        <v>3.6896559279940426</v>
      </c>
      <c r="N133" s="94">
        <f t="shared" si="84"/>
        <v>3.6785031547530176</v>
      </c>
      <c r="O133" s="94">
        <f t="shared" si="84"/>
        <v>3.6689929690209762</v>
      </c>
      <c r="P133" s="94">
        <f t="shared" si="84"/>
        <v>3.6611078556900583</v>
      </c>
      <c r="Q133" s="94">
        <f t="shared" si="84"/>
        <v>3.6548311288078579</v>
      </c>
      <c r="R133" s="94">
        <f t="shared" si="84"/>
        <v>3.6501469177250785</v>
      </c>
      <c r="S133" s="94">
        <f t="shared" si="84"/>
        <v>3.6470401537008192</v>
      </c>
      <c r="T133" s="95">
        <f t="shared" si="84"/>
        <v>3.6454965569560933</v>
      </c>
      <c r="U133" s="94">
        <f t="shared" si="84"/>
        <v>3.6455026241664163</v>
      </c>
      <c r="V133" s="39"/>
    </row>
    <row r="134" spans="1:22" x14ac:dyDescent="0.3">
      <c r="A134" s="34"/>
      <c r="B134" s="37"/>
      <c r="C134" s="35"/>
      <c r="D134" s="37"/>
      <c r="E134" s="35"/>
      <c r="F134" s="37"/>
      <c r="G134" s="35"/>
      <c r="H134" s="37"/>
      <c r="I134" s="35"/>
      <c r="J134" s="37"/>
      <c r="K134" s="35"/>
      <c r="L134" s="37"/>
      <c r="M134" s="35"/>
      <c r="N134" s="37"/>
      <c r="O134" s="35"/>
      <c r="P134" s="37"/>
      <c r="Q134" s="35"/>
      <c r="R134" s="37"/>
      <c r="S134" s="35"/>
      <c r="T134" s="38"/>
      <c r="U134" s="35"/>
      <c r="V134"/>
    </row>
    <row r="135" spans="1:22" x14ac:dyDescent="0.3">
      <c r="A135" s="113" t="s">
        <v>122</v>
      </c>
      <c r="B135" s="110">
        <f t="shared" ref="B135:T135" si="85">(B126+B111)*(-1)</f>
        <v>-772.96875686962665</v>
      </c>
      <c r="C135" s="110">
        <f t="shared" si="85"/>
        <v>-710.23352785488953</v>
      </c>
      <c r="D135" s="110">
        <f t="shared" si="85"/>
        <v>-660.39535089690594</v>
      </c>
      <c r="E135" s="110">
        <f t="shared" si="85"/>
        <v>-612.07708866531686</v>
      </c>
      <c r="F135" s="110">
        <f t="shared" si="85"/>
        <v>-550.80250388696368</v>
      </c>
      <c r="G135" s="110">
        <f t="shared" si="85"/>
        <v>-502.69377216002658</v>
      </c>
      <c r="H135" s="110">
        <f t="shared" si="85"/>
        <v>-455.14531660402434</v>
      </c>
      <c r="I135" s="110">
        <f t="shared" si="85"/>
        <v>-408.16835679273322</v>
      </c>
      <c r="J135" s="110">
        <f t="shared" si="85"/>
        <v>-349.37533870302371</v>
      </c>
      <c r="K135" s="110">
        <f t="shared" si="85"/>
        <v>317.07987849367288</v>
      </c>
      <c r="L135" s="110">
        <f t="shared" si="85"/>
        <v>-243.14207335623945</v>
      </c>
      <c r="M135" s="110">
        <f t="shared" si="85"/>
        <v>-186.29946873995405</v>
      </c>
      <c r="N135" s="110">
        <f t="shared" si="85"/>
        <v>-142.51849342179491</v>
      </c>
      <c r="O135" s="110">
        <f t="shared" si="85"/>
        <v>-99.345083318237414</v>
      </c>
      <c r="P135" s="110">
        <f t="shared" si="85"/>
        <v>-56.767309345773825</v>
      </c>
      <c r="Q135" s="110">
        <f t="shared" si="85"/>
        <v>-14.640519979921052</v>
      </c>
      <c r="R135" s="110">
        <f t="shared" si="85"/>
        <v>14.51260691197978</v>
      </c>
      <c r="S135" s="110">
        <f t="shared" si="85"/>
        <v>55.623819946389808</v>
      </c>
      <c r="T135" s="110">
        <f t="shared" si="85"/>
        <v>96.089067881226185</v>
      </c>
      <c r="U135" s="110">
        <f>(U126+U111)*(-1)</f>
        <v>136.10059812092999</v>
      </c>
      <c r="V135"/>
    </row>
    <row r="136" spans="1:22" x14ac:dyDescent="0.3">
      <c r="A136" s="98" t="s">
        <v>121</v>
      </c>
      <c r="B136" s="94">
        <f t="shared" ref="B136:T136" si="86">(B127+B112)*(-1)</f>
        <v>0</v>
      </c>
      <c r="C136" s="94">
        <f t="shared" si="86"/>
        <v>0</v>
      </c>
      <c r="D136" s="94">
        <f t="shared" si="86"/>
        <v>0</v>
      </c>
      <c r="E136" s="94">
        <f t="shared" si="86"/>
        <v>0</v>
      </c>
      <c r="F136" s="94">
        <f t="shared" si="86"/>
        <v>0</v>
      </c>
      <c r="G136" s="94">
        <f t="shared" si="86"/>
        <v>0</v>
      </c>
      <c r="H136" s="94">
        <f t="shared" si="86"/>
        <v>0</v>
      </c>
      <c r="I136" s="94">
        <f t="shared" si="86"/>
        <v>0</v>
      </c>
      <c r="J136" s="94">
        <f t="shared" si="86"/>
        <v>0</v>
      </c>
      <c r="K136" s="94">
        <f t="shared" si="86"/>
        <v>0</v>
      </c>
      <c r="L136" s="94">
        <f t="shared" si="86"/>
        <v>0</v>
      </c>
      <c r="M136" s="94">
        <f t="shared" si="86"/>
        <v>0</v>
      </c>
      <c r="N136" s="94">
        <f t="shared" si="86"/>
        <v>0</v>
      </c>
      <c r="O136" s="94">
        <f t="shared" si="86"/>
        <v>0</v>
      </c>
      <c r="P136" s="94">
        <f t="shared" si="86"/>
        <v>0</v>
      </c>
      <c r="Q136" s="94">
        <f t="shared" si="86"/>
        <v>0</v>
      </c>
      <c r="R136" s="94">
        <f t="shared" si="86"/>
        <v>0</v>
      </c>
      <c r="S136" s="94">
        <f t="shared" si="86"/>
        <v>0</v>
      </c>
      <c r="T136" s="95">
        <f t="shared" si="86"/>
        <v>0</v>
      </c>
      <c r="U136" s="94">
        <f>(U127+U112)*(-1)</f>
        <v>0</v>
      </c>
      <c r="V136"/>
    </row>
  </sheetData>
  <dataConsolidate/>
  <phoneticPr fontId="4" type="noConversion"/>
  <dataValidations count="1">
    <dataValidation type="list" errorStyle="information" allowBlank="1" showInputMessage="1" showErrorMessage="1" errorTitle="Passt was nicht" sqref="C58:C59 D59:V59" xr:uid="{B7338485-7F46-4140-BBAE-C0841FFF46DA}">
      <formula1>$A$70:$A$101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9438B-FF89-4F1F-9951-88D33AD3602C}">
  <sheetPr codeName="Tabelle4"/>
  <dimension ref="A1:W41"/>
  <sheetViews>
    <sheetView topLeftCell="A14" zoomScale="85" zoomScaleNormal="85" workbookViewId="0">
      <selection activeCell="M41" sqref="M41"/>
    </sheetView>
  </sheetViews>
  <sheetFormatPr baseColWidth="10" defaultColWidth="11.44140625" defaultRowHeight="15.6" x14ac:dyDescent="0.3"/>
  <cols>
    <col min="1" max="1" width="64.33203125" style="7" bestFit="1" customWidth="1"/>
    <col min="2" max="2" width="14.44140625" style="7" bestFit="1" customWidth="1"/>
    <col min="3" max="11" width="13.5546875" style="7" bestFit="1" customWidth="1"/>
    <col min="12" max="12" width="13.6640625" style="7" customWidth="1"/>
    <col min="13" max="13" width="13.5546875" style="7" bestFit="1" customWidth="1"/>
    <col min="14" max="14" width="15.44140625" style="7" customWidth="1"/>
    <col min="15" max="20" width="13.5546875" style="7" bestFit="1" customWidth="1"/>
    <col min="21" max="22" width="15" style="7" bestFit="1" customWidth="1"/>
    <col min="23" max="16384" width="11.44140625" style="7"/>
  </cols>
  <sheetData>
    <row r="1" spans="1:23" x14ac:dyDescent="0.3">
      <c r="A1" s="22" t="s">
        <v>13</v>
      </c>
      <c r="B1" s="22" t="s">
        <v>14</v>
      </c>
      <c r="C1" s="22" t="s">
        <v>15</v>
      </c>
      <c r="D1" s="22" t="s">
        <v>16</v>
      </c>
      <c r="E1" s="22" t="s">
        <v>17</v>
      </c>
      <c r="F1" s="22" t="s">
        <v>18</v>
      </c>
      <c r="G1" s="22" t="s">
        <v>19</v>
      </c>
      <c r="H1" s="22" t="s">
        <v>20</v>
      </c>
      <c r="I1" s="22" t="s">
        <v>21</v>
      </c>
      <c r="J1" s="22" t="s">
        <v>22</v>
      </c>
      <c r="K1" s="22" t="s">
        <v>23</v>
      </c>
      <c r="L1" s="22" t="s">
        <v>24</v>
      </c>
      <c r="M1" s="22" t="s">
        <v>25</v>
      </c>
      <c r="N1" s="22" t="s">
        <v>26</v>
      </c>
      <c r="O1" s="22" t="s">
        <v>27</v>
      </c>
      <c r="P1" s="22" t="s">
        <v>28</v>
      </c>
      <c r="Q1" s="22" t="s">
        <v>29</v>
      </c>
      <c r="R1" s="22" t="s">
        <v>30</v>
      </c>
      <c r="S1" s="22" t="s">
        <v>31</v>
      </c>
      <c r="T1" s="22" t="s">
        <v>32</v>
      </c>
      <c r="U1" s="22" t="s">
        <v>33</v>
      </c>
      <c r="V1" s="22" t="s">
        <v>34</v>
      </c>
    </row>
    <row r="2" spans="1:23" x14ac:dyDescent="0.3">
      <c r="A2" s="16" t="s">
        <v>36</v>
      </c>
      <c r="B2" s="16"/>
      <c r="C2" s="16">
        <f t="shared" ref="C2:V2" si="0">C19*C14</f>
        <v>221.22054692355496</v>
      </c>
      <c r="D2" s="16">
        <f t="shared" si="0"/>
        <v>215.73416674957733</v>
      </c>
      <c r="E2" s="16">
        <f t="shared" si="0"/>
        <v>210.38385154710443</v>
      </c>
      <c r="F2" s="16">
        <f t="shared" si="0"/>
        <v>205.16622683681049</v>
      </c>
      <c r="G2" s="16">
        <f t="shared" si="0"/>
        <v>200.07800182814415</v>
      </c>
      <c r="H2" s="16">
        <f t="shared" si="0"/>
        <v>195.11596734380529</v>
      </c>
      <c r="I2" s="16">
        <f t="shared" si="0"/>
        <v>190.27699379569523</v>
      </c>
      <c r="J2" s="16">
        <f t="shared" si="0"/>
        <v>185.55802921106508</v>
      </c>
      <c r="K2" s="16">
        <f t="shared" si="0"/>
        <v>180.95609730761606</v>
      </c>
      <c r="L2" s="16">
        <f t="shared" si="0"/>
        <v>176.46829561633854</v>
      </c>
      <c r="M2" s="16">
        <f t="shared" si="0"/>
        <v>172.09179365090549</v>
      </c>
      <c r="N2" s="16">
        <f t="shared" si="0"/>
        <v>167.8238311224662</v>
      </c>
      <c r="O2" s="16">
        <f t="shared" si="0"/>
        <v>163.66171619871346</v>
      </c>
      <c r="P2" s="16">
        <f t="shared" si="0"/>
        <v>159.60282380612728</v>
      </c>
      <c r="Q2" s="16">
        <f t="shared" si="0"/>
        <v>155.64459397432341</v>
      </c>
      <c r="R2" s="16">
        <f t="shared" si="0"/>
        <v>151.78453022146317</v>
      </c>
      <c r="S2" s="16">
        <f t="shared" si="0"/>
        <v>148.02019797970576</v>
      </c>
      <c r="T2" s="16">
        <f t="shared" si="0"/>
        <v>144.34922305971006</v>
      </c>
      <c r="U2" s="16">
        <f t="shared" si="0"/>
        <v>140.7692901532177</v>
      </c>
      <c r="V2" s="16">
        <f t="shared" si="0"/>
        <v>137.27814137277281</v>
      </c>
    </row>
    <row r="3" spans="1:23" x14ac:dyDescent="0.3">
      <c r="A3" s="17" t="s">
        <v>44</v>
      </c>
      <c r="B3" s="17"/>
      <c r="C3" s="17">
        <f t="shared" ref="C3:V3" si="1">C17*C14</f>
        <v>928.64794328773235</v>
      </c>
      <c r="D3" s="17">
        <f t="shared" si="1"/>
        <v>949.98495003699588</v>
      </c>
      <c r="E3" s="17">
        <f t="shared" si="1"/>
        <v>967.19261143781807</v>
      </c>
      <c r="F3" s="17">
        <f t="shared" si="1"/>
        <v>987.37344633759449</v>
      </c>
      <c r="G3" s="17">
        <f t="shared" si="1"/>
        <v>1007.292816493764</v>
      </c>
      <c r="H3" s="17">
        <f t="shared" si="1"/>
        <v>1029.6775647093789</v>
      </c>
      <c r="I3" s="17">
        <f t="shared" si="1"/>
        <v>1051.10531984144</v>
      </c>
      <c r="J3" s="17">
        <f t="shared" si="1"/>
        <v>1072.3956481549581</v>
      </c>
      <c r="K3" s="17">
        <f t="shared" si="1"/>
        <v>1095.5884227684007</v>
      </c>
      <c r="L3" s="17">
        <f t="shared" si="1"/>
        <v>1117.3660290746875</v>
      </c>
      <c r="M3" s="17">
        <f t="shared" si="1"/>
        <v>1142.4080070493901</v>
      </c>
      <c r="N3" s="17">
        <f t="shared" si="1"/>
        <v>1167.0600754126456</v>
      </c>
      <c r="O3" s="17">
        <f t="shared" si="1"/>
        <v>1190.7289643136335</v>
      </c>
      <c r="P3" s="17">
        <f t="shared" si="1"/>
        <v>1217.4132765385089</v>
      </c>
      <c r="Q3" s="17">
        <f t="shared" si="1"/>
        <v>1246.6262337110199</v>
      </c>
      <c r="R3" s="17">
        <f t="shared" si="1"/>
        <v>1271.5269146465503</v>
      </c>
      <c r="S3" s="17">
        <f t="shared" si="1"/>
        <v>1297.2238118121229</v>
      </c>
      <c r="T3" s="17">
        <f t="shared" si="1"/>
        <v>1325.0530673175297</v>
      </c>
      <c r="U3" s="17">
        <f t="shared" si="1"/>
        <v>1358.6103503680858</v>
      </c>
      <c r="V3" s="17">
        <f t="shared" si="1"/>
        <v>1388.6168812411968</v>
      </c>
    </row>
    <row r="4" spans="1:23" x14ac:dyDescent="0.3">
      <c r="A4" s="17" t="s">
        <v>37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>
        <f>0.45*B7*(-1)</f>
        <v>-2430.678082191781</v>
      </c>
      <c r="M4" s="17"/>
      <c r="N4" s="17"/>
      <c r="O4" s="17"/>
      <c r="P4" s="17"/>
      <c r="Q4" s="17"/>
      <c r="R4" s="17"/>
      <c r="S4" s="17"/>
      <c r="T4" s="17"/>
      <c r="U4" s="17"/>
      <c r="V4" s="17"/>
    </row>
    <row r="5" spans="1:23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</row>
    <row r="6" spans="1:23" x14ac:dyDescent="0.3">
      <c r="A6" s="17" t="s">
        <v>49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</row>
    <row r="7" spans="1:23" x14ac:dyDescent="0.3">
      <c r="A7" s="17" t="s">
        <v>38</v>
      </c>
      <c r="B7" s="17">
        <f>-SUM(C8:V8)</f>
        <v>5401.5068493150684</v>
      </c>
      <c r="C7" s="17" t="s">
        <v>35</v>
      </c>
      <c r="D7" s="17" t="s">
        <v>35</v>
      </c>
      <c r="E7" s="17" t="s">
        <v>35</v>
      </c>
      <c r="F7" s="17" t="s">
        <v>35</v>
      </c>
      <c r="G7" s="17" t="s">
        <v>35</v>
      </c>
      <c r="H7" s="17" t="s">
        <v>35</v>
      </c>
      <c r="I7" s="17" t="s">
        <v>35</v>
      </c>
      <c r="J7" s="17" t="s">
        <v>35</v>
      </c>
      <c r="K7" s="17" t="s">
        <v>35</v>
      </c>
      <c r="L7" s="17" t="s">
        <v>35</v>
      </c>
      <c r="M7" s="17" t="s">
        <v>35</v>
      </c>
      <c r="N7" s="17" t="s">
        <v>35</v>
      </c>
      <c r="O7" s="17" t="s">
        <v>35</v>
      </c>
      <c r="P7" s="17" t="s">
        <v>35</v>
      </c>
      <c r="Q7" s="17" t="s">
        <v>35</v>
      </c>
      <c r="R7" s="17" t="s">
        <v>35</v>
      </c>
      <c r="S7" s="17" t="s">
        <v>35</v>
      </c>
      <c r="T7" s="17" t="s">
        <v>35</v>
      </c>
      <c r="U7" s="17" t="s">
        <v>35</v>
      </c>
      <c r="V7" s="17" t="s">
        <v>35</v>
      </c>
    </row>
    <row r="8" spans="1:23" x14ac:dyDescent="0.3">
      <c r="A8" s="17" t="s">
        <v>2</v>
      </c>
      <c r="B8" s="17"/>
      <c r="C8" s="12">
        <v>0</v>
      </c>
      <c r="D8" s="12">
        <v>0</v>
      </c>
      <c r="E8" s="12">
        <v>0</v>
      </c>
      <c r="F8" s="12">
        <v>-317.73569701853341</v>
      </c>
      <c r="G8" s="12">
        <v>-317.73569701853341</v>
      </c>
      <c r="H8" s="12">
        <v>-317.73569701853341</v>
      </c>
      <c r="I8" s="12">
        <v>-317.73569701853341</v>
      </c>
      <c r="J8" s="12">
        <v>-317.73569701853341</v>
      </c>
      <c r="K8" s="12">
        <v>-317.73569701853341</v>
      </c>
      <c r="L8" s="12">
        <v>-317.73569701853341</v>
      </c>
      <c r="M8" s="12">
        <v>-317.73569701853341</v>
      </c>
      <c r="N8" s="12">
        <v>-317.73569701853341</v>
      </c>
      <c r="O8" s="12">
        <v>-317.73569701853341</v>
      </c>
      <c r="P8" s="12">
        <v>-317.73569701853341</v>
      </c>
      <c r="Q8" s="12">
        <v>-317.73569701853341</v>
      </c>
      <c r="R8" s="12">
        <v>-317.73569701853341</v>
      </c>
      <c r="S8" s="12">
        <v>-317.73569701853341</v>
      </c>
      <c r="T8" s="12">
        <v>-317.73569701853341</v>
      </c>
      <c r="U8" s="12">
        <v>-317.73569701853341</v>
      </c>
      <c r="V8" s="12">
        <v>-317.73569701853341</v>
      </c>
    </row>
    <row r="9" spans="1:23" x14ac:dyDescent="0.3">
      <c r="A9" s="17" t="s">
        <v>39</v>
      </c>
      <c r="B9" s="17"/>
      <c r="C9" s="12">
        <v>-290.60106849315071</v>
      </c>
      <c r="D9" s="12">
        <v>-290.60106849315071</v>
      </c>
      <c r="E9" s="12">
        <v>-290.60106849315071</v>
      </c>
      <c r="F9" s="12">
        <v>-284.19075080580183</v>
      </c>
      <c r="G9" s="12">
        <v>-267.0965703062048</v>
      </c>
      <c r="H9" s="12">
        <v>-250.00238980660777</v>
      </c>
      <c r="I9" s="12">
        <v>-232.90820930701074</v>
      </c>
      <c r="J9" s="12">
        <v>-215.81402880741371</v>
      </c>
      <c r="K9" s="12">
        <v>-198.71984830781656</v>
      </c>
      <c r="L9" s="12">
        <v>-181.62566780821945</v>
      </c>
      <c r="M9" s="12">
        <v>-164.53148730862233</v>
      </c>
      <c r="N9" s="12">
        <v>-147.43730680902524</v>
      </c>
      <c r="O9" s="12">
        <v>-130.3431263094281</v>
      </c>
      <c r="P9" s="12">
        <v>-113.24894580983099</v>
      </c>
      <c r="Q9" s="12">
        <v>-96.15476531023387</v>
      </c>
      <c r="R9" s="12">
        <v>-79.060584810636755</v>
      </c>
      <c r="S9" s="12">
        <v>-61.966404311039646</v>
      </c>
      <c r="T9" s="12">
        <v>-44.872223811442538</v>
      </c>
      <c r="U9" s="12">
        <v>-27.778043311845451</v>
      </c>
      <c r="V9" s="12">
        <v>-10.683862812248357</v>
      </c>
    </row>
    <row r="10" spans="1:23" x14ac:dyDescent="0.3">
      <c r="A10" s="2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</row>
    <row r="11" spans="1:23" x14ac:dyDescent="0.3">
      <c r="A11" s="21" t="s">
        <v>45</v>
      </c>
      <c r="B11" s="15">
        <f>B2</f>
        <v>0</v>
      </c>
      <c r="C11" s="15">
        <f>C2</f>
        <v>221.22054692355496</v>
      </c>
      <c r="D11" s="15">
        <f t="shared" ref="D11:V11" si="2">D2+C11</f>
        <v>436.95471367313229</v>
      </c>
      <c r="E11" s="15">
        <f t="shared" si="2"/>
        <v>647.33856522023666</v>
      </c>
      <c r="F11" s="15">
        <f t="shared" si="2"/>
        <v>852.5047920570471</v>
      </c>
      <c r="G11" s="15">
        <f t="shared" si="2"/>
        <v>1052.5827938851912</v>
      </c>
      <c r="H11" s="15">
        <f t="shared" si="2"/>
        <v>1247.6987612289965</v>
      </c>
      <c r="I11" s="15">
        <f t="shared" si="2"/>
        <v>1437.9757550246918</v>
      </c>
      <c r="J11" s="15">
        <f t="shared" si="2"/>
        <v>1623.5337842357569</v>
      </c>
      <c r="K11" s="15">
        <f t="shared" si="2"/>
        <v>1804.489881543373</v>
      </c>
      <c r="L11" s="15">
        <f t="shared" si="2"/>
        <v>1980.9581771597116</v>
      </c>
      <c r="M11" s="15">
        <f t="shared" si="2"/>
        <v>2153.0499708106172</v>
      </c>
      <c r="N11" s="15">
        <f t="shared" si="2"/>
        <v>2320.8738019330835</v>
      </c>
      <c r="O11" s="15">
        <f t="shared" si="2"/>
        <v>2484.5355181317968</v>
      </c>
      <c r="P11" s="15">
        <f t="shared" si="2"/>
        <v>2644.138341937924</v>
      </c>
      <c r="Q11" s="15">
        <f t="shared" si="2"/>
        <v>2799.7829359122475</v>
      </c>
      <c r="R11" s="15">
        <f t="shared" si="2"/>
        <v>2951.5674661337107</v>
      </c>
      <c r="S11" s="15">
        <f t="shared" si="2"/>
        <v>3099.5876641134164</v>
      </c>
      <c r="T11" s="15">
        <f t="shared" si="2"/>
        <v>3243.9368871731263</v>
      </c>
      <c r="U11" s="15">
        <f t="shared" si="2"/>
        <v>3384.706177326344</v>
      </c>
      <c r="V11" s="15">
        <f t="shared" si="2"/>
        <v>3521.984318699117</v>
      </c>
      <c r="W11" s="14"/>
    </row>
    <row r="12" spans="1:23" ht="16.2" thickBot="1" x14ac:dyDescent="0.35">
      <c r="A12" s="23" t="s">
        <v>50</v>
      </c>
      <c r="B12" s="15"/>
      <c r="C12" s="15">
        <f t="shared" ref="C12" si="3">SUM(C3,C4,C9,C8)</f>
        <v>638.04687479458164</v>
      </c>
      <c r="D12" s="15">
        <f>SUM(D3,D4,D9,D8,C12)</f>
        <v>1297.4307563384268</v>
      </c>
      <c r="E12" s="15">
        <f t="shared" ref="E12:V12" si="4">SUM(E3,E4,E9,E8,D12)</f>
        <v>1974.0222992830941</v>
      </c>
      <c r="F12" s="15">
        <f t="shared" si="4"/>
        <v>2359.4692977963532</v>
      </c>
      <c r="G12" s="15">
        <f t="shared" si="4"/>
        <v>2781.9298469653791</v>
      </c>
      <c r="H12" s="15">
        <f t="shared" si="4"/>
        <v>3243.8693248496165</v>
      </c>
      <c r="I12" s="15">
        <f t="shared" si="4"/>
        <v>3744.3307383655124</v>
      </c>
      <c r="J12" s="15">
        <f t="shared" si="4"/>
        <v>4283.176660694523</v>
      </c>
      <c r="K12" s="15">
        <f t="shared" si="4"/>
        <v>4862.3095381365738</v>
      </c>
      <c r="L12" s="15">
        <f t="shared" si="4"/>
        <v>3049.6361201927275</v>
      </c>
      <c r="M12" s="15">
        <f t="shared" si="4"/>
        <v>3709.7769429149621</v>
      </c>
      <c r="N12" s="15">
        <f t="shared" si="4"/>
        <v>4411.6640145000492</v>
      </c>
      <c r="O12" s="15">
        <f t="shared" si="4"/>
        <v>5154.3141554857211</v>
      </c>
      <c r="P12" s="15">
        <f t="shared" si="4"/>
        <v>5940.742789195866</v>
      </c>
      <c r="Q12" s="15">
        <f t="shared" si="4"/>
        <v>6773.478560578119</v>
      </c>
      <c r="R12" s="15">
        <f t="shared" si="4"/>
        <v>7648.2091933954989</v>
      </c>
      <c r="S12" s="15">
        <f t="shared" si="4"/>
        <v>8565.7309038780495</v>
      </c>
      <c r="T12" s="15">
        <f t="shared" si="4"/>
        <v>9528.1760503656024</v>
      </c>
      <c r="U12" s="15">
        <f t="shared" si="4"/>
        <v>10541.272660403309</v>
      </c>
      <c r="V12" s="15">
        <f t="shared" si="4"/>
        <v>11601.469981813723</v>
      </c>
      <c r="W12" s="14"/>
    </row>
    <row r="13" spans="1:23" x14ac:dyDescent="0.3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6"/>
    </row>
    <row r="14" spans="1:23" x14ac:dyDescent="0.3">
      <c r="A14" s="11" t="s">
        <v>9</v>
      </c>
      <c r="B14" s="12"/>
      <c r="C14" s="12">
        <f>M23</f>
        <v>2703.2</v>
      </c>
      <c r="D14" s="12">
        <f>C14*(1-0.005)</f>
        <v>2689.6839999999997</v>
      </c>
      <c r="E14" s="12">
        <f t="shared" ref="E14:V14" si="5">D14*(1-0.005)</f>
        <v>2676.2355799999996</v>
      </c>
      <c r="F14" s="12">
        <f t="shared" si="5"/>
        <v>2662.8544020999998</v>
      </c>
      <c r="G14" s="12">
        <f t="shared" si="5"/>
        <v>2649.5401300894996</v>
      </c>
      <c r="H14" s="12">
        <f t="shared" si="5"/>
        <v>2636.2924294390523</v>
      </c>
      <c r="I14" s="12">
        <f t="shared" si="5"/>
        <v>2623.1109672918569</v>
      </c>
      <c r="J14" s="12">
        <f t="shared" si="5"/>
        <v>2609.9954124553974</v>
      </c>
      <c r="K14" s="12">
        <f t="shared" si="5"/>
        <v>2596.9454353931205</v>
      </c>
      <c r="L14" s="12">
        <f t="shared" si="5"/>
        <v>2583.9607082161551</v>
      </c>
      <c r="M14" s="12">
        <f t="shared" si="5"/>
        <v>2571.0409046750742</v>
      </c>
      <c r="N14" s="12">
        <f t="shared" si="5"/>
        <v>2558.1857001516987</v>
      </c>
      <c r="O14" s="12">
        <f t="shared" si="5"/>
        <v>2545.3947716509401</v>
      </c>
      <c r="P14" s="12">
        <f t="shared" si="5"/>
        <v>2532.6677977926856</v>
      </c>
      <c r="Q14" s="12">
        <f t="shared" si="5"/>
        <v>2520.0044588037222</v>
      </c>
      <c r="R14" s="12">
        <f t="shared" si="5"/>
        <v>2507.4044365097034</v>
      </c>
      <c r="S14" s="12">
        <f t="shared" si="5"/>
        <v>2494.8674143271546</v>
      </c>
      <c r="T14" s="12">
        <f t="shared" si="5"/>
        <v>2482.3930772555186</v>
      </c>
      <c r="U14" s="12">
        <f t="shared" si="5"/>
        <v>2469.981111869241</v>
      </c>
      <c r="V14" s="12">
        <f t="shared" si="5"/>
        <v>2457.6312063098949</v>
      </c>
    </row>
    <row r="15" spans="1:23" x14ac:dyDescent="0.3">
      <c r="A15" s="11" t="s">
        <v>8</v>
      </c>
      <c r="B15" s="12"/>
      <c r="C15" s="12">
        <v>0.42411917073488226</v>
      </c>
      <c r="D15" s="12">
        <v>0.4360441323113049</v>
      </c>
      <c r="E15" s="12">
        <v>0.44617333440891183</v>
      </c>
      <c r="F15" s="12">
        <v>0.4577717664241896</v>
      </c>
      <c r="G15" s="12">
        <v>0.46935366793080274</v>
      </c>
      <c r="H15" s="12">
        <v>0.48219494006666963</v>
      </c>
      <c r="I15" s="12">
        <v>0.49470300908880804</v>
      </c>
      <c r="J15" s="12">
        <v>0.50725960601985376</v>
      </c>
      <c r="K15" s="12">
        <v>0.52083431606999631</v>
      </c>
      <c r="L15" s="12">
        <v>0.5338565052631381</v>
      </c>
      <c r="M15" s="12">
        <v>0.54856391162503637</v>
      </c>
      <c r="N15" s="12">
        <v>0.56321748176115871</v>
      </c>
      <c r="O15" s="12">
        <v>0.57752760977757078</v>
      </c>
      <c r="P15" s="12">
        <v>0.59343722657237086</v>
      </c>
      <c r="Q15" s="12">
        <v>0.61073095628853435</v>
      </c>
      <c r="R15" s="12">
        <v>0.62606027632446604</v>
      </c>
      <c r="S15" s="12">
        <v>0.64192223986873176</v>
      </c>
      <c r="T15" s="12">
        <v>0.65898829614494836</v>
      </c>
      <c r="U15" s="12">
        <v>0.67907269443859763</v>
      </c>
      <c r="V15" s="13">
        <v>0.69755861835222222</v>
      </c>
    </row>
    <row r="16" spans="1:23" x14ac:dyDescent="0.3">
      <c r="A16" s="11" t="s">
        <v>10</v>
      </c>
      <c r="B16" s="12"/>
      <c r="C16" s="12">
        <f>1-0.19</f>
        <v>0.81</v>
      </c>
      <c r="D16" s="12">
        <f t="shared" ref="D16:V16" si="6">1-0.19</f>
        <v>0.81</v>
      </c>
      <c r="E16" s="12">
        <f t="shared" si="6"/>
        <v>0.81</v>
      </c>
      <c r="F16" s="12">
        <f t="shared" si="6"/>
        <v>0.81</v>
      </c>
      <c r="G16" s="12">
        <f t="shared" si="6"/>
        <v>0.81</v>
      </c>
      <c r="H16" s="12">
        <f t="shared" si="6"/>
        <v>0.81</v>
      </c>
      <c r="I16" s="12">
        <f t="shared" si="6"/>
        <v>0.81</v>
      </c>
      <c r="J16" s="12">
        <f t="shared" si="6"/>
        <v>0.81</v>
      </c>
      <c r="K16" s="12">
        <f t="shared" si="6"/>
        <v>0.81</v>
      </c>
      <c r="L16" s="12">
        <f t="shared" si="6"/>
        <v>0.81</v>
      </c>
      <c r="M16" s="12">
        <f t="shared" si="6"/>
        <v>0.81</v>
      </c>
      <c r="N16" s="12">
        <f t="shared" si="6"/>
        <v>0.81</v>
      </c>
      <c r="O16" s="12">
        <f t="shared" si="6"/>
        <v>0.81</v>
      </c>
      <c r="P16" s="12">
        <f t="shared" si="6"/>
        <v>0.81</v>
      </c>
      <c r="Q16" s="12">
        <f t="shared" si="6"/>
        <v>0.81</v>
      </c>
      <c r="R16" s="12">
        <f t="shared" si="6"/>
        <v>0.81</v>
      </c>
      <c r="S16" s="12">
        <f t="shared" si="6"/>
        <v>0.81</v>
      </c>
      <c r="T16" s="12">
        <f t="shared" si="6"/>
        <v>0.81</v>
      </c>
      <c r="U16" s="12">
        <f t="shared" si="6"/>
        <v>0.81</v>
      </c>
      <c r="V16" s="13">
        <f t="shared" si="6"/>
        <v>0.81</v>
      </c>
    </row>
    <row r="17" spans="1:22" x14ac:dyDescent="0.3">
      <c r="A17" s="11" t="s">
        <v>46</v>
      </c>
      <c r="B17" s="12"/>
      <c r="C17" s="12">
        <f>C15*C16</f>
        <v>0.34353652829525466</v>
      </c>
      <c r="D17" s="12">
        <f t="shared" ref="D17:V17" si="7">D15*D16</f>
        <v>0.35319574717215702</v>
      </c>
      <c r="E17" s="12">
        <f t="shared" si="7"/>
        <v>0.36140040087121861</v>
      </c>
      <c r="F17" s="12">
        <f t="shared" si="7"/>
        <v>0.37079513080359361</v>
      </c>
      <c r="G17" s="12">
        <f t="shared" si="7"/>
        <v>0.38017647102395025</v>
      </c>
      <c r="H17" s="12">
        <f t="shared" si="7"/>
        <v>0.39057790145400245</v>
      </c>
      <c r="I17" s="12">
        <f t="shared" si="7"/>
        <v>0.40070943736193454</v>
      </c>
      <c r="J17" s="12">
        <f t="shared" si="7"/>
        <v>0.41088028087608158</v>
      </c>
      <c r="K17" s="12">
        <f t="shared" si="7"/>
        <v>0.42187579601669706</v>
      </c>
      <c r="L17" s="12">
        <f t="shared" si="7"/>
        <v>0.43242376926314191</v>
      </c>
      <c r="M17" s="12">
        <f t="shared" si="7"/>
        <v>0.4443367684162795</v>
      </c>
      <c r="N17" s="12">
        <f t="shared" si="7"/>
        <v>0.45620616022653859</v>
      </c>
      <c r="O17" s="12">
        <f t="shared" si="7"/>
        <v>0.46779736391983234</v>
      </c>
      <c r="P17" s="12">
        <f t="shared" si="7"/>
        <v>0.48068415352362043</v>
      </c>
      <c r="Q17" s="12">
        <f t="shared" si="7"/>
        <v>0.49469207459371284</v>
      </c>
      <c r="R17" s="12">
        <f t="shared" si="7"/>
        <v>0.50710882382281752</v>
      </c>
      <c r="S17" s="12">
        <f t="shared" si="7"/>
        <v>0.5199570142936728</v>
      </c>
      <c r="T17" s="12">
        <f t="shared" si="7"/>
        <v>0.53378051987740815</v>
      </c>
      <c r="U17" s="12">
        <f t="shared" si="7"/>
        <v>0.55004888249526407</v>
      </c>
      <c r="V17" s="13">
        <f t="shared" si="7"/>
        <v>0.56502248086530005</v>
      </c>
    </row>
    <row r="18" spans="1:22" x14ac:dyDescent="0.3">
      <c r="A18" s="8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10"/>
    </row>
    <row r="19" spans="1:22" ht="16.2" thickBot="1" x14ac:dyDescent="0.35">
      <c r="A19" s="18" t="s">
        <v>7</v>
      </c>
      <c r="B19" s="19"/>
      <c r="C19" s="19">
        <v>8.1836544437538836E-2</v>
      </c>
      <c r="D19" s="19">
        <v>8.0207997203231809E-2</v>
      </c>
      <c r="E19" s="19">
        <v>7.8611858058887499E-2</v>
      </c>
      <c r="F19" s="19">
        <v>7.7047482083515639E-2</v>
      </c>
      <c r="G19" s="19">
        <v>7.5514237190053679E-2</v>
      </c>
      <c r="H19" s="19">
        <v>7.4011503869971615E-2</v>
      </c>
      <c r="I19" s="19">
        <v>7.253867494295918E-2</v>
      </c>
      <c r="J19" s="19">
        <v>7.1095155311594285E-2</v>
      </c>
      <c r="K19" s="19">
        <v>6.9680361720893563E-2</v>
      </c>
      <c r="L19" s="19">
        <v>6.8293722522647773E-2</v>
      </c>
      <c r="M19" s="19">
        <v>6.6934677444447074E-2</v>
      </c>
      <c r="N19" s="19">
        <v>6.5602677363302581E-2</v>
      </c>
      <c r="O19" s="19">
        <v>6.4297184083772857E-2</v>
      </c>
      <c r="P19" s="19">
        <v>6.301767012050577E-2</v>
      </c>
      <c r="Q19" s="19">
        <v>6.1763618485107703E-2</v>
      </c>
      <c r="R19" s="19">
        <v>6.0534522477254056E-2</v>
      </c>
      <c r="S19" s="19">
        <v>5.9329885479956698E-2</v>
      </c>
      <c r="T19" s="19">
        <v>5.8149220758905558E-2</v>
      </c>
      <c r="U19" s="19">
        <v>5.6992051265803333E-2</v>
      </c>
      <c r="V19" s="20">
        <v>5.5857909445613842E-2</v>
      </c>
    </row>
    <row r="21" spans="1:22" x14ac:dyDescent="0.3">
      <c r="L21" s="7" t="s">
        <v>48</v>
      </c>
    </row>
    <row r="22" spans="1:22" x14ac:dyDescent="0.3">
      <c r="M22" s="7">
        <f>3.84*365*2</f>
        <v>2803.2</v>
      </c>
    </row>
    <row r="23" spans="1:22" x14ac:dyDescent="0.3">
      <c r="M23" s="7">
        <f>M22-100</f>
        <v>2703.2</v>
      </c>
    </row>
    <row r="24" spans="1:22" x14ac:dyDescent="0.3">
      <c r="M24" s="7">
        <f t="shared" ref="M24:M41" si="8">M23-100</f>
        <v>2603.1999999999998</v>
      </c>
    </row>
    <row r="25" spans="1:22" x14ac:dyDescent="0.3">
      <c r="M25" s="7">
        <f t="shared" si="8"/>
        <v>2503.1999999999998</v>
      </c>
    </row>
    <row r="26" spans="1:22" x14ac:dyDescent="0.3">
      <c r="M26" s="7">
        <f t="shared" si="8"/>
        <v>2403.1999999999998</v>
      </c>
    </row>
    <row r="27" spans="1:22" x14ac:dyDescent="0.3">
      <c r="M27" s="7">
        <f t="shared" si="8"/>
        <v>2303.1999999999998</v>
      </c>
    </row>
    <row r="28" spans="1:22" x14ac:dyDescent="0.3">
      <c r="M28" s="7">
        <f t="shared" si="8"/>
        <v>2203.1999999999998</v>
      </c>
    </row>
    <row r="29" spans="1:22" x14ac:dyDescent="0.3">
      <c r="M29" s="7">
        <f t="shared" si="8"/>
        <v>2103.1999999999998</v>
      </c>
    </row>
    <row r="30" spans="1:22" x14ac:dyDescent="0.3">
      <c r="M30" s="7">
        <f t="shared" si="8"/>
        <v>2003.1999999999998</v>
      </c>
    </row>
    <row r="31" spans="1:22" x14ac:dyDescent="0.3">
      <c r="M31" s="7">
        <f t="shared" si="8"/>
        <v>1903.1999999999998</v>
      </c>
    </row>
    <row r="32" spans="1:22" x14ac:dyDescent="0.3">
      <c r="M32" s="7">
        <f t="shared" si="8"/>
        <v>1803.1999999999998</v>
      </c>
    </row>
    <row r="33" spans="13:13" x14ac:dyDescent="0.3">
      <c r="M33" s="7">
        <f t="shared" si="8"/>
        <v>1703.1999999999998</v>
      </c>
    </row>
    <row r="34" spans="13:13" x14ac:dyDescent="0.3">
      <c r="M34" s="7">
        <f t="shared" si="8"/>
        <v>1603.1999999999998</v>
      </c>
    </row>
    <row r="35" spans="13:13" x14ac:dyDescent="0.3">
      <c r="M35" s="7">
        <f t="shared" si="8"/>
        <v>1503.1999999999998</v>
      </c>
    </row>
    <row r="36" spans="13:13" x14ac:dyDescent="0.3">
      <c r="M36" s="7">
        <f t="shared" si="8"/>
        <v>1403.1999999999998</v>
      </c>
    </row>
    <row r="37" spans="13:13" x14ac:dyDescent="0.3">
      <c r="M37" s="7">
        <f t="shared" si="8"/>
        <v>1303.1999999999998</v>
      </c>
    </row>
    <row r="38" spans="13:13" x14ac:dyDescent="0.3">
      <c r="M38" s="7">
        <f t="shared" si="8"/>
        <v>1203.1999999999998</v>
      </c>
    </row>
    <row r="39" spans="13:13" x14ac:dyDescent="0.3">
      <c r="M39" s="7">
        <f>M38-100</f>
        <v>1103.1999999999998</v>
      </c>
    </row>
    <row r="40" spans="13:13" x14ac:dyDescent="0.3">
      <c r="M40" s="7">
        <f t="shared" si="8"/>
        <v>1003.1999999999998</v>
      </c>
    </row>
    <row r="41" spans="13:13" x14ac:dyDescent="0.3">
      <c r="M41" s="7">
        <f t="shared" si="8"/>
        <v>903.19999999999982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8C011-DC4A-4B59-92D1-B477214E035A}">
  <sheetPr codeName="Tabelle5"/>
  <dimension ref="A1:W41"/>
  <sheetViews>
    <sheetView topLeftCell="E1" zoomScale="85" zoomScaleNormal="85" workbookViewId="0">
      <selection activeCell="M41" sqref="M41"/>
    </sheetView>
  </sheetViews>
  <sheetFormatPr baseColWidth="10" defaultColWidth="11.44140625" defaultRowHeight="15.6" x14ac:dyDescent="0.3"/>
  <cols>
    <col min="1" max="1" width="64.33203125" style="7" bestFit="1" customWidth="1"/>
    <col min="2" max="2" width="14.44140625" style="7" bestFit="1" customWidth="1"/>
    <col min="3" max="11" width="13.5546875" style="7" bestFit="1" customWidth="1"/>
    <col min="12" max="12" width="13.6640625" style="7" customWidth="1"/>
    <col min="13" max="13" width="13.5546875" style="7" bestFit="1" customWidth="1"/>
    <col min="14" max="14" width="15.44140625" style="7" customWidth="1"/>
    <col min="15" max="21" width="13.5546875" style="7" bestFit="1" customWidth="1"/>
    <col min="22" max="22" width="15" style="7" bestFit="1" customWidth="1"/>
    <col min="23" max="16384" width="11.44140625" style="7"/>
  </cols>
  <sheetData>
    <row r="1" spans="1:23" x14ac:dyDescent="0.3">
      <c r="A1" s="22" t="s">
        <v>13</v>
      </c>
      <c r="B1" s="22" t="s">
        <v>14</v>
      </c>
      <c r="C1" s="22" t="s">
        <v>15</v>
      </c>
      <c r="D1" s="22" t="s">
        <v>16</v>
      </c>
      <c r="E1" s="22" t="s">
        <v>17</v>
      </c>
      <c r="F1" s="22" t="s">
        <v>18</v>
      </c>
      <c r="G1" s="22" t="s">
        <v>19</v>
      </c>
      <c r="H1" s="22" t="s">
        <v>20</v>
      </c>
      <c r="I1" s="22" t="s">
        <v>21</v>
      </c>
      <c r="J1" s="22" t="s">
        <v>22</v>
      </c>
      <c r="K1" s="22" t="s">
        <v>23</v>
      </c>
      <c r="L1" s="22" t="s">
        <v>24</v>
      </c>
      <c r="M1" s="22" t="s">
        <v>25</v>
      </c>
      <c r="N1" s="22" t="s">
        <v>26</v>
      </c>
      <c r="O1" s="22" t="s">
        <v>27</v>
      </c>
      <c r="P1" s="22" t="s">
        <v>28</v>
      </c>
      <c r="Q1" s="22" t="s">
        <v>29</v>
      </c>
      <c r="R1" s="22" t="s">
        <v>30</v>
      </c>
      <c r="S1" s="22" t="s">
        <v>31</v>
      </c>
      <c r="T1" s="22" t="s">
        <v>32</v>
      </c>
      <c r="U1" s="22" t="s">
        <v>33</v>
      </c>
      <c r="V1" s="22" t="s">
        <v>34</v>
      </c>
    </row>
    <row r="2" spans="1:23" x14ac:dyDescent="0.3">
      <c r="A2" s="16" t="s">
        <v>36</v>
      </c>
      <c r="B2" s="16"/>
      <c r="C2" s="16">
        <f t="shared" ref="C2:V2" si="0">C19*C14</f>
        <v>213.03689247980108</v>
      </c>
      <c r="D2" s="16">
        <f t="shared" si="0"/>
        <v>207.75347102785577</v>
      </c>
      <c r="E2" s="16">
        <f t="shared" si="0"/>
        <v>202.6010810696294</v>
      </c>
      <c r="F2" s="16">
        <f t="shared" si="0"/>
        <v>197.57647295856205</v>
      </c>
      <c r="G2" s="16">
        <f t="shared" si="0"/>
        <v>192.67647764095324</v>
      </c>
      <c r="H2" s="16">
        <f t="shared" si="0"/>
        <v>187.89800465721879</v>
      </c>
      <c r="I2" s="16">
        <f t="shared" si="0"/>
        <v>183.23804019271745</v>
      </c>
      <c r="J2" s="16">
        <f t="shared" si="0"/>
        <v>178.69364517691795</v>
      </c>
      <c r="K2" s="16">
        <f t="shared" si="0"/>
        <v>174.26195342970783</v>
      </c>
      <c r="L2" s="16">
        <f t="shared" si="0"/>
        <v>169.94016985367432</v>
      </c>
      <c r="M2" s="16">
        <f t="shared" si="0"/>
        <v>165.72556867121824</v>
      </c>
      <c r="N2" s="16">
        <f t="shared" si="0"/>
        <v>161.61549170538771</v>
      </c>
      <c r="O2" s="16">
        <f t="shared" si="0"/>
        <v>157.60734670334824</v>
      </c>
      <c r="P2" s="16">
        <f t="shared" si="0"/>
        <v>153.69860570143183</v>
      </c>
      <c r="Q2" s="16">
        <f t="shared" si="0"/>
        <v>149.88680343073347</v>
      </c>
      <c r="R2" s="16">
        <f t="shared" si="0"/>
        <v>146.16953576224955</v>
      </c>
      <c r="S2" s="16">
        <f t="shared" si="0"/>
        <v>142.54445819057787</v>
      </c>
      <c r="T2" s="16">
        <f t="shared" si="0"/>
        <v>139.00928435522246</v>
      </c>
      <c r="U2" s="16">
        <f t="shared" si="0"/>
        <v>135.56178459857077</v>
      </c>
      <c r="V2" s="16">
        <f t="shared" si="0"/>
        <v>132.19978455963388</v>
      </c>
    </row>
    <row r="3" spans="1:23" x14ac:dyDescent="0.3">
      <c r="A3" s="17" t="s">
        <v>44</v>
      </c>
      <c r="B3" s="17"/>
      <c r="C3" s="17">
        <f t="shared" ref="C3:V3" si="1">C17*C14</f>
        <v>894.29429045820689</v>
      </c>
      <c r="D3" s="17">
        <f t="shared" si="1"/>
        <v>914.84197319336624</v>
      </c>
      <c r="E3" s="17">
        <f t="shared" si="1"/>
        <v>931.41306825056529</v>
      </c>
      <c r="F3" s="17">
        <f t="shared" si="1"/>
        <v>950.84734962489847</v>
      </c>
      <c r="G3" s="17">
        <f t="shared" si="1"/>
        <v>970.02983867141393</v>
      </c>
      <c r="H3" s="17">
        <f t="shared" si="1"/>
        <v>991.5865035703813</v>
      </c>
      <c r="I3" s="17">
        <f t="shared" si="1"/>
        <v>1012.2215776158761</v>
      </c>
      <c r="J3" s="17">
        <f t="shared" si="1"/>
        <v>1032.7243086996846</v>
      </c>
      <c r="K3" s="17">
        <f t="shared" si="1"/>
        <v>1055.0591085197916</v>
      </c>
      <c r="L3" s="17">
        <f t="shared" si="1"/>
        <v>1076.0310916274143</v>
      </c>
      <c r="M3" s="17">
        <f t="shared" si="1"/>
        <v>1100.1466868714754</v>
      </c>
      <c r="N3" s="17">
        <f t="shared" si="1"/>
        <v>1123.8867965056968</v>
      </c>
      <c r="O3" s="17">
        <f t="shared" si="1"/>
        <v>1146.6800976254997</v>
      </c>
      <c r="P3" s="17">
        <f t="shared" si="1"/>
        <v>1172.3772719314318</v>
      </c>
      <c r="Q3" s="17">
        <f t="shared" si="1"/>
        <v>1200.5095485337849</v>
      </c>
      <c r="R3" s="17">
        <f t="shared" si="1"/>
        <v>1224.48907376735</v>
      </c>
      <c r="S3" s="17">
        <f t="shared" si="1"/>
        <v>1249.2353606500883</v>
      </c>
      <c r="T3" s="17">
        <f t="shared" si="1"/>
        <v>1276.0351231285124</v>
      </c>
      <c r="U3" s="17">
        <f t="shared" si="1"/>
        <v>1308.3510151221524</v>
      </c>
      <c r="V3" s="17">
        <f t="shared" si="1"/>
        <v>1337.2475085998392</v>
      </c>
    </row>
    <row r="4" spans="1:23" x14ac:dyDescent="0.3">
      <c r="A4" s="17" t="s">
        <v>37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>
        <f>0.45*B7*(-1)</f>
        <v>-2430.678082191781</v>
      </c>
      <c r="M4" s="17"/>
      <c r="N4" s="17"/>
      <c r="O4" s="17"/>
      <c r="P4" s="17"/>
      <c r="Q4" s="17"/>
      <c r="R4" s="17"/>
      <c r="S4" s="17"/>
      <c r="T4" s="17"/>
      <c r="U4" s="17"/>
      <c r="V4" s="17"/>
    </row>
    <row r="5" spans="1:23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</row>
    <row r="6" spans="1:23" x14ac:dyDescent="0.3">
      <c r="A6" s="17" t="s">
        <v>49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</row>
    <row r="7" spans="1:23" x14ac:dyDescent="0.3">
      <c r="A7" s="17" t="s">
        <v>38</v>
      </c>
      <c r="B7" s="17">
        <f>-SUM(C8:V8)</f>
        <v>5401.5068493150684</v>
      </c>
      <c r="C7" s="17" t="s">
        <v>35</v>
      </c>
      <c r="D7" s="17" t="s">
        <v>35</v>
      </c>
      <c r="E7" s="17" t="s">
        <v>35</v>
      </c>
      <c r="F7" s="17" t="s">
        <v>35</v>
      </c>
      <c r="G7" s="17" t="s">
        <v>35</v>
      </c>
      <c r="H7" s="17" t="s">
        <v>35</v>
      </c>
      <c r="I7" s="17" t="s">
        <v>35</v>
      </c>
      <c r="J7" s="17" t="s">
        <v>35</v>
      </c>
      <c r="K7" s="17" t="s">
        <v>35</v>
      </c>
      <c r="L7" s="17" t="s">
        <v>35</v>
      </c>
      <c r="M7" s="17" t="s">
        <v>35</v>
      </c>
      <c r="N7" s="17" t="s">
        <v>35</v>
      </c>
      <c r="O7" s="17" t="s">
        <v>35</v>
      </c>
      <c r="P7" s="17" t="s">
        <v>35</v>
      </c>
      <c r="Q7" s="17" t="s">
        <v>35</v>
      </c>
      <c r="R7" s="17" t="s">
        <v>35</v>
      </c>
      <c r="S7" s="17" t="s">
        <v>35</v>
      </c>
      <c r="T7" s="17" t="s">
        <v>35</v>
      </c>
      <c r="U7" s="17" t="s">
        <v>35</v>
      </c>
      <c r="V7" s="17" t="s">
        <v>35</v>
      </c>
    </row>
    <row r="8" spans="1:23" x14ac:dyDescent="0.3">
      <c r="A8" s="17" t="s">
        <v>2</v>
      </c>
      <c r="B8" s="17"/>
      <c r="C8" s="12">
        <v>0</v>
      </c>
      <c r="D8" s="12">
        <v>0</v>
      </c>
      <c r="E8" s="12">
        <v>0</v>
      </c>
      <c r="F8" s="12">
        <v>-317.73569701853341</v>
      </c>
      <c r="G8" s="12">
        <v>-317.73569701853341</v>
      </c>
      <c r="H8" s="12">
        <v>-317.73569701853341</v>
      </c>
      <c r="I8" s="12">
        <v>-317.73569701853341</v>
      </c>
      <c r="J8" s="12">
        <v>-317.73569701853341</v>
      </c>
      <c r="K8" s="12">
        <v>-317.73569701853341</v>
      </c>
      <c r="L8" s="12">
        <v>-317.73569701853341</v>
      </c>
      <c r="M8" s="12">
        <v>-317.73569701853341</v>
      </c>
      <c r="N8" s="12">
        <v>-317.73569701853341</v>
      </c>
      <c r="O8" s="12">
        <v>-317.73569701853341</v>
      </c>
      <c r="P8" s="12">
        <v>-317.73569701853341</v>
      </c>
      <c r="Q8" s="12">
        <v>-317.73569701853341</v>
      </c>
      <c r="R8" s="12">
        <v>-317.73569701853341</v>
      </c>
      <c r="S8" s="12">
        <v>-317.73569701853341</v>
      </c>
      <c r="T8" s="12">
        <v>-317.73569701853341</v>
      </c>
      <c r="U8" s="12">
        <v>-317.73569701853341</v>
      </c>
      <c r="V8" s="12">
        <v>-317.73569701853341</v>
      </c>
    </row>
    <row r="9" spans="1:23" x14ac:dyDescent="0.3">
      <c r="A9" s="17" t="s">
        <v>39</v>
      </c>
      <c r="B9" s="17"/>
      <c r="C9" s="12">
        <v>-290.60106849315071</v>
      </c>
      <c r="D9" s="12">
        <v>-290.60106849315071</v>
      </c>
      <c r="E9" s="12">
        <v>-290.60106849315071</v>
      </c>
      <c r="F9" s="12">
        <v>-284.19075080580183</v>
      </c>
      <c r="G9" s="12">
        <v>-267.0965703062048</v>
      </c>
      <c r="H9" s="12">
        <v>-250.00238980660777</v>
      </c>
      <c r="I9" s="12">
        <v>-232.90820930701074</v>
      </c>
      <c r="J9" s="12">
        <v>-215.81402880741371</v>
      </c>
      <c r="K9" s="12">
        <v>-198.71984830781656</v>
      </c>
      <c r="L9" s="12">
        <v>-181.62566780821945</v>
      </c>
      <c r="M9" s="12">
        <v>-164.53148730862233</v>
      </c>
      <c r="N9" s="12">
        <v>-147.43730680902524</v>
      </c>
      <c r="O9" s="12">
        <v>-130.3431263094281</v>
      </c>
      <c r="P9" s="12">
        <v>-113.24894580983099</v>
      </c>
      <c r="Q9" s="12">
        <v>-96.15476531023387</v>
      </c>
      <c r="R9" s="12">
        <v>-79.060584810636755</v>
      </c>
      <c r="S9" s="12">
        <v>-61.966404311039646</v>
      </c>
      <c r="T9" s="12">
        <v>-44.872223811442538</v>
      </c>
      <c r="U9" s="12">
        <v>-27.778043311845451</v>
      </c>
      <c r="V9" s="12">
        <v>-10.683862812248357</v>
      </c>
    </row>
    <row r="10" spans="1:23" x14ac:dyDescent="0.3">
      <c r="A10" s="2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</row>
    <row r="11" spans="1:23" x14ac:dyDescent="0.3">
      <c r="A11" s="21" t="s">
        <v>45</v>
      </c>
      <c r="B11" s="15">
        <f>B2</f>
        <v>0</v>
      </c>
      <c r="C11" s="15">
        <f>C2</f>
        <v>213.03689247980108</v>
      </c>
      <c r="D11" s="15">
        <f t="shared" ref="D11:V11" si="2">D2+C11</f>
        <v>420.79036350765682</v>
      </c>
      <c r="E11" s="15">
        <f t="shared" si="2"/>
        <v>623.39144457728617</v>
      </c>
      <c r="F11" s="15">
        <f t="shared" si="2"/>
        <v>820.96791753584819</v>
      </c>
      <c r="G11" s="15">
        <f t="shared" si="2"/>
        <v>1013.6443951768015</v>
      </c>
      <c r="H11" s="15">
        <f t="shared" si="2"/>
        <v>1201.5423998340202</v>
      </c>
      <c r="I11" s="15">
        <f t="shared" si="2"/>
        <v>1384.7804400267378</v>
      </c>
      <c r="J11" s="15">
        <f t="shared" si="2"/>
        <v>1563.4740852036557</v>
      </c>
      <c r="K11" s="15">
        <f t="shared" si="2"/>
        <v>1737.7360386333635</v>
      </c>
      <c r="L11" s="15">
        <f t="shared" si="2"/>
        <v>1907.6762084870379</v>
      </c>
      <c r="M11" s="15">
        <f t="shared" si="2"/>
        <v>2073.4017771582562</v>
      </c>
      <c r="N11" s="15">
        <f t="shared" si="2"/>
        <v>2235.0172688636439</v>
      </c>
      <c r="O11" s="15">
        <f t="shared" si="2"/>
        <v>2392.6246155669924</v>
      </c>
      <c r="P11" s="15">
        <f t="shared" si="2"/>
        <v>2546.3232212684243</v>
      </c>
      <c r="Q11" s="15">
        <f t="shared" si="2"/>
        <v>2696.2100246991577</v>
      </c>
      <c r="R11" s="15">
        <f t="shared" si="2"/>
        <v>2842.379560461407</v>
      </c>
      <c r="S11" s="15">
        <f t="shared" si="2"/>
        <v>2984.9240186519846</v>
      </c>
      <c r="T11" s="15">
        <f t="shared" si="2"/>
        <v>3123.9333030072071</v>
      </c>
      <c r="U11" s="15">
        <f t="shared" si="2"/>
        <v>3259.4950876057778</v>
      </c>
      <c r="V11" s="15">
        <f t="shared" si="2"/>
        <v>3391.6948721654117</v>
      </c>
      <c r="W11" s="14"/>
    </row>
    <row r="12" spans="1:23" ht="16.2" thickBot="1" x14ac:dyDescent="0.35">
      <c r="A12" s="23" t="s">
        <v>50</v>
      </c>
      <c r="B12" s="15"/>
      <c r="C12" s="15">
        <f t="shared" ref="C12" si="3">SUM(C3,C4,C9,C8)</f>
        <v>603.69322196505618</v>
      </c>
      <c r="D12" s="15">
        <f>SUM(D3,D4,D9,D8,C12)</f>
        <v>1227.9341266652718</v>
      </c>
      <c r="E12" s="15">
        <f t="shared" ref="E12:V12" si="4">SUM(E3,E4,E9,E8,D12)</f>
        <v>1868.7461264226863</v>
      </c>
      <c r="F12" s="15">
        <f t="shared" si="4"/>
        <v>2217.6670282232494</v>
      </c>
      <c r="G12" s="15">
        <f t="shared" si="4"/>
        <v>2602.8645995699253</v>
      </c>
      <c r="H12" s="15">
        <f t="shared" si="4"/>
        <v>3026.7130163151655</v>
      </c>
      <c r="I12" s="15">
        <f t="shared" si="4"/>
        <v>3488.2906876054976</v>
      </c>
      <c r="J12" s="15">
        <f t="shared" si="4"/>
        <v>3987.4652704792352</v>
      </c>
      <c r="K12" s="15">
        <f t="shared" si="4"/>
        <v>4526.0688336726771</v>
      </c>
      <c r="L12" s="15">
        <f t="shared" si="4"/>
        <v>2672.0604782815576</v>
      </c>
      <c r="M12" s="15">
        <f t="shared" si="4"/>
        <v>3289.9399808258772</v>
      </c>
      <c r="N12" s="15">
        <f t="shared" si="4"/>
        <v>3948.6537735040156</v>
      </c>
      <c r="O12" s="15">
        <f t="shared" si="4"/>
        <v>4647.2550478015537</v>
      </c>
      <c r="P12" s="15">
        <f t="shared" si="4"/>
        <v>5388.6476769046212</v>
      </c>
      <c r="Q12" s="15">
        <f t="shared" si="4"/>
        <v>6175.2667631096392</v>
      </c>
      <c r="R12" s="15">
        <f t="shared" si="4"/>
        <v>7002.9595550478189</v>
      </c>
      <c r="S12" s="15">
        <f t="shared" si="4"/>
        <v>7872.4928143683337</v>
      </c>
      <c r="T12" s="15">
        <f t="shared" si="4"/>
        <v>8785.9200166668707</v>
      </c>
      <c r="U12" s="15">
        <f t="shared" si="4"/>
        <v>9748.7572914586435</v>
      </c>
      <c r="V12" s="15">
        <f t="shared" si="4"/>
        <v>10757.585240227701</v>
      </c>
      <c r="W12" s="14"/>
    </row>
    <row r="13" spans="1:23" x14ac:dyDescent="0.3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6"/>
    </row>
    <row r="14" spans="1:23" x14ac:dyDescent="0.3">
      <c r="A14" s="11" t="s">
        <v>9</v>
      </c>
      <c r="B14" s="12"/>
      <c r="C14" s="12">
        <f>M24</f>
        <v>2603.1999999999998</v>
      </c>
      <c r="D14" s="12">
        <f>C14*(1-0.005)</f>
        <v>2590.1839999999997</v>
      </c>
      <c r="E14" s="12">
        <f t="shared" ref="E14:V14" si="5">D14*(1-0.005)</f>
        <v>2577.2330799999995</v>
      </c>
      <c r="F14" s="12">
        <f t="shared" si="5"/>
        <v>2564.3469145999993</v>
      </c>
      <c r="G14" s="12">
        <f t="shared" si="5"/>
        <v>2551.5251800269994</v>
      </c>
      <c r="H14" s="12">
        <f t="shared" si="5"/>
        <v>2538.7675541268645</v>
      </c>
      <c r="I14" s="12">
        <f t="shared" si="5"/>
        <v>2526.0737163562303</v>
      </c>
      <c r="J14" s="12">
        <f t="shared" si="5"/>
        <v>2513.4433477744492</v>
      </c>
      <c r="K14" s="12">
        <f t="shared" si="5"/>
        <v>2500.8761310355771</v>
      </c>
      <c r="L14" s="12">
        <f t="shared" si="5"/>
        <v>2488.3717503803991</v>
      </c>
      <c r="M14" s="12">
        <f t="shared" si="5"/>
        <v>2475.929891628497</v>
      </c>
      <c r="N14" s="12">
        <f t="shared" si="5"/>
        <v>2463.5502421703545</v>
      </c>
      <c r="O14" s="12">
        <f t="shared" si="5"/>
        <v>2451.2324909595027</v>
      </c>
      <c r="P14" s="12">
        <f t="shared" si="5"/>
        <v>2438.9763285047052</v>
      </c>
      <c r="Q14" s="12">
        <f t="shared" si="5"/>
        <v>2426.7814468621818</v>
      </c>
      <c r="R14" s="12">
        <f t="shared" si="5"/>
        <v>2414.6475396278711</v>
      </c>
      <c r="S14" s="12">
        <f t="shared" si="5"/>
        <v>2402.5743019297315</v>
      </c>
      <c r="T14" s="12">
        <f t="shared" si="5"/>
        <v>2390.5614304200831</v>
      </c>
      <c r="U14" s="12">
        <f t="shared" si="5"/>
        <v>2378.6086232679827</v>
      </c>
      <c r="V14" s="12">
        <f t="shared" si="5"/>
        <v>2366.7155801516428</v>
      </c>
    </row>
    <row r="15" spans="1:23" x14ac:dyDescent="0.3">
      <c r="A15" s="11" t="s">
        <v>8</v>
      </c>
      <c r="B15" s="12"/>
      <c r="C15" s="12">
        <v>0.42411917073488226</v>
      </c>
      <c r="D15" s="12">
        <v>0.4360441323113049</v>
      </c>
      <c r="E15" s="12">
        <v>0.44617333440891183</v>
      </c>
      <c r="F15" s="12">
        <v>0.4577717664241896</v>
      </c>
      <c r="G15" s="12">
        <v>0.46935366793080274</v>
      </c>
      <c r="H15" s="12">
        <v>0.48219494006666963</v>
      </c>
      <c r="I15" s="12">
        <v>0.49470300908880804</v>
      </c>
      <c r="J15" s="12">
        <v>0.50725960601985376</v>
      </c>
      <c r="K15" s="12">
        <v>0.52083431606999631</v>
      </c>
      <c r="L15" s="12">
        <v>0.5338565052631381</v>
      </c>
      <c r="M15" s="12">
        <v>0.54856391162503637</v>
      </c>
      <c r="N15" s="12">
        <v>0.56321748176115871</v>
      </c>
      <c r="O15" s="12">
        <v>0.57752760977757078</v>
      </c>
      <c r="P15" s="12">
        <v>0.59343722657237086</v>
      </c>
      <c r="Q15" s="12">
        <v>0.61073095628853435</v>
      </c>
      <c r="R15" s="12">
        <v>0.62606027632446604</v>
      </c>
      <c r="S15" s="12">
        <v>0.64192223986873176</v>
      </c>
      <c r="T15" s="12">
        <v>0.65898829614494836</v>
      </c>
      <c r="U15" s="12">
        <v>0.67907269443859763</v>
      </c>
      <c r="V15" s="13">
        <v>0.69755861835222222</v>
      </c>
    </row>
    <row r="16" spans="1:23" x14ac:dyDescent="0.3">
      <c r="A16" s="11" t="s">
        <v>10</v>
      </c>
      <c r="B16" s="12"/>
      <c r="C16" s="12">
        <f>1-0.19</f>
        <v>0.81</v>
      </c>
      <c r="D16" s="12">
        <f t="shared" ref="D16:V16" si="6">1-0.19</f>
        <v>0.81</v>
      </c>
      <c r="E16" s="12">
        <f t="shared" si="6"/>
        <v>0.81</v>
      </c>
      <c r="F16" s="12">
        <f t="shared" si="6"/>
        <v>0.81</v>
      </c>
      <c r="G16" s="12">
        <f t="shared" si="6"/>
        <v>0.81</v>
      </c>
      <c r="H16" s="12">
        <f t="shared" si="6"/>
        <v>0.81</v>
      </c>
      <c r="I16" s="12">
        <f t="shared" si="6"/>
        <v>0.81</v>
      </c>
      <c r="J16" s="12">
        <f t="shared" si="6"/>
        <v>0.81</v>
      </c>
      <c r="K16" s="12">
        <f t="shared" si="6"/>
        <v>0.81</v>
      </c>
      <c r="L16" s="12">
        <f t="shared" si="6"/>
        <v>0.81</v>
      </c>
      <c r="M16" s="12">
        <f t="shared" si="6"/>
        <v>0.81</v>
      </c>
      <c r="N16" s="12">
        <f t="shared" si="6"/>
        <v>0.81</v>
      </c>
      <c r="O16" s="12">
        <f t="shared" si="6"/>
        <v>0.81</v>
      </c>
      <c r="P16" s="12">
        <f t="shared" si="6"/>
        <v>0.81</v>
      </c>
      <c r="Q16" s="12">
        <f t="shared" si="6"/>
        <v>0.81</v>
      </c>
      <c r="R16" s="12">
        <f t="shared" si="6"/>
        <v>0.81</v>
      </c>
      <c r="S16" s="12">
        <f t="shared" si="6"/>
        <v>0.81</v>
      </c>
      <c r="T16" s="12">
        <f t="shared" si="6"/>
        <v>0.81</v>
      </c>
      <c r="U16" s="12">
        <f t="shared" si="6"/>
        <v>0.81</v>
      </c>
      <c r="V16" s="13">
        <f t="shared" si="6"/>
        <v>0.81</v>
      </c>
    </row>
    <row r="17" spans="1:22" x14ac:dyDescent="0.3">
      <c r="A17" s="11" t="s">
        <v>46</v>
      </c>
      <c r="B17" s="12"/>
      <c r="C17" s="12">
        <f>C15*C16</f>
        <v>0.34353652829525466</v>
      </c>
      <c r="D17" s="12">
        <f t="shared" ref="D17:V17" si="7">D15*D16</f>
        <v>0.35319574717215702</v>
      </c>
      <c r="E17" s="12">
        <f t="shared" si="7"/>
        <v>0.36140040087121861</v>
      </c>
      <c r="F17" s="12">
        <f t="shared" si="7"/>
        <v>0.37079513080359361</v>
      </c>
      <c r="G17" s="12">
        <f t="shared" si="7"/>
        <v>0.38017647102395025</v>
      </c>
      <c r="H17" s="12">
        <f t="shared" si="7"/>
        <v>0.39057790145400245</v>
      </c>
      <c r="I17" s="12">
        <f t="shared" si="7"/>
        <v>0.40070943736193454</v>
      </c>
      <c r="J17" s="12">
        <f t="shared" si="7"/>
        <v>0.41088028087608158</v>
      </c>
      <c r="K17" s="12">
        <f t="shared" si="7"/>
        <v>0.42187579601669706</v>
      </c>
      <c r="L17" s="12">
        <f t="shared" si="7"/>
        <v>0.43242376926314191</v>
      </c>
      <c r="M17" s="12">
        <f t="shared" si="7"/>
        <v>0.4443367684162795</v>
      </c>
      <c r="N17" s="12">
        <f t="shared" si="7"/>
        <v>0.45620616022653859</v>
      </c>
      <c r="O17" s="12">
        <f t="shared" si="7"/>
        <v>0.46779736391983234</v>
      </c>
      <c r="P17" s="12">
        <f t="shared" si="7"/>
        <v>0.48068415352362043</v>
      </c>
      <c r="Q17" s="12">
        <f t="shared" si="7"/>
        <v>0.49469207459371284</v>
      </c>
      <c r="R17" s="12">
        <f t="shared" si="7"/>
        <v>0.50710882382281752</v>
      </c>
      <c r="S17" s="12">
        <f t="shared" si="7"/>
        <v>0.5199570142936728</v>
      </c>
      <c r="T17" s="12">
        <f t="shared" si="7"/>
        <v>0.53378051987740815</v>
      </c>
      <c r="U17" s="12">
        <f t="shared" si="7"/>
        <v>0.55004888249526407</v>
      </c>
      <c r="V17" s="13">
        <f t="shared" si="7"/>
        <v>0.56502248086530005</v>
      </c>
    </row>
    <row r="18" spans="1:22" x14ac:dyDescent="0.3">
      <c r="A18" s="8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10"/>
    </row>
    <row r="19" spans="1:22" ht="16.2" thickBot="1" x14ac:dyDescent="0.35">
      <c r="A19" s="18" t="s">
        <v>7</v>
      </c>
      <c r="B19" s="19"/>
      <c r="C19" s="19">
        <v>8.1836544437538836E-2</v>
      </c>
      <c r="D19" s="19">
        <v>8.0207997203231809E-2</v>
      </c>
      <c r="E19" s="19">
        <v>7.8611858058887499E-2</v>
      </c>
      <c r="F19" s="19">
        <v>7.7047482083515639E-2</v>
      </c>
      <c r="G19" s="19">
        <v>7.5514237190053679E-2</v>
      </c>
      <c r="H19" s="19">
        <v>7.4011503869971615E-2</v>
      </c>
      <c r="I19" s="19">
        <v>7.253867494295918E-2</v>
      </c>
      <c r="J19" s="19">
        <v>7.1095155311594285E-2</v>
      </c>
      <c r="K19" s="19">
        <v>6.9680361720893563E-2</v>
      </c>
      <c r="L19" s="19">
        <v>6.8293722522647773E-2</v>
      </c>
      <c r="M19" s="19">
        <v>6.6934677444447074E-2</v>
      </c>
      <c r="N19" s="19">
        <v>6.5602677363302581E-2</v>
      </c>
      <c r="O19" s="19">
        <v>6.4297184083772857E-2</v>
      </c>
      <c r="P19" s="19">
        <v>6.301767012050577E-2</v>
      </c>
      <c r="Q19" s="19">
        <v>6.1763618485107703E-2</v>
      </c>
      <c r="R19" s="19">
        <v>6.0534522477254056E-2</v>
      </c>
      <c r="S19" s="19">
        <v>5.9329885479956698E-2</v>
      </c>
      <c r="T19" s="19">
        <v>5.8149220758905558E-2</v>
      </c>
      <c r="U19" s="19">
        <v>5.6992051265803333E-2</v>
      </c>
      <c r="V19" s="20">
        <v>5.5857909445613842E-2</v>
      </c>
    </row>
    <row r="21" spans="1:22" x14ac:dyDescent="0.3">
      <c r="L21" s="7" t="s">
        <v>48</v>
      </c>
    </row>
    <row r="22" spans="1:22" x14ac:dyDescent="0.3">
      <c r="M22" s="7">
        <f>3.84*365*2</f>
        <v>2803.2</v>
      </c>
    </row>
    <row r="23" spans="1:22" x14ac:dyDescent="0.3">
      <c r="M23" s="7">
        <f>M22-100</f>
        <v>2703.2</v>
      </c>
    </row>
    <row r="24" spans="1:22" x14ac:dyDescent="0.3">
      <c r="M24" s="7">
        <f t="shared" ref="M24:M41" si="8">M23-100</f>
        <v>2603.1999999999998</v>
      </c>
    </row>
    <row r="25" spans="1:22" x14ac:dyDescent="0.3">
      <c r="M25" s="7">
        <f t="shared" si="8"/>
        <v>2503.1999999999998</v>
      </c>
    </row>
    <row r="26" spans="1:22" x14ac:dyDescent="0.3">
      <c r="M26" s="7">
        <f t="shared" si="8"/>
        <v>2403.1999999999998</v>
      </c>
    </row>
    <row r="27" spans="1:22" x14ac:dyDescent="0.3">
      <c r="M27" s="7">
        <f t="shared" si="8"/>
        <v>2303.1999999999998</v>
      </c>
    </row>
    <row r="28" spans="1:22" x14ac:dyDescent="0.3">
      <c r="M28" s="7">
        <f t="shared" si="8"/>
        <v>2203.1999999999998</v>
      </c>
    </row>
    <row r="29" spans="1:22" x14ac:dyDescent="0.3">
      <c r="M29" s="7">
        <f t="shared" si="8"/>
        <v>2103.1999999999998</v>
      </c>
    </row>
    <row r="30" spans="1:22" x14ac:dyDescent="0.3">
      <c r="M30" s="7">
        <f t="shared" si="8"/>
        <v>2003.1999999999998</v>
      </c>
    </row>
    <row r="31" spans="1:22" x14ac:dyDescent="0.3">
      <c r="M31" s="7">
        <f t="shared" si="8"/>
        <v>1903.1999999999998</v>
      </c>
    </row>
    <row r="32" spans="1:22" x14ac:dyDescent="0.3">
      <c r="M32" s="7">
        <f t="shared" si="8"/>
        <v>1803.1999999999998</v>
      </c>
    </row>
    <row r="33" spans="13:13" x14ac:dyDescent="0.3">
      <c r="M33" s="7">
        <f t="shared" si="8"/>
        <v>1703.1999999999998</v>
      </c>
    </row>
    <row r="34" spans="13:13" x14ac:dyDescent="0.3">
      <c r="M34" s="7">
        <f t="shared" si="8"/>
        <v>1603.1999999999998</v>
      </c>
    </row>
    <row r="35" spans="13:13" x14ac:dyDescent="0.3">
      <c r="M35" s="7">
        <f t="shared" si="8"/>
        <v>1503.1999999999998</v>
      </c>
    </row>
    <row r="36" spans="13:13" x14ac:dyDescent="0.3">
      <c r="M36" s="7">
        <f t="shared" si="8"/>
        <v>1403.1999999999998</v>
      </c>
    </row>
    <row r="37" spans="13:13" x14ac:dyDescent="0.3">
      <c r="M37" s="7">
        <f t="shared" si="8"/>
        <v>1303.1999999999998</v>
      </c>
    </row>
    <row r="38" spans="13:13" x14ac:dyDescent="0.3">
      <c r="M38" s="7">
        <f t="shared" si="8"/>
        <v>1203.1999999999998</v>
      </c>
    </row>
    <row r="39" spans="13:13" x14ac:dyDescent="0.3">
      <c r="M39" s="7">
        <f>M38-100</f>
        <v>1103.1999999999998</v>
      </c>
    </row>
    <row r="40" spans="13:13" x14ac:dyDescent="0.3">
      <c r="M40" s="7">
        <f t="shared" si="8"/>
        <v>1003.1999999999998</v>
      </c>
    </row>
    <row r="41" spans="13:13" x14ac:dyDescent="0.3">
      <c r="M41" s="7">
        <f t="shared" si="8"/>
        <v>903.19999999999982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E8505-5BD9-48BC-A0EE-6023581B6169}">
  <sheetPr codeName="Tabelle6"/>
  <dimension ref="A1:W41"/>
  <sheetViews>
    <sheetView topLeftCell="B6" zoomScale="73" zoomScaleNormal="85" workbookViewId="0">
      <selection activeCell="M41" sqref="M41"/>
    </sheetView>
  </sheetViews>
  <sheetFormatPr baseColWidth="10" defaultColWidth="11.44140625" defaultRowHeight="15.6" x14ac:dyDescent="0.3"/>
  <cols>
    <col min="1" max="1" width="64.33203125" style="7" bestFit="1" customWidth="1"/>
    <col min="2" max="2" width="14.44140625" style="7" bestFit="1" customWidth="1"/>
    <col min="3" max="11" width="13.5546875" style="7" bestFit="1" customWidth="1"/>
    <col min="12" max="12" width="13.6640625" style="7" customWidth="1"/>
    <col min="13" max="13" width="13.5546875" style="7" bestFit="1" customWidth="1"/>
    <col min="14" max="14" width="15.44140625" style="7" customWidth="1"/>
    <col min="15" max="22" width="13.5546875" style="7" bestFit="1" customWidth="1"/>
    <col min="23" max="16384" width="11.44140625" style="7"/>
  </cols>
  <sheetData>
    <row r="1" spans="1:23" x14ac:dyDescent="0.3">
      <c r="A1" s="22" t="s">
        <v>13</v>
      </c>
      <c r="B1" s="22" t="s">
        <v>14</v>
      </c>
      <c r="C1" s="22" t="s">
        <v>15</v>
      </c>
      <c r="D1" s="22" t="s">
        <v>16</v>
      </c>
      <c r="E1" s="22" t="s">
        <v>17</v>
      </c>
      <c r="F1" s="22" t="s">
        <v>18</v>
      </c>
      <c r="G1" s="22" t="s">
        <v>19</v>
      </c>
      <c r="H1" s="22" t="s">
        <v>20</v>
      </c>
      <c r="I1" s="22" t="s">
        <v>21</v>
      </c>
      <c r="J1" s="22" t="s">
        <v>22</v>
      </c>
      <c r="K1" s="22" t="s">
        <v>23</v>
      </c>
      <c r="L1" s="22" t="s">
        <v>24</v>
      </c>
      <c r="M1" s="22" t="s">
        <v>25</v>
      </c>
      <c r="N1" s="22" t="s">
        <v>26</v>
      </c>
      <c r="O1" s="22" t="s">
        <v>27</v>
      </c>
      <c r="P1" s="22" t="s">
        <v>28</v>
      </c>
      <c r="Q1" s="22" t="s">
        <v>29</v>
      </c>
      <c r="R1" s="22" t="s">
        <v>30</v>
      </c>
      <c r="S1" s="22" t="s">
        <v>31</v>
      </c>
      <c r="T1" s="22" t="s">
        <v>32</v>
      </c>
      <c r="U1" s="22" t="s">
        <v>33</v>
      </c>
      <c r="V1" s="22" t="s">
        <v>34</v>
      </c>
    </row>
    <row r="2" spans="1:23" x14ac:dyDescent="0.3">
      <c r="A2" s="16" t="s">
        <v>36</v>
      </c>
      <c r="B2" s="16"/>
      <c r="C2" s="16">
        <f t="shared" ref="C2:V2" si="0">C19*C14</f>
        <v>204.8532380360472</v>
      </c>
      <c r="D2" s="16">
        <f t="shared" si="0"/>
        <v>199.77277530613421</v>
      </c>
      <c r="E2" s="16">
        <f t="shared" si="0"/>
        <v>194.81831059215443</v>
      </c>
      <c r="F2" s="16">
        <f t="shared" si="0"/>
        <v>189.98671908031369</v>
      </c>
      <c r="G2" s="16">
        <f t="shared" si="0"/>
        <v>185.27495345376238</v>
      </c>
      <c r="H2" s="16">
        <f t="shared" si="0"/>
        <v>180.68004197063235</v>
      </c>
      <c r="I2" s="16">
        <f t="shared" si="0"/>
        <v>176.19908658973966</v>
      </c>
      <c r="J2" s="16">
        <f t="shared" si="0"/>
        <v>171.8292611427708</v>
      </c>
      <c r="K2" s="16">
        <f t="shared" si="0"/>
        <v>167.56780955179951</v>
      </c>
      <c r="L2" s="16">
        <f t="shared" si="0"/>
        <v>163.4120440910101</v>
      </c>
      <c r="M2" s="16">
        <f t="shared" si="0"/>
        <v>159.35934369153097</v>
      </c>
      <c r="N2" s="16">
        <f t="shared" si="0"/>
        <v>155.40715228830916</v>
      </c>
      <c r="O2" s="16">
        <f t="shared" si="0"/>
        <v>151.55297720798296</v>
      </c>
      <c r="P2" s="16">
        <f t="shared" si="0"/>
        <v>147.79438759673636</v>
      </c>
      <c r="Q2" s="16">
        <f t="shared" si="0"/>
        <v>144.12901288714349</v>
      </c>
      <c r="R2" s="16">
        <f t="shared" si="0"/>
        <v>140.55454130303588</v>
      </c>
      <c r="S2" s="16">
        <f t="shared" si="0"/>
        <v>137.0687184014499</v>
      </c>
      <c r="T2" s="16">
        <f t="shared" si="0"/>
        <v>133.66934565073475</v>
      </c>
      <c r="U2" s="16">
        <f t="shared" si="0"/>
        <v>130.3542790439237</v>
      </c>
      <c r="V2" s="16">
        <f t="shared" si="0"/>
        <v>127.12142774649487</v>
      </c>
    </row>
    <row r="3" spans="1:23" x14ac:dyDescent="0.3">
      <c r="A3" s="17" t="s">
        <v>44</v>
      </c>
      <c r="B3" s="17"/>
      <c r="C3" s="17">
        <f t="shared" ref="C3:V3" si="1">C17*C14</f>
        <v>859.94063762868143</v>
      </c>
      <c r="D3" s="17">
        <f t="shared" si="1"/>
        <v>879.6989963497366</v>
      </c>
      <c r="E3" s="17">
        <f t="shared" si="1"/>
        <v>895.63352506331262</v>
      </c>
      <c r="F3" s="17">
        <f t="shared" si="1"/>
        <v>914.32125291220268</v>
      </c>
      <c r="G3" s="17">
        <f t="shared" si="1"/>
        <v>932.76686084906407</v>
      </c>
      <c r="H3" s="17">
        <f t="shared" si="1"/>
        <v>953.49544243138394</v>
      </c>
      <c r="I3" s="17">
        <f t="shared" si="1"/>
        <v>973.33783539031231</v>
      </c>
      <c r="J3" s="17">
        <f t="shared" si="1"/>
        <v>993.05296924441075</v>
      </c>
      <c r="K3" s="17">
        <f t="shared" si="1"/>
        <v>1014.5297942711824</v>
      </c>
      <c r="L3" s="17">
        <f t="shared" si="1"/>
        <v>1034.6961541801409</v>
      </c>
      <c r="M3" s="17">
        <f t="shared" si="1"/>
        <v>1057.8853666935606</v>
      </c>
      <c r="N3" s="17">
        <f t="shared" si="1"/>
        <v>1080.7135175987476</v>
      </c>
      <c r="O3" s="17">
        <f t="shared" si="1"/>
        <v>1102.6312309373657</v>
      </c>
      <c r="P3" s="17">
        <f t="shared" si="1"/>
        <v>1127.3412673243545</v>
      </c>
      <c r="Q3" s="17">
        <f t="shared" si="1"/>
        <v>1154.3928633565492</v>
      </c>
      <c r="R3" s="17">
        <f t="shared" si="1"/>
        <v>1177.4512328881488</v>
      </c>
      <c r="S3" s="17">
        <f t="shared" si="1"/>
        <v>1201.2469094880532</v>
      </c>
      <c r="T3" s="17">
        <f t="shared" si="1"/>
        <v>1227.0171789394942</v>
      </c>
      <c r="U3" s="17">
        <f t="shared" si="1"/>
        <v>1258.091679876218</v>
      </c>
      <c r="V3" s="17">
        <f t="shared" si="1"/>
        <v>1285.8781359584802</v>
      </c>
    </row>
    <row r="4" spans="1:23" x14ac:dyDescent="0.3">
      <c r="A4" s="17" t="s">
        <v>37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>
        <f>0.45*B7*(-1)</f>
        <v>-2430.678082191781</v>
      </c>
      <c r="M4" s="17"/>
      <c r="N4" s="17"/>
      <c r="O4" s="17"/>
      <c r="P4" s="17"/>
      <c r="Q4" s="17"/>
      <c r="R4" s="17"/>
      <c r="S4" s="17"/>
      <c r="T4" s="17"/>
      <c r="U4" s="17"/>
      <c r="V4" s="17"/>
    </row>
    <row r="5" spans="1:23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</row>
    <row r="6" spans="1:23" x14ac:dyDescent="0.3">
      <c r="A6" s="17" t="s">
        <v>49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</row>
    <row r="7" spans="1:23" x14ac:dyDescent="0.3">
      <c r="A7" s="17" t="s">
        <v>38</v>
      </c>
      <c r="B7" s="17">
        <f>-SUM(C8:V8)</f>
        <v>5401.5068493150684</v>
      </c>
      <c r="C7" s="17" t="s">
        <v>35</v>
      </c>
      <c r="D7" s="17" t="s">
        <v>35</v>
      </c>
      <c r="E7" s="17" t="s">
        <v>35</v>
      </c>
      <c r="F7" s="17" t="s">
        <v>35</v>
      </c>
      <c r="G7" s="17" t="s">
        <v>35</v>
      </c>
      <c r="H7" s="17" t="s">
        <v>35</v>
      </c>
      <c r="I7" s="17" t="s">
        <v>35</v>
      </c>
      <c r="J7" s="17" t="s">
        <v>35</v>
      </c>
      <c r="K7" s="17" t="s">
        <v>35</v>
      </c>
      <c r="L7" s="17" t="s">
        <v>35</v>
      </c>
      <c r="M7" s="17" t="s">
        <v>35</v>
      </c>
      <c r="N7" s="17" t="s">
        <v>35</v>
      </c>
      <c r="O7" s="17" t="s">
        <v>35</v>
      </c>
      <c r="P7" s="17" t="s">
        <v>35</v>
      </c>
      <c r="Q7" s="17" t="s">
        <v>35</v>
      </c>
      <c r="R7" s="17" t="s">
        <v>35</v>
      </c>
      <c r="S7" s="17" t="s">
        <v>35</v>
      </c>
      <c r="T7" s="17" t="s">
        <v>35</v>
      </c>
      <c r="U7" s="17" t="s">
        <v>35</v>
      </c>
      <c r="V7" s="17" t="s">
        <v>35</v>
      </c>
    </row>
    <row r="8" spans="1:23" x14ac:dyDescent="0.3">
      <c r="A8" s="17" t="s">
        <v>2</v>
      </c>
      <c r="B8" s="17"/>
      <c r="C8" s="12">
        <v>0</v>
      </c>
      <c r="D8" s="12">
        <v>0</v>
      </c>
      <c r="E8" s="12">
        <v>0</v>
      </c>
      <c r="F8" s="12">
        <v>-317.73569701853341</v>
      </c>
      <c r="G8" s="12">
        <v>-317.73569701853341</v>
      </c>
      <c r="H8" s="12">
        <v>-317.73569701853341</v>
      </c>
      <c r="I8" s="12">
        <v>-317.73569701853341</v>
      </c>
      <c r="J8" s="12">
        <v>-317.73569701853341</v>
      </c>
      <c r="K8" s="12">
        <v>-317.73569701853341</v>
      </c>
      <c r="L8" s="12">
        <v>-317.73569701853341</v>
      </c>
      <c r="M8" s="12">
        <v>-317.73569701853341</v>
      </c>
      <c r="N8" s="12">
        <v>-317.73569701853341</v>
      </c>
      <c r="O8" s="12">
        <v>-317.73569701853341</v>
      </c>
      <c r="P8" s="12">
        <v>-317.73569701853341</v>
      </c>
      <c r="Q8" s="12">
        <v>-317.73569701853341</v>
      </c>
      <c r="R8" s="12">
        <v>-317.73569701853341</v>
      </c>
      <c r="S8" s="12">
        <v>-317.73569701853341</v>
      </c>
      <c r="T8" s="12">
        <v>-317.73569701853341</v>
      </c>
      <c r="U8" s="12">
        <v>-317.73569701853341</v>
      </c>
      <c r="V8" s="12">
        <v>-317.73569701853341</v>
      </c>
    </row>
    <row r="9" spans="1:23" x14ac:dyDescent="0.3">
      <c r="A9" s="17" t="s">
        <v>39</v>
      </c>
      <c r="B9" s="17"/>
      <c r="C9" s="12">
        <v>-290.60106849315071</v>
      </c>
      <c r="D9" s="12">
        <v>-290.60106849315071</v>
      </c>
      <c r="E9" s="12">
        <v>-290.60106849315071</v>
      </c>
      <c r="F9" s="12">
        <v>-284.19075080580183</v>
      </c>
      <c r="G9" s="12">
        <v>-267.0965703062048</v>
      </c>
      <c r="H9" s="12">
        <v>-250.00238980660777</v>
      </c>
      <c r="I9" s="12">
        <v>-232.90820930701074</v>
      </c>
      <c r="J9" s="12">
        <v>-215.81402880741371</v>
      </c>
      <c r="K9" s="12">
        <v>-198.71984830781656</v>
      </c>
      <c r="L9" s="12">
        <v>-181.62566780821945</v>
      </c>
      <c r="M9" s="12">
        <v>-164.53148730862233</v>
      </c>
      <c r="N9" s="12">
        <v>-147.43730680902524</v>
      </c>
      <c r="O9" s="12">
        <v>-130.3431263094281</v>
      </c>
      <c r="P9" s="12">
        <v>-113.24894580983099</v>
      </c>
      <c r="Q9" s="12">
        <v>-96.15476531023387</v>
      </c>
      <c r="R9" s="12">
        <v>-79.060584810636755</v>
      </c>
      <c r="S9" s="12">
        <v>-61.966404311039646</v>
      </c>
      <c r="T9" s="12">
        <v>-44.872223811442538</v>
      </c>
      <c r="U9" s="12">
        <v>-27.778043311845451</v>
      </c>
      <c r="V9" s="12">
        <v>-10.683862812248357</v>
      </c>
    </row>
    <row r="10" spans="1:23" x14ac:dyDescent="0.3">
      <c r="A10" s="2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</row>
    <row r="11" spans="1:23" x14ac:dyDescent="0.3">
      <c r="A11" s="21" t="s">
        <v>45</v>
      </c>
      <c r="B11" s="15">
        <f>B2</f>
        <v>0</v>
      </c>
      <c r="C11" s="15">
        <f>C2</f>
        <v>204.8532380360472</v>
      </c>
      <c r="D11" s="15">
        <f t="shared" ref="D11:V11" si="2">D2+C11</f>
        <v>404.62601334218141</v>
      </c>
      <c r="E11" s="15">
        <f t="shared" si="2"/>
        <v>599.4443239343359</v>
      </c>
      <c r="F11" s="15">
        <f t="shared" si="2"/>
        <v>789.43104301464962</v>
      </c>
      <c r="G11" s="15">
        <f t="shared" si="2"/>
        <v>974.70599646841197</v>
      </c>
      <c r="H11" s="15">
        <f t="shared" si="2"/>
        <v>1155.3860384390443</v>
      </c>
      <c r="I11" s="15">
        <f t="shared" si="2"/>
        <v>1331.585125028784</v>
      </c>
      <c r="J11" s="15">
        <f t="shared" si="2"/>
        <v>1503.4143861715547</v>
      </c>
      <c r="K11" s="15">
        <f t="shared" si="2"/>
        <v>1670.9821957233542</v>
      </c>
      <c r="L11" s="15">
        <f t="shared" si="2"/>
        <v>1834.3942398143643</v>
      </c>
      <c r="M11" s="15">
        <f t="shared" si="2"/>
        <v>1993.7535835058952</v>
      </c>
      <c r="N11" s="15">
        <f t="shared" si="2"/>
        <v>2149.1607357942044</v>
      </c>
      <c r="O11" s="15">
        <f t="shared" si="2"/>
        <v>2300.7137130021874</v>
      </c>
      <c r="P11" s="15">
        <f t="shared" si="2"/>
        <v>2448.5081005989236</v>
      </c>
      <c r="Q11" s="15">
        <f t="shared" si="2"/>
        <v>2592.6371134860669</v>
      </c>
      <c r="R11" s="15">
        <f t="shared" si="2"/>
        <v>2733.1916547891028</v>
      </c>
      <c r="S11" s="15">
        <f t="shared" si="2"/>
        <v>2870.2603731905529</v>
      </c>
      <c r="T11" s="15">
        <f t="shared" si="2"/>
        <v>3003.9297188412875</v>
      </c>
      <c r="U11" s="15">
        <f t="shared" si="2"/>
        <v>3134.2839978852112</v>
      </c>
      <c r="V11" s="15">
        <f t="shared" si="2"/>
        <v>3261.4054256317058</v>
      </c>
      <c r="W11" s="14"/>
    </row>
    <row r="12" spans="1:23" ht="16.2" thickBot="1" x14ac:dyDescent="0.35">
      <c r="A12" s="23" t="s">
        <v>50</v>
      </c>
      <c r="B12" s="15"/>
      <c r="C12" s="15">
        <f t="shared" ref="C12" si="3">SUM(C3,C4,C9,C8)</f>
        <v>569.33956913553072</v>
      </c>
      <c r="D12" s="15">
        <f>SUM(D3,D4,D9,D8,C12)</f>
        <v>1158.4374969921166</v>
      </c>
      <c r="E12" s="15">
        <f t="shared" ref="E12:V12" si="4">SUM(E3,E4,E9,E8,D12)</f>
        <v>1763.4699535622785</v>
      </c>
      <c r="F12" s="15">
        <f t="shared" si="4"/>
        <v>2075.8647586501461</v>
      </c>
      <c r="G12" s="15">
        <f t="shared" si="4"/>
        <v>2423.799352174472</v>
      </c>
      <c r="H12" s="15">
        <f t="shared" si="4"/>
        <v>2809.5567077807145</v>
      </c>
      <c r="I12" s="15">
        <f t="shared" si="4"/>
        <v>3232.2506368454829</v>
      </c>
      <c r="J12" s="15">
        <f t="shared" si="4"/>
        <v>3691.7538802639465</v>
      </c>
      <c r="K12" s="15">
        <f t="shared" si="4"/>
        <v>4189.8281292087786</v>
      </c>
      <c r="L12" s="15">
        <f t="shared" si="4"/>
        <v>2294.4848363703854</v>
      </c>
      <c r="M12" s="15">
        <f t="shared" si="4"/>
        <v>2870.1030187367905</v>
      </c>
      <c r="N12" s="15">
        <f t="shared" si="4"/>
        <v>3485.6435325079792</v>
      </c>
      <c r="O12" s="15">
        <f t="shared" si="4"/>
        <v>4140.1959401173835</v>
      </c>
      <c r="P12" s="15">
        <f t="shared" si="4"/>
        <v>4836.5525646133738</v>
      </c>
      <c r="Q12" s="15">
        <f t="shared" si="4"/>
        <v>5577.0549656411558</v>
      </c>
      <c r="R12" s="15">
        <f t="shared" si="4"/>
        <v>6357.7099167001343</v>
      </c>
      <c r="S12" s="15">
        <f t="shared" si="4"/>
        <v>7179.2547248586143</v>
      </c>
      <c r="T12" s="15">
        <f t="shared" si="4"/>
        <v>8043.6639829681326</v>
      </c>
      <c r="U12" s="15">
        <f t="shared" si="4"/>
        <v>8956.2419225139711</v>
      </c>
      <c r="V12" s="15">
        <f t="shared" si="4"/>
        <v>9913.7004986416687</v>
      </c>
      <c r="W12" s="14"/>
    </row>
    <row r="13" spans="1:23" x14ac:dyDescent="0.3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6"/>
    </row>
    <row r="14" spans="1:23" x14ac:dyDescent="0.3">
      <c r="A14" s="11" t="s">
        <v>9</v>
      </c>
      <c r="B14" s="12"/>
      <c r="C14" s="12">
        <f>M25</f>
        <v>2503.1999999999998</v>
      </c>
      <c r="D14" s="12">
        <f>C14*(1-0.005)</f>
        <v>2490.6839999999997</v>
      </c>
      <c r="E14" s="12">
        <f t="shared" ref="E14:V14" si="5">D14*(1-0.005)</f>
        <v>2478.2305799999999</v>
      </c>
      <c r="F14" s="12">
        <f t="shared" si="5"/>
        <v>2465.8394270999997</v>
      </c>
      <c r="G14" s="12">
        <f t="shared" si="5"/>
        <v>2453.5102299644996</v>
      </c>
      <c r="H14" s="12">
        <f t="shared" si="5"/>
        <v>2441.2426788146772</v>
      </c>
      <c r="I14" s="12">
        <f t="shared" si="5"/>
        <v>2429.0364654206037</v>
      </c>
      <c r="J14" s="12">
        <f t="shared" si="5"/>
        <v>2416.8912830935005</v>
      </c>
      <c r="K14" s="12">
        <f t="shared" si="5"/>
        <v>2404.8068266780328</v>
      </c>
      <c r="L14" s="12">
        <f t="shared" si="5"/>
        <v>2392.7827925446427</v>
      </c>
      <c r="M14" s="12">
        <f t="shared" si="5"/>
        <v>2380.8188785819193</v>
      </c>
      <c r="N14" s="12">
        <f t="shared" si="5"/>
        <v>2368.9147841890099</v>
      </c>
      <c r="O14" s="12">
        <f t="shared" si="5"/>
        <v>2357.0702102680648</v>
      </c>
      <c r="P14" s="12">
        <f t="shared" si="5"/>
        <v>2345.2848592167243</v>
      </c>
      <c r="Q14" s="12">
        <f t="shared" si="5"/>
        <v>2333.5584349206406</v>
      </c>
      <c r="R14" s="12">
        <f t="shared" si="5"/>
        <v>2321.8906427460374</v>
      </c>
      <c r="S14" s="12">
        <f t="shared" si="5"/>
        <v>2310.2811895323071</v>
      </c>
      <c r="T14" s="12">
        <f t="shared" si="5"/>
        <v>2298.7297835846457</v>
      </c>
      <c r="U14" s="12">
        <f t="shared" si="5"/>
        <v>2287.2361346667226</v>
      </c>
      <c r="V14" s="12">
        <f t="shared" si="5"/>
        <v>2275.799953993389</v>
      </c>
    </row>
    <row r="15" spans="1:23" x14ac:dyDescent="0.3">
      <c r="A15" s="11" t="s">
        <v>8</v>
      </c>
      <c r="B15" s="12"/>
      <c r="C15" s="12">
        <v>0.42411917073488226</v>
      </c>
      <c r="D15" s="12">
        <v>0.4360441323113049</v>
      </c>
      <c r="E15" s="12">
        <v>0.44617333440891183</v>
      </c>
      <c r="F15" s="12">
        <v>0.4577717664241896</v>
      </c>
      <c r="G15" s="12">
        <v>0.46935366793080274</v>
      </c>
      <c r="H15" s="12">
        <v>0.48219494006666963</v>
      </c>
      <c r="I15" s="12">
        <v>0.49470300908880804</v>
      </c>
      <c r="J15" s="12">
        <v>0.50725960601985376</v>
      </c>
      <c r="K15" s="12">
        <v>0.52083431606999631</v>
      </c>
      <c r="L15" s="12">
        <v>0.5338565052631381</v>
      </c>
      <c r="M15" s="12">
        <v>0.54856391162503637</v>
      </c>
      <c r="N15" s="12">
        <v>0.56321748176115871</v>
      </c>
      <c r="O15" s="12">
        <v>0.57752760977757078</v>
      </c>
      <c r="P15" s="12">
        <v>0.59343722657237086</v>
      </c>
      <c r="Q15" s="12">
        <v>0.61073095628853435</v>
      </c>
      <c r="R15" s="12">
        <v>0.62606027632446604</v>
      </c>
      <c r="S15" s="12">
        <v>0.64192223986873176</v>
      </c>
      <c r="T15" s="12">
        <v>0.65898829614494836</v>
      </c>
      <c r="U15" s="12">
        <v>0.67907269443859763</v>
      </c>
      <c r="V15" s="13">
        <v>0.69755861835222222</v>
      </c>
    </row>
    <row r="16" spans="1:23" x14ac:dyDescent="0.3">
      <c r="A16" s="11" t="s">
        <v>10</v>
      </c>
      <c r="B16" s="12"/>
      <c r="C16" s="12">
        <f>1-0.19</f>
        <v>0.81</v>
      </c>
      <c r="D16" s="12">
        <f t="shared" ref="D16:V16" si="6">1-0.19</f>
        <v>0.81</v>
      </c>
      <c r="E16" s="12">
        <f t="shared" si="6"/>
        <v>0.81</v>
      </c>
      <c r="F16" s="12">
        <f t="shared" si="6"/>
        <v>0.81</v>
      </c>
      <c r="G16" s="12">
        <f t="shared" si="6"/>
        <v>0.81</v>
      </c>
      <c r="H16" s="12">
        <f t="shared" si="6"/>
        <v>0.81</v>
      </c>
      <c r="I16" s="12">
        <f t="shared" si="6"/>
        <v>0.81</v>
      </c>
      <c r="J16" s="12">
        <f t="shared" si="6"/>
        <v>0.81</v>
      </c>
      <c r="K16" s="12">
        <f t="shared" si="6"/>
        <v>0.81</v>
      </c>
      <c r="L16" s="12">
        <f t="shared" si="6"/>
        <v>0.81</v>
      </c>
      <c r="M16" s="12">
        <f t="shared" si="6"/>
        <v>0.81</v>
      </c>
      <c r="N16" s="12">
        <f t="shared" si="6"/>
        <v>0.81</v>
      </c>
      <c r="O16" s="12">
        <f t="shared" si="6"/>
        <v>0.81</v>
      </c>
      <c r="P16" s="12">
        <f t="shared" si="6"/>
        <v>0.81</v>
      </c>
      <c r="Q16" s="12">
        <f t="shared" si="6"/>
        <v>0.81</v>
      </c>
      <c r="R16" s="12">
        <f t="shared" si="6"/>
        <v>0.81</v>
      </c>
      <c r="S16" s="12">
        <f t="shared" si="6"/>
        <v>0.81</v>
      </c>
      <c r="T16" s="12">
        <f t="shared" si="6"/>
        <v>0.81</v>
      </c>
      <c r="U16" s="12">
        <f t="shared" si="6"/>
        <v>0.81</v>
      </c>
      <c r="V16" s="13">
        <f t="shared" si="6"/>
        <v>0.81</v>
      </c>
    </row>
    <row r="17" spans="1:22" x14ac:dyDescent="0.3">
      <c r="A17" s="11" t="s">
        <v>46</v>
      </c>
      <c r="B17" s="12"/>
      <c r="C17" s="12">
        <f>C15*C16</f>
        <v>0.34353652829525466</v>
      </c>
      <c r="D17" s="12">
        <f t="shared" ref="D17:V17" si="7">D15*D16</f>
        <v>0.35319574717215702</v>
      </c>
      <c r="E17" s="12">
        <f t="shared" si="7"/>
        <v>0.36140040087121861</v>
      </c>
      <c r="F17" s="12">
        <f t="shared" si="7"/>
        <v>0.37079513080359361</v>
      </c>
      <c r="G17" s="12">
        <f t="shared" si="7"/>
        <v>0.38017647102395025</v>
      </c>
      <c r="H17" s="12">
        <f t="shared" si="7"/>
        <v>0.39057790145400245</v>
      </c>
      <c r="I17" s="12">
        <f t="shared" si="7"/>
        <v>0.40070943736193454</v>
      </c>
      <c r="J17" s="12">
        <f t="shared" si="7"/>
        <v>0.41088028087608158</v>
      </c>
      <c r="K17" s="12">
        <f t="shared" si="7"/>
        <v>0.42187579601669706</v>
      </c>
      <c r="L17" s="12">
        <f t="shared" si="7"/>
        <v>0.43242376926314191</v>
      </c>
      <c r="M17" s="12">
        <f t="shared" si="7"/>
        <v>0.4443367684162795</v>
      </c>
      <c r="N17" s="12">
        <f t="shared" si="7"/>
        <v>0.45620616022653859</v>
      </c>
      <c r="O17" s="12">
        <f t="shared" si="7"/>
        <v>0.46779736391983234</v>
      </c>
      <c r="P17" s="12">
        <f t="shared" si="7"/>
        <v>0.48068415352362043</v>
      </c>
      <c r="Q17" s="12">
        <f t="shared" si="7"/>
        <v>0.49469207459371284</v>
      </c>
      <c r="R17" s="12">
        <f t="shared" si="7"/>
        <v>0.50710882382281752</v>
      </c>
      <c r="S17" s="12">
        <f t="shared" si="7"/>
        <v>0.5199570142936728</v>
      </c>
      <c r="T17" s="12">
        <f t="shared" si="7"/>
        <v>0.53378051987740815</v>
      </c>
      <c r="U17" s="12">
        <f t="shared" si="7"/>
        <v>0.55004888249526407</v>
      </c>
      <c r="V17" s="13">
        <f t="shared" si="7"/>
        <v>0.56502248086530005</v>
      </c>
    </row>
    <row r="18" spans="1:22" x14ac:dyDescent="0.3">
      <c r="A18" s="8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10"/>
    </row>
    <row r="19" spans="1:22" ht="16.2" thickBot="1" x14ac:dyDescent="0.35">
      <c r="A19" s="18" t="s">
        <v>7</v>
      </c>
      <c r="B19" s="19"/>
      <c r="C19" s="19">
        <v>8.1836544437538836E-2</v>
      </c>
      <c r="D19" s="19">
        <v>8.0207997203231809E-2</v>
      </c>
      <c r="E19" s="19">
        <v>7.8611858058887499E-2</v>
      </c>
      <c r="F19" s="19">
        <v>7.7047482083515639E-2</v>
      </c>
      <c r="G19" s="19">
        <v>7.5514237190053679E-2</v>
      </c>
      <c r="H19" s="19">
        <v>7.4011503869971615E-2</v>
      </c>
      <c r="I19" s="19">
        <v>7.253867494295918E-2</v>
      </c>
      <c r="J19" s="19">
        <v>7.1095155311594285E-2</v>
      </c>
      <c r="K19" s="19">
        <v>6.9680361720893563E-2</v>
      </c>
      <c r="L19" s="19">
        <v>6.8293722522647773E-2</v>
      </c>
      <c r="M19" s="19">
        <v>6.6934677444447074E-2</v>
      </c>
      <c r="N19" s="19">
        <v>6.5602677363302581E-2</v>
      </c>
      <c r="O19" s="19">
        <v>6.4297184083772857E-2</v>
      </c>
      <c r="P19" s="19">
        <v>6.301767012050577E-2</v>
      </c>
      <c r="Q19" s="19">
        <v>6.1763618485107703E-2</v>
      </c>
      <c r="R19" s="19">
        <v>6.0534522477254056E-2</v>
      </c>
      <c r="S19" s="19">
        <v>5.9329885479956698E-2</v>
      </c>
      <c r="T19" s="19">
        <v>5.8149220758905558E-2</v>
      </c>
      <c r="U19" s="19">
        <v>5.6992051265803333E-2</v>
      </c>
      <c r="V19" s="20">
        <v>5.5857909445613842E-2</v>
      </c>
    </row>
    <row r="21" spans="1:22" x14ac:dyDescent="0.3">
      <c r="L21" s="7" t="s">
        <v>48</v>
      </c>
    </row>
    <row r="22" spans="1:22" x14ac:dyDescent="0.3">
      <c r="M22" s="7">
        <f>3.84*365*2</f>
        <v>2803.2</v>
      </c>
    </row>
    <row r="23" spans="1:22" x14ac:dyDescent="0.3">
      <c r="M23" s="7">
        <f>M22-100</f>
        <v>2703.2</v>
      </c>
    </row>
    <row r="24" spans="1:22" x14ac:dyDescent="0.3">
      <c r="M24" s="7">
        <f t="shared" ref="M24:M41" si="8">M23-100</f>
        <v>2603.1999999999998</v>
      </c>
    </row>
    <row r="25" spans="1:22" x14ac:dyDescent="0.3">
      <c r="M25" s="7">
        <f t="shared" si="8"/>
        <v>2503.1999999999998</v>
      </c>
    </row>
    <row r="26" spans="1:22" x14ac:dyDescent="0.3">
      <c r="M26" s="7">
        <f t="shared" si="8"/>
        <v>2403.1999999999998</v>
      </c>
    </row>
    <row r="27" spans="1:22" x14ac:dyDescent="0.3">
      <c r="M27" s="7">
        <f t="shared" si="8"/>
        <v>2303.1999999999998</v>
      </c>
    </row>
    <row r="28" spans="1:22" x14ac:dyDescent="0.3">
      <c r="M28" s="7">
        <f t="shared" si="8"/>
        <v>2203.1999999999998</v>
      </c>
    </row>
    <row r="29" spans="1:22" x14ac:dyDescent="0.3">
      <c r="M29" s="7">
        <f t="shared" si="8"/>
        <v>2103.1999999999998</v>
      </c>
    </row>
    <row r="30" spans="1:22" x14ac:dyDescent="0.3">
      <c r="M30" s="7">
        <f t="shared" si="8"/>
        <v>2003.1999999999998</v>
      </c>
    </row>
    <row r="31" spans="1:22" x14ac:dyDescent="0.3">
      <c r="M31" s="7">
        <f t="shared" si="8"/>
        <v>1903.1999999999998</v>
      </c>
    </row>
    <row r="32" spans="1:22" x14ac:dyDescent="0.3">
      <c r="M32" s="7">
        <f t="shared" si="8"/>
        <v>1803.1999999999998</v>
      </c>
    </row>
    <row r="33" spans="13:13" x14ac:dyDescent="0.3">
      <c r="M33" s="7">
        <f t="shared" si="8"/>
        <v>1703.1999999999998</v>
      </c>
    </row>
    <row r="34" spans="13:13" x14ac:dyDescent="0.3">
      <c r="M34" s="7">
        <f t="shared" si="8"/>
        <v>1603.1999999999998</v>
      </c>
    </row>
    <row r="35" spans="13:13" x14ac:dyDescent="0.3">
      <c r="M35" s="7">
        <f t="shared" si="8"/>
        <v>1503.1999999999998</v>
      </c>
    </row>
    <row r="36" spans="13:13" x14ac:dyDescent="0.3">
      <c r="M36" s="7">
        <f t="shared" si="8"/>
        <v>1403.1999999999998</v>
      </c>
    </row>
    <row r="37" spans="13:13" x14ac:dyDescent="0.3">
      <c r="M37" s="7">
        <f t="shared" si="8"/>
        <v>1303.1999999999998</v>
      </c>
    </row>
    <row r="38" spans="13:13" x14ac:dyDescent="0.3">
      <c r="M38" s="7">
        <f t="shared" si="8"/>
        <v>1203.1999999999998</v>
      </c>
    </row>
    <row r="39" spans="13:13" x14ac:dyDescent="0.3">
      <c r="M39" s="7">
        <f>M38-100</f>
        <v>1103.1999999999998</v>
      </c>
    </row>
    <row r="40" spans="13:13" x14ac:dyDescent="0.3">
      <c r="M40" s="7">
        <f t="shared" si="8"/>
        <v>1003.1999999999998</v>
      </c>
    </row>
    <row r="41" spans="13:13" x14ac:dyDescent="0.3">
      <c r="M41" s="7">
        <f t="shared" si="8"/>
        <v>903.19999999999982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530B1-5328-4EFB-9BF4-581A92B9E1F9}">
  <sheetPr codeName="Tabelle7"/>
  <dimension ref="A1:W41"/>
  <sheetViews>
    <sheetView topLeftCell="B2" zoomScale="73" zoomScaleNormal="85" workbookViewId="0">
      <selection activeCell="M41" sqref="M41"/>
    </sheetView>
  </sheetViews>
  <sheetFormatPr baseColWidth="10" defaultColWidth="11.44140625" defaultRowHeight="15.6" x14ac:dyDescent="0.3"/>
  <cols>
    <col min="1" max="1" width="64.33203125" style="7" bestFit="1" customWidth="1"/>
    <col min="2" max="2" width="14.44140625" style="7" bestFit="1" customWidth="1"/>
    <col min="3" max="11" width="13.5546875" style="7" bestFit="1" customWidth="1"/>
    <col min="12" max="12" width="13.6640625" style="7" customWidth="1"/>
    <col min="13" max="13" width="13.5546875" style="7" bestFit="1" customWidth="1"/>
    <col min="14" max="14" width="15.44140625" style="7" customWidth="1"/>
    <col min="15" max="22" width="13.5546875" style="7" bestFit="1" customWidth="1"/>
    <col min="23" max="16384" width="11.44140625" style="7"/>
  </cols>
  <sheetData>
    <row r="1" spans="1:23" x14ac:dyDescent="0.3">
      <c r="A1" s="22" t="s">
        <v>13</v>
      </c>
      <c r="B1" s="22" t="s">
        <v>14</v>
      </c>
      <c r="C1" s="22" t="s">
        <v>15</v>
      </c>
      <c r="D1" s="22" t="s">
        <v>16</v>
      </c>
      <c r="E1" s="22" t="s">
        <v>17</v>
      </c>
      <c r="F1" s="22" t="s">
        <v>18</v>
      </c>
      <c r="G1" s="22" t="s">
        <v>19</v>
      </c>
      <c r="H1" s="22" t="s">
        <v>20</v>
      </c>
      <c r="I1" s="22" t="s">
        <v>21</v>
      </c>
      <c r="J1" s="22" t="s">
        <v>22</v>
      </c>
      <c r="K1" s="22" t="s">
        <v>23</v>
      </c>
      <c r="L1" s="22" t="s">
        <v>24</v>
      </c>
      <c r="M1" s="22" t="s">
        <v>25</v>
      </c>
      <c r="N1" s="22" t="s">
        <v>26</v>
      </c>
      <c r="O1" s="22" t="s">
        <v>27</v>
      </c>
      <c r="P1" s="22" t="s">
        <v>28</v>
      </c>
      <c r="Q1" s="22" t="s">
        <v>29</v>
      </c>
      <c r="R1" s="22" t="s">
        <v>30</v>
      </c>
      <c r="S1" s="22" t="s">
        <v>31</v>
      </c>
      <c r="T1" s="22" t="s">
        <v>32</v>
      </c>
      <c r="U1" s="22" t="s">
        <v>33</v>
      </c>
      <c r="V1" s="22" t="s">
        <v>34</v>
      </c>
    </row>
    <row r="2" spans="1:23" x14ac:dyDescent="0.3">
      <c r="A2" s="16" t="s">
        <v>36</v>
      </c>
      <c r="B2" s="16"/>
      <c r="C2" s="16">
        <f t="shared" ref="C2:V2" si="0">C19*C14</f>
        <v>196.66958359229332</v>
      </c>
      <c r="D2" s="16">
        <f t="shared" si="0"/>
        <v>191.79207958441262</v>
      </c>
      <c r="E2" s="16">
        <f t="shared" si="0"/>
        <v>187.03554011467941</v>
      </c>
      <c r="F2" s="16">
        <f t="shared" si="0"/>
        <v>182.3969652020653</v>
      </c>
      <c r="G2" s="16">
        <f t="shared" si="0"/>
        <v>177.87342926657149</v>
      </c>
      <c r="H2" s="16">
        <f t="shared" si="0"/>
        <v>173.4620792840459</v>
      </c>
      <c r="I2" s="16">
        <f t="shared" si="0"/>
        <v>169.16013298676194</v>
      </c>
      <c r="J2" s="16">
        <f t="shared" si="0"/>
        <v>164.96487710862374</v>
      </c>
      <c r="K2" s="16">
        <f t="shared" si="0"/>
        <v>160.87366567389131</v>
      </c>
      <c r="L2" s="16">
        <f t="shared" si="0"/>
        <v>156.88391832834597</v>
      </c>
      <c r="M2" s="16">
        <f t="shared" si="0"/>
        <v>152.99311871184378</v>
      </c>
      <c r="N2" s="16">
        <f t="shared" si="0"/>
        <v>149.1988128712307</v>
      </c>
      <c r="O2" s="16">
        <f t="shared" si="0"/>
        <v>145.49860771261774</v>
      </c>
      <c r="P2" s="16">
        <f t="shared" si="0"/>
        <v>141.89016949204094</v>
      </c>
      <c r="Q2" s="16">
        <f t="shared" si="0"/>
        <v>138.3712223435536</v>
      </c>
      <c r="R2" s="16">
        <f t="shared" si="0"/>
        <v>134.93954684382228</v>
      </c>
      <c r="S2" s="16">
        <f t="shared" si="0"/>
        <v>131.59297861232204</v>
      </c>
      <c r="T2" s="16">
        <f t="shared" si="0"/>
        <v>128.32940694624716</v>
      </c>
      <c r="U2" s="16">
        <f t="shared" si="0"/>
        <v>125.14677348927677</v>
      </c>
      <c r="V2" s="16">
        <f t="shared" si="0"/>
        <v>122.04307093335595</v>
      </c>
    </row>
    <row r="3" spans="1:23" x14ac:dyDescent="0.3">
      <c r="A3" s="17" t="s">
        <v>44</v>
      </c>
      <c r="B3" s="17"/>
      <c r="C3" s="17">
        <f t="shared" ref="C3:V3" si="1">C17*C14</f>
        <v>825.58698479915597</v>
      </c>
      <c r="D3" s="17">
        <f t="shared" si="1"/>
        <v>844.55601950610696</v>
      </c>
      <c r="E3" s="17">
        <f t="shared" si="1"/>
        <v>859.85398187605972</v>
      </c>
      <c r="F3" s="17">
        <f t="shared" si="1"/>
        <v>877.79515619950689</v>
      </c>
      <c r="G3" s="17">
        <f t="shared" si="1"/>
        <v>895.50388302671422</v>
      </c>
      <c r="H3" s="17">
        <f t="shared" si="1"/>
        <v>915.40438129238657</v>
      </c>
      <c r="I3" s="17">
        <f t="shared" si="1"/>
        <v>934.45409316474866</v>
      </c>
      <c r="J3" s="17">
        <f t="shared" si="1"/>
        <v>953.38162978913726</v>
      </c>
      <c r="K3" s="17">
        <f t="shared" si="1"/>
        <v>974.00048002257358</v>
      </c>
      <c r="L3" s="17">
        <f t="shared" si="1"/>
        <v>993.36121673286812</v>
      </c>
      <c r="M3" s="17">
        <f t="shared" si="1"/>
        <v>1015.6240465156462</v>
      </c>
      <c r="N3" s="17">
        <f t="shared" si="1"/>
        <v>1037.5402386917988</v>
      </c>
      <c r="O3" s="17">
        <f t="shared" si="1"/>
        <v>1058.5823642492321</v>
      </c>
      <c r="P3" s="17">
        <f t="shared" si="1"/>
        <v>1082.3052627172776</v>
      </c>
      <c r="Q3" s="17">
        <f t="shared" si="1"/>
        <v>1108.2761781793147</v>
      </c>
      <c r="R3" s="17">
        <f t="shared" si="1"/>
        <v>1130.4133920089487</v>
      </c>
      <c r="S3" s="17">
        <f t="shared" si="1"/>
        <v>1153.2584583260189</v>
      </c>
      <c r="T3" s="17">
        <f t="shared" si="1"/>
        <v>1177.9992347504767</v>
      </c>
      <c r="U3" s="17">
        <f t="shared" si="1"/>
        <v>1207.8323446302848</v>
      </c>
      <c r="V3" s="17">
        <f t="shared" si="1"/>
        <v>1234.5087633171227</v>
      </c>
    </row>
    <row r="4" spans="1:23" x14ac:dyDescent="0.3">
      <c r="A4" s="17" t="s">
        <v>37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>
        <f>0.45*B7*(-1)</f>
        <v>-2430.678082191781</v>
      </c>
      <c r="M4" s="17"/>
      <c r="N4" s="17"/>
      <c r="O4" s="17"/>
      <c r="P4" s="17"/>
      <c r="Q4" s="17"/>
      <c r="R4" s="17"/>
      <c r="S4" s="17"/>
      <c r="T4" s="17"/>
      <c r="U4" s="17"/>
      <c r="V4" s="17"/>
    </row>
    <row r="5" spans="1:23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</row>
    <row r="6" spans="1:23" x14ac:dyDescent="0.3">
      <c r="A6" s="17" t="s">
        <v>49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</row>
    <row r="7" spans="1:23" x14ac:dyDescent="0.3">
      <c r="A7" s="17" t="s">
        <v>38</v>
      </c>
      <c r="B7" s="17">
        <f>-SUM(C8:V8)</f>
        <v>5401.5068493150684</v>
      </c>
      <c r="C7" s="17" t="s">
        <v>35</v>
      </c>
      <c r="D7" s="17" t="s">
        <v>35</v>
      </c>
      <c r="E7" s="17" t="s">
        <v>35</v>
      </c>
      <c r="F7" s="17" t="s">
        <v>35</v>
      </c>
      <c r="G7" s="17" t="s">
        <v>35</v>
      </c>
      <c r="H7" s="17" t="s">
        <v>35</v>
      </c>
      <c r="I7" s="17" t="s">
        <v>35</v>
      </c>
      <c r="J7" s="17" t="s">
        <v>35</v>
      </c>
      <c r="K7" s="17" t="s">
        <v>35</v>
      </c>
      <c r="L7" s="17" t="s">
        <v>35</v>
      </c>
      <c r="M7" s="17" t="s">
        <v>35</v>
      </c>
      <c r="N7" s="17" t="s">
        <v>35</v>
      </c>
      <c r="O7" s="17" t="s">
        <v>35</v>
      </c>
      <c r="P7" s="17" t="s">
        <v>35</v>
      </c>
      <c r="Q7" s="17" t="s">
        <v>35</v>
      </c>
      <c r="R7" s="17" t="s">
        <v>35</v>
      </c>
      <c r="S7" s="17" t="s">
        <v>35</v>
      </c>
      <c r="T7" s="17" t="s">
        <v>35</v>
      </c>
      <c r="U7" s="17" t="s">
        <v>35</v>
      </c>
      <c r="V7" s="17" t="s">
        <v>35</v>
      </c>
    </row>
    <row r="8" spans="1:23" x14ac:dyDescent="0.3">
      <c r="A8" s="17" t="s">
        <v>2</v>
      </c>
      <c r="B8" s="17"/>
      <c r="C8" s="12">
        <v>0</v>
      </c>
      <c r="D8" s="12">
        <v>0</v>
      </c>
      <c r="E8" s="12">
        <v>0</v>
      </c>
      <c r="F8" s="12">
        <v>-317.73569701853341</v>
      </c>
      <c r="G8" s="12">
        <v>-317.73569701853341</v>
      </c>
      <c r="H8" s="12">
        <v>-317.73569701853341</v>
      </c>
      <c r="I8" s="12">
        <v>-317.73569701853341</v>
      </c>
      <c r="J8" s="12">
        <v>-317.73569701853341</v>
      </c>
      <c r="K8" s="12">
        <v>-317.73569701853341</v>
      </c>
      <c r="L8" s="12">
        <v>-317.73569701853341</v>
      </c>
      <c r="M8" s="12">
        <v>-317.73569701853341</v>
      </c>
      <c r="N8" s="12">
        <v>-317.73569701853341</v>
      </c>
      <c r="O8" s="12">
        <v>-317.73569701853341</v>
      </c>
      <c r="P8" s="12">
        <v>-317.73569701853341</v>
      </c>
      <c r="Q8" s="12">
        <v>-317.73569701853341</v>
      </c>
      <c r="R8" s="12">
        <v>-317.73569701853341</v>
      </c>
      <c r="S8" s="12">
        <v>-317.73569701853341</v>
      </c>
      <c r="T8" s="12">
        <v>-317.73569701853341</v>
      </c>
      <c r="U8" s="12">
        <v>-317.73569701853341</v>
      </c>
      <c r="V8" s="12">
        <v>-317.73569701853341</v>
      </c>
    </row>
    <row r="9" spans="1:23" x14ac:dyDescent="0.3">
      <c r="A9" s="17" t="s">
        <v>39</v>
      </c>
      <c r="B9" s="17"/>
      <c r="C9" s="12">
        <v>-290.60106849315071</v>
      </c>
      <c r="D9" s="12">
        <v>-290.60106849315071</v>
      </c>
      <c r="E9" s="12">
        <v>-290.60106849315071</v>
      </c>
      <c r="F9" s="12">
        <v>-284.19075080580183</v>
      </c>
      <c r="G9" s="12">
        <v>-267.0965703062048</v>
      </c>
      <c r="H9" s="12">
        <v>-250.00238980660777</v>
      </c>
      <c r="I9" s="12">
        <v>-232.90820930701074</v>
      </c>
      <c r="J9" s="12">
        <v>-215.81402880741371</v>
      </c>
      <c r="K9" s="12">
        <v>-198.71984830781656</v>
      </c>
      <c r="L9" s="12">
        <v>-181.62566780821945</v>
      </c>
      <c r="M9" s="12">
        <v>-164.53148730862233</v>
      </c>
      <c r="N9" s="12">
        <v>-147.43730680902524</v>
      </c>
      <c r="O9" s="12">
        <v>-130.3431263094281</v>
      </c>
      <c r="P9" s="12">
        <v>-113.24894580983099</v>
      </c>
      <c r="Q9" s="12">
        <v>-96.15476531023387</v>
      </c>
      <c r="R9" s="12">
        <v>-79.060584810636755</v>
      </c>
      <c r="S9" s="12">
        <v>-61.966404311039646</v>
      </c>
      <c r="T9" s="12">
        <v>-44.872223811442538</v>
      </c>
      <c r="U9" s="12">
        <v>-27.778043311845451</v>
      </c>
      <c r="V9" s="12">
        <v>-10.683862812248357</v>
      </c>
    </row>
    <row r="10" spans="1:23" x14ac:dyDescent="0.3">
      <c r="A10" s="2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</row>
    <row r="11" spans="1:23" x14ac:dyDescent="0.3">
      <c r="A11" s="21" t="s">
        <v>45</v>
      </c>
      <c r="B11" s="15">
        <f>B2</f>
        <v>0</v>
      </c>
      <c r="C11" s="15">
        <f>C2</f>
        <v>196.66958359229332</v>
      </c>
      <c r="D11" s="15">
        <f t="shared" ref="D11:V11" si="2">D2+C11</f>
        <v>388.46166317670594</v>
      </c>
      <c r="E11" s="15">
        <f t="shared" si="2"/>
        <v>575.4972032913854</v>
      </c>
      <c r="F11" s="15">
        <f t="shared" si="2"/>
        <v>757.89416849345071</v>
      </c>
      <c r="G11" s="15">
        <f t="shared" si="2"/>
        <v>935.76759776002223</v>
      </c>
      <c r="H11" s="15">
        <f t="shared" si="2"/>
        <v>1109.229677044068</v>
      </c>
      <c r="I11" s="15">
        <f t="shared" si="2"/>
        <v>1278.3898100308299</v>
      </c>
      <c r="J11" s="15">
        <f t="shared" si="2"/>
        <v>1443.3546871394537</v>
      </c>
      <c r="K11" s="15">
        <f t="shared" si="2"/>
        <v>1604.2283528133451</v>
      </c>
      <c r="L11" s="15">
        <f t="shared" si="2"/>
        <v>1761.1122711416911</v>
      </c>
      <c r="M11" s="15">
        <f t="shared" si="2"/>
        <v>1914.1053898535349</v>
      </c>
      <c r="N11" s="15">
        <f t="shared" si="2"/>
        <v>2063.3042027247657</v>
      </c>
      <c r="O11" s="15">
        <f t="shared" si="2"/>
        <v>2208.8028104373834</v>
      </c>
      <c r="P11" s="15">
        <f t="shared" si="2"/>
        <v>2350.6929799294244</v>
      </c>
      <c r="Q11" s="15">
        <f t="shared" si="2"/>
        <v>2489.064202272978</v>
      </c>
      <c r="R11" s="15">
        <f t="shared" si="2"/>
        <v>2624.0037491168005</v>
      </c>
      <c r="S11" s="15">
        <f t="shared" si="2"/>
        <v>2755.5967277291224</v>
      </c>
      <c r="T11" s="15">
        <f t="shared" si="2"/>
        <v>2883.9261346753697</v>
      </c>
      <c r="U11" s="15">
        <f t="shared" si="2"/>
        <v>3009.0729081646464</v>
      </c>
      <c r="V11" s="15">
        <f t="shared" si="2"/>
        <v>3131.1159790980023</v>
      </c>
      <c r="W11" s="14"/>
    </row>
    <row r="12" spans="1:23" ht="16.2" thickBot="1" x14ac:dyDescent="0.35">
      <c r="A12" s="23" t="s">
        <v>50</v>
      </c>
      <c r="B12" s="15"/>
      <c r="C12" s="15">
        <f t="shared" ref="C12" si="3">SUM(C3,C4,C9,C8)</f>
        <v>534.98591630600527</v>
      </c>
      <c r="D12" s="15">
        <f>SUM(D3,D4,D9,D8,C12)</f>
        <v>1088.9408673189614</v>
      </c>
      <c r="E12" s="15">
        <f t="shared" ref="E12:V12" si="4">SUM(E3,E4,E9,E8,D12)</f>
        <v>1658.1937807018703</v>
      </c>
      <c r="F12" s="15">
        <f t="shared" si="4"/>
        <v>1934.0624890770418</v>
      </c>
      <c r="G12" s="15">
        <f t="shared" si="4"/>
        <v>2244.7341047790178</v>
      </c>
      <c r="H12" s="15">
        <f t="shared" si="4"/>
        <v>2592.4003992462631</v>
      </c>
      <c r="I12" s="15">
        <f t="shared" si="4"/>
        <v>2976.2105860854676</v>
      </c>
      <c r="J12" s="15">
        <f t="shared" si="4"/>
        <v>3396.0424900486578</v>
      </c>
      <c r="K12" s="15">
        <f t="shared" si="4"/>
        <v>3853.5874247448814</v>
      </c>
      <c r="L12" s="15">
        <f t="shared" si="4"/>
        <v>1916.9091944592155</v>
      </c>
      <c r="M12" s="15">
        <f t="shared" si="4"/>
        <v>2450.2660566477061</v>
      </c>
      <c r="N12" s="15">
        <f t="shared" si="4"/>
        <v>3022.6332915119465</v>
      </c>
      <c r="O12" s="15">
        <f t="shared" si="4"/>
        <v>3633.136832433217</v>
      </c>
      <c r="P12" s="15">
        <f t="shared" si="4"/>
        <v>4284.4574523221299</v>
      </c>
      <c r="Q12" s="15">
        <f t="shared" si="4"/>
        <v>4978.843168172677</v>
      </c>
      <c r="R12" s="15">
        <f t="shared" si="4"/>
        <v>5712.4602783524551</v>
      </c>
      <c r="S12" s="15">
        <f t="shared" si="4"/>
        <v>6486.0166353489012</v>
      </c>
      <c r="T12" s="15">
        <f t="shared" si="4"/>
        <v>7301.4079492694018</v>
      </c>
      <c r="U12" s="15">
        <f t="shared" si="4"/>
        <v>8163.7265535693077</v>
      </c>
      <c r="V12" s="15">
        <f t="shared" si="4"/>
        <v>9069.8157570556486</v>
      </c>
      <c r="W12" s="14"/>
    </row>
    <row r="13" spans="1:23" x14ac:dyDescent="0.3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6"/>
    </row>
    <row r="14" spans="1:23" x14ac:dyDescent="0.3">
      <c r="A14" s="11" t="s">
        <v>9</v>
      </c>
      <c r="B14" s="12"/>
      <c r="C14" s="12">
        <f>M26</f>
        <v>2403.1999999999998</v>
      </c>
      <c r="D14" s="12">
        <f>C14*(1-0.005)</f>
        <v>2391.1839999999997</v>
      </c>
      <c r="E14" s="12">
        <f t="shared" ref="E14:V14" si="5">D14*(1-0.005)</f>
        <v>2379.2280799999999</v>
      </c>
      <c r="F14" s="12">
        <f t="shared" si="5"/>
        <v>2367.3319395999997</v>
      </c>
      <c r="G14" s="12">
        <f t="shared" si="5"/>
        <v>2355.4952799019998</v>
      </c>
      <c r="H14" s="12">
        <f t="shared" si="5"/>
        <v>2343.7178035024899</v>
      </c>
      <c r="I14" s="12">
        <f t="shared" si="5"/>
        <v>2331.9992144849775</v>
      </c>
      <c r="J14" s="12">
        <f t="shared" si="5"/>
        <v>2320.3392184125528</v>
      </c>
      <c r="K14" s="12">
        <f t="shared" si="5"/>
        <v>2308.7375223204899</v>
      </c>
      <c r="L14" s="12">
        <f t="shared" si="5"/>
        <v>2297.1938347088876</v>
      </c>
      <c r="M14" s="12">
        <f t="shared" si="5"/>
        <v>2285.707865535343</v>
      </c>
      <c r="N14" s="12">
        <f t="shared" si="5"/>
        <v>2274.2793262076661</v>
      </c>
      <c r="O14" s="12">
        <f t="shared" si="5"/>
        <v>2262.9079295766278</v>
      </c>
      <c r="P14" s="12">
        <f t="shared" si="5"/>
        <v>2251.5933899287447</v>
      </c>
      <c r="Q14" s="12">
        <f t="shared" si="5"/>
        <v>2240.3354229791012</v>
      </c>
      <c r="R14" s="12">
        <f t="shared" si="5"/>
        <v>2229.1337458642056</v>
      </c>
      <c r="S14" s="12">
        <f t="shared" si="5"/>
        <v>2217.9880771348844</v>
      </c>
      <c r="T14" s="12">
        <f t="shared" si="5"/>
        <v>2206.8981367492102</v>
      </c>
      <c r="U14" s="12">
        <f t="shared" si="5"/>
        <v>2195.8636460654643</v>
      </c>
      <c r="V14" s="12">
        <f t="shared" si="5"/>
        <v>2184.8843278351369</v>
      </c>
    </row>
    <row r="15" spans="1:23" x14ac:dyDescent="0.3">
      <c r="A15" s="11" t="s">
        <v>8</v>
      </c>
      <c r="B15" s="12"/>
      <c r="C15" s="12">
        <v>0.42411917073488226</v>
      </c>
      <c r="D15" s="12">
        <v>0.4360441323113049</v>
      </c>
      <c r="E15" s="12">
        <v>0.44617333440891183</v>
      </c>
      <c r="F15" s="12">
        <v>0.4577717664241896</v>
      </c>
      <c r="G15" s="12">
        <v>0.46935366793080274</v>
      </c>
      <c r="H15" s="12">
        <v>0.48219494006666963</v>
      </c>
      <c r="I15" s="12">
        <v>0.49470300908880804</v>
      </c>
      <c r="J15" s="12">
        <v>0.50725960601985376</v>
      </c>
      <c r="K15" s="12">
        <v>0.52083431606999631</v>
      </c>
      <c r="L15" s="12">
        <v>0.5338565052631381</v>
      </c>
      <c r="M15" s="12">
        <v>0.54856391162503637</v>
      </c>
      <c r="N15" s="12">
        <v>0.56321748176115871</v>
      </c>
      <c r="O15" s="12">
        <v>0.57752760977757078</v>
      </c>
      <c r="P15" s="12">
        <v>0.59343722657237086</v>
      </c>
      <c r="Q15" s="12">
        <v>0.61073095628853435</v>
      </c>
      <c r="R15" s="12">
        <v>0.62606027632446604</v>
      </c>
      <c r="S15" s="12">
        <v>0.64192223986873176</v>
      </c>
      <c r="T15" s="12">
        <v>0.65898829614494836</v>
      </c>
      <c r="U15" s="12">
        <v>0.67907269443859763</v>
      </c>
      <c r="V15" s="13">
        <v>0.69755861835222222</v>
      </c>
    </row>
    <row r="16" spans="1:23" x14ac:dyDescent="0.3">
      <c r="A16" s="11" t="s">
        <v>10</v>
      </c>
      <c r="B16" s="12"/>
      <c r="C16" s="12">
        <f>1-0.19</f>
        <v>0.81</v>
      </c>
      <c r="D16" s="12">
        <f t="shared" ref="D16:V16" si="6">1-0.19</f>
        <v>0.81</v>
      </c>
      <c r="E16" s="12">
        <f t="shared" si="6"/>
        <v>0.81</v>
      </c>
      <c r="F16" s="12">
        <f t="shared" si="6"/>
        <v>0.81</v>
      </c>
      <c r="G16" s="12">
        <f t="shared" si="6"/>
        <v>0.81</v>
      </c>
      <c r="H16" s="12">
        <f t="shared" si="6"/>
        <v>0.81</v>
      </c>
      <c r="I16" s="12">
        <f t="shared" si="6"/>
        <v>0.81</v>
      </c>
      <c r="J16" s="12">
        <f t="shared" si="6"/>
        <v>0.81</v>
      </c>
      <c r="K16" s="12">
        <f t="shared" si="6"/>
        <v>0.81</v>
      </c>
      <c r="L16" s="12">
        <f t="shared" si="6"/>
        <v>0.81</v>
      </c>
      <c r="M16" s="12">
        <f t="shared" si="6"/>
        <v>0.81</v>
      </c>
      <c r="N16" s="12">
        <f t="shared" si="6"/>
        <v>0.81</v>
      </c>
      <c r="O16" s="12">
        <f t="shared" si="6"/>
        <v>0.81</v>
      </c>
      <c r="P16" s="12">
        <f t="shared" si="6"/>
        <v>0.81</v>
      </c>
      <c r="Q16" s="12">
        <f t="shared" si="6"/>
        <v>0.81</v>
      </c>
      <c r="R16" s="12">
        <f t="shared" si="6"/>
        <v>0.81</v>
      </c>
      <c r="S16" s="12">
        <f t="shared" si="6"/>
        <v>0.81</v>
      </c>
      <c r="T16" s="12">
        <f t="shared" si="6"/>
        <v>0.81</v>
      </c>
      <c r="U16" s="12">
        <f t="shared" si="6"/>
        <v>0.81</v>
      </c>
      <c r="V16" s="13">
        <f t="shared" si="6"/>
        <v>0.81</v>
      </c>
    </row>
    <row r="17" spans="1:22" x14ac:dyDescent="0.3">
      <c r="A17" s="11" t="s">
        <v>46</v>
      </c>
      <c r="B17" s="12"/>
      <c r="C17" s="12">
        <f>C15*C16</f>
        <v>0.34353652829525466</v>
      </c>
      <c r="D17" s="12">
        <f t="shared" ref="D17:V17" si="7">D15*D16</f>
        <v>0.35319574717215702</v>
      </c>
      <c r="E17" s="12">
        <f t="shared" si="7"/>
        <v>0.36140040087121861</v>
      </c>
      <c r="F17" s="12">
        <f t="shared" si="7"/>
        <v>0.37079513080359361</v>
      </c>
      <c r="G17" s="12">
        <f t="shared" si="7"/>
        <v>0.38017647102395025</v>
      </c>
      <c r="H17" s="12">
        <f t="shared" si="7"/>
        <v>0.39057790145400245</v>
      </c>
      <c r="I17" s="12">
        <f t="shared" si="7"/>
        <v>0.40070943736193454</v>
      </c>
      <c r="J17" s="12">
        <f t="shared" si="7"/>
        <v>0.41088028087608158</v>
      </c>
      <c r="K17" s="12">
        <f t="shared" si="7"/>
        <v>0.42187579601669706</v>
      </c>
      <c r="L17" s="12">
        <f t="shared" si="7"/>
        <v>0.43242376926314191</v>
      </c>
      <c r="M17" s="12">
        <f t="shared" si="7"/>
        <v>0.4443367684162795</v>
      </c>
      <c r="N17" s="12">
        <f t="shared" si="7"/>
        <v>0.45620616022653859</v>
      </c>
      <c r="O17" s="12">
        <f t="shared" si="7"/>
        <v>0.46779736391983234</v>
      </c>
      <c r="P17" s="12">
        <f t="shared" si="7"/>
        <v>0.48068415352362043</v>
      </c>
      <c r="Q17" s="12">
        <f t="shared" si="7"/>
        <v>0.49469207459371284</v>
      </c>
      <c r="R17" s="12">
        <f t="shared" si="7"/>
        <v>0.50710882382281752</v>
      </c>
      <c r="S17" s="12">
        <f t="shared" si="7"/>
        <v>0.5199570142936728</v>
      </c>
      <c r="T17" s="12">
        <f t="shared" si="7"/>
        <v>0.53378051987740815</v>
      </c>
      <c r="U17" s="12">
        <f t="shared" si="7"/>
        <v>0.55004888249526407</v>
      </c>
      <c r="V17" s="13">
        <f t="shared" si="7"/>
        <v>0.56502248086530005</v>
      </c>
    </row>
    <row r="18" spans="1:22" x14ac:dyDescent="0.3">
      <c r="A18" s="8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10"/>
    </row>
    <row r="19" spans="1:22" ht="16.2" thickBot="1" x14ac:dyDescent="0.35">
      <c r="A19" s="18" t="s">
        <v>7</v>
      </c>
      <c r="B19" s="19"/>
      <c r="C19" s="19">
        <v>8.1836544437538836E-2</v>
      </c>
      <c r="D19" s="19">
        <v>8.0207997203231809E-2</v>
      </c>
      <c r="E19" s="19">
        <v>7.8611858058887499E-2</v>
      </c>
      <c r="F19" s="19">
        <v>7.7047482083515639E-2</v>
      </c>
      <c r="G19" s="19">
        <v>7.5514237190053679E-2</v>
      </c>
      <c r="H19" s="19">
        <v>7.4011503869971615E-2</v>
      </c>
      <c r="I19" s="19">
        <v>7.253867494295918E-2</v>
      </c>
      <c r="J19" s="19">
        <v>7.1095155311594285E-2</v>
      </c>
      <c r="K19" s="19">
        <v>6.9680361720893563E-2</v>
      </c>
      <c r="L19" s="19">
        <v>6.8293722522647773E-2</v>
      </c>
      <c r="M19" s="19">
        <v>6.6934677444447074E-2</v>
      </c>
      <c r="N19" s="19">
        <v>6.5602677363302581E-2</v>
      </c>
      <c r="O19" s="19">
        <v>6.4297184083772857E-2</v>
      </c>
      <c r="P19" s="19">
        <v>6.301767012050577E-2</v>
      </c>
      <c r="Q19" s="19">
        <v>6.1763618485107703E-2</v>
      </c>
      <c r="R19" s="19">
        <v>6.0534522477254056E-2</v>
      </c>
      <c r="S19" s="19">
        <v>5.9329885479956698E-2</v>
      </c>
      <c r="T19" s="19">
        <v>5.8149220758905558E-2</v>
      </c>
      <c r="U19" s="19">
        <v>5.6992051265803333E-2</v>
      </c>
      <c r="V19" s="20">
        <v>5.5857909445613842E-2</v>
      </c>
    </row>
    <row r="21" spans="1:22" x14ac:dyDescent="0.3">
      <c r="L21" s="7" t="s">
        <v>48</v>
      </c>
    </row>
    <row r="22" spans="1:22" x14ac:dyDescent="0.3">
      <c r="M22" s="7">
        <f>3.84*365*2</f>
        <v>2803.2</v>
      </c>
    </row>
    <row r="23" spans="1:22" x14ac:dyDescent="0.3">
      <c r="M23" s="7">
        <f>M22-100</f>
        <v>2703.2</v>
      </c>
    </row>
    <row r="24" spans="1:22" x14ac:dyDescent="0.3">
      <c r="M24" s="7">
        <f t="shared" ref="M24:M41" si="8">M23-100</f>
        <v>2603.1999999999998</v>
      </c>
    </row>
    <row r="25" spans="1:22" x14ac:dyDescent="0.3">
      <c r="M25" s="7">
        <f t="shared" si="8"/>
        <v>2503.1999999999998</v>
      </c>
    </row>
    <row r="26" spans="1:22" x14ac:dyDescent="0.3">
      <c r="M26" s="7">
        <f t="shared" si="8"/>
        <v>2403.1999999999998</v>
      </c>
    </row>
    <row r="27" spans="1:22" x14ac:dyDescent="0.3">
      <c r="M27" s="7">
        <f t="shared" si="8"/>
        <v>2303.1999999999998</v>
      </c>
    </row>
    <row r="28" spans="1:22" x14ac:dyDescent="0.3">
      <c r="M28" s="7">
        <f t="shared" si="8"/>
        <v>2203.1999999999998</v>
      </c>
    </row>
    <row r="29" spans="1:22" x14ac:dyDescent="0.3">
      <c r="M29" s="7">
        <f t="shared" si="8"/>
        <v>2103.1999999999998</v>
      </c>
    </row>
    <row r="30" spans="1:22" x14ac:dyDescent="0.3">
      <c r="M30" s="7">
        <f t="shared" si="8"/>
        <v>2003.1999999999998</v>
      </c>
    </row>
    <row r="31" spans="1:22" x14ac:dyDescent="0.3">
      <c r="M31" s="7">
        <f t="shared" si="8"/>
        <v>1903.1999999999998</v>
      </c>
    </row>
    <row r="32" spans="1:22" x14ac:dyDescent="0.3">
      <c r="M32" s="7">
        <f t="shared" si="8"/>
        <v>1803.1999999999998</v>
      </c>
    </row>
    <row r="33" spans="13:13" x14ac:dyDescent="0.3">
      <c r="M33" s="7">
        <f t="shared" si="8"/>
        <v>1703.1999999999998</v>
      </c>
    </row>
    <row r="34" spans="13:13" x14ac:dyDescent="0.3">
      <c r="M34" s="7">
        <f t="shared" si="8"/>
        <v>1603.1999999999998</v>
      </c>
    </row>
    <row r="35" spans="13:13" x14ac:dyDescent="0.3">
      <c r="M35" s="7">
        <f t="shared" si="8"/>
        <v>1503.1999999999998</v>
      </c>
    </row>
    <row r="36" spans="13:13" x14ac:dyDescent="0.3">
      <c r="M36" s="7">
        <f t="shared" si="8"/>
        <v>1403.1999999999998</v>
      </c>
    </row>
    <row r="37" spans="13:13" x14ac:dyDescent="0.3">
      <c r="M37" s="7">
        <f t="shared" si="8"/>
        <v>1303.1999999999998</v>
      </c>
    </row>
    <row r="38" spans="13:13" x14ac:dyDescent="0.3">
      <c r="M38" s="7">
        <f t="shared" si="8"/>
        <v>1203.1999999999998</v>
      </c>
    </row>
    <row r="39" spans="13:13" x14ac:dyDescent="0.3">
      <c r="M39" s="7">
        <f>M38-100</f>
        <v>1103.1999999999998</v>
      </c>
    </row>
    <row r="40" spans="13:13" x14ac:dyDescent="0.3">
      <c r="M40" s="7">
        <f t="shared" si="8"/>
        <v>1003.1999999999998</v>
      </c>
    </row>
    <row r="41" spans="13:13" x14ac:dyDescent="0.3">
      <c r="M41" s="7">
        <f t="shared" si="8"/>
        <v>903.19999999999982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E109C-1218-4E0B-9243-F907DFF2F795}">
  <sheetPr codeName="Tabelle8"/>
  <dimension ref="A1:W41"/>
  <sheetViews>
    <sheetView topLeftCell="B1" zoomScale="73" zoomScaleNormal="85" workbookViewId="0">
      <selection activeCell="M41" sqref="M41"/>
    </sheetView>
  </sheetViews>
  <sheetFormatPr baseColWidth="10" defaultColWidth="11.44140625" defaultRowHeight="15.6" x14ac:dyDescent="0.3"/>
  <cols>
    <col min="1" max="1" width="64.33203125" style="7" bestFit="1" customWidth="1"/>
    <col min="2" max="2" width="14.44140625" style="7" bestFit="1" customWidth="1"/>
    <col min="3" max="11" width="13.5546875" style="7" bestFit="1" customWidth="1"/>
    <col min="12" max="12" width="13.6640625" style="7" customWidth="1"/>
    <col min="13" max="13" width="13.5546875" style="7" bestFit="1" customWidth="1"/>
    <col min="14" max="14" width="15.44140625" style="7" customWidth="1"/>
    <col min="15" max="22" width="13.5546875" style="7" bestFit="1" customWidth="1"/>
    <col min="23" max="16384" width="11.44140625" style="7"/>
  </cols>
  <sheetData>
    <row r="1" spans="1:23" x14ac:dyDescent="0.3">
      <c r="A1" s="22" t="s">
        <v>13</v>
      </c>
      <c r="B1" s="22" t="s">
        <v>14</v>
      </c>
      <c r="C1" s="22" t="s">
        <v>15</v>
      </c>
      <c r="D1" s="22" t="s">
        <v>16</v>
      </c>
      <c r="E1" s="22" t="s">
        <v>17</v>
      </c>
      <c r="F1" s="22" t="s">
        <v>18</v>
      </c>
      <c r="G1" s="22" t="s">
        <v>19</v>
      </c>
      <c r="H1" s="22" t="s">
        <v>20</v>
      </c>
      <c r="I1" s="22" t="s">
        <v>21</v>
      </c>
      <c r="J1" s="22" t="s">
        <v>22</v>
      </c>
      <c r="K1" s="22" t="s">
        <v>23</v>
      </c>
      <c r="L1" s="22" t="s">
        <v>24</v>
      </c>
      <c r="M1" s="22" t="s">
        <v>25</v>
      </c>
      <c r="N1" s="22" t="s">
        <v>26</v>
      </c>
      <c r="O1" s="22" t="s">
        <v>27</v>
      </c>
      <c r="P1" s="22" t="s">
        <v>28</v>
      </c>
      <c r="Q1" s="22" t="s">
        <v>29</v>
      </c>
      <c r="R1" s="22" t="s">
        <v>30</v>
      </c>
      <c r="S1" s="22" t="s">
        <v>31</v>
      </c>
      <c r="T1" s="22" t="s">
        <v>32</v>
      </c>
      <c r="U1" s="22" t="s">
        <v>33</v>
      </c>
      <c r="V1" s="22" t="s">
        <v>34</v>
      </c>
    </row>
    <row r="2" spans="1:23" x14ac:dyDescent="0.3">
      <c r="A2" s="16" t="s">
        <v>36</v>
      </c>
      <c r="B2" s="16"/>
      <c r="C2" s="16">
        <f t="shared" ref="C2:V2" si="0">C19*C14</f>
        <v>188.48592914853944</v>
      </c>
      <c r="D2" s="16">
        <f t="shared" si="0"/>
        <v>183.81138386269106</v>
      </c>
      <c r="E2" s="16">
        <f t="shared" si="0"/>
        <v>179.25276963720441</v>
      </c>
      <c r="F2" s="16">
        <f t="shared" si="0"/>
        <v>174.80721132381692</v>
      </c>
      <c r="G2" s="16">
        <f t="shared" si="0"/>
        <v>170.47190507938058</v>
      </c>
      <c r="H2" s="16">
        <f t="shared" si="0"/>
        <v>166.24411659745942</v>
      </c>
      <c r="I2" s="16">
        <f t="shared" si="0"/>
        <v>162.12117938378412</v>
      </c>
      <c r="J2" s="16">
        <f t="shared" si="0"/>
        <v>158.10049307447656</v>
      </c>
      <c r="K2" s="16">
        <f t="shared" si="0"/>
        <v>154.17952179598302</v>
      </c>
      <c r="L2" s="16">
        <f t="shared" si="0"/>
        <v>150.3557925656817</v>
      </c>
      <c r="M2" s="16">
        <f t="shared" si="0"/>
        <v>146.62689373215647</v>
      </c>
      <c r="N2" s="16">
        <f t="shared" si="0"/>
        <v>142.99047345415215</v>
      </c>
      <c r="O2" s="16">
        <f t="shared" si="0"/>
        <v>139.44423821725243</v>
      </c>
      <c r="P2" s="16">
        <f t="shared" si="0"/>
        <v>135.98595138734544</v>
      </c>
      <c r="Q2" s="16">
        <f t="shared" si="0"/>
        <v>132.61343179996356</v>
      </c>
      <c r="R2" s="16">
        <f t="shared" si="0"/>
        <v>129.32455238460855</v>
      </c>
      <c r="S2" s="16">
        <f t="shared" si="0"/>
        <v>126.11723882319406</v>
      </c>
      <c r="T2" s="16">
        <f t="shared" si="0"/>
        <v>122.98946824175944</v>
      </c>
      <c r="U2" s="16">
        <f t="shared" si="0"/>
        <v>119.93926793462967</v>
      </c>
      <c r="V2" s="16">
        <f t="shared" si="0"/>
        <v>116.96471412021687</v>
      </c>
    </row>
    <row r="3" spans="1:23" x14ac:dyDescent="0.3">
      <c r="A3" s="17" t="s">
        <v>44</v>
      </c>
      <c r="B3" s="17"/>
      <c r="C3" s="17">
        <f t="shared" ref="C3:V3" si="1">C17*C14</f>
        <v>791.23333196963051</v>
      </c>
      <c r="D3" s="17">
        <f t="shared" si="1"/>
        <v>809.41304266247744</v>
      </c>
      <c r="E3" s="17">
        <f t="shared" si="1"/>
        <v>824.07443868880694</v>
      </c>
      <c r="F3" s="17">
        <f t="shared" si="1"/>
        <v>841.26905948681099</v>
      </c>
      <c r="G3" s="17">
        <f t="shared" si="1"/>
        <v>858.24090520436414</v>
      </c>
      <c r="H3" s="17">
        <f t="shared" si="1"/>
        <v>877.31332015338899</v>
      </c>
      <c r="I3" s="17">
        <f t="shared" si="1"/>
        <v>895.57035093918466</v>
      </c>
      <c r="J3" s="17">
        <f t="shared" si="1"/>
        <v>913.71029033386333</v>
      </c>
      <c r="K3" s="17">
        <f t="shared" si="1"/>
        <v>933.47116577396423</v>
      </c>
      <c r="L3" s="17">
        <f t="shared" si="1"/>
        <v>952.02627928559468</v>
      </c>
      <c r="M3" s="17">
        <f t="shared" si="1"/>
        <v>973.36272633773115</v>
      </c>
      <c r="N3" s="17">
        <f t="shared" si="1"/>
        <v>994.36695978484943</v>
      </c>
      <c r="O3" s="17">
        <f t="shared" si="1"/>
        <v>1014.5334975610979</v>
      </c>
      <c r="P3" s="17">
        <f t="shared" si="1"/>
        <v>1037.2692581102001</v>
      </c>
      <c r="Q3" s="17">
        <f t="shared" si="1"/>
        <v>1062.159493002079</v>
      </c>
      <c r="R3" s="17">
        <f t="shared" si="1"/>
        <v>1083.3755511297475</v>
      </c>
      <c r="S3" s="17">
        <f t="shared" si="1"/>
        <v>1105.2700071639836</v>
      </c>
      <c r="T3" s="17">
        <f t="shared" si="1"/>
        <v>1128.9812905614583</v>
      </c>
      <c r="U3" s="17">
        <f t="shared" si="1"/>
        <v>1157.5730093843499</v>
      </c>
      <c r="V3" s="17">
        <f t="shared" si="1"/>
        <v>1183.1393906757633</v>
      </c>
    </row>
    <row r="4" spans="1:23" x14ac:dyDescent="0.3">
      <c r="A4" s="17" t="s">
        <v>37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>
        <f>0.45*B7*(-1)</f>
        <v>-2430.678082191781</v>
      </c>
      <c r="M4" s="17"/>
      <c r="N4" s="17"/>
      <c r="O4" s="17"/>
      <c r="P4" s="17"/>
      <c r="Q4" s="17"/>
      <c r="R4" s="17"/>
      <c r="S4" s="17"/>
      <c r="T4" s="17"/>
      <c r="U4" s="17"/>
      <c r="V4" s="17"/>
    </row>
    <row r="5" spans="1:23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</row>
    <row r="6" spans="1:23" x14ac:dyDescent="0.3">
      <c r="A6" s="17" t="s">
        <v>49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</row>
    <row r="7" spans="1:23" x14ac:dyDescent="0.3">
      <c r="A7" s="17" t="s">
        <v>38</v>
      </c>
      <c r="B7" s="17">
        <f>-SUM(C8:V8)</f>
        <v>5401.5068493150684</v>
      </c>
      <c r="C7" s="17" t="s">
        <v>35</v>
      </c>
      <c r="D7" s="17" t="s">
        <v>35</v>
      </c>
      <c r="E7" s="17" t="s">
        <v>35</v>
      </c>
      <c r="F7" s="17" t="s">
        <v>35</v>
      </c>
      <c r="G7" s="17" t="s">
        <v>35</v>
      </c>
      <c r="H7" s="17" t="s">
        <v>35</v>
      </c>
      <c r="I7" s="17" t="s">
        <v>35</v>
      </c>
      <c r="J7" s="17" t="s">
        <v>35</v>
      </c>
      <c r="K7" s="17" t="s">
        <v>35</v>
      </c>
      <c r="L7" s="17" t="s">
        <v>35</v>
      </c>
      <c r="M7" s="17" t="s">
        <v>35</v>
      </c>
      <c r="N7" s="17" t="s">
        <v>35</v>
      </c>
      <c r="O7" s="17" t="s">
        <v>35</v>
      </c>
      <c r="P7" s="17" t="s">
        <v>35</v>
      </c>
      <c r="Q7" s="17" t="s">
        <v>35</v>
      </c>
      <c r="R7" s="17" t="s">
        <v>35</v>
      </c>
      <c r="S7" s="17" t="s">
        <v>35</v>
      </c>
      <c r="T7" s="17" t="s">
        <v>35</v>
      </c>
      <c r="U7" s="17" t="s">
        <v>35</v>
      </c>
      <c r="V7" s="17" t="s">
        <v>35</v>
      </c>
    </row>
    <row r="8" spans="1:23" x14ac:dyDescent="0.3">
      <c r="A8" s="17" t="s">
        <v>2</v>
      </c>
      <c r="B8" s="17"/>
      <c r="C8" s="17">
        <v>0</v>
      </c>
      <c r="D8" s="17">
        <v>0</v>
      </c>
      <c r="E8" s="17">
        <v>0</v>
      </c>
      <c r="F8" s="17">
        <v>-317.73569701853341</v>
      </c>
      <c r="G8" s="17">
        <v>-317.73569701853341</v>
      </c>
      <c r="H8" s="17">
        <v>-317.73569701853341</v>
      </c>
      <c r="I8" s="17">
        <v>-317.73569701853341</v>
      </c>
      <c r="J8" s="17">
        <v>-317.73569701853341</v>
      </c>
      <c r="K8" s="17">
        <v>-317.73569701853341</v>
      </c>
      <c r="L8" s="17">
        <v>-317.73569701853341</v>
      </c>
      <c r="M8" s="17">
        <v>-317.73569701853341</v>
      </c>
      <c r="N8" s="17">
        <v>-317.73569701853341</v>
      </c>
      <c r="O8" s="17">
        <v>-317.73569701853341</v>
      </c>
      <c r="P8" s="17">
        <v>-317.73569701853341</v>
      </c>
      <c r="Q8" s="17">
        <v>-317.73569701853341</v>
      </c>
      <c r="R8" s="17">
        <v>-317.73569701853341</v>
      </c>
      <c r="S8" s="17">
        <v>-317.73569701853341</v>
      </c>
      <c r="T8" s="17">
        <v>-317.73569701853341</v>
      </c>
      <c r="U8" s="17">
        <v>-317.73569701853341</v>
      </c>
      <c r="V8" s="17">
        <v>-317.73569701853341</v>
      </c>
    </row>
    <row r="9" spans="1:23" x14ac:dyDescent="0.3">
      <c r="A9" s="17" t="s">
        <v>39</v>
      </c>
      <c r="B9" s="17"/>
      <c r="C9" s="17">
        <v>-290.60106849315071</v>
      </c>
      <c r="D9" s="17">
        <v>-290.60106849315071</v>
      </c>
      <c r="E9" s="17">
        <v>-290.60106849315071</v>
      </c>
      <c r="F9" s="17">
        <v>-284.19075080580183</v>
      </c>
      <c r="G9" s="17">
        <v>-267.0965703062048</v>
      </c>
      <c r="H9" s="17">
        <v>-250.00238980660777</v>
      </c>
      <c r="I9" s="17">
        <v>-232.90820930701074</v>
      </c>
      <c r="J9" s="17">
        <v>-215.81402880741371</v>
      </c>
      <c r="K9" s="17">
        <v>-198.71984830781656</v>
      </c>
      <c r="L9" s="17">
        <v>-181.62566780821945</v>
      </c>
      <c r="M9" s="17">
        <v>-164.53148730862233</v>
      </c>
      <c r="N9" s="17">
        <v>-147.43730680902524</v>
      </c>
      <c r="O9" s="17">
        <v>-130.3431263094281</v>
      </c>
      <c r="P9" s="17">
        <v>-113.24894580983099</v>
      </c>
      <c r="Q9" s="17">
        <v>-96.15476531023387</v>
      </c>
      <c r="R9" s="17">
        <v>-79.060584810636755</v>
      </c>
      <c r="S9" s="17">
        <v>-61.966404311039646</v>
      </c>
      <c r="T9" s="17">
        <v>-44.872223811442538</v>
      </c>
      <c r="U9" s="17">
        <v>-27.778043311845451</v>
      </c>
      <c r="V9" s="17">
        <v>-10.683862812248357</v>
      </c>
    </row>
    <row r="10" spans="1:23" x14ac:dyDescent="0.3">
      <c r="A10" s="2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</row>
    <row r="11" spans="1:23" x14ac:dyDescent="0.3">
      <c r="A11" s="21" t="s">
        <v>51</v>
      </c>
      <c r="B11" s="15">
        <f>B2</f>
        <v>0</v>
      </c>
      <c r="C11" s="15">
        <f>C2</f>
        <v>188.48592914853944</v>
      </c>
      <c r="D11" s="15">
        <f t="shared" ref="D11:V11" si="2">D2+C11</f>
        <v>372.29731301123047</v>
      </c>
      <c r="E11" s="15">
        <f t="shared" si="2"/>
        <v>551.55008264843491</v>
      </c>
      <c r="F11" s="15">
        <f t="shared" si="2"/>
        <v>726.3572939722518</v>
      </c>
      <c r="G11" s="15">
        <f t="shared" si="2"/>
        <v>896.82919905163237</v>
      </c>
      <c r="H11" s="15">
        <f t="shared" si="2"/>
        <v>1063.0733156490919</v>
      </c>
      <c r="I11" s="15">
        <f t="shared" si="2"/>
        <v>1225.1944950328761</v>
      </c>
      <c r="J11" s="15">
        <f t="shared" si="2"/>
        <v>1383.2949881073528</v>
      </c>
      <c r="K11" s="15">
        <f t="shared" si="2"/>
        <v>1537.4745099033357</v>
      </c>
      <c r="L11" s="15">
        <f t="shared" si="2"/>
        <v>1687.8303024690174</v>
      </c>
      <c r="M11" s="15">
        <f t="shared" si="2"/>
        <v>1834.4571962011739</v>
      </c>
      <c r="N11" s="15">
        <f t="shared" si="2"/>
        <v>1977.4476696553261</v>
      </c>
      <c r="O11" s="15">
        <f t="shared" si="2"/>
        <v>2116.8919078725785</v>
      </c>
      <c r="P11" s="15">
        <f t="shared" si="2"/>
        <v>2252.8778592599238</v>
      </c>
      <c r="Q11" s="15">
        <f t="shared" si="2"/>
        <v>2385.4912910598873</v>
      </c>
      <c r="R11" s="15">
        <f t="shared" si="2"/>
        <v>2514.8158434444958</v>
      </c>
      <c r="S11" s="15">
        <f t="shared" si="2"/>
        <v>2640.9330822676898</v>
      </c>
      <c r="T11" s="15">
        <f t="shared" si="2"/>
        <v>2763.9225505094491</v>
      </c>
      <c r="U11" s="15">
        <f t="shared" si="2"/>
        <v>2883.8618184440788</v>
      </c>
      <c r="V11" s="15">
        <f t="shared" si="2"/>
        <v>3000.8265325642956</v>
      </c>
      <c r="W11" s="14"/>
    </row>
    <row r="12" spans="1:23" ht="16.2" thickBot="1" x14ac:dyDescent="0.35">
      <c r="A12" s="23" t="s">
        <v>50</v>
      </c>
      <c r="B12" s="15"/>
      <c r="C12" s="15">
        <f t="shared" ref="C12" si="3">SUM(C3,C4,C9,C8)</f>
        <v>500.63226347647981</v>
      </c>
      <c r="D12" s="15">
        <f>SUM(D3,D4,D9,D8,C12)</f>
        <v>1019.4442376458065</v>
      </c>
      <c r="E12" s="15">
        <f t="shared" ref="E12:V12" si="4">SUM(E3,E4,E9,E8,D12)</f>
        <v>1552.9176078414628</v>
      </c>
      <c r="F12" s="15">
        <f t="shared" si="4"/>
        <v>1792.2602195039385</v>
      </c>
      <c r="G12" s="15">
        <f t="shared" si="4"/>
        <v>2065.6688573835645</v>
      </c>
      <c r="H12" s="15">
        <f t="shared" si="4"/>
        <v>2375.2440907118125</v>
      </c>
      <c r="I12" s="15">
        <f t="shared" si="4"/>
        <v>2720.1705353254529</v>
      </c>
      <c r="J12" s="15">
        <f t="shared" si="4"/>
        <v>3100.3310998333691</v>
      </c>
      <c r="K12" s="15">
        <f t="shared" si="4"/>
        <v>3517.3467202809834</v>
      </c>
      <c r="L12" s="15">
        <f t="shared" si="4"/>
        <v>1539.3335525480443</v>
      </c>
      <c r="M12" s="15">
        <f t="shared" si="4"/>
        <v>2030.4290945586197</v>
      </c>
      <c r="N12" s="15">
        <f t="shared" si="4"/>
        <v>2559.6230505159106</v>
      </c>
      <c r="O12" s="15">
        <f t="shared" si="4"/>
        <v>3126.0777247490469</v>
      </c>
      <c r="P12" s="15">
        <f t="shared" si="4"/>
        <v>3732.3623400308825</v>
      </c>
      <c r="Q12" s="15">
        <f t="shared" si="4"/>
        <v>4380.6313707041945</v>
      </c>
      <c r="R12" s="15">
        <f t="shared" si="4"/>
        <v>5067.2106400047714</v>
      </c>
      <c r="S12" s="15">
        <f t="shared" si="4"/>
        <v>5792.7785458391818</v>
      </c>
      <c r="T12" s="15">
        <f t="shared" si="4"/>
        <v>6559.1519155706637</v>
      </c>
      <c r="U12" s="15">
        <f t="shared" si="4"/>
        <v>7371.2111846246344</v>
      </c>
      <c r="V12" s="15">
        <f t="shared" si="4"/>
        <v>8225.9310154696159</v>
      </c>
      <c r="W12" s="14"/>
    </row>
    <row r="13" spans="1:23" x14ac:dyDescent="0.3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6"/>
    </row>
    <row r="14" spans="1:23" x14ac:dyDescent="0.3">
      <c r="A14" s="11" t="s">
        <v>9</v>
      </c>
      <c r="B14" s="12"/>
      <c r="C14" s="12">
        <f>M27</f>
        <v>2303.1999999999998</v>
      </c>
      <c r="D14" s="12">
        <f>C14*(1-0.005)</f>
        <v>2291.6839999999997</v>
      </c>
      <c r="E14" s="12">
        <f t="shared" ref="E14:V14" si="5">D14*(1-0.005)</f>
        <v>2280.2255799999998</v>
      </c>
      <c r="F14" s="12">
        <f t="shared" si="5"/>
        <v>2268.8244520999997</v>
      </c>
      <c r="G14" s="12">
        <f t="shared" si="5"/>
        <v>2257.4803298394995</v>
      </c>
      <c r="H14" s="12">
        <f t="shared" si="5"/>
        <v>2246.1929281903022</v>
      </c>
      <c r="I14" s="12">
        <f t="shared" si="5"/>
        <v>2234.9619635493505</v>
      </c>
      <c r="J14" s="12">
        <f t="shared" si="5"/>
        <v>2223.7871537316037</v>
      </c>
      <c r="K14" s="12">
        <f t="shared" si="5"/>
        <v>2212.6682179629456</v>
      </c>
      <c r="L14" s="12">
        <f t="shared" si="5"/>
        <v>2201.6048768731307</v>
      </c>
      <c r="M14" s="12">
        <f t="shared" si="5"/>
        <v>2190.5968524887649</v>
      </c>
      <c r="N14" s="12">
        <f t="shared" si="5"/>
        <v>2179.643868226321</v>
      </c>
      <c r="O14" s="12">
        <f t="shared" si="5"/>
        <v>2168.7456488851894</v>
      </c>
      <c r="P14" s="12">
        <f t="shared" si="5"/>
        <v>2157.9019206407634</v>
      </c>
      <c r="Q14" s="12">
        <f t="shared" si="5"/>
        <v>2147.1124110375595</v>
      </c>
      <c r="R14" s="12">
        <f t="shared" si="5"/>
        <v>2136.3768489823715</v>
      </c>
      <c r="S14" s="12">
        <f t="shared" si="5"/>
        <v>2125.6949647374595</v>
      </c>
      <c r="T14" s="12">
        <f t="shared" si="5"/>
        <v>2115.0664899137723</v>
      </c>
      <c r="U14" s="12">
        <f t="shared" si="5"/>
        <v>2104.4911574642033</v>
      </c>
      <c r="V14" s="12">
        <f t="shared" si="5"/>
        <v>2093.9687016768821</v>
      </c>
    </row>
    <row r="15" spans="1:23" x14ac:dyDescent="0.3">
      <c r="A15" s="11" t="s">
        <v>8</v>
      </c>
      <c r="B15" s="12"/>
      <c r="C15" s="12">
        <v>0.42411917073488226</v>
      </c>
      <c r="D15" s="12">
        <v>0.4360441323113049</v>
      </c>
      <c r="E15" s="12">
        <v>0.44617333440891183</v>
      </c>
      <c r="F15" s="12">
        <v>0.4577717664241896</v>
      </c>
      <c r="G15" s="12">
        <v>0.46935366793080274</v>
      </c>
      <c r="H15" s="12">
        <v>0.48219494006666963</v>
      </c>
      <c r="I15" s="12">
        <v>0.49470300908880804</v>
      </c>
      <c r="J15" s="12">
        <v>0.50725960601985376</v>
      </c>
      <c r="K15" s="12">
        <v>0.52083431606999631</v>
      </c>
      <c r="L15" s="12">
        <v>0.5338565052631381</v>
      </c>
      <c r="M15" s="12">
        <v>0.54856391162503637</v>
      </c>
      <c r="N15" s="12">
        <v>0.56321748176115871</v>
      </c>
      <c r="O15" s="12">
        <v>0.57752760977757078</v>
      </c>
      <c r="P15" s="12">
        <v>0.59343722657237086</v>
      </c>
      <c r="Q15" s="12">
        <v>0.61073095628853435</v>
      </c>
      <c r="R15" s="12">
        <v>0.62606027632446604</v>
      </c>
      <c r="S15" s="12">
        <v>0.64192223986873176</v>
      </c>
      <c r="T15" s="12">
        <v>0.65898829614494836</v>
      </c>
      <c r="U15" s="12">
        <v>0.67907269443859763</v>
      </c>
      <c r="V15" s="13">
        <v>0.69755861835222222</v>
      </c>
    </row>
    <row r="16" spans="1:23" x14ac:dyDescent="0.3">
      <c r="A16" s="11" t="s">
        <v>10</v>
      </c>
      <c r="B16" s="12"/>
      <c r="C16" s="12">
        <f>1-0.19</f>
        <v>0.81</v>
      </c>
      <c r="D16" s="12">
        <f t="shared" ref="D16:V16" si="6">1-0.19</f>
        <v>0.81</v>
      </c>
      <c r="E16" s="12">
        <f t="shared" si="6"/>
        <v>0.81</v>
      </c>
      <c r="F16" s="12">
        <f t="shared" si="6"/>
        <v>0.81</v>
      </c>
      <c r="G16" s="12">
        <f t="shared" si="6"/>
        <v>0.81</v>
      </c>
      <c r="H16" s="12">
        <f t="shared" si="6"/>
        <v>0.81</v>
      </c>
      <c r="I16" s="12">
        <f t="shared" si="6"/>
        <v>0.81</v>
      </c>
      <c r="J16" s="12">
        <f t="shared" si="6"/>
        <v>0.81</v>
      </c>
      <c r="K16" s="12">
        <f t="shared" si="6"/>
        <v>0.81</v>
      </c>
      <c r="L16" s="12">
        <f t="shared" si="6"/>
        <v>0.81</v>
      </c>
      <c r="M16" s="12">
        <f t="shared" si="6"/>
        <v>0.81</v>
      </c>
      <c r="N16" s="12">
        <f t="shared" si="6"/>
        <v>0.81</v>
      </c>
      <c r="O16" s="12">
        <f t="shared" si="6"/>
        <v>0.81</v>
      </c>
      <c r="P16" s="12">
        <f t="shared" si="6"/>
        <v>0.81</v>
      </c>
      <c r="Q16" s="12">
        <f t="shared" si="6"/>
        <v>0.81</v>
      </c>
      <c r="R16" s="12">
        <f t="shared" si="6"/>
        <v>0.81</v>
      </c>
      <c r="S16" s="12">
        <f t="shared" si="6"/>
        <v>0.81</v>
      </c>
      <c r="T16" s="12">
        <f t="shared" si="6"/>
        <v>0.81</v>
      </c>
      <c r="U16" s="12">
        <f t="shared" si="6"/>
        <v>0.81</v>
      </c>
      <c r="V16" s="13">
        <f t="shared" si="6"/>
        <v>0.81</v>
      </c>
    </row>
    <row r="17" spans="1:22" x14ac:dyDescent="0.3">
      <c r="A17" s="11" t="s">
        <v>46</v>
      </c>
      <c r="B17" s="12"/>
      <c r="C17" s="12">
        <f>C15*C16</f>
        <v>0.34353652829525466</v>
      </c>
      <c r="D17" s="12">
        <f t="shared" ref="D17:V17" si="7">D15*D16</f>
        <v>0.35319574717215702</v>
      </c>
      <c r="E17" s="12">
        <f t="shared" si="7"/>
        <v>0.36140040087121861</v>
      </c>
      <c r="F17" s="12">
        <f t="shared" si="7"/>
        <v>0.37079513080359361</v>
      </c>
      <c r="G17" s="12">
        <f t="shared" si="7"/>
        <v>0.38017647102395025</v>
      </c>
      <c r="H17" s="12">
        <f t="shared" si="7"/>
        <v>0.39057790145400245</v>
      </c>
      <c r="I17" s="12">
        <f t="shared" si="7"/>
        <v>0.40070943736193454</v>
      </c>
      <c r="J17" s="12">
        <f t="shared" si="7"/>
        <v>0.41088028087608158</v>
      </c>
      <c r="K17" s="12">
        <f t="shared" si="7"/>
        <v>0.42187579601669706</v>
      </c>
      <c r="L17" s="12">
        <f t="shared" si="7"/>
        <v>0.43242376926314191</v>
      </c>
      <c r="M17" s="12">
        <f t="shared" si="7"/>
        <v>0.4443367684162795</v>
      </c>
      <c r="N17" s="12">
        <f t="shared" si="7"/>
        <v>0.45620616022653859</v>
      </c>
      <c r="O17" s="12">
        <f t="shared" si="7"/>
        <v>0.46779736391983234</v>
      </c>
      <c r="P17" s="12">
        <f t="shared" si="7"/>
        <v>0.48068415352362043</v>
      </c>
      <c r="Q17" s="12">
        <f t="shared" si="7"/>
        <v>0.49469207459371284</v>
      </c>
      <c r="R17" s="12">
        <f t="shared" si="7"/>
        <v>0.50710882382281752</v>
      </c>
      <c r="S17" s="12">
        <f t="shared" si="7"/>
        <v>0.5199570142936728</v>
      </c>
      <c r="T17" s="12">
        <f t="shared" si="7"/>
        <v>0.53378051987740815</v>
      </c>
      <c r="U17" s="12">
        <f t="shared" si="7"/>
        <v>0.55004888249526407</v>
      </c>
      <c r="V17" s="13">
        <f t="shared" si="7"/>
        <v>0.56502248086530005</v>
      </c>
    </row>
    <row r="18" spans="1:22" x14ac:dyDescent="0.3">
      <c r="A18" s="8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10"/>
    </row>
    <row r="19" spans="1:22" ht="16.2" thickBot="1" x14ac:dyDescent="0.35">
      <c r="A19" s="18" t="s">
        <v>7</v>
      </c>
      <c r="B19" s="19"/>
      <c r="C19" s="19">
        <v>8.1836544437538836E-2</v>
      </c>
      <c r="D19" s="19">
        <v>8.0207997203231809E-2</v>
      </c>
      <c r="E19" s="19">
        <v>7.8611858058887499E-2</v>
      </c>
      <c r="F19" s="19">
        <v>7.7047482083515639E-2</v>
      </c>
      <c r="G19" s="19">
        <v>7.5514237190053679E-2</v>
      </c>
      <c r="H19" s="19">
        <v>7.4011503869971615E-2</v>
      </c>
      <c r="I19" s="19">
        <v>7.253867494295918E-2</v>
      </c>
      <c r="J19" s="19">
        <v>7.1095155311594285E-2</v>
      </c>
      <c r="K19" s="19">
        <v>6.9680361720893563E-2</v>
      </c>
      <c r="L19" s="19">
        <v>6.8293722522647773E-2</v>
      </c>
      <c r="M19" s="19">
        <v>6.6934677444447074E-2</v>
      </c>
      <c r="N19" s="19">
        <v>6.5602677363302581E-2</v>
      </c>
      <c r="O19" s="19">
        <v>6.4297184083772857E-2</v>
      </c>
      <c r="P19" s="19">
        <v>6.301767012050577E-2</v>
      </c>
      <c r="Q19" s="19">
        <v>6.1763618485107703E-2</v>
      </c>
      <c r="R19" s="19">
        <v>6.0534522477254056E-2</v>
      </c>
      <c r="S19" s="19">
        <v>5.9329885479956698E-2</v>
      </c>
      <c r="T19" s="19">
        <v>5.8149220758905558E-2</v>
      </c>
      <c r="U19" s="19">
        <v>5.6992051265803333E-2</v>
      </c>
      <c r="V19" s="20">
        <v>5.5857909445613842E-2</v>
      </c>
    </row>
    <row r="21" spans="1:22" x14ac:dyDescent="0.3">
      <c r="L21" s="7" t="s">
        <v>48</v>
      </c>
    </row>
    <row r="22" spans="1:22" x14ac:dyDescent="0.3">
      <c r="M22" s="7">
        <f>3.84*365*2</f>
        <v>2803.2</v>
      </c>
    </row>
    <row r="23" spans="1:22" x14ac:dyDescent="0.3">
      <c r="M23" s="7">
        <f>M22-100</f>
        <v>2703.2</v>
      </c>
    </row>
    <row r="24" spans="1:22" x14ac:dyDescent="0.3">
      <c r="M24" s="7">
        <f t="shared" ref="M24:M41" si="8">M23-100</f>
        <v>2603.1999999999998</v>
      </c>
    </row>
    <row r="25" spans="1:22" x14ac:dyDescent="0.3">
      <c r="M25" s="7">
        <f t="shared" si="8"/>
        <v>2503.1999999999998</v>
      </c>
    </row>
    <row r="26" spans="1:22" x14ac:dyDescent="0.3">
      <c r="M26" s="7">
        <f t="shared" si="8"/>
        <v>2403.1999999999998</v>
      </c>
    </row>
    <row r="27" spans="1:22" x14ac:dyDescent="0.3">
      <c r="M27" s="7">
        <f t="shared" si="8"/>
        <v>2303.1999999999998</v>
      </c>
    </row>
    <row r="28" spans="1:22" x14ac:dyDescent="0.3">
      <c r="M28" s="7">
        <f t="shared" si="8"/>
        <v>2203.1999999999998</v>
      </c>
    </row>
    <row r="29" spans="1:22" x14ac:dyDescent="0.3">
      <c r="M29" s="7">
        <f t="shared" si="8"/>
        <v>2103.1999999999998</v>
      </c>
    </row>
    <row r="30" spans="1:22" x14ac:dyDescent="0.3">
      <c r="M30" s="7">
        <f t="shared" si="8"/>
        <v>2003.1999999999998</v>
      </c>
    </row>
    <row r="31" spans="1:22" x14ac:dyDescent="0.3">
      <c r="M31" s="7">
        <f t="shared" si="8"/>
        <v>1903.1999999999998</v>
      </c>
    </row>
    <row r="32" spans="1:22" x14ac:dyDescent="0.3">
      <c r="M32" s="7">
        <f t="shared" si="8"/>
        <v>1803.1999999999998</v>
      </c>
    </row>
    <row r="33" spans="13:13" x14ac:dyDescent="0.3">
      <c r="M33" s="7">
        <f t="shared" si="8"/>
        <v>1703.1999999999998</v>
      </c>
    </row>
    <row r="34" spans="13:13" x14ac:dyDescent="0.3">
      <c r="M34" s="7">
        <f t="shared" si="8"/>
        <v>1603.1999999999998</v>
      </c>
    </row>
    <row r="35" spans="13:13" x14ac:dyDescent="0.3">
      <c r="M35" s="7">
        <f t="shared" si="8"/>
        <v>1503.1999999999998</v>
      </c>
    </row>
    <row r="36" spans="13:13" x14ac:dyDescent="0.3">
      <c r="M36" s="7">
        <f t="shared" si="8"/>
        <v>1403.1999999999998</v>
      </c>
    </row>
    <row r="37" spans="13:13" x14ac:dyDescent="0.3">
      <c r="M37" s="7">
        <f t="shared" si="8"/>
        <v>1303.1999999999998</v>
      </c>
    </row>
    <row r="38" spans="13:13" x14ac:dyDescent="0.3">
      <c r="M38" s="7">
        <f t="shared" si="8"/>
        <v>1203.1999999999998</v>
      </c>
    </row>
    <row r="39" spans="13:13" x14ac:dyDescent="0.3">
      <c r="M39" s="7">
        <f>M38-100</f>
        <v>1103.1999999999998</v>
      </c>
    </row>
    <row r="40" spans="13:13" x14ac:dyDescent="0.3">
      <c r="M40" s="7">
        <f t="shared" si="8"/>
        <v>1003.1999999999998</v>
      </c>
    </row>
    <row r="41" spans="13:13" x14ac:dyDescent="0.3">
      <c r="M41" s="7">
        <f t="shared" si="8"/>
        <v>903.19999999999982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787E1-C806-4251-A3F3-1EB2C6361F87}">
  <sheetPr codeName="Tabelle9"/>
  <dimension ref="A1:W41"/>
  <sheetViews>
    <sheetView topLeftCell="B1" zoomScale="73" zoomScaleNormal="85" workbookViewId="0">
      <selection activeCell="M41" sqref="M41"/>
    </sheetView>
  </sheetViews>
  <sheetFormatPr baseColWidth="10" defaultColWidth="11.44140625" defaultRowHeight="15.6" x14ac:dyDescent="0.3"/>
  <cols>
    <col min="1" max="1" width="64.33203125" style="7" bestFit="1" customWidth="1"/>
    <col min="2" max="2" width="14.44140625" style="7" bestFit="1" customWidth="1"/>
    <col min="3" max="11" width="13.5546875" style="7" bestFit="1" customWidth="1"/>
    <col min="12" max="12" width="13.6640625" style="7" customWidth="1"/>
    <col min="13" max="13" width="13.5546875" style="7" bestFit="1" customWidth="1"/>
    <col min="14" max="14" width="15.44140625" style="7" customWidth="1"/>
    <col min="15" max="22" width="13.5546875" style="7" bestFit="1" customWidth="1"/>
    <col min="23" max="16384" width="11.44140625" style="7"/>
  </cols>
  <sheetData>
    <row r="1" spans="1:23" x14ac:dyDescent="0.3">
      <c r="A1" s="22" t="s">
        <v>13</v>
      </c>
      <c r="B1" s="22" t="s">
        <v>14</v>
      </c>
      <c r="C1" s="22" t="s">
        <v>15</v>
      </c>
      <c r="D1" s="22" t="s">
        <v>16</v>
      </c>
      <c r="E1" s="22" t="s">
        <v>17</v>
      </c>
      <c r="F1" s="22" t="s">
        <v>18</v>
      </c>
      <c r="G1" s="22" t="s">
        <v>19</v>
      </c>
      <c r="H1" s="22" t="s">
        <v>20</v>
      </c>
      <c r="I1" s="22" t="s">
        <v>21</v>
      </c>
      <c r="J1" s="22" t="s">
        <v>22</v>
      </c>
      <c r="K1" s="22" t="s">
        <v>23</v>
      </c>
      <c r="L1" s="22" t="s">
        <v>24</v>
      </c>
      <c r="M1" s="22" t="s">
        <v>25</v>
      </c>
      <c r="N1" s="22" t="s">
        <v>26</v>
      </c>
      <c r="O1" s="22" t="s">
        <v>27</v>
      </c>
      <c r="P1" s="22" t="s">
        <v>28</v>
      </c>
      <c r="Q1" s="22" t="s">
        <v>29</v>
      </c>
      <c r="R1" s="22" t="s">
        <v>30</v>
      </c>
      <c r="S1" s="22" t="s">
        <v>31</v>
      </c>
      <c r="T1" s="22" t="s">
        <v>32</v>
      </c>
      <c r="U1" s="22" t="s">
        <v>33</v>
      </c>
      <c r="V1" s="22" t="s">
        <v>34</v>
      </c>
    </row>
    <row r="2" spans="1:23" x14ac:dyDescent="0.3">
      <c r="A2" s="16" t="s">
        <v>36</v>
      </c>
      <c r="B2" s="16"/>
      <c r="C2" s="16">
        <f t="shared" ref="C2:V2" si="0">C19*C14</f>
        <v>180.30227470478556</v>
      </c>
      <c r="D2" s="16">
        <f t="shared" si="0"/>
        <v>175.8306881409695</v>
      </c>
      <c r="E2" s="16">
        <f t="shared" si="0"/>
        <v>171.46999915972938</v>
      </c>
      <c r="F2" s="16">
        <f t="shared" si="0"/>
        <v>167.21745744556853</v>
      </c>
      <c r="G2" s="16">
        <f t="shared" si="0"/>
        <v>163.07038089218972</v>
      </c>
      <c r="H2" s="16">
        <f t="shared" si="0"/>
        <v>159.02615391087298</v>
      </c>
      <c r="I2" s="16">
        <f t="shared" si="0"/>
        <v>155.08222578080637</v>
      </c>
      <c r="J2" s="16">
        <f t="shared" si="0"/>
        <v>151.23610904032944</v>
      </c>
      <c r="K2" s="16">
        <f t="shared" si="0"/>
        <v>147.48537791807476</v>
      </c>
      <c r="L2" s="16">
        <f t="shared" si="0"/>
        <v>143.82766680301754</v>
      </c>
      <c r="M2" s="16">
        <f t="shared" si="0"/>
        <v>140.26066875246926</v>
      </c>
      <c r="N2" s="16">
        <f t="shared" si="0"/>
        <v>136.78213403707366</v>
      </c>
      <c r="O2" s="16">
        <f t="shared" si="0"/>
        <v>133.38986872188721</v>
      </c>
      <c r="P2" s="16">
        <f t="shared" si="0"/>
        <v>130.08173328265005</v>
      </c>
      <c r="Q2" s="16">
        <f t="shared" si="0"/>
        <v>126.8556412563737</v>
      </c>
      <c r="R2" s="16">
        <f t="shared" si="0"/>
        <v>123.70955792539499</v>
      </c>
      <c r="S2" s="16">
        <f t="shared" si="0"/>
        <v>120.64149903406621</v>
      </c>
      <c r="T2" s="16">
        <f t="shared" si="0"/>
        <v>117.64952953727185</v>
      </c>
      <c r="U2" s="16">
        <f t="shared" si="0"/>
        <v>114.73176237998273</v>
      </c>
      <c r="V2" s="16">
        <f t="shared" si="0"/>
        <v>111.88635730707796</v>
      </c>
    </row>
    <row r="3" spans="1:23" x14ac:dyDescent="0.3">
      <c r="A3" s="17" t="s">
        <v>44</v>
      </c>
      <c r="B3" s="17"/>
      <c r="C3" s="17">
        <f t="shared" ref="C3:V3" si="1">C17*C14</f>
        <v>756.87967914010505</v>
      </c>
      <c r="D3" s="17">
        <f t="shared" si="1"/>
        <v>774.2700658188478</v>
      </c>
      <c r="E3" s="17">
        <f t="shared" si="1"/>
        <v>788.29489550155404</v>
      </c>
      <c r="F3" s="17">
        <f t="shared" si="1"/>
        <v>804.74296277411509</v>
      </c>
      <c r="G3" s="17">
        <f t="shared" si="1"/>
        <v>820.97792738201429</v>
      </c>
      <c r="H3" s="17">
        <f t="shared" si="1"/>
        <v>839.22225901439162</v>
      </c>
      <c r="I3" s="17">
        <f t="shared" si="1"/>
        <v>856.68660871362101</v>
      </c>
      <c r="J3" s="17">
        <f t="shared" si="1"/>
        <v>874.03895087858973</v>
      </c>
      <c r="K3" s="17">
        <f t="shared" si="1"/>
        <v>892.94185152535522</v>
      </c>
      <c r="L3" s="17">
        <f t="shared" si="1"/>
        <v>910.6913418383217</v>
      </c>
      <c r="M3" s="17">
        <f t="shared" si="1"/>
        <v>931.10140615981663</v>
      </c>
      <c r="N3" s="17">
        <f t="shared" si="1"/>
        <v>951.19368087790065</v>
      </c>
      <c r="O3" s="17">
        <f t="shared" si="1"/>
        <v>970.48463087296432</v>
      </c>
      <c r="P3" s="17">
        <f t="shared" si="1"/>
        <v>992.23325350312336</v>
      </c>
      <c r="Q3" s="17">
        <f t="shared" si="1"/>
        <v>1016.0428078248444</v>
      </c>
      <c r="R3" s="17">
        <f t="shared" si="1"/>
        <v>1036.3377102505474</v>
      </c>
      <c r="S3" s="17">
        <f t="shared" si="1"/>
        <v>1057.2815560019494</v>
      </c>
      <c r="T3" s="17">
        <f t="shared" si="1"/>
        <v>1079.9633463724408</v>
      </c>
      <c r="U3" s="17">
        <f t="shared" si="1"/>
        <v>1107.3136741384164</v>
      </c>
      <c r="V3" s="17">
        <f t="shared" si="1"/>
        <v>1131.7700180344057</v>
      </c>
    </row>
    <row r="4" spans="1:23" x14ac:dyDescent="0.3">
      <c r="A4" s="17" t="s">
        <v>37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>
        <f>0.45*B7*(-1)</f>
        <v>-2430.678082191781</v>
      </c>
      <c r="M4" s="17"/>
      <c r="N4" s="17"/>
      <c r="O4" s="17"/>
      <c r="P4" s="17"/>
      <c r="Q4" s="17"/>
      <c r="R4" s="17"/>
      <c r="S4" s="17"/>
      <c r="T4" s="17"/>
      <c r="U4" s="17"/>
      <c r="V4" s="17"/>
    </row>
    <row r="5" spans="1:23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</row>
    <row r="6" spans="1:23" x14ac:dyDescent="0.3">
      <c r="A6" s="17" t="s">
        <v>49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</row>
    <row r="7" spans="1:23" x14ac:dyDescent="0.3">
      <c r="A7" s="17" t="s">
        <v>38</v>
      </c>
      <c r="B7" s="17">
        <f>-SUM(C8:V8)</f>
        <v>5401.5068493150684</v>
      </c>
      <c r="C7" s="17" t="s">
        <v>35</v>
      </c>
      <c r="D7" s="17" t="s">
        <v>35</v>
      </c>
      <c r="E7" s="17" t="s">
        <v>35</v>
      </c>
      <c r="F7" s="17" t="s">
        <v>35</v>
      </c>
      <c r="G7" s="17" t="s">
        <v>35</v>
      </c>
      <c r="H7" s="17" t="s">
        <v>35</v>
      </c>
      <c r="I7" s="17" t="s">
        <v>35</v>
      </c>
      <c r="J7" s="17" t="s">
        <v>35</v>
      </c>
      <c r="K7" s="17" t="s">
        <v>35</v>
      </c>
      <c r="L7" s="17" t="s">
        <v>35</v>
      </c>
      <c r="M7" s="17" t="s">
        <v>35</v>
      </c>
      <c r="N7" s="17" t="s">
        <v>35</v>
      </c>
      <c r="O7" s="17" t="s">
        <v>35</v>
      </c>
      <c r="P7" s="17" t="s">
        <v>35</v>
      </c>
      <c r="Q7" s="17" t="s">
        <v>35</v>
      </c>
      <c r="R7" s="17" t="s">
        <v>35</v>
      </c>
      <c r="S7" s="17" t="s">
        <v>35</v>
      </c>
      <c r="T7" s="17" t="s">
        <v>35</v>
      </c>
      <c r="U7" s="17" t="s">
        <v>35</v>
      </c>
      <c r="V7" s="17" t="s">
        <v>35</v>
      </c>
    </row>
    <row r="8" spans="1:23" x14ac:dyDescent="0.3">
      <c r="A8" s="17" t="s">
        <v>2</v>
      </c>
      <c r="B8" s="17"/>
      <c r="C8" s="12">
        <v>0</v>
      </c>
      <c r="D8" s="12">
        <v>0</v>
      </c>
      <c r="E8" s="12">
        <v>0</v>
      </c>
      <c r="F8" s="12">
        <v>-317.73569701853341</v>
      </c>
      <c r="G8" s="12">
        <v>-317.73569701853341</v>
      </c>
      <c r="H8" s="12">
        <v>-317.73569701853341</v>
      </c>
      <c r="I8" s="12">
        <v>-317.73569701853341</v>
      </c>
      <c r="J8" s="12">
        <v>-317.73569701853341</v>
      </c>
      <c r="K8" s="12">
        <v>-317.73569701853341</v>
      </c>
      <c r="L8" s="12">
        <v>-317.73569701853341</v>
      </c>
      <c r="M8" s="12">
        <v>-317.73569701853341</v>
      </c>
      <c r="N8" s="12">
        <v>-317.73569701853341</v>
      </c>
      <c r="O8" s="12">
        <v>-317.73569701853341</v>
      </c>
      <c r="P8" s="12">
        <v>-317.73569701853341</v>
      </c>
      <c r="Q8" s="12">
        <v>-317.73569701853341</v>
      </c>
      <c r="R8" s="12">
        <v>-317.73569701853341</v>
      </c>
      <c r="S8" s="12">
        <v>-317.73569701853341</v>
      </c>
      <c r="T8" s="12">
        <v>-317.73569701853341</v>
      </c>
      <c r="U8" s="12">
        <v>-317.73569701853341</v>
      </c>
      <c r="V8" s="12">
        <v>-317.73569701853341</v>
      </c>
    </row>
    <row r="9" spans="1:23" x14ac:dyDescent="0.3">
      <c r="A9" s="17" t="s">
        <v>39</v>
      </c>
      <c r="B9" s="17"/>
      <c r="C9" s="12">
        <v>-290.60106849315071</v>
      </c>
      <c r="D9" s="12">
        <v>-290.60106849315071</v>
      </c>
      <c r="E9" s="12">
        <v>-290.60106849315071</v>
      </c>
      <c r="F9" s="12">
        <v>-284.19075080580183</v>
      </c>
      <c r="G9" s="12">
        <v>-267.0965703062048</v>
      </c>
      <c r="H9" s="12">
        <v>-250.00238980660777</v>
      </c>
      <c r="I9" s="12">
        <v>-232.90820930701074</v>
      </c>
      <c r="J9" s="12">
        <v>-215.81402880741371</v>
      </c>
      <c r="K9" s="12">
        <v>-198.71984830781656</v>
      </c>
      <c r="L9" s="12">
        <v>-181.62566780821945</v>
      </c>
      <c r="M9" s="12">
        <v>-164.53148730862233</v>
      </c>
      <c r="N9" s="12">
        <v>-147.43730680902524</v>
      </c>
      <c r="O9" s="12">
        <v>-130.3431263094281</v>
      </c>
      <c r="P9" s="12">
        <v>-113.24894580983099</v>
      </c>
      <c r="Q9" s="12">
        <v>-96.15476531023387</v>
      </c>
      <c r="R9" s="12">
        <v>-79.060584810636755</v>
      </c>
      <c r="S9" s="12">
        <v>-61.966404311039646</v>
      </c>
      <c r="T9" s="12">
        <v>-44.872223811442538</v>
      </c>
      <c r="U9" s="12">
        <v>-27.778043311845451</v>
      </c>
      <c r="V9" s="12">
        <v>-10.683862812248357</v>
      </c>
    </row>
    <row r="10" spans="1:23" x14ac:dyDescent="0.3">
      <c r="A10" s="2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</row>
    <row r="11" spans="1:23" x14ac:dyDescent="0.3">
      <c r="A11" s="21" t="s">
        <v>45</v>
      </c>
      <c r="B11" s="15">
        <f>B2</f>
        <v>0</v>
      </c>
      <c r="C11" s="15">
        <f>C2</f>
        <v>180.30227470478556</v>
      </c>
      <c r="D11" s="15">
        <f t="shared" ref="D11:V11" si="2">D2+C11</f>
        <v>356.13296284575506</v>
      </c>
      <c r="E11" s="15">
        <f t="shared" si="2"/>
        <v>527.60296200548441</v>
      </c>
      <c r="F11" s="15">
        <f t="shared" si="2"/>
        <v>694.82041945105289</v>
      </c>
      <c r="G11" s="15">
        <f t="shared" si="2"/>
        <v>857.89080034324263</v>
      </c>
      <c r="H11" s="15">
        <f t="shared" si="2"/>
        <v>1016.9169542541156</v>
      </c>
      <c r="I11" s="15">
        <f t="shared" si="2"/>
        <v>1171.9991800349219</v>
      </c>
      <c r="J11" s="15">
        <f t="shared" si="2"/>
        <v>1323.2352890752513</v>
      </c>
      <c r="K11" s="15">
        <f t="shared" si="2"/>
        <v>1470.7206669933262</v>
      </c>
      <c r="L11" s="15">
        <f t="shared" si="2"/>
        <v>1614.5483337963437</v>
      </c>
      <c r="M11" s="15">
        <f t="shared" si="2"/>
        <v>1754.8090025488129</v>
      </c>
      <c r="N11" s="15">
        <f t="shared" si="2"/>
        <v>1891.5911365858865</v>
      </c>
      <c r="O11" s="15">
        <f t="shared" si="2"/>
        <v>2024.9810053077738</v>
      </c>
      <c r="P11" s="15">
        <f t="shared" si="2"/>
        <v>2155.062738590424</v>
      </c>
      <c r="Q11" s="15">
        <f t="shared" si="2"/>
        <v>2281.9183798467975</v>
      </c>
      <c r="R11" s="15">
        <f t="shared" si="2"/>
        <v>2405.6279377721926</v>
      </c>
      <c r="S11" s="15">
        <f t="shared" si="2"/>
        <v>2526.2694368062589</v>
      </c>
      <c r="T11" s="15">
        <f t="shared" si="2"/>
        <v>2643.9189663435309</v>
      </c>
      <c r="U11" s="15">
        <f t="shared" si="2"/>
        <v>2758.6507287235136</v>
      </c>
      <c r="V11" s="15">
        <f t="shared" si="2"/>
        <v>2870.5370860305916</v>
      </c>
      <c r="W11" s="14"/>
    </row>
    <row r="12" spans="1:23" ht="16.2" thickBot="1" x14ac:dyDescent="0.35">
      <c r="A12" s="23" t="s">
        <v>50</v>
      </c>
      <c r="B12" s="15"/>
      <c r="C12" s="15">
        <f t="shared" ref="C12" si="3">SUM(C3,C4,C9,C8)</f>
        <v>466.27861064695435</v>
      </c>
      <c r="D12" s="15">
        <f>SUM(D3,D4,D9,D8,C12)</f>
        <v>949.94760797265144</v>
      </c>
      <c r="E12" s="15">
        <f t="shared" ref="E12:V12" si="4">SUM(E3,E4,E9,E8,D12)</f>
        <v>1447.6414349810548</v>
      </c>
      <c r="F12" s="15">
        <f t="shared" si="4"/>
        <v>1650.4579499308347</v>
      </c>
      <c r="G12" s="15">
        <f t="shared" si="4"/>
        <v>1886.6036099881107</v>
      </c>
      <c r="H12" s="15">
        <f t="shared" si="4"/>
        <v>2158.0877821773611</v>
      </c>
      <c r="I12" s="15">
        <f t="shared" si="4"/>
        <v>2464.1304845654381</v>
      </c>
      <c r="J12" s="15">
        <f t="shared" si="4"/>
        <v>2804.6197096180808</v>
      </c>
      <c r="K12" s="15">
        <f t="shared" si="4"/>
        <v>3181.1060158170862</v>
      </c>
      <c r="L12" s="15">
        <f t="shared" si="4"/>
        <v>1161.7579106368739</v>
      </c>
      <c r="M12" s="15">
        <f t="shared" si="4"/>
        <v>1610.5921324695348</v>
      </c>
      <c r="N12" s="15">
        <f t="shared" si="4"/>
        <v>2096.6128095198769</v>
      </c>
      <c r="O12" s="15">
        <f t="shared" si="4"/>
        <v>2619.0186170648799</v>
      </c>
      <c r="P12" s="15">
        <f t="shared" si="4"/>
        <v>3180.2672277396387</v>
      </c>
      <c r="Q12" s="15">
        <f t="shared" si="4"/>
        <v>3782.4195732357157</v>
      </c>
      <c r="R12" s="15">
        <f t="shared" si="4"/>
        <v>4421.9610016570932</v>
      </c>
      <c r="S12" s="15">
        <f t="shared" si="4"/>
        <v>5099.5404563294696</v>
      </c>
      <c r="T12" s="15">
        <f t="shared" si="4"/>
        <v>5816.8958818719348</v>
      </c>
      <c r="U12" s="15">
        <f t="shared" si="4"/>
        <v>6578.6958156799719</v>
      </c>
      <c r="V12" s="15">
        <f t="shared" si="4"/>
        <v>7382.0462738835959</v>
      </c>
      <c r="W12" s="14"/>
    </row>
    <row r="13" spans="1:23" x14ac:dyDescent="0.3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6"/>
    </row>
    <row r="14" spans="1:23" x14ac:dyDescent="0.3">
      <c r="A14" s="11" t="s">
        <v>9</v>
      </c>
      <c r="B14" s="12"/>
      <c r="C14" s="12">
        <f>M28</f>
        <v>2203.1999999999998</v>
      </c>
      <c r="D14" s="12">
        <f>C14*(1-0.005)</f>
        <v>2192.1839999999997</v>
      </c>
      <c r="E14" s="12">
        <f t="shared" ref="E14:V14" si="5">D14*(1-0.005)</f>
        <v>2181.2230799999998</v>
      </c>
      <c r="F14" s="12">
        <f t="shared" si="5"/>
        <v>2170.3169645999997</v>
      </c>
      <c r="G14" s="12">
        <f t="shared" si="5"/>
        <v>2159.4653797769997</v>
      </c>
      <c r="H14" s="12">
        <f t="shared" si="5"/>
        <v>2148.6680528781148</v>
      </c>
      <c r="I14" s="12">
        <f t="shared" si="5"/>
        <v>2137.9247126137243</v>
      </c>
      <c r="J14" s="12">
        <f t="shared" si="5"/>
        <v>2127.2350890506555</v>
      </c>
      <c r="K14" s="12">
        <f t="shared" si="5"/>
        <v>2116.5989136054022</v>
      </c>
      <c r="L14" s="12">
        <f t="shared" si="5"/>
        <v>2106.0159190373752</v>
      </c>
      <c r="M14" s="12">
        <f t="shared" si="5"/>
        <v>2095.4858394421881</v>
      </c>
      <c r="N14" s="12">
        <f t="shared" si="5"/>
        <v>2085.0084102449773</v>
      </c>
      <c r="O14" s="12">
        <f t="shared" si="5"/>
        <v>2074.5833681937524</v>
      </c>
      <c r="P14" s="12">
        <f t="shared" si="5"/>
        <v>2064.2104513527838</v>
      </c>
      <c r="Q14" s="12">
        <f t="shared" si="5"/>
        <v>2053.88939909602</v>
      </c>
      <c r="R14" s="12">
        <f t="shared" si="5"/>
        <v>2043.6199521005399</v>
      </c>
      <c r="S14" s="12">
        <f t="shared" si="5"/>
        <v>2033.4018523400371</v>
      </c>
      <c r="T14" s="12">
        <f t="shared" si="5"/>
        <v>2023.2348430783368</v>
      </c>
      <c r="U14" s="12">
        <f t="shared" si="5"/>
        <v>2013.118668862945</v>
      </c>
      <c r="V14" s="12">
        <f t="shared" si="5"/>
        <v>2003.0530755186303</v>
      </c>
    </row>
    <row r="15" spans="1:23" x14ac:dyDescent="0.3">
      <c r="A15" s="11" t="s">
        <v>8</v>
      </c>
      <c r="B15" s="12"/>
      <c r="C15" s="12">
        <v>0.42411917073488226</v>
      </c>
      <c r="D15" s="12">
        <v>0.4360441323113049</v>
      </c>
      <c r="E15" s="12">
        <v>0.44617333440891183</v>
      </c>
      <c r="F15" s="12">
        <v>0.4577717664241896</v>
      </c>
      <c r="G15" s="12">
        <v>0.46935366793080274</v>
      </c>
      <c r="H15" s="12">
        <v>0.48219494006666963</v>
      </c>
      <c r="I15" s="12">
        <v>0.49470300908880804</v>
      </c>
      <c r="J15" s="12">
        <v>0.50725960601985376</v>
      </c>
      <c r="K15" s="12">
        <v>0.52083431606999631</v>
      </c>
      <c r="L15" s="12">
        <v>0.5338565052631381</v>
      </c>
      <c r="M15" s="12">
        <v>0.54856391162503637</v>
      </c>
      <c r="N15" s="12">
        <v>0.56321748176115871</v>
      </c>
      <c r="O15" s="12">
        <v>0.57752760977757078</v>
      </c>
      <c r="P15" s="12">
        <v>0.59343722657237086</v>
      </c>
      <c r="Q15" s="12">
        <v>0.61073095628853435</v>
      </c>
      <c r="R15" s="12">
        <v>0.62606027632446604</v>
      </c>
      <c r="S15" s="12">
        <v>0.64192223986873176</v>
      </c>
      <c r="T15" s="12">
        <v>0.65898829614494836</v>
      </c>
      <c r="U15" s="12">
        <v>0.67907269443859763</v>
      </c>
      <c r="V15" s="13">
        <v>0.69755861835222222</v>
      </c>
    </row>
    <row r="16" spans="1:23" x14ac:dyDescent="0.3">
      <c r="A16" s="11" t="s">
        <v>10</v>
      </c>
      <c r="B16" s="12"/>
      <c r="C16" s="12">
        <f>1-0.19</f>
        <v>0.81</v>
      </c>
      <c r="D16" s="12">
        <f t="shared" ref="D16:V16" si="6">1-0.19</f>
        <v>0.81</v>
      </c>
      <c r="E16" s="12">
        <f t="shared" si="6"/>
        <v>0.81</v>
      </c>
      <c r="F16" s="12">
        <f t="shared" si="6"/>
        <v>0.81</v>
      </c>
      <c r="G16" s="12">
        <f t="shared" si="6"/>
        <v>0.81</v>
      </c>
      <c r="H16" s="12">
        <f t="shared" si="6"/>
        <v>0.81</v>
      </c>
      <c r="I16" s="12">
        <f t="shared" si="6"/>
        <v>0.81</v>
      </c>
      <c r="J16" s="12">
        <f t="shared" si="6"/>
        <v>0.81</v>
      </c>
      <c r="K16" s="12">
        <f t="shared" si="6"/>
        <v>0.81</v>
      </c>
      <c r="L16" s="12">
        <f t="shared" si="6"/>
        <v>0.81</v>
      </c>
      <c r="M16" s="12">
        <f t="shared" si="6"/>
        <v>0.81</v>
      </c>
      <c r="N16" s="12">
        <f t="shared" si="6"/>
        <v>0.81</v>
      </c>
      <c r="O16" s="12">
        <f t="shared" si="6"/>
        <v>0.81</v>
      </c>
      <c r="P16" s="12">
        <f t="shared" si="6"/>
        <v>0.81</v>
      </c>
      <c r="Q16" s="12">
        <f t="shared" si="6"/>
        <v>0.81</v>
      </c>
      <c r="R16" s="12">
        <f t="shared" si="6"/>
        <v>0.81</v>
      </c>
      <c r="S16" s="12">
        <f t="shared" si="6"/>
        <v>0.81</v>
      </c>
      <c r="T16" s="12">
        <f t="shared" si="6"/>
        <v>0.81</v>
      </c>
      <c r="U16" s="12">
        <f t="shared" si="6"/>
        <v>0.81</v>
      </c>
      <c r="V16" s="13">
        <f t="shared" si="6"/>
        <v>0.81</v>
      </c>
    </row>
    <row r="17" spans="1:22" x14ac:dyDescent="0.3">
      <c r="A17" s="11" t="s">
        <v>46</v>
      </c>
      <c r="B17" s="12"/>
      <c r="C17" s="12">
        <f>C15*C16</f>
        <v>0.34353652829525466</v>
      </c>
      <c r="D17" s="12">
        <f t="shared" ref="D17:V17" si="7">D15*D16</f>
        <v>0.35319574717215702</v>
      </c>
      <c r="E17" s="12">
        <f t="shared" si="7"/>
        <v>0.36140040087121861</v>
      </c>
      <c r="F17" s="12">
        <f t="shared" si="7"/>
        <v>0.37079513080359361</v>
      </c>
      <c r="G17" s="12">
        <f t="shared" si="7"/>
        <v>0.38017647102395025</v>
      </c>
      <c r="H17" s="12">
        <f t="shared" si="7"/>
        <v>0.39057790145400245</v>
      </c>
      <c r="I17" s="12">
        <f t="shared" si="7"/>
        <v>0.40070943736193454</v>
      </c>
      <c r="J17" s="12">
        <f t="shared" si="7"/>
        <v>0.41088028087608158</v>
      </c>
      <c r="K17" s="12">
        <f t="shared" si="7"/>
        <v>0.42187579601669706</v>
      </c>
      <c r="L17" s="12">
        <f t="shared" si="7"/>
        <v>0.43242376926314191</v>
      </c>
      <c r="M17" s="12">
        <f t="shared" si="7"/>
        <v>0.4443367684162795</v>
      </c>
      <c r="N17" s="12">
        <f t="shared" si="7"/>
        <v>0.45620616022653859</v>
      </c>
      <c r="O17" s="12">
        <f t="shared" si="7"/>
        <v>0.46779736391983234</v>
      </c>
      <c r="P17" s="12">
        <f t="shared" si="7"/>
        <v>0.48068415352362043</v>
      </c>
      <c r="Q17" s="12">
        <f t="shared" si="7"/>
        <v>0.49469207459371284</v>
      </c>
      <c r="R17" s="12">
        <f t="shared" si="7"/>
        <v>0.50710882382281752</v>
      </c>
      <c r="S17" s="12">
        <f t="shared" si="7"/>
        <v>0.5199570142936728</v>
      </c>
      <c r="T17" s="12">
        <f t="shared" si="7"/>
        <v>0.53378051987740815</v>
      </c>
      <c r="U17" s="12">
        <f t="shared" si="7"/>
        <v>0.55004888249526407</v>
      </c>
      <c r="V17" s="13">
        <f t="shared" si="7"/>
        <v>0.56502248086530005</v>
      </c>
    </row>
    <row r="18" spans="1:22" x14ac:dyDescent="0.3">
      <c r="A18" s="8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10"/>
    </row>
    <row r="19" spans="1:22" ht="16.2" thickBot="1" x14ac:dyDescent="0.35">
      <c r="A19" s="18" t="s">
        <v>7</v>
      </c>
      <c r="B19" s="19"/>
      <c r="C19" s="19">
        <v>8.1836544437538836E-2</v>
      </c>
      <c r="D19" s="19">
        <v>8.0207997203231809E-2</v>
      </c>
      <c r="E19" s="19">
        <v>7.8611858058887499E-2</v>
      </c>
      <c r="F19" s="19">
        <v>7.7047482083515639E-2</v>
      </c>
      <c r="G19" s="19">
        <v>7.5514237190053679E-2</v>
      </c>
      <c r="H19" s="19">
        <v>7.4011503869971615E-2</v>
      </c>
      <c r="I19" s="19">
        <v>7.253867494295918E-2</v>
      </c>
      <c r="J19" s="19">
        <v>7.1095155311594285E-2</v>
      </c>
      <c r="K19" s="19">
        <v>6.9680361720893563E-2</v>
      </c>
      <c r="L19" s="19">
        <v>6.8293722522647773E-2</v>
      </c>
      <c r="M19" s="19">
        <v>6.6934677444447074E-2</v>
      </c>
      <c r="N19" s="19">
        <v>6.5602677363302581E-2</v>
      </c>
      <c r="O19" s="19">
        <v>6.4297184083772857E-2</v>
      </c>
      <c r="P19" s="19">
        <v>6.301767012050577E-2</v>
      </c>
      <c r="Q19" s="19">
        <v>6.1763618485107703E-2</v>
      </c>
      <c r="R19" s="19">
        <v>6.0534522477254056E-2</v>
      </c>
      <c r="S19" s="19">
        <v>5.9329885479956698E-2</v>
      </c>
      <c r="T19" s="19">
        <v>5.8149220758905558E-2</v>
      </c>
      <c r="U19" s="19">
        <v>5.6992051265803333E-2</v>
      </c>
      <c r="V19" s="20">
        <v>5.5857909445613842E-2</v>
      </c>
    </row>
    <row r="21" spans="1:22" x14ac:dyDescent="0.3">
      <c r="L21" s="7" t="s">
        <v>48</v>
      </c>
    </row>
    <row r="22" spans="1:22" x14ac:dyDescent="0.3">
      <c r="M22" s="7">
        <f>3.84*365*2</f>
        <v>2803.2</v>
      </c>
    </row>
    <row r="23" spans="1:22" x14ac:dyDescent="0.3">
      <c r="M23" s="7">
        <f>M22-100</f>
        <v>2703.2</v>
      </c>
    </row>
    <row r="24" spans="1:22" x14ac:dyDescent="0.3">
      <c r="M24" s="7">
        <f t="shared" ref="M24:M41" si="8">M23-100</f>
        <v>2603.1999999999998</v>
      </c>
    </row>
    <row r="25" spans="1:22" x14ac:dyDescent="0.3">
      <c r="M25" s="7">
        <f t="shared" si="8"/>
        <v>2503.1999999999998</v>
      </c>
    </row>
    <row r="26" spans="1:22" x14ac:dyDescent="0.3">
      <c r="M26" s="7">
        <f t="shared" si="8"/>
        <v>2403.1999999999998</v>
      </c>
    </row>
    <row r="27" spans="1:22" x14ac:dyDescent="0.3">
      <c r="M27" s="7">
        <f t="shared" si="8"/>
        <v>2303.1999999999998</v>
      </c>
    </row>
    <row r="28" spans="1:22" x14ac:dyDescent="0.3">
      <c r="M28" s="7">
        <f t="shared" si="8"/>
        <v>2203.1999999999998</v>
      </c>
    </row>
    <row r="29" spans="1:22" x14ac:dyDescent="0.3">
      <c r="M29" s="7">
        <f t="shared" si="8"/>
        <v>2103.1999999999998</v>
      </c>
    </row>
    <row r="30" spans="1:22" x14ac:dyDescent="0.3">
      <c r="M30" s="7">
        <f t="shared" si="8"/>
        <v>2003.1999999999998</v>
      </c>
    </row>
    <row r="31" spans="1:22" x14ac:dyDescent="0.3">
      <c r="M31" s="7">
        <f t="shared" si="8"/>
        <v>1903.1999999999998</v>
      </c>
    </row>
    <row r="32" spans="1:22" x14ac:dyDescent="0.3">
      <c r="M32" s="7">
        <f t="shared" si="8"/>
        <v>1803.1999999999998</v>
      </c>
    </row>
    <row r="33" spans="13:13" x14ac:dyDescent="0.3">
      <c r="M33" s="7">
        <f t="shared" si="8"/>
        <v>1703.1999999999998</v>
      </c>
    </row>
    <row r="34" spans="13:13" x14ac:dyDescent="0.3">
      <c r="M34" s="7">
        <f t="shared" si="8"/>
        <v>1603.1999999999998</v>
      </c>
    </row>
    <row r="35" spans="13:13" x14ac:dyDescent="0.3">
      <c r="M35" s="7">
        <f t="shared" si="8"/>
        <v>1503.1999999999998</v>
      </c>
    </row>
    <row r="36" spans="13:13" x14ac:dyDescent="0.3">
      <c r="M36" s="7">
        <f t="shared" si="8"/>
        <v>1403.1999999999998</v>
      </c>
    </row>
    <row r="37" spans="13:13" x14ac:dyDescent="0.3">
      <c r="M37" s="7">
        <f t="shared" si="8"/>
        <v>1303.1999999999998</v>
      </c>
    </row>
    <row r="38" spans="13:13" x14ac:dyDescent="0.3">
      <c r="M38" s="7">
        <f t="shared" si="8"/>
        <v>1203.1999999999998</v>
      </c>
    </row>
    <row r="39" spans="13:13" x14ac:dyDescent="0.3">
      <c r="M39" s="7">
        <f>M38-100</f>
        <v>1103.1999999999998</v>
      </c>
    </row>
    <row r="40" spans="13:13" x14ac:dyDescent="0.3">
      <c r="M40" s="7">
        <f t="shared" si="8"/>
        <v>1003.1999999999998</v>
      </c>
    </row>
    <row r="41" spans="13:13" x14ac:dyDescent="0.3">
      <c r="M41" s="7">
        <f t="shared" si="8"/>
        <v>903.19999999999982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C2EC-C4AB-491E-8C1B-12AD8CA03726}">
  <sheetPr codeName="Tabelle10"/>
  <dimension ref="A1:W41"/>
  <sheetViews>
    <sheetView topLeftCell="B1" zoomScale="70" zoomScaleNormal="70" workbookViewId="0">
      <selection activeCell="M41" sqref="M41"/>
    </sheetView>
  </sheetViews>
  <sheetFormatPr baseColWidth="10" defaultColWidth="11.44140625" defaultRowHeight="15.6" x14ac:dyDescent="0.3"/>
  <cols>
    <col min="1" max="1" width="64.33203125" style="7" bestFit="1" customWidth="1"/>
    <col min="2" max="2" width="14.44140625" style="7" bestFit="1" customWidth="1"/>
    <col min="3" max="11" width="13.5546875" style="7" bestFit="1" customWidth="1"/>
    <col min="12" max="12" width="13.6640625" style="7" customWidth="1"/>
    <col min="13" max="13" width="13.5546875" style="7" bestFit="1" customWidth="1"/>
    <col min="14" max="14" width="15.44140625" style="7" customWidth="1"/>
    <col min="15" max="22" width="13.5546875" style="7" bestFit="1" customWidth="1"/>
    <col min="23" max="16384" width="11.44140625" style="7"/>
  </cols>
  <sheetData>
    <row r="1" spans="1:23" x14ac:dyDescent="0.3">
      <c r="A1" s="22" t="s">
        <v>13</v>
      </c>
      <c r="B1" s="22" t="s">
        <v>14</v>
      </c>
      <c r="C1" s="22" t="s">
        <v>15</v>
      </c>
      <c r="D1" s="22" t="s">
        <v>16</v>
      </c>
      <c r="E1" s="22" t="s">
        <v>17</v>
      </c>
      <c r="F1" s="22" t="s">
        <v>18</v>
      </c>
      <c r="G1" s="22" t="s">
        <v>19</v>
      </c>
      <c r="H1" s="22" t="s">
        <v>20</v>
      </c>
      <c r="I1" s="22" t="s">
        <v>21</v>
      </c>
      <c r="J1" s="22" t="s">
        <v>22</v>
      </c>
      <c r="K1" s="22" t="s">
        <v>23</v>
      </c>
      <c r="L1" s="22" t="s">
        <v>24</v>
      </c>
      <c r="M1" s="22" t="s">
        <v>25</v>
      </c>
      <c r="N1" s="22" t="s">
        <v>26</v>
      </c>
      <c r="O1" s="22" t="s">
        <v>27</v>
      </c>
      <c r="P1" s="22" t="s">
        <v>28</v>
      </c>
      <c r="Q1" s="22" t="s">
        <v>29</v>
      </c>
      <c r="R1" s="22" t="s">
        <v>30</v>
      </c>
      <c r="S1" s="22" t="s">
        <v>31</v>
      </c>
      <c r="T1" s="22" t="s">
        <v>32</v>
      </c>
      <c r="U1" s="22" t="s">
        <v>33</v>
      </c>
      <c r="V1" s="22" t="s">
        <v>34</v>
      </c>
    </row>
    <row r="2" spans="1:23" x14ac:dyDescent="0.3">
      <c r="A2" s="16" t="s">
        <v>36</v>
      </c>
      <c r="B2" s="16"/>
      <c r="C2" s="16">
        <f t="shared" ref="C2:V2" si="0">C19*C14</f>
        <v>90.282075823492832</v>
      </c>
      <c r="D2" s="16">
        <f t="shared" si="0"/>
        <v>88.043035202032286</v>
      </c>
      <c r="E2" s="16">
        <f t="shared" si="0"/>
        <v>85.859523907504297</v>
      </c>
      <c r="F2" s="16">
        <f t="shared" si="0"/>
        <v>83.730164784836234</v>
      </c>
      <c r="G2" s="16">
        <f t="shared" si="0"/>
        <v>81.65361483308989</v>
      </c>
      <c r="H2" s="16">
        <f t="shared" si="0"/>
        <v>79.628564358421855</v>
      </c>
      <c r="I2" s="16">
        <f t="shared" si="0"/>
        <v>77.653736148050811</v>
      </c>
      <c r="J2" s="16">
        <f t="shared" si="0"/>
        <v>75.72788466471107</v>
      </c>
      <c r="K2" s="16">
        <f t="shared" si="0"/>
        <v>73.849795261083898</v>
      </c>
      <c r="L2" s="16">
        <f t="shared" si="0"/>
        <v>72.018283413711387</v>
      </c>
      <c r="M2" s="16">
        <f t="shared" si="0"/>
        <v>70.232193975909624</v>
      </c>
      <c r="N2" s="16">
        <f t="shared" si="0"/>
        <v>68.490400449210085</v>
      </c>
      <c r="O2" s="16">
        <f t="shared" si="0"/>
        <v>66.791804272869456</v>
      </c>
      <c r="P2" s="16">
        <f t="shared" si="0"/>
        <v>65.13533413100015</v>
      </c>
      <c r="Q2" s="16">
        <f t="shared" si="0"/>
        <v>63.519945276884279</v>
      </c>
      <c r="R2" s="16">
        <f t="shared" si="0"/>
        <v>61.944618874044906</v>
      </c>
      <c r="S2" s="16">
        <f t="shared" si="0"/>
        <v>60.408361353659153</v>
      </c>
      <c r="T2" s="16">
        <f t="shared" si="0"/>
        <v>58.910203787907726</v>
      </c>
      <c r="U2" s="16">
        <f t="shared" si="0"/>
        <v>57.449201278865722</v>
      </c>
      <c r="V2" s="16">
        <f t="shared" si="0"/>
        <v>56.024432362549206</v>
      </c>
    </row>
    <row r="3" spans="1:23" x14ac:dyDescent="0.3">
      <c r="A3" s="17" t="s">
        <v>44</v>
      </c>
      <c r="B3" s="17"/>
      <c r="C3" s="17">
        <f t="shared" ref="C3:V3" si="1">C17*C14</f>
        <v>378.9894980153249</v>
      </c>
      <c r="D3" s="17">
        <f t="shared" si="1"/>
        <v>387.69732053892193</v>
      </c>
      <c r="E3" s="17">
        <f t="shared" si="1"/>
        <v>394.71992044177307</v>
      </c>
      <c r="F3" s="17">
        <f t="shared" si="1"/>
        <v>402.95589893446072</v>
      </c>
      <c r="G3" s="17">
        <f t="shared" si="1"/>
        <v>411.08517133616465</v>
      </c>
      <c r="H3" s="17">
        <f t="shared" si="1"/>
        <v>420.22058648541969</v>
      </c>
      <c r="I3" s="17">
        <f t="shared" si="1"/>
        <v>428.96544423241949</v>
      </c>
      <c r="J3" s="17">
        <f t="shared" si="1"/>
        <v>437.65421687057915</v>
      </c>
      <c r="K3" s="17">
        <f t="shared" si="1"/>
        <v>447.11939479065529</v>
      </c>
      <c r="L3" s="17">
        <f t="shared" si="1"/>
        <v>456.00702991831713</v>
      </c>
      <c r="M3" s="17">
        <f t="shared" si="1"/>
        <v>466.22688420275495</v>
      </c>
      <c r="N3" s="17">
        <f t="shared" si="1"/>
        <v>476.28761290146144</v>
      </c>
      <c r="O3" s="17">
        <f t="shared" si="1"/>
        <v>485.94709730349228</v>
      </c>
      <c r="P3" s="17">
        <f t="shared" si="1"/>
        <v>496.83720282527486</v>
      </c>
      <c r="Q3" s="17">
        <f t="shared" si="1"/>
        <v>508.75927087525787</v>
      </c>
      <c r="R3" s="17">
        <f t="shared" si="1"/>
        <v>518.92146057934087</v>
      </c>
      <c r="S3" s="17">
        <f t="shared" si="1"/>
        <v>529.40859321956725</v>
      </c>
      <c r="T3" s="17">
        <f t="shared" si="1"/>
        <v>540.7659602932448</v>
      </c>
      <c r="U3" s="17">
        <f t="shared" si="1"/>
        <v>554.46098643314326</v>
      </c>
      <c r="V3" s="17">
        <f t="shared" si="1"/>
        <v>566.7069189794646</v>
      </c>
    </row>
    <row r="4" spans="1:23" x14ac:dyDescent="0.3">
      <c r="A4" s="17" t="s">
        <v>37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>
        <f>0.45*B7*(-1)</f>
        <v>-2430.678082191781</v>
      </c>
      <c r="M4" s="17"/>
      <c r="N4" s="17"/>
      <c r="O4" s="17"/>
      <c r="P4" s="17"/>
      <c r="Q4" s="17"/>
      <c r="R4" s="17"/>
      <c r="S4" s="17"/>
      <c r="T4" s="17"/>
      <c r="U4" s="17"/>
      <c r="V4" s="17"/>
    </row>
    <row r="5" spans="1:23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</row>
    <row r="6" spans="1:23" x14ac:dyDescent="0.3">
      <c r="A6" s="17" t="s">
        <v>49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</row>
    <row r="7" spans="1:23" x14ac:dyDescent="0.3">
      <c r="A7" s="17" t="s">
        <v>38</v>
      </c>
      <c r="B7" s="17">
        <f>-SUM(C8:V8)</f>
        <v>5401.5068493150684</v>
      </c>
      <c r="C7" s="17" t="s">
        <v>35</v>
      </c>
      <c r="D7" s="17" t="s">
        <v>35</v>
      </c>
      <c r="E7" s="17" t="s">
        <v>35</v>
      </c>
      <c r="F7" s="17" t="s">
        <v>35</v>
      </c>
      <c r="G7" s="17" t="s">
        <v>35</v>
      </c>
      <c r="H7" s="17" t="s">
        <v>35</v>
      </c>
      <c r="I7" s="17" t="s">
        <v>35</v>
      </c>
      <c r="J7" s="17" t="s">
        <v>35</v>
      </c>
      <c r="K7" s="17" t="s">
        <v>35</v>
      </c>
      <c r="L7" s="17" t="s">
        <v>35</v>
      </c>
      <c r="M7" s="17" t="s">
        <v>35</v>
      </c>
      <c r="N7" s="17" t="s">
        <v>35</v>
      </c>
      <c r="O7" s="17" t="s">
        <v>35</v>
      </c>
      <c r="P7" s="17" t="s">
        <v>35</v>
      </c>
      <c r="Q7" s="17" t="s">
        <v>35</v>
      </c>
      <c r="R7" s="17" t="s">
        <v>35</v>
      </c>
      <c r="S7" s="17" t="s">
        <v>35</v>
      </c>
      <c r="T7" s="17" t="s">
        <v>35</v>
      </c>
      <c r="U7" s="17" t="s">
        <v>35</v>
      </c>
      <c r="V7" s="17" t="s">
        <v>35</v>
      </c>
    </row>
    <row r="8" spans="1:23" x14ac:dyDescent="0.3">
      <c r="A8" s="17" t="s">
        <v>2</v>
      </c>
      <c r="B8" s="17"/>
      <c r="C8" s="12">
        <v>0</v>
      </c>
      <c r="D8" s="12">
        <v>0</v>
      </c>
      <c r="E8" s="12">
        <v>0</v>
      </c>
      <c r="F8" s="12">
        <v>-317.73569701853341</v>
      </c>
      <c r="G8" s="12">
        <v>-317.73569701853341</v>
      </c>
      <c r="H8" s="12">
        <v>-317.73569701853341</v>
      </c>
      <c r="I8" s="12">
        <v>-317.73569701853341</v>
      </c>
      <c r="J8" s="12">
        <v>-317.73569701853341</v>
      </c>
      <c r="K8" s="12">
        <v>-317.73569701853341</v>
      </c>
      <c r="L8" s="12">
        <v>-317.73569701853341</v>
      </c>
      <c r="M8" s="12">
        <v>-317.73569701853341</v>
      </c>
      <c r="N8" s="12">
        <v>-317.73569701853341</v>
      </c>
      <c r="O8" s="12">
        <v>-317.73569701853341</v>
      </c>
      <c r="P8" s="12">
        <v>-317.73569701853341</v>
      </c>
      <c r="Q8" s="12">
        <v>-317.73569701853341</v>
      </c>
      <c r="R8" s="12">
        <v>-317.73569701853341</v>
      </c>
      <c r="S8" s="12">
        <v>-317.73569701853341</v>
      </c>
      <c r="T8" s="12">
        <v>-317.73569701853341</v>
      </c>
      <c r="U8" s="12">
        <v>-317.73569701853341</v>
      </c>
      <c r="V8" s="12">
        <v>-317.73569701853341</v>
      </c>
    </row>
    <row r="9" spans="1:23" x14ac:dyDescent="0.3">
      <c r="A9" s="17" t="s">
        <v>39</v>
      </c>
      <c r="B9" s="17"/>
      <c r="C9" s="12">
        <v>-290.60106849315071</v>
      </c>
      <c r="D9" s="12">
        <v>-290.60106849315071</v>
      </c>
      <c r="E9" s="12">
        <v>-290.60106849315071</v>
      </c>
      <c r="F9" s="12">
        <v>-284.19075080580183</v>
      </c>
      <c r="G9" s="12">
        <v>-267.0965703062048</v>
      </c>
      <c r="H9" s="12">
        <v>-250.00238980660777</v>
      </c>
      <c r="I9" s="12">
        <v>-232.90820930701074</v>
      </c>
      <c r="J9" s="12">
        <v>-215.81402880741371</v>
      </c>
      <c r="K9" s="12">
        <v>-198.71984830781656</v>
      </c>
      <c r="L9" s="12">
        <v>-181.62566780821945</v>
      </c>
      <c r="M9" s="12">
        <v>-164.53148730862233</v>
      </c>
      <c r="N9" s="12">
        <v>-147.43730680902524</v>
      </c>
      <c r="O9" s="12">
        <v>-130.3431263094281</v>
      </c>
      <c r="P9" s="12">
        <v>-113.24894580983099</v>
      </c>
      <c r="Q9" s="12">
        <v>-96.15476531023387</v>
      </c>
      <c r="R9" s="12">
        <v>-79.060584810636755</v>
      </c>
      <c r="S9" s="12">
        <v>-61.966404311039646</v>
      </c>
      <c r="T9" s="12">
        <v>-44.872223811442538</v>
      </c>
      <c r="U9" s="12">
        <v>-27.778043311845451</v>
      </c>
      <c r="V9" s="12">
        <v>-10.683862812248357</v>
      </c>
    </row>
    <row r="10" spans="1:23" x14ac:dyDescent="0.3">
      <c r="A10" s="2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</row>
    <row r="11" spans="1:23" x14ac:dyDescent="0.3">
      <c r="A11" s="21" t="s">
        <v>45</v>
      </c>
      <c r="B11" s="15">
        <f>B2</f>
        <v>0</v>
      </c>
      <c r="C11" s="15">
        <f>C2</f>
        <v>90.282075823492832</v>
      </c>
      <c r="D11" s="15">
        <f t="shared" ref="D11:V11" si="2">D2+C11</f>
        <v>178.32511102552513</v>
      </c>
      <c r="E11" s="15">
        <f t="shared" si="2"/>
        <v>264.18463493302943</v>
      </c>
      <c r="F11" s="15">
        <f t="shared" si="2"/>
        <v>347.91479971786566</v>
      </c>
      <c r="G11" s="15">
        <f t="shared" si="2"/>
        <v>429.56841455095554</v>
      </c>
      <c r="H11" s="15">
        <f t="shared" si="2"/>
        <v>509.19697890937738</v>
      </c>
      <c r="I11" s="15">
        <f t="shared" si="2"/>
        <v>586.85071505742815</v>
      </c>
      <c r="J11" s="15">
        <f t="shared" si="2"/>
        <v>662.57859972213919</v>
      </c>
      <c r="K11" s="15">
        <f t="shared" si="2"/>
        <v>736.42839498322314</v>
      </c>
      <c r="L11" s="15">
        <f t="shared" si="2"/>
        <v>808.44667839693454</v>
      </c>
      <c r="M11" s="15">
        <f t="shared" si="2"/>
        <v>878.67887237284413</v>
      </c>
      <c r="N11" s="15">
        <f t="shared" si="2"/>
        <v>947.16927282205415</v>
      </c>
      <c r="O11" s="15">
        <f t="shared" si="2"/>
        <v>1013.9610770949237</v>
      </c>
      <c r="P11" s="15">
        <f t="shared" si="2"/>
        <v>1079.0964112259239</v>
      </c>
      <c r="Q11" s="15">
        <f t="shared" si="2"/>
        <v>1142.6163565028082</v>
      </c>
      <c r="R11" s="15">
        <f t="shared" si="2"/>
        <v>1204.5609753768531</v>
      </c>
      <c r="S11" s="15">
        <f t="shared" si="2"/>
        <v>1264.9693367305122</v>
      </c>
      <c r="T11" s="15">
        <f t="shared" si="2"/>
        <v>1323.8795405184198</v>
      </c>
      <c r="U11" s="15">
        <f t="shared" si="2"/>
        <v>1381.3287417972856</v>
      </c>
      <c r="V11" s="21">
        <f t="shared" si="2"/>
        <v>1437.3531741598349</v>
      </c>
      <c r="W11" s="14"/>
    </row>
    <row r="12" spans="1:23" ht="16.2" thickBot="1" x14ac:dyDescent="0.35">
      <c r="A12" s="23" t="s">
        <v>50</v>
      </c>
      <c r="B12" s="15"/>
      <c r="C12" s="15">
        <f t="shared" ref="C12" si="3">SUM(C3,C4,C9,C8)</f>
        <v>88.388429522174192</v>
      </c>
      <c r="D12" s="15">
        <f>SUM(D3,D4,D9,D8,C12)</f>
        <v>185.48468156794542</v>
      </c>
      <c r="E12" s="15">
        <f t="shared" ref="E12:V12" si="4">SUM(E3,E4,E9,E8,D12)</f>
        <v>289.60353351656778</v>
      </c>
      <c r="F12" s="15">
        <f t="shared" si="4"/>
        <v>90.632984626693258</v>
      </c>
      <c r="G12" s="15">
        <f t="shared" si="4"/>
        <v>-83.114111361880305</v>
      </c>
      <c r="H12" s="15">
        <f t="shared" si="4"/>
        <v>-230.6316117016018</v>
      </c>
      <c r="I12" s="15">
        <f t="shared" si="4"/>
        <v>-352.31007379472646</v>
      </c>
      <c r="J12" s="15">
        <f t="shared" si="4"/>
        <v>-448.20558275009444</v>
      </c>
      <c r="K12" s="15">
        <f t="shared" si="4"/>
        <v>-517.54173328578918</v>
      </c>
      <c r="L12" s="15">
        <f t="shared" si="4"/>
        <v>-2991.5741503860058</v>
      </c>
      <c r="M12" s="15">
        <f t="shared" si="4"/>
        <v>-3007.6144505104066</v>
      </c>
      <c r="N12" s="15">
        <f t="shared" si="4"/>
        <v>-2996.4998414365036</v>
      </c>
      <c r="O12" s="15">
        <f t="shared" si="4"/>
        <v>-2958.6315674609727</v>
      </c>
      <c r="P12" s="15">
        <f t="shared" si="4"/>
        <v>-2892.7790074640625</v>
      </c>
      <c r="Q12" s="15">
        <f t="shared" si="4"/>
        <v>-2797.910198917572</v>
      </c>
      <c r="R12" s="15">
        <f t="shared" si="4"/>
        <v>-2675.7850201674014</v>
      </c>
      <c r="S12" s="15">
        <f t="shared" si="4"/>
        <v>-2526.0785282774073</v>
      </c>
      <c r="T12" s="15">
        <f t="shared" si="4"/>
        <v>-2347.9204888141385</v>
      </c>
      <c r="U12" s="15">
        <f t="shared" si="4"/>
        <v>-2138.973242711374</v>
      </c>
      <c r="V12" s="21">
        <f t="shared" si="4"/>
        <v>-1900.6858835626913</v>
      </c>
      <c r="W12" s="14"/>
    </row>
    <row r="13" spans="1:23" x14ac:dyDescent="0.3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6"/>
    </row>
    <row r="14" spans="1:23" x14ac:dyDescent="0.3">
      <c r="A14" s="11" t="s">
        <v>9</v>
      </c>
      <c r="B14" s="12"/>
      <c r="C14" s="12">
        <f>M39</f>
        <v>1103.1999999999998</v>
      </c>
      <c r="D14" s="12">
        <f>C14*(1-0.005)</f>
        <v>1097.6839999999997</v>
      </c>
      <c r="E14" s="12">
        <f t="shared" ref="E14:V14" si="5">D14*(1-0.005)</f>
        <v>1092.1955799999998</v>
      </c>
      <c r="F14" s="12">
        <f t="shared" si="5"/>
        <v>1086.7346020999998</v>
      </c>
      <c r="G14" s="12">
        <f t="shared" si="5"/>
        <v>1081.3009290894997</v>
      </c>
      <c r="H14" s="12">
        <f t="shared" si="5"/>
        <v>1075.8944244440522</v>
      </c>
      <c r="I14" s="12">
        <f t="shared" si="5"/>
        <v>1070.514952321832</v>
      </c>
      <c r="J14" s="12">
        <f t="shared" si="5"/>
        <v>1065.1623775602227</v>
      </c>
      <c r="K14" s="12">
        <f t="shared" si="5"/>
        <v>1059.8365656724216</v>
      </c>
      <c r="L14" s="12">
        <f t="shared" si="5"/>
        <v>1054.5373828440595</v>
      </c>
      <c r="M14" s="12">
        <f t="shared" si="5"/>
        <v>1049.2646959298393</v>
      </c>
      <c r="N14" s="12">
        <f t="shared" si="5"/>
        <v>1044.0183724501901</v>
      </c>
      <c r="O14" s="12">
        <f t="shared" si="5"/>
        <v>1038.7982805879392</v>
      </c>
      <c r="P14" s="12">
        <f t="shared" si="5"/>
        <v>1033.6042891849995</v>
      </c>
      <c r="Q14" s="12">
        <f t="shared" si="5"/>
        <v>1028.4362677390745</v>
      </c>
      <c r="R14" s="12">
        <f t="shared" si="5"/>
        <v>1023.2940864003791</v>
      </c>
      <c r="S14" s="12">
        <f t="shared" si="5"/>
        <v>1018.1776159683773</v>
      </c>
      <c r="T14" s="12">
        <f t="shared" si="5"/>
        <v>1013.0867278885354</v>
      </c>
      <c r="U14" s="12">
        <f t="shared" si="5"/>
        <v>1008.0212942490928</v>
      </c>
      <c r="V14" s="12">
        <f t="shared" si="5"/>
        <v>1002.9811877778473</v>
      </c>
    </row>
    <row r="15" spans="1:23" x14ac:dyDescent="0.3">
      <c r="A15" s="11" t="s">
        <v>8</v>
      </c>
      <c r="B15" s="12"/>
      <c r="C15" s="12">
        <v>0.42411917073488226</v>
      </c>
      <c r="D15" s="12">
        <v>0.4360441323113049</v>
      </c>
      <c r="E15" s="12">
        <v>0.44617333440891183</v>
      </c>
      <c r="F15" s="12">
        <v>0.4577717664241896</v>
      </c>
      <c r="G15" s="12">
        <v>0.46935366793080274</v>
      </c>
      <c r="H15" s="12">
        <v>0.48219494006666963</v>
      </c>
      <c r="I15" s="12">
        <v>0.49470300908880804</v>
      </c>
      <c r="J15" s="12">
        <v>0.50725960601985376</v>
      </c>
      <c r="K15" s="12">
        <v>0.52083431606999631</v>
      </c>
      <c r="L15" s="12">
        <v>0.5338565052631381</v>
      </c>
      <c r="M15" s="12">
        <v>0.54856391162503637</v>
      </c>
      <c r="N15" s="12">
        <v>0.56321748176115871</v>
      </c>
      <c r="O15" s="12">
        <v>0.57752760977757078</v>
      </c>
      <c r="P15" s="12">
        <v>0.59343722657237086</v>
      </c>
      <c r="Q15" s="12">
        <v>0.61073095628853435</v>
      </c>
      <c r="R15" s="12">
        <v>0.62606027632446604</v>
      </c>
      <c r="S15" s="12">
        <v>0.64192223986873176</v>
      </c>
      <c r="T15" s="12">
        <v>0.65898829614494836</v>
      </c>
      <c r="U15" s="12">
        <v>0.67907269443859763</v>
      </c>
      <c r="V15" s="13">
        <v>0.69755861835222222</v>
      </c>
    </row>
    <row r="16" spans="1:23" x14ac:dyDescent="0.3">
      <c r="A16" s="11" t="s">
        <v>10</v>
      </c>
      <c r="B16" s="12"/>
      <c r="C16" s="12">
        <f>1-0.19</f>
        <v>0.81</v>
      </c>
      <c r="D16" s="12">
        <f t="shared" ref="D16:V16" si="6">1-0.19</f>
        <v>0.81</v>
      </c>
      <c r="E16" s="12">
        <f t="shared" si="6"/>
        <v>0.81</v>
      </c>
      <c r="F16" s="12">
        <f t="shared" si="6"/>
        <v>0.81</v>
      </c>
      <c r="G16" s="12">
        <f t="shared" si="6"/>
        <v>0.81</v>
      </c>
      <c r="H16" s="12">
        <f t="shared" si="6"/>
        <v>0.81</v>
      </c>
      <c r="I16" s="12">
        <f t="shared" si="6"/>
        <v>0.81</v>
      </c>
      <c r="J16" s="12">
        <f t="shared" si="6"/>
        <v>0.81</v>
      </c>
      <c r="K16" s="12">
        <f t="shared" si="6"/>
        <v>0.81</v>
      </c>
      <c r="L16" s="12">
        <f t="shared" si="6"/>
        <v>0.81</v>
      </c>
      <c r="M16" s="12">
        <f t="shared" si="6"/>
        <v>0.81</v>
      </c>
      <c r="N16" s="12">
        <f t="shared" si="6"/>
        <v>0.81</v>
      </c>
      <c r="O16" s="12">
        <f t="shared" si="6"/>
        <v>0.81</v>
      </c>
      <c r="P16" s="12">
        <f t="shared" si="6"/>
        <v>0.81</v>
      </c>
      <c r="Q16" s="12">
        <f t="shared" si="6"/>
        <v>0.81</v>
      </c>
      <c r="R16" s="12">
        <f t="shared" si="6"/>
        <v>0.81</v>
      </c>
      <c r="S16" s="12">
        <f t="shared" si="6"/>
        <v>0.81</v>
      </c>
      <c r="T16" s="12">
        <f t="shared" si="6"/>
        <v>0.81</v>
      </c>
      <c r="U16" s="12">
        <f t="shared" si="6"/>
        <v>0.81</v>
      </c>
      <c r="V16" s="13">
        <f t="shared" si="6"/>
        <v>0.81</v>
      </c>
    </row>
    <row r="17" spans="1:22" x14ac:dyDescent="0.3">
      <c r="A17" s="11" t="s">
        <v>46</v>
      </c>
      <c r="B17" s="12"/>
      <c r="C17" s="12">
        <f>C15*C16</f>
        <v>0.34353652829525466</v>
      </c>
      <c r="D17" s="12">
        <f t="shared" ref="D17:V17" si="7">D15*D16</f>
        <v>0.35319574717215702</v>
      </c>
      <c r="E17" s="12">
        <f t="shared" si="7"/>
        <v>0.36140040087121861</v>
      </c>
      <c r="F17" s="12">
        <f t="shared" si="7"/>
        <v>0.37079513080359361</v>
      </c>
      <c r="G17" s="12">
        <f t="shared" si="7"/>
        <v>0.38017647102395025</v>
      </c>
      <c r="H17" s="12">
        <f t="shared" si="7"/>
        <v>0.39057790145400245</v>
      </c>
      <c r="I17" s="12">
        <f t="shared" si="7"/>
        <v>0.40070943736193454</v>
      </c>
      <c r="J17" s="12">
        <f t="shared" si="7"/>
        <v>0.41088028087608158</v>
      </c>
      <c r="K17" s="12">
        <f t="shared" si="7"/>
        <v>0.42187579601669706</v>
      </c>
      <c r="L17" s="12">
        <f t="shared" si="7"/>
        <v>0.43242376926314191</v>
      </c>
      <c r="M17" s="12">
        <f t="shared" si="7"/>
        <v>0.4443367684162795</v>
      </c>
      <c r="N17" s="12">
        <f t="shared" si="7"/>
        <v>0.45620616022653859</v>
      </c>
      <c r="O17" s="12">
        <f t="shared" si="7"/>
        <v>0.46779736391983234</v>
      </c>
      <c r="P17" s="12">
        <f t="shared" si="7"/>
        <v>0.48068415352362043</v>
      </c>
      <c r="Q17" s="12">
        <f t="shared" si="7"/>
        <v>0.49469207459371284</v>
      </c>
      <c r="R17" s="12">
        <f t="shared" si="7"/>
        <v>0.50710882382281752</v>
      </c>
      <c r="S17" s="12">
        <f t="shared" si="7"/>
        <v>0.5199570142936728</v>
      </c>
      <c r="T17" s="12">
        <f t="shared" si="7"/>
        <v>0.53378051987740815</v>
      </c>
      <c r="U17" s="12">
        <f t="shared" si="7"/>
        <v>0.55004888249526407</v>
      </c>
      <c r="V17" s="13">
        <f t="shared" si="7"/>
        <v>0.56502248086530005</v>
      </c>
    </row>
    <row r="18" spans="1:22" x14ac:dyDescent="0.3">
      <c r="A18" s="8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10"/>
    </row>
    <row r="19" spans="1:22" ht="16.2" thickBot="1" x14ac:dyDescent="0.35">
      <c r="A19" s="18" t="s">
        <v>7</v>
      </c>
      <c r="B19" s="19"/>
      <c r="C19" s="19">
        <v>8.1836544437538836E-2</v>
      </c>
      <c r="D19" s="19">
        <v>8.0207997203231809E-2</v>
      </c>
      <c r="E19" s="19">
        <v>7.8611858058887499E-2</v>
      </c>
      <c r="F19" s="19">
        <v>7.7047482083515639E-2</v>
      </c>
      <c r="G19" s="19">
        <v>7.5514237190053679E-2</v>
      </c>
      <c r="H19" s="19">
        <v>7.4011503869971615E-2</v>
      </c>
      <c r="I19" s="19">
        <v>7.253867494295918E-2</v>
      </c>
      <c r="J19" s="19">
        <v>7.1095155311594285E-2</v>
      </c>
      <c r="K19" s="19">
        <v>6.9680361720893563E-2</v>
      </c>
      <c r="L19" s="19">
        <v>6.8293722522647773E-2</v>
      </c>
      <c r="M19" s="19">
        <v>6.6934677444447074E-2</v>
      </c>
      <c r="N19" s="19">
        <v>6.5602677363302581E-2</v>
      </c>
      <c r="O19" s="19">
        <v>6.4297184083772857E-2</v>
      </c>
      <c r="P19" s="19">
        <v>6.301767012050577E-2</v>
      </c>
      <c r="Q19" s="19">
        <v>6.1763618485107703E-2</v>
      </c>
      <c r="R19" s="19">
        <v>6.0534522477254056E-2</v>
      </c>
      <c r="S19" s="19">
        <v>5.9329885479956698E-2</v>
      </c>
      <c r="T19" s="19">
        <v>5.8149220758905558E-2</v>
      </c>
      <c r="U19" s="19">
        <v>5.6992051265803333E-2</v>
      </c>
      <c r="V19" s="20">
        <v>5.5857909445613842E-2</v>
      </c>
    </row>
    <row r="21" spans="1:22" x14ac:dyDescent="0.3">
      <c r="L21" s="7" t="s">
        <v>48</v>
      </c>
    </row>
    <row r="22" spans="1:22" x14ac:dyDescent="0.3">
      <c r="M22" s="7">
        <f>3.84*365*2</f>
        <v>2803.2</v>
      </c>
    </row>
    <row r="23" spans="1:22" x14ac:dyDescent="0.3">
      <c r="M23" s="7">
        <f>M22-100</f>
        <v>2703.2</v>
      </c>
    </row>
    <row r="24" spans="1:22" x14ac:dyDescent="0.3">
      <c r="M24" s="7">
        <f t="shared" ref="M24:M41" si="8">M23-100</f>
        <v>2603.1999999999998</v>
      </c>
    </row>
    <row r="25" spans="1:22" x14ac:dyDescent="0.3">
      <c r="M25" s="7">
        <f t="shared" si="8"/>
        <v>2503.1999999999998</v>
      </c>
    </row>
    <row r="26" spans="1:22" x14ac:dyDescent="0.3">
      <c r="M26" s="7">
        <f t="shared" si="8"/>
        <v>2403.1999999999998</v>
      </c>
    </row>
    <row r="27" spans="1:22" x14ac:dyDescent="0.3">
      <c r="M27" s="7">
        <f t="shared" si="8"/>
        <v>2303.1999999999998</v>
      </c>
    </row>
    <row r="28" spans="1:22" x14ac:dyDescent="0.3">
      <c r="M28" s="7">
        <f t="shared" si="8"/>
        <v>2203.1999999999998</v>
      </c>
    </row>
    <row r="29" spans="1:22" x14ac:dyDescent="0.3">
      <c r="M29" s="7">
        <f t="shared" si="8"/>
        <v>2103.1999999999998</v>
      </c>
    </row>
    <row r="30" spans="1:22" x14ac:dyDescent="0.3">
      <c r="M30" s="7">
        <f t="shared" si="8"/>
        <v>2003.1999999999998</v>
      </c>
    </row>
    <row r="31" spans="1:22" x14ac:dyDescent="0.3">
      <c r="M31" s="7">
        <f t="shared" si="8"/>
        <v>1903.1999999999998</v>
      </c>
    </row>
    <row r="32" spans="1:22" x14ac:dyDescent="0.3">
      <c r="M32" s="7">
        <f t="shared" si="8"/>
        <v>1803.1999999999998</v>
      </c>
    </row>
    <row r="33" spans="13:13" x14ac:dyDescent="0.3">
      <c r="M33" s="7">
        <f t="shared" si="8"/>
        <v>1703.1999999999998</v>
      </c>
    </row>
    <row r="34" spans="13:13" x14ac:dyDescent="0.3">
      <c r="M34" s="7">
        <f t="shared" si="8"/>
        <v>1603.1999999999998</v>
      </c>
    </row>
    <row r="35" spans="13:13" x14ac:dyDescent="0.3">
      <c r="M35" s="7">
        <f t="shared" si="8"/>
        <v>1503.1999999999998</v>
      </c>
    </row>
    <row r="36" spans="13:13" x14ac:dyDescent="0.3">
      <c r="M36" s="7">
        <f t="shared" si="8"/>
        <v>1403.1999999999998</v>
      </c>
    </row>
    <row r="37" spans="13:13" x14ac:dyDescent="0.3">
      <c r="M37" s="7">
        <f t="shared" si="8"/>
        <v>1303.1999999999998</v>
      </c>
    </row>
    <row r="38" spans="13:13" x14ac:dyDescent="0.3">
      <c r="M38" s="7">
        <f t="shared" si="8"/>
        <v>1203.1999999999998</v>
      </c>
    </row>
    <row r="39" spans="13:13" x14ac:dyDescent="0.3">
      <c r="M39" s="7">
        <f>M38-100</f>
        <v>1103.1999999999998</v>
      </c>
    </row>
    <row r="40" spans="13:13" x14ac:dyDescent="0.3">
      <c r="M40" s="7">
        <f t="shared" si="8"/>
        <v>1003.1999999999998</v>
      </c>
    </row>
    <row r="41" spans="13:13" x14ac:dyDescent="0.3">
      <c r="M41" s="7">
        <f t="shared" si="8"/>
        <v>903.19999999999982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37AB0-7007-40D7-B55B-0899B8D218DC}">
  <sheetPr codeName="Tabelle14"/>
  <dimension ref="A1:W136"/>
  <sheetViews>
    <sheetView topLeftCell="H1" zoomScale="85" zoomScaleNormal="85" workbookViewId="0">
      <selection activeCell="C69" sqref="C69"/>
    </sheetView>
  </sheetViews>
  <sheetFormatPr baseColWidth="10" defaultColWidth="11.44140625" defaultRowHeight="15.6" x14ac:dyDescent="0.3"/>
  <cols>
    <col min="1" max="1" width="81.44140625" style="7" bestFit="1" customWidth="1"/>
    <col min="2" max="2" width="13.44140625" style="7" bestFit="1" customWidth="1"/>
    <col min="3" max="16" width="16" style="7" bestFit="1" customWidth="1"/>
    <col min="17" max="17" width="16" style="7" customWidth="1"/>
    <col min="18" max="21" width="16" style="7" bestFit="1" customWidth="1"/>
    <col min="22" max="22" width="17" style="7" bestFit="1" customWidth="1"/>
    <col min="23" max="16384" width="11.44140625" style="7"/>
  </cols>
  <sheetData>
    <row r="1" spans="1:23" x14ac:dyDescent="0.3">
      <c r="A1" s="22" t="s">
        <v>13</v>
      </c>
      <c r="B1" s="22" t="s">
        <v>14</v>
      </c>
      <c r="C1" s="22" t="s">
        <v>15</v>
      </c>
      <c r="D1" s="22" t="s">
        <v>16</v>
      </c>
      <c r="E1" s="22" t="s">
        <v>17</v>
      </c>
      <c r="F1" s="22" t="s">
        <v>18</v>
      </c>
      <c r="G1" s="22" t="s">
        <v>19</v>
      </c>
      <c r="H1" s="22" t="s">
        <v>20</v>
      </c>
      <c r="I1" s="22" t="s">
        <v>21</v>
      </c>
      <c r="J1" s="22" t="s">
        <v>22</v>
      </c>
      <c r="K1" s="22" t="s">
        <v>23</v>
      </c>
      <c r="L1" s="22" t="s">
        <v>24</v>
      </c>
      <c r="M1" s="22" t="s">
        <v>25</v>
      </c>
      <c r="N1" s="22" t="s">
        <v>26</v>
      </c>
      <c r="O1" s="22" t="s">
        <v>27</v>
      </c>
      <c r="P1" s="22" t="s">
        <v>28</v>
      </c>
      <c r="Q1" s="22" t="s">
        <v>29</v>
      </c>
      <c r="R1" s="22" t="s">
        <v>30</v>
      </c>
      <c r="S1" s="22" t="s">
        <v>31</v>
      </c>
      <c r="T1" s="22" t="s">
        <v>32</v>
      </c>
      <c r="U1" s="22" t="s">
        <v>33</v>
      </c>
      <c r="V1" s="22" t="s">
        <v>34</v>
      </c>
    </row>
    <row r="2" spans="1:23" x14ac:dyDescent="0.3">
      <c r="A2" s="16" t="s">
        <v>36</v>
      </c>
      <c r="B2" s="16"/>
      <c r="C2" s="24">
        <f t="shared" ref="C2:V2" si="0">C64*C58</f>
        <v>229.40420136730884</v>
      </c>
      <c r="D2" s="24">
        <f t="shared" si="0"/>
        <v>223.71486247129889</v>
      </c>
      <c r="E2" s="24">
        <f t="shared" si="0"/>
        <v>218.16662202457945</v>
      </c>
      <c r="F2" s="24">
        <f t="shared" si="0"/>
        <v>212.75598071505888</v>
      </c>
      <c r="G2" s="24">
        <f t="shared" si="0"/>
        <v>207.47952601533507</v>
      </c>
      <c r="H2" s="24">
        <f t="shared" si="0"/>
        <v>202.33393003039177</v>
      </c>
      <c r="I2" s="24">
        <f t="shared" si="0"/>
        <v>197.31594739867305</v>
      </c>
      <c r="J2" s="24">
        <f t="shared" si="0"/>
        <v>192.42241324521223</v>
      </c>
      <c r="K2" s="24">
        <f t="shared" si="0"/>
        <v>187.65024118552438</v>
      </c>
      <c r="L2" s="24">
        <f t="shared" si="0"/>
        <v>182.99642137900275</v>
      </c>
      <c r="M2" s="24">
        <f t="shared" si="0"/>
        <v>178.45801863059276</v>
      </c>
      <c r="N2" s="24">
        <f t="shared" si="0"/>
        <v>174.03217053954478</v>
      </c>
      <c r="O2" s="24">
        <f t="shared" si="0"/>
        <v>169.71608569407877</v>
      </c>
      <c r="P2" s="24">
        <f t="shared" si="0"/>
        <v>165.50704191082275</v>
      </c>
      <c r="Q2" s="24">
        <f t="shared" si="0"/>
        <v>161.40238451791339</v>
      </c>
      <c r="R2" s="24">
        <f t="shared" si="0"/>
        <v>157.39952468067688</v>
      </c>
      <c r="S2" s="24">
        <f t="shared" si="0"/>
        <v>153.49593776883376</v>
      </c>
      <c r="T2" s="24">
        <f t="shared" si="0"/>
        <v>149.68916176419776</v>
      </c>
      <c r="U2" s="24">
        <f t="shared" si="0"/>
        <v>145.97679570786477</v>
      </c>
      <c r="V2" s="24">
        <f t="shared" si="0"/>
        <v>142.35649818591187</v>
      </c>
    </row>
    <row r="3" spans="1:23" x14ac:dyDescent="0.3">
      <c r="A3" s="17" t="s">
        <v>52</v>
      </c>
      <c r="B3" s="17"/>
      <c r="C3" s="17">
        <f>C60*C59</f>
        <v>1129.4463164338206</v>
      </c>
      <c r="D3" s="17">
        <f t="shared" ref="D3:V3" si="1">D60*D59</f>
        <v>1155.3969512797457</v>
      </c>
      <c r="E3" s="17">
        <f t="shared" si="1"/>
        <v>1176.3253665355769</v>
      </c>
      <c r="F3" s="17">
        <f t="shared" si="1"/>
        <v>1200.8698344416985</v>
      </c>
      <c r="G3" s="17">
        <f t="shared" si="1"/>
        <v>1225.0963019756891</v>
      </c>
      <c r="H3" s="17">
        <f t="shared" si="1"/>
        <v>1252.3212278468609</v>
      </c>
      <c r="I3" s="17">
        <f t="shared" si="1"/>
        <v>1278.3822332884611</v>
      </c>
      <c r="J3" s="17">
        <f t="shared" si="1"/>
        <v>1304.2760965799016</v>
      </c>
      <c r="K3" s="17">
        <f t="shared" si="1"/>
        <v>1332.4837656372335</v>
      </c>
      <c r="L3" s="17">
        <f t="shared" si="1"/>
        <v>1358.970269377608</v>
      </c>
      <c r="M3" s="17">
        <f t="shared" si="1"/>
        <v>1389.4269887233825</v>
      </c>
      <c r="N3" s="17">
        <f t="shared" si="1"/>
        <v>1419.4094896340928</v>
      </c>
      <c r="O3" s="17">
        <f t="shared" si="1"/>
        <v>1448.1962215452829</v>
      </c>
      <c r="P3" s="17">
        <f t="shared" si="1"/>
        <v>1480.6503914670454</v>
      </c>
      <c r="Q3" s="17">
        <f t="shared" si="1"/>
        <v>1516.1799665973363</v>
      </c>
      <c r="R3" s="17">
        <f t="shared" si="1"/>
        <v>1546.4648367277327</v>
      </c>
      <c r="S3" s="17">
        <f t="shared" si="1"/>
        <v>1577.7180862042594</v>
      </c>
      <c r="T3" s="17">
        <f t="shared" si="1"/>
        <v>1611.5647665817544</v>
      </c>
      <c r="U3" s="17">
        <f t="shared" si="1"/>
        <v>1652.3780263374315</v>
      </c>
      <c r="V3" s="17">
        <f t="shared" si="1"/>
        <v>1688.8727668992935</v>
      </c>
    </row>
    <row r="4" spans="1:23" x14ac:dyDescent="0.3">
      <c r="A4" s="17" t="s">
        <v>37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>
        <f>0.45*B10*(-1)</f>
        <v>-2430.678082191781</v>
      </c>
      <c r="M4" s="17"/>
      <c r="N4" s="17"/>
      <c r="O4" s="17"/>
      <c r="P4" s="17"/>
      <c r="Q4" s="17"/>
      <c r="R4" s="17"/>
      <c r="S4" s="17"/>
      <c r="T4" s="17"/>
      <c r="U4" s="17"/>
      <c r="V4" s="17"/>
    </row>
    <row r="5" spans="1:23" x14ac:dyDescent="0.3">
      <c r="A5" s="84" t="s">
        <v>117</v>
      </c>
      <c r="B5" s="17">
        <f>B10*(-1)</f>
        <v>-5401.5068493150684</v>
      </c>
      <c r="C5" s="17">
        <f t="shared" ref="C5:V5" si="2">SUM(C3:C4)</f>
        <v>1129.4463164338206</v>
      </c>
      <c r="D5" s="17">
        <f t="shared" si="2"/>
        <v>1155.3969512797457</v>
      </c>
      <c r="E5" s="17">
        <f t="shared" si="2"/>
        <v>1176.3253665355769</v>
      </c>
      <c r="F5" s="17">
        <f t="shared" si="2"/>
        <v>1200.8698344416985</v>
      </c>
      <c r="G5" s="17">
        <f t="shared" si="2"/>
        <v>1225.0963019756891</v>
      </c>
      <c r="H5" s="17">
        <f t="shared" si="2"/>
        <v>1252.3212278468609</v>
      </c>
      <c r="I5" s="17">
        <f t="shared" si="2"/>
        <v>1278.3822332884611</v>
      </c>
      <c r="J5" s="17">
        <f t="shared" si="2"/>
        <v>1304.2760965799016</v>
      </c>
      <c r="K5" s="17">
        <f t="shared" si="2"/>
        <v>1332.4837656372335</v>
      </c>
      <c r="L5" s="17">
        <f t="shared" si="2"/>
        <v>-1071.7078128141729</v>
      </c>
      <c r="M5" s="17">
        <f t="shared" si="2"/>
        <v>1389.4269887233825</v>
      </c>
      <c r="N5" s="17">
        <f t="shared" si="2"/>
        <v>1419.4094896340928</v>
      </c>
      <c r="O5" s="17">
        <f t="shared" si="2"/>
        <v>1448.1962215452829</v>
      </c>
      <c r="P5" s="17">
        <f t="shared" si="2"/>
        <v>1480.6503914670454</v>
      </c>
      <c r="Q5" s="17">
        <f t="shared" si="2"/>
        <v>1516.1799665973363</v>
      </c>
      <c r="R5" s="17">
        <f t="shared" si="2"/>
        <v>1546.4648367277327</v>
      </c>
      <c r="S5" s="17">
        <f t="shared" si="2"/>
        <v>1577.7180862042594</v>
      </c>
      <c r="T5" s="17">
        <f t="shared" si="2"/>
        <v>1611.5647665817544</v>
      </c>
      <c r="U5" s="17">
        <f t="shared" si="2"/>
        <v>1652.3780263374315</v>
      </c>
      <c r="V5" s="17">
        <f t="shared" si="2"/>
        <v>1688.8727668992935</v>
      </c>
    </row>
    <row r="6" spans="1:23" x14ac:dyDescent="0.3">
      <c r="A6" s="85" t="s">
        <v>118</v>
      </c>
      <c r="B6" s="16">
        <f>SUM(B2)</f>
        <v>0</v>
      </c>
      <c r="C6" s="16">
        <f t="shared" ref="C6:V6" si="3">SUM(C2)</f>
        <v>229.40420136730884</v>
      </c>
      <c r="D6" s="16">
        <f t="shared" si="3"/>
        <v>223.71486247129889</v>
      </c>
      <c r="E6" s="16">
        <f t="shared" si="3"/>
        <v>218.16662202457945</v>
      </c>
      <c r="F6" s="16">
        <f t="shared" si="3"/>
        <v>212.75598071505888</v>
      </c>
      <c r="G6" s="16">
        <f t="shared" si="3"/>
        <v>207.47952601533507</v>
      </c>
      <c r="H6" s="16">
        <f t="shared" si="3"/>
        <v>202.33393003039177</v>
      </c>
      <c r="I6" s="16">
        <f t="shared" si="3"/>
        <v>197.31594739867305</v>
      </c>
      <c r="J6" s="16">
        <f t="shared" si="3"/>
        <v>192.42241324521223</v>
      </c>
      <c r="K6" s="16">
        <f t="shared" si="3"/>
        <v>187.65024118552438</v>
      </c>
      <c r="L6" s="16">
        <f t="shared" si="3"/>
        <v>182.99642137900275</v>
      </c>
      <c r="M6" s="16">
        <f t="shared" si="3"/>
        <v>178.45801863059276</v>
      </c>
      <c r="N6" s="16">
        <f t="shared" si="3"/>
        <v>174.03217053954478</v>
      </c>
      <c r="O6" s="16">
        <f t="shared" si="3"/>
        <v>169.71608569407877</v>
      </c>
      <c r="P6" s="16">
        <f t="shared" si="3"/>
        <v>165.50704191082275</v>
      </c>
      <c r="Q6" s="16">
        <f t="shared" si="3"/>
        <v>161.40238451791339</v>
      </c>
      <c r="R6" s="16">
        <f t="shared" si="3"/>
        <v>157.39952468067688</v>
      </c>
      <c r="S6" s="16">
        <f t="shared" si="3"/>
        <v>153.49593776883376</v>
      </c>
      <c r="T6" s="16">
        <f t="shared" si="3"/>
        <v>149.68916176419776</v>
      </c>
      <c r="U6" s="16">
        <f t="shared" si="3"/>
        <v>145.97679570786477</v>
      </c>
      <c r="V6" s="16">
        <f t="shared" si="3"/>
        <v>142.35649818591187</v>
      </c>
    </row>
    <row r="7" spans="1:23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3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</row>
    <row r="9" spans="1:23" x14ac:dyDescent="0.3">
      <c r="A9" s="114" t="s">
        <v>49</v>
      </c>
      <c r="B9" s="115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</row>
    <row r="10" spans="1:23" x14ac:dyDescent="0.3">
      <c r="A10" s="115" t="s">
        <v>38</v>
      </c>
      <c r="B10" s="115">
        <f>-SUM(C11:V11)</f>
        <v>5401.5068493150684</v>
      </c>
      <c r="C10" s="115" t="s">
        <v>35</v>
      </c>
      <c r="D10" s="115" t="s">
        <v>35</v>
      </c>
      <c r="E10" s="115" t="s">
        <v>35</v>
      </c>
      <c r="F10" s="115" t="s">
        <v>35</v>
      </c>
      <c r="G10" s="115" t="s">
        <v>35</v>
      </c>
      <c r="H10" s="115" t="s">
        <v>35</v>
      </c>
      <c r="I10" s="115" t="s">
        <v>35</v>
      </c>
      <c r="J10" s="115" t="s">
        <v>35</v>
      </c>
      <c r="K10" s="115" t="s">
        <v>35</v>
      </c>
      <c r="L10" s="115" t="s">
        <v>35</v>
      </c>
      <c r="M10" s="115" t="s">
        <v>35</v>
      </c>
      <c r="N10" s="115" t="s">
        <v>35</v>
      </c>
      <c r="O10" s="115" t="s">
        <v>35</v>
      </c>
      <c r="P10" s="115" t="s">
        <v>35</v>
      </c>
      <c r="Q10" s="115" t="s">
        <v>35</v>
      </c>
      <c r="R10" s="115" t="s">
        <v>35</v>
      </c>
      <c r="S10" s="115" t="s">
        <v>35</v>
      </c>
      <c r="T10" s="115" t="s">
        <v>35</v>
      </c>
      <c r="U10" s="115" t="s">
        <v>35</v>
      </c>
      <c r="V10" s="115" t="s">
        <v>35</v>
      </c>
    </row>
    <row r="11" spans="1:23" x14ac:dyDescent="0.3">
      <c r="A11" s="115" t="s">
        <v>2</v>
      </c>
      <c r="B11" s="115"/>
      <c r="C11" s="115">
        <v>0</v>
      </c>
      <c r="D11" s="115">
        <v>0</v>
      </c>
      <c r="E11" s="115">
        <v>0</v>
      </c>
      <c r="F11" s="115">
        <v>-317.73569701853341</v>
      </c>
      <c r="G11" s="115">
        <v>-317.73569701853341</v>
      </c>
      <c r="H11" s="115">
        <v>-317.73569701853341</v>
      </c>
      <c r="I11" s="115">
        <v>-317.73569701853341</v>
      </c>
      <c r="J11" s="115">
        <v>-317.73569701853341</v>
      </c>
      <c r="K11" s="115">
        <v>-317.73569701853341</v>
      </c>
      <c r="L11" s="115">
        <v>-317.73569701853341</v>
      </c>
      <c r="M11" s="115">
        <v>-317.73569701853341</v>
      </c>
      <c r="N11" s="115">
        <v>-317.73569701853341</v>
      </c>
      <c r="O11" s="115">
        <v>-317.73569701853341</v>
      </c>
      <c r="P11" s="115">
        <v>-317.73569701853341</v>
      </c>
      <c r="Q11" s="115">
        <v>-317.73569701853341</v>
      </c>
      <c r="R11" s="115">
        <v>-317.73569701853341</v>
      </c>
      <c r="S11" s="115">
        <v>-317.73569701853341</v>
      </c>
      <c r="T11" s="115">
        <v>-317.73569701853341</v>
      </c>
      <c r="U11" s="115">
        <v>-317.73569701853341</v>
      </c>
      <c r="V11" s="115">
        <v>-317.73569701853341</v>
      </c>
      <c r="W11" s="14"/>
    </row>
    <row r="12" spans="1:23" x14ac:dyDescent="0.3">
      <c r="A12" s="115" t="s">
        <v>39</v>
      </c>
      <c r="B12" s="115"/>
      <c r="C12" s="115">
        <v>-290.60106849315071</v>
      </c>
      <c r="D12" s="115">
        <v>-290.60106849315071</v>
      </c>
      <c r="E12" s="115">
        <v>-290.60106849315071</v>
      </c>
      <c r="F12" s="115">
        <v>-284.19075080580183</v>
      </c>
      <c r="G12" s="115">
        <v>-267.0965703062048</v>
      </c>
      <c r="H12" s="115">
        <v>-250.00238980660777</v>
      </c>
      <c r="I12" s="115">
        <v>-232.90820930701074</v>
      </c>
      <c r="J12" s="115">
        <v>-215.81402880741371</v>
      </c>
      <c r="K12" s="115">
        <v>-198.71984830781656</v>
      </c>
      <c r="L12" s="115">
        <v>-181.62566780821945</v>
      </c>
      <c r="M12" s="115">
        <v>-164.53148730862233</v>
      </c>
      <c r="N12" s="115">
        <v>-147.43730680902524</v>
      </c>
      <c r="O12" s="115">
        <v>-130.3431263094281</v>
      </c>
      <c r="P12" s="115">
        <v>-113.24894580983099</v>
      </c>
      <c r="Q12" s="115">
        <v>-96.15476531023387</v>
      </c>
      <c r="R12" s="115">
        <v>-79.060584810636755</v>
      </c>
      <c r="S12" s="115">
        <v>-61.966404311039646</v>
      </c>
      <c r="T12" s="115">
        <v>-44.872223811442538</v>
      </c>
      <c r="U12" s="115">
        <v>-27.778043311845451</v>
      </c>
      <c r="V12" s="115">
        <v>-10.683862812248357</v>
      </c>
      <c r="W12" s="14"/>
    </row>
    <row r="13" spans="1:23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4"/>
    </row>
    <row r="14" spans="1:23" x14ac:dyDescent="0.3">
      <c r="A14" s="99" t="s">
        <v>124</v>
      </c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14"/>
    </row>
    <row r="15" spans="1:23" x14ac:dyDescent="0.3">
      <c r="A15" s="100" t="s">
        <v>38</v>
      </c>
      <c r="B15" s="94"/>
      <c r="C15" s="94">
        <f t="shared" ref="C15:V15" si="4">-IF(SUM(C6,C34,C17,C21)+B42&lt;0,SUM(C6,C34,C17,C21)+B42,0)</f>
        <v>0</v>
      </c>
      <c r="D15" s="94">
        <f t="shared" si="4"/>
        <v>0</v>
      </c>
      <c r="E15" s="94">
        <f t="shared" si="4"/>
        <v>0</v>
      </c>
      <c r="F15" s="94">
        <f t="shared" si="4"/>
        <v>0</v>
      </c>
      <c r="G15" s="94">
        <f t="shared" si="4"/>
        <v>0</v>
      </c>
      <c r="H15" s="94">
        <f t="shared" si="4"/>
        <v>0</v>
      </c>
      <c r="I15" s="94">
        <f t="shared" si="4"/>
        <v>0</v>
      </c>
      <c r="J15" s="94">
        <f t="shared" si="4"/>
        <v>0</v>
      </c>
      <c r="K15" s="94">
        <f t="shared" si="4"/>
        <v>0</v>
      </c>
      <c r="L15" s="94">
        <f t="shared" si="4"/>
        <v>0</v>
      </c>
      <c r="M15" s="94">
        <f t="shared" si="4"/>
        <v>0</v>
      </c>
      <c r="N15" s="94">
        <f t="shared" si="4"/>
        <v>0</v>
      </c>
      <c r="O15" s="94">
        <f t="shared" si="4"/>
        <v>0</v>
      </c>
      <c r="P15" s="94">
        <f t="shared" si="4"/>
        <v>0</v>
      </c>
      <c r="Q15" s="94">
        <f t="shared" si="4"/>
        <v>0</v>
      </c>
      <c r="R15" s="94">
        <f t="shared" si="4"/>
        <v>0</v>
      </c>
      <c r="S15" s="94">
        <f t="shared" si="4"/>
        <v>0</v>
      </c>
      <c r="T15" s="94">
        <f t="shared" si="4"/>
        <v>0</v>
      </c>
      <c r="U15" s="94">
        <f t="shared" si="4"/>
        <v>0</v>
      </c>
      <c r="V15" s="94">
        <f t="shared" si="4"/>
        <v>0</v>
      </c>
      <c r="W15" s="14"/>
    </row>
    <row r="16" spans="1:23" x14ac:dyDescent="0.3">
      <c r="A16" s="100" t="s">
        <v>2</v>
      </c>
      <c r="B16" s="94"/>
      <c r="C16" s="94">
        <f>IF(-SUM(C6,C17,C34)+B41&lt;0,0,-IF(+B41&lt;0,IF(C15=0,IF(SUM(C6,C17,C34)+B41&gt;0,(SUM(C6,C17,C34)+B41),0),0),0))</f>
        <v>0</v>
      </c>
      <c r="D16" s="94">
        <f t="shared" ref="D16:V16" si="5">IF(-SUM(D6,D17,D34)+C41&lt;0,0,-IF(+C41&lt;0,IF(D15=0,IF(SUM(D6,D17,D34)+C41&gt;0,(SUM(D6,D17,D34)+C41),0),0),0))</f>
        <v>0</v>
      </c>
      <c r="E16" s="94">
        <f t="shared" si="5"/>
        <v>0</v>
      </c>
      <c r="F16" s="94">
        <f t="shared" si="5"/>
        <v>0</v>
      </c>
      <c r="G16" s="94">
        <f t="shared" si="5"/>
        <v>0</v>
      </c>
      <c r="H16" s="94">
        <f t="shared" si="5"/>
        <v>0</v>
      </c>
      <c r="I16" s="94">
        <f t="shared" si="5"/>
        <v>0</v>
      </c>
      <c r="J16" s="94">
        <f t="shared" si="5"/>
        <v>0</v>
      </c>
      <c r="K16" s="94">
        <f t="shared" si="5"/>
        <v>0</v>
      </c>
      <c r="L16" s="94">
        <f t="shared" si="5"/>
        <v>0</v>
      </c>
      <c r="M16" s="94">
        <f t="shared" si="5"/>
        <v>0</v>
      </c>
      <c r="N16" s="94">
        <f t="shared" si="5"/>
        <v>0</v>
      </c>
      <c r="O16" s="94">
        <f t="shared" si="5"/>
        <v>0</v>
      </c>
      <c r="P16" s="94">
        <f t="shared" si="5"/>
        <v>0</v>
      </c>
      <c r="Q16" s="94">
        <f t="shared" si="5"/>
        <v>0</v>
      </c>
      <c r="R16" s="94">
        <f t="shared" si="5"/>
        <v>0</v>
      </c>
      <c r="S16" s="94">
        <f t="shared" si="5"/>
        <v>0</v>
      </c>
      <c r="T16" s="94">
        <f t="shared" si="5"/>
        <v>0</v>
      </c>
      <c r="U16" s="94">
        <f t="shared" si="5"/>
        <v>0</v>
      </c>
      <c r="V16" s="94">
        <f t="shared" si="5"/>
        <v>0</v>
      </c>
      <c r="W16" s="14"/>
    </row>
    <row r="17" spans="1:23" x14ac:dyDescent="0.3">
      <c r="A17" s="100" t="s">
        <v>39</v>
      </c>
      <c r="B17" s="94"/>
      <c r="C17" s="94">
        <f t="shared" ref="C17:V17" si="6">B42*Fremdkapitalzins</f>
        <v>0</v>
      </c>
      <c r="D17" s="94">
        <f t="shared" si="6"/>
        <v>0</v>
      </c>
      <c r="E17" s="94">
        <f t="shared" si="6"/>
        <v>0</v>
      </c>
      <c r="F17" s="94">
        <f t="shared" si="6"/>
        <v>0</v>
      </c>
      <c r="G17" s="94">
        <f t="shared" si="6"/>
        <v>0</v>
      </c>
      <c r="H17" s="94">
        <f t="shared" si="6"/>
        <v>0</v>
      </c>
      <c r="I17" s="94">
        <f t="shared" si="6"/>
        <v>0</v>
      </c>
      <c r="J17" s="94">
        <f t="shared" si="6"/>
        <v>0</v>
      </c>
      <c r="K17" s="94">
        <f t="shared" si="6"/>
        <v>0</v>
      </c>
      <c r="L17" s="94">
        <f t="shared" si="6"/>
        <v>0</v>
      </c>
      <c r="M17" s="94">
        <f t="shared" si="6"/>
        <v>0</v>
      </c>
      <c r="N17" s="94">
        <f t="shared" si="6"/>
        <v>0</v>
      </c>
      <c r="O17" s="94">
        <f t="shared" si="6"/>
        <v>0</v>
      </c>
      <c r="P17" s="94">
        <f t="shared" si="6"/>
        <v>0</v>
      </c>
      <c r="Q17" s="94">
        <f t="shared" si="6"/>
        <v>0</v>
      </c>
      <c r="R17" s="94">
        <f t="shared" si="6"/>
        <v>0</v>
      </c>
      <c r="S17" s="94">
        <f t="shared" si="6"/>
        <v>0</v>
      </c>
      <c r="T17" s="94">
        <f t="shared" si="6"/>
        <v>0</v>
      </c>
      <c r="U17" s="94">
        <f t="shared" si="6"/>
        <v>0</v>
      </c>
      <c r="V17" s="94">
        <f t="shared" si="6"/>
        <v>0</v>
      </c>
      <c r="W17" s="14"/>
    </row>
    <row r="18" spans="1:23" x14ac:dyDescent="0.3">
      <c r="A18" s="100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14"/>
    </row>
    <row r="19" spans="1:23" x14ac:dyDescent="0.3">
      <c r="A19" s="99" t="s">
        <v>125</v>
      </c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14"/>
    </row>
    <row r="20" spans="1:23" x14ac:dyDescent="0.3">
      <c r="A20" s="100" t="s">
        <v>126</v>
      </c>
      <c r="B20" s="94"/>
      <c r="C20" s="94">
        <f t="shared" ref="C20:V20" si="7">IF(AND(C6+C34+C21&gt;0,B42&lt;=0),-(C6+C34+C21),IF(AND(C6+C34+C21&gt;0,B42&gt;0,C6+C34+C21&gt;B42),-((C6+C34+C21)-B42),0))</f>
        <v>-229.40420136730884</v>
      </c>
      <c r="D20" s="94">
        <f t="shared" si="7"/>
        <v>-227.61473389454315</v>
      </c>
      <c r="E20" s="94">
        <f t="shared" si="7"/>
        <v>-225.93594392403094</v>
      </c>
      <c r="F20" s="94">
        <f t="shared" si="7"/>
        <v>-224.36621366121889</v>
      </c>
      <c r="G20" s="94">
        <f t="shared" si="7"/>
        <v>-222.9039845937358</v>
      </c>
      <c r="H20" s="94">
        <f t="shared" si="7"/>
        <v>-221.54775634688602</v>
      </c>
      <c r="I20" s="94">
        <f t="shared" si="7"/>
        <v>-220.29608557306435</v>
      </c>
      <c r="J20" s="94">
        <f t="shared" si="7"/>
        <v>-219.14758487434563</v>
      </c>
      <c r="K20" s="94">
        <f t="shared" si="7"/>
        <v>-218.10092175752166</v>
      </c>
      <c r="L20" s="94">
        <f t="shared" si="7"/>
        <v>-217.15481762087791</v>
      </c>
      <c r="M20" s="94">
        <f t="shared" si="7"/>
        <v>-216.30804677202283</v>
      </c>
      <c r="N20" s="94">
        <f t="shared" si="7"/>
        <v>-215.55943547609922</v>
      </c>
      <c r="O20" s="94">
        <f t="shared" si="7"/>
        <v>-214.9078610337269</v>
      </c>
      <c r="P20" s="94">
        <f t="shared" si="7"/>
        <v>-214.35225088804424</v>
      </c>
      <c r="Q20" s="94">
        <f t="shared" si="7"/>
        <v>-213.89158176023165</v>
      </c>
      <c r="R20" s="94">
        <f t="shared" si="7"/>
        <v>-213.52487881291907</v>
      </c>
      <c r="S20" s="94">
        <f t="shared" si="7"/>
        <v>-213.25121484089556</v>
      </c>
      <c r="T20" s="94">
        <f t="shared" si="7"/>
        <v>-213.06970948855479</v>
      </c>
      <c r="U20" s="94">
        <f t="shared" si="7"/>
        <v>-212.97952849352725</v>
      </c>
      <c r="V20" s="94">
        <f t="shared" si="7"/>
        <v>-212.97988295596431</v>
      </c>
      <c r="W20" s="14"/>
    </row>
    <row r="21" spans="1:23" x14ac:dyDescent="0.3">
      <c r="A21" s="101" t="s">
        <v>127</v>
      </c>
      <c r="B21" s="94"/>
      <c r="C21" s="94">
        <f t="shared" ref="C21:V21" si="8">IF(B41&gt;=1,B41*Festgeld,0)</f>
        <v>0</v>
      </c>
      <c r="D21" s="94">
        <f t="shared" si="8"/>
        <v>3.8998714232442504</v>
      </c>
      <c r="E21" s="94">
        <f t="shared" si="8"/>
        <v>7.7693218994514845</v>
      </c>
      <c r="F21" s="94">
        <f t="shared" si="8"/>
        <v>11.610232946160009</v>
      </c>
      <c r="G21" s="94">
        <f t="shared" si="8"/>
        <v>15.424458578400731</v>
      </c>
      <c r="H21" s="94">
        <f t="shared" si="8"/>
        <v>19.213826316494242</v>
      </c>
      <c r="I21" s="94">
        <f t="shared" si="8"/>
        <v>22.980138174391303</v>
      </c>
      <c r="J21" s="94">
        <f t="shared" si="8"/>
        <v>26.725171629133396</v>
      </c>
      <c r="K21" s="94">
        <f t="shared" si="8"/>
        <v>30.450680571997271</v>
      </c>
      <c r="L21" s="94">
        <f t="shared" si="8"/>
        <v>34.158396241875138</v>
      </c>
      <c r="M21" s="94">
        <f t="shared" si="8"/>
        <v>37.850028141430066</v>
      </c>
      <c r="N21" s="94">
        <f t="shared" si="8"/>
        <v>41.527264936554452</v>
      </c>
      <c r="O21" s="94">
        <f t="shared" si="8"/>
        <v>45.191775339648139</v>
      </c>
      <c r="P21" s="94">
        <f t="shared" si="8"/>
        <v>48.845208977221496</v>
      </c>
      <c r="Q21" s="94">
        <f t="shared" si="8"/>
        <v>52.489197242318248</v>
      </c>
      <c r="R21" s="94">
        <f t="shared" si="8"/>
        <v>56.125354132242187</v>
      </c>
      <c r="S21" s="94">
        <f t="shared" si="8"/>
        <v>59.755277072061816</v>
      </c>
      <c r="T21" s="94">
        <f t="shared" si="8"/>
        <v>63.380547724357037</v>
      </c>
      <c r="U21" s="94">
        <f t="shared" si="8"/>
        <v>67.002732785662474</v>
      </c>
      <c r="V21" s="94">
        <f t="shared" si="8"/>
        <v>70.623384770052439</v>
      </c>
      <c r="W21" s="14"/>
    </row>
    <row r="22" spans="1:23" x14ac:dyDescent="0.3">
      <c r="A22" s="100" t="s">
        <v>128</v>
      </c>
      <c r="B22" s="94"/>
      <c r="C22" s="94">
        <f>IF(AND(C6+C34+C17+C21&lt;0,B41&gt;=0,C6+C34+C17+C21&gt;(-B41)),-(C6+C34+C17+C21),IF(AND(C6+C34+C17+C21&lt;0,B41&gt;=0,C6+C34+C17+C21&lt;(-B41)),B41,0))</f>
        <v>0</v>
      </c>
      <c r="D22" s="94">
        <f t="shared" ref="D22:V22" si="9">IF(AND(D6+D34+D17+D21&lt;0,C41&gt;=0,D6+D34+D17+D21&gt;(-C41)),-(D6+D34+D17+D21),IF(AND(D6+D34+D17+D21&lt;0,C41&gt;=0,D6+D34+D17+D21&lt;(-C41)),C41,0))</f>
        <v>0</v>
      </c>
      <c r="E22" s="94">
        <f t="shared" si="9"/>
        <v>0</v>
      </c>
      <c r="F22" s="94">
        <f t="shared" si="9"/>
        <v>0</v>
      </c>
      <c r="G22" s="94">
        <f t="shared" si="9"/>
        <v>0</v>
      </c>
      <c r="H22" s="94">
        <f t="shared" si="9"/>
        <v>0</v>
      </c>
      <c r="I22" s="94">
        <f t="shared" si="9"/>
        <v>0</v>
      </c>
      <c r="J22" s="94">
        <f t="shared" si="9"/>
        <v>0</v>
      </c>
      <c r="K22" s="94">
        <f t="shared" si="9"/>
        <v>0</v>
      </c>
      <c r="L22" s="94">
        <f t="shared" si="9"/>
        <v>0</v>
      </c>
      <c r="M22" s="94">
        <f t="shared" si="9"/>
        <v>0</v>
      </c>
      <c r="N22" s="94">
        <f t="shared" si="9"/>
        <v>0</v>
      </c>
      <c r="O22" s="94">
        <f t="shared" si="9"/>
        <v>0</v>
      </c>
      <c r="P22" s="94">
        <f t="shared" si="9"/>
        <v>0</v>
      </c>
      <c r="Q22" s="94">
        <f t="shared" si="9"/>
        <v>0</v>
      </c>
      <c r="R22" s="94">
        <f t="shared" si="9"/>
        <v>0</v>
      </c>
      <c r="S22" s="94">
        <f t="shared" si="9"/>
        <v>0</v>
      </c>
      <c r="T22" s="94">
        <f t="shared" si="9"/>
        <v>0</v>
      </c>
      <c r="U22" s="94">
        <f t="shared" si="9"/>
        <v>0</v>
      </c>
      <c r="V22" s="94">
        <f t="shared" si="9"/>
        <v>0</v>
      </c>
      <c r="W22" s="14"/>
    </row>
    <row r="23" spans="1:23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4"/>
    </row>
    <row r="24" spans="1:23" x14ac:dyDescent="0.3">
      <c r="A24" s="102" t="s">
        <v>124</v>
      </c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4"/>
    </row>
    <row r="25" spans="1:23" x14ac:dyDescent="0.3">
      <c r="A25" s="104" t="s">
        <v>38</v>
      </c>
      <c r="B25" s="103">
        <v>0</v>
      </c>
      <c r="C25" s="103">
        <f>-IF(SUM(C5,C35,C11,C12,C27,C31)+B46&lt;0,SUM(C5,C35,C11,C12,C27,C31)+B46,0)</f>
        <v>217.77604850484499</v>
      </c>
      <c r="D25" s="103">
        <f t="shared" ref="D25:V25" si="10">-IF(SUM(D5,D35,D11,D12,D27,D31)+C46&lt;0,SUM(D5,D35,D11,D12,D27,D31)+C46,0)</f>
        <v>163.05491747707987</v>
      </c>
      <c r="E25" s="103">
        <f t="shared" si="10"/>
        <v>109.55254199399715</v>
      </c>
      <c r="F25" s="103">
        <f t="shared" si="10"/>
        <v>362.55452919025674</v>
      </c>
      <c r="G25" s="103">
        <f t="shared" si="10"/>
        <v>300.33431017186444</v>
      </c>
      <c r="H25" s="103">
        <f t="shared" si="10"/>
        <v>244.3742384404415</v>
      </c>
      <c r="I25" s="103">
        <f t="shared" si="10"/>
        <v>173.80737473389652</v>
      </c>
      <c r="J25" s="103">
        <f t="shared" si="10"/>
        <v>99.728285446553201</v>
      </c>
      <c r="K25" s="103">
        <f t="shared" si="10"/>
        <v>32.511104456320496</v>
      </c>
      <c r="L25" s="103">
        <f t="shared" si="10"/>
        <v>1723.8808047441773</v>
      </c>
      <c r="M25" s="103">
        <f t="shared" si="10"/>
        <v>0</v>
      </c>
      <c r="N25" s="103">
        <f t="shared" si="10"/>
        <v>0</v>
      </c>
      <c r="O25" s="103">
        <f t="shared" si="10"/>
        <v>0</v>
      </c>
      <c r="P25" s="103">
        <f t="shared" si="10"/>
        <v>0</v>
      </c>
      <c r="Q25" s="103">
        <f t="shared" si="10"/>
        <v>0</v>
      </c>
      <c r="R25" s="103">
        <f t="shared" si="10"/>
        <v>0</v>
      </c>
      <c r="S25" s="103">
        <f t="shared" si="10"/>
        <v>0</v>
      </c>
      <c r="T25" s="103">
        <f t="shared" si="10"/>
        <v>0</v>
      </c>
      <c r="U25" s="103">
        <f t="shared" si="10"/>
        <v>0</v>
      </c>
      <c r="V25" s="103">
        <f t="shared" si="10"/>
        <v>0</v>
      </c>
      <c r="W25" s="14"/>
    </row>
    <row r="26" spans="1:23" x14ac:dyDescent="0.3">
      <c r="A26" s="104" t="s">
        <v>2</v>
      </c>
      <c r="B26" s="103"/>
      <c r="C26" s="103">
        <f>IF(-SUM(C11:C12,C5,C35,C27)+B46&lt;0,0,-IF(B47&lt;0,IF(C25=0,IF(SUM(C11:C12,C5,C35,C27)+B46&gt;0,(SUM(C11:C12,C5,C35,C27)+B47),0),0),0))</f>
        <v>0</v>
      </c>
      <c r="D26" s="103">
        <f t="shared" ref="D26:V26" si="11">IF(-SUM(D11:D12,D5,D35,D27)+C46&lt;0,0,-IF(C47&lt;0,IF(D25=0,IF(SUM(D11:D12,D5,D35,D27)+C46&gt;0,(SUM(D11:D12,D5,D35,D27)+C47),0),0),0))</f>
        <v>0</v>
      </c>
      <c r="E26" s="103">
        <f t="shared" si="11"/>
        <v>0</v>
      </c>
      <c r="F26" s="103">
        <f t="shared" si="11"/>
        <v>0</v>
      </c>
      <c r="G26" s="103">
        <f t="shared" si="11"/>
        <v>0</v>
      </c>
      <c r="H26" s="103">
        <f t="shared" si="11"/>
        <v>0</v>
      </c>
      <c r="I26" s="103">
        <f t="shared" si="11"/>
        <v>0</v>
      </c>
      <c r="J26" s="103">
        <f t="shared" si="11"/>
        <v>0</v>
      </c>
      <c r="K26" s="103">
        <f t="shared" si="11"/>
        <v>0</v>
      </c>
      <c r="L26" s="103">
        <f t="shared" si="11"/>
        <v>0</v>
      </c>
      <c r="M26" s="103">
        <f t="shared" si="11"/>
        <v>0</v>
      </c>
      <c r="N26" s="103">
        <f t="shared" si="11"/>
        <v>0</v>
      </c>
      <c r="O26" s="103">
        <f t="shared" si="11"/>
        <v>0</v>
      </c>
      <c r="P26" s="103">
        <f t="shared" si="11"/>
        <v>2216.8191804915928</v>
      </c>
      <c r="Q26" s="103">
        <f t="shared" si="11"/>
        <v>1999.9315385825416</v>
      </c>
      <c r="R26" s="103">
        <f t="shared" si="11"/>
        <v>1782.6881389963878</v>
      </c>
      <c r="S26" s="103">
        <f t="shared" si="11"/>
        <v>1584.2973052452242</v>
      </c>
      <c r="T26" s="103">
        <f t="shared" si="11"/>
        <v>1378.1514929685179</v>
      </c>
      <c r="U26" s="103">
        <f t="shared" si="11"/>
        <v>1185.0509107794528</v>
      </c>
      <c r="V26" s="103">
        <f t="shared" si="11"/>
        <v>1001.7209324635843</v>
      </c>
      <c r="W26" s="14"/>
    </row>
    <row r="27" spans="1:23" x14ac:dyDescent="0.3">
      <c r="A27" s="104" t="s">
        <v>39</v>
      </c>
      <c r="B27" s="103"/>
      <c r="C27" s="103">
        <f t="shared" ref="C27:V27" si="12">B47*Fremdkapitalzins</f>
        <v>0</v>
      </c>
      <c r="D27" s="103">
        <f t="shared" si="12"/>
        <v>-11.71635140956066</v>
      </c>
      <c r="E27" s="103">
        <f t="shared" si="12"/>
        <v>-19.858366263993194</v>
      </c>
      <c r="F27" s="103">
        <f t="shared" si="12"/>
        <v>-24.683912918267403</v>
      </c>
      <c r="G27" s="103">
        <f t="shared" si="12"/>
        <v>-42.861352073700431</v>
      </c>
      <c r="H27" s="103">
        <f t="shared" si="12"/>
        <v>-56.713397219381662</v>
      </c>
      <c r="I27" s="103">
        <f t="shared" si="12"/>
        <v>-66.80955047707468</v>
      </c>
      <c r="J27" s="103">
        <f t="shared" si="12"/>
        <v>-72.566033422091692</v>
      </c>
      <c r="K27" s="103">
        <f t="shared" si="12"/>
        <v>-74.027362581007722</v>
      </c>
      <c r="L27" s="103">
        <f t="shared" si="12"/>
        <v>-71.793787893899534</v>
      </c>
      <c r="M27" s="103">
        <f t="shared" si="12"/>
        <v>-160.67606940044448</v>
      </c>
      <c r="N27" s="103">
        <f t="shared" si="12"/>
        <v>-152.03169686670057</v>
      </c>
      <c r="O27" s="103">
        <f t="shared" si="12"/>
        <v>-143.85239157527209</v>
      </c>
      <c r="P27" s="103">
        <f t="shared" si="12"/>
        <v>-136.11313290852243</v>
      </c>
      <c r="Q27" s="103">
        <f t="shared" si="12"/>
        <v>-128.79024635804393</v>
      </c>
      <c r="R27" s="103">
        <f t="shared" si="12"/>
        <v>-121.86133110398117</v>
      </c>
      <c r="S27" s="103">
        <f t="shared" si="12"/>
        <v>-115.30519149058698</v>
      </c>
      <c r="T27" s="103">
        <f t="shared" si="12"/>
        <v>-109.1017721883934</v>
      </c>
      <c r="U27" s="103">
        <f t="shared" si="12"/>
        <v>-103.23209684465783</v>
      </c>
      <c r="V27" s="103">
        <f t="shared" si="12"/>
        <v>-97.67821003441523</v>
      </c>
      <c r="W27" s="14"/>
    </row>
    <row r="28" spans="1:23" x14ac:dyDescent="0.3">
      <c r="A28" s="104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4"/>
    </row>
    <row r="29" spans="1:23" x14ac:dyDescent="0.3">
      <c r="A29" s="102" t="s">
        <v>125</v>
      </c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4"/>
    </row>
    <row r="30" spans="1:23" x14ac:dyDescent="0.3">
      <c r="A30" s="104" t="s">
        <v>126</v>
      </c>
      <c r="B30" s="103"/>
      <c r="C30" s="103">
        <f>IF(AND(C5+C35+C11+C12+C27+C31+C26&gt;0,B47&lt;=0),-(C5+C35+C11+C12+C27+C31+C26),IF(AND(C5+C35+C11+C12+C27+C31+C26&gt;0,B47&gt;0,C5+C35+C11+C12+C27+C31+C26&gt;B47),-((C5+C35+C11+C12+C27+C31)-B47-C26),0))</f>
        <v>0</v>
      </c>
      <c r="D30" s="103">
        <f t="shared" ref="D30:V30" si="13">IF(AND(D5+D35+D11+D12+D27+D31+D26&gt;0,C47&lt;=0),-(D5+D35+D11+D12+D27+D31+D26),IF(AND(D5+D35+D11+D12+D27+D31+D26&gt;0,C47&gt;0,D5+D35+D11+D12+D27+D31+D26&gt;C47),-((D5+D35+D11+D12+D27+D31)-C47-D26),0))</f>
        <v>0</v>
      </c>
      <c r="E30" s="103">
        <f t="shared" si="13"/>
        <v>0</v>
      </c>
      <c r="F30" s="103">
        <f t="shared" si="13"/>
        <v>0</v>
      </c>
      <c r="G30" s="103">
        <f t="shared" si="13"/>
        <v>0</v>
      </c>
      <c r="H30" s="103">
        <f t="shared" si="13"/>
        <v>0</v>
      </c>
      <c r="I30" s="103">
        <f t="shared" si="13"/>
        <v>0</v>
      </c>
      <c r="J30" s="103">
        <f t="shared" si="13"/>
        <v>0</v>
      </c>
      <c r="K30" s="103">
        <f t="shared" si="13"/>
        <v>0</v>
      </c>
      <c r="L30" s="103">
        <f t="shared" si="13"/>
        <v>0</v>
      </c>
      <c r="M30" s="103">
        <f t="shared" si="13"/>
        <v>-56.741203372667314</v>
      </c>
      <c r="N30" s="103">
        <f t="shared" si="13"/>
        <v>-146.38382347527786</v>
      </c>
      <c r="O30" s="103">
        <f t="shared" si="13"/>
        <v>-222.20343467132349</v>
      </c>
      <c r="P30" s="103">
        <f t="shared" si="13"/>
        <v>-2529.9838830580379</v>
      </c>
      <c r="Q30" s="103">
        <f t="shared" si="13"/>
        <v>-2393.8707501495155</v>
      </c>
      <c r="R30" s="103">
        <f t="shared" si="13"/>
        <v>-2265.0805037914715</v>
      </c>
      <c r="S30" s="103">
        <f t="shared" si="13"/>
        <v>-2143.2191726874903</v>
      </c>
      <c r="T30" s="103">
        <f t="shared" si="13"/>
        <v>-2027.9139811969033</v>
      </c>
      <c r="U30" s="103">
        <f t="shared" si="13"/>
        <v>-1918.8122090085099</v>
      </c>
      <c r="V30" s="103">
        <f t="shared" si="13"/>
        <v>-1815.5801121638519</v>
      </c>
      <c r="W30" s="14"/>
    </row>
    <row r="31" spans="1:23" x14ac:dyDescent="0.3">
      <c r="A31" s="105" t="s">
        <v>127</v>
      </c>
      <c r="B31" s="103"/>
      <c r="C31" s="103">
        <f t="shared" ref="C31:V31" si="14">IF(B46&gt;=1,B37*Festgeld,0)</f>
        <v>0</v>
      </c>
      <c r="D31" s="103">
        <f t="shared" si="14"/>
        <v>0</v>
      </c>
      <c r="E31" s="103">
        <f t="shared" si="14"/>
        <v>0</v>
      </c>
      <c r="F31" s="103">
        <f t="shared" si="14"/>
        <v>0</v>
      </c>
      <c r="G31" s="103">
        <f t="shared" si="14"/>
        <v>0</v>
      </c>
      <c r="H31" s="103">
        <f t="shared" si="14"/>
        <v>0</v>
      </c>
      <c r="I31" s="103">
        <f t="shared" si="14"/>
        <v>0</v>
      </c>
      <c r="J31" s="103">
        <f t="shared" si="14"/>
        <v>0</v>
      </c>
      <c r="K31" s="103">
        <f t="shared" si="14"/>
        <v>0</v>
      </c>
      <c r="L31" s="103">
        <f t="shared" si="14"/>
        <v>0</v>
      </c>
      <c r="M31" s="103">
        <f t="shared" si="14"/>
        <v>0</v>
      </c>
      <c r="N31" s="103">
        <f t="shared" si="14"/>
        <v>-1.2079226507921704E-16</v>
      </c>
      <c r="O31" s="103">
        <f t="shared" si="14"/>
        <v>1.2079226507921704E-16</v>
      </c>
      <c r="P31" s="103">
        <f t="shared" si="14"/>
        <v>1.2079226507921704E-16</v>
      </c>
      <c r="Q31" s="103">
        <f t="shared" si="14"/>
        <v>1.2079226507921704E-16</v>
      </c>
      <c r="R31" s="103">
        <f t="shared" si="14"/>
        <v>-1.2079226507921704E-16</v>
      </c>
      <c r="S31" s="103">
        <f t="shared" si="14"/>
        <v>-1.2079226507921704E-16</v>
      </c>
      <c r="T31" s="103">
        <f t="shared" si="14"/>
        <v>2.4158453015843408E-16</v>
      </c>
      <c r="U31" s="103">
        <f t="shared" si="14"/>
        <v>1.2079226507921704E-16</v>
      </c>
      <c r="V31" s="103">
        <f t="shared" si="14"/>
        <v>-2.4158453015843408E-16</v>
      </c>
      <c r="W31" s="14"/>
    </row>
    <row r="32" spans="1:23" x14ac:dyDescent="0.3">
      <c r="A32" s="104" t="s">
        <v>128</v>
      </c>
      <c r="B32" s="103"/>
      <c r="C32" s="103">
        <f>IF(AND(C5+C35+C11+C12+C27+C31&lt;0,B46&gt;=0,C5+C35+C11+C12+C27+C31&gt;(-B46)),-(C5+C35+C11+C12+C27+C31),IF(AND(C5+C35+C11+C12+C27+C31&lt;0,B46&gt;=0,C5+C35+C11+C12+C27+C31&lt;(-B46)),B46,0))</f>
        <v>0</v>
      </c>
      <c r="D32" s="103">
        <f t="shared" ref="D32:V32" si="15">IF(AND(D5+D35+D11+D12+D27+D31&lt;0,C46&gt;=0,D5+D35+D11+D12+D27+D31&gt;(-C46)),-(D5+D35+D11+D12+D27+D31),IF(AND(D5+D35+D11+D12+D27+D31&lt;0,C46&gt;=0,D5+D35+D11+D12+D27+D31&lt;(-C46)),C46,0))</f>
        <v>0</v>
      </c>
      <c r="E32" s="103">
        <f t="shared" si="15"/>
        <v>0</v>
      </c>
      <c r="F32" s="103">
        <f t="shared" si="15"/>
        <v>0</v>
      </c>
      <c r="G32" s="103">
        <f t="shared" si="15"/>
        <v>0</v>
      </c>
      <c r="H32" s="103">
        <f t="shared" si="15"/>
        <v>0</v>
      </c>
      <c r="I32" s="103">
        <f t="shared" si="15"/>
        <v>0</v>
      </c>
      <c r="J32" s="103">
        <f t="shared" si="15"/>
        <v>0</v>
      </c>
      <c r="K32" s="103">
        <f t="shared" si="15"/>
        <v>0</v>
      </c>
      <c r="L32" s="103">
        <f t="shared" si="15"/>
        <v>0</v>
      </c>
      <c r="M32" s="103">
        <f t="shared" si="15"/>
        <v>0</v>
      </c>
      <c r="N32" s="103">
        <f t="shared" si="15"/>
        <v>0</v>
      </c>
      <c r="O32" s="103">
        <f t="shared" si="15"/>
        <v>0</v>
      </c>
      <c r="P32" s="103">
        <f t="shared" si="15"/>
        <v>0</v>
      </c>
      <c r="Q32" s="103">
        <f t="shared" si="15"/>
        <v>0</v>
      </c>
      <c r="R32" s="103">
        <f t="shared" si="15"/>
        <v>0</v>
      </c>
      <c r="S32" s="103">
        <f t="shared" si="15"/>
        <v>0</v>
      </c>
      <c r="T32" s="103">
        <f t="shared" si="15"/>
        <v>0</v>
      </c>
      <c r="U32" s="103">
        <f t="shared" si="15"/>
        <v>0</v>
      </c>
      <c r="V32" s="103">
        <f t="shared" si="15"/>
        <v>0</v>
      </c>
    </row>
    <row r="33" spans="1:22" x14ac:dyDescent="0.3">
      <c r="A33" s="104"/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103"/>
      <c r="V33" s="103"/>
    </row>
    <row r="34" spans="1:22" x14ac:dyDescent="0.3">
      <c r="A34" s="99" t="s">
        <v>131</v>
      </c>
      <c r="B34" s="94"/>
      <c r="C34" s="94">
        <f>B136</f>
        <v>0</v>
      </c>
      <c r="D34" s="94">
        <f t="shared" ref="D34:V34" si="16">C136</f>
        <v>0</v>
      </c>
      <c r="E34" s="94">
        <f t="shared" si="16"/>
        <v>0</v>
      </c>
      <c r="F34" s="94">
        <f t="shared" si="16"/>
        <v>0</v>
      </c>
      <c r="G34" s="94">
        <f t="shared" si="16"/>
        <v>0</v>
      </c>
      <c r="H34" s="94">
        <f t="shared" si="16"/>
        <v>0</v>
      </c>
      <c r="I34" s="94">
        <f t="shared" si="16"/>
        <v>0</v>
      </c>
      <c r="J34" s="94">
        <f t="shared" si="16"/>
        <v>0</v>
      </c>
      <c r="K34" s="94">
        <f t="shared" si="16"/>
        <v>0</v>
      </c>
      <c r="L34" s="94">
        <f t="shared" si="16"/>
        <v>0</v>
      </c>
      <c r="M34" s="94">
        <f t="shared" si="16"/>
        <v>0</v>
      </c>
      <c r="N34" s="94">
        <f t="shared" si="16"/>
        <v>0</v>
      </c>
      <c r="O34" s="94">
        <f t="shared" si="16"/>
        <v>0</v>
      </c>
      <c r="P34" s="94">
        <f t="shared" si="16"/>
        <v>0</v>
      </c>
      <c r="Q34" s="94">
        <f t="shared" si="16"/>
        <v>0</v>
      </c>
      <c r="R34" s="94">
        <f t="shared" si="16"/>
        <v>0</v>
      </c>
      <c r="S34" s="94">
        <f t="shared" si="16"/>
        <v>0</v>
      </c>
      <c r="T34" s="94">
        <f t="shared" si="16"/>
        <v>0</v>
      </c>
      <c r="U34" s="94">
        <f t="shared" si="16"/>
        <v>0</v>
      </c>
      <c r="V34" s="94">
        <f t="shared" si="16"/>
        <v>0</v>
      </c>
    </row>
    <row r="35" spans="1:22" x14ac:dyDescent="0.3">
      <c r="A35" s="102" t="s">
        <v>121</v>
      </c>
      <c r="B35" s="103"/>
      <c r="C35" s="103">
        <f>B135</f>
        <v>-1056.6212964455149</v>
      </c>
      <c r="D35" s="103">
        <f t="shared" ref="D35:U35" si="17">C135</f>
        <v>-1016.1344488541142</v>
      </c>
      <c r="E35" s="103">
        <f>D135</f>
        <v>-975.41847377243016</v>
      </c>
      <c r="F35" s="103">
        <f t="shared" si="17"/>
        <v>-936.81400288935254</v>
      </c>
      <c r="G35" s="103">
        <f t="shared" si="17"/>
        <v>-897.73699274911496</v>
      </c>
      <c r="H35" s="103">
        <f t="shared" si="17"/>
        <v>-872.24398224277957</v>
      </c>
      <c r="I35" s="103">
        <f t="shared" si="17"/>
        <v>-834.73615121973876</v>
      </c>
      <c r="J35" s="103">
        <f t="shared" si="17"/>
        <v>-797.88862277841599</v>
      </c>
      <c r="K35" s="103">
        <f t="shared" si="17"/>
        <v>-774.51196218619634</v>
      </c>
      <c r="L35" s="103">
        <f t="shared" si="17"/>
        <v>-81.01783920935182</v>
      </c>
      <c r="M35" s="103">
        <f t="shared" si="17"/>
        <v>-689.74253162311493</v>
      </c>
      <c r="N35" s="103">
        <f t="shared" si="17"/>
        <v>-655.82096546455568</v>
      </c>
      <c r="O35" s="103">
        <f t="shared" si="17"/>
        <v>-634.06157197072582</v>
      </c>
      <c r="P35" s="103">
        <f>O135</f>
        <v>-600.38791316371362</v>
      </c>
      <c r="Q35" s="103">
        <f>P135</f>
        <v>-579.56004634355122</v>
      </c>
      <c r="R35" s="103">
        <f t="shared" si="17"/>
        <v>-545.4148589994976</v>
      </c>
      <c r="S35" s="103">
        <f t="shared" si="17"/>
        <v>-523.78892594183333</v>
      </c>
      <c r="T35" s="103">
        <f t="shared" si="17"/>
        <v>-490.0925853349998</v>
      </c>
      <c r="U35" s="103">
        <f t="shared" si="17"/>
        <v>-469.87089093333765</v>
      </c>
      <c r="V35" s="103">
        <f>U135</f>
        <v>-448.91581733382895</v>
      </c>
    </row>
    <row r="36" spans="1:22" x14ac:dyDescent="0.3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22" x14ac:dyDescent="0.3">
      <c r="A37" s="99" t="s">
        <v>130</v>
      </c>
      <c r="B37" s="94">
        <f t="shared" ref="B37:V37" si="18">SUM(B6,B15:B22,B34)</f>
        <v>0</v>
      </c>
      <c r="C37" s="94">
        <f t="shared" si="18"/>
        <v>0</v>
      </c>
      <c r="D37" s="94">
        <f t="shared" si="18"/>
        <v>-1.3322676295501878E-14</v>
      </c>
      <c r="E37" s="94">
        <f t="shared" si="18"/>
        <v>8.8817841970012523E-16</v>
      </c>
      <c r="F37" s="94">
        <f t="shared" si="18"/>
        <v>-1.7763568394002505E-15</v>
      </c>
      <c r="G37" s="94">
        <f t="shared" si="18"/>
        <v>0</v>
      </c>
      <c r="H37" s="94">
        <f t="shared" si="18"/>
        <v>-7.1054273576010019E-15</v>
      </c>
      <c r="I37" s="94">
        <f t="shared" si="18"/>
        <v>3.5527136788005009E-15</v>
      </c>
      <c r="J37" s="94">
        <f t="shared" si="18"/>
        <v>-3.5527136788005009E-15</v>
      </c>
      <c r="K37" s="94">
        <f t="shared" si="18"/>
        <v>-1.0658141036401503E-14</v>
      </c>
      <c r="L37" s="94">
        <f t="shared" si="18"/>
        <v>-1.4210854715202004E-14</v>
      </c>
      <c r="M37" s="94">
        <f t="shared" si="18"/>
        <v>-7.1054273576010019E-15</v>
      </c>
      <c r="N37" s="94">
        <f t="shared" si="18"/>
        <v>7.1054273576010019E-15</v>
      </c>
      <c r="O37" s="94">
        <f t="shared" si="18"/>
        <v>7.1054273576010019E-15</v>
      </c>
      <c r="P37" s="94">
        <f t="shared" si="18"/>
        <v>7.1054273576010019E-15</v>
      </c>
      <c r="Q37" s="94">
        <f t="shared" si="18"/>
        <v>-7.1054273576010019E-15</v>
      </c>
      <c r="R37" s="94">
        <f t="shared" si="18"/>
        <v>-7.1054273576010019E-15</v>
      </c>
      <c r="S37" s="94">
        <f t="shared" si="18"/>
        <v>1.4210854715202004E-14</v>
      </c>
      <c r="T37" s="94">
        <f t="shared" si="18"/>
        <v>7.1054273576010019E-15</v>
      </c>
      <c r="U37" s="94">
        <f t="shared" si="18"/>
        <v>-1.4210854715202004E-14</v>
      </c>
      <c r="V37" s="94">
        <f t="shared" si="18"/>
        <v>0</v>
      </c>
    </row>
    <row r="38" spans="1:22" x14ac:dyDescent="0.3">
      <c r="A38" s="84" t="s">
        <v>129</v>
      </c>
      <c r="B38" s="17">
        <f>SUM(B5,B10:B12,B25:B32,B35)</f>
        <v>0</v>
      </c>
      <c r="C38" s="17">
        <f t="shared" ref="C38:U38" si="19">SUM(C5,C10:C12,C25:C32,C35)</f>
        <v>0</v>
      </c>
      <c r="D38" s="17">
        <f t="shared" si="19"/>
        <v>0</v>
      </c>
      <c r="E38" s="17">
        <f t="shared" si="19"/>
        <v>0</v>
      </c>
      <c r="F38" s="17">
        <f t="shared" si="19"/>
        <v>0</v>
      </c>
      <c r="G38" s="17">
        <f t="shared" si="19"/>
        <v>0</v>
      </c>
      <c r="H38" s="17">
        <f t="shared" si="19"/>
        <v>0</v>
      </c>
      <c r="I38" s="17">
        <f t="shared" si="19"/>
        <v>0</v>
      </c>
      <c r="J38" s="17">
        <f t="shared" si="19"/>
        <v>0</v>
      </c>
      <c r="K38" s="17">
        <f t="shared" si="19"/>
        <v>0</v>
      </c>
      <c r="L38" s="17">
        <f t="shared" si="19"/>
        <v>2.1316282072803006E-13</v>
      </c>
      <c r="M38" s="17">
        <f t="shared" si="19"/>
        <v>0</v>
      </c>
      <c r="N38" s="17">
        <f t="shared" si="19"/>
        <v>0</v>
      </c>
      <c r="O38" s="17">
        <f t="shared" si="19"/>
        <v>0</v>
      </c>
      <c r="P38" s="17">
        <f t="shared" si="19"/>
        <v>0</v>
      </c>
      <c r="Q38" s="17">
        <f t="shared" si="19"/>
        <v>0</v>
      </c>
      <c r="R38" s="17">
        <f t="shared" si="19"/>
        <v>0</v>
      </c>
      <c r="S38" s="17">
        <f t="shared" si="19"/>
        <v>0</v>
      </c>
      <c r="T38" s="17">
        <f t="shared" si="19"/>
        <v>-5.1159076974727213E-13</v>
      </c>
      <c r="U38" s="17">
        <f t="shared" si="19"/>
        <v>0</v>
      </c>
      <c r="V38" s="17">
        <f>SUM(V5,V10:V12,V25:V32,V35)</f>
        <v>0</v>
      </c>
    </row>
    <row r="39" spans="1:22" x14ac:dyDescent="0.3">
      <c r="A39" s="21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</row>
    <row r="40" spans="1:22" x14ac:dyDescent="0.3">
      <c r="A40" s="99" t="s">
        <v>132</v>
      </c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85"/>
    </row>
    <row r="41" spans="1:22" x14ac:dyDescent="0.3">
      <c r="A41" s="100" t="s">
        <v>125</v>
      </c>
      <c r="B41" s="24"/>
      <c r="C41" s="24">
        <f>Tabelle21213[[#This Row],[0]]-C20-C22</f>
        <v>229.40420136730884</v>
      </c>
      <c r="D41" s="24">
        <f>Tabelle21213[[#This Row],[1]]-D20-D22</f>
        <v>457.01893526185199</v>
      </c>
      <c r="E41" s="24">
        <f>Tabelle21213[[#This Row],[2]]-E20-E22</f>
        <v>682.95487918588287</v>
      </c>
      <c r="F41" s="24">
        <f>Tabelle21213[[#This Row],[3]]-F20-F22</f>
        <v>907.3210928471018</v>
      </c>
      <c r="G41" s="24">
        <f>Tabelle21213[[#This Row],[4]]-G20-G22</f>
        <v>1130.2250774408376</v>
      </c>
      <c r="H41" s="24">
        <f>Tabelle21213[[#This Row],[5]]-H20-H22</f>
        <v>1351.7728337877236</v>
      </c>
      <c r="I41" s="24">
        <f>Tabelle21213[[#This Row],[6]]-I20-I22</f>
        <v>1572.068919360788</v>
      </c>
      <c r="J41" s="24">
        <f>Tabelle21213[[#This Row],[7]]-J20-J22</f>
        <v>1791.2165042351335</v>
      </c>
      <c r="K41" s="24">
        <f>Tabelle21213[[#This Row],[8]]-K20-K22</f>
        <v>2009.3174259926552</v>
      </c>
      <c r="L41" s="24">
        <f>Tabelle21213[[#This Row],[9]]-L20-L22</f>
        <v>2226.472243613533</v>
      </c>
      <c r="M41" s="24">
        <f>Tabelle21213[[#This Row],[10]]-M20-M22</f>
        <v>2442.7802903855559</v>
      </c>
      <c r="N41" s="24">
        <f>Tabelle21213[[#This Row],[11]]-N20-N22</f>
        <v>2658.3397258616551</v>
      </c>
      <c r="O41" s="24">
        <f>Tabelle21213[[#This Row],[12]]-O20-O22</f>
        <v>2873.247586895382</v>
      </c>
      <c r="P41" s="24">
        <f>Tabelle21213[[#This Row],[13]]-P20-P22</f>
        <v>3087.5998377834262</v>
      </c>
      <c r="Q41" s="24">
        <f>Tabelle21213[[#This Row],[14]]-Q20-Q22</f>
        <v>3301.4914195436577</v>
      </c>
      <c r="R41" s="24">
        <f>Tabelle21213[[#This Row],[15]]-R20-R22</f>
        <v>3515.016298356577</v>
      </c>
      <c r="S41" s="24">
        <f>Tabelle21213[[#This Row],[16]]-S20-S22</f>
        <v>3728.2675131974725</v>
      </c>
      <c r="T41" s="24">
        <f>Tabelle21213[[#This Row],[17]]-T20-T22</f>
        <v>3941.3372226860274</v>
      </c>
      <c r="U41" s="24">
        <f>Tabelle21213[[#This Row],[18]]-U20-U22</f>
        <v>4154.3167511795546</v>
      </c>
      <c r="V41" s="24">
        <f>Tabelle21213[[#This Row],[19]]-V20-V22</f>
        <v>4367.2966341355186</v>
      </c>
    </row>
    <row r="42" spans="1:22" x14ac:dyDescent="0.3">
      <c r="A42" s="94" t="s">
        <v>124</v>
      </c>
      <c r="B42" s="24">
        <v>0</v>
      </c>
      <c r="C42" s="24">
        <f t="shared" ref="C42:V42" si="20">IF(B42-C15-C17&gt;0,0,B42-C15-C17)</f>
        <v>0</v>
      </c>
      <c r="D42" s="24">
        <f t="shared" si="20"/>
        <v>0</v>
      </c>
      <c r="E42" s="24">
        <f t="shared" si="20"/>
        <v>0</v>
      </c>
      <c r="F42" s="24">
        <f t="shared" si="20"/>
        <v>0</v>
      </c>
      <c r="G42" s="24">
        <f t="shared" si="20"/>
        <v>0</v>
      </c>
      <c r="H42" s="24">
        <f t="shared" si="20"/>
        <v>0</v>
      </c>
      <c r="I42" s="24">
        <f t="shared" si="20"/>
        <v>0</v>
      </c>
      <c r="J42" s="24">
        <f t="shared" si="20"/>
        <v>0</v>
      </c>
      <c r="K42" s="24">
        <f t="shared" si="20"/>
        <v>0</v>
      </c>
      <c r="L42" s="24">
        <f t="shared" si="20"/>
        <v>0</v>
      </c>
      <c r="M42" s="24">
        <f t="shared" si="20"/>
        <v>0</v>
      </c>
      <c r="N42" s="24">
        <f t="shared" si="20"/>
        <v>0</v>
      </c>
      <c r="O42" s="24">
        <f t="shared" si="20"/>
        <v>0</v>
      </c>
      <c r="P42" s="24">
        <f t="shared" si="20"/>
        <v>0</v>
      </c>
      <c r="Q42" s="24">
        <f t="shared" si="20"/>
        <v>0</v>
      </c>
      <c r="R42" s="24">
        <f t="shared" si="20"/>
        <v>0</v>
      </c>
      <c r="S42" s="24">
        <f t="shared" si="20"/>
        <v>0</v>
      </c>
      <c r="T42" s="24">
        <f t="shared" si="20"/>
        <v>0</v>
      </c>
      <c r="U42" s="24">
        <f t="shared" si="20"/>
        <v>0</v>
      </c>
      <c r="V42" s="24">
        <f t="shared" si="20"/>
        <v>0</v>
      </c>
    </row>
    <row r="43" spans="1:22" x14ac:dyDescent="0.3">
      <c r="A43" s="118" t="s">
        <v>134</v>
      </c>
      <c r="B43" s="119"/>
      <c r="C43" s="119">
        <f t="shared" ref="C43:V43" si="21">SUM(C41:C42)</f>
        <v>229.40420136730884</v>
      </c>
      <c r="D43" s="119">
        <f t="shared" si="21"/>
        <v>457.01893526185199</v>
      </c>
      <c r="E43" s="119">
        <f t="shared" si="21"/>
        <v>682.95487918588287</v>
      </c>
      <c r="F43" s="119">
        <f t="shared" si="21"/>
        <v>907.3210928471018</v>
      </c>
      <c r="G43" s="119">
        <f t="shared" si="21"/>
        <v>1130.2250774408376</v>
      </c>
      <c r="H43" s="119">
        <f t="shared" si="21"/>
        <v>1351.7728337877236</v>
      </c>
      <c r="I43" s="119">
        <f t="shared" si="21"/>
        <v>1572.068919360788</v>
      </c>
      <c r="J43" s="119">
        <f t="shared" si="21"/>
        <v>1791.2165042351335</v>
      </c>
      <c r="K43" s="119">
        <f t="shared" si="21"/>
        <v>2009.3174259926552</v>
      </c>
      <c r="L43" s="119">
        <f t="shared" si="21"/>
        <v>2226.472243613533</v>
      </c>
      <c r="M43" s="119">
        <f t="shared" si="21"/>
        <v>2442.7802903855559</v>
      </c>
      <c r="N43" s="119">
        <f t="shared" si="21"/>
        <v>2658.3397258616551</v>
      </c>
      <c r="O43" s="119">
        <f t="shared" si="21"/>
        <v>2873.247586895382</v>
      </c>
      <c r="P43" s="119">
        <f t="shared" si="21"/>
        <v>3087.5998377834262</v>
      </c>
      <c r="Q43" s="119">
        <f t="shared" si="21"/>
        <v>3301.4914195436577</v>
      </c>
      <c r="R43" s="119">
        <f t="shared" si="21"/>
        <v>3515.016298356577</v>
      </c>
      <c r="S43" s="119">
        <f t="shared" si="21"/>
        <v>3728.2675131974725</v>
      </c>
      <c r="T43" s="119">
        <f t="shared" si="21"/>
        <v>3941.3372226860274</v>
      </c>
      <c r="U43" s="119">
        <f t="shared" si="21"/>
        <v>4154.3167511795546</v>
      </c>
      <c r="V43" s="119">
        <f t="shared" si="21"/>
        <v>4367.2966341355186</v>
      </c>
    </row>
    <row r="44" spans="1:22" x14ac:dyDescent="0.3">
      <c r="A44" s="107" t="s">
        <v>132</v>
      </c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</row>
    <row r="45" spans="1:22" x14ac:dyDescent="0.3">
      <c r="A45" s="109" t="s">
        <v>133</v>
      </c>
      <c r="B45" s="108">
        <f>-B10</f>
        <v>-5401.5068493150684</v>
      </c>
      <c r="C45" s="108">
        <f>B45-SUM(C11)</f>
        <v>-5401.5068493150684</v>
      </c>
      <c r="D45" s="108">
        <f t="shared" ref="D45:V45" si="22">C45-SUM(D11)</f>
        <v>-5401.5068493150684</v>
      </c>
      <c r="E45" s="108">
        <f t="shared" si="22"/>
        <v>-5401.5068493150684</v>
      </c>
      <c r="F45" s="108">
        <f t="shared" si="22"/>
        <v>-5083.7711522965346</v>
      </c>
      <c r="G45" s="108">
        <f t="shared" si="22"/>
        <v>-4766.0354552780009</v>
      </c>
      <c r="H45" s="108">
        <f t="shared" si="22"/>
        <v>-4448.2997582594671</v>
      </c>
      <c r="I45" s="108">
        <f t="shared" si="22"/>
        <v>-4130.5640612409334</v>
      </c>
      <c r="J45" s="108">
        <f t="shared" si="22"/>
        <v>-3812.8283642224001</v>
      </c>
      <c r="K45" s="108">
        <f t="shared" si="22"/>
        <v>-3495.0926672038668</v>
      </c>
      <c r="L45" s="108">
        <f t="shared" si="22"/>
        <v>-3177.3569701853335</v>
      </c>
      <c r="M45" s="108">
        <f t="shared" si="22"/>
        <v>-2859.6212731668002</v>
      </c>
      <c r="N45" s="108">
        <f t="shared" si="22"/>
        <v>-2541.8855761482669</v>
      </c>
      <c r="O45" s="108">
        <f t="shared" si="22"/>
        <v>-2224.1498791297336</v>
      </c>
      <c r="P45" s="108">
        <f t="shared" si="22"/>
        <v>-1906.4141821112003</v>
      </c>
      <c r="Q45" s="108">
        <f t="shared" si="22"/>
        <v>-1588.678485092667</v>
      </c>
      <c r="R45" s="108">
        <f t="shared" si="22"/>
        <v>-1270.9427880741337</v>
      </c>
      <c r="S45" s="108">
        <f t="shared" si="22"/>
        <v>-953.20709105560024</v>
      </c>
      <c r="T45" s="108">
        <f t="shared" si="22"/>
        <v>-635.47139403706683</v>
      </c>
      <c r="U45" s="108">
        <f t="shared" si="22"/>
        <v>-317.73569701853341</v>
      </c>
      <c r="V45" s="108">
        <f t="shared" si="22"/>
        <v>0</v>
      </c>
    </row>
    <row r="46" spans="1:22" x14ac:dyDescent="0.3">
      <c r="A46" s="109" t="s">
        <v>125</v>
      </c>
      <c r="B46" s="108"/>
      <c r="C46" s="108">
        <f>Tabelle21213[[#This Row],[0]]-C30-C32</f>
        <v>0</v>
      </c>
      <c r="D46" s="108">
        <f>Tabelle21213[[#This Row],[1]]-D30-D32</f>
        <v>0</v>
      </c>
      <c r="E46" s="108">
        <f>Tabelle21213[[#This Row],[2]]-E30-E32</f>
        <v>0</v>
      </c>
      <c r="F46" s="108">
        <f>Tabelle21213[[#This Row],[3]]-F30-F32</f>
        <v>0</v>
      </c>
      <c r="G46" s="108">
        <f>Tabelle21213[[#This Row],[4]]-G30-G32</f>
        <v>0</v>
      </c>
      <c r="H46" s="108">
        <f>Tabelle21213[[#This Row],[5]]-H30-H32</f>
        <v>0</v>
      </c>
      <c r="I46" s="108">
        <f>Tabelle21213[[#This Row],[6]]-I30-I32</f>
        <v>0</v>
      </c>
      <c r="J46" s="108">
        <f>Tabelle21213[[#This Row],[7]]-J30-J32</f>
        <v>0</v>
      </c>
      <c r="K46" s="108">
        <f>Tabelle21213[[#This Row],[8]]-K30-K32</f>
        <v>0</v>
      </c>
      <c r="L46" s="108">
        <f>Tabelle21213[[#This Row],[9]]-L30-L32</f>
        <v>0</v>
      </c>
      <c r="M46" s="108">
        <f>Tabelle21213[[#This Row],[10]]-M30-M32</f>
        <v>56.741203372667314</v>
      </c>
      <c r="N46" s="108">
        <f>Tabelle21213[[#This Row],[11]]-N30-N32</f>
        <v>203.12502684794518</v>
      </c>
      <c r="O46" s="108">
        <f>Tabelle21213[[#This Row],[12]]-O30-O32</f>
        <v>425.32846151926867</v>
      </c>
      <c r="P46" s="108">
        <f>Tabelle21213[[#This Row],[13]]-P30-P32</f>
        <v>2955.3123445773067</v>
      </c>
      <c r="Q46" s="108">
        <f>Tabelle21213[[#This Row],[14]]-Q30-Q32</f>
        <v>5349.1830947268227</v>
      </c>
      <c r="R46" s="108">
        <f>Tabelle21213[[#This Row],[15]]-R30-R32</f>
        <v>7614.2635985182942</v>
      </c>
      <c r="S46" s="108">
        <f>Tabelle21213[[#This Row],[16]]-S30-S32</f>
        <v>9757.482771205785</v>
      </c>
      <c r="T46" s="108">
        <f>Tabelle21213[[#This Row],[17]]-T30-T32</f>
        <v>11785.396752402688</v>
      </c>
      <c r="U46" s="108">
        <f>Tabelle21213[[#This Row],[18]]-U30-U32</f>
        <v>13704.208961411197</v>
      </c>
      <c r="V46" s="108">
        <f>Tabelle21213[[#This Row],[19]]-V30-V32</f>
        <v>15519.78907357505</v>
      </c>
    </row>
    <row r="47" spans="1:22" x14ac:dyDescent="0.3">
      <c r="A47" s="110" t="s">
        <v>124</v>
      </c>
      <c r="B47" s="108">
        <v>0</v>
      </c>
      <c r="C47" s="108">
        <f>IF(B47-C25-C27&gt;0,0,B47-C25-C27)</f>
        <v>-217.77604850484499</v>
      </c>
      <c r="D47" s="108">
        <f t="shared" ref="D47:V47" si="23">IF(C47-D25-D27&gt;0,0,C47-D25-D27)</f>
        <v>-369.11461457236419</v>
      </c>
      <c r="E47" s="108">
        <f t="shared" si="23"/>
        <v>-458.8087903023681</v>
      </c>
      <c r="F47" s="108">
        <f t="shared" si="23"/>
        <v>-796.67940657435747</v>
      </c>
      <c r="G47" s="108">
        <f t="shared" si="23"/>
        <v>-1054.1523646725216</v>
      </c>
      <c r="H47" s="108">
        <f t="shared" si="23"/>
        <v>-1241.8132058935814</v>
      </c>
      <c r="I47" s="108">
        <f t="shared" si="23"/>
        <v>-1348.8110301504032</v>
      </c>
      <c r="J47" s="108">
        <f t="shared" si="23"/>
        <v>-1375.9732821748646</v>
      </c>
      <c r="K47" s="108">
        <f t="shared" si="23"/>
        <v>-1334.4570240501773</v>
      </c>
      <c r="L47" s="108">
        <f t="shared" si="23"/>
        <v>-2986.544040900455</v>
      </c>
      <c r="M47" s="108">
        <f t="shared" si="23"/>
        <v>-2825.8679715000108</v>
      </c>
      <c r="N47" s="108">
        <f t="shared" si="23"/>
        <v>-2673.83627463331</v>
      </c>
      <c r="O47" s="108">
        <f t="shared" si="23"/>
        <v>-2529.9838830580379</v>
      </c>
      <c r="P47" s="108">
        <f t="shared" si="23"/>
        <v>-2393.8707501495155</v>
      </c>
      <c r="Q47" s="108">
        <f t="shared" si="23"/>
        <v>-2265.0805037914715</v>
      </c>
      <c r="R47" s="108">
        <f t="shared" si="23"/>
        <v>-2143.2191726874903</v>
      </c>
      <c r="S47" s="108">
        <f t="shared" si="23"/>
        <v>-2027.9139811969033</v>
      </c>
      <c r="T47" s="108">
        <f t="shared" si="23"/>
        <v>-1918.8122090085099</v>
      </c>
      <c r="U47" s="108">
        <f t="shared" si="23"/>
        <v>-1815.5801121638519</v>
      </c>
      <c r="V47" s="108">
        <f t="shared" si="23"/>
        <v>-1717.9019021294366</v>
      </c>
    </row>
    <row r="48" spans="1:22" x14ac:dyDescent="0.3">
      <c r="A48" s="116" t="s">
        <v>134</v>
      </c>
      <c r="B48" s="117"/>
      <c r="C48" s="117">
        <f>SUM(C46:C47)</f>
        <v>-217.77604850484499</v>
      </c>
      <c r="D48" s="117">
        <f t="shared" ref="D48:V48" si="24">SUM(D46:D47)</f>
        <v>-369.11461457236419</v>
      </c>
      <c r="E48" s="117">
        <f t="shared" si="24"/>
        <v>-458.8087903023681</v>
      </c>
      <c r="F48" s="117">
        <f t="shared" si="24"/>
        <v>-796.67940657435747</v>
      </c>
      <c r="G48" s="117">
        <f t="shared" si="24"/>
        <v>-1054.1523646725216</v>
      </c>
      <c r="H48" s="117">
        <f t="shared" si="24"/>
        <v>-1241.8132058935814</v>
      </c>
      <c r="I48" s="117">
        <f t="shared" si="24"/>
        <v>-1348.8110301504032</v>
      </c>
      <c r="J48" s="117">
        <f t="shared" si="24"/>
        <v>-1375.9732821748646</v>
      </c>
      <c r="K48" s="117">
        <f t="shared" si="24"/>
        <v>-1334.4570240501773</v>
      </c>
      <c r="L48" s="117">
        <f t="shared" si="24"/>
        <v>-2986.544040900455</v>
      </c>
      <c r="M48" s="117">
        <f t="shared" si="24"/>
        <v>-2769.1267681273434</v>
      </c>
      <c r="N48" s="117">
        <f t="shared" si="24"/>
        <v>-2470.7112477853648</v>
      </c>
      <c r="O48" s="117">
        <f t="shared" si="24"/>
        <v>-2104.6554215387691</v>
      </c>
      <c r="P48" s="117">
        <f t="shared" si="24"/>
        <v>561.44159442779119</v>
      </c>
      <c r="Q48" s="117">
        <f t="shared" si="24"/>
        <v>3084.1025909353511</v>
      </c>
      <c r="R48" s="117">
        <f t="shared" si="24"/>
        <v>5471.0444258308034</v>
      </c>
      <c r="S48" s="117">
        <f t="shared" si="24"/>
        <v>7729.5687900088815</v>
      </c>
      <c r="T48" s="117">
        <f t="shared" si="24"/>
        <v>9866.5845433941795</v>
      </c>
      <c r="U48" s="117">
        <f t="shared" si="24"/>
        <v>11888.628849247345</v>
      </c>
      <c r="V48" s="117">
        <f t="shared" si="24"/>
        <v>13801.887171445613</v>
      </c>
    </row>
    <row r="49" spans="1:22" x14ac:dyDescent="0.3">
      <c r="B49" s="106"/>
      <c r="C49" s="106"/>
      <c r="D49" s="106"/>
    </row>
    <row r="55" spans="1:22" x14ac:dyDescent="0.3">
      <c r="A55" s="30" t="s">
        <v>58</v>
      </c>
    </row>
    <row r="56" spans="1:22" ht="16.2" thickBot="1" x14ac:dyDescent="0.35"/>
    <row r="57" spans="1:22" x14ac:dyDescent="0.3">
      <c r="A57" s="4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6"/>
    </row>
    <row r="58" spans="1:22" x14ac:dyDescent="0.3">
      <c r="A58" s="11" t="s">
        <v>9</v>
      </c>
      <c r="B58" s="12"/>
      <c r="C58" s="12">
        <v>2803.2</v>
      </c>
      <c r="D58" s="12">
        <f>C58*(1-0.005)</f>
        <v>2789.1839999999997</v>
      </c>
      <c r="E58" s="12">
        <f t="shared" ref="E58:U58" si="25">D58*(1-0.005)</f>
        <v>2775.2380799999996</v>
      </c>
      <c r="F58" s="12">
        <f t="shared" si="25"/>
        <v>2761.3618895999998</v>
      </c>
      <c r="G58" s="12">
        <f t="shared" si="25"/>
        <v>2747.5550801519998</v>
      </c>
      <c r="H58" s="12">
        <f t="shared" si="25"/>
        <v>2733.81730475124</v>
      </c>
      <c r="I58" s="12">
        <f t="shared" si="25"/>
        <v>2720.148218227484</v>
      </c>
      <c r="J58" s="12">
        <f t="shared" si="25"/>
        <v>2706.5474771363465</v>
      </c>
      <c r="K58" s="12">
        <f t="shared" si="25"/>
        <v>2693.0147397506648</v>
      </c>
      <c r="L58" s="12">
        <f t="shared" si="25"/>
        <v>2679.5496660519116</v>
      </c>
      <c r="M58" s="12">
        <f t="shared" si="25"/>
        <v>2666.1519177216519</v>
      </c>
      <c r="N58" s="12">
        <f t="shared" si="25"/>
        <v>2652.8211581330438</v>
      </c>
      <c r="O58" s="12">
        <f t="shared" si="25"/>
        <v>2639.5570523423785</v>
      </c>
      <c r="P58" s="12">
        <f t="shared" si="25"/>
        <v>2626.3592670806665</v>
      </c>
      <c r="Q58" s="12">
        <f t="shared" si="25"/>
        <v>2613.2274707452634</v>
      </c>
      <c r="R58" s="12">
        <f t="shared" si="25"/>
        <v>2600.161333391537</v>
      </c>
      <c r="S58" s="12">
        <f t="shared" si="25"/>
        <v>2587.1605267245795</v>
      </c>
      <c r="T58" s="12">
        <f t="shared" si="25"/>
        <v>2574.2247240909564</v>
      </c>
      <c r="U58" s="12">
        <f t="shared" si="25"/>
        <v>2561.3536004705015</v>
      </c>
      <c r="V58" s="12">
        <f>U58*(1-0.005)</f>
        <v>2548.5468324681492</v>
      </c>
    </row>
    <row r="59" spans="1:22" x14ac:dyDescent="0.3">
      <c r="A59" s="11" t="s">
        <v>56</v>
      </c>
      <c r="B59" s="12"/>
      <c r="C59" s="12">
        <f t="shared" ref="C59:V59" si="26">C58*Wirkungsgrad</f>
        <v>2663.0399999999995</v>
      </c>
      <c r="D59" s="12">
        <f t="shared" si="26"/>
        <v>2649.7247999999995</v>
      </c>
      <c r="E59" s="12">
        <f t="shared" si="26"/>
        <v>2636.4761759999997</v>
      </c>
      <c r="F59" s="12">
        <f t="shared" si="26"/>
        <v>2623.2937951199997</v>
      </c>
      <c r="G59" s="12">
        <f t="shared" si="26"/>
        <v>2610.1773261443996</v>
      </c>
      <c r="H59" s="12">
        <f t="shared" si="26"/>
        <v>2597.1264395136777</v>
      </c>
      <c r="I59" s="12">
        <f t="shared" si="26"/>
        <v>2584.1408073161097</v>
      </c>
      <c r="J59" s="12">
        <f t="shared" si="26"/>
        <v>2571.2201032795292</v>
      </c>
      <c r="K59" s="12">
        <f t="shared" si="26"/>
        <v>2558.3640027631313</v>
      </c>
      <c r="L59" s="12">
        <f t="shared" si="26"/>
        <v>2545.5721827493157</v>
      </c>
      <c r="M59" s="12">
        <f t="shared" si="26"/>
        <v>2532.8443218355692</v>
      </c>
      <c r="N59" s="12">
        <f t="shared" si="26"/>
        <v>2520.1801002263915</v>
      </c>
      <c r="O59" s="12">
        <f t="shared" si="26"/>
        <v>2507.5791997252595</v>
      </c>
      <c r="P59" s="12">
        <f t="shared" si="26"/>
        <v>2495.041303726633</v>
      </c>
      <c r="Q59" s="12">
        <f t="shared" si="26"/>
        <v>2482.566097208</v>
      </c>
      <c r="R59" s="12">
        <f t="shared" si="26"/>
        <v>2470.1532667219599</v>
      </c>
      <c r="S59" s="12">
        <f t="shared" si="26"/>
        <v>2457.8025003883504</v>
      </c>
      <c r="T59" s="12">
        <f t="shared" si="26"/>
        <v>2445.5134878864087</v>
      </c>
      <c r="U59" s="12">
        <f t="shared" si="26"/>
        <v>2433.2859204469764</v>
      </c>
      <c r="V59" s="12">
        <f t="shared" si="26"/>
        <v>2421.1194908447414</v>
      </c>
    </row>
    <row r="60" spans="1:22" x14ac:dyDescent="0.3">
      <c r="A60" s="11" t="s">
        <v>8</v>
      </c>
      <c r="B60" s="12"/>
      <c r="C60" s="12">
        <v>0.42411917073488226</v>
      </c>
      <c r="D60" s="12">
        <v>0.4360441323113049</v>
      </c>
      <c r="E60" s="12">
        <v>0.44617333440891183</v>
      </c>
      <c r="F60" s="12">
        <v>0.4577717664241896</v>
      </c>
      <c r="G60" s="12">
        <v>0.46935366793080274</v>
      </c>
      <c r="H60" s="12">
        <v>0.48219494006666963</v>
      </c>
      <c r="I60" s="12">
        <v>0.49470300908880804</v>
      </c>
      <c r="J60" s="12">
        <v>0.50725960601985376</v>
      </c>
      <c r="K60" s="12">
        <v>0.52083431606999631</v>
      </c>
      <c r="L60" s="12">
        <v>0.5338565052631381</v>
      </c>
      <c r="M60" s="12">
        <v>0.54856391162503637</v>
      </c>
      <c r="N60" s="12">
        <v>0.56321748176115871</v>
      </c>
      <c r="O60" s="12">
        <v>0.57752760977757078</v>
      </c>
      <c r="P60" s="12">
        <v>0.59343722657237086</v>
      </c>
      <c r="Q60" s="12">
        <v>0.61073095628853435</v>
      </c>
      <c r="R60" s="12">
        <v>0.62606027632446604</v>
      </c>
      <c r="S60" s="12">
        <v>0.64192223986873176</v>
      </c>
      <c r="T60" s="12">
        <v>0.65898829614494836</v>
      </c>
      <c r="U60" s="12">
        <v>0.67907269443859763</v>
      </c>
      <c r="V60" s="13">
        <v>0.69755861835222222</v>
      </c>
    </row>
    <row r="61" spans="1:22" x14ac:dyDescent="0.3">
      <c r="A61" s="11" t="s">
        <v>10</v>
      </c>
      <c r="B61" s="12"/>
      <c r="C61" s="12">
        <f>1-0.19</f>
        <v>0.81</v>
      </c>
      <c r="D61" s="12">
        <f t="shared" ref="D61:V61" si="27">1-0.19</f>
        <v>0.81</v>
      </c>
      <c r="E61" s="12">
        <f t="shared" si="27"/>
        <v>0.81</v>
      </c>
      <c r="F61" s="12">
        <f t="shared" si="27"/>
        <v>0.81</v>
      </c>
      <c r="G61" s="12">
        <f t="shared" si="27"/>
        <v>0.81</v>
      </c>
      <c r="H61" s="12">
        <f t="shared" si="27"/>
        <v>0.81</v>
      </c>
      <c r="I61" s="12">
        <f t="shared" si="27"/>
        <v>0.81</v>
      </c>
      <c r="J61" s="12">
        <f t="shared" si="27"/>
        <v>0.81</v>
      </c>
      <c r="K61" s="12">
        <f t="shared" si="27"/>
        <v>0.81</v>
      </c>
      <c r="L61" s="12">
        <f t="shared" si="27"/>
        <v>0.81</v>
      </c>
      <c r="M61" s="12">
        <f t="shared" si="27"/>
        <v>0.81</v>
      </c>
      <c r="N61" s="12">
        <f t="shared" si="27"/>
        <v>0.81</v>
      </c>
      <c r="O61" s="12">
        <f t="shared" si="27"/>
        <v>0.81</v>
      </c>
      <c r="P61" s="12">
        <f t="shared" si="27"/>
        <v>0.81</v>
      </c>
      <c r="Q61" s="12">
        <f t="shared" si="27"/>
        <v>0.81</v>
      </c>
      <c r="R61" s="12">
        <f t="shared" si="27"/>
        <v>0.81</v>
      </c>
      <c r="S61" s="12">
        <f t="shared" si="27"/>
        <v>0.81</v>
      </c>
      <c r="T61" s="12">
        <f t="shared" si="27"/>
        <v>0.81</v>
      </c>
      <c r="U61" s="12">
        <f t="shared" si="27"/>
        <v>0.81</v>
      </c>
      <c r="V61" s="13">
        <f t="shared" si="27"/>
        <v>0.81</v>
      </c>
    </row>
    <row r="62" spans="1:22" x14ac:dyDescent="0.3">
      <c r="A62" s="11" t="s">
        <v>46</v>
      </c>
      <c r="B62" s="12"/>
      <c r="C62" s="12">
        <f>C60*C61</f>
        <v>0.34353652829525466</v>
      </c>
      <c r="D62" s="12">
        <f t="shared" ref="D62:V62" si="28">D60*D61</f>
        <v>0.35319574717215702</v>
      </c>
      <c r="E62" s="12">
        <f t="shared" si="28"/>
        <v>0.36140040087121861</v>
      </c>
      <c r="F62" s="12">
        <f t="shared" si="28"/>
        <v>0.37079513080359361</v>
      </c>
      <c r="G62" s="12">
        <f t="shared" si="28"/>
        <v>0.38017647102395025</v>
      </c>
      <c r="H62" s="12">
        <f t="shared" si="28"/>
        <v>0.39057790145400245</v>
      </c>
      <c r="I62" s="12">
        <f t="shared" si="28"/>
        <v>0.40070943736193454</v>
      </c>
      <c r="J62" s="12">
        <f t="shared" si="28"/>
        <v>0.41088028087608158</v>
      </c>
      <c r="K62" s="12">
        <f t="shared" si="28"/>
        <v>0.42187579601669706</v>
      </c>
      <c r="L62" s="12">
        <f t="shared" si="28"/>
        <v>0.43242376926314191</v>
      </c>
      <c r="M62" s="12">
        <f t="shared" si="28"/>
        <v>0.4443367684162795</v>
      </c>
      <c r="N62" s="12">
        <f t="shared" si="28"/>
        <v>0.45620616022653859</v>
      </c>
      <c r="O62" s="12">
        <f t="shared" si="28"/>
        <v>0.46779736391983234</v>
      </c>
      <c r="P62" s="12">
        <f t="shared" si="28"/>
        <v>0.48068415352362043</v>
      </c>
      <c r="Q62" s="12">
        <f t="shared" si="28"/>
        <v>0.49469207459371284</v>
      </c>
      <c r="R62" s="12">
        <f t="shared" si="28"/>
        <v>0.50710882382281752</v>
      </c>
      <c r="S62" s="12">
        <f t="shared" si="28"/>
        <v>0.5199570142936728</v>
      </c>
      <c r="T62" s="12">
        <f t="shared" si="28"/>
        <v>0.53378051987740815</v>
      </c>
      <c r="U62" s="12">
        <f t="shared" si="28"/>
        <v>0.55004888249526407</v>
      </c>
      <c r="V62" s="13">
        <f t="shared" si="28"/>
        <v>0.56502248086530005</v>
      </c>
    </row>
    <row r="63" spans="1:22" x14ac:dyDescent="0.3">
      <c r="A63" s="8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10"/>
    </row>
    <row r="64" spans="1:22" ht="16.2" thickBot="1" x14ac:dyDescent="0.35">
      <c r="A64" s="18" t="s">
        <v>7</v>
      </c>
      <c r="B64" s="19"/>
      <c r="C64" s="19">
        <v>8.1836544437538836E-2</v>
      </c>
      <c r="D64" s="19">
        <v>8.0207997203231809E-2</v>
      </c>
      <c r="E64" s="19">
        <v>7.8611858058887499E-2</v>
      </c>
      <c r="F64" s="19">
        <v>7.7047482083515639E-2</v>
      </c>
      <c r="G64" s="19">
        <v>7.5514237190053679E-2</v>
      </c>
      <c r="H64" s="19">
        <v>7.4011503869971615E-2</v>
      </c>
      <c r="I64" s="19">
        <v>7.253867494295918E-2</v>
      </c>
      <c r="J64" s="19">
        <v>7.1095155311594285E-2</v>
      </c>
      <c r="K64" s="19">
        <v>6.9680361720893563E-2</v>
      </c>
      <c r="L64" s="19">
        <v>6.8293722522647773E-2</v>
      </c>
      <c r="M64" s="19">
        <v>6.6934677444447074E-2</v>
      </c>
      <c r="N64" s="19">
        <v>6.5602677363302581E-2</v>
      </c>
      <c r="O64" s="19">
        <v>6.4297184083772857E-2</v>
      </c>
      <c r="P64" s="19">
        <v>6.301767012050577E-2</v>
      </c>
      <c r="Q64" s="19">
        <v>6.1763618485107703E-2</v>
      </c>
      <c r="R64" s="19">
        <v>6.0534522477254056E-2</v>
      </c>
      <c r="S64" s="19">
        <v>5.9329885479956698E-2</v>
      </c>
      <c r="T64" s="19">
        <v>5.8149220758905558E-2</v>
      </c>
      <c r="U64" s="19">
        <v>5.6992051265803333E-2</v>
      </c>
      <c r="V64" s="20">
        <v>5.5857909445613842E-2</v>
      </c>
    </row>
    <row r="68" spans="1:4" ht="16.2" thickBot="1" x14ac:dyDescent="0.35"/>
    <row r="69" spans="1:4" ht="31.2" x14ac:dyDescent="0.3">
      <c r="A69" s="25" t="s">
        <v>55</v>
      </c>
      <c r="C69" s="29" t="s">
        <v>57</v>
      </c>
      <c r="D69" s="7">
        <v>0.95</v>
      </c>
    </row>
    <row r="70" spans="1:4" x14ac:dyDescent="0.3">
      <c r="A70" s="26">
        <f>3.84*365*2</f>
        <v>2803.2</v>
      </c>
    </row>
    <row r="71" spans="1:4" x14ac:dyDescent="0.3">
      <c r="A71" s="26">
        <f>A70-100</f>
        <v>2703.2</v>
      </c>
    </row>
    <row r="72" spans="1:4" x14ac:dyDescent="0.3">
      <c r="A72" s="26">
        <f t="shared" ref="A72:A86" si="29">A71-100</f>
        <v>2603.1999999999998</v>
      </c>
    </row>
    <row r="73" spans="1:4" x14ac:dyDescent="0.3">
      <c r="A73" s="26">
        <f t="shared" si="29"/>
        <v>2503.1999999999998</v>
      </c>
    </row>
    <row r="74" spans="1:4" x14ac:dyDescent="0.3">
      <c r="A74" s="26">
        <f t="shared" si="29"/>
        <v>2403.1999999999998</v>
      </c>
    </row>
    <row r="75" spans="1:4" x14ac:dyDescent="0.3">
      <c r="A75" s="26">
        <f t="shared" si="29"/>
        <v>2303.1999999999998</v>
      </c>
    </row>
    <row r="76" spans="1:4" x14ac:dyDescent="0.3">
      <c r="A76" s="26">
        <f t="shared" si="29"/>
        <v>2203.1999999999998</v>
      </c>
    </row>
    <row r="77" spans="1:4" x14ac:dyDescent="0.3">
      <c r="A77" s="26">
        <f t="shared" si="29"/>
        <v>2103.1999999999998</v>
      </c>
    </row>
    <row r="78" spans="1:4" x14ac:dyDescent="0.3">
      <c r="A78" s="26">
        <f t="shared" si="29"/>
        <v>2003.1999999999998</v>
      </c>
    </row>
    <row r="79" spans="1:4" x14ac:dyDescent="0.3">
      <c r="A79" s="26">
        <f t="shared" si="29"/>
        <v>1903.1999999999998</v>
      </c>
    </row>
    <row r="80" spans="1:4" x14ac:dyDescent="0.3">
      <c r="A80" s="26">
        <f t="shared" si="29"/>
        <v>1803.1999999999998</v>
      </c>
    </row>
    <row r="81" spans="1:1" x14ac:dyDescent="0.3">
      <c r="A81" s="26">
        <f t="shared" si="29"/>
        <v>1703.1999999999998</v>
      </c>
    </row>
    <row r="82" spans="1:1" x14ac:dyDescent="0.3">
      <c r="A82" s="26">
        <f t="shared" si="29"/>
        <v>1603.1999999999998</v>
      </c>
    </row>
    <row r="83" spans="1:1" x14ac:dyDescent="0.3">
      <c r="A83" s="26">
        <f t="shared" si="29"/>
        <v>1503.1999999999998</v>
      </c>
    </row>
    <row r="84" spans="1:1" x14ac:dyDescent="0.3">
      <c r="A84" s="26">
        <f t="shared" si="29"/>
        <v>1403.1999999999998</v>
      </c>
    </row>
    <row r="85" spans="1:1" x14ac:dyDescent="0.3">
      <c r="A85" s="26">
        <f t="shared" si="29"/>
        <v>1303.1999999999998</v>
      </c>
    </row>
    <row r="86" spans="1:1" x14ac:dyDescent="0.3">
      <c r="A86" s="26">
        <f t="shared" si="29"/>
        <v>1203.1999999999998</v>
      </c>
    </row>
    <row r="87" spans="1:1" x14ac:dyDescent="0.3">
      <c r="A87" s="26">
        <f>A86-100</f>
        <v>1103.1999999999998</v>
      </c>
    </row>
    <row r="88" spans="1:1" x14ac:dyDescent="0.3">
      <c r="A88" s="26">
        <f t="shared" ref="A88:A95" si="30">A87-100</f>
        <v>1003.1999999999998</v>
      </c>
    </row>
    <row r="89" spans="1:1" x14ac:dyDescent="0.3">
      <c r="A89" s="26">
        <f t="shared" si="30"/>
        <v>903.19999999999982</v>
      </c>
    </row>
    <row r="90" spans="1:1" x14ac:dyDescent="0.3">
      <c r="A90" s="26">
        <f t="shared" si="30"/>
        <v>803.19999999999982</v>
      </c>
    </row>
    <row r="91" spans="1:1" x14ac:dyDescent="0.3">
      <c r="A91" s="26">
        <f t="shared" si="30"/>
        <v>703.19999999999982</v>
      </c>
    </row>
    <row r="92" spans="1:1" x14ac:dyDescent="0.3">
      <c r="A92" s="26">
        <f t="shared" si="30"/>
        <v>603.19999999999982</v>
      </c>
    </row>
    <row r="93" spans="1:1" x14ac:dyDescent="0.3">
      <c r="A93" s="26">
        <f t="shared" si="30"/>
        <v>503.19999999999982</v>
      </c>
    </row>
    <row r="94" spans="1:1" x14ac:dyDescent="0.3">
      <c r="A94" s="26">
        <f t="shared" si="30"/>
        <v>403.19999999999982</v>
      </c>
    </row>
    <row r="95" spans="1:1" ht="16.2" thickBot="1" x14ac:dyDescent="0.35">
      <c r="A95" s="27">
        <f t="shared" si="30"/>
        <v>303.19999999999982</v>
      </c>
    </row>
    <row r="98" spans="1:22" ht="16.2" thickBot="1" x14ac:dyDescent="0.35">
      <c r="A98" t="s">
        <v>59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 s="28"/>
      <c r="V98"/>
    </row>
    <row r="99" spans="1:22" ht="16.2" thickBot="1" x14ac:dyDescent="0.35">
      <c r="A99" s="31" t="s">
        <v>13</v>
      </c>
      <c r="B99" s="32" t="s">
        <v>15</v>
      </c>
      <c r="C99" s="32" t="s">
        <v>16</v>
      </c>
      <c r="D99" s="32" t="s">
        <v>17</v>
      </c>
      <c r="E99" s="32" t="s">
        <v>18</v>
      </c>
      <c r="F99" s="32" t="s">
        <v>19</v>
      </c>
      <c r="G99" s="32" t="s">
        <v>20</v>
      </c>
      <c r="H99" s="32" t="s">
        <v>21</v>
      </c>
      <c r="I99" s="32" t="s">
        <v>22</v>
      </c>
      <c r="J99" s="32" t="s">
        <v>23</v>
      </c>
      <c r="K99" s="32" t="s">
        <v>24</v>
      </c>
      <c r="L99" s="32" t="s">
        <v>25</v>
      </c>
      <c r="M99" s="32" t="s">
        <v>26</v>
      </c>
      <c r="N99" s="32" t="s">
        <v>27</v>
      </c>
      <c r="O99" s="32" t="s">
        <v>28</v>
      </c>
      <c r="P99" s="32" t="s">
        <v>29</v>
      </c>
      <c r="Q99" s="32" t="s">
        <v>30</v>
      </c>
      <c r="R99" s="32" t="s">
        <v>31</v>
      </c>
      <c r="S99" s="32" t="s">
        <v>32</v>
      </c>
      <c r="T99" s="32" t="s">
        <v>33</v>
      </c>
      <c r="U99" s="32" t="s">
        <v>34</v>
      </c>
      <c r="V99" s="33"/>
    </row>
    <row r="100" spans="1:22" x14ac:dyDescent="0.3">
      <c r="A100" s="34"/>
      <c r="B100" s="35"/>
      <c r="C100" s="35" t="s">
        <v>35</v>
      </c>
      <c r="D100" s="35" t="s">
        <v>35</v>
      </c>
      <c r="E100" s="35" t="s">
        <v>35</v>
      </c>
      <c r="F100" s="35" t="s">
        <v>35</v>
      </c>
      <c r="G100" s="35" t="s">
        <v>35</v>
      </c>
      <c r="H100" s="35" t="s">
        <v>35</v>
      </c>
      <c r="I100" s="35" t="s">
        <v>35</v>
      </c>
      <c r="J100" s="35" t="s">
        <v>35</v>
      </c>
      <c r="K100" s="35" t="s">
        <v>35</v>
      </c>
      <c r="L100" s="35" t="s">
        <v>35</v>
      </c>
      <c r="M100" s="35" t="s">
        <v>35</v>
      </c>
      <c r="N100" s="35" t="s">
        <v>35</v>
      </c>
      <c r="O100" s="35" t="s">
        <v>35</v>
      </c>
      <c r="P100" s="35" t="s">
        <v>35</v>
      </c>
      <c r="Q100" s="35" t="s">
        <v>35</v>
      </c>
      <c r="R100" s="35" t="s">
        <v>35</v>
      </c>
      <c r="S100" s="35" t="s">
        <v>35</v>
      </c>
      <c r="T100" s="36" t="s">
        <v>35</v>
      </c>
      <c r="U100" s="35" t="s">
        <v>35</v>
      </c>
      <c r="V100"/>
    </row>
    <row r="101" spans="1:22" x14ac:dyDescent="0.3">
      <c r="A101" s="86" t="s">
        <v>60</v>
      </c>
      <c r="B101" s="87"/>
      <c r="C101" s="87"/>
      <c r="D101" s="87"/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8"/>
      <c r="U101" s="87"/>
      <c r="V101" s="39"/>
    </row>
    <row r="102" spans="1:22" x14ac:dyDescent="0.3">
      <c r="A102" s="89" t="s">
        <v>61</v>
      </c>
      <c r="B102" s="87">
        <f>B10</f>
        <v>5401.5068493150684</v>
      </c>
      <c r="C102" s="87">
        <f>B104</f>
        <v>5131.4315068493152</v>
      </c>
      <c r="D102" s="87">
        <f t="shared" ref="D102:U102" si="31">C104</f>
        <v>4861.3561643835619</v>
      </c>
      <c r="E102" s="87">
        <f t="shared" si="31"/>
        <v>4591.2808219178087</v>
      </c>
      <c r="F102" s="87">
        <f t="shared" si="31"/>
        <v>4321.2054794520554</v>
      </c>
      <c r="G102" s="87">
        <f t="shared" si="31"/>
        <v>4051.1301369863022</v>
      </c>
      <c r="H102" s="87">
        <f t="shared" si="31"/>
        <v>3781.054794520549</v>
      </c>
      <c r="I102" s="87">
        <f t="shared" si="31"/>
        <v>3510.9794520547957</v>
      </c>
      <c r="J102" s="87">
        <f t="shared" si="31"/>
        <v>3240.9041095890425</v>
      </c>
      <c r="K102" s="87">
        <f t="shared" si="31"/>
        <v>2970.8287671232893</v>
      </c>
      <c r="L102" s="87">
        <f t="shared" si="31"/>
        <v>2700.753424657536</v>
      </c>
      <c r="M102" s="87">
        <f t="shared" si="31"/>
        <v>2430.6780821917828</v>
      </c>
      <c r="N102" s="87">
        <f t="shared" si="31"/>
        <v>2160.6027397260295</v>
      </c>
      <c r="O102" s="87">
        <f t="shared" si="31"/>
        <v>1890.5273972602761</v>
      </c>
      <c r="P102" s="87">
        <f t="shared" si="31"/>
        <v>1620.4520547945226</v>
      </c>
      <c r="Q102" s="87">
        <f t="shared" si="31"/>
        <v>1350.3767123287691</v>
      </c>
      <c r="R102" s="87">
        <f t="shared" si="31"/>
        <v>1080.3013698630157</v>
      </c>
      <c r="S102" s="87">
        <f t="shared" si="31"/>
        <v>810.22602739726221</v>
      </c>
      <c r="T102" s="87">
        <f t="shared" si="31"/>
        <v>540.15068493150875</v>
      </c>
      <c r="U102" s="87">
        <f t="shared" si="31"/>
        <v>270.07534246575534</v>
      </c>
      <c r="V102" s="39"/>
    </row>
    <row r="103" spans="1:22" x14ac:dyDescent="0.3">
      <c r="A103" s="86" t="s">
        <v>60</v>
      </c>
      <c r="B103" s="87">
        <f>$B$102/$U$99*(-1)</f>
        <v>-270.07534246575341</v>
      </c>
      <c r="C103" s="87">
        <f t="shared" ref="C103:U103" si="32">$B$102/$U$99*(-1)</f>
        <v>-270.07534246575341</v>
      </c>
      <c r="D103" s="87">
        <f t="shared" si="32"/>
        <v>-270.07534246575341</v>
      </c>
      <c r="E103" s="87">
        <f t="shared" si="32"/>
        <v>-270.07534246575341</v>
      </c>
      <c r="F103" s="87">
        <f t="shared" si="32"/>
        <v>-270.07534246575341</v>
      </c>
      <c r="G103" s="87">
        <f t="shared" si="32"/>
        <v>-270.07534246575341</v>
      </c>
      <c r="H103" s="87">
        <f t="shared" si="32"/>
        <v>-270.07534246575341</v>
      </c>
      <c r="I103" s="87">
        <f t="shared" si="32"/>
        <v>-270.07534246575341</v>
      </c>
      <c r="J103" s="87">
        <f t="shared" si="32"/>
        <v>-270.07534246575341</v>
      </c>
      <c r="K103" s="87">
        <f t="shared" si="32"/>
        <v>-270.07534246575341</v>
      </c>
      <c r="L103" s="87">
        <f t="shared" si="32"/>
        <v>-270.07534246575341</v>
      </c>
      <c r="M103" s="87">
        <f t="shared" si="32"/>
        <v>-270.07534246575341</v>
      </c>
      <c r="N103" s="87">
        <f t="shared" si="32"/>
        <v>-270.07534246575341</v>
      </c>
      <c r="O103" s="87">
        <f t="shared" si="32"/>
        <v>-270.07534246575341</v>
      </c>
      <c r="P103" s="87">
        <f t="shared" si="32"/>
        <v>-270.07534246575341</v>
      </c>
      <c r="Q103" s="87">
        <f t="shared" si="32"/>
        <v>-270.07534246575341</v>
      </c>
      <c r="R103" s="87">
        <f t="shared" si="32"/>
        <v>-270.07534246575341</v>
      </c>
      <c r="S103" s="87">
        <f t="shared" si="32"/>
        <v>-270.07534246575341</v>
      </c>
      <c r="T103" s="87">
        <f t="shared" si="32"/>
        <v>-270.07534246575341</v>
      </c>
      <c r="U103" s="87">
        <f t="shared" si="32"/>
        <v>-270.07534246575341</v>
      </c>
      <c r="V103" s="39"/>
    </row>
    <row r="104" spans="1:22" x14ac:dyDescent="0.3">
      <c r="A104" s="89" t="s">
        <v>62</v>
      </c>
      <c r="B104" s="87">
        <f>SUM(B102:B103)</f>
        <v>5131.4315068493152</v>
      </c>
      <c r="C104" s="87">
        <f t="shared" ref="C104:U104" si="33">SUM(C102:C103)</f>
        <v>4861.3561643835619</v>
      </c>
      <c r="D104" s="87">
        <f t="shared" si="33"/>
        <v>4591.2808219178087</v>
      </c>
      <c r="E104" s="87">
        <f t="shared" si="33"/>
        <v>4321.2054794520554</v>
      </c>
      <c r="F104" s="87">
        <f t="shared" si="33"/>
        <v>4051.1301369863022</v>
      </c>
      <c r="G104" s="87">
        <f t="shared" si="33"/>
        <v>3781.054794520549</v>
      </c>
      <c r="H104" s="87">
        <f t="shared" si="33"/>
        <v>3510.9794520547957</v>
      </c>
      <c r="I104" s="87">
        <f t="shared" si="33"/>
        <v>3240.9041095890425</v>
      </c>
      <c r="J104" s="87">
        <f t="shared" si="33"/>
        <v>2970.8287671232893</v>
      </c>
      <c r="K104" s="87">
        <f t="shared" si="33"/>
        <v>2700.753424657536</v>
      </c>
      <c r="L104" s="87">
        <f t="shared" si="33"/>
        <v>2430.6780821917828</v>
      </c>
      <c r="M104" s="87">
        <f t="shared" si="33"/>
        <v>2160.6027397260295</v>
      </c>
      <c r="N104" s="87">
        <f t="shared" si="33"/>
        <v>1890.5273972602761</v>
      </c>
      <c r="O104" s="87">
        <f t="shared" si="33"/>
        <v>1620.4520547945226</v>
      </c>
      <c r="P104" s="87">
        <f t="shared" si="33"/>
        <v>1350.3767123287691</v>
      </c>
      <c r="Q104" s="87">
        <f t="shared" si="33"/>
        <v>1080.3013698630157</v>
      </c>
      <c r="R104" s="87">
        <f t="shared" si="33"/>
        <v>810.22602739726221</v>
      </c>
      <c r="S104" s="87">
        <f t="shared" si="33"/>
        <v>540.15068493150875</v>
      </c>
      <c r="T104" s="87">
        <f t="shared" si="33"/>
        <v>270.07534246575534</v>
      </c>
      <c r="U104" s="87">
        <f t="shared" si="33"/>
        <v>1.9326762412674725E-12</v>
      </c>
      <c r="V104" s="39"/>
    </row>
    <row r="105" spans="1:22" x14ac:dyDescent="0.3">
      <c r="A105" s="34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 s="39"/>
    </row>
    <row r="106" spans="1:22" ht="31.2" x14ac:dyDescent="0.3">
      <c r="A106" s="90" t="s">
        <v>63</v>
      </c>
      <c r="B106" s="87"/>
      <c r="C106" s="87"/>
      <c r="D106" s="87"/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39"/>
    </row>
    <row r="107" spans="1:22" x14ac:dyDescent="0.3">
      <c r="A107" s="86" t="s">
        <v>64</v>
      </c>
      <c r="B107" s="87">
        <f>C5</f>
        <v>1129.4463164338206</v>
      </c>
      <c r="C107" s="87">
        <f t="shared" ref="C107:U107" si="34">D5</f>
        <v>1155.3969512797457</v>
      </c>
      <c r="D107" s="87">
        <f t="shared" si="34"/>
        <v>1176.3253665355769</v>
      </c>
      <c r="E107" s="87">
        <f t="shared" si="34"/>
        <v>1200.8698344416985</v>
      </c>
      <c r="F107" s="87">
        <f t="shared" si="34"/>
        <v>1225.0963019756891</v>
      </c>
      <c r="G107" s="87">
        <f t="shared" si="34"/>
        <v>1252.3212278468609</v>
      </c>
      <c r="H107" s="87">
        <f t="shared" si="34"/>
        <v>1278.3822332884611</v>
      </c>
      <c r="I107" s="87">
        <f t="shared" si="34"/>
        <v>1304.2760965799016</v>
      </c>
      <c r="J107" s="87">
        <f t="shared" si="34"/>
        <v>1332.4837656372335</v>
      </c>
      <c r="K107" s="87">
        <f t="shared" si="34"/>
        <v>-1071.7078128141729</v>
      </c>
      <c r="L107" s="87">
        <f t="shared" si="34"/>
        <v>1389.4269887233825</v>
      </c>
      <c r="M107" s="87">
        <f t="shared" si="34"/>
        <v>1419.4094896340928</v>
      </c>
      <c r="N107" s="87">
        <f t="shared" si="34"/>
        <v>1448.1962215452829</v>
      </c>
      <c r="O107" s="87">
        <f t="shared" si="34"/>
        <v>1480.6503914670454</v>
      </c>
      <c r="P107" s="87">
        <f t="shared" si="34"/>
        <v>1516.1799665973363</v>
      </c>
      <c r="Q107" s="87">
        <f t="shared" si="34"/>
        <v>1546.4648367277327</v>
      </c>
      <c r="R107" s="87">
        <f t="shared" si="34"/>
        <v>1577.7180862042594</v>
      </c>
      <c r="S107" s="87">
        <f t="shared" si="34"/>
        <v>1611.5647665817544</v>
      </c>
      <c r="T107" s="87">
        <f t="shared" si="34"/>
        <v>1652.3780263374315</v>
      </c>
      <c r="U107" s="87">
        <f t="shared" si="34"/>
        <v>1688.8727668992935</v>
      </c>
      <c r="V107" s="39"/>
    </row>
    <row r="108" spans="1:22" ht="31.2" x14ac:dyDescent="0.3">
      <c r="A108" s="90" t="s">
        <v>119</v>
      </c>
      <c r="B108" s="87">
        <f>IF(B107&gt;0,SUM(B123:B124)*(-1)*0.25,0)</f>
        <v>72.650267123287676</v>
      </c>
      <c r="C108" s="87">
        <f t="shared" ref="C108:U108" si="35">IF(C107&gt;0,SUM(C123:C124)*(-1)*0.25,0)</f>
        <v>75.579354975677845</v>
      </c>
      <c r="D108" s="87">
        <f t="shared" si="35"/>
        <v>77.614858689285981</v>
      </c>
      <c r="E108" s="87">
        <f t="shared" si="35"/>
        <v>77.218665931017313</v>
      </c>
      <c r="F108" s="87">
        <f t="shared" si="35"/>
        <v>77.4894805949763</v>
      </c>
      <c r="G108" s="87">
        <f t="shared" si="35"/>
        <v>76.678946756497353</v>
      </c>
      <c r="H108" s="87">
        <f t="shared" si="35"/>
        <v>74.929439946021347</v>
      </c>
      <c r="I108" s="87">
        <f t="shared" si="35"/>
        <v>72.095015557376342</v>
      </c>
      <c r="J108" s="87">
        <f t="shared" si="35"/>
        <v>68.186802722206068</v>
      </c>
      <c r="K108" s="87">
        <f t="shared" si="35"/>
        <v>0</v>
      </c>
      <c r="L108" s="87">
        <f t="shared" si="35"/>
        <v>81.301889177266702</v>
      </c>
      <c r="M108" s="87">
        <f t="shared" si="35"/>
        <v>74.867250918931461</v>
      </c>
      <c r="N108" s="87">
        <f t="shared" si="35"/>
        <v>68.548879471175042</v>
      </c>
      <c r="O108" s="87">
        <f t="shared" si="35"/>
        <v>62.340519679588354</v>
      </c>
      <c r="P108" s="87">
        <f t="shared" si="35"/>
        <v>56.23625291706945</v>
      </c>
      <c r="Q108" s="87">
        <f t="shared" si="35"/>
        <v>50.230478978654482</v>
      </c>
      <c r="R108" s="87">
        <f t="shared" si="35"/>
        <v>44.317898950406658</v>
      </c>
      <c r="S108" s="87">
        <f t="shared" si="35"/>
        <v>38.493498999958987</v>
      </c>
      <c r="T108" s="87">
        <f t="shared" si="35"/>
        <v>32.752535039125817</v>
      </c>
      <c r="U108" s="87">
        <f t="shared" si="35"/>
        <v>27.090518211665895</v>
      </c>
      <c r="V108" s="39"/>
    </row>
    <row r="109" spans="1:22" x14ac:dyDescent="0.3">
      <c r="A109" s="86" t="s">
        <v>65</v>
      </c>
      <c r="B109" s="87">
        <f>IF(B107&gt;0,SUM(B123),0)</f>
        <v>-290.60106849315071</v>
      </c>
      <c r="C109" s="87">
        <f t="shared" ref="C109:U109" si="36">IF(C107&gt;0,SUM(C123),0)</f>
        <v>-302.31741990271138</v>
      </c>
      <c r="D109" s="87">
        <f t="shared" si="36"/>
        <v>-310.45943475714392</v>
      </c>
      <c r="E109" s="87">
        <f t="shared" si="36"/>
        <v>-308.87466372406925</v>
      </c>
      <c r="F109" s="87">
        <f t="shared" si="36"/>
        <v>-309.9579223799052</v>
      </c>
      <c r="G109" s="87">
        <f t="shared" si="36"/>
        <v>-306.71578702598941</v>
      </c>
      <c r="H109" s="87">
        <f t="shared" si="36"/>
        <v>-299.71775978408539</v>
      </c>
      <c r="I109" s="87">
        <f t="shared" si="36"/>
        <v>-288.38006222950537</v>
      </c>
      <c r="J109" s="87">
        <f t="shared" si="36"/>
        <v>-272.74721088882427</v>
      </c>
      <c r="K109" s="87">
        <f t="shared" si="36"/>
        <v>0</v>
      </c>
      <c r="L109" s="87">
        <f t="shared" si="36"/>
        <v>-325.20755670906681</v>
      </c>
      <c r="M109" s="87">
        <f t="shared" si="36"/>
        <v>-299.46900367572584</v>
      </c>
      <c r="N109" s="87">
        <f t="shared" si="36"/>
        <v>-274.19551788470017</v>
      </c>
      <c r="O109" s="87">
        <f t="shared" si="36"/>
        <v>-249.36207871835342</v>
      </c>
      <c r="P109" s="87">
        <f t="shared" si="36"/>
        <v>-224.9450116682778</v>
      </c>
      <c r="Q109" s="87">
        <f t="shared" si="36"/>
        <v>-200.92191591461793</v>
      </c>
      <c r="R109" s="87">
        <f t="shared" si="36"/>
        <v>-177.27159580162663</v>
      </c>
      <c r="S109" s="87">
        <f t="shared" si="36"/>
        <v>-153.97399599983595</v>
      </c>
      <c r="T109" s="87">
        <f t="shared" si="36"/>
        <v>-131.01014015650327</v>
      </c>
      <c r="U109" s="87">
        <f t="shared" si="36"/>
        <v>-108.36207284666358</v>
      </c>
      <c r="V109" s="39"/>
    </row>
    <row r="110" spans="1:22" x14ac:dyDescent="0.3">
      <c r="A110" s="86" t="s">
        <v>66</v>
      </c>
      <c r="B110" s="87">
        <f>IF(B107&gt;0,B124,0)</f>
        <v>0</v>
      </c>
      <c r="C110" s="87">
        <f t="shared" ref="C110:U110" si="37">IF(C107&gt;0,C124,0)</f>
        <v>0</v>
      </c>
      <c r="D110" s="87">
        <f t="shared" si="37"/>
        <v>0</v>
      </c>
      <c r="E110" s="87">
        <f t="shared" si="37"/>
        <v>0</v>
      </c>
      <c r="F110" s="87">
        <f t="shared" si="37"/>
        <v>0</v>
      </c>
      <c r="G110" s="87">
        <f t="shared" si="37"/>
        <v>0</v>
      </c>
      <c r="H110" s="87">
        <f t="shared" si="37"/>
        <v>0</v>
      </c>
      <c r="I110" s="87">
        <f t="shared" si="37"/>
        <v>0</v>
      </c>
      <c r="J110" s="87">
        <f t="shared" si="37"/>
        <v>0</v>
      </c>
      <c r="K110" s="87">
        <f t="shared" si="37"/>
        <v>0</v>
      </c>
      <c r="L110" s="87">
        <f t="shared" si="37"/>
        <v>0</v>
      </c>
      <c r="M110" s="87">
        <f t="shared" si="37"/>
        <v>-1.2079226507921704E-16</v>
      </c>
      <c r="N110" s="87">
        <f t="shared" si="37"/>
        <v>1.2079226507921704E-16</v>
      </c>
      <c r="O110" s="87">
        <f t="shared" si="37"/>
        <v>1.2079226507921704E-16</v>
      </c>
      <c r="P110" s="87">
        <f t="shared" si="37"/>
        <v>1.2079226507921704E-16</v>
      </c>
      <c r="Q110" s="87">
        <f t="shared" si="37"/>
        <v>-1.2079226507921704E-16</v>
      </c>
      <c r="R110" s="87">
        <f t="shared" si="37"/>
        <v>-1.2079226507921704E-16</v>
      </c>
      <c r="S110" s="87">
        <f t="shared" si="37"/>
        <v>2.4158453015843408E-16</v>
      </c>
      <c r="T110" s="87">
        <f t="shared" si="37"/>
        <v>1.2079226507921704E-16</v>
      </c>
      <c r="U110" s="87">
        <f t="shared" si="37"/>
        <v>-2.4158453015843408E-16</v>
      </c>
      <c r="V110" s="39"/>
    </row>
    <row r="111" spans="1:22" ht="31.2" x14ac:dyDescent="0.3">
      <c r="A111" s="91" t="s">
        <v>120</v>
      </c>
      <c r="B111" s="87">
        <f t="shared" ref="B111:U111" si="38">IF(SUM(B107:B110)&gt;0,ROUNDDOWN(SUM(B107:B110),-2),ROUNDUP(SUM(B107:B110),-2))*Gewerbesteuer</f>
        <v>111.825</v>
      </c>
      <c r="C111" s="87">
        <f t="shared" si="38"/>
        <v>111.825</v>
      </c>
      <c r="D111" s="87">
        <f t="shared" si="38"/>
        <v>111.825</v>
      </c>
      <c r="E111" s="87">
        <f t="shared" si="38"/>
        <v>111.825</v>
      </c>
      <c r="F111" s="87">
        <f t="shared" si="38"/>
        <v>111.825</v>
      </c>
      <c r="G111" s="87">
        <f t="shared" si="38"/>
        <v>124.25</v>
      </c>
      <c r="H111" s="87">
        <f t="shared" si="38"/>
        <v>124.25</v>
      </c>
      <c r="I111" s="87">
        <f t="shared" si="38"/>
        <v>124.25</v>
      </c>
      <c r="J111" s="87">
        <f t="shared" si="38"/>
        <v>136.67500000000001</v>
      </c>
      <c r="K111" s="87">
        <f t="shared" si="38"/>
        <v>-136.67500000000001</v>
      </c>
      <c r="L111" s="87">
        <f t="shared" si="38"/>
        <v>136.67500000000001</v>
      </c>
      <c r="M111" s="87">
        <f t="shared" si="38"/>
        <v>136.67500000000001</v>
      </c>
      <c r="N111" s="87">
        <f t="shared" si="38"/>
        <v>149.1</v>
      </c>
      <c r="O111" s="87">
        <f t="shared" si="38"/>
        <v>149.1</v>
      </c>
      <c r="P111" s="87">
        <f t="shared" si="38"/>
        <v>161.52500000000001</v>
      </c>
      <c r="Q111" s="87">
        <f t="shared" si="38"/>
        <v>161.52500000000001</v>
      </c>
      <c r="R111" s="87">
        <f t="shared" si="38"/>
        <v>173.95</v>
      </c>
      <c r="S111" s="87">
        <f t="shared" si="38"/>
        <v>173.95</v>
      </c>
      <c r="T111" s="87">
        <f t="shared" si="38"/>
        <v>186.375</v>
      </c>
      <c r="U111" s="87">
        <f t="shared" si="38"/>
        <v>198.8</v>
      </c>
      <c r="V111" s="39"/>
    </row>
    <row r="112" spans="1:22" x14ac:dyDescent="0.3">
      <c r="A112" s="91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87"/>
      <c r="V112" s="39"/>
    </row>
    <row r="113" spans="1:22" ht="31.2" x14ac:dyDescent="0.3">
      <c r="A113" s="93" t="s">
        <v>63</v>
      </c>
      <c r="B113" s="94"/>
      <c r="C113" s="94"/>
      <c r="D113" s="94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O113" s="94"/>
      <c r="P113" s="94"/>
      <c r="Q113" s="94"/>
      <c r="R113" s="94"/>
      <c r="S113" s="94"/>
      <c r="T113" s="95"/>
      <c r="U113" s="94"/>
      <c r="V113" s="39"/>
    </row>
    <row r="114" spans="1:22" x14ac:dyDescent="0.3">
      <c r="A114" s="96" t="s">
        <v>64</v>
      </c>
      <c r="B114" s="94">
        <f t="shared" ref="B114:U114" si="39">C6</f>
        <v>229.40420136730884</v>
      </c>
      <c r="C114" s="94">
        <f t="shared" si="39"/>
        <v>223.71486247129889</v>
      </c>
      <c r="D114" s="94">
        <f t="shared" si="39"/>
        <v>218.16662202457945</v>
      </c>
      <c r="E114" s="94">
        <f t="shared" si="39"/>
        <v>212.75598071505888</v>
      </c>
      <c r="F114" s="94">
        <f t="shared" si="39"/>
        <v>207.47952601533507</v>
      </c>
      <c r="G114" s="94">
        <f t="shared" si="39"/>
        <v>202.33393003039177</v>
      </c>
      <c r="H114" s="94">
        <f t="shared" si="39"/>
        <v>197.31594739867305</v>
      </c>
      <c r="I114" s="94">
        <f t="shared" si="39"/>
        <v>192.42241324521223</v>
      </c>
      <c r="J114" s="94">
        <f t="shared" si="39"/>
        <v>187.65024118552438</v>
      </c>
      <c r="K114" s="94">
        <f t="shared" si="39"/>
        <v>182.99642137900275</v>
      </c>
      <c r="L114" s="94">
        <f t="shared" si="39"/>
        <v>178.45801863059276</v>
      </c>
      <c r="M114" s="94">
        <f t="shared" si="39"/>
        <v>174.03217053954478</v>
      </c>
      <c r="N114" s="94">
        <f t="shared" si="39"/>
        <v>169.71608569407877</v>
      </c>
      <c r="O114" s="94">
        <f t="shared" si="39"/>
        <v>165.50704191082275</v>
      </c>
      <c r="P114" s="94">
        <f t="shared" si="39"/>
        <v>161.40238451791339</v>
      </c>
      <c r="Q114" s="94">
        <f t="shared" si="39"/>
        <v>157.39952468067688</v>
      </c>
      <c r="R114" s="94">
        <f t="shared" si="39"/>
        <v>153.49593776883376</v>
      </c>
      <c r="S114" s="94">
        <f t="shared" si="39"/>
        <v>149.68916176419776</v>
      </c>
      <c r="T114" s="94">
        <f t="shared" si="39"/>
        <v>145.97679570786477</v>
      </c>
      <c r="U114" s="94">
        <f t="shared" si="39"/>
        <v>142.35649818591187</v>
      </c>
      <c r="V114" s="39"/>
    </row>
    <row r="115" spans="1:22" ht="31.2" x14ac:dyDescent="0.3">
      <c r="A115" s="93" t="s">
        <v>119</v>
      </c>
      <c r="B115" s="94">
        <f>IF(B114&gt;0,SUM(B130:B131)*(-1)*0.25,0)</f>
        <v>0</v>
      </c>
      <c r="C115" s="94">
        <f t="shared" ref="C115:U115" si="40">IF(C114&gt;0,SUM(C130:C131)*(-1)*0.25,0)</f>
        <v>-0.9749678558110626</v>
      </c>
      <c r="D115" s="94">
        <f t="shared" si="40"/>
        <v>-1.9423304748628711</v>
      </c>
      <c r="E115" s="94">
        <f t="shared" si="40"/>
        <v>-2.9025582365400022</v>
      </c>
      <c r="F115" s="94">
        <f t="shared" si="40"/>
        <v>-3.8561146446001828</v>
      </c>
      <c r="G115" s="94">
        <f t="shared" si="40"/>
        <v>-4.8034565791235604</v>
      </c>
      <c r="H115" s="94">
        <f t="shared" si="40"/>
        <v>-5.7450345435978258</v>
      </c>
      <c r="I115" s="94">
        <f t="shared" si="40"/>
        <v>-6.6812929072833489</v>
      </c>
      <c r="J115" s="94">
        <f t="shared" si="40"/>
        <v>-7.6126701429993178</v>
      </c>
      <c r="K115" s="94">
        <f t="shared" si="40"/>
        <v>-8.5395990604687846</v>
      </c>
      <c r="L115" s="94">
        <f t="shared" si="40"/>
        <v>-9.4625070353575165</v>
      </c>
      <c r="M115" s="94">
        <f t="shared" si="40"/>
        <v>-10.381816234138613</v>
      </c>
      <c r="N115" s="94">
        <f t="shared" si="40"/>
        <v>-11.297943834912035</v>
      </c>
      <c r="O115" s="94">
        <f t="shared" si="40"/>
        <v>-12.211302244305374</v>
      </c>
      <c r="P115" s="94">
        <f t="shared" si="40"/>
        <v>-13.122299310579562</v>
      </c>
      <c r="Q115" s="94">
        <f t="shared" si="40"/>
        <v>-14.031338533060547</v>
      </c>
      <c r="R115" s="94">
        <f t="shared" si="40"/>
        <v>-14.938819268015454</v>
      </c>
      <c r="S115" s="94">
        <f t="shared" si="40"/>
        <v>-15.845136931089259</v>
      </c>
      <c r="T115" s="94">
        <f t="shared" si="40"/>
        <v>-16.750683196415618</v>
      </c>
      <c r="U115" s="94">
        <f t="shared" si="40"/>
        <v>-17.65584619251311</v>
      </c>
      <c r="V115" s="39"/>
    </row>
    <row r="116" spans="1:22" x14ac:dyDescent="0.3">
      <c r="A116" s="96" t="s">
        <v>65</v>
      </c>
      <c r="B116" s="94">
        <f>IF(B114&gt;0,SUM(B130),0)</f>
        <v>0</v>
      </c>
      <c r="C116" s="94">
        <f t="shared" ref="C116:U116" si="41">IF(C114&gt;0,SUM(C130),0)</f>
        <v>0</v>
      </c>
      <c r="D116" s="94">
        <f t="shared" si="41"/>
        <v>0</v>
      </c>
      <c r="E116" s="94">
        <f t="shared" si="41"/>
        <v>0</v>
      </c>
      <c r="F116" s="94">
        <f t="shared" si="41"/>
        <v>0</v>
      </c>
      <c r="G116" s="94">
        <f t="shared" si="41"/>
        <v>0</v>
      </c>
      <c r="H116" s="94">
        <f t="shared" si="41"/>
        <v>0</v>
      </c>
      <c r="I116" s="94">
        <f t="shared" si="41"/>
        <v>0</v>
      </c>
      <c r="J116" s="94">
        <f t="shared" si="41"/>
        <v>0</v>
      </c>
      <c r="K116" s="94">
        <f t="shared" si="41"/>
        <v>0</v>
      </c>
      <c r="L116" s="94">
        <f t="shared" si="41"/>
        <v>0</v>
      </c>
      <c r="M116" s="94">
        <f t="shared" si="41"/>
        <v>0</v>
      </c>
      <c r="N116" s="94">
        <f t="shared" si="41"/>
        <v>0</v>
      </c>
      <c r="O116" s="94">
        <f t="shared" si="41"/>
        <v>0</v>
      </c>
      <c r="P116" s="94">
        <f t="shared" si="41"/>
        <v>0</v>
      </c>
      <c r="Q116" s="94">
        <f t="shared" si="41"/>
        <v>0</v>
      </c>
      <c r="R116" s="94">
        <f t="shared" si="41"/>
        <v>0</v>
      </c>
      <c r="S116" s="94">
        <f t="shared" si="41"/>
        <v>0</v>
      </c>
      <c r="T116" s="94">
        <f t="shared" si="41"/>
        <v>0</v>
      </c>
      <c r="U116" s="94">
        <f t="shared" si="41"/>
        <v>0</v>
      </c>
      <c r="V116" s="39"/>
    </row>
    <row r="117" spans="1:22" x14ac:dyDescent="0.3">
      <c r="A117" s="96" t="s">
        <v>66</v>
      </c>
      <c r="B117" s="94">
        <f>IF(B114&gt;0,B131,0)</f>
        <v>0</v>
      </c>
      <c r="C117" s="94">
        <f t="shared" ref="C117:U117" si="42">IF(C114&gt;0,C131,0)</f>
        <v>3.8998714232442504</v>
      </c>
      <c r="D117" s="94">
        <f t="shared" si="42"/>
        <v>7.7693218994514845</v>
      </c>
      <c r="E117" s="94">
        <f t="shared" si="42"/>
        <v>11.610232946160009</v>
      </c>
      <c r="F117" s="94">
        <f t="shared" si="42"/>
        <v>15.424458578400731</v>
      </c>
      <c r="G117" s="94">
        <f t="shared" si="42"/>
        <v>19.213826316494242</v>
      </c>
      <c r="H117" s="94">
        <f t="shared" si="42"/>
        <v>22.980138174391303</v>
      </c>
      <c r="I117" s="94">
        <f t="shared" si="42"/>
        <v>26.725171629133396</v>
      </c>
      <c r="J117" s="94">
        <f t="shared" si="42"/>
        <v>30.450680571997271</v>
      </c>
      <c r="K117" s="94">
        <f t="shared" si="42"/>
        <v>34.158396241875138</v>
      </c>
      <c r="L117" s="94">
        <f t="shared" si="42"/>
        <v>37.850028141430066</v>
      </c>
      <c r="M117" s="94">
        <f t="shared" si="42"/>
        <v>41.527264936554452</v>
      </c>
      <c r="N117" s="94">
        <f t="shared" si="42"/>
        <v>45.191775339648139</v>
      </c>
      <c r="O117" s="94">
        <f t="shared" si="42"/>
        <v>48.845208977221496</v>
      </c>
      <c r="P117" s="94">
        <f t="shared" si="42"/>
        <v>52.489197242318248</v>
      </c>
      <c r="Q117" s="94">
        <f t="shared" si="42"/>
        <v>56.125354132242187</v>
      </c>
      <c r="R117" s="94">
        <f t="shared" si="42"/>
        <v>59.755277072061816</v>
      </c>
      <c r="S117" s="94">
        <f t="shared" si="42"/>
        <v>63.380547724357037</v>
      </c>
      <c r="T117" s="94">
        <f t="shared" si="42"/>
        <v>67.002732785662474</v>
      </c>
      <c r="U117" s="94">
        <f t="shared" si="42"/>
        <v>70.623384770052439</v>
      </c>
      <c r="V117" s="39"/>
    </row>
    <row r="118" spans="1:22" ht="31.2" x14ac:dyDescent="0.3">
      <c r="A118" s="97" t="s">
        <v>120</v>
      </c>
      <c r="B118" s="94">
        <f>IF(SUM(B114:B117)&gt;0,ROUNDDOWN(SUM(B114:B117),-2),ROUNDUP(SUM(B114:B117),-2))*Gewerbesteuer</f>
        <v>24.85</v>
      </c>
      <c r="C118" s="94">
        <f t="shared" ref="C118" si="43">ROUNDDOWN(SUM(C114:C117),-2)*Gewerbesteuer</f>
        <v>24.85</v>
      </c>
      <c r="D118" s="94">
        <f t="shared" ref="D118:U118" si="44">IF(SUM(D114:D117)&gt;0,ROUNDDOWN(SUM(D114:D117),-2),ROUNDUP(SUM(D114:D117),-2))*Gewerbesteuer</f>
        <v>24.85</v>
      </c>
      <c r="E118" s="94">
        <f t="shared" si="44"/>
        <v>24.85</v>
      </c>
      <c r="F118" s="94">
        <f t="shared" si="44"/>
        <v>24.85</v>
      </c>
      <c r="G118" s="94">
        <f t="shared" si="44"/>
        <v>24.85</v>
      </c>
      <c r="H118" s="94">
        <f t="shared" si="44"/>
        <v>24.85</v>
      </c>
      <c r="I118" s="94">
        <f t="shared" si="44"/>
        <v>24.85</v>
      </c>
      <c r="J118" s="94">
        <f t="shared" si="44"/>
        <v>24.85</v>
      </c>
      <c r="K118" s="94">
        <f t="shared" si="44"/>
        <v>24.85</v>
      </c>
      <c r="L118" s="94">
        <f t="shared" si="44"/>
        <v>24.85</v>
      </c>
      <c r="M118" s="94">
        <f t="shared" si="44"/>
        <v>24.85</v>
      </c>
      <c r="N118" s="94">
        <f t="shared" si="44"/>
        <v>24.85</v>
      </c>
      <c r="O118" s="94">
        <f t="shared" si="44"/>
        <v>24.85</v>
      </c>
      <c r="P118" s="94">
        <f t="shared" si="44"/>
        <v>24.85</v>
      </c>
      <c r="Q118" s="94">
        <f t="shared" si="44"/>
        <v>12.425000000000001</v>
      </c>
      <c r="R118" s="94">
        <f t="shared" si="44"/>
        <v>12.425000000000001</v>
      </c>
      <c r="S118" s="94">
        <f t="shared" si="44"/>
        <v>12.425000000000001</v>
      </c>
      <c r="T118" s="95">
        <f t="shared" si="44"/>
        <v>12.425000000000001</v>
      </c>
      <c r="U118" s="94">
        <f t="shared" si="44"/>
        <v>12.425000000000001</v>
      </c>
      <c r="V118" s="39"/>
    </row>
    <row r="119" spans="1:22" x14ac:dyDescent="0.3">
      <c r="A119" s="34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 s="41"/>
      <c r="V119" s="39"/>
    </row>
    <row r="120" spans="1:22" x14ac:dyDescent="0.3">
      <c r="A120" s="111" t="s">
        <v>67</v>
      </c>
      <c r="B120" s="110"/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2"/>
      <c r="U120" s="110"/>
      <c r="V120" s="39"/>
    </row>
    <row r="121" spans="1:22" x14ac:dyDescent="0.3">
      <c r="A121" s="111" t="s">
        <v>64</v>
      </c>
      <c r="B121" s="110">
        <f>B107</f>
        <v>1129.4463164338206</v>
      </c>
      <c r="C121" s="110">
        <f t="shared" ref="C121:U121" si="45">C107</f>
        <v>1155.3969512797457</v>
      </c>
      <c r="D121" s="110">
        <f t="shared" si="45"/>
        <v>1176.3253665355769</v>
      </c>
      <c r="E121" s="110">
        <f t="shared" si="45"/>
        <v>1200.8698344416985</v>
      </c>
      <c r="F121" s="110">
        <f t="shared" si="45"/>
        <v>1225.0963019756891</v>
      </c>
      <c r="G121" s="110">
        <f t="shared" si="45"/>
        <v>1252.3212278468609</v>
      </c>
      <c r="H121" s="110">
        <f t="shared" si="45"/>
        <v>1278.3822332884611</v>
      </c>
      <c r="I121" s="110">
        <f t="shared" si="45"/>
        <v>1304.2760965799016</v>
      </c>
      <c r="J121" s="110">
        <f t="shared" si="45"/>
        <v>1332.4837656372335</v>
      </c>
      <c r="K121" s="110">
        <f t="shared" si="45"/>
        <v>-1071.7078128141729</v>
      </c>
      <c r="L121" s="110">
        <f t="shared" si="45"/>
        <v>1389.4269887233825</v>
      </c>
      <c r="M121" s="110">
        <f t="shared" si="45"/>
        <v>1419.4094896340928</v>
      </c>
      <c r="N121" s="110">
        <f t="shared" si="45"/>
        <v>1448.1962215452829</v>
      </c>
      <c r="O121" s="110">
        <f t="shared" si="45"/>
        <v>1480.6503914670454</v>
      </c>
      <c r="P121" s="110">
        <f t="shared" si="45"/>
        <v>1516.1799665973363</v>
      </c>
      <c r="Q121" s="110">
        <f t="shared" si="45"/>
        <v>1546.4648367277327</v>
      </c>
      <c r="R121" s="110">
        <f t="shared" si="45"/>
        <v>1577.7180862042594</v>
      </c>
      <c r="S121" s="110">
        <f t="shared" si="45"/>
        <v>1611.5647665817544</v>
      </c>
      <c r="T121" s="110">
        <f t="shared" si="45"/>
        <v>1652.3780263374315</v>
      </c>
      <c r="U121" s="110">
        <f t="shared" si="45"/>
        <v>1688.8727668992935</v>
      </c>
      <c r="V121" s="39"/>
    </row>
    <row r="122" spans="1:22" x14ac:dyDescent="0.3">
      <c r="A122" s="111" t="s">
        <v>60</v>
      </c>
      <c r="B122" s="110">
        <f>B104</f>
        <v>5131.4315068493152</v>
      </c>
      <c r="C122" s="110">
        <f t="shared" ref="C122:U122" si="46">C104</f>
        <v>4861.3561643835619</v>
      </c>
      <c r="D122" s="110">
        <f t="shared" si="46"/>
        <v>4591.2808219178087</v>
      </c>
      <c r="E122" s="110">
        <f t="shared" si="46"/>
        <v>4321.2054794520554</v>
      </c>
      <c r="F122" s="110">
        <f t="shared" si="46"/>
        <v>4051.1301369863022</v>
      </c>
      <c r="G122" s="110">
        <f t="shared" si="46"/>
        <v>3781.054794520549</v>
      </c>
      <c r="H122" s="110">
        <f t="shared" si="46"/>
        <v>3510.9794520547957</v>
      </c>
      <c r="I122" s="110">
        <f t="shared" si="46"/>
        <v>3240.9041095890425</v>
      </c>
      <c r="J122" s="110">
        <f t="shared" si="46"/>
        <v>2970.8287671232893</v>
      </c>
      <c r="K122" s="110">
        <f t="shared" si="46"/>
        <v>2700.753424657536</v>
      </c>
      <c r="L122" s="110">
        <f t="shared" si="46"/>
        <v>2430.6780821917828</v>
      </c>
      <c r="M122" s="110">
        <f t="shared" si="46"/>
        <v>2160.6027397260295</v>
      </c>
      <c r="N122" s="110">
        <f t="shared" si="46"/>
        <v>1890.5273972602761</v>
      </c>
      <c r="O122" s="110">
        <f t="shared" si="46"/>
        <v>1620.4520547945226</v>
      </c>
      <c r="P122" s="110">
        <f t="shared" si="46"/>
        <v>1350.3767123287691</v>
      </c>
      <c r="Q122" s="110">
        <f t="shared" si="46"/>
        <v>1080.3013698630157</v>
      </c>
      <c r="R122" s="110">
        <f t="shared" si="46"/>
        <v>810.22602739726221</v>
      </c>
      <c r="S122" s="110">
        <f t="shared" si="46"/>
        <v>540.15068493150875</v>
      </c>
      <c r="T122" s="110">
        <f t="shared" si="46"/>
        <v>270.07534246575534</v>
      </c>
      <c r="U122" s="110">
        <f t="shared" si="46"/>
        <v>1.9326762412674725E-12</v>
      </c>
      <c r="V122" s="39"/>
    </row>
    <row r="123" spans="1:22" x14ac:dyDescent="0.3">
      <c r="A123" s="111" t="s">
        <v>65</v>
      </c>
      <c r="B123" s="110">
        <f>SUM(C27,C12)</f>
        <v>-290.60106849315071</v>
      </c>
      <c r="C123" s="110">
        <f t="shared" ref="C123:U123" si="47">SUM(D27,D12)</f>
        <v>-302.31741990271138</v>
      </c>
      <c r="D123" s="110">
        <f t="shared" si="47"/>
        <v>-310.45943475714392</v>
      </c>
      <c r="E123" s="110">
        <f t="shared" si="47"/>
        <v>-308.87466372406925</v>
      </c>
      <c r="F123" s="110">
        <f t="shared" si="47"/>
        <v>-309.9579223799052</v>
      </c>
      <c r="G123" s="110">
        <f t="shared" si="47"/>
        <v>-306.71578702598941</v>
      </c>
      <c r="H123" s="110">
        <f t="shared" si="47"/>
        <v>-299.71775978408539</v>
      </c>
      <c r="I123" s="110">
        <f t="shared" si="47"/>
        <v>-288.38006222950537</v>
      </c>
      <c r="J123" s="110">
        <f t="shared" si="47"/>
        <v>-272.74721088882427</v>
      </c>
      <c r="K123" s="110">
        <f t="shared" si="47"/>
        <v>-253.41945570211897</v>
      </c>
      <c r="L123" s="110">
        <f t="shared" si="47"/>
        <v>-325.20755670906681</v>
      </c>
      <c r="M123" s="110">
        <f t="shared" si="47"/>
        <v>-299.46900367572584</v>
      </c>
      <c r="N123" s="110">
        <f t="shared" si="47"/>
        <v>-274.19551788470017</v>
      </c>
      <c r="O123" s="110">
        <f t="shared" si="47"/>
        <v>-249.36207871835342</v>
      </c>
      <c r="P123" s="110">
        <f t="shared" si="47"/>
        <v>-224.9450116682778</v>
      </c>
      <c r="Q123" s="110">
        <f t="shared" si="47"/>
        <v>-200.92191591461793</v>
      </c>
      <c r="R123" s="110">
        <f t="shared" si="47"/>
        <v>-177.27159580162663</v>
      </c>
      <c r="S123" s="110">
        <f t="shared" si="47"/>
        <v>-153.97399599983595</v>
      </c>
      <c r="T123" s="110">
        <f t="shared" si="47"/>
        <v>-131.01014015650327</v>
      </c>
      <c r="U123" s="110">
        <f t="shared" si="47"/>
        <v>-108.36207284666358</v>
      </c>
      <c r="V123" s="39"/>
    </row>
    <row r="124" spans="1:22" x14ac:dyDescent="0.3">
      <c r="A124" s="111" t="s">
        <v>66</v>
      </c>
      <c r="B124" s="110">
        <f>C31</f>
        <v>0</v>
      </c>
      <c r="C124" s="110">
        <f t="shared" ref="C124:U124" si="48">D31</f>
        <v>0</v>
      </c>
      <c r="D124" s="110">
        <f t="shared" si="48"/>
        <v>0</v>
      </c>
      <c r="E124" s="110">
        <f t="shared" si="48"/>
        <v>0</v>
      </c>
      <c r="F124" s="110">
        <f t="shared" si="48"/>
        <v>0</v>
      </c>
      <c r="G124" s="110">
        <f t="shared" si="48"/>
        <v>0</v>
      </c>
      <c r="H124" s="110">
        <f t="shared" si="48"/>
        <v>0</v>
      </c>
      <c r="I124" s="110">
        <f t="shared" si="48"/>
        <v>0</v>
      </c>
      <c r="J124" s="110">
        <f t="shared" si="48"/>
        <v>0</v>
      </c>
      <c r="K124" s="110">
        <f t="shared" si="48"/>
        <v>0</v>
      </c>
      <c r="L124" s="110">
        <f t="shared" si="48"/>
        <v>0</v>
      </c>
      <c r="M124" s="110">
        <f t="shared" si="48"/>
        <v>-1.2079226507921704E-16</v>
      </c>
      <c r="N124" s="110">
        <f t="shared" si="48"/>
        <v>1.2079226507921704E-16</v>
      </c>
      <c r="O124" s="110">
        <f t="shared" si="48"/>
        <v>1.2079226507921704E-16</v>
      </c>
      <c r="P124" s="110">
        <f t="shared" si="48"/>
        <v>1.2079226507921704E-16</v>
      </c>
      <c r="Q124" s="110">
        <f t="shared" si="48"/>
        <v>-1.2079226507921704E-16</v>
      </c>
      <c r="R124" s="110">
        <f t="shared" si="48"/>
        <v>-1.2079226507921704E-16</v>
      </c>
      <c r="S124" s="110">
        <f t="shared" si="48"/>
        <v>2.4158453015843408E-16</v>
      </c>
      <c r="T124" s="110">
        <f t="shared" si="48"/>
        <v>1.2079226507921704E-16</v>
      </c>
      <c r="U124" s="110">
        <f t="shared" si="48"/>
        <v>-2.4158453015843408E-16</v>
      </c>
      <c r="V124" s="39"/>
    </row>
    <row r="125" spans="1:22" x14ac:dyDescent="0.3">
      <c r="A125" s="111" t="s">
        <v>68</v>
      </c>
      <c r="B125" s="110">
        <f>SUM(B121:B124)</f>
        <v>5970.2767547899848</v>
      </c>
      <c r="C125" s="110">
        <f t="shared" ref="C125:U125" si="49">SUM(C121:C124)</f>
        <v>5714.435695760596</v>
      </c>
      <c r="D125" s="110">
        <f t="shared" si="49"/>
        <v>5457.1467536962418</v>
      </c>
      <c r="E125" s="110">
        <f t="shared" si="49"/>
        <v>5213.2006501696851</v>
      </c>
      <c r="F125" s="110">
        <f t="shared" si="49"/>
        <v>4966.2685165820858</v>
      </c>
      <c r="G125" s="110">
        <f t="shared" si="49"/>
        <v>4726.66023534142</v>
      </c>
      <c r="H125" s="110">
        <f t="shared" si="49"/>
        <v>4489.6439255591713</v>
      </c>
      <c r="I125" s="110">
        <f t="shared" si="49"/>
        <v>4256.8001439394384</v>
      </c>
      <c r="J125" s="110">
        <f t="shared" si="49"/>
        <v>4030.5653218716989</v>
      </c>
      <c r="K125" s="110">
        <f t="shared" si="49"/>
        <v>1375.6261561412441</v>
      </c>
      <c r="L125" s="110">
        <f t="shared" si="49"/>
        <v>3494.8975142060981</v>
      </c>
      <c r="M125" s="110">
        <f t="shared" si="49"/>
        <v>3280.5432256843969</v>
      </c>
      <c r="N125" s="110">
        <f t="shared" si="49"/>
        <v>3064.5281009208588</v>
      </c>
      <c r="O125" s="110">
        <f t="shared" si="49"/>
        <v>2851.7403675432142</v>
      </c>
      <c r="P125" s="110">
        <f t="shared" si="49"/>
        <v>2641.6116672578278</v>
      </c>
      <c r="Q125" s="110">
        <f t="shared" si="49"/>
        <v>2425.8442906761306</v>
      </c>
      <c r="R125" s="110">
        <f t="shared" si="49"/>
        <v>2210.6725177998951</v>
      </c>
      <c r="S125" s="110">
        <f t="shared" si="49"/>
        <v>1997.7414555134274</v>
      </c>
      <c r="T125" s="110">
        <f t="shared" si="49"/>
        <v>1791.4432286466836</v>
      </c>
      <c r="U125" s="110">
        <f t="shared" si="49"/>
        <v>1580.5106940526321</v>
      </c>
      <c r="V125" s="39"/>
    </row>
    <row r="126" spans="1:22" x14ac:dyDescent="0.3">
      <c r="A126" s="113" t="s">
        <v>69</v>
      </c>
      <c r="B126" s="110">
        <f t="shared" ref="B126:U126" si="50">B125*Kst_Soli</f>
        <v>944.79629644551494</v>
      </c>
      <c r="C126" s="110">
        <f t="shared" si="50"/>
        <v>904.30944885411418</v>
      </c>
      <c r="D126" s="110">
        <f t="shared" si="50"/>
        <v>863.59347377243012</v>
      </c>
      <c r="E126" s="110">
        <f t="shared" si="50"/>
        <v>824.98900288935249</v>
      </c>
      <c r="F126" s="110">
        <f t="shared" si="50"/>
        <v>785.91199274911492</v>
      </c>
      <c r="G126" s="110">
        <f t="shared" si="50"/>
        <v>747.99398224277957</v>
      </c>
      <c r="H126" s="110">
        <f t="shared" si="50"/>
        <v>710.48615121973876</v>
      </c>
      <c r="I126" s="110">
        <f t="shared" si="50"/>
        <v>673.63862277841599</v>
      </c>
      <c r="J126" s="110">
        <f t="shared" si="50"/>
        <v>637.83696218619627</v>
      </c>
      <c r="K126" s="110">
        <f t="shared" si="50"/>
        <v>217.69283920935183</v>
      </c>
      <c r="L126" s="110">
        <f t="shared" si="50"/>
        <v>553.06753162311497</v>
      </c>
      <c r="M126" s="110">
        <f t="shared" si="50"/>
        <v>519.14596546455573</v>
      </c>
      <c r="N126" s="110">
        <f t="shared" si="50"/>
        <v>484.96157197072586</v>
      </c>
      <c r="O126" s="110">
        <f t="shared" si="50"/>
        <v>451.2879131637136</v>
      </c>
      <c r="P126" s="110">
        <f t="shared" si="50"/>
        <v>418.03504634355119</v>
      </c>
      <c r="Q126" s="110">
        <f t="shared" si="50"/>
        <v>383.88985899949762</v>
      </c>
      <c r="R126" s="110">
        <f t="shared" si="50"/>
        <v>349.83892594183334</v>
      </c>
      <c r="S126" s="110">
        <f t="shared" si="50"/>
        <v>316.14258533499981</v>
      </c>
      <c r="T126" s="110">
        <f t="shared" si="50"/>
        <v>283.49589093333765</v>
      </c>
      <c r="U126" s="110">
        <f t="shared" si="50"/>
        <v>250.11581733382897</v>
      </c>
      <c r="V126" s="39"/>
    </row>
    <row r="127" spans="1:22" x14ac:dyDescent="0.3">
      <c r="A127" s="40"/>
      <c r="B127" s="37"/>
      <c r="C127" s="35"/>
      <c r="D127" s="37"/>
      <c r="E127" s="35"/>
      <c r="F127" s="37"/>
      <c r="G127" s="35"/>
      <c r="H127" s="37"/>
      <c r="I127" s="35"/>
      <c r="J127" s="37"/>
      <c r="K127" s="35"/>
      <c r="L127" s="37"/>
      <c r="M127" s="35"/>
      <c r="N127" s="37"/>
      <c r="O127" s="35"/>
      <c r="P127" s="37"/>
      <c r="Q127" s="35"/>
      <c r="R127" s="37"/>
      <c r="S127" s="35"/>
      <c r="T127" s="38"/>
      <c r="U127" s="35"/>
      <c r="V127" s="39"/>
    </row>
    <row r="128" spans="1:22" x14ac:dyDescent="0.3">
      <c r="A128" s="96" t="s">
        <v>64</v>
      </c>
      <c r="B128" s="94">
        <f>B114</f>
        <v>229.40420136730884</v>
      </c>
      <c r="C128" s="94">
        <f t="shared" ref="C128:U128" si="51">C114</f>
        <v>223.71486247129889</v>
      </c>
      <c r="D128" s="94">
        <f t="shared" si="51"/>
        <v>218.16662202457945</v>
      </c>
      <c r="E128" s="94">
        <f t="shared" si="51"/>
        <v>212.75598071505888</v>
      </c>
      <c r="F128" s="94">
        <f t="shared" si="51"/>
        <v>207.47952601533507</v>
      </c>
      <c r="G128" s="94">
        <f t="shared" si="51"/>
        <v>202.33393003039177</v>
      </c>
      <c r="H128" s="94">
        <f t="shared" si="51"/>
        <v>197.31594739867305</v>
      </c>
      <c r="I128" s="94">
        <f t="shared" si="51"/>
        <v>192.42241324521223</v>
      </c>
      <c r="J128" s="94">
        <f t="shared" si="51"/>
        <v>187.65024118552438</v>
      </c>
      <c r="K128" s="94">
        <f t="shared" si="51"/>
        <v>182.99642137900275</v>
      </c>
      <c r="L128" s="94">
        <f t="shared" si="51"/>
        <v>178.45801863059276</v>
      </c>
      <c r="M128" s="94">
        <f t="shared" si="51"/>
        <v>174.03217053954478</v>
      </c>
      <c r="N128" s="94">
        <f t="shared" si="51"/>
        <v>169.71608569407877</v>
      </c>
      <c r="O128" s="94">
        <f t="shared" si="51"/>
        <v>165.50704191082275</v>
      </c>
      <c r="P128" s="94">
        <f t="shared" si="51"/>
        <v>161.40238451791339</v>
      </c>
      <c r="Q128" s="94">
        <f t="shared" si="51"/>
        <v>157.39952468067688</v>
      </c>
      <c r="R128" s="94">
        <f t="shared" si="51"/>
        <v>153.49593776883376</v>
      </c>
      <c r="S128" s="94">
        <f t="shared" si="51"/>
        <v>149.68916176419776</v>
      </c>
      <c r="T128" s="94">
        <f t="shared" si="51"/>
        <v>145.97679570786477</v>
      </c>
      <c r="U128" s="94">
        <f t="shared" si="51"/>
        <v>142.35649818591187</v>
      </c>
      <c r="V128" s="39"/>
    </row>
    <row r="129" spans="1:22" x14ac:dyDescent="0.3">
      <c r="A129" s="96" t="s">
        <v>60</v>
      </c>
      <c r="B129" s="94">
        <f>0</f>
        <v>0</v>
      </c>
      <c r="C129" s="94">
        <f>0</f>
        <v>0</v>
      </c>
      <c r="D129" s="94">
        <f>0</f>
        <v>0</v>
      </c>
      <c r="E129" s="94">
        <f>0</f>
        <v>0</v>
      </c>
      <c r="F129" s="94">
        <f>0</f>
        <v>0</v>
      </c>
      <c r="G129" s="94">
        <f>0</f>
        <v>0</v>
      </c>
      <c r="H129" s="94">
        <f>0</f>
        <v>0</v>
      </c>
      <c r="I129" s="94">
        <f>0</f>
        <v>0</v>
      </c>
      <c r="J129" s="94">
        <f>0</f>
        <v>0</v>
      </c>
      <c r="K129" s="94">
        <f>0</f>
        <v>0</v>
      </c>
      <c r="L129" s="94">
        <f>0</f>
        <v>0</v>
      </c>
      <c r="M129" s="94">
        <f>0</f>
        <v>0</v>
      </c>
      <c r="N129" s="94">
        <f>0</f>
        <v>0</v>
      </c>
      <c r="O129" s="94">
        <f>0</f>
        <v>0</v>
      </c>
      <c r="P129" s="94">
        <f>0</f>
        <v>0</v>
      </c>
      <c r="Q129" s="94">
        <f>0</f>
        <v>0</v>
      </c>
      <c r="R129" s="94">
        <f>0</f>
        <v>0</v>
      </c>
      <c r="S129" s="94">
        <f>0</f>
        <v>0</v>
      </c>
      <c r="T129" s="94">
        <f>0</f>
        <v>0</v>
      </c>
      <c r="U129" s="94">
        <f>0</f>
        <v>0</v>
      </c>
      <c r="V129" s="39"/>
    </row>
    <row r="130" spans="1:22" x14ac:dyDescent="0.3">
      <c r="A130" s="96" t="s">
        <v>65</v>
      </c>
      <c r="B130" s="94">
        <f t="shared" ref="B130:U130" si="52">SUM(C17)</f>
        <v>0</v>
      </c>
      <c r="C130" s="94">
        <f t="shared" si="52"/>
        <v>0</v>
      </c>
      <c r="D130" s="94">
        <f t="shared" si="52"/>
        <v>0</v>
      </c>
      <c r="E130" s="94">
        <f t="shared" si="52"/>
        <v>0</v>
      </c>
      <c r="F130" s="94">
        <f t="shared" si="52"/>
        <v>0</v>
      </c>
      <c r="G130" s="94">
        <f t="shared" si="52"/>
        <v>0</v>
      </c>
      <c r="H130" s="94">
        <f t="shared" si="52"/>
        <v>0</v>
      </c>
      <c r="I130" s="94">
        <f t="shared" si="52"/>
        <v>0</v>
      </c>
      <c r="J130" s="94">
        <f t="shared" si="52"/>
        <v>0</v>
      </c>
      <c r="K130" s="94">
        <f t="shared" si="52"/>
        <v>0</v>
      </c>
      <c r="L130" s="94">
        <f t="shared" si="52"/>
        <v>0</v>
      </c>
      <c r="M130" s="94">
        <f t="shared" si="52"/>
        <v>0</v>
      </c>
      <c r="N130" s="94">
        <f t="shared" si="52"/>
        <v>0</v>
      </c>
      <c r="O130" s="94">
        <f t="shared" si="52"/>
        <v>0</v>
      </c>
      <c r="P130" s="94">
        <f t="shared" si="52"/>
        <v>0</v>
      </c>
      <c r="Q130" s="94">
        <f t="shared" si="52"/>
        <v>0</v>
      </c>
      <c r="R130" s="94">
        <f t="shared" si="52"/>
        <v>0</v>
      </c>
      <c r="S130" s="94">
        <f t="shared" si="52"/>
        <v>0</v>
      </c>
      <c r="T130" s="94">
        <f t="shared" si="52"/>
        <v>0</v>
      </c>
      <c r="U130" s="94">
        <f t="shared" si="52"/>
        <v>0</v>
      </c>
      <c r="V130" s="39"/>
    </row>
    <row r="131" spans="1:22" x14ac:dyDescent="0.3">
      <c r="A131" s="96" t="s">
        <v>66</v>
      </c>
      <c r="B131" s="94">
        <f>C21</f>
        <v>0</v>
      </c>
      <c r="C131" s="94">
        <f t="shared" ref="C131:U131" si="53">D21</f>
        <v>3.8998714232442504</v>
      </c>
      <c r="D131" s="94">
        <f t="shared" si="53"/>
        <v>7.7693218994514845</v>
      </c>
      <c r="E131" s="94">
        <f t="shared" si="53"/>
        <v>11.610232946160009</v>
      </c>
      <c r="F131" s="94">
        <f t="shared" si="53"/>
        <v>15.424458578400731</v>
      </c>
      <c r="G131" s="94">
        <f t="shared" si="53"/>
        <v>19.213826316494242</v>
      </c>
      <c r="H131" s="94">
        <f t="shared" si="53"/>
        <v>22.980138174391303</v>
      </c>
      <c r="I131" s="94">
        <f t="shared" si="53"/>
        <v>26.725171629133396</v>
      </c>
      <c r="J131" s="94">
        <f t="shared" si="53"/>
        <v>30.450680571997271</v>
      </c>
      <c r="K131" s="94">
        <f t="shared" si="53"/>
        <v>34.158396241875138</v>
      </c>
      <c r="L131" s="94">
        <f t="shared" si="53"/>
        <v>37.850028141430066</v>
      </c>
      <c r="M131" s="94">
        <f t="shared" si="53"/>
        <v>41.527264936554452</v>
      </c>
      <c r="N131" s="94">
        <f t="shared" si="53"/>
        <v>45.191775339648139</v>
      </c>
      <c r="O131" s="94">
        <f t="shared" si="53"/>
        <v>48.845208977221496</v>
      </c>
      <c r="P131" s="94">
        <f t="shared" si="53"/>
        <v>52.489197242318248</v>
      </c>
      <c r="Q131" s="94">
        <f t="shared" si="53"/>
        <v>56.125354132242187</v>
      </c>
      <c r="R131" s="94">
        <f t="shared" si="53"/>
        <v>59.755277072061816</v>
      </c>
      <c r="S131" s="94">
        <f t="shared" si="53"/>
        <v>63.380547724357037</v>
      </c>
      <c r="T131" s="94">
        <f t="shared" si="53"/>
        <v>67.002732785662474</v>
      </c>
      <c r="U131" s="94">
        <f t="shared" si="53"/>
        <v>70.623384770052439</v>
      </c>
      <c r="V131" s="39"/>
    </row>
    <row r="132" spans="1:22" x14ac:dyDescent="0.3">
      <c r="A132" s="96" t="s">
        <v>68</v>
      </c>
      <c r="B132" s="94">
        <f t="shared" ref="B132:U132" si="54">SUM(B128:B131)</f>
        <v>229.40420136730884</v>
      </c>
      <c r="C132" s="94">
        <f t="shared" si="54"/>
        <v>227.61473389454315</v>
      </c>
      <c r="D132" s="94">
        <f t="shared" si="54"/>
        <v>225.93594392403094</v>
      </c>
      <c r="E132" s="94">
        <f t="shared" si="54"/>
        <v>224.36621366121889</v>
      </c>
      <c r="F132" s="94">
        <f t="shared" si="54"/>
        <v>222.9039845937358</v>
      </c>
      <c r="G132" s="94">
        <f t="shared" si="54"/>
        <v>221.54775634688602</v>
      </c>
      <c r="H132" s="94">
        <f t="shared" si="54"/>
        <v>220.29608557306435</v>
      </c>
      <c r="I132" s="94">
        <f t="shared" si="54"/>
        <v>219.14758487434563</v>
      </c>
      <c r="J132" s="94">
        <f t="shared" si="54"/>
        <v>218.10092175752166</v>
      </c>
      <c r="K132" s="94">
        <f t="shared" si="54"/>
        <v>217.15481762087791</v>
      </c>
      <c r="L132" s="94">
        <f t="shared" si="54"/>
        <v>216.30804677202283</v>
      </c>
      <c r="M132" s="94">
        <f t="shared" si="54"/>
        <v>215.55943547609922</v>
      </c>
      <c r="N132" s="94">
        <f t="shared" si="54"/>
        <v>214.9078610337269</v>
      </c>
      <c r="O132" s="94">
        <f t="shared" si="54"/>
        <v>214.35225088804424</v>
      </c>
      <c r="P132" s="94">
        <f t="shared" si="54"/>
        <v>213.89158176023165</v>
      </c>
      <c r="Q132" s="94">
        <f t="shared" si="54"/>
        <v>213.52487881291907</v>
      </c>
      <c r="R132" s="94">
        <f t="shared" si="54"/>
        <v>213.25121484089556</v>
      </c>
      <c r="S132" s="94">
        <f t="shared" si="54"/>
        <v>213.06970948855479</v>
      </c>
      <c r="T132" s="95">
        <f t="shared" si="54"/>
        <v>212.97952849352725</v>
      </c>
      <c r="U132" s="94">
        <f t="shared" si="54"/>
        <v>212.97988295596431</v>
      </c>
      <c r="V132" s="39"/>
    </row>
    <row r="133" spans="1:22" x14ac:dyDescent="0.3">
      <c r="A133" s="98" t="s">
        <v>123</v>
      </c>
      <c r="B133" s="94">
        <f>B132*Kst_Soli</f>
        <v>36.303214866376621</v>
      </c>
      <c r="C133" s="94">
        <f t="shared" ref="C133:U133" si="55">C132*Kst_Soli</f>
        <v>36.020031638811446</v>
      </c>
      <c r="D133" s="94">
        <f t="shared" si="55"/>
        <v>35.754363125977889</v>
      </c>
      <c r="E133" s="94">
        <f t="shared" si="55"/>
        <v>35.505953311887886</v>
      </c>
      <c r="F133" s="94">
        <f t="shared" si="55"/>
        <v>35.274555561958685</v>
      </c>
      <c r="G133" s="94">
        <f t="shared" si="55"/>
        <v>35.059932441894709</v>
      </c>
      <c r="H133" s="94">
        <f t="shared" si="55"/>
        <v>34.86185554193743</v>
      </c>
      <c r="I133" s="94">
        <f t="shared" si="55"/>
        <v>34.680105306365192</v>
      </c>
      <c r="J133" s="94">
        <f t="shared" si="55"/>
        <v>34.514470868127795</v>
      </c>
      <c r="K133" s="94">
        <f t="shared" si="55"/>
        <v>34.364749888503923</v>
      </c>
      <c r="L133" s="94">
        <f t="shared" si="55"/>
        <v>34.230748401672606</v>
      </c>
      <c r="M133" s="94">
        <f t="shared" si="55"/>
        <v>34.112280664092694</v>
      </c>
      <c r="N133" s="94">
        <f t="shared" si="55"/>
        <v>34.009169008587278</v>
      </c>
      <c r="O133" s="94">
        <f t="shared" si="55"/>
        <v>33.921243703032992</v>
      </c>
      <c r="P133" s="94">
        <f t="shared" si="55"/>
        <v>33.848342813556656</v>
      </c>
      <c r="Q133" s="94">
        <f t="shared" si="55"/>
        <v>33.790312072144438</v>
      </c>
      <c r="R133" s="94">
        <f t="shared" si="55"/>
        <v>33.747004748571719</v>
      </c>
      <c r="S133" s="94">
        <f t="shared" si="55"/>
        <v>33.718281526563793</v>
      </c>
      <c r="T133" s="95">
        <f t="shared" si="55"/>
        <v>33.704010384100684</v>
      </c>
      <c r="U133" s="94">
        <f t="shared" si="55"/>
        <v>33.704066477781346</v>
      </c>
      <c r="V133" s="39"/>
    </row>
    <row r="134" spans="1:22" x14ac:dyDescent="0.3">
      <c r="A134" s="34"/>
      <c r="B134" s="37"/>
      <c r="C134" s="35"/>
      <c r="D134" s="37"/>
      <c r="E134" s="35"/>
      <c r="F134" s="37"/>
      <c r="G134" s="35"/>
      <c r="H134" s="37"/>
      <c r="I134" s="35"/>
      <c r="J134" s="37"/>
      <c r="K134" s="35"/>
      <c r="L134" s="37"/>
      <c r="M134" s="35"/>
      <c r="N134" s="37"/>
      <c r="O134" s="35"/>
      <c r="P134" s="37"/>
      <c r="Q134" s="35"/>
      <c r="R134" s="37"/>
      <c r="S134" s="35"/>
      <c r="T134" s="38"/>
      <c r="U134" s="35"/>
      <c r="V134"/>
    </row>
    <row r="135" spans="1:22" x14ac:dyDescent="0.3">
      <c r="A135" s="113" t="s">
        <v>122</v>
      </c>
      <c r="B135" s="110">
        <f t="shared" ref="B135:T136" si="56">(B126+B111)*(-1)</f>
        <v>-1056.6212964455149</v>
      </c>
      <c r="C135" s="110">
        <f t="shared" si="56"/>
        <v>-1016.1344488541142</v>
      </c>
      <c r="D135" s="110">
        <f t="shared" si="56"/>
        <v>-975.41847377243016</v>
      </c>
      <c r="E135" s="110">
        <f t="shared" si="56"/>
        <v>-936.81400288935254</v>
      </c>
      <c r="F135" s="110">
        <f t="shared" si="56"/>
        <v>-897.73699274911496</v>
      </c>
      <c r="G135" s="110">
        <f t="shared" si="56"/>
        <v>-872.24398224277957</v>
      </c>
      <c r="H135" s="110">
        <f t="shared" si="56"/>
        <v>-834.73615121973876</v>
      </c>
      <c r="I135" s="110">
        <f t="shared" si="56"/>
        <v>-797.88862277841599</v>
      </c>
      <c r="J135" s="110">
        <f t="shared" si="56"/>
        <v>-774.51196218619634</v>
      </c>
      <c r="K135" s="110">
        <f t="shared" si="56"/>
        <v>-81.01783920935182</v>
      </c>
      <c r="L135" s="110">
        <f t="shared" si="56"/>
        <v>-689.74253162311493</v>
      </c>
      <c r="M135" s="110">
        <f t="shared" si="56"/>
        <v>-655.82096546455568</v>
      </c>
      <c r="N135" s="110">
        <f t="shared" si="56"/>
        <v>-634.06157197072582</v>
      </c>
      <c r="O135" s="110">
        <f t="shared" si="56"/>
        <v>-600.38791316371362</v>
      </c>
      <c r="P135" s="110">
        <f t="shared" si="56"/>
        <v>-579.56004634355122</v>
      </c>
      <c r="Q135" s="110">
        <f t="shared" si="56"/>
        <v>-545.4148589994976</v>
      </c>
      <c r="R135" s="110">
        <f t="shared" si="56"/>
        <v>-523.78892594183333</v>
      </c>
      <c r="S135" s="110">
        <f t="shared" si="56"/>
        <v>-490.0925853349998</v>
      </c>
      <c r="T135" s="110">
        <f t="shared" si="56"/>
        <v>-469.87089093333765</v>
      </c>
      <c r="U135" s="110">
        <f>(U126+U111)*(-1)</f>
        <v>-448.91581733382895</v>
      </c>
      <c r="V135"/>
    </row>
    <row r="136" spans="1:22" x14ac:dyDescent="0.3">
      <c r="A136" s="98" t="s">
        <v>121</v>
      </c>
      <c r="B136" s="94">
        <f t="shared" si="56"/>
        <v>0</v>
      </c>
      <c r="C136" s="94">
        <f t="shared" si="56"/>
        <v>0</v>
      </c>
      <c r="D136" s="94">
        <f t="shared" si="56"/>
        <v>0</v>
      </c>
      <c r="E136" s="94">
        <f t="shared" si="56"/>
        <v>0</v>
      </c>
      <c r="F136" s="94">
        <f t="shared" si="56"/>
        <v>0</v>
      </c>
      <c r="G136" s="94">
        <f t="shared" si="56"/>
        <v>0</v>
      </c>
      <c r="H136" s="94">
        <f t="shared" si="56"/>
        <v>0</v>
      </c>
      <c r="I136" s="94">
        <f t="shared" si="56"/>
        <v>0</v>
      </c>
      <c r="J136" s="94">
        <f t="shared" si="56"/>
        <v>0</v>
      </c>
      <c r="K136" s="94">
        <f t="shared" si="56"/>
        <v>0</v>
      </c>
      <c r="L136" s="94">
        <f t="shared" si="56"/>
        <v>0</v>
      </c>
      <c r="M136" s="94">
        <f t="shared" si="56"/>
        <v>0</v>
      </c>
      <c r="N136" s="94">
        <f t="shared" si="56"/>
        <v>0</v>
      </c>
      <c r="O136" s="94">
        <f t="shared" si="56"/>
        <v>0</v>
      </c>
      <c r="P136" s="94">
        <f t="shared" si="56"/>
        <v>0</v>
      </c>
      <c r="Q136" s="94">
        <f t="shared" si="56"/>
        <v>0</v>
      </c>
      <c r="R136" s="94">
        <f t="shared" si="56"/>
        <v>0</v>
      </c>
      <c r="S136" s="94">
        <f t="shared" si="56"/>
        <v>0</v>
      </c>
      <c r="T136" s="95">
        <f t="shared" si="56"/>
        <v>0</v>
      </c>
      <c r="U136" s="94">
        <f>(U127+U112)*(-1)</f>
        <v>0</v>
      </c>
      <c r="V136"/>
    </row>
  </sheetData>
  <dataValidations count="1">
    <dataValidation type="list" errorStyle="information" allowBlank="1" showInputMessage="1" showErrorMessage="1" errorTitle="Passt was nicht" sqref="C58:C59 D59:V59" xr:uid="{639633AF-24C6-4D0B-8F22-3FA54A6C2055}">
      <formula1>$A$70:$A$101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63D50-E1E0-4139-B4F7-90132976A3B6}">
  <sheetPr codeName="Tabelle3"/>
  <dimension ref="A2:U12"/>
  <sheetViews>
    <sheetView zoomScale="85" zoomScaleNormal="85" workbookViewId="0">
      <selection activeCell="C20" sqref="C20"/>
    </sheetView>
  </sheetViews>
  <sheetFormatPr baseColWidth="10" defaultRowHeight="13.8" x14ac:dyDescent="0.25"/>
  <cols>
    <col min="1" max="1" width="17.33203125" bestFit="1" customWidth="1"/>
  </cols>
  <sheetData>
    <row r="2" spans="1:21" x14ac:dyDescent="0.25">
      <c r="A2" t="s">
        <v>11</v>
      </c>
      <c r="B2">
        <v>6720</v>
      </c>
      <c r="C2">
        <v>4202</v>
      </c>
      <c r="D2">
        <f>(C2+B2)*(-1)</f>
        <v>-10922</v>
      </c>
    </row>
    <row r="5" spans="1:21" x14ac:dyDescent="0.25">
      <c r="A5" t="s">
        <v>9</v>
      </c>
    </row>
    <row r="6" spans="1:21" x14ac:dyDescent="0.25">
      <c r="A6" t="s">
        <v>8</v>
      </c>
      <c r="B6">
        <v>0.42411917073488226</v>
      </c>
      <c r="C6">
        <v>0.4360441323113049</v>
      </c>
      <c r="D6">
        <v>0.44617333440891183</v>
      </c>
      <c r="E6">
        <v>0.4577717664241896</v>
      </c>
      <c r="F6">
        <v>0.46935366793080274</v>
      </c>
      <c r="G6">
        <v>0.48219494006666963</v>
      </c>
      <c r="H6">
        <v>0.49470300908880804</v>
      </c>
      <c r="I6">
        <v>0.50725960601985376</v>
      </c>
      <c r="J6">
        <v>0.52083431606999631</v>
      </c>
      <c r="K6">
        <v>0.5338565052631381</v>
      </c>
      <c r="L6">
        <v>0.54856391162503637</v>
      </c>
      <c r="M6">
        <v>0.56321748176115871</v>
      </c>
      <c r="N6">
        <v>0.57752760977757078</v>
      </c>
      <c r="O6">
        <v>0.59343722657237086</v>
      </c>
      <c r="P6">
        <v>0.61073095628853435</v>
      </c>
      <c r="Q6">
        <v>0.62606027632446604</v>
      </c>
      <c r="R6">
        <v>0.64192223986873176</v>
      </c>
      <c r="S6">
        <v>0.65898829614494836</v>
      </c>
      <c r="T6">
        <v>0.67907269443859763</v>
      </c>
      <c r="U6">
        <v>0.69755861835222222</v>
      </c>
    </row>
    <row r="7" spans="1:21" x14ac:dyDescent="0.25">
      <c r="A7" t="s">
        <v>10</v>
      </c>
      <c r="B7">
        <f>1-0.19</f>
        <v>0.81</v>
      </c>
      <c r="C7">
        <f t="shared" ref="C7:U7" si="0">1-0.19</f>
        <v>0.81</v>
      </c>
      <c r="D7">
        <f t="shared" si="0"/>
        <v>0.81</v>
      </c>
      <c r="E7">
        <f t="shared" si="0"/>
        <v>0.81</v>
      </c>
      <c r="F7">
        <f t="shared" si="0"/>
        <v>0.81</v>
      </c>
      <c r="G7">
        <f t="shared" si="0"/>
        <v>0.81</v>
      </c>
      <c r="H7">
        <f t="shared" si="0"/>
        <v>0.81</v>
      </c>
      <c r="I7">
        <f t="shared" si="0"/>
        <v>0.81</v>
      </c>
      <c r="J7">
        <f t="shared" si="0"/>
        <v>0.81</v>
      </c>
      <c r="K7">
        <f t="shared" si="0"/>
        <v>0.81</v>
      </c>
      <c r="L7">
        <f t="shared" si="0"/>
        <v>0.81</v>
      </c>
      <c r="M7">
        <f t="shared" si="0"/>
        <v>0.81</v>
      </c>
      <c r="N7">
        <f t="shared" si="0"/>
        <v>0.81</v>
      </c>
      <c r="O7">
        <f t="shared" si="0"/>
        <v>0.81</v>
      </c>
      <c r="P7">
        <f t="shared" si="0"/>
        <v>0.81</v>
      </c>
      <c r="Q7">
        <f t="shared" si="0"/>
        <v>0.81</v>
      </c>
      <c r="R7">
        <f t="shared" si="0"/>
        <v>0.81</v>
      </c>
      <c r="S7">
        <f t="shared" si="0"/>
        <v>0.81</v>
      </c>
      <c r="T7">
        <f t="shared" si="0"/>
        <v>0.81</v>
      </c>
      <c r="U7">
        <f t="shared" si="0"/>
        <v>0.81</v>
      </c>
    </row>
    <row r="8" spans="1:21" x14ac:dyDescent="0.25">
      <c r="A8" t="s">
        <v>12</v>
      </c>
      <c r="B8">
        <f>B6*B7</f>
        <v>0.34353652829525466</v>
      </c>
      <c r="C8">
        <f t="shared" ref="C8:U8" si="1">C6*C7</f>
        <v>0.35319574717215702</v>
      </c>
      <c r="D8">
        <f t="shared" si="1"/>
        <v>0.36140040087121861</v>
      </c>
      <c r="E8">
        <f t="shared" si="1"/>
        <v>0.37079513080359361</v>
      </c>
      <c r="F8">
        <f t="shared" si="1"/>
        <v>0.38017647102395025</v>
      </c>
      <c r="G8">
        <f t="shared" si="1"/>
        <v>0.39057790145400245</v>
      </c>
      <c r="H8">
        <f t="shared" si="1"/>
        <v>0.40070943736193454</v>
      </c>
      <c r="I8">
        <f t="shared" si="1"/>
        <v>0.41088028087608158</v>
      </c>
      <c r="J8">
        <f t="shared" si="1"/>
        <v>0.42187579601669706</v>
      </c>
      <c r="K8">
        <f t="shared" si="1"/>
        <v>0.43242376926314191</v>
      </c>
      <c r="L8">
        <f t="shared" si="1"/>
        <v>0.4443367684162795</v>
      </c>
      <c r="M8">
        <f t="shared" si="1"/>
        <v>0.45620616022653859</v>
      </c>
      <c r="N8">
        <f t="shared" si="1"/>
        <v>0.46779736391983234</v>
      </c>
      <c r="O8">
        <f t="shared" si="1"/>
        <v>0.48068415352362043</v>
      </c>
      <c r="P8">
        <f t="shared" si="1"/>
        <v>0.49469207459371284</v>
      </c>
      <c r="Q8">
        <f t="shared" si="1"/>
        <v>0.50710882382281752</v>
      </c>
      <c r="R8">
        <f t="shared" si="1"/>
        <v>0.5199570142936728</v>
      </c>
      <c r="S8">
        <f t="shared" si="1"/>
        <v>0.53378051987740815</v>
      </c>
      <c r="T8">
        <f t="shared" si="1"/>
        <v>0.55004888249526407</v>
      </c>
      <c r="U8">
        <f t="shared" si="1"/>
        <v>0.56502248086530005</v>
      </c>
    </row>
    <row r="12" spans="1:21" x14ac:dyDescent="0.25">
      <c r="A12" t="s">
        <v>7</v>
      </c>
      <c r="B12">
        <v>8.1836544437538836E-2</v>
      </c>
      <c r="C12">
        <v>8.0207997203231809E-2</v>
      </c>
      <c r="D12">
        <v>7.8611858058887499E-2</v>
      </c>
      <c r="E12">
        <v>7.7047482083515639E-2</v>
      </c>
      <c r="F12">
        <v>7.5514237190053679E-2</v>
      </c>
      <c r="G12">
        <v>7.4011503869971615E-2</v>
      </c>
      <c r="H12">
        <v>7.253867494295918E-2</v>
      </c>
      <c r="I12">
        <v>7.1095155311594285E-2</v>
      </c>
      <c r="J12">
        <v>6.9680361720893563E-2</v>
      </c>
      <c r="K12">
        <v>6.8293722522647773E-2</v>
      </c>
      <c r="L12">
        <v>6.6934677444447074E-2</v>
      </c>
      <c r="M12">
        <v>6.5602677363302581E-2</v>
      </c>
      <c r="N12">
        <v>6.4297184083772857E-2</v>
      </c>
      <c r="O12">
        <v>6.301767012050577E-2</v>
      </c>
      <c r="P12">
        <v>6.1763618485107703E-2</v>
      </c>
      <c r="Q12">
        <v>6.0534522477254056E-2</v>
      </c>
      <c r="R12">
        <v>5.9329885479956698E-2</v>
      </c>
      <c r="S12">
        <v>5.8149220758905558E-2</v>
      </c>
      <c r="T12">
        <v>5.6992051265803333E-2</v>
      </c>
      <c r="U12">
        <v>5.5857909445613842E-2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F4273-3E80-4619-82C5-80A7173DEBD6}">
  <sheetPr codeName="Tabelle12"/>
  <dimension ref="A1:K26"/>
  <sheetViews>
    <sheetView zoomScaleNormal="100" workbookViewId="0">
      <selection activeCell="C17" sqref="C17"/>
    </sheetView>
  </sheetViews>
  <sheetFormatPr baseColWidth="10" defaultRowHeight="13.8" x14ac:dyDescent="0.25"/>
  <cols>
    <col min="1" max="1" width="15.6640625" bestFit="1" customWidth="1"/>
    <col min="2" max="2" width="12.88671875" bestFit="1" customWidth="1"/>
    <col min="3" max="3" width="18.5546875" bestFit="1" customWidth="1"/>
    <col min="4" max="4" width="20.109375" bestFit="1" customWidth="1"/>
    <col min="5" max="5" width="21" bestFit="1" customWidth="1"/>
    <col min="7" max="7" width="21.109375" customWidth="1"/>
    <col min="9" max="9" width="18.6640625" bestFit="1" customWidth="1"/>
    <col min="10" max="10" width="16.6640625" bestFit="1" customWidth="1"/>
  </cols>
  <sheetData>
    <row r="1" spans="1:11" x14ac:dyDescent="0.25">
      <c r="A1" s="62" t="s">
        <v>102</v>
      </c>
      <c r="B1" s="62"/>
      <c r="C1" s="79" t="s">
        <v>114</v>
      </c>
      <c r="D1" s="62"/>
      <c r="E1" s="83" t="s">
        <v>112</v>
      </c>
      <c r="G1" s="58" t="s">
        <v>116</v>
      </c>
      <c r="H1" s="62"/>
      <c r="I1" s="82"/>
      <c r="J1" s="81"/>
      <c r="K1" s="57"/>
    </row>
    <row r="2" spans="1:11" x14ac:dyDescent="0.25">
      <c r="A2" s="51" t="s">
        <v>115</v>
      </c>
      <c r="B2" s="62"/>
      <c r="C2" s="62"/>
      <c r="D2" s="62"/>
      <c r="E2" s="53"/>
      <c r="G2" s="80" t="s">
        <v>114</v>
      </c>
      <c r="H2" s="79">
        <v>8.0500000000000007</v>
      </c>
      <c r="I2" s="66"/>
      <c r="J2" s="62"/>
      <c r="K2" s="53"/>
    </row>
    <row r="3" spans="1:11" x14ac:dyDescent="0.25">
      <c r="A3" s="51"/>
      <c r="B3" s="62" t="s">
        <v>113</v>
      </c>
      <c r="C3" s="62">
        <f>E22</f>
        <v>360.19359999999995</v>
      </c>
      <c r="D3" s="62"/>
      <c r="E3" s="53">
        <f>D22</f>
        <v>350.15967999999998</v>
      </c>
      <c r="G3" s="80" t="s">
        <v>112</v>
      </c>
      <c r="H3" s="79">
        <v>16.09</v>
      </c>
      <c r="I3" s="66"/>
      <c r="J3" s="62"/>
      <c r="K3" s="53"/>
    </row>
    <row r="4" spans="1:11" x14ac:dyDescent="0.25">
      <c r="A4" s="51"/>
      <c r="B4" s="62" t="s">
        <v>111</v>
      </c>
      <c r="C4" s="62">
        <f>E23</f>
        <v>152.1936</v>
      </c>
      <c r="D4" s="62"/>
      <c r="E4" s="53">
        <f>D23</f>
        <v>142.15968000000001</v>
      </c>
      <c r="G4" s="51" t="s">
        <v>110</v>
      </c>
      <c r="H4" s="67">
        <v>0.02</v>
      </c>
      <c r="I4" s="66"/>
      <c r="J4" s="62" t="s">
        <v>109</v>
      </c>
      <c r="K4" s="53"/>
    </row>
    <row r="5" spans="1:11" x14ac:dyDescent="0.25">
      <c r="A5" s="51"/>
      <c r="B5" s="62" t="s">
        <v>108</v>
      </c>
      <c r="C5" s="62">
        <f>E21</f>
        <v>769.84440000000006</v>
      </c>
      <c r="D5" s="62"/>
      <c r="E5" s="53">
        <f>D21</f>
        <v>708.80472000000009</v>
      </c>
      <c r="G5" s="51" t="s">
        <v>107</v>
      </c>
      <c r="H5" s="78">
        <v>5.3800000000000001E-2</v>
      </c>
      <c r="I5" s="66"/>
      <c r="J5" s="62" t="s">
        <v>106</v>
      </c>
      <c r="K5" s="77">
        <v>3.04E-2</v>
      </c>
    </row>
    <row r="6" spans="1:11" x14ac:dyDescent="0.25">
      <c r="A6" s="76" t="s">
        <v>11</v>
      </c>
      <c r="B6" s="75"/>
      <c r="C6" s="75" t="s">
        <v>105</v>
      </c>
      <c r="D6" s="75" t="s">
        <v>104</v>
      </c>
      <c r="E6" s="74"/>
      <c r="G6" s="51" t="s">
        <v>10</v>
      </c>
      <c r="H6" s="73">
        <v>0.19</v>
      </c>
      <c r="I6" s="66"/>
      <c r="J6" s="62"/>
      <c r="K6" s="53"/>
    </row>
    <row r="7" spans="1:11" x14ac:dyDescent="0.25">
      <c r="A7" s="51" t="s">
        <v>103</v>
      </c>
      <c r="B7" s="62" t="s">
        <v>102</v>
      </c>
      <c r="C7" s="62">
        <v>1750</v>
      </c>
      <c r="D7" s="62">
        <v>1200</v>
      </c>
      <c r="E7" s="53"/>
      <c r="G7" s="52" t="s">
        <v>101</v>
      </c>
      <c r="H7" s="67">
        <v>0.45</v>
      </c>
      <c r="I7" s="66"/>
      <c r="J7" s="62"/>
      <c r="K7" s="53"/>
    </row>
    <row r="8" spans="1:11" ht="27.6" x14ac:dyDescent="0.25">
      <c r="A8" s="51">
        <v>3.84</v>
      </c>
      <c r="B8" s="62" t="s">
        <v>100</v>
      </c>
      <c r="C8" s="62">
        <f>C7*A8</f>
        <v>6720</v>
      </c>
      <c r="D8" s="62">
        <f>C7*A8</f>
        <v>6720</v>
      </c>
      <c r="E8" s="53"/>
      <c r="G8" s="52" t="s">
        <v>99</v>
      </c>
      <c r="H8" s="62">
        <v>8.5999999999999993E-2</v>
      </c>
      <c r="I8" s="66"/>
      <c r="J8" s="62" t="s">
        <v>98</v>
      </c>
      <c r="K8" s="56">
        <v>7.9899999999999999E-2</v>
      </c>
    </row>
    <row r="9" spans="1:11" ht="27.6" x14ac:dyDescent="0.25">
      <c r="A9" s="51">
        <v>5.76</v>
      </c>
      <c r="B9" s="62" t="s">
        <v>97</v>
      </c>
      <c r="C9" s="62">
        <f>D7*A9</f>
        <v>6912</v>
      </c>
      <c r="D9" s="62">
        <f>D7*A9</f>
        <v>6912</v>
      </c>
      <c r="E9" s="53"/>
      <c r="G9" s="52" t="s">
        <v>96</v>
      </c>
      <c r="H9" s="62">
        <v>7.4999999999999997E-2</v>
      </c>
      <c r="I9" s="72">
        <f>((EEG_Vergütung_kleiner_10*10+H9*6.09)/16.09)</f>
        <v>8.1836544437538836E-2</v>
      </c>
      <c r="J9" s="62" t="s">
        <v>95</v>
      </c>
      <c r="K9" s="56">
        <v>1.7000000000000001E-2</v>
      </c>
    </row>
    <row r="10" spans="1:11" ht="27.6" x14ac:dyDescent="0.25">
      <c r="A10" s="71">
        <v>7.68</v>
      </c>
      <c r="B10" s="70" t="s">
        <v>94</v>
      </c>
      <c r="C10" s="70">
        <f>A10*D7</f>
        <v>9216</v>
      </c>
      <c r="D10" s="70">
        <f>A10*D7</f>
        <v>9216</v>
      </c>
      <c r="E10" s="69"/>
      <c r="G10" s="52" t="s">
        <v>93</v>
      </c>
      <c r="H10" s="68">
        <v>0.01</v>
      </c>
      <c r="I10" s="66"/>
      <c r="J10" s="62"/>
      <c r="K10" s="53"/>
    </row>
    <row r="11" spans="1:11" x14ac:dyDescent="0.25">
      <c r="A11" s="51"/>
      <c r="B11" s="62"/>
      <c r="C11" s="62"/>
      <c r="D11" s="62"/>
      <c r="E11" s="53"/>
      <c r="G11" s="52"/>
      <c r="H11" s="68"/>
      <c r="I11" s="66"/>
      <c r="J11" s="62"/>
      <c r="K11" s="53"/>
    </row>
    <row r="12" spans="1:11" x14ac:dyDescent="0.25">
      <c r="A12" s="51" t="s">
        <v>92</v>
      </c>
      <c r="B12" s="62"/>
      <c r="C12" s="62" t="s">
        <v>91</v>
      </c>
      <c r="D12" s="62"/>
      <c r="E12" s="53" t="s">
        <v>90</v>
      </c>
      <c r="G12" s="52" t="s">
        <v>89</v>
      </c>
      <c r="H12" s="67">
        <v>5.0000000000000001E-3</v>
      </c>
      <c r="I12" s="66"/>
      <c r="J12" s="62"/>
      <c r="K12" s="53"/>
    </row>
    <row r="13" spans="1:11" ht="28.2" thickBot="1" x14ac:dyDescent="0.3">
      <c r="A13" s="51"/>
      <c r="B13" s="65" t="s">
        <v>88</v>
      </c>
      <c r="C13" s="62">
        <v>25.3</v>
      </c>
      <c r="D13" s="62"/>
      <c r="E13" s="53">
        <v>24.3</v>
      </c>
      <c r="G13" s="49" t="s">
        <v>87</v>
      </c>
      <c r="H13" s="64">
        <v>0.02</v>
      </c>
      <c r="I13" s="63"/>
      <c r="J13" s="60"/>
      <c r="K13" s="59"/>
    </row>
    <row r="14" spans="1:11" ht="14.4" thickBot="1" x14ac:dyDescent="0.3">
      <c r="A14" s="51"/>
      <c r="B14" s="62" t="s">
        <v>86</v>
      </c>
      <c r="C14" s="62">
        <v>4.8</v>
      </c>
      <c r="D14" s="62"/>
      <c r="E14" s="53">
        <v>1.7</v>
      </c>
    </row>
    <row r="15" spans="1:11" ht="14.4" thickBot="1" x14ac:dyDescent="0.3">
      <c r="A15" s="61"/>
      <c r="B15" s="60" t="s">
        <v>85</v>
      </c>
      <c r="C15" s="60">
        <v>4.8</v>
      </c>
      <c r="D15" s="60"/>
      <c r="E15" s="59">
        <v>4.0999999999999996</v>
      </c>
      <c r="G15" s="58" t="s">
        <v>84</v>
      </c>
      <c r="H15" s="57"/>
    </row>
    <row r="16" spans="1:11" x14ac:dyDescent="0.25">
      <c r="G16" s="51" t="s">
        <v>83</v>
      </c>
      <c r="H16" s="56">
        <v>0.15</v>
      </c>
    </row>
    <row r="17" spans="1:8" x14ac:dyDescent="0.25">
      <c r="C17">
        <f>SUM(Anschaffungsauszahlung_one_Batterie_16_09)*0.013</f>
        <v>15.61461304</v>
      </c>
      <c r="G17" s="51" t="s">
        <v>82</v>
      </c>
      <c r="H17" s="56">
        <v>5.5E-2</v>
      </c>
    </row>
    <row r="18" spans="1:8" x14ac:dyDescent="0.25">
      <c r="G18" s="51" t="s">
        <v>81</v>
      </c>
      <c r="H18" s="56">
        <v>3.5000000000000003E-2</v>
      </c>
    </row>
    <row r="19" spans="1:8" ht="15.6" x14ac:dyDescent="0.3">
      <c r="A19" s="55"/>
      <c r="B19" s="55" t="s">
        <v>80</v>
      </c>
      <c r="C19" s="55" t="s">
        <v>79</v>
      </c>
      <c r="D19" s="55" t="s">
        <v>78</v>
      </c>
      <c r="E19" s="54"/>
      <c r="G19" s="51" t="s">
        <v>77</v>
      </c>
      <c r="H19" s="53">
        <v>355</v>
      </c>
    </row>
    <row r="20" spans="1:8" ht="15.6" x14ac:dyDescent="0.3">
      <c r="A20" s="46" t="s">
        <v>76</v>
      </c>
      <c r="B20" s="46">
        <v>5</v>
      </c>
      <c r="C20" s="46">
        <v>30</v>
      </c>
      <c r="D20" s="46">
        <f>Szenario_II_kw</f>
        <v>16.09</v>
      </c>
      <c r="E20" s="45">
        <f>Szenario_I_kwp</f>
        <v>8.0500000000000007</v>
      </c>
      <c r="G20" s="51"/>
      <c r="H20" s="53"/>
    </row>
    <row r="21" spans="1:8" ht="28.2" x14ac:dyDescent="0.3">
      <c r="A21" s="47" t="s">
        <v>75</v>
      </c>
      <c r="B21" s="46">
        <v>793</v>
      </c>
      <c r="C21" s="46">
        <v>603.20000000000005</v>
      </c>
      <c r="D21" s="46">
        <f>_xlfn.FORECAST.LINEAR(Szenario_II_kw,B21:C21,$B$20:$C$20)</f>
        <v>708.80472000000009</v>
      </c>
      <c r="E21" s="45">
        <f>_xlfn.FORECAST.LINEAR(Szenario_I_kwp,B21:C21,$B$20:$C$20)</f>
        <v>769.84440000000006</v>
      </c>
      <c r="G21" s="52" t="s">
        <v>74</v>
      </c>
      <c r="H21" s="50">
        <f>Körpersschaftssteuer*(1+Solidaritätszuschlag)</f>
        <v>0.15824999999999997</v>
      </c>
    </row>
    <row r="22" spans="1:8" ht="15.6" x14ac:dyDescent="0.3">
      <c r="A22" s="47" t="s">
        <v>73</v>
      </c>
      <c r="B22" s="46">
        <v>364</v>
      </c>
      <c r="C22" s="46">
        <v>332.8</v>
      </c>
      <c r="D22" s="46">
        <f>_xlfn.FORECAST.LINEAR(Szenario_II_kw,B22:C22,$B$20:$C$20)</f>
        <v>350.15967999999998</v>
      </c>
      <c r="E22" s="45">
        <f>_xlfn.FORECAST.LINEAR(Szenario_I_kwp,B22:C22,$B$20:$C$20)</f>
        <v>360.19359999999995</v>
      </c>
      <c r="G22" s="51" t="s">
        <v>72</v>
      </c>
      <c r="H22" s="50">
        <f>Hebessatz/100*Gewerbe</f>
        <v>0.12425</v>
      </c>
    </row>
    <row r="23" spans="1:8" ht="28.8" thickBot="1" x14ac:dyDescent="0.35">
      <c r="A23" s="47" t="s">
        <v>71</v>
      </c>
      <c r="B23" s="46">
        <v>156</v>
      </c>
      <c r="C23" s="46">
        <v>124.8</v>
      </c>
      <c r="D23" s="46">
        <f>_xlfn.FORECAST.LINEAR(Szenario_II_kw,B23:C23,$B$20:$C$20)</f>
        <v>142.15968000000001</v>
      </c>
      <c r="E23" s="45">
        <f>_xlfn.FORECAST.LINEAR(Szenario_I_kwp,B23:C23,$B$20:$C$20)</f>
        <v>152.1936</v>
      </c>
      <c r="G23" s="49" t="s">
        <v>70</v>
      </c>
      <c r="H23" s="48">
        <f>H21+Gewerbesteuer</f>
        <v>0.28249999999999997</v>
      </c>
    </row>
    <row r="24" spans="1:8" ht="15.6" x14ac:dyDescent="0.3">
      <c r="A24" s="47"/>
      <c r="B24" s="46"/>
      <c r="C24" s="46"/>
      <c r="D24" s="46"/>
      <c r="E24" s="45"/>
    </row>
    <row r="25" spans="1:8" ht="15.6" x14ac:dyDescent="0.3">
      <c r="A25" s="47"/>
      <c r="B25" s="46"/>
      <c r="C25" s="46"/>
      <c r="D25" s="46"/>
      <c r="E25" s="45"/>
    </row>
    <row r="26" spans="1:8" ht="16.2" thickBot="1" x14ac:dyDescent="0.35">
      <c r="A26" s="44"/>
      <c r="B26" s="43"/>
      <c r="C26" s="43"/>
      <c r="D26" s="43"/>
      <c r="E26" s="42"/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abelle11.Startseite">
                <anchor moveWithCells="1">
                  <from>
                    <xdr:col>11</xdr:col>
                    <xdr:colOff>449580</xdr:colOff>
                    <xdr:row>0</xdr:row>
                    <xdr:rowOff>7620</xdr:rowOff>
                  </from>
                  <to>
                    <xdr:col>15</xdr:col>
                    <xdr:colOff>373380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F4F52-9C36-4B9D-88C6-63652FCD3FA0}">
  <sheetPr codeName="Tabelle11"/>
  <dimension ref="A1:AC41"/>
  <sheetViews>
    <sheetView topLeftCell="G1" zoomScale="85" zoomScaleNormal="85" workbookViewId="0">
      <selection activeCell="M41" sqref="M41"/>
    </sheetView>
  </sheetViews>
  <sheetFormatPr baseColWidth="10" defaultColWidth="11.44140625" defaultRowHeight="15.6" x14ac:dyDescent="0.3"/>
  <cols>
    <col min="1" max="1" width="22.88671875" style="7" bestFit="1" customWidth="1"/>
    <col min="2" max="2" width="8.109375" style="7" bestFit="1" customWidth="1"/>
    <col min="3" max="3" width="50.5546875" style="7" bestFit="1" customWidth="1"/>
    <col min="4" max="4" width="2.33203125" style="7" bestFit="1" customWidth="1"/>
    <col min="5" max="6" width="11.44140625" style="7"/>
    <col min="7" max="7" width="64.88671875" style="7" bestFit="1" customWidth="1"/>
    <col min="8" max="8" width="13.109375" style="7" bestFit="1" customWidth="1"/>
    <col min="9" max="11" width="14.109375" style="7" bestFit="1" customWidth="1"/>
    <col min="12" max="17" width="15" style="7" bestFit="1" customWidth="1"/>
    <col min="18" max="18" width="22.88671875" style="7" bestFit="1" customWidth="1"/>
    <col min="19" max="28" width="15" style="7" bestFit="1" customWidth="1"/>
    <col min="29" max="16384" width="11.44140625" style="7"/>
  </cols>
  <sheetData>
    <row r="1" spans="7:29" x14ac:dyDescent="0.3">
      <c r="G1" s="22" t="s">
        <v>13</v>
      </c>
      <c r="H1" s="22" t="s">
        <v>14</v>
      </c>
      <c r="I1" s="22" t="s">
        <v>15</v>
      </c>
      <c r="J1" s="22" t="s">
        <v>16</v>
      </c>
      <c r="K1" s="22" t="s">
        <v>17</v>
      </c>
      <c r="L1" s="22" t="s">
        <v>18</v>
      </c>
      <c r="M1" s="22" t="s">
        <v>19</v>
      </c>
      <c r="N1" s="22" t="s">
        <v>20</v>
      </c>
      <c r="O1" s="22" t="s">
        <v>21</v>
      </c>
      <c r="P1" s="22" t="s">
        <v>22</v>
      </c>
      <c r="Q1" s="22" t="s">
        <v>23</v>
      </c>
      <c r="R1" s="22" t="s">
        <v>24</v>
      </c>
      <c r="S1" s="22" t="s">
        <v>25</v>
      </c>
      <c r="T1" s="22" t="s">
        <v>26</v>
      </c>
      <c r="U1" s="22" t="s">
        <v>27</v>
      </c>
      <c r="V1" s="22" t="s">
        <v>28</v>
      </c>
      <c r="W1" s="22" t="s">
        <v>29</v>
      </c>
      <c r="X1" s="22" t="s">
        <v>30</v>
      </c>
      <c r="Y1" s="22" t="s">
        <v>31</v>
      </c>
      <c r="Z1" s="22" t="s">
        <v>32</v>
      </c>
      <c r="AA1" s="22" t="s">
        <v>33</v>
      </c>
      <c r="AB1" s="22" t="s">
        <v>34</v>
      </c>
    </row>
    <row r="2" spans="7:29" x14ac:dyDescent="0.3">
      <c r="G2" s="16" t="s">
        <v>36</v>
      </c>
      <c r="H2" s="16"/>
      <c r="I2" s="16">
        <f t="shared" ref="I2:AB2" si="0">I19*I14</f>
        <v>348.88555624611553</v>
      </c>
      <c r="J2" s="16">
        <f t="shared" si="0"/>
        <v>340.23302000843375</v>
      </c>
      <c r="K2" s="16">
        <f t="shared" si="0"/>
        <v>331.79507099571458</v>
      </c>
      <c r="L2" s="16">
        <f t="shared" si="0"/>
        <v>323.56638733748537</v>
      </c>
      <c r="M2" s="16">
        <f t="shared" si="0"/>
        <v>315.54177914832206</v>
      </c>
      <c r="N2" s="16">
        <f t="shared" si="0"/>
        <v>307.71618525455409</v>
      </c>
      <c r="O2" s="16">
        <f t="shared" si="0"/>
        <v>300.08467000214858</v>
      </c>
      <c r="P2" s="16">
        <f t="shared" si="0"/>
        <v>292.64242014376021</v>
      </c>
      <c r="Q2" s="16">
        <f t="shared" si="0"/>
        <v>285.38474180298488</v>
      </c>
      <c r="R2" s="16">
        <f t="shared" si="0"/>
        <v>278.30705751389991</v>
      </c>
      <c r="S2" s="16">
        <f t="shared" si="0"/>
        <v>271.40490333402641</v>
      </c>
      <c r="T2" s="16">
        <f t="shared" si="0"/>
        <v>264.67392602889089</v>
      </c>
      <c r="U2" s="16">
        <f t="shared" si="0"/>
        <v>258.10988032641143</v>
      </c>
      <c r="V2" s="16">
        <f t="shared" si="0"/>
        <v>251.7086262393762</v>
      </c>
      <c r="W2" s="16">
        <f t="shared" si="0"/>
        <v>245.46612645432654</v>
      </c>
      <c r="X2" s="16">
        <f t="shared" si="0"/>
        <v>239.37844378519603</v>
      </c>
      <c r="Y2" s="16">
        <f t="shared" si="0"/>
        <v>233.44173869010126</v>
      </c>
      <c r="Z2" s="16">
        <f t="shared" si="0"/>
        <v>227.65226684971739</v>
      </c>
      <c r="AA2" s="16">
        <f t="shared" si="0"/>
        <v>222.00637680571097</v>
      </c>
      <c r="AB2" s="16">
        <f t="shared" si="0"/>
        <v>216.50050765774091</v>
      </c>
    </row>
    <row r="3" spans="7:29" x14ac:dyDescent="0.3">
      <c r="G3" s="17" t="s">
        <v>44</v>
      </c>
      <c r="H3" s="17"/>
      <c r="I3" s="17">
        <f t="shared" ref="I3:AB3" si="1">I17*I14</f>
        <v>1464.5649274283296</v>
      </c>
      <c r="J3" s="17">
        <f t="shared" si="1"/>
        <v>1498.2153887976181</v>
      </c>
      <c r="K3" s="17">
        <f t="shared" si="1"/>
        <v>1525.3534851589623</v>
      </c>
      <c r="L3" s="17">
        <f t="shared" si="1"/>
        <v>1557.1805550556498</v>
      </c>
      <c r="M3" s="17">
        <f t="shared" si="1"/>
        <v>1588.5952705224233</v>
      </c>
      <c r="N3" s="17">
        <f t="shared" si="1"/>
        <v>1623.8981184777388</v>
      </c>
      <c r="O3" s="17">
        <f t="shared" si="1"/>
        <v>1657.6916985602347</v>
      </c>
      <c r="P3" s="17">
        <f t="shared" si="1"/>
        <v>1691.2685436572276</v>
      </c>
      <c r="Q3" s="17">
        <f t="shared" si="1"/>
        <v>1727.8457250467022</v>
      </c>
      <c r="R3" s="17">
        <f t="shared" si="1"/>
        <v>1762.1910532521481</v>
      </c>
      <c r="S3" s="17">
        <f t="shared" si="1"/>
        <v>1801.6846018248593</v>
      </c>
      <c r="T3" s="17">
        <f t="shared" si="1"/>
        <v>1840.5632263610503</v>
      </c>
      <c r="U3" s="17">
        <f t="shared" si="1"/>
        <v>1877.8912846485212</v>
      </c>
      <c r="V3" s="17">
        <f t="shared" si="1"/>
        <v>1919.974948408912</v>
      </c>
      <c r="W3" s="17">
        <f t="shared" si="1"/>
        <v>1966.0465224758877</v>
      </c>
      <c r="X3" s="17">
        <f t="shared" si="1"/>
        <v>2005.3172323620795</v>
      </c>
      <c r="Y3" s="17">
        <f t="shared" si="1"/>
        <v>2045.8436499398649</v>
      </c>
      <c r="Z3" s="17">
        <f t="shared" si="1"/>
        <v>2089.7329966662082</v>
      </c>
      <c r="AA3" s="17">
        <f t="shared" si="1"/>
        <v>2142.6559802046559</v>
      </c>
      <c r="AB3" s="17">
        <f t="shared" si="1"/>
        <v>2189.9790944463866</v>
      </c>
    </row>
    <row r="4" spans="7:29" x14ac:dyDescent="0.3">
      <c r="G4" s="17" t="s">
        <v>37</v>
      </c>
      <c r="H4" s="17"/>
      <c r="I4" s="17"/>
      <c r="J4" s="17"/>
      <c r="K4" s="17"/>
      <c r="L4" s="17"/>
      <c r="M4" s="17"/>
      <c r="N4" s="17"/>
      <c r="O4" s="17"/>
      <c r="P4" s="17"/>
      <c r="Q4" s="17"/>
      <c r="R4" s="17">
        <f>-H7*0.45</f>
        <v>-4082.400000000001</v>
      </c>
      <c r="S4" s="17"/>
      <c r="T4" s="17"/>
      <c r="U4" s="17"/>
      <c r="V4" s="17"/>
      <c r="W4" s="17"/>
      <c r="X4" s="17"/>
      <c r="Y4" s="17"/>
      <c r="Z4" s="17"/>
      <c r="AA4" s="17"/>
      <c r="AB4" s="17"/>
    </row>
    <row r="5" spans="7:29" x14ac:dyDescent="0.3"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</row>
    <row r="6" spans="7:29" x14ac:dyDescent="0.3">
      <c r="G6" s="17" t="s">
        <v>49</v>
      </c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</row>
    <row r="7" spans="7:29" x14ac:dyDescent="0.3">
      <c r="G7" s="17" t="s">
        <v>38</v>
      </c>
      <c r="H7" s="17">
        <f>-SUM(I8:AB8)</f>
        <v>9072.0000000000018</v>
      </c>
      <c r="I7" s="17" t="s">
        <v>35</v>
      </c>
      <c r="J7" s="17" t="s">
        <v>35</v>
      </c>
      <c r="K7" s="17" t="s">
        <v>35</v>
      </c>
      <c r="L7" s="17" t="s">
        <v>35</v>
      </c>
      <c r="M7" s="17" t="s">
        <v>35</v>
      </c>
      <c r="N7" s="17" t="s">
        <v>35</v>
      </c>
      <c r="O7" s="17" t="s">
        <v>35</v>
      </c>
      <c r="P7" s="17" t="s">
        <v>35</v>
      </c>
      <c r="Q7" s="17" t="s">
        <v>35</v>
      </c>
      <c r="R7" s="17" t="s">
        <v>35</v>
      </c>
      <c r="S7" s="17" t="s">
        <v>35</v>
      </c>
      <c r="T7" s="17" t="s">
        <v>35</v>
      </c>
      <c r="U7" s="17" t="s">
        <v>35</v>
      </c>
      <c r="V7" s="17" t="s">
        <v>35</v>
      </c>
      <c r="W7" s="17" t="s">
        <v>35</v>
      </c>
      <c r="X7" s="17" t="s">
        <v>35</v>
      </c>
      <c r="Y7" s="17" t="s">
        <v>35</v>
      </c>
      <c r="Z7" s="17" t="s">
        <v>35</v>
      </c>
      <c r="AA7" s="17" t="s">
        <v>35</v>
      </c>
      <c r="AB7" s="17" t="s">
        <v>35</v>
      </c>
    </row>
    <row r="8" spans="7:29" x14ac:dyDescent="0.3">
      <c r="G8" s="17" t="s">
        <v>2</v>
      </c>
      <c r="H8" s="17"/>
      <c r="I8" s="7">
        <v>0</v>
      </c>
      <c r="J8" s="7">
        <v>0</v>
      </c>
      <c r="K8" s="7">
        <v>0</v>
      </c>
      <c r="L8" s="7">
        <v>-533.64705882352939</v>
      </c>
      <c r="M8" s="7">
        <v>-533.64705882352939</v>
      </c>
      <c r="N8" s="7">
        <v>-533.64705882352939</v>
      </c>
      <c r="O8" s="7">
        <v>-533.64705882352939</v>
      </c>
      <c r="P8" s="7">
        <v>-533.64705882352939</v>
      </c>
      <c r="Q8" s="7">
        <v>-533.64705882352939</v>
      </c>
      <c r="R8" s="7">
        <v>-533.64705882352939</v>
      </c>
      <c r="S8" s="7">
        <v>-533.64705882352939</v>
      </c>
      <c r="T8" s="7">
        <v>-533.64705882352939</v>
      </c>
      <c r="U8" s="7">
        <v>-533.64705882352939</v>
      </c>
      <c r="V8" s="7">
        <v>-533.64705882352939</v>
      </c>
      <c r="W8" s="7">
        <v>-533.64705882352939</v>
      </c>
      <c r="X8" s="7">
        <v>-533.64705882352939</v>
      </c>
      <c r="Y8" s="7">
        <v>-533.64705882352939</v>
      </c>
      <c r="Z8" s="7">
        <v>-533.64705882352939</v>
      </c>
      <c r="AA8" s="7">
        <v>-533.64705882352939</v>
      </c>
      <c r="AB8" s="7">
        <v>-533.64705882352939</v>
      </c>
    </row>
    <row r="9" spans="7:29" x14ac:dyDescent="0.3">
      <c r="G9" s="17" t="s">
        <v>39</v>
      </c>
      <c r="H9" s="17"/>
      <c r="I9" s="7">
        <v>-488.0736</v>
      </c>
      <c r="J9" s="7">
        <v>-488.0736</v>
      </c>
      <c r="K9" s="7">
        <v>-488.0736</v>
      </c>
      <c r="L9" s="7">
        <v>-477.30727058823527</v>
      </c>
      <c r="M9" s="7">
        <v>-448.59705882352921</v>
      </c>
      <c r="N9" s="7">
        <v>-419.88684705882343</v>
      </c>
      <c r="O9" s="7">
        <v>-391.17663529411766</v>
      </c>
      <c r="P9" s="7">
        <v>-362.46642352941183</v>
      </c>
      <c r="Q9" s="7">
        <v>-333.75621176470599</v>
      </c>
      <c r="R9" s="7">
        <v>-305.04600000000022</v>
      </c>
      <c r="S9" s="7">
        <v>-276.33578823529444</v>
      </c>
      <c r="T9" s="7">
        <v>-247.62557647058861</v>
      </c>
      <c r="U9" s="7">
        <v>-218.91536470588281</v>
      </c>
      <c r="V9" s="7">
        <v>-190.20515294117689</v>
      </c>
      <c r="W9" s="7">
        <v>-161.494941176471</v>
      </c>
      <c r="X9" s="7">
        <v>-132.78472941176511</v>
      </c>
      <c r="Y9" s="7">
        <v>-104.07451764705921</v>
      </c>
      <c r="Z9" s="7">
        <v>-75.364305882353307</v>
      </c>
      <c r="AA9" s="7">
        <v>-46.654094117647418</v>
      </c>
      <c r="AB9" s="7">
        <v>-17.943882352941536</v>
      </c>
    </row>
    <row r="10" spans="7:29" x14ac:dyDescent="0.3">
      <c r="G10" s="21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</row>
    <row r="11" spans="7:29" x14ac:dyDescent="0.3">
      <c r="G11" s="21" t="s">
        <v>45</v>
      </c>
      <c r="H11" s="15">
        <f>H2</f>
        <v>0</v>
      </c>
      <c r="I11" s="15">
        <f>I2</f>
        <v>348.88555624611553</v>
      </c>
      <c r="J11" s="15">
        <f t="shared" ref="J11:AB11" si="2">J2+I11</f>
        <v>689.11857625454923</v>
      </c>
      <c r="K11" s="15">
        <f t="shared" si="2"/>
        <v>1020.9136472502638</v>
      </c>
      <c r="L11" s="15">
        <f t="shared" si="2"/>
        <v>1344.4800345877493</v>
      </c>
      <c r="M11" s="15">
        <f t="shared" si="2"/>
        <v>1660.0218137360714</v>
      </c>
      <c r="N11" s="15">
        <f t="shared" si="2"/>
        <v>1967.7379989906256</v>
      </c>
      <c r="O11" s="15">
        <f t="shared" si="2"/>
        <v>2267.8226689927742</v>
      </c>
      <c r="P11" s="15">
        <f t="shared" si="2"/>
        <v>2560.4650891365345</v>
      </c>
      <c r="Q11" s="15">
        <f t="shared" si="2"/>
        <v>2845.8498309395195</v>
      </c>
      <c r="R11" s="15">
        <f t="shared" si="2"/>
        <v>3124.1568884534195</v>
      </c>
      <c r="S11" s="15">
        <f t="shared" si="2"/>
        <v>3395.5617917874461</v>
      </c>
      <c r="T11" s="15">
        <f t="shared" si="2"/>
        <v>3660.235717816337</v>
      </c>
      <c r="U11" s="15">
        <f t="shared" si="2"/>
        <v>3918.3455981427483</v>
      </c>
      <c r="V11" s="15">
        <f t="shared" si="2"/>
        <v>4170.0542243821246</v>
      </c>
      <c r="W11" s="15">
        <f t="shared" si="2"/>
        <v>4415.5203508364511</v>
      </c>
      <c r="X11" s="15">
        <f t="shared" si="2"/>
        <v>4654.8987946216475</v>
      </c>
      <c r="Y11" s="15">
        <f t="shared" si="2"/>
        <v>4888.3405333117489</v>
      </c>
      <c r="Z11" s="15">
        <f t="shared" si="2"/>
        <v>5115.9928001614662</v>
      </c>
      <c r="AA11" s="15">
        <f t="shared" si="2"/>
        <v>5337.9991769671769</v>
      </c>
      <c r="AB11" s="15">
        <f t="shared" si="2"/>
        <v>5554.4996846249178</v>
      </c>
      <c r="AC11" s="14"/>
    </row>
    <row r="12" spans="7:29" ht="16.2" thickBot="1" x14ac:dyDescent="0.35">
      <c r="G12" s="23" t="s">
        <v>50</v>
      </c>
      <c r="H12" s="15"/>
      <c r="I12" s="15">
        <f t="shared" ref="I12" si="3">SUM(I3,I4,I9,I8)</f>
        <v>976.49132742832967</v>
      </c>
      <c r="J12" s="15">
        <f>SUM(J3,J4,J9,J8,I12)</f>
        <v>1986.6331162259478</v>
      </c>
      <c r="K12" s="15">
        <f t="shared" ref="K12:AB12" si="4">SUM(K3,K4,K9,K8,J12)</f>
        <v>3023.9130013849099</v>
      </c>
      <c r="L12" s="15">
        <f t="shared" si="4"/>
        <v>3570.1392270287952</v>
      </c>
      <c r="M12" s="15">
        <f t="shared" si="4"/>
        <v>4176.4903799041595</v>
      </c>
      <c r="N12" s="15">
        <f t="shared" si="4"/>
        <v>4846.8545924995451</v>
      </c>
      <c r="O12" s="15">
        <f t="shared" si="4"/>
        <v>5579.7225969421324</v>
      </c>
      <c r="P12" s="15">
        <f t="shared" si="4"/>
        <v>6374.8776582464188</v>
      </c>
      <c r="Q12" s="15">
        <f t="shared" si="4"/>
        <v>7235.320112704886</v>
      </c>
      <c r="R12" s="15">
        <f t="shared" si="4"/>
        <v>4076.4181071335038</v>
      </c>
      <c r="S12" s="15">
        <f t="shared" si="4"/>
        <v>5068.1198618995395</v>
      </c>
      <c r="T12" s="15">
        <f t="shared" si="4"/>
        <v>6127.4104529664719</v>
      </c>
      <c r="U12" s="15">
        <f t="shared" si="4"/>
        <v>7252.7393140855802</v>
      </c>
      <c r="V12" s="15">
        <f t="shared" si="4"/>
        <v>8448.8620507297856</v>
      </c>
      <c r="W12" s="15">
        <f t="shared" si="4"/>
        <v>9719.7665732056739</v>
      </c>
      <c r="X12" s="15">
        <f t="shared" si="4"/>
        <v>11058.652017332459</v>
      </c>
      <c r="Y12" s="15">
        <f t="shared" si="4"/>
        <v>12466.774090801735</v>
      </c>
      <c r="Z12" s="15">
        <f t="shared" si="4"/>
        <v>13947.49572276206</v>
      </c>
      <c r="AA12" s="15">
        <f t="shared" si="4"/>
        <v>15509.85055002554</v>
      </c>
      <c r="AB12" s="15">
        <f t="shared" si="4"/>
        <v>17148.238703295454</v>
      </c>
      <c r="AC12" s="14"/>
    </row>
    <row r="13" spans="7:29" x14ac:dyDescent="0.3">
      <c r="G13" s="4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6"/>
    </row>
    <row r="14" spans="7:29" x14ac:dyDescent="0.3">
      <c r="G14" s="11" t="s">
        <v>9</v>
      </c>
      <c r="H14" s="12"/>
      <c r="I14" s="12">
        <f>S22</f>
        <v>4263.2</v>
      </c>
      <c r="J14" s="12">
        <f>I14*(1-0.005)</f>
        <v>4241.884</v>
      </c>
      <c r="K14" s="12">
        <f t="shared" ref="K14:AB14" si="5">J14*(1-0.005)</f>
        <v>4220.6745799999999</v>
      </c>
      <c r="L14" s="12">
        <f t="shared" si="5"/>
        <v>4199.5712070999998</v>
      </c>
      <c r="M14" s="12">
        <f t="shared" si="5"/>
        <v>4178.5733510644995</v>
      </c>
      <c r="N14" s="12">
        <f t="shared" si="5"/>
        <v>4157.6804843091768</v>
      </c>
      <c r="O14" s="12">
        <f t="shared" si="5"/>
        <v>4136.8920818876313</v>
      </c>
      <c r="P14" s="12">
        <f t="shared" si="5"/>
        <v>4116.2076214781928</v>
      </c>
      <c r="Q14" s="12">
        <f t="shared" si="5"/>
        <v>4095.6265833708017</v>
      </c>
      <c r="R14" s="12">
        <f t="shared" si="5"/>
        <v>4075.1484504539476</v>
      </c>
      <c r="S14" s="12">
        <f t="shared" si="5"/>
        <v>4054.7727082016777</v>
      </c>
      <c r="T14" s="12">
        <f t="shared" si="5"/>
        <v>4034.4988446606694</v>
      </c>
      <c r="U14" s="12">
        <f t="shared" si="5"/>
        <v>4014.3263504373663</v>
      </c>
      <c r="V14" s="12">
        <f t="shared" si="5"/>
        <v>3994.2547186851793</v>
      </c>
      <c r="W14" s="12">
        <f t="shared" si="5"/>
        <v>3974.2834450917535</v>
      </c>
      <c r="X14" s="12">
        <f t="shared" si="5"/>
        <v>3954.4120278662949</v>
      </c>
      <c r="Y14" s="12">
        <f t="shared" si="5"/>
        <v>3934.6399677269633</v>
      </c>
      <c r="Z14" s="12">
        <f t="shared" si="5"/>
        <v>3914.9667678883284</v>
      </c>
      <c r="AA14" s="12">
        <f t="shared" si="5"/>
        <v>3895.3919340488869</v>
      </c>
      <c r="AB14" s="12">
        <f t="shared" si="5"/>
        <v>3875.9149743786425</v>
      </c>
    </row>
    <row r="15" spans="7:29" x14ac:dyDescent="0.3">
      <c r="G15" s="11" t="s">
        <v>8</v>
      </c>
      <c r="H15" s="12"/>
      <c r="I15" s="12">
        <v>0.42411917073488226</v>
      </c>
      <c r="J15" s="12">
        <v>0.4360441323113049</v>
      </c>
      <c r="K15" s="12">
        <v>0.44617333440891183</v>
      </c>
      <c r="L15" s="12">
        <v>0.4577717664241896</v>
      </c>
      <c r="M15" s="12">
        <v>0.46935366793080274</v>
      </c>
      <c r="N15" s="12">
        <v>0.48219494006666963</v>
      </c>
      <c r="O15" s="12">
        <v>0.49470300908880804</v>
      </c>
      <c r="P15" s="12">
        <v>0.50725960601985376</v>
      </c>
      <c r="Q15" s="12">
        <v>0.52083431606999631</v>
      </c>
      <c r="R15" s="12">
        <v>0.5338565052631381</v>
      </c>
      <c r="S15" s="12">
        <v>0.54856391162503637</v>
      </c>
      <c r="T15" s="12">
        <v>0.56321748176115871</v>
      </c>
      <c r="U15" s="12">
        <v>0.57752760977757078</v>
      </c>
      <c r="V15" s="12">
        <v>0.59343722657237086</v>
      </c>
      <c r="W15" s="12">
        <v>0.61073095628853435</v>
      </c>
      <c r="X15" s="12">
        <v>0.62606027632446604</v>
      </c>
      <c r="Y15" s="12">
        <v>0.64192223986873176</v>
      </c>
      <c r="Z15" s="12">
        <v>0.65898829614494836</v>
      </c>
      <c r="AA15" s="12">
        <v>0.67907269443859763</v>
      </c>
      <c r="AB15" s="13">
        <v>0.69755861835222222</v>
      </c>
    </row>
    <row r="16" spans="7:29" x14ac:dyDescent="0.3">
      <c r="G16" s="11" t="s">
        <v>10</v>
      </c>
      <c r="H16" s="12"/>
      <c r="I16" s="12">
        <f>1-0.19</f>
        <v>0.81</v>
      </c>
      <c r="J16" s="12">
        <f t="shared" ref="J16:AB16" si="6">1-0.19</f>
        <v>0.81</v>
      </c>
      <c r="K16" s="12">
        <f t="shared" si="6"/>
        <v>0.81</v>
      </c>
      <c r="L16" s="12">
        <f t="shared" si="6"/>
        <v>0.81</v>
      </c>
      <c r="M16" s="12">
        <f t="shared" si="6"/>
        <v>0.81</v>
      </c>
      <c r="N16" s="12">
        <f t="shared" si="6"/>
        <v>0.81</v>
      </c>
      <c r="O16" s="12">
        <f t="shared" si="6"/>
        <v>0.81</v>
      </c>
      <c r="P16" s="12">
        <f t="shared" si="6"/>
        <v>0.81</v>
      </c>
      <c r="Q16" s="12">
        <f t="shared" si="6"/>
        <v>0.81</v>
      </c>
      <c r="R16" s="12">
        <f t="shared" si="6"/>
        <v>0.81</v>
      </c>
      <c r="S16" s="12">
        <f t="shared" si="6"/>
        <v>0.81</v>
      </c>
      <c r="T16" s="12">
        <f t="shared" si="6"/>
        <v>0.81</v>
      </c>
      <c r="U16" s="12">
        <f t="shared" si="6"/>
        <v>0.81</v>
      </c>
      <c r="V16" s="12">
        <f t="shared" si="6"/>
        <v>0.81</v>
      </c>
      <c r="W16" s="12">
        <f t="shared" si="6"/>
        <v>0.81</v>
      </c>
      <c r="X16" s="12">
        <f t="shared" si="6"/>
        <v>0.81</v>
      </c>
      <c r="Y16" s="12">
        <f t="shared" si="6"/>
        <v>0.81</v>
      </c>
      <c r="Z16" s="12">
        <f t="shared" si="6"/>
        <v>0.81</v>
      </c>
      <c r="AA16" s="12">
        <f t="shared" si="6"/>
        <v>0.81</v>
      </c>
      <c r="AB16" s="13">
        <f t="shared" si="6"/>
        <v>0.81</v>
      </c>
    </row>
    <row r="17" spans="1:28" x14ac:dyDescent="0.3">
      <c r="G17" s="11" t="s">
        <v>46</v>
      </c>
      <c r="H17" s="12"/>
      <c r="I17" s="12">
        <f>I15*I16</f>
        <v>0.34353652829525466</v>
      </c>
      <c r="J17" s="12">
        <f t="shared" ref="J17:AB17" si="7">J15*J16</f>
        <v>0.35319574717215702</v>
      </c>
      <c r="K17" s="12">
        <f t="shared" si="7"/>
        <v>0.36140040087121861</v>
      </c>
      <c r="L17" s="12">
        <f t="shared" si="7"/>
        <v>0.37079513080359361</v>
      </c>
      <c r="M17" s="12">
        <f t="shared" si="7"/>
        <v>0.38017647102395025</v>
      </c>
      <c r="N17" s="12">
        <f t="shared" si="7"/>
        <v>0.39057790145400245</v>
      </c>
      <c r="O17" s="12">
        <f t="shared" si="7"/>
        <v>0.40070943736193454</v>
      </c>
      <c r="P17" s="12">
        <f t="shared" si="7"/>
        <v>0.41088028087608158</v>
      </c>
      <c r="Q17" s="12">
        <f t="shared" si="7"/>
        <v>0.42187579601669706</v>
      </c>
      <c r="R17" s="12">
        <f t="shared" si="7"/>
        <v>0.43242376926314191</v>
      </c>
      <c r="S17" s="12">
        <f t="shared" si="7"/>
        <v>0.4443367684162795</v>
      </c>
      <c r="T17" s="12">
        <f t="shared" si="7"/>
        <v>0.45620616022653859</v>
      </c>
      <c r="U17" s="12">
        <f t="shared" si="7"/>
        <v>0.46779736391983234</v>
      </c>
      <c r="V17" s="12">
        <f t="shared" si="7"/>
        <v>0.48068415352362043</v>
      </c>
      <c r="W17" s="12">
        <f t="shared" si="7"/>
        <v>0.49469207459371284</v>
      </c>
      <c r="X17" s="12">
        <f t="shared" si="7"/>
        <v>0.50710882382281752</v>
      </c>
      <c r="Y17" s="12">
        <f t="shared" si="7"/>
        <v>0.5199570142936728</v>
      </c>
      <c r="Z17" s="12">
        <f t="shared" si="7"/>
        <v>0.53378051987740815</v>
      </c>
      <c r="AA17" s="12">
        <f t="shared" si="7"/>
        <v>0.55004888249526407</v>
      </c>
      <c r="AB17" s="13">
        <f t="shared" si="7"/>
        <v>0.56502248086530005</v>
      </c>
    </row>
    <row r="18" spans="1:28" x14ac:dyDescent="0.3">
      <c r="G18" s="8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10"/>
    </row>
    <row r="19" spans="1:28" ht="16.2" thickBot="1" x14ac:dyDescent="0.35">
      <c r="G19" s="18" t="s">
        <v>7</v>
      </c>
      <c r="H19" s="19"/>
      <c r="I19" s="19">
        <v>8.1836544437538836E-2</v>
      </c>
      <c r="J19" s="19">
        <v>8.0207997203231809E-2</v>
      </c>
      <c r="K19" s="19">
        <v>7.8611858058887499E-2</v>
      </c>
      <c r="L19" s="19">
        <v>7.7047482083515639E-2</v>
      </c>
      <c r="M19" s="19">
        <v>7.5514237190053679E-2</v>
      </c>
      <c r="N19" s="19">
        <v>7.4011503869971615E-2</v>
      </c>
      <c r="O19" s="19">
        <v>7.253867494295918E-2</v>
      </c>
      <c r="P19" s="19">
        <v>7.1095155311594285E-2</v>
      </c>
      <c r="Q19" s="19">
        <v>6.9680361720893563E-2</v>
      </c>
      <c r="R19" s="19">
        <v>6.8293722522647773E-2</v>
      </c>
      <c r="S19" s="19">
        <v>6.6934677444447074E-2</v>
      </c>
      <c r="T19" s="19">
        <v>6.5602677363302581E-2</v>
      </c>
      <c r="U19" s="19">
        <v>6.4297184083772857E-2</v>
      </c>
      <c r="V19" s="19">
        <v>6.301767012050577E-2</v>
      </c>
      <c r="W19" s="19">
        <v>6.1763618485107703E-2</v>
      </c>
      <c r="X19" s="19">
        <v>6.0534522477254056E-2</v>
      </c>
      <c r="Y19" s="19">
        <v>5.9329885479956698E-2</v>
      </c>
      <c r="Z19" s="19">
        <v>5.8149220758905558E-2</v>
      </c>
      <c r="AA19" s="19">
        <v>5.6992051265803333E-2</v>
      </c>
      <c r="AB19" s="20">
        <v>5.5857909445613842E-2</v>
      </c>
    </row>
    <row r="21" spans="1:28" x14ac:dyDescent="0.3">
      <c r="A21" s="7" t="s">
        <v>48</v>
      </c>
      <c r="C21" s="7" t="s">
        <v>47</v>
      </c>
      <c r="R21" s="7" t="s">
        <v>48</v>
      </c>
    </row>
    <row r="22" spans="1:28" x14ac:dyDescent="0.3">
      <c r="B22" s="7">
        <f>5.78*365*2</f>
        <v>4219.4000000000005</v>
      </c>
      <c r="D22" s="7">
        <f>AA13*0.5/365</f>
        <v>0</v>
      </c>
      <c r="S22" s="7">
        <f>5.84*365*2</f>
        <v>4263.2</v>
      </c>
    </row>
    <row r="23" spans="1:28" x14ac:dyDescent="0.3">
      <c r="S23" s="7">
        <f>S22-100</f>
        <v>4163.2</v>
      </c>
    </row>
    <row r="24" spans="1:28" x14ac:dyDescent="0.3">
      <c r="S24" s="7">
        <f t="shared" ref="S24:S41" si="8">S23-100</f>
        <v>4063.2</v>
      </c>
    </row>
    <row r="25" spans="1:28" x14ac:dyDescent="0.3">
      <c r="S25" s="7">
        <f t="shared" si="8"/>
        <v>3963.2</v>
      </c>
    </row>
    <row r="26" spans="1:28" x14ac:dyDescent="0.3">
      <c r="S26" s="7">
        <f t="shared" si="8"/>
        <v>3863.2</v>
      </c>
    </row>
    <row r="27" spans="1:28" x14ac:dyDescent="0.3">
      <c r="S27" s="7">
        <f t="shared" si="8"/>
        <v>3763.2</v>
      </c>
    </row>
    <row r="28" spans="1:28" x14ac:dyDescent="0.3">
      <c r="S28" s="7">
        <f t="shared" si="8"/>
        <v>3663.2</v>
      </c>
    </row>
    <row r="29" spans="1:28" x14ac:dyDescent="0.3">
      <c r="S29" s="7">
        <f t="shared" si="8"/>
        <v>3563.2</v>
      </c>
    </row>
    <row r="30" spans="1:28" x14ac:dyDescent="0.3">
      <c r="S30" s="7">
        <f t="shared" si="8"/>
        <v>3463.2</v>
      </c>
    </row>
    <row r="31" spans="1:28" x14ac:dyDescent="0.3">
      <c r="S31" s="7">
        <f t="shared" si="8"/>
        <v>3363.2</v>
      </c>
    </row>
    <row r="32" spans="1:28" x14ac:dyDescent="0.3">
      <c r="S32" s="7">
        <f t="shared" si="8"/>
        <v>3263.2</v>
      </c>
    </row>
    <row r="33" spans="19:19" x14ac:dyDescent="0.3">
      <c r="S33" s="7">
        <f t="shared" si="8"/>
        <v>3163.2</v>
      </c>
    </row>
    <row r="34" spans="19:19" x14ac:dyDescent="0.3">
      <c r="S34" s="7">
        <f t="shared" si="8"/>
        <v>3063.2</v>
      </c>
    </row>
    <row r="35" spans="19:19" x14ac:dyDescent="0.3">
      <c r="S35" s="7">
        <f t="shared" si="8"/>
        <v>2963.2</v>
      </c>
    </row>
    <row r="36" spans="19:19" x14ac:dyDescent="0.3">
      <c r="S36" s="7">
        <f t="shared" si="8"/>
        <v>2863.2</v>
      </c>
    </row>
    <row r="37" spans="19:19" x14ac:dyDescent="0.3">
      <c r="S37" s="7">
        <f t="shared" si="8"/>
        <v>2763.2</v>
      </c>
    </row>
    <row r="38" spans="19:19" x14ac:dyDescent="0.3">
      <c r="S38" s="7">
        <f t="shared" si="8"/>
        <v>2663.2</v>
      </c>
    </row>
    <row r="39" spans="19:19" x14ac:dyDescent="0.3">
      <c r="S39" s="7">
        <f>S38-100</f>
        <v>2563.1999999999998</v>
      </c>
    </row>
    <row r="40" spans="19:19" x14ac:dyDescent="0.3">
      <c r="S40" s="7">
        <f t="shared" si="8"/>
        <v>2463.1999999999998</v>
      </c>
    </row>
    <row r="41" spans="19:19" x14ac:dyDescent="0.3">
      <c r="S41" s="7">
        <f t="shared" si="8"/>
        <v>2363.1999999999998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51</vt:i4>
      </vt:variant>
    </vt:vector>
  </HeadingPairs>
  <TitlesOfParts>
    <vt:vector size="67" baseType="lpstr">
      <vt:lpstr>Tilgungskredit</vt:lpstr>
      <vt:lpstr>Überschussrechnung_1</vt:lpstr>
      <vt:lpstr>Endwerte_Fall_3_84</vt:lpstr>
      <vt:lpstr>Darstellung</vt:lpstr>
      <vt:lpstr>Überschussrechnung_3_84</vt:lpstr>
      <vt:lpstr>Überschussrechnung (2)</vt:lpstr>
      <vt:lpstr>Überschussrechnung (3)</vt:lpstr>
      <vt:lpstr>Überschussrechnung (4)</vt:lpstr>
      <vt:lpstr>Überschussrechnung (5)</vt:lpstr>
      <vt:lpstr>Überschussrechnung (6)</vt:lpstr>
      <vt:lpstr>Überschussrechnung (7)</vt:lpstr>
      <vt:lpstr>Überschussrechnung (8)</vt:lpstr>
      <vt:lpstr>Überschussrechnung_5</vt:lpstr>
      <vt:lpstr>Daten_EEG_Strompreis</vt:lpstr>
      <vt:lpstr>Daten</vt:lpstr>
      <vt:lpstr>Bei 7,68kwh</vt:lpstr>
      <vt:lpstr>a</vt:lpstr>
      <vt:lpstr>Abzug_EEG_alle_Halbe_Jahr</vt:lpstr>
      <vt:lpstr>Anschaffungsauszahlung_one_Batterie_16_09</vt:lpstr>
      <vt:lpstr>Anschaffungsauszahlung_one_Batterie_8_05</vt:lpstr>
      <vt:lpstr>Auszahlung</vt:lpstr>
      <vt:lpstr>Auszahlung_mehr_10</vt:lpstr>
      <vt:lpstr>Auszahlung_weniger_10</vt:lpstr>
      <vt:lpstr>b</vt:lpstr>
      <vt:lpstr>Batterie_3_84_Szenario_I</vt:lpstr>
      <vt:lpstr>Batterie_3_84_Szenario_II</vt:lpstr>
      <vt:lpstr>Batterie_5_76_Szenario_I</vt:lpstr>
      <vt:lpstr>Batterie_5_76_Szenario_II</vt:lpstr>
      <vt:lpstr>Batterie_7_68_Szenario_I</vt:lpstr>
      <vt:lpstr>Batterie_7_68_Szenario_II</vt:lpstr>
      <vt:lpstr>BoS_16_09</vt:lpstr>
      <vt:lpstr>BoS_8_05</vt:lpstr>
      <vt:lpstr>C_</vt:lpstr>
      <vt:lpstr>Degredation</vt:lpstr>
      <vt:lpstr>EEG_Vergütung_kleiner_10</vt:lpstr>
      <vt:lpstr>EEG_Vergütung_Kleiner_40</vt:lpstr>
      <vt:lpstr>Ersatz_Batterie_n_10</vt:lpstr>
      <vt:lpstr>Ersatz_Batterie_n_20</vt:lpstr>
      <vt:lpstr>Ersatz_Wechselrichter_n_10</vt:lpstr>
      <vt:lpstr>Festgeld</vt:lpstr>
      <vt:lpstr>Fremdkapitalzins</vt:lpstr>
      <vt:lpstr>Fremdkapitalzins_II</vt:lpstr>
      <vt:lpstr>Gewerbe</vt:lpstr>
      <vt:lpstr>Gewerbesteuer</vt:lpstr>
      <vt:lpstr>Gwst_Kst</vt:lpstr>
      <vt:lpstr>Hebessatz</vt:lpstr>
      <vt:lpstr>Inflation</vt:lpstr>
      <vt:lpstr>Kontokorrentkredit</vt:lpstr>
      <vt:lpstr>Körpersschaftssteuer</vt:lpstr>
      <vt:lpstr>Kst_Soli</vt:lpstr>
      <vt:lpstr>Solarmodule_16_09</vt:lpstr>
      <vt:lpstr>Solarmodule_8_05</vt:lpstr>
      <vt:lpstr>Solidaritätszuschlag</vt:lpstr>
      <vt:lpstr>Szenario_I_kwp</vt:lpstr>
      <vt:lpstr>Szenario_II_kw</vt:lpstr>
      <vt:lpstr>Umsatzsteuer</vt:lpstr>
      <vt:lpstr>Versicherung_I</vt:lpstr>
      <vt:lpstr>Versicherung_II</vt:lpstr>
      <vt:lpstr>Wartung_Instandhaltung_I</vt:lpstr>
      <vt:lpstr>Wartung_Instandhaltung_II</vt:lpstr>
      <vt:lpstr>Wechselrichter_16_09</vt:lpstr>
      <vt:lpstr>Wechselrichter_8_05</vt:lpstr>
      <vt:lpstr>Überschussrechnung_1!Wirkungsgrad</vt:lpstr>
      <vt:lpstr>Überschussrechnung_5!Wirkungsgrad</vt:lpstr>
      <vt:lpstr>Wirkungsgrad</vt:lpstr>
      <vt:lpstr>Zähler_I</vt:lpstr>
      <vt:lpstr>Zähler_II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Soner Günaydin</dc:creator>
  <cp:lastModifiedBy>Soner Günaydin</cp:lastModifiedBy>
  <dcterms:created xsi:type="dcterms:W3CDTF">2022-10-24T14:33:09Z</dcterms:created>
  <dcterms:modified xsi:type="dcterms:W3CDTF">2022-11-25T15:09:17Z</dcterms:modified>
</cp:coreProperties>
</file>