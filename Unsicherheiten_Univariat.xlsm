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drawings/drawing2.xml" ContentType="application/vnd.openxmlformats-officedocument.drawing+xml"/>
  <Override PartName="/xl/tables/table3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3.xml" ContentType="application/vnd.openxmlformats-officedocument.drawing+xml"/>
  <Override PartName="/xl/tables/table4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4.xml" ContentType="application/vnd.openxmlformats-officedocument.drawing+xml"/>
  <Override PartName="/xl/tables/table5.xml" ContentType="application/vnd.openxmlformats-officedocument.spreadsheetml.tab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5.xml" ContentType="application/vnd.openxmlformats-officedocument.drawing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6.xml" ContentType="application/vnd.openxmlformats-officedocument.drawing+xml"/>
  <Override PartName="/xl/tables/table7.xml" ContentType="application/vnd.openxmlformats-officedocument.spreadsheetml.tab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7.xml" ContentType="application/vnd.openxmlformats-officedocument.drawing+xml"/>
  <Override PartName="/xl/tables/table8.xml" ContentType="application/vnd.openxmlformats-officedocument.spreadsheetml.tab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8.xml" ContentType="application/vnd.openxmlformats-officedocument.drawing+xml"/>
  <Override PartName="/xl/tables/table9.xml" ContentType="application/vnd.openxmlformats-officedocument.spreadsheetml.tab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9.xml" ContentType="application/vnd.openxmlformats-officedocument.drawing+xml"/>
  <Override PartName="/xl/tables/table10.xml" ContentType="application/vnd.openxmlformats-officedocument.spreadsheetml.tab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10.xml" ContentType="application/vnd.openxmlformats-officedocument.drawing+xml"/>
  <Override PartName="/xl/tables/table11.xml" ContentType="application/vnd.openxmlformats-officedocument.spreadsheetml.tab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11.xml" ContentType="application/vnd.openxmlformats-officedocument.drawing+xml"/>
  <Override PartName="/xl/tables/table12.xml" ContentType="application/vnd.openxmlformats-officedocument.spreadsheetml.tab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drawings/drawing12.xml" ContentType="application/vnd.openxmlformats-officedocument.drawing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tables/table1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629" codeName="{AE6600E7-7A62-396C-DE95-9942FA9DD81E}"/>
  <workbookPr codeName="DieseArbeitsmappe" hidePivotFieldList="1"/>
  <mc:AlternateContent xmlns:mc="http://schemas.openxmlformats.org/markup-compatibility/2006">
    <mc:Choice Requires="x15">
      <x15ac:absPath xmlns:x15ac="http://schemas.microsoft.com/office/spreadsheetml/2010/11/ac" url="https://d.docs.live.net/ad1b5cc62f251c91/04_Masterarbeit/99_Abgabe_Masterarbeit_Soner_Günaydin/00_Wirtschaftliche_Auswertung/"/>
    </mc:Choice>
  </mc:AlternateContent>
  <xr:revisionPtr revIDLastSave="6947" documentId="8_{67E758B3-2ED7-4DC9-AB71-EAD7FDB5AC14}" xr6:coauthVersionLast="47" xr6:coauthVersionMax="47" xr10:uidLastSave="{03023756-97B0-4A81-B5E4-B807ADFA070A}"/>
  <bookViews>
    <workbookView xWindow="-108" yWindow="-108" windowWidth="41496" windowHeight="16776" tabRatio="904" firstSheet="4" activeTab="8" xr2:uid="{00000000-000D-0000-FFFF-FFFF00000000}"/>
  </bookViews>
  <sheets>
    <sheet name="Register" sheetId="16" r:id="rId1"/>
    <sheet name="Sensitivität_bzw_Monte_Carlo_be" sheetId="2" r:id="rId2"/>
    <sheet name="Variation_Singulär" sheetId="6" r:id="rId3"/>
    <sheet name="Anschaffung" sheetId="4" r:id="rId4"/>
    <sheet name="Laufende_Kosten" sheetId="7" r:id="rId5"/>
    <sheet name="Degradation" sheetId="10" r:id="rId6"/>
    <sheet name="Habenzins" sheetId="12" r:id="rId7"/>
    <sheet name="Inflation" sheetId="13" r:id="rId8"/>
    <sheet name="Sollzins_KfW" sheetId="14" r:id="rId9"/>
    <sheet name="Batteriepreissenkung" sheetId="8" r:id="rId10"/>
    <sheet name="Batteriepreis" sheetId="9" r:id="rId11"/>
    <sheet name="Strompreis" sheetId="15" r:id="rId12"/>
    <sheet name="Ertragsteuer" sheetId="21" r:id="rId13"/>
    <sheet name="FuzzyLookup_AddIn_Undo_Sheet" sheetId="22" state="hidden" r:id="rId14"/>
    <sheet name="Tornado" sheetId="17" r:id="rId15"/>
    <sheet name="notes" sheetId="18" r:id="rId16"/>
  </sheets>
  <definedNames>
    <definedName name="Anschaffungsauszahlung_Basisszenario" localSheetId="10">Batteriepreis!$H$2</definedName>
    <definedName name="Anschaffungsauszahlung_Basisszenario" localSheetId="9">Batteriepreissenkung!$H$2</definedName>
    <definedName name="Anschaffungsauszahlung_Basisszenario" localSheetId="5">Degradation!$H$2</definedName>
    <definedName name="Anschaffungsauszahlung_Basisszenario" localSheetId="12">Ertragsteuer!#REF!</definedName>
    <definedName name="Anschaffungsauszahlung_Basisszenario" localSheetId="6">Habenzins!$H$2</definedName>
    <definedName name="Anschaffungsauszahlung_Basisszenario" localSheetId="7">Inflation!$H$2</definedName>
    <definedName name="Anschaffungsauszahlung_Basisszenario" localSheetId="4">Laufende_Kosten!$H$2</definedName>
    <definedName name="Anschaffungsauszahlung_Basisszenario" localSheetId="8">Sollzins_KfW!$H$2</definedName>
    <definedName name="Anschaffungsauszahlung_Basisszenario" localSheetId="11">Strompreis!$H$2</definedName>
    <definedName name="Anschaffungsauszahlung_Basisszenario">Anschaffung!$G$2</definedName>
    <definedName name="Endwert_Basisszenario" localSheetId="10">Batteriepreis!$H$3</definedName>
    <definedName name="Endwert_Basisszenario" localSheetId="9">Batteriepreissenkung!$H$3</definedName>
    <definedName name="Endwert_Basisszenario" localSheetId="5">Degradation!$H$3</definedName>
    <definedName name="Endwert_Basisszenario" localSheetId="12">Ertragsteuer!#REF!</definedName>
    <definedName name="Endwert_Basisszenario" localSheetId="6">Habenzins!$H$3</definedName>
    <definedName name="Endwert_Basisszenario" localSheetId="7">Inflation!$H$3</definedName>
    <definedName name="Endwert_Basisszenario" localSheetId="4">Laufende_Kosten!$H$3</definedName>
    <definedName name="Endwert_Basisszenario" localSheetId="8">Sollzins_KfW!$H$3</definedName>
    <definedName name="Endwert_Basisszenario" localSheetId="11">Strompreis!$H$3</definedName>
    <definedName name="Endwert_Basisszenario">Anschaffung!$G$3</definedName>
    <definedName name="ExterneDaten_1" localSheetId="1" hidden="1">Sensitivität_bzw_Monte_Carlo_be!$A$1:$B$1600</definedName>
    <definedName name="ExterneDaten_1" localSheetId="2" hidden="1">Variation_Singulär!$A$1:$B$1014</definedName>
    <definedName name="Matrix_Auszahlung_BoS_Versicherung">Sensitivität_bzw_Monte_Carlo_be!$A$201:$B$400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Q650" i="17" l="1"/>
  <c r="Q651" i="17"/>
  <c r="R652" i="17"/>
  <c r="Q653" i="17"/>
  <c r="Q654" i="17"/>
  <c r="Q655" i="17"/>
  <c r="Q656" i="17"/>
  <c r="Q657" i="17"/>
  <c r="Q658" i="17"/>
  <c r="Q659" i="17"/>
  <c r="P656" i="17"/>
  <c r="O656" i="17"/>
  <c r="P655" i="17"/>
  <c r="O655" i="17"/>
  <c r="P654" i="17"/>
  <c r="O654" i="17"/>
  <c r="P653" i="17"/>
  <c r="O653" i="17"/>
  <c r="P652" i="17"/>
  <c r="P651" i="17"/>
  <c r="O651" i="17"/>
  <c r="P657" i="17"/>
  <c r="R655" i="17"/>
  <c r="R656" i="17"/>
  <c r="R657" i="17"/>
  <c r="O650" i="17"/>
  <c r="R651" i="17"/>
  <c r="O657" i="17" l="1"/>
  <c r="K614" i="17"/>
  <c r="R653" i="17"/>
  <c r="R659" i="17"/>
  <c r="F5" i="14"/>
  <c r="F5" i="7"/>
  <c r="G9" i="4"/>
  <c r="F9" i="4"/>
  <c r="G5" i="4"/>
  <c r="F5" i="4"/>
  <c r="K630" i="17"/>
  <c r="G9" i="21"/>
  <c r="F9" i="21"/>
  <c r="G5" i="21"/>
  <c r="F5" i="21"/>
  <c r="L633" i="17" l="1"/>
  <c r="K633" i="17"/>
  <c r="L626" i="17"/>
  <c r="K626" i="17"/>
  <c r="L630" i="17"/>
  <c r="L617" i="17"/>
  <c r="K617" i="17"/>
  <c r="L631" i="17"/>
  <c r="K631" i="17"/>
  <c r="L632" i="17"/>
  <c r="K632" i="17"/>
  <c r="L628" i="17"/>
  <c r="K628" i="17"/>
  <c r="L619" i="17"/>
  <c r="K619" i="17"/>
  <c r="L618" i="17"/>
  <c r="K618" i="17"/>
  <c r="L629" i="17"/>
  <c r="K629" i="17"/>
  <c r="L616" i="17"/>
  <c r="K616" i="17"/>
  <c r="L615" i="17"/>
  <c r="K615" i="17"/>
  <c r="G9" i="15"/>
  <c r="F9" i="15"/>
  <c r="G5" i="15"/>
  <c r="F5" i="15"/>
  <c r="G9" i="9"/>
  <c r="F9" i="9"/>
  <c r="G5" i="9"/>
  <c r="F5" i="9"/>
  <c r="G5" i="8"/>
  <c r="F5" i="8"/>
  <c r="G9" i="14"/>
  <c r="F9" i="14"/>
  <c r="G5" i="14"/>
  <c r="G9" i="13"/>
  <c r="F9" i="13"/>
  <c r="G5" i="13"/>
  <c r="F5" i="13"/>
  <c r="F5" i="12"/>
  <c r="G9" i="12"/>
  <c r="F9" i="12"/>
  <c r="G5" i="12"/>
  <c r="F5" i="10"/>
  <c r="G9" i="10"/>
  <c r="F9" i="10"/>
  <c r="G5" i="10"/>
  <c r="G9" i="7"/>
  <c r="F9" i="7"/>
  <c r="G5" i="7"/>
  <c r="R658" i="17" l="1"/>
  <c r="R654" i="17"/>
  <c r="H37" i="21"/>
  <c r="H36" i="21"/>
  <c r="O58" i="8"/>
  <c r="A101" i="7"/>
  <c r="D1880" i="22"/>
  <c r="D1879" i="22"/>
  <c r="D1878" i="22"/>
  <c r="D1877" i="22"/>
  <c r="D1876" i="22"/>
  <c r="D1875" i="22"/>
  <c r="D1874" i="22"/>
  <c r="D1873" i="22"/>
  <c r="D1872" i="22"/>
  <c r="D1871" i="22"/>
  <c r="D1860" i="22"/>
  <c r="D1859" i="22"/>
  <c r="D1858" i="22"/>
  <c r="D1857" i="22"/>
  <c r="D1856" i="22"/>
  <c r="D1855" i="22"/>
  <c r="D1854" i="22"/>
  <c r="D1853" i="22"/>
  <c r="D1852" i="22"/>
  <c r="D1851" i="22"/>
  <c r="D1840" i="22"/>
  <c r="D1839" i="22"/>
  <c r="D1838" i="22"/>
  <c r="D1837" i="22"/>
  <c r="D1836" i="22"/>
  <c r="D1835" i="22"/>
  <c r="D1834" i="22"/>
  <c r="D1833" i="22"/>
  <c r="D1832" i="22"/>
  <c r="D1831" i="22"/>
  <c r="D1820" i="22"/>
  <c r="D1819" i="22"/>
  <c r="D1818" i="22"/>
  <c r="D1817" i="22"/>
  <c r="D1816" i="22"/>
  <c r="D1815" i="22"/>
  <c r="D1814" i="22"/>
  <c r="D1813" i="22"/>
  <c r="D1812" i="22"/>
  <c r="D1811" i="22"/>
  <c r="D1800" i="22"/>
  <c r="D1799" i="22"/>
  <c r="D1798" i="22"/>
  <c r="D1797" i="22"/>
  <c r="D1796" i="22"/>
  <c r="D1795" i="22"/>
  <c r="D1794" i="22"/>
  <c r="D1793" i="22"/>
  <c r="D1792" i="22"/>
  <c r="D1791" i="22"/>
  <c r="D1790" i="22"/>
  <c r="D1789" i="22"/>
  <c r="D1788" i="22"/>
  <c r="D1787" i="22"/>
  <c r="D1786" i="22"/>
  <c r="D1785" i="22"/>
  <c r="D1784" i="22"/>
  <c r="D1783" i="22"/>
  <c r="D1782" i="22"/>
  <c r="D1781" i="22"/>
  <c r="D1780" i="22"/>
  <c r="D1779" i="22"/>
  <c r="D1778" i="22"/>
  <c r="D1777" i="22"/>
  <c r="D1776" i="22"/>
  <c r="D1775" i="22"/>
  <c r="D1774" i="22"/>
  <c r="D1773" i="22"/>
  <c r="D1772" i="22"/>
  <c r="D1771" i="22"/>
  <c r="D1770" i="22"/>
  <c r="D1769" i="22"/>
  <c r="D1768" i="22"/>
  <c r="D1767" i="22"/>
  <c r="D1766" i="22"/>
  <c r="D1765" i="22"/>
  <c r="D1764" i="22"/>
  <c r="D1763" i="22"/>
  <c r="D1762" i="22"/>
  <c r="D1761" i="22"/>
  <c r="D1760" i="22"/>
  <c r="D1759" i="22"/>
  <c r="D1758" i="22"/>
  <c r="D1757" i="22"/>
  <c r="D1756" i="22"/>
  <c r="D1755" i="22"/>
  <c r="D1754" i="22"/>
  <c r="D1753" i="22"/>
  <c r="D1752" i="22"/>
  <c r="D1751" i="22"/>
  <c r="D1700" i="22"/>
  <c r="D1699" i="22"/>
  <c r="D1698" i="22"/>
  <c r="D1697" i="22"/>
  <c r="D1696" i="22"/>
  <c r="D1695" i="22"/>
  <c r="D1694" i="22"/>
  <c r="D1693" i="22"/>
  <c r="D1692" i="22"/>
  <c r="D1691" i="22"/>
  <c r="D1690" i="22"/>
  <c r="D1689" i="22"/>
  <c r="D1688" i="22"/>
  <c r="D1687" i="22"/>
  <c r="D1686" i="22"/>
  <c r="D1685" i="22"/>
  <c r="D1684" i="22"/>
  <c r="D1683" i="22"/>
  <c r="D1682" i="22"/>
  <c r="D1681" i="22"/>
  <c r="D1680" i="22"/>
  <c r="D1679" i="22"/>
  <c r="D1678" i="22"/>
  <c r="D1677" i="22"/>
  <c r="D1676" i="22"/>
  <c r="D1675" i="22"/>
  <c r="D1674" i="22"/>
  <c r="D1673" i="22"/>
  <c r="D1672" i="22"/>
  <c r="D1671" i="22"/>
  <c r="D1670" i="22"/>
  <c r="D1669" i="22"/>
  <c r="D1668" i="22"/>
  <c r="D1667" i="22"/>
  <c r="D1666" i="22"/>
  <c r="D1665" i="22"/>
  <c r="D1664" i="22"/>
  <c r="D1663" i="22"/>
  <c r="D1662" i="22"/>
  <c r="D1661" i="22"/>
  <c r="D1660" i="22"/>
  <c r="D1659" i="22"/>
  <c r="D1658" i="22"/>
  <c r="D1657" i="22"/>
  <c r="D1656" i="22"/>
  <c r="D1655" i="22"/>
  <c r="D1654" i="22"/>
  <c r="D1653" i="22"/>
  <c r="D1652" i="22"/>
  <c r="D1651" i="22"/>
  <c r="D1600" i="22"/>
  <c r="D1599" i="22"/>
  <c r="D1598" i="22"/>
  <c r="D1597" i="22"/>
  <c r="D1596" i="22"/>
  <c r="D1595" i="22"/>
  <c r="D1594" i="22"/>
  <c r="D1593" i="22"/>
  <c r="D1592" i="22"/>
  <c r="D1591" i="22"/>
  <c r="D1590" i="22"/>
  <c r="D1589" i="22"/>
  <c r="D1588" i="22"/>
  <c r="D1587" i="22"/>
  <c r="D1586" i="22"/>
  <c r="D1585" i="22"/>
  <c r="D1584" i="22"/>
  <c r="D1583" i="22"/>
  <c r="D1582" i="22"/>
  <c r="D1581" i="22"/>
  <c r="D1580" i="22"/>
  <c r="D1579" i="22"/>
  <c r="D1578" i="22"/>
  <c r="D1577" i="22"/>
  <c r="D1576" i="22"/>
  <c r="D1575" i="22"/>
  <c r="D1574" i="22"/>
  <c r="D1573" i="22"/>
  <c r="D1572" i="22"/>
  <c r="D1571" i="22"/>
  <c r="D1570" i="22"/>
  <c r="D1569" i="22"/>
  <c r="D1568" i="22"/>
  <c r="D1567" i="22"/>
  <c r="D1566" i="22"/>
  <c r="D1565" i="22"/>
  <c r="D1564" i="22"/>
  <c r="D1563" i="22"/>
  <c r="D1562" i="22"/>
  <c r="D1561" i="22"/>
  <c r="D1560" i="22"/>
  <c r="D1559" i="22"/>
  <c r="D1558" i="22"/>
  <c r="D1557" i="22"/>
  <c r="D1556" i="22"/>
  <c r="D1555" i="22"/>
  <c r="D1554" i="22"/>
  <c r="D1553" i="22"/>
  <c r="D1552" i="22"/>
  <c r="D1551" i="22"/>
  <c r="D1500" i="22"/>
  <c r="D1499" i="22"/>
  <c r="D1498" i="22"/>
  <c r="D1497" i="22"/>
  <c r="D1496" i="22"/>
  <c r="D1495" i="22"/>
  <c r="D1494" i="22"/>
  <c r="D1493" i="22"/>
  <c r="D1492" i="22"/>
  <c r="D1491" i="22"/>
  <c r="D1490" i="22"/>
  <c r="D1489" i="22"/>
  <c r="D1488" i="22"/>
  <c r="D1487" i="22"/>
  <c r="D1486" i="22"/>
  <c r="D1485" i="22"/>
  <c r="D1484" i="22"/>
  <c r="D1483" i="22"/>
  <c r="D1482" i="22"/>
  <c r="D1481" i="22"/>
  <c r="D1480" i="22"/>
  <c r="D1479" i="22"/>
  <c r="D1478" i="22"/>
  <c r="D1477" i="22"/>
  <c r="D1476" i="22"/>
  <c r="D1475" i="22"/>
  <c r="D1474" i="22"/>
  <c r="D1473" i="22"/>
  <c r="D1472" i="22"/>
  <c r="D1471" i="22"/>
  <c r="D1470" i="22"/>
  <c r="D1469" i="22"/>
  <c r="D1468" i="22"/>
  <c r="D1467" i="22"/>
  <c r="D1466" i="22"/>
  <c r="D1465" i="22"/>
  <c r="D1464" i="22"/>
  <c r="D1463" i="22"/>
  <c r="D1462" i="22"/>
  <c r="D1461" i="22"/>
  <c r="D1460" i="22"/>
  <c r="D1459" i="22"/>
  <c r="D1458" i="22"/>
  <c r="D1457" i="22"/>
  <c r="D1456" i="22"/>
  <c r="D1455" i="22"/>
  <c r="D1454" i="22"/>
  <c r="D1453" i="22"/>
  <c r="D1452" i="22"/>
  <c r="D1451" i="22"/>
  <c r="D1400" i="22"/>
  <c r="D1399" i="22"/>
  <c r="D1398" i="22"/>
  <c r="D1397" i="22"/>
  <c r="D1396" i="22"/>
  <c r="D1395" i="22"/>
  <c r="D1394" i="22"/>
  <c r="D1393" i="22"/>
  <c r="D1392" i="22"/>
  <c r="D1391" i="22"/>
  <c r="D1390" i="22"/>
  <c r="D1389" i="22"/>
  <c r="D1388" i="22"/>
  <c r="D1387" i="22"/>
  <c r="D1386" i="22"/>
  <c r="D1385" i="22"/>
  <c r="D1384" i="22"/>
  <c r="D1383" i="22"/>
  <c r="D1382" i="22"/>
  <c r="D1381" i="22"/>
  <c r="D1380" i="22"/>
  <c r="D1379" i="22"/>
  <c r="D1378" i="22"/>
  <c r="D1377" i="22"/>
  <c r="D1376" i="22"/>
  <c r="D1375" i="22"/>
  <c r="D1374" i="22"/>
  <c r="D1373" i="22"/>
  <c r="D1372" i="22"/>
  <c r="D1371" i="22"/>
  <c r="D1370" i="22"/>
  <c r="D1369" i="22"/>
  <c r="D1368" i="22"/>
  <c r="D1367" i="22"/>
  <c r="D1366" i="22"/>
  <c r="D1365" i="22"/>
  <c r="D1364" i="22"/>
  <c r="D1363" i="22"/>
  <c r="D1362" i="22"/>
  <c r="D1361" i="22"/>
  <c r="D1360" i="22"/>
  <c r="D1359" i="22"/>
  <c r="D1358" i="22"/>
  <c r="D1357" i="22"/>
  <c r="D1356" i="22"/>
  <c r="D1355" i="22"/>
  <c r="D1354" i="22"/>
  <c r="D1353" i="22"/>
  <c r="D1352" i="22"/>
  <c r="D1351" i="22"/>
  <c r="D1300" i="22"/>
  <c r="D1299" i="22"/>
  <c r="D1298" i="22"/>
  <c r="D1297" i="22"/>
  <c r="D1296" i="22"/>
  <c r="D1295" i="22"/>
  <c r="D1294" i="22"/>
  <c r="D1293" i="22"/>
  <c r="D1292" i="22"/>
  <c r="D1291" i="22"/>
  <c r="D1290" i="22"/>
  <c r="D1289" i="22"/>
  <c r="D1288" i="22"/>
  <c r="D1287" i="22"/>
  <c r="D1286" i="22"/>
  <c r="D1285" i="22"/>
  <c r="D1284" i="22"/>
  <c r="D1283" i="22"/>
  <c r="D1282" i="22"/>
  <c r="D1281" i="22"/>
  <c r="D1280" i="22"/>
  <c r="D1279" i="22"/>
  <c r="D1278" i="22"/>
  <c r="D1277" i="22"/>
  <c r="D1276" i="22"/>
  <c r="D1275" i="22"/>
  <c r="D1274" i="22"/>
  <c r="D1273" i="22"/>
  <c r="D1272" i="22"/>
  <c r="D1271" i="22"/>
  <c r="D1270" i="22"/>
  <c r="D1269" i="22"/>
  <c r="D1268" i="22"/>
  <c r="D1267" i="22"/>
  <c r="D1266" i="22"/>
  <c r="D1265" i="22"/>
  <c r="D1264" i="22"/>
  <c r="D1263" i="22"/>
  <c r="D1262" i="22"/>
  <c r="D1261" i="22"/>
  <c r="D1260" i="22"/>
  <c r="D1259" i="22"/>
  <c r="D1258" i="22"/>
  <c r="D1257" i="22"/>
  <c r="D1256" i="22"/>
  <c r="D1255" i="22"/>
  <c r="D1254" i="22"/>
  <c r="D1253" i="22"/>
  <c r="D1252" i="22"/>
  <c r="F1251" i="22"/>
  <c r="D1251" i="22"/>
  <c r="D1200" i="22"/>
  <c r="D1199" i="22"/>
  <c r="D1198" i="22"/>
  <c r="D1197" i="22"/>
  <c r="D1196" i="22"/>
  <c r="D1195" i="22"/>
  <c r="D1194" i="22"/>
  <c r="D1193" i="22"/>
  <c r="D1192" i="22"/>
  <c r="D1191" i="22"/>
  <c r="D1190" i="22"/>
  <c r="D1189" i="22"/>
  <c r="D1188" i="22"/>
  <c r="D1187" i="22"/>
  <c r="D1186" i="22"/>
  <c r="D1185" i="22"/>
  <c r="D1184" i="22"/>
  <c r="D1183" i="22"/>
  <c r="D1182" i="22"/>
  <c r="D1181" i="22"/>
  <c r="D1180" i="22"/>
  <c r="D1179" i="22"/>
  <c r="D1178" i="22"/>
  <c r="D1177" i="22"/>
  <c r="D1176" i="22"/>
  <c r="D1175" i="22"/>
  <c r="D1174" i="22"/>
  <c r="D1173" i="22"/>
  <c r="D1172" i="22"/>
  <c r="D1171" i="22"/>
  <c r="D1170" i="22"/>
  <c r="D1169" i="22"/>
  <c r="D1168" i="22"/>
  <c r="D1167" i="22"/>
  <c r="D1166" i="22"/>
  <c r="D1165" i="22"/>
  <c r="D1164" i="22"/>
  <c r="D1163" i="22"/>
  <c r="D1162" i="22"/>
  <c r="D1161" i="22"/>
  <c r="D1160" i="22"/>
  <c r="D1159" i="22"/>
  <c r="D1158" i="22"/>
  <c r="D1157" i="22"/>
  <c r="D1156" i="22"/>
  <c r="D1155" i="22"/>
  <c r="D1154" i="22"/>
  <c r="D1153" i="22"/>
  <c r="D1152" i="22"/>
  <c r="D1151" i="22"/>
  <c r="D1150" i="22"/>
  <c r="D1149" i="22"/>
  <c r="D1148" i="22"/>
  <c r="D1147" i="22"/>
  <c r="D1146" i="22"/>
  <c r="D1145" i="22"/>
  <c r="D1144" i="22"/>
  <c r="D1143" i="22"/>
  <c r="D1142" i="22"/>
  <c r="D1141" i="22"/>
  <c r="D1140" i="22"/>
  <c r="D1139" i="22"/>
  <c r="D1138" i="22"/>
  <c r="D1137" i="22"/>
  <c r="D1136" i="22"/>
  <c r="D1135" i="22"/>
  <c r="D1134" i="22"/>
  <c r="D1133" i="22"/>
  <c r="D1132" i="22"/>
  <c r="D1131" i="22"/>
  <c r="D1130" i="22"/>
  <c r="D1129" i="22"/>
  <c r="D1128" i="22"/>
  <c r="D1127" i="22"/>
  <c r="D1126" i="22"/>
  <c r="D1125" i="22"/>
  <c r="D1124" i="22"/>
  <c r="D1123" i="22"/>
  <c r="D1122" i="22"/>
  <c r="D1121" i="22"/>
  <c r="D1120" i="22"/>
  <c r="D1119" i="22"/>
  <c r="D1118" i="22"/>
  <c r="D1117" i="22"/>
  <c r="D1116" i="22"/>
  <c r="D1115" i="22"/>
  <c r="D1114" i="22"/>
  <c r="D1113" i="22"/>
  <c r="D1112" i="22"/>
  <c r="D1111" i="22"/>
  <c r="D1110" i="22"/>
  <c r="D1109" i="22"/>
  <c r="D1108" i="22"/>
  <c r="D1107" i="22"/>
  <c r="D1106" i="22"/>
  <c r="D1105" i="22"/>
  <c r="D1104" i="22"/>
  <c r="D1103" i="22"/>
  <c r="D1102" i="22"/>
  <c r="D1101" i="22"/>
  <c r="D1100" i="22"/>
  <c r="D1099" i="22"/>
  <c r="D1098" i="22"/>
  <c r="D1097" i="22"/>
  <c r="D1096" i="22"/>
  <c r="D1095" i="22"/>
  <c r="D1094" i="22"/>
  <c r="D1093" i="22"/>
  <c r="D1092" i="22"/>
  <c r="D1091" i="22"/>
  <c r="D1090" i="22"/>
  <c r="D1089" i="22"/>
  <c r="D1088" i="22"/>
  <c r="D1087" i="22"/>
  <c r="D1086" i="22"/>
  <c r="D1085" i="22"/>
  <c r="D1084" i="22"/>
  <c r="D1083" i="22"/>
  <c r="D1082" i="22"/>
  <c r="D1081" i="22"/>
  <c r="D1080" i="22"/>
  <c r="D1079" i="22"/>
  <c r="D1078" i="22"/>
  <c r="D1077" i="22"/>
  <c r="D1076" i="22"/>
  <c r="D1075" i="22"/>
  <c r="D1074" i="22"/>
  <c r="D1073" i="22"/>
  <c r="D1072" i="22"/>
  <c r="D1071" i="22"/>
  <c r="D1070" i="22"/>
  <c r="D1069" i="22"/>
  <c r="D1068" i="22"/>
  <c r="D1067" i="22"/>
  <c r="D1066" i="22"/>
  <c r="D1065" i="22"/>
  <c r="D1064" i="22"/>
  <c r="D1063" i="22"/>
  <c r="D1062" i="22"/>
  <c r="D1061" i="22"/>
  <c r="D1060" i="22"/>
  <c r="D1059" i="22"/>
  <c r="D1058" i="22"/>
  <c r="D1057" i="22"/>
  <c r="D1056" i="22"/>
  <c r="D1055" i="22"/>
  <c r="D1054" i="22"/>
  <c r="D1053" i="22"/>
  <c r="D1052" i="22"/>
  <c r="D1051" i="22"/>
  <c r="D1050" i="22"/>
  <c r="D1049" i="22"/>
  <c r="D1048" i="22"/>
  <c r="D1047" i="22"/>
  <c r="D1046" i="22"/>
  <c r="D1045" i="22"/>
  <c r="D1044" i="22"/>
  <c r="D1043" i="22"/>
  <c r="D1042" i="22"/>
  <c r="D1041" i="22"/>
  <c r="D1040" i="22"/>
  <c r="D1039" i="22"/>
  <c r="D1038" i="22"/>
  <c r="D1037" i="22"/>
  <c r="D1036" i="22"/>
  <c r="D1035" i="22"/>
  <c r="D1034" i="22"/>
  <c r="D1033" i="22"/>
  <c r="D1032" i="22"/>
  <c r="D1031" i="22"/>
  <c r="D1030" i="22"/>
  <c r="D1029" i="22"/>
  <c r="D1028" i="22"/>
  <c r="D1027" i="22"/>
  <c r="D1026" i="22"/>
  <c r="D1025" i="22"/>
  <c r="D1024" i="22"/>
  <c r="D1023" i="22"/>
  <c r="D1022" i="22"/>
  <c r="D1021" i="22"/>
  <c r="D1020" i="22"/>
  <c r="D1019" i="22"/>
  <c r="D1018" i="22"/>
  <c r="D1017" i="22"/>
  <c r="D1016" i="22"/>
  <c r="D1015" i="22"/>
  <c r="D1014" i="22"/>
  <c r="D1013" i="22"/>
  <c r="D1012" i="22"/>
  <c r="D1011" i="22"/>
  <c r="D1010" i="22"/>
  <c r="D1009" i="22"/>
  <c r="D1008" i="22"/>
  <c r="D1007" i="22"/>
  <c r="D1006" i="22"/>
  <c r="D1005" i="22"/>
  <c r="D1004" i="22"/>
  <c r="D1003" i="22"/>
  <c r="D1002" i="22"/>
  <c r="D1001" i="22"/>
  <c r="D1000" i="22"/>
  <c r="D999" i="22"/>
  <c r="D998" i="22"/>
  <c r="D997" i="22"/>
  <c r="D996" i="22"/>
  <c r="D995" i="22"/>
  <c r="D994" i="22"/>
  <c r="D993" i="22"/>
  <c r="D992" i="22"/>
  <c r="D991" i="22"/>
  <c r="D990" i="22"/>
  <c r="D989" i="22"/>
  <c r="D988" i="22"/>
  <c r="D987" i="22"/>
  <c r="D986" i="22"/>
  <c r="D985" i="22"/>
  <c r="D984" i="22"/>
  <c r="D983" i="22"/>
  <c r="D982" i="22"/>
  <c r="D981" i="22"/>
  <c r="D980" i="22"/>
  <c r="D979" i="22"/>
  <c r="D978" i="22"/>
  <c r="D977" i="22"/>
  <c r="D976" i="22"/>
  <c r="D975" i="22"/>
  <c r="D974" i="22"/>
  <c r="D973" i="22"/>
  <c r="D972" i="22"/>
  <c r="D971" i="22"/>
  <c r="D970" i="22"/>
  <c r="D969" i="22"/>
  <c r="D968" i="22"/>
  <c r="D967" i="22"/>
  <c r="D966" i="22"/>
  <c r="D965" i="22"/>
  <c r="D964" i="22"/>
  <c r="D963" i="22"/>
  <c r="D962" i="22"/>
  <c r="D961" i="22"/>
  <c r="D960" i="22"/>
  <c r="D959" i="22"/>
  <c r="D958" i="22"/>
  <c r="D957" i="22"/>
  <c r="D956" i="22"/>
  <c r="D955" i="22"/>
  <c r="D900" i="22"/>
  <c r="D899" i="22"/>
  <c r="D898" i="22"/>
  <c r="D897" i="22"/>
  <c r="D896" i="22"/>
  <c r="D895" i="22"/>
  <c r="D894" i="22"/>
  <c r="D893" i="22"/>
  <c r="D892" i="22"/>
  <c r="D891" i="22"/>
  <c r="D890" i="22"/>
  <c r="D889" i="22"/>
  <c r="D888" i="22"/>
  <c r="D887" i="22"/>
  <c r="D886" i="22"/>
  <c r="D885" i="22"/>
  <c r="D884" i="22"/>
  <c r="D883" i="22"/>
  <c r="D882" i="22"/>
  <c r="D881" i="22"/>
  <c r="D880" i="22"/>
  <c r="D879" i="22"/>
  <c r="D878" i="22"/>
  <c r="D877" i="22"/>
  <c r="D876" i="22"/>
  <c r="D875" i="22"/>
  <c r="D874" i="22"/>
  <c r="D873" i="22"/>
  <c r="D872" i="22"/>
  <c r="D871" i="22"/>
  <c r="D870" i="22"/>
  <c r="D869" i="22"/>
  <c r="D868" i="22"/>
  <c r="D867" i="22"/>
  <c r="D866" i="22"/>
  <c r="D865" i="22"/>
  <c r="D864" i="22"/>
  <c r="D863" i="22"/>
  <c r="D862" i="22"/>
  <c r="D861" i="22"/>
  <c r="D860" i="22"/>
  <c r="D859" i="22"/>
  <c r="D858" i="22"/>
  <c r="D857" i="22"/>
  <c r="D856" i="22"/>
  <c r="D855" i="22"/>
  <c r="D854" i="22"/>
  <c r="D853" i="22"/>
  <c r="D852" i="22"/>
  <c r="D851" i="22"/>
  <c r="D800" i="22"/>
  <c r="D799" i="22"/>
  <c r="D798" i="22"/>
  <c r="D797" i="22"/>
  <c r="D796" i="22"/>
  <c r="D795" i="22"/>
  <c r="D794" i="22"/>
  <c r="D793" i="22"/>
  <c r="D792" i="22"/>
  <c r="D791" i="22"/>
  <c r="D790" i="22"/>
  <c r="D789" i="22"/>
  <c r="D788" i="22"/>
  <c r="D787" i="22"/>
  <c r="D786" i="22"/>
  <c r="D785" i="22"/>
  <c r="D784" i="22"/>
  <c r="D783" i="22"/>
  <c r="D782" i="22"/>
  <c r="D781" i="22"/>
  <c r="D780" i="22"/>
  <c r="D779" i="22"/>
  <c r="D778" i="22"/>
  <c r="D777" i="22"/>
  <c r="D776" i="22"/>
  <c r="D775" i="22"/>
  <c r="D774" i="22"/>
  <c r="D773" i="22"/>
  <c r="D772" i="22"/>
  <c r="D771" i="22"/>
  <c r="D770" i="22"/>
  <c r="D769" i="22"/>
  <c r="D768" i="22"/>
  <c r="D767" i="22"/>
  <c r="D766" i="22"/>
  <c r="D765" i="22"/>
  <c r="D764" i="22"/>
  <c r="D763" i="22"/>
  <c r="D762" i="22"/>
  <c r="D761" i="22"/>
  <c r="D760" i="22"/>
  <c r="D759" i="22"/>
  <c r="D758" i="22"/>
  <c r="D757" i="22"/>
  <c r="D756" i="22"/>
  <c r="D755" i="22"/>
  <c r="D754" i="22"/>
  <c r="D753" i="22"/>
  <c r="D752" i="22"/>
  <c r="D751" i="22"/>
  <c r="D750" i="22"/>
  <c r="D749" i="22"/>
  <c r="D748" i="22"/>
  <c r="D747" i="22"/>
  <c r="D746" i="22"/>
  <c r="D745" i="22"/>
  <c r="D744" i="22"/>
  <c r="D743" i="22"/>
  <c r="D742" i="22"/>
  <c r="D741" i="22"/>
  <c r="D740" i="22"/>
  <c r="D739" i="22"/>
  <c r="D738" i="22"/>
  <c r="D737" i="22"/>
  <c r="D736" i="22"/>
  <c r="D735" i="22"/>
  <c r="D734" i="22"/>
  <c r="D733" i="22"/>
  <c r="D732" i="22"/>
  <c r="D731" i="22"/>
  <c r="D730" i="22"/>
  <c r="D729" i="22"/>
  <c r="D728" i="22"/>
  <c r="D727" i="22"/>
  <c r="D726" i="22"/>
  <c r="D725" i="22"/>
  <c r="D724" i="22"/>
  <c r="D723" i="22"/>
  <c r="D722" i="22"/>
  <c r="D721" i="22"/>
  <c r="D720" i="22"/>
  <c r="D719" i="22"/>
  <c r="D718" i="22"/>
  <c r="D717" i="22"/>
  <c r="D716" i="22"/>
  <c r="D715" i="22"/>
  <c r="D714" i="22"/>
  <c r="D713" i="22"/>
  <c r="D712" i="22"/>
  <c r="D711" i="22"/>
  <c r="D710" i="22"/>
  <c r="D709" i="22"/>
  <c r="D708" i="22"/>
  <c r="D707" i="22"/>
  <c r="D706" i="22"/>
  <c r="D705" i="22"/>
  <c r="D704" i="22"/>
  <c r="D703" i="22"/>
  <c r="D702" i="22"/>
  <c r="D701" i="22"/>
  <c r="D700" i="22"/>
  <c r="D699" i="22"/>
  <c r="D698" i="22"/>
  <c r="D697" i="22"/>
  <c r="D696" i="22"/>
  <c r="D695" i="22"/>
  <c r="D694" i="22"/>
  <c r="D693" i="22"/>
  <c r="D692" i="22"/>
  <c r="D691" i="22"/>
  <c r="D690" i="22"/>
  <c r="D689" i="22"/>
  <c r="D688" i="22"/>
  <c r="D687" i="22"/>
  <c r="D686" i="22"/>
  <c r="D685" i="22"/>
  <c r="D684" i="22"/>
  <c r="D683" i="22"/>
  <c r="D682" i="22"/>
  <c r="D681" i="22"/>
  <c r="D680" i="22"/>
  <c r="D679" i="22"/>
  <c r="D678" i="22"/>
  <c r="D677" i="22"/>
  <c r="D676" i="22"/>
  <c r="D675" i="22"/>
  <c r="D674" i="22"/>
  <c r="D673" i="22"/>
  <c r="D672" i="22"/>
  <c r="D671" i="22"/>
  <c r="D670" i="22"/>
  <c r="D669" i="22"/>
  <c r="D668" i="22"/>
  <c r="D667" i="22"/>
  <c r="D666" i="22"/>
  <c r="D665" i="22"/>
  <c r="D664" i="22"/>
  <c r="D663" i="22"/>
  <c r="D662" i="22"/>
  <c r="D661" i="22"/>
  <c r="D660" i="22"/>
  <c r="D659" i="22"/>
  <c r="D658" i="22"/>
  <c r="D657" i="22"/>
  <c r="D656" i="22"/>
  <c r="D655" i="22"/>
  <c r="D654" i="22"/>
  <c r="D653" i="22"/>
  <c r="D652" i="22"/>
  <c r="D651" i="22"/>
  <c r="D650" i="22"/>
  <c r="D649" i="22"/>
  <c r="D648" i="22"/>
  <c r="D647" i="22"/>
  <c r="D646" i="22"/>
  <c r="D645" i="22"/>
  <c r="D644" i="22"/>
  <c r="D643" i="22"/>
  <c r="D642" i="22"/>
  <c r="D641" i="22"/>
  <c r="D640" i="22"/>
  <c r="D639" i="22"/>
  <c r="D638" i="22"/>
  <c r="D637" i="22"/>
  <c r="D636" i="22"/>
  <c r="D635" i="22"/>
  <c r="D634" i="22"/>
  <c r="D633" i="22"/>
  <c r="D632" i="22"/>
  <c r="D631" i="22"/>
  <c r="D630" i="22"/>
  <c r="J629" i="22"/>
  <c r="I629" i="22"/>
  <c r="D629" i="22"/>
  <c r="D628" i="22"/>
  <c r="D627" i="22"/>
  <c r="D626" i="22"/>
  <c r="D625" i="22"/>
  <c r="J624" i="22"/>
  <c r="I624" i="22"/>
  <c r="D624" i="22"/>
  <c r="D623" i="22"/>
  <c r="D622" i="22"/>
  <c r="D621" i="22"/>
  <c r="D620" i="22"/>
  <c r="D619" i="22"/>
  <c r="D618" i="22"/>
  <c r="D617" i="22"/>
  <c r="D616" i="22"/>
  <c r="D615" i="22"/>
  <c r="D614" i="22"/>
  <c r="D613" i="22"/>
  <c r="D612" i="22"/>
  <c r="D611" i="22"/>
  <c r="D610" i="22"/>
  <c r="D609" i="22"/>
  <c r="D608" i="22"/>
  <c r="D607" i="22"/>
  <c r="D606" i="22"/>
  <c r="D605" i="22"/>
  <c r="D604" i="22"/>
  <c r="D603" i="22"/>
  <c r="D602" i="22"/>
  <c r="D601" i="22"/>
  <c r="D599" i="22"/>
  <c r="D598" i="22"/>
  <c r="D597" i="22"/>
  <c r="D596" i="22"/>
  <c r="D595" i="22"/>
  <c r="D594" i="22"/>
  <c r="D593" i="22"/>
  <c r="D592" i="22"/>
  <c r="D591" i="22"/>
  <c r="D590" i="22"/>
  <c r="D589" i="22"/>
  <c r="D588" i="22"/>
  <c r="D587" i="22"/>
  <c r="D586" i="22"/>
  <c r="D585" i="22"/>
  <c r="D584" i="22"/>
  <c r="D583" i="22"/>
  <c r="D582" i="22"/>
  <c r="D581" i="22"/>
  <c r="D580" i="22"/>
  <c r="D579" i="22"/>
  <c r="D578" i="22"/>
  <c r="D577" i="22"/>
  <c r="D576" i="22"/>
  <c r="D575" i="22"/>
  <c r="D574" i="22"/>
  <c r="D573" i="22"/>
  <c r="D572" i="22"/>
  <c r="D571" i="22"/>
  <c r="D570" i="22"/>
  <c r="D569" i="22"/>
  <c r="D568" i="22"/>
  <c r="D567" i="22"/>
  <c r="D566" i="22"/>
  <c r="D565" i="22"/>
  <c r="D564" i="22"/>
  <c r="D563" i="22"/>
  <c r="D562" i="22"/>
  <c r="D561" i="22"/>
  <c r="D560" i="22"/>
  <c r="D559" i="22"/>
  <c r="D558" i="22"/>
  <c r="D557" i="22"/>
  <c r="D556" i="22"/>
  <c r="D555" i="22"/>
  <c r="D554" i="22"/>
  <c r="D553" i="22"/>
  <c r="D552" i="22"/>
  <c r="F551" i="22"/>
  <c r="D551" i="22"/>
  <c r="D500" i="22"/>
  <c r="D499" i="22"/>
  <c r="D498" i="22"/>
  <c r="D497" i="22"/>
  <c r="D496" i="22"/>
  <c r="D495" i="22"/>
  <c r="D494" i="22"/>
  <c r="D493" i="22"/>
  <c r="D492" i="22"/>
  <c r="D491" i="22"/>
  <c r="D490" i="22"/>
  <c r="D489" i="22"/>
  <c r="D488" i="22"/>
  <c r="D487" i="22"/>
  <c r="D486" i="22"/>
  <c r="D485" i="22"/>
  <c r="D484" i="22"/>
  <c r="D483" i="22"/>
  <c r="D482" i="22"/>
  <c r="D481" i="22"/>
  <c r="D480" i="22"/>
  <c r="D479" i="22"/>
  <c r="D478" i="22"/>
  <c r="D477" i="22"/>
  <c r="D476" i="22"/>
  <c r="D475" i="22"/>
  <c r="D474" i="22"/>
  <c r="D473" i="22"/>
  <c r="D472" i="22"/>
  <c r="D471" i="22"/>
  <c r="D470" i="22"/>
  <c r="D469" i="22"/>
  <c r="D468" i="22"/>
  <c r="D467" i="22"/>
  <c r="D466" i="22"/>
  <c r="D465" i="22"/>
  <c r="D464" i="22"/>
  <c r="D463" i="22"/>
  <c r="D462" i="22"/>
  <c r="D461" i="22"/>
  <c r="D460" i="22"/>
  <c r="D459" i="22"/>
  <c r="D458" i="22"/>
  <c r="D457" i="22"/>
  <c r="D456" i="22"/>
  <c r="D455" i="22"/>
  <c r="D454" i="22"/>
  <c r="D453" i="22"/>
  <c r="D452" i="22"/>
  <c r="F451" i="22"/>
  <c r="D451" i="22"/>
  <c r="D400" i="22"/>
  <c r="D399" i="22"/>
  <c r="D398" i="22"/>
  <c r="D397" i="22"/>
  <c r="D396" i="22"/>
  <c r="D395" i="22"/>
  <c r="D394" i="22"/>
  <c r="D393" i="22"/>
  <c r="D392" i="22"/>
  <c r="D391" i="22"/>
  <c r="D390" i="22"/>
  <c r="D389" i="22"/>
  <c r="D388" i="22"/>
  <c r="D387" i="22"/>
  <c r="D386" i="22"/>
  <c r="D385" i="22"/>
  <c r="D384" i="22"/>
  <c r="D383" i="22"/>
  <c r="D382" i="22"/>
  <c r="D381" i="22"/>
  <c r="D380" i="22"/>
  <c r="D379" i="22"/>
  <c r="D378" i="22"/>
  <c r="D377" i="22"/>
  <c r="D376" i="22"/>
  <c r="D375" i="22"/>
  <c r="D374" i="22"/>
  <c r="D373" i="22"/>
  <c r="D372" i="22"/>
  <c r="D371" i="22"/>
  <c r="D370" i="22"/>
  <c r="D369" i="22"/>
  <c r="D368" i="22"/>
  <c r="D367" i="22"/>
  <c r="D366" i="22"/>
  <c r="D365" i="22"/>
  <c r="D364" i="22"/>
  <c r="D363" i="22"/>
  <c r="D362" i="22"/>
  <c r="D361" i="22"/>
  <c r="D360" i="22"/>
  <c r="D359" i="22"/>
  <c r="D358" i="22"/>
  <c r="D357" i="22"/>
  <c r="D356" i="22"/>
  <c r="D355" i="22"/>
  <c r="D354" i="22"/>
  <c r="D353" i="22"/>
  <c r="D352" i="22"/>
  <c r="F351" i="22"/>
  <c r="D351" i="22"/>
  <c r="D300" i="22"/>
  <c r="D299" i="22"/>
  <c r="D298" i="22"/>
  <c r="D297" i="22"/>
  <c r="D296" i="22"/>
  <c r="D295" i="22"/>
  <c r="D294" i="22"/>
  <c r="D293" i="22"/>
  <c r="D292" i="22"/>
  <c r="D291" i="22"/>
  <c r="D290" i="22"/>
  <c r="D289" i="22"/>
  <c r="D288" i="22"/>
  <c r="D287" i="22"/>
  <c r="D286" i="22"/>
  <c r="D285" i="22"/>
  <c r="D284" i="22"/>
  <c r="D283" i="22"/>
  <c r="D282" i="22"/>
  <c r="D281" i="22"/>
  <c r="D280" i="22"/>
  <c r="D279" i="22"/>
  <c r="D278" i="22"/>
  <c r="D277" i="22"/>
  <c r="D276" i="22"/>
  <c r="D275" i="22"/>
  <c r="D274" i="22"/>
  <c r="D273" i="22"/>
  <c r="D272" i="22"/>
  <c r="D271" i="22"/>
  <c r="D270" i="22"/>
  <c r="D269" i="22"/>
  <c r="D268" i="22"/>
  <c r="D267" i="22"/>
  <c r="D266" i="22"/>
  <c r="D265" i="22"/>
  <c r="D264" i="22"/>
  <c r="D263" i="22"/>
  <c r="D262" i="22"/>
  <c r="D261" i="22"/>
  <c r="D260" i="22"/>
  <c r="D259" i="22"/>
  <c r="D258" i="22"/>
  <c r="D257" i="22"/>
  <c r="D256" i="22"/>
  <c r="D255" i="22"/>
  <c r="D254" i="22"/>
  <c r="D253" i="22"/>
  <c r="D252" i="22"/>
  <c r="D200" i="22"/>
  <c r="D199" i="22"/>
  <c r="D198" i="22"/>
  <c r="D197" i="22"/>
  <c r="D196" i="22"/>
  <c r="D195" i="22"/>
  <c r="D194" i="22"/>
  <c r="D193" i="22"/>
  <c r="D192" i="22"/>
  <c r="D191" i="22"/>
  <c r="D190" i="22"/>
  <c r="D189" i="22"/>
  <c r="D188" i="22"/>
  <c r="D187" i="22"/>
  <c r="D186" i="22"/>
  <c r="D185" i="22"/>
  <c r="D184" i="22"/>
  <c r="D183" i="22"/>
  <c r="D182" i="22"/>
  <c r="D181" i="22"/>
  <c r="D180" i="22"/>
  <c r="D179" i="22"/>
  <c r="D178" i="22"/>
  <c r="D177" i="22"/>
  <c r="D176" i="22"/>
  <c r="D175" i="22"/>
  <c r="D174" i="22"/>
  <c r="D173" i="22"/>
  <c r="D172" i="22"/>
  <c r="D171" i="22"/>
  <c r="D170" i="22"/>
  <c r="D169" i="22"/>
  <c r="D168" i="22"/>
  <c r="D167" i="22"/>
  <c r="D166" i="22"/>
  <c r="D165" i="22"/>
  <c r="D164" i="22"/>
  <c r="D163" i="22"/>
  <c r="D162" i="22"/>
  <c r="D161" i="22"/>
  <c r="D160" i="22"/>
  <c r="D159" i="22"/>
  <c r="D158" i="22"/>
  <c r="D157" i="22"/>
  <c r="D156" i="22"/>
  <c r="D155" i="22"/>
  <c r="D154" i="22"/>
  <c r="D153" i="22"/>
  <c r="D152" i="22"/>
  <c r="F151" i="22"/>
  <c r="D151" i="22"/>
  <c r="D100" i="22"/>
  <c r="D99" i="22"/>
  <c r="D98" i="22"/>
  <c r="D97" i="22"/>
  <c r="D96" i="22"/>
  <c r="D95" i="22"/>
  <c r="D94" i="22"/>
  <c r="D93" i="22"/>
  <c r="D92" i="22"/>
  <c r="D91" i="22"/>
  <c r="D90" i="22"/>
  <c r="D89" i="22"/>
  <c r="D88" i="22"/>
  <c r="D87" i="22"/>
  <c r="D86" i="22"/>
  <c r="D85" i="22"/>
  <c r="D84" i="22"/>
  <c r="D83" i="22"/>
  <c r="D82" i="22"/>
  <c r="D81" i="22"/>
  <c r="D80" i="22"/>
  <c r="D79" i="22"/>
  <c r="D78" i="22"/>
  <c r="D77" i="22"/>
  <c r="D76" i="22"/>
  <c r="D75" i="22"/>
  <c r="D74" i="22"/>
  <c r="D73" i="22"/>
  <c r="D72" i="22"/>
  <c r="D71" i="22"/>
  <c r="D70" i="22"/>
  <c r="D69" i="22"/>
  <c r="D68" i="22"/>
  <c r="D67" i="22"/>
  <c r="D66" i="22"/>
  <c r="D65" i="22"/>
  <c r="D64" i="22"/>
  <c r="D63" i="22"/>
  <c r="D62" i="22"/>
  <c r="D61" i="22"/>
  <c r="D60" i="22"/>
  <c r="D59" i="22"/>
  <c r="D58" i="22"/>
  <c r="D57" i="22"/>
  <c r="D56" i="22"/>
  <c r="D55" i="22"/>
  <c r="D54" i="22"/>
  <c r="D53" i="22"/>
  <c r="F52" i="22"/>
  <c r="D52" i="22"/>
  <c r="A1907" i="21" l="1"/>
  <c r="A1906" i="21"/>
  <c r="A1905" i="21"/>
  <c r="A1904" i="21"/>
  <c r="A1903" i="21"/>
  <c r="A1902" i="21"/>
  <c r="A1901" i="21"/>
  <c r="A1900" i="21"/>
  <c r="A1899" i="21"/>
  <c r="A1898" i="21"/>
  <c r="A1897" i="21"/>
  <c r="A1896" i="21"/>
  <c r="A1895" i="21"/>
  <c r="A1894" i="21"/>
  <c r="A1893" i="21"/>
  <c r="A1892" i="21"/>
  <c r="A1891" i="21"/>
  <c r="A1890" i="21"/>
  <c r="A1889" i="21"/>
  <c r="A1888" i="21"/>
  <c r="A1887" i="21"/>
  <c r="A1886" i="21"/>
  <c r="A1885" i="21"/>
  <c r="A1884" i="21"/>
  <c r="A1883" i="21"/>
  <c r="A1882" i="21"/>
  <c r="A1881" i="21"/>
  <c r="A1880" i="21"/>
  <c r="A1879" i="21"/>
  <c r="A1878" i="21"/>
  <c r="A1877" i="21"/>
  <c r="A1876" i="21"/>
  <c r="A1875" i="21"/>
  <c r="A1874" i="21"/>
  <c r="A1873" i="21"/>
  <c r="A1872" i="21"/>
  <c r="A1871" i="21"/>
  <c r="A1870" i="21"/>
  <c r="A1869" i="21"/>
  <c r="A1868" i="21"/>
  <c r="A1867" i="21"/>
  <c r="A1866" i="21"/>
  <c r="A1865" i="21"/>
  <c r="A1864" i="21"/>
  <c r="A1863" i="21"/>
  <c r="A1862" i="21"/>
  <c r="A1861" i="21"/>
  <c r="A1860" i="21"/>
  <c r="A1859" i="21"/>
  <c r="A1858" i="21"/>
  <c r="A1857" i="21"/>
  <c r="A1856" i="21"/>
  <c r="A1855" i="21"/>
  <c r="A1854" i="21"/>
  <c r="A1853" i="21"/>
  <c r="A1852" i="21"/>
  <c r="A1851" i="21"/>
  <c r="A1850" i="21"/>
  <c r="A1849" i="21"/>
  <c r="A1848" i="21"/>
  <c r="A1847" i="21"/>
  <c r="A1846" i="21"/>
  <c r="A1845" i="21"/>
  <c r="A1844" i="21"/>
  <c r="A1843" i="21"/>
  <c r="A1842" i="21"/>
  <c r="A1841" i="21"/>
  <c r="A1840" i="21"/>
  <c r="A1839" i="21"/>
  <c r="A1838" i="21"/>
  <c r="A1837" i="21"/>
  <c r="A1836" i="21"/>
  <c r="A1835" i="21"/>
  <c r="A1834" i="21"/>
  <c r="A1833" i="21"/>
  <c r="A1832" i="21"/>
  <c r="A1831" i="21"/>
  <c r="A1830" i="21"/>
  <c r="A1829" i="21"/>
  <c r="A1828" i="21"/>
  <c r="A1827" i="21"/>
  <c r="A1826" i="21"/>
  <c r="A1825" i="21"/>
  <c r="A1824" i="21"/>
  <c r="A1823" i="21"/>
  <c r="A1822" i="21"/>
  <c r="A1821" i="21"/>
  <c r="A1820" i="21"/>
  <c r="A1819" i="21"/>
  <c r="A1818" i="21"/>
  <c r="A1817" i="21"/>
  <c r="A1816" i="21"/>
  <c r="A1815" i="21"/>
  <c r="A1814" i="21"/>
  <c r="A1813" i="21"/>
  <c r="A1812" i="21"/>
  <c r="A1811" i="21"/>
  <c r="A1810" i="21"/>
  <c r="A1809" i="21"/>
  <c r="A1808" i="21"/>
  <c r="A1807" i="21"/>
  <c r="A1806" i="21"/>
  <c r="A1805" i="21"/>
  <c r="A1804" i="21"/>
  <c r="A1803" i="21"/>
  <c r="A1802" i="21"/>
  <c r="A1801" i="21"/>
  <c r="A1800" i="21"/>
  <c r="A1799" i="21"/>
  <c r="A1798" i="21"/>
  <c r="A1797" i="21"/>
  <c r="A1796" i="21"/>
  <c r="A1795" i="21"/>
  <c r="A1794" i="21"/>
  <c r="A1793" i="21"/>
  <c r="A1792" i="21"/>
  <c r="A1791" i="21"/>
  <c r="A1790" i="21"/>
  <c r="A1789" i="21"/>
  <c r="A1788" i="21"/>
  <c r="A1787" i="21"/>
  <c r="A1786" i="21"/>
  <c r="A1785" i="21"/>
  <c r="A1784" i="21"/>
  <c r="A1783" i="21"/>
  <c r="A1782" i="21"/>
  <c r="A1781" i="21"/>
  <c r="A1780" i="21"/>
  <c r="A1779" i="21"/>
  <c r="A1778" i="21"/>
  <c r="A1777" i="21"/>
  <c r="A1776" i="21"/>
  <c r="A1775" i="21"/>
  <c r="A1774" i="21"/>
  <c r="A1773" i="21"/>
  <c r="A1772" i="21"/>
  <c r="A1771" i="21"/>
  <c r="A1770" i="21"/>
  <c r="A1769" i="21"/>
  <c r="A1768" i="21"/>
  <c r="A1767" i="21"/>
  <c r="A1766" i="21"/>
  <c r="A1765" i="21"/>
  <c r="A1764" i="21"/>
  <c r="A1763" i="21"/>
  <c r="A1762" i="21"/>
  <c r="A1761" i="21"/>
  <c r="A1760" i="21"/>
  <c r="A1759" i="21"/>
  <c r="A1758" i="21"/>
  <c r="A1757" i="21"/>
  <c r="A1756" i="21"/>
  <c r="A1755" i="21"/>
  <c r="A1754" i="21"/>
  <c r="A1753" i="21"/>
  <c r="A1752" i="21"/>
  <c r="A1751" i="21"/>
  <c r="A1750" i="21"/>
  <c r="A1749" i="21"/>
  <c r="A1748" i="21"/>
  <c r="A1747" i="21"/>
  <c r="A1746" i="21"/>
  <c r="A1745" i="21"/>
  <c r="A1744" i="21"/>
  <c r="A1743" i="21"/>
  <c r="A1742" i="21"/>
  <c r="A1741" i="21"/>
  <c r="A1740" i="21"/>
  <c r="A1739" i="21"/>
  <c r="A1738" i="21"/>
  <c r="A1737" i="21"/>
  <c r="A1736" i="21"/>
  <c r="A1735" i="21"/>
  <c r="A1734" i="21"/>
  <c r="A1733" i="21"/>
  <c r="A1732" i="21"/>
  <c r="A1731" i="21"/>
  <c r="A1730" i="21"/>
  <c r="A1729" i="21"/>
  <c r="A1728" i="21"/>
  <c r="A1727" i="21"/>
  <c r="A1726" i="21"/>
  <c r="A1725" i="21"/>
  <c r="A1724" i="21"/>
  <c r="A1723" i="21"/>
  <c r="A1722" i="21"/>
  <c r="A1721" i="21"/>
  <c r="A1720" i="21"/>
  <c r="A1719" i="21"/>
  <c r="A1718" i="21"/>
  <c r="A1717" i="21"/>
  <c r="A1716" i="21"/>
  <c r="A1715" i="21"/>
  <c r="A1714" i="21"/>
  <c r="A1713" i="21"/>
  <c r="A1712" i="21"/>
  <c r="A1711" i="21"/>
  <c r="A1710" i="21"/>
  <c r="A1709" i="21"/>
  <c r="A1708" i="21"/>
  <c r="A1707" i="21"/>
  <c r="A1706" i="21"/>
  <c r="A1705" i="21"/>
  <c r="A1704" i="21"/>
  <c r="A1703" i="21"/>
  <c r="A1702" i="21"/>
  <c r="A1701" i="21"/>
  <c r="A1700" i="21"/>
  <c r="A1699" i="21"/>
  <c r="A1698" i="21"/>
  <c r="A1697" i="21"/>
  <c r="A1696" i="21"/>
  <c r="A1695" i="21"/>
  <c r="A1694" i="21"/>
  <c r="A1693" i="21"/>
  <c r="A1692" i="21"/>
  <c r="A1691" i="21"/>
  <c r="A1690" i="21"/>
  <c r="A1689" i="21"/>
  <c r="A1688" i="21"/>
  <c r="A1687" i="21"/>
  <c r="A1686" i="21"/>
  <c r="A1685" i="21"/>
  <c r="A1684" i="21"/>
  <c r="A1683" i="21"/>
  <c r="A1682" i="21"/>
  <c r="A1681" i="21"/>
  <c r="A1680" i="21"/>
  <c r="A1679" i="21"/>
  <c r="A1678" i="21"/>
  <c r="A1677" i="21"/>
  <c r="A1676" i="21"/>
  <c r="A1675" i="21"/>
  <c r="A1674" i="21"/>
  <c r="A1673" i="21"/>
  <c r="A1672" i="21"/>
  <c r="A1671" i="21"/>
  <c r="A1670" i="21"/>
  <c r="A1669" i="21"/>
  <c r="A1668" i="21"/>
  <c r="A1667" i="21"/>
  <c r="A1666" i="21"/>
  <c r="A1665" i="21"/>
  <c r="A1664" i="21"/>
  <c r="A1663" i="21"/>
  <c r="A1662" i="21"/>
  <c r="A1661" i="21"/>
  <c r="A1660" i="21"/>
  <c r="A1659" i="21"/>
  <c r="A1658" i="21"/>
  <c r="A1657" i="21"/>
  <c r="A1656" i="21"/>
  <c r="A1655" i="21"/>
  <c r="A1654" i="21"/>
  <c r="A1653" i="21"/>
  <c r="A1652" i="21"/>
  <c r="A1651" i="21"/>
  <c r="A1650" i="21"/>
  <c r="A1649" i="21"/>
  <c r="A1648" i="21"/>
  <c r="A1647" i="21"/>
  <c r="A1646" i="21"/>
  <c r="A1645" i="21"/>
  <c r="A1644" i="21"/>
  <c r="A1643" i="21"/>
  <c r="A1642" i="21"/>
  <c r="A1641" i="21"/>
  <c r="A1640" i="21"/>
  <c r="A1639" i="21"/>
  <c r="A1638" i="21"/>
  <c r="A1637" i="21"/>
  <c r="A1636" i="21"/>
  <c r="A1635" i="21"/>
  <c r="A1634" i="21"/>
  <c r="A1633" i="21"/>
  <c r="A1632" i="21"/>
  <c r="A1631" i="21"/>
  <c r="A1630" i="21"/>
  <c r="A1629" i="21"/>
  <c r="A1628" i="21"/>
  <c r="A1627" i="21"/>
  <c r="A1626" i="21"/>
  <c r="A1625" i="21"/>
  <c r="A1624" i="21"/>
  <c r="A1623" i="21"/>
  <c r="A1622" i="21"/>
  <c r="A1621" i="21"/>
  <c r="A1620" i="21"/>
  <c r="A1619" i="21"/>
  <c r="A1618" i="21"/>
  <c r="A1617" i="21"/>
  <c r="A1616" i="21"/>
  <c r="A1615" i="21"/>
  <c r="A1614" i="21"/>
  <c r="A1613" i="21"/>
  <c r="A1612" i="21"/>
  <c r="A1611" i="21"/>
  <c r="A1610" i="21"/>
  <c r="A1609" i="21"/>
  <c r="A1608" i="21"/>
  <c r="A1607" i="21"/>
  <c r="A1606" i="21"/>
  <c r="A1605" i="21"/>
  <c r="A1604" i="21"/>
  <c r="A1603" i="21"/>
  <c r="A1602" i="21"/>
  <c r="A1601" i="21"/>
  <c r="A1600" i="21"/>
  <c r="A1599" i="21"/>
  <c r="A1598" i="21"/>
  <c r="A1597" i="21"/>
  <c r="A1596" i="21"/>
  <c r="A1595" i="21"/>
  <c r="A1594" i="21"/>
  <c r="A1593" i="21"/>
  <c r="A1592" i="21"/>
  <c r="A1591" i="21"/>
  <c r="A1590" i="21"/>
  <c r="A1589" i="21"/>
  <c r="A1588" i="21"/>
  <c r="A1587" i="21"/>
  <c r="A1586" i="21"/>
  <c r="A1585" i="21"/>
  <c r="A1584" i="21"/>
  <c r="A1583" i="21"/>
  <c r="A1582" i="21"/>
  <c r="A1581" i="21"/>
  <c r="A1580" i="21"/>
  <c r="A1579" i="21"/>
  <c r="A1578" i="21"/>
  <c r="A1577" i="21"/>
  <c r="A1576" i="21"/>
  <c r="A1575" i="21"/>
  <c r="A1574" i="21"/>
  <c r="A1573" i="21"/>
  <c r="A1572" i="21"/>
  <c r="A1571" i="21"/>
  <c r="A1570" i="21"/>
  <c r="A1569" i="21"/>
  <c r="A1568" i="21"/>
  <c r="A1567" i="21"/>
  <c r="A1566" i="21"/>
  <c r="A1565" i="21"/>
  <c r="A1564" i="21"/>
  <c r="A1563" i="21"/>
  <c r="A1562" i="21"/>
  <c r="A1561" i="21"/>
  <c r="A1560" i="21"/>
  <c r="A1559" i="21"/>
  <c r="A1558" i="21"/>
  <c r="A1557" i="21"/>
  <c r="A1556" i="21"/>
  <c r="A1555" i="21"/>
  <c r="A1554" i="21"/>
  <c r="A1553" i="21"/>
  <c r="A1552" i="21"/>
  <c r="A1551" i="21"/>
  <c r="A1550" i="21"/>
  <c r="A1549" i="21"/>
  <c r="A1548" i="21"/>
  <c r="A1547" i="21"/>
  <c r="A1546" i="21"/>
  <c r="A1545" i="21"/>
  <c r="A1544" i="21"/>
  <c r="A1543" i="21"/>
  <c r="A1542" i="21"/>
  <c r="A1541" i="21"/>
  <c r="A1540" i="21"/>
  <c r="A1539" i="21"/>
  <c r="A1538" i="21"/>
  <c r="A1537" i="21"/>
  <c r="A1536" i="21"/>
  <c r="A1535" i="21"/>
  <c r="A1534" i="21"/>
  <c r="A1533" i="21"/>
  <c r="A1532" i="21"/>
  <c r="A1531" i="21"/>
  <c r="A1530" i="21"/>
  <c r="A1529" i="21"/>
  <c r="A1528" i="21"/>
  <c r="A1527" i="21"/>
  <c r="A1526" i="21"/>
  <c r="A1525" i="21"/>
  <c r="A1524" i="21"/>
  <c r="A1523" i="21"/>
  <c r="A1522" i="21"/>
  <c r="A1521" i="21"/>
  <c r="A1520" i="21"/>
  <c r="A1519" i="21"/>
  <c r="A1518" i="21"/>
  <c r="A1517" i="21"/>
  <c r="A1516" i="21"/>
  <c r="A1515" i="21"/>
  <c r="A1514" i="21"/>
  <c r="A1513" i="21"/>
  <c r="A1512" i="21"/>
  <c r="A1511" i="21"/>
  <c r="A1510" i="21"/>
  <c r="A1509" i="21"/>
  <c r="A1508" i="21"/>
  <c r="A1507" i="21"/>
  <c r="A1506" i="21"/>
  <c r="A1505" i="21"/>
  <c r="A1504" i="21"/>
  <c r="A1503" i="21"/>
  <c r="A1502" i="21"/>
  <c r="A1501" i="21"/>
  <c r="A1500" i="21"/>
  <c r="A1499" i="21"/>
  <c r="A1498" i="21"/>
  <c r="A1497" i="21"/>
  <c r="A1496" i="21"/>
  <c r="A1495" i="21"/>
  <c r="A1494" i="21"/>
  <c r="A1493" i="21"/>
  <c r="A1492" i="21"/>
  <c r="A1491" i="21"/>
  <c r="A1490" i="21"/>
  <c r="A1489" i="21"/>
  <c r="A1488" i="21"/>
  <c r="A1487" i="21"/>
  <c r="A1486" i="21"/>
  <c r="A1485" i="21"/>
  <c r="A1484" i="21"/>
  <c r="A1483" i="21"/>
  <c r="A1482" i="21"/>
  <c r="A1481" i="21"/>
  <c r="A1480" i="21"/>
  <c r="A1479" i="21"/>
  <c r="A1478" i="21"/>
  <c r="A1477" i="21"/>
  <c r="A1476" i="21"/>
  <c r="A1475" i="21"/>
  <c r="A1474" i="21"/>
  <c r="A1473" i="21"/>
  <c r="A1472" i="21"/>
  <c r="A1471" i="21"/>
  <c r="A1470" i="21"/>
  <c r="A1469" i="21"/>
  <c r="A1468" i="21"/>
  <c r="A1467" i="21"/>
  <c r="A1466" i="21"/>
  <c r="A1465" i="21"/>
  <c r="A1464" i="21"/>
  <c r="A1463" i="21"/>
  <c r="A1462" i="21"/>
  <c r="A1461" i="21"/>
  <c r="A1460" i="21"/>
  <c r="A1459" i="21"/>
  <c r="A1458" i="21"/>
  <c r="A1457" i="21"/>
  <c r="A1456" i="21"/>
  <c r="A1455" i="21"/>
  <c r="A1454" i="21"/>
  <c r="A1453" i="21"/>
  <c r="A1452" i="21"/>
  <c r="A1451" i="21"/>
  <c r="A1450" i="21"/>
  <c r="A1449" i="21"/>
  <c r="A1448" i="21"/>
  <c r="A1447" i="21"/>
  <c r="A1446" i="21"/>
  <c r="A1445" i="21"/>
  <c r="A1444" i="21"/>
  <c r="A1443" i="21"/>
  <c r="A1442" i="21"/>
  <c r="A1441" i="21"/>
  <c r="A1440" i="21"/>
  <c r="A1439" i="21"/>
  <c r="A1438" i="21"/>
  <c r="A1437" i="21"/>
  <c r="A1436" i="21"/>
  <c r="A1435" i="21"/>
  <c r="A1434" i="21"/>
  <c r="A1433" i="21"/>
  <c r="A1432" i="21"/>
  <c r="A1431" i="21"/>
  <c r="A1430" i="21"/>
  <c r="A1429" i="21"/>
  <c r="A1428" i="21"/>
  <c r="A1427" i="21"/>
  <c r="A1426" i="21"/>
  <c r="A1425" i="21"/>
  <c r="A1424" i="21"/>
  <c r="A1423" i="21"/>
  <c r="A1422" i="21"/>
  <c r="A1421" i="21"/>
  <c r="A1420" i="21"/>
  <c r="A1419" i="21"/>
  <c r="A1418" i="21"/>
  <c r="A1417" i="21"/>
  <c r="A1416" i="21"/>
  <c r="A1415" i="21"/>
  <c r="A1414" i="21"/>
  <c r="A1413" i="21"/>
  <c r="A1412" i="21"/>
  <c r="A1411" i="21"/>
  <c r="A1410" i="21"/>
  <c r="A1409" i="21"/>
  <c r="A1408" i="21"/>
  <c r="A1407" i="21"/>
  <c r="A1406" i="21"/>
  <c r="A1405" i="21"/>
  <c r="A1404" i="21"/>
  <c r="A1403" i="21"/>
  <c r="A1402" i="21"/>
  <c r="A1401" i="21"/>
  <c r="A1400" i="21"/>
  <c r="A1399" i="21"/>
  <c r="A1398" i="21"/>
  <c r="A1397" i="21"/>
  <c r="A1396" i="21"/>
  <c r="A1395" i="21"/>
  <c r="A1394" i="21"/>
  <c r="A1393" i="21"/>
  <c r="A1392" i="21"/>
  <c r="A1391" i="21"/>
  <c r="A1390" i="21"/>
  <c r="A1389" i="21"/>
  <c r="A1388" i="21"/>
  <c r="A1387" i="21"/>
  <c r="A1386" i="21"/>
  <c r="A1385" i="21"/>
  <c r="A1384" i="21"/>
  <c r="A1383" i="21"/>
  <c r="A1382" i="21"/>
  <c r="A1381" i="21"/>
  <c r="A1380" i="21"/>
  <c r="A1379" i="21"/>
  <c r="A1378" i="21"/>
  <c r="A1377" i="21"/>
  <c r="A1376" i="21"/>
  <c r="A1375" i="21"/>
  <c r="A1374" i="21"/>
  <c r="A1373" i="21"/>
  <c r="A1372" i="21"/>
  <c r="A1371" i="21"/>
  <c r="A1370" i="21"/>
  <c r="A1369" i="21"/>
  <c r="A1368" i="21"/>
  <c r="A1367" i="21"/>
  <c r="A1366" i="21"/>
  <c r="A1365" i="21"/>
  <c r="A1364" i="21"/>
  <c r="A1363" i="21"/>
  <c r="A1362" i="21"/>
  <c r="A1361" i="21"/>
  <c r="A1360" i="21"/>
  <c r="A1359" i="21"/>
  <c r="A1358" i="21"/>
  <c r="A1357" i="21"/>
  <c r="A1356" i="21"/>
  <c r="A1355" i="21"/>
  <c r="A1354" i="21"/>
  <c r="A1353" i="21"/>
  <c r="A1352" i="21"/>
  <c r="A1351" i="21"/>
  <c r="A1350" i="21"/>
  <c r="A1349" i="21"/>
  <c r="A1348" i="21"/>
  <c r="A1347" i="21"/>
  <c r="A1346" i="21"/>
  <c r="A1345" i="21"/>
  <c r="A1344" i="21"/>
  <c r="A1343" i="21"/>
  <c r="A1342" i="21"/>
  <c r="A1341" i="21"/>
  <c r="A1340" i="21"/>
  <c r="A1339" i="21"/>
  <c r="A1338" i="21"/>
  <c r="A1337" i="21"/>
  <c r="A1336" i="21"/>
  <c r="A1335" i="21"/>
  <c r="A1334" i="21"/>
  <c r="A1333" i="21"/>
  <c r="A1332" i="21"/>
  <c r="A1331" i="21"/>
  <c r="A1330" i="21"/>
  <c r="A1329" i="21"/>
  <c r="A1328" i="21"/>
  <c r="A1327" i="21"/>
  <c r="A1326" i="21"/>
  <c r="A1325" i="21"/>
  <c r="A1324" i="21"/>
  <c r="A1323" i="21"/>
  <c r="A1322" i="21"/>
  <c r="A1321" i="21"/>
  <c r="A1320" i="21"/>
  <c r="A1319" i="21"/>
  <c r="A1318" i="21"/>
  <c r="A1317" i="21"/>
  <c r="A1316" i="21"/>
  <c r="A1315" i="21"/>
  <c r="A1314" i="21"/>
  <c r="A1313" i="21"/>
  <c r="A1312" i="21"/>
  <c r="A1311" i="21"/>
  <c r="A1310" i="21"/>
  <c r="A1309" i="21"/>
  <c r="A1308" i="21"/>
  <c r="A1307" i="21"/>
  <c r="A1306" i="21"/>
  <c r="A1305" i="21"/>
  <c r="A1304" i="21"/>
  <c r="A1303" i="21"/>
  <c r="A1302" i="21"/>
  <c r="A1301" i="21"/>
  <c r="A1300" i="21"/>
  <c r="A1299" i="21"/>
  <c r="A1298" i="21"/>
  <c r="A1297" i="21"/>
  <c r="A1296" i="21"/>
  <c r="A1295" i="21"/>
  <c r="A1294" i="21"/>
  <c r="A1293" i="21"/>
  <c r="A1292" i="21"/>
  <c r="A1291" i="21"/>
  <c r="A1290" i="21"/>
  <c r="A1289" i="21"/>
  <c r="A1288" i="21"/>
  <c r="A1287" i="21"/>
  <c r="A1286" i="21"/>
  <c r="A1285" i="21"/>
  <c r="A1284" i="21"/>
  <c r="A1283" i="21"/>
  <c r="A1282" i="21"/>
  <c r="A1281" i="21"/>
  <c r="A1280" i="21"/>
  <c r="A1279" i="21"/>
  <c r="A1278" i="21"/>
  <c r="A1277" i="21"/>
  <c r="A1276" i="21"/>
  <c r="A1275" i="21"/>
  <c r="A1274" i="21"/>
  <c r="A1273" i="21"/>
  <c r="A1272" i="21"/>
  <c r="A1271" i="21"/>
  <c r="A1270" i="21"/>
  <c r="A1269" i="21"/>
  <c r="A1268" i="21"/>
  <c r="A1267" i="21"/>
  <c r="A1266" i="21"/>
  <c r="A1265" i="21"/>
  <c r="A1264" i="21"/>
  <c r="A1263" i="21"/>
  <c r="A1262" i="21"/>
  <c r="A1261" i="21"/>
  <c r="A1260" i="21"/>
  <c r="A1259" i="21"/>
  <c r="A1258" i="21"/>
  <c r="A1257" i="21"/>
  <c r="A1256" i="21"/>
  <c r="A1255" i="21"/>
  <c r="A1254" i="21"/>
  <c r="A1253" i="21"/>
  <c r="A1252" i="21"/>
  <c r="A1251" i="21"/>
  <c r="A1250" i="21"/>
  <c r="A1249" i="21"/>
  <c r="A1248" i="21"/>
  <c r="A1247" i="21"/>
  <c r="A1246" i="21"/>
  <c r="A1245" i="21"/>
  <c r="A1244" i="21"/>
  <c r="A1243" i="21"/>
  <c r="A1242" i="21"/>
  <c r="A1241" i="21"/>
  <c r="A1240" i="21"/>
  <c r="A1239" i="21"/>
  <c r="A1238" i="21"/>
  <c r="A1237" i="21"/>
  <c r="A1236" i="21"/>
  <c r="A1235" i="21"/>
  <c r="A1234" i="21"/>
  <c r="A1233" i="21"/>
  <c r="A1232" i="21"/>
  <c r="A1231" i="21"/>
  <c r="A1230" i="21"/>
  <c r="A1229" i="21"/>
  <c r="A1228" i="21"/>
  <c r="A1227" i="21"/>
  <c r="A1226" i="21"/>
  <c r="A1225" i="21"/>
  <c r="A1224" i="21"/>
  <c r="A1223" i="21"/>
  <c r="A1222" i="21"/>
  <c r="A1221" i="21"/>
  <c r="A1220" i="21"/>
  <c r="A1219" i="21"/>
  <c r="A1218" i="21"/>
  <c r="A1217" i="21"/>
  <c r="A1216" i="21"/>
  <c r="A1215" i="21"/>
  <c r="A1214" i="21"/>
  <c r="A1213" i="21"/>
  <c r="A1212" i="21"/>
  <c r="A1211" i="21"/>
  <c r="A1210" i="21"/>
  <c r="A1209" i="21"/>
  <c r="A1208" i="21"/>
  <c r="A1207" i="21"/>
  <c r="A1206" i="21"/>
  <c r="A1205" i="21"/>
  <c r="A1204" i="21"/>
  <c r="A1203" i="21"/>
  <c r="A1202" i="21"/>
  <c r="A1201" i="21"/>
  <c r="A1200" i="21"/>
  <c r="A1199" i="21"/>
  <c r="A1198" i="21"/>
  <c r="A1197" i="21"/>
  <c r="A1196" i="21"/>
  <c r="A1195" i="21"/>
  <c r="A1194" i="21"/>
  <c r="A1193" i="21"/>
  <c r="A1192" i="21"/>
  <c r="A1191" i="21"/>
  <c r="A1190" i="21"/>
  <c r="A1189" i="21"/>
  <c r="A1188" i="21"/>
  <c r="A1187" i="21"/>
  <c r="A1186" i="21"/>
  <c r="A1185" i="21"/>
  <c r="A1184" i="21"/>
  <c r="A1183" i="21"/>
  <c r="A1182" i="21"/>
  <c r="A1181" i="21"/>
  <c r="A1180" i="21"/>
  <c r="A1179" i="21"/>
  <c r="A1178" i="21"/>
  <c r="A1177" i="21"/>
  <c r="A1176" i="21"/>
  <c r="A1175" i="21"/>
  <c r="A1174" i="21"/>
  <c r="A1173" i="21"/>
  <c r="A1172" i="21"/>
  <c r="A1171" i="21"/>
  <c r="A1170" i="21"/>
  <c r="A1169" i="21"/>
  <c r="A1168" i="21"/>
  <c r="A1167" i="21"/>
  <c r="A1166" i="21"/>
  <c r="A1165" i="21"/>
  <c r="A1164" i="21"/>
  <c r="A1163" i="21"/>
  <c r="A1162" i="21"/>
  <c r="A1161" i="21"/>
  <c r="A1160" i="21"/>
  <c r="A1159" i="21"/>
  <c r="A1158" i="21"/>
  <c r="A1157" i="21"/>
  <c r="A1156" i="21"/>
  <c r="A1155" i="21"/>
  <c r="A1154" i="21"/>
  <c r="A1153" i="21"/>
  <c r="A1152" i="21"/>
  <c r="A1151" i="21"/>
  <c r="A1150" i="21"/>
  <c r="A1149" i="21"/>
  <c r="A1148" i="21"/>
  <c r="A1147" i="21"/>
  <c r="A1146" i="21"/>
  <c r="A1145" i="21"/>
  <c r="A1144" i="21"/>
  <c r="A1143" i="21"/>
  <c r="A1142" i="21"/>
  <c r="A1141" i="21"/>
  <c r="A1140" i="21"/>
  <c r="A1139" i="21"/>
  <c r="A1138" i="21"/>
  <c r="A1137" i="21"/>
  <c r="A1136" i="21"/>
  <c r="A1135" i="21"/>
  <c r="A1134" i="21"/>
  <c r="A1133" i="21"/>
  <c r="A1132" i="21"/>
  <c r="A1131" i="21"/>
  <c r="A1130" i="21"/>
  <c r="A1129" i="21"/>
  <c r="A1128" i="21"/>
  <c r="A1127" i="21"/>
  <c r="A1126" i="21"/>
  <c r="A1125" i="21"/>
  <c r="A1124" i="21"/>
  <c r="A1123" i="21"/>
  <c r="A1122" i="21"/>
  <c r="A1121" i="21"/>
  <c r="A1120" i="21"/>
  <c r="A1119" i="21"/>
  <c r="A1118" i="21"/>
  <c r="A1117" i="21"/>
  <c r="A1116" i="21"/>
  <c r="A1115" i="21"/>
  <c r="A1114" i="21"/>
  <c r="A1113" i="21"/>
  <c r="A1112" i="21"/>
  <c r="A1111" i="21"/>
  <c r="A1110" i="21"/>
  <c r="A1109" i="21"/>
  <c r="A1108" i="21"/>
  <c r="A1107" i="21"/>
  <c r="A1106" i="21"/>
  <c r="A1105" i="21"/>
  <c r="A1104" i="21"/>
  <c r="A1103" i="21"/>
  <c r="A1102" i="21"/>
  <c r="A1101" i="21"/>
  <c r="A1100" i="21"/>
  <c r="A1099" i="21"/>
  <c r="A1098" i="21"/>
  <c r="A1097" i="21"/>
  <c r="A1096" i="21"/>
  <c r="A1095" i="21"/>
  <c r="A1094" i="21"/>
  <c r="A1093" i="21"/>
  <c r="A1092" i="21"/>
  <c r="A1091" i="21"/>
  <c r="A1090" i="21"/>
  <c r="A1089" i="21"/>
  <c r="A1088" i="21"/>
  <c r="A1087" i="21"/>
  <c r="A1086" i="21"/>
  <c r="A1085" i="21"/>
  <c r="A1084" i="21"/>
  <c r="A1083" i="21"/>
  <c r="A1082" i="21"/>
  <c r="A1081" i="21"/>
  <c r="A1080" i="21"/>
  <c r="A1079" i="21"/>
  <c r="A1078" i="21"/>
  <c r="A1077" i="21"/>
  <c r="A1076" i="21"/>
  <c r="A1075" i="21"/>
  <c r="A1074" i="21"/>
  <c r="A1073" i="21"/>
  <c r="A1072" i="21"/>
  <c r="A1071" i="21"/>
  <c r="A1070" i="21"/>
  <c r="A1069" i="21"/>
  <c r="A1068" i="21"/>
  <c r="A1067" i="21"/>
  <c r="A1066" i="21"/>
  <c r="A1065" i="21"/>
  <c r="A1064" i="21"/>
  <c r="A1063" i="21"/>
  <c r="A1062" i="21"/>
  <c r="A1061" i="21"/>
  <c r="A1060" i="21"/>
  <c r="A1059" i="21"/>
  <c r="A1058" i="21"/>
  <c r="A1057" i="21"/>
  <c r="A1056" i="21"/>
  <c r="A1055" i="21"/>
  <c r="A1054" i="21"/>
  <c r="A1053" i="21"/>
  <c r="A1052" i="21"/>
  <c r="A1051" i="21"/>
  <c r="A1050" i="21"/>
  <c r="A1049" i="21"/>
  <c r="A1048" i="21"/>
  <c r="A1047" i="21"/>
  <c r="A1046" i="21"/>
  <c r="A1045" i="21"/>
  <c r="A1044" i="21"/>
  <c r="A1043" i="21"/>
  <c r="A1042" i="21"/>
  <c r="A1041" i="21"/>
  <c r="A1040" i="21"/>
  <c r="A1039" i="21"/>
  <c r="A1038" i="21"/>
  <c r="A1037" i="21"/>
  <c r="A1036" i="21"/>
  <c r="A1035" i="21"/>
  <c r="A1034" i="21"/>
  <c r="A1033" i="21"/>
  <c r="A1032" i="21"/>
  <c r="A1031" i="21"/>
  <c r="A1030" i="21"/>
  <c r="A1029" i="21"/>
  <c r="A1028" i="21"/>
  <c r="A1027" i="21"/>
  <c r="A1026" i="21"/>
  <c r="A1025" i="21"/>
  <c r="A1024" i="21"/>
  <c r="A1023" i="21"/>
  <c r="A1022" i="21"/>
  <c r="A1021" i="21"/>
  <c r="A1020" i="21"/>
  <c r="A1019" i="21"/>
  <c r="A1018" i="21"/>
  <c r="A1017" i="21"/>
  <c r="A1016" i="21"/>
  <c r="A1015" i="21"/>
  <c r="A1014" i="21"/>
  <c r="A1013" i="21"/>
  <c r="A1012" i="21"/>
  <c r="A1011" i="21"/>
  <c r="A1010" i="21"/>
  <c r="A1009" i="21"/>
  <c r="A1008" i="21"/>
  <c r="A1007" i="21"/>
  <c r="A1006" i="21"/>
  <c r="A1005" i="21"/>
  <c r="A1004" i="21"/>
  <c r="A1003" i="21"/>
  <c r="A1002" i="21"/>
  <c r="A1001" i="21"/>
  <c r="A1000" i="21"/>
  <c r="A999" i="21"/>
  <c r="A998" i="21"/>
  <c r="A997" i="21"/>
  <c r="A996" i="21"/>
  <c r="A995" i="21"/>
  <c r="A994" i="21"/>
  <c r="A993" i="21"/>
  <c r="A992" i="21"/>
  <c r="A991" i="21"/>
  <c r="A990" i="21"/>
  <c r="A989" i="21"/>
  <c r="A988" i="21"/>
  <c r="A987" i="21"/>
  <c r="A986" i="21"/>
  <c r="A985" i="21"/>
  <c r="A984" i="21"/>
  <c r="A983" i="21"/>
  <c r="A982" i="21"/>
  <c r="A981" i="21"/>
  <c r="A980" i="21"/>
  <c r="A979" i="21"/>
  <c r="A978" i="21"/>
  <c r="A977" i="21"/>
  <c r="A976" i="21"/>
  <c r="A975" i="21"/>
  <c r="A974" i="21"/>
  <c r="A973" i="21"/>
  <c r="A972" i="21"/>
  <c r="A971" i="21"/>
  <c r="A970" i="21"/>
  <c r="A969" i="21"/>
  <c r="A968" i="21"/>
  <c r="A967" i="21"/>
  <c r="A966" i="21"/>
  <c r="A965" i="21"/>
  <c r="A964" i="21"/>
  <c r="A963" i="21"/>
  <c r="A962" i="21"/>
  <c r="A961" i="21"/>
  <c r="A960" i="21"/>
  <c r="A959" i="21"/>
  <c r="A958" i="21"/>
  <c r="A957" i="21"/>
  <c r="A956" i="21"/>
  <c r="A955" i="21"/>
  <c r="A954" i="21"/>
  <c r="A953" i="21"/>
  <c r="A952" i="21"/>
  <c r="A951" i="21"/>
  <c r="A950" i="21"/>
  <c r="A949" i="21"/>
  <c r="A948" i="21"/>
  <c r="A947" i="21"/>
  <c r="A946" i="21"/>
  <c r="A945" i="21"/>
  <c r="A944" i="21"/>
  <c r="A943" i="21"/>
  <c r="A942" i="21"/>
  <c r="A941" i="21"/>
  <c r="A940" i="21"/>
  <c r="A939" i="21"/>
  <c r="A938" i="21"/>
  <c r="A937" i="21"/>
  <c r="A936" i="21"/>
  <c r="A935" i="21"/>
  <c r="A934" i="21"/>
  <c r="A933" i="21"/>
  <c r="A932" i="21"/>
  <c r="A931" i="21"/>
  <c r="A930" i="21"/>
  <c r="A929" i="21"/>
  <c r="A928" i="21"/>
  <c r="A927" i="21"/>
  <c r="A926" i="21"/>
  <c r="A925" i="21"/>
  <c r="A924" i="21"/>
  <c r="A923" i="21"/>
  <c r="A922" i="21"/>
  <c r="A921" i="21"/>
  <c r="A920" i="21"/>
  <c r="A919" i="21"/>
  <c r="A918" i="21"/>
  <c r="A917" i="21"/>
  <c r="A916" i="21"/>
  <c r="A915" i="21"/>
  <c r="A914" i="21"/>
  <c r="A913" i="21"/>
  <c r="A912" i="21"/>
  <c r="A911" i="21"/>
  <c r="A910" i="21"/>
  <c r="A909" i="21"/>
  <c r="A908" i="21"/>
  <c r="A907" i="21"/>
  <c r="A906" i="21"/>
  <c r="A905" i="21"/>
  <c r="A904" i="21"/>
  <c r="A903" i="21"/>
  <c r="A902" i="21"/>
  <c r="A901" i="21"/>
  <c r="A900" i="21"/>
  <c r="A899" i="21"/>
  <c r="A898" i="21"/>
  <c r="A897" i="21"/>
  <c r="A896" i="21"/>
  <c r="A895" i="21"/>
  <c r="A894" i="21"/>
  <c r="A893" i="21"/>
  <c r="A892" i="21"/>
  <c r="A891" i="21"/>
  <c r="A890" i="21"/>
  <c r="A889" i="21"/>
  <c r="A888" i="21"/>
  <c r="A887" i="21"/>
  <c r="A886" i="21"/>
  <c r="A885" i="21"/>
  <c r="A884" i="21"/>
  <c r="A883" i="21"/>
  <c r="A882" i="21"/>
  <c r="A881" i="21"/>
  <c r="A880" i="21"/>
  <c r="A879" i="21"/>
  <c r="A878" i="21"/>
  <c r="A877" i="21"/>
  <c r="A876" i="21"/>
  <c r="A875" i="21"/>
  <c r="A874" i="21"/>
  <c r="A873" i="21"/>
  <c r="A872" i="21"/>
  <c r="A871" i="21"/>
  <c r="A870" i="21"/>
  <c r="A869" i="21"/>
  <c r="A868" i="21"/>
  <c r="A867" i="21"/>
  <c r="A866" i="21"/>
  <c r="A865" i="21"/>
  <c r="A864" i="21"/>
  <c r="A863" i="21"/>
  <c r="A862" i="21"/>
  <c r="A861" i="21"/>
  <c r="A860" i="21"/>
  <c r="A859" i="21"/>
  <c r="A858" i="21"/>
  <c r="A857" i="21"/>
  <c r="A856" i="21"/>
  <c r="A855" i="21"/>
  <c r="A854" i="21"/>
  <c r="A853" i="21"/>
  <c r="A852" i="21"/>
  <c r="A851" i="21"/>
  <c r="A850" i="21"/>
  <c r="A849" i="21"/>
  <c r="A848" i="21"/>
  <c r="A847" i="21"/>
  <c r="A846" i="21"/>
  <c r="A845" i="21"/>
  <c r="A844" i="21"/>
  <c r="A843" i="21"/>
  <c r="A842" i="21"/>
  <c r="A841" i="21"/>
  <c r="A840" i="21"/>
  <c r="A839" i="21"/>
  <c r="A838" i="21"/>
  <c r="A837" i="21"/>
  <c r="A836" i="21"/>
  <c r="A835" i="21"/>
  <c r="A834" i="21"/>
  <c r="A833" i="21"/>
  <c r="A832" i="21"/>
  <c r="A831" i="21"/>
  <c r="A830" i="21"/>
  <c r="A829" i="21"/>
  <c r="A828" i="21"/>
  <c r="A827" i="21"/>
  <c r="A826" i="21"/>
  <c r="A825" i="21"/>
  <c r="A824" i="21"/>
  <c r="A823" i="21"/>
  <c r="A822" i="21"/>
  <c r="A821" i="21"/>
  <c r="A820" i="21"/>
  <c r="A819" i="21"/>
  <c r="A818" i="21"/>
  <c r="A817" i="21"/>
  <c r="A816" i="21"/>
  <c r="A815" i="21"/>
  <c r="A814" i="21"/>
  <c r="A813" i="21"/>
  <c r="A812" i="21"/>
  <c r="A811" i="21"/>
  <c r="A810" i="21"/>
  <c r="A809" i="21"/>
  <c r="A808" i="21"/>
  <c r="A807" i="21"/>
  <c r="A806" i="21"/>
  <c r="A805" i="21"/>
  <c r="A804" i="21"/>
  <c r="A803" i="21"/>
  <c r="A802" i="21"/>
  <c r="A801" i="21"/>
  <c r="A800" i="21"/>
  <c r="A799" i="21"/>
  <c r="A798" i="21"/>
  <c r="A797" i="21"/>
  <c r="A796" i="21"/>
  <c r="A795" i="21"/>
  <c r="A794" i="21"/>
  <c r="A793" i="21"/>
  <c r="A792" i="21"/>
  <c r="A791" i="21"/>
  <c r="A790" i="21"/>
  <c r="A789" i="21"/>
  <c r="A788" i="21"/>
  <c r="A787" i="21"/>
  <c r="A786" i="21"/>
  <c r="A785" i="21"/>
  <c r="A784" i="21"/>
  <c r="A783" i="21"/>
  <c r="A782" i="21"/>
  <c r="A781" i="21"/>
  <c r="A780" i="21"/>
  <c r="A779" i="21"/>
  <c r="A778" i="21"/>
  <c r="A777" i="21"/>
  <c r="A776" i="21"/>
  <c r="A775" i="21"/>
  <c r="A774" i="21"/>
  <c r="A773" i="21"/>
  <c r="A772" i="21"/>
  <c r="A771" i="21"/>
  <c r="A770" i="21"/>
  <c r="A769" i="21"/>
  <c r="A768" i="21"/>
  <c r="A767" i="21"/>
  <c r="A766" i="21"/>
  <c r="A765" i="21"/>
  <c r="A764" i="21"/>
  <c r="A763" i="21"/>
  <c r="A762" i="21"/>
  <c r="A761" i="21"/>
  <c r="A760" i="21"/>
  <c r="A759" i="21"/>
  <c r="A758" i="21"/>
  <c r="A757" i="21"/>
  <c r="A756" i="21"/>
  <c r="A755" i="21"/>
  <c r="A754" i="21"/>
  <c r="A753" i="21"/>
  <c r="A752" i="21"/>
  <c r="A751" i="21"/>
  <c r="A750" i="21"/>
  <c r="A749" i="21"/>
  <c r="A748" i="21"/>
  <c r="A747" i="21"/>
  <c r="A746" i="21"/>
  <c r="A745" i="21"/>
  <c r="A744" i="21"/>
  <c r="A743" i="21"/>
  <c r="A742" i="21"/>
  <c r="A741" i="21"/>
  <c r="A740" i="21"/>
  <c r="A739" i="21"/>
  <c r="A738" i="21"/>
  <c r="A737" i="21"/>
  <c r="A736" i="21"/>
  <c r="A735" i="21"/>
  <c r="A734" i="21"/>
  <c r="A733" i="21"/>
  <c r="A732" i="21"/>
  <c r="A731" i="21"/>
  <c r="A730" i="21"/>
  <c r="A729" i="21"/>
  <c r="A728" i="21"/>
  <c r="A727" i="21"/>
  <c r="A726" i="21"/>
  <c r="A725" i="21"/>
  <c r="A724" i="21"/>
  <c r="A723" i="21"/>
  <c r="A722" i="21"/>
  <c r="A721" i="21"/>
  <c r="A720" i="21"/>
  <c r="A719" i="21"/>
  <c r="A718" i="21"/>
  <c r="A717" i="21"/>
  <c r="A716" i="21"/>
  <c r="A715" i="21"/>
  <c r="A714" i="21"/>
  <c r="A713" i="21"/>
  <c r="A712" i="21"/>
  <c r="A711" i="21"/>
  <c r="A710" i="21"/>
  <c r="A709" i="21"/>
  <c r="A708" i="21"/>
  <c r="A707" i="21"/>
  <c r="A706" i="21"/>
  <c r="A705" i="21"/>
  <c r="A704" i="21"/>
  <c r="A703" i="21"/>
  <c r="A702" i="21"/>
  <c r="A701" i="21"/>
  <c r="A700" i="21"/>
  <c r="A699" i="21"/>
  <c r="A698" i="21"/>
  <c r="A697" i="21"/>
  <c r="A696" i="21"/>
  <c r="A695" i="21"/>
  <c r="A694" i="21"/>
  <c r="A693" i="21"/>
  <c r="A692" i="21"/>
  <c r="A691" i="21"/>
  <c r="A690" i="21"/>
  <c r="A689" i="21"/>
  <c r="A688" i="21"/>
  <c r="A687" i="21"/>
  <c r="A686" i="21"/>
  <c r="A685" i="21"/>
  <c r="A684" i="21"/>
  <c r="A683" i="21"/>
  <c r="A682" i="21"/>
  <c r="A681" i="21"/>
  <c r="A680" i="21"/>
  <c r="A679" i="21"/>
  <c r="A678" i="21"/>
  <c r="A677" i="21"/>
  <c r="A676" i="21"/>
  <c r="A675" i="21"/>
  <c r="A674" i="21"/>
  <c r="A673" i="21"/>
  <c r="A672" i="21"/>
  <c r="A671" i="21"/>
  <c r="A670" i="21"/>
  <c r="A669" i="21"/>
  <c r="A668" i="21"/>
  <c r="A667" i="21"/>
  <c r="A666" i="21"/>
  <c r="A665" i="21"/>
  <c r="A664" i="21"/>
  <c r="A663" i="21"/>
  <c r="A662" i="21"/>
  <c r="A661" i="21"/>
  <c r="A660" i="21"/>
  <c r="A659" i="21"/>
  <c r="A658" i="21"/>
  <c r="A657" i="21"/>
  <c r="A656" i="21"/>
  <c r="A655" i="21"/>
  <c r="A654" i="21"/>
  <c r="A653" i="21"/>
  <c r="A652" i="21"/>
  <c r="A651" i="21"/>
  <c r="A650" i="21"/>
  <c r="A649" i="21"/>
  <c r="A648" i="21"/>
  <c r="A647" i="21"/>
  <c r="A646" i="21"/>
  <c r="A645" i="21"/>
  <c r="A644" i="21"/>
  <c r="A643" i="21"/>
  <c r="A642" i="21"/>
  <c r="A641" i="21"/>
  <c r="A640" i="21"/>
  <c r="A639" i="21"/>
  <c r="A638" i="21"/>
  <c r="A637" i="21"/>
  <c r="A636" i="21"/>
  <c r="A635" i="21"/>
  <c r="A634" i="21"/>
  <c r="A633" i="21"/>
  <c r="A632" i="21"/>
  <c r="A631" i="21"/>
  <c r="A630" i="21"/>
  <c r="A629" i="21"/>
  <c r="A628" i="21"/>
  <c r="A627" i="21"/>
  <c r="A626" i="21"/>
  <c r="A625" i="21"/>
  <c r="A624" i="21"/>
  <c r="A623" i="21"/>
  <c r="A622" i="21"/>
  <c r="A621" i="21"/>
  <c r="A620" i="21"/>
  <c r="A619" i="21"/>
  <c r="A618" i="21"/>
  <c r="A617" i="21"/>
  <c r="A616" i="21"/>
  <c r="A615" i="21"/>
  <c r="A614" i="21"/>
  <c r="A613" i="21"/>
  <c r="A612" i="21"/>
  <c r="A611" i="21"/>
  <c r="A610" i="21"/>
  <c r="A609" i="21"/>
  <c r="A608" i="21"/>
  <c r="A607" i="21"/>
  <c r="A606" i="21"/>
  <c r="A605" i="21"/>
  <c r="A604" i="21"/>
  <c r="A603" i="21"/>
  <c r="A602" i="21"/>
  <c r="A601" i="21"/>
  <c r="A600" i="21"/>
  <c r="A599" i="21"/>
  <c r="A598" i="21"/>
  <c r="A597" i="21"/>
  <c r="A596" i="21"/>
  <c r="A595" i="21"/>
  <c r="A594" i="21"/>
  <c r="A593" i="21"/>
  <c r="A592" i="21"/>
  <c r="A591" i="21"/>
  <c r="A590" i="21"/>
  <c r="A589" i="21"/>
  <c r="A588" i="21"/>
  <c r="A587" i="21"/>
  <c r="A586" i="21"/>
  <c r="A585" i="21"/>
  <c r="A584" i="21"/>
  <c r="A583" i="21"/>
  <c r="A582" i="21"/>
  <c r="A581" i="21"/>
  <c r="A580" i="21"/>
  <c r="A579" i="21"/>
  <c r="A578" i="21"/>
  <c r="A577" i="21"/>
  <c r="A576" i="21"/>
  <c r="A575" i="21"/>
  <c r="A574" i="21"/>
  <c r="A573" i="21"/>
  <c r="A572" i="21"/>
  <c r="A571" i="21"/>
  <c r="A570" i="21"/>
  <c r="A569" i="21"/>
  <c r="A568" i="21"/>
  <c r="A567" i="21"/>
  <c r="A566" i="21"/>
  <c r="A565" i="21"/>
  <c r="A564" i="21"/>
  <c r="A563" i="21"/>
  <c r="A562" i="21"/>
  <c r="A561" i="21"/>
  <c r="A560" i="21"/>
  <c r="A559" i="21"/>
  <c r="A558" i="21"/>
  <c r="A557" i="21"/>
  <c r="A556" i="21"/>
  <c r="A555" i="21"/>
  <c r="A554" i="21"/>
  <c r="A553" i="21"/>
  <c r="A552" i="21"/>
  <c r="A551" i="21"/>
  <c r="A550" i="21"/>
  <c r="A549" i="21"/>
  <c r="A548" i="21"/>
  <c r="A547" i="21"/>
  <c r="A546" i="21"/>
  <c r="A545" i="21"/>
  <c r="A544" i="21"/>
  <c r="A543" i="21"/>
  <c r="A542" i="21"/>
  <c r="A541" i="21"/>
  <c r="A540" i="21"/>
  <c r="A539" i="21"/>
  <c r="A538" i="21"/>
  <c r="A537" i="21"/>
  <c r="A536" i="21"/>
  <c r="A535" i="21"/>
  <c r="A534" i="21"/>
  <c r="A533" i="21"/>
  <c r="A532" i="21"/>
  <c r="A531" i="21"/>
  <c r="A530" i="21"/>
  <c r="A529" i="21"/>
  <c r="A528" i="21"/>
  <c r="A527" i="21"/>
  <c r="A526" i="21"/>
  <c r="A525" i="21"/>
  <c r="A524" i="21"/>
  <c r="A523" i="21"/>
  <c r="A522" i="21"/>
  <c r="A521" i="21"/>
  <c r="A520" i="21"/>
  <c r="A519" i="21"/>
  <c r="A518" i="21"/>
  <c r="A517" i="21"/>
  <c r="A516" i="21"/>
  <c r="A515" i="21"/>
  <c r="A514" i="21"/>
  <c r="A513" i="21"/>
  <c r="A512" i="21"/>
  <c r="A511" i="21"/>
  <c r="A510" i="21"/>
  <c r="A509" i="21"/>
  <c r="A508" i="21"/>
  <c r="A507" i="21"/>
  <c r="A506" i="21"/>
  <c r="A505" i="21"/>
  <c r="A504" i="21"/>
  <c r="A503" i="21"/>
  <c r="A502" i="21"/>
  <c r="A501" i="21"/>
  <c r="A500" i="21"/>
  <c r="A499" i="21"/>
  <c r="A498" i="21"/>
  <c r="A497" i="21"/>
  <c r="A496" i="21"/>
  <c r="A495" i="21"/>
  <c r="A494" i="21"/>
  <c r="A493" i="21"/>
  <c r="A492" i="21"/>
  <c r="A491" i="21"/>
  <c r="A490" i="21"/>
  <c r="A489" i="21"/>
  <c r="A488" i="21"/>
  <c r="A487" i="21"/>
  <c r="A486" i="21"/>
  <c r="A485" i="21"/>
  <c r="A484" i="21"/>
  <c r="A483" i="21"/>
  <c r="A482" i="21"/>
  <c r="A481" i="21"/>
  <c r="A480" i="21"/>
  <c r="A479" i="21"/>
  <c r="A478" i="21"/>
  <c r="A477" i="21"/>
  <c r="A476" i="21"/>
  <c r="A475" i="21"/>
  <c r="A474" i="21"/>
  <c r="A473" i="21"/>
  <c r="A472" i="21"/>
  <c r="A471" i="21"/>
  <c r="A470" i="21"/>
  <c r="A469" i="21"/>
  <c r="A468" i="21"/>
  <c r="A467" i="21"/>
  <c r="A466" i="21"/>
  <c r="A465" i="21"/>
  <c r="A464" i="21"/>
  <c r="A463" i="21"/>
  <c r="A462" i="21"/>
  <c r="A461" i="21"/>
  <c r="A460" i="21"/>
  <c r="A459" i="21"/>
  <c r="A458" i="21"/>
  <c r="A457" i="21"/>
  <c r="A456" i="21"/>
  <c r="A455" i="21"/>
  <c r="A454" i="21"/>
  <c r="A453" i="21"/>
  <c r="A452" i="21"/>
  <c r="A451" i="21"/>
  <c r="A450" i="21"/>
  <c r="A449" i="21"/>
  <c r="A448" i="21"/>
  <c r="A447" i="21"/>
  <c r="A446" i="21"/>
  <c r="A445" i="21"/>
  <c r="A444" i="21"/>
  <c r="A443" i="21"/>
  <c r="A442" i="21"/>
  <c r="A441" i="21"/>
  <c r="A440" i="21"/>
  <c r="A439" i="21"/>
  <c r="A438" i="21"/>
  <c r="A437" i="21"/>
  <c r="A436" i="21"/>
  <c r="A435" i="21"/>
  <c r="A434" i="21"/>
  <c r="A433" i="21"/>
  <c r="A432" i="21"/>
  <c r="A431" i="21"/>
  <c r="A430" i="21"/>
  <c r="A429" i="21"/>
  <c r="A428" i="21"/>
  <c r="A427" i="21"/>
  <c r="A426" i="21"/>
  <c r="A425" i="21"/>
  <c r="A424" i="21"/>
  <c r="A423" i="21"/>
  <c r="A422" i="21"/>
  <c r="A421" i="21"/>
  <c r="A420" i="21"/>
  <c r="A419" i="21"/>
  <c r="A418" i="21"/>
  <c r="A417" i="21"/>
  <c r="A416" i="21"/>
  <c r="A415" i="21"/>
  <c r="A414" i="21"/>
  <c r="A413" i="21"/>
  <c r="A412" i="21"/>
  <c r="A411" i="21"/>
  <c r="A410" i="21"/>
  <c r="A409" i="21"/>
  <c r="A408" i="21"/>
  <c r="A407" i="21"/>
  <c r="A406" i="21"/>
  <c r="A405" i="21"/>
  <c r="A404" i="21"/>
  <c r="A403" i="21"/>
  <c r="A402" i="21"/>
  <c r="A401" i="21"/>
  <c r="A400" i="21"/>
  <c r="A399" i="21"/>
  <c r="A398" i="21"/>
  <c r="A397" i="21"/>
  <c r="A396" i="21"/>
  <c r="A395" i="21"/>
  <c r="A394" i="21"/>
  <c r="A393" i="21"/>
  <c r="A392" i="21"/>
  <c r="A391" i="21"/>
  <c r="A390" i="21"/>
  <c r="A389" i="21"/>
  <c r="A388" i="21"/>
  <c r="A387" i="21"/>
  <c r="A386" i="21"/>
  <c r="A385" i="21"/>
  <c r="A384" i="21"/>
  <c r="A383" i="21"/>
  <c r="A382" i="21"/>
  <c r="A381" i="21"/>
  <c r="A380" i="21"/>
  <c r="A379" i="21"/>
  <c r="A378" i="21"/>
  <c r="A377" i="21"/>
  <c r="A376" i="21"/>
  <c r="A375" i="21"/>
  <c r="A374" i="21"/>
  <c r="A373" i="21"/>
  <c r="A372" i="21"/>
  <c r="A371" i="21"/>
  <c r="A370" i="21"/>
  <c r="A369" i="21"/>
  <c r="A368" i="21"/>
  <c r="A367" i="21"/>
  <c r="A366" i="21"/>
  <c r="A365" i="21"/>
  <c r="A364" i="21"/>
  <c r="A363" i="21"/>
  <c r="A362" i="21"/>
  <c r="A361" i="21"/>
  <c r="A360" i="21"/>
  <c r="A359" i="21"/>
  <c r="A358" i="21"/>
  <c r="A357" i="21"/>
  <c r="A356" i="21"/>
  <c r="A355" i="21"/>
  <c r="A354" i="21"/>
  <c r="A353" i="21"/>
  <c r="A352" i="21"/>
  <c r="A351" i="21"/>
  <c r="A350" i="21"/>
  <c r="A349" i="21"/>
  <c r="A348" i="21"/>
  <c r="A347" i="21"/>
  <c r="A346" i="21"/>
  <c r="A345" i="21"/>
  <c r="A344" i="21"/>
  <c r="A343" i="21"/>
  <c r="A342" i="21"/>
  <c r="A341" i="21"/>
  <c r="A340" i="21"/>
  <c r="A339" i="21"/>
  <c r="A338" i="21"/>
  <c r="A337" i="21"/>
  <c r="A336" i="21"/>
  <c r="A335" i="21"/>
  <c r="A334" i="21"/>
  <c r="A333" i="21"/>
  <c r="A332" i="21"/>
  <c r="A331" i="21"/>
  <c r="A330" i="21"/>
  <c r="A329" i="21"/>
  <c r="A328" i="21"/>
  <c r="A327" i="21"/>
  <c r="A326" i="21"/>
  <c r="A325" i="21"/>
  <c r="A324" i="21"/>
  <c r="A323" i="21"/>
  <c r="A322" i="21"/>
  <c r="A321" i="21"/>
  <c r="A320" i="21"/>
  <c r="A319" i="21"/>
  <c r="A318" i="21"/>
  <c r="A317" i="21"/>
  <c r="A316" i="21"/>
  <c r="A315" i="21"/>
  <c r="A314" i="21"/>
  <c r="A313" i="21"/>
  <c r="A312" i="21"/>
  <c r="A311" i="21"/>
  <c r="A310" i="21"/>
  <c r="A309" i="21"/>
  <c r="A308" i="21"/>
  <c r="A307" i="21"/>
  <c r="A306" i="21"/>
  <c r="A305" i="21"/>
  <c r="A304" i="21"/>
  <c r="A303" i="21"/>
  <c r="A302" i="21"/>
  <c r="A301" i="21"/>
  <c r="A300" i="21"/>
  <c r="A299" i="21"/>
  <c r="A298" i="21"/>
  <c r="A297" i="21"/>
  <c r="A296" i="21"/>
  <c r="A295" i="21"/>
  <c r="A294" i="21"/>
  <c r="A293" i="21"/>
  <c r="A292" i="21"/>
  <c r="A291" i="21"/>
  <c r="A290" i="21"/>
  <c r="A289" i="21"/>
  <c r="A288" i="21"/>
  <c r="A287" i="21"/>
  <c r="A286" i="21"/>
  <c r="A285" i="21"/>
  <c r="A284" i="21"/>
  <c r="A283" i="21"/>
  <c r="A282" i="21"/>
  <c r="A281" i="21"/>
  <c r="A280" i="21"/>
  <c r="A279" i="21"/>
  <c r="A278" i="21"/>
  <c r="A277" i="21"/>
  <c r="A276" i="21"/>
  <c r="A275" i="21"/>
  <c r="A274" i="21"/>
  <c r="A273" i="21"/>
  <c r="A272" i="21"/>
  <c r="A271" i="21"/>
  <c r="A270" i="21"/>
  <c r="A269" i="21"/>
  <c r="A268" i="21"/>
  <c r="A267" i="21"/>
  <c r="A266" i="21"/>
  <c r="A265" i="21"/>
  <c r="A264" i="21"/>
  <c r="A263" i="21"/>
  <c r="A262" i="21"/>
  <c r="A261" i="21"/>
  <c r="A260" i="21"/>
  <c r="A259" i="21"/>
  <c r="A258" i="21"/>
  <c r="A257" i="21"/>
  <c r="A256" i="21"/>
  <c r="A255" i="21"/>
  <c r="A254" i="21"/>
  <c r="A253" i="21"/>
  <c r="A252" i="21"/>
  <c r="A251" i="21"/>
  <c r="A250" i="21"/>
  <c r="A249" i="21"/>
  <c r="A248" i="21"/>
  <c r="A247" i="21"/>
  <c r="A246" i="21"/>
  <c r="A245" i="21"/>
  <c r="A244" i="21"/>
  <c r="A243" i="21"/>
  <c r="A242" i="21"/>
  <c r="A241" i="21"/>
  <c r="A240" i="21"/>
  <c r="A239" i="21"/>
  <c r="A238" i="21"/>
  <c r="A237" i="21"/>
  <c r="A236" i="21"/>
  <c r="A235" i="21"/>
  <c r="A234" i="21"/>
  <c r="A233" i="21"/>
  <c r="A232" i="21"/>
  <c r="A231" i="21"/>
  <c r="A230" i="21"/>
  <c r="A229" i="21"/>
  <c r="A228" i="21"/>
  <c r="A227" i="21"/>
  <c r="A226" i="21"/>
  <c r="A225" i="21"/>
  <c r="A224" i="21"/>
  <c r="A223" i="21"/>
  <c r="A222" i="21"/>
  <c r="A221" i="21"/>
  <c r="A220" i="21"/>
  <c r="A219" i="21"/>
  <c r="A218" i="21"/>
  <c r="A217" i="21"/>
  <c r="A216" i="21"/>
  <c r="A215" i="21"/>
  <c r="A214" i="21"/>
  <c r="A213" i="21"/>
  <c r="A212" i="21"/>
  <c r="A211" i="21"/>
  <c r="A210" i="21"/>
  <c r="A209" i="21"/>
  <c r="A208" i="21"/>
  <c r="A207" i="21"/>
  <c r="A206" i="21"/>
  <c r="A205" i="21"/>
  <c r="A204" i="21"/>
  <c r="A82" i="15" l="1"/>
  <c r="A83" i="15"/>
  <c r="A84" i="15"/>
  <c r="A85" i="15"/>
  <c r="A86" i="15"/>
  <c r="A87" i="15"/>
  <c r="A88" i="15"/>
  <c r="A89" i="15"/>
  <c r="A90" i="15"/>
  <c r="A91" i="15"/>
  <c r="A92" i="15"/>
  <c r="A93" i="15"/>
  <c r="A94" i="15"/>
  <c r="A95" i="15"/>
  <c r="A96" i="15"/>
  <c r="A97" i="15"/>
  <c r="A98" i="15"/>
  <c r="A99" i="15"/>
  <c r="A100" i="15"/>
  <c r="A101" i="15"/>
  <c r="A102" i="15"/>
  <c r="A103" i="15"/>
  <c r="A104" i="15"/>
  <c r="A105" i="15"/>
  <c r="A106" i="15"/>
  <c r="A107" i="15"/>
  <c r="A108" i="15"/>
  <c r="A109" i="15"/>
  <c r="A110" i="15"/>
  <c r="A111" i="15"/>
  <c r="A112" i="15"/>
  <c r="A113" i="15"/>
  <c r="A114" i="15"/>
  <c r="A115" i="15"/>
  <c r="A116" i="15"/>
  <c r="A117" i="15"/>
  <c r="A118" i="15"/>
  <c r="A119" i="15"/>
  <c r="A120" i="15"/>
  <c r="A121" i="15"/>
  <c r="A122" i="15"/>
  <c r="A123" i="15"/>
  <c r="A124" i="15"/>
  <c r="A125" i="15"/>
  <c r="A126" i="15"/>
  <c r="A127" i="15"/>
  <c r="A128" i="15"/>
  <c r="A129" i="15"/>
  <c r="A130" i="15"/>
  <c r="A131" i="15"/>
  <c r="A132" i="15"/>
  <c r="A133" i="15"/>
  <c r="A134" i="15"/>
  <c r="A135" i="15"/>
  <c r="A136" i="15"/>
  <c r="A137" i="15"/>
  <c r="A138" i="15"/>
  <c r="A139" i="15"/>
  <c r="A140" i="15"/>
  <c r="A141" i="15"/>
  <c r="A142" i="15"/>
  <c r="A143" i="15"/>
  <c r="A144" i="15"/>
  <c r="A145" i="15"/>
  <c r="A146" i="15"/>
  <c r="A147" i="15"/>
  <c r="A148" i="15"/>
  <c r="A149" i="15"/>
  <c r="A150" i="15"/>
  <c r="A151" i="15"/>
  <c r="A152" i="15"/>
  <c r="A153" i="15"/>
  <c r="A154" i="15"/>
  <c r="A155" i="15"/>
  <c r="A156" i="15"/>
  <c r="A157" i="15"/>
  <c r="A158" i="15"/>
  <c r="A159" i="15"/>
  <c r="A160" i="15"/>
  <c r="A161" i="15"/>
  <c r="A162" i="15"/>
  <c r="A163" i="15"/>
  <c r="A164" i="15"/>
  <c r="A165" i="15"/>
  <c r="A166" i="15"/>
  <c r="A167" i="15"/>
  <c r="A168" i="15"/>
  <c r="A169" i="15"/>
  <c r="A170" i="15"/>
  <c r="A171" i="15"/>
  <c r="A172" i="15"/>
  <c r="A173" i="15"/>
  <c r="A174" i="15"/>
  <c r="A175" i="15"/>
  <c r="A176" i="15"/>
  <c r="A177" i="15"/>
  <c r="A178" i="15"/>
  <c r="A179" i="15"/>
  <c r="A180" i="15"/>
  <c r="A181" i="15"/>
  <c r="A182" i="15"/>
  <c r="A183" i="15"/>
  <c r="A184" i="15"/>
  <c r="A185" i="15"/>
  <c r="A186" i="15"/>
  <c r="A187" i="15"/>
  <c r="A188" i="15"/>
  <c r="A189" i="15"/>
  <c r="A190" i="15"/>
  <c r="A191" i="15"/>
  <c r="A192" i="15"/>
  <c r="A193" i="15"/>
  <c r="A194" i="15"/>
  <c r="A195" i="15"/>
  <c r="A196" i="15"/>
  <c r="A197" i="15"/>
  <c r="A198" i="15"/>
  <c r="A199" i="15"/>
  <c r="A200" i="15"/>
  <c r="A201" i="15"/>
  <c r="A102" i="12"/>
  <c r="A103" i="12"/>
  <c r="A104" i="12"/>
  <c r="A105" i="12"/>
  <c r="A106" i="12"/>
  <c r="A107" i="12"/>
  <c r="A108" i="12"/>
  <c r="A109" i="12"/>
  <c r="A110" i="12"/>
  <c r="A111" i="12"/>
  <c r="A112" i="12"/>
  <c r="A113" i="12"/>
  <c r="A114" i="12"/>
  <c r="A115" i="12"/>
  <c r="A116" i="12"/>
  <c r="A117" i="12"/>
  <c r="A118" i="12"/>
  <c r="A119" i="12"/>
  <c r="A120" i="12"/>
  <c r="A121" i="12"/>
  <c r="A122" i="12"/>
  <c r="A123" i="12"/>
  <c r="A124" i="12"/>
  <c r="A125" i="12"/>
  <c r="A126" i="12"/>
  <c r="A127" i="12"/>
  <c r="A128" i="12"/>
  <c r="A129" i="12"/>
  <c r="A130" i="12"/>
  <c r="A131" i="12"/>
  <c r="A132" i="12"/>
  <c r="A133" i="12"/>
  <c r="A134" i="12"/>
  <c r="A135" i="12"/>
  <c r="A136" i="12"/>
  <c r="A137" i="12"/>
  <c r="A138" i="12"/>
  <c r="A139" i="12"/>
  <c r="A140" i="12"/>
  <c r="A141" i="12"/>
  <c r="A142" i="12"/>
  <c r="A143" i="12"/>
  <c r="A144" i="12"/>
  <c r="A145" i="12"/>
  <c r="A146" i="12"/>
  <c r="A147" i="12"/>
  <c r="A148" i="12"/>
  <c r="A149" i="12"/>
  <c r="A150" i="12"/>
  <c r="A151" i="12"/>
  <c r="A152" i="12"/>
  <c r="A153" i="12"/>
  <c r="A154" i="12"/>
  <c r="A155" i="12"/>
  <c r="A156" i="12"/>
  <c r="A157" i="12"/>
  <c r="A158" i="12"/>
  <c r="A159" i="12"/>
  <c r="A160" i="12"/>
  <c r="A161" i="12"/>
  <c r="A162" i="12"/>
  <c r="A163" i="12"/>
  <c r="A164" i="12"/>
  <c r="A165" i="12"/>
  <c r="A166" i="12"/>
  <c r="A167" i="12"/>
  <c r="A168" i="12"/>
  <c r="A169" i="12"/>
  <c r="A170" i="12"/>
  <c r="A171" i="12"/>
  <c r="A172" i="12"/>
  <c r="A173" i="12"/>
  <c r="A174" i="12"/>
  <c r="A175" i="12"/>
  <c r="A176" i="12"/>
  <c r="A177" i="12"/>
  <c r="A178" i="12"/>
  <c r="A179" i="12"/>
  <c r="A180" i="12"/>
  <c r="A181" i="12"/>
  <c r="A182" i="12"/>
  <c r="A183" i="12"/>
  <c r="A184" i="12"/>
  <c r="A185" i="12"/>
  <c r="A186" i="12"/>
  <c r="A187" i="12"/>
  <c r="A188" i="12"/>
  <c r="A189" i="12"/>
  <c r="A190" i="12"/>
  <c r="A191" i="12"/>
  <c r="A192" i="12"/>
  <c r="A193" i="12"/>
  <c r="A194" i="12"/>
  <c r="A195" i="12"/>
  <c r="A196" i="12"/>
  <c r="A197" i="12"/>
  <c r="A198" i="12"/>
  <c r="A199" i="12"/>
  <c r="A200" i="12"/>
  <c r="A201" i="12"/>
  <c r="E17" i="18"/>
  <c r="D17" i="18"/>
  <c r="E16" i="18"/>
  <c r="D16" i="18"/>
  <c r="H1231" i="17"/>
  <c r="H551" i="17"/>
  <c r="H451" i="17"/>
  <c r="H351" i="17"/>
  <c r="H151" i="17"/>
  <c r="H52" i="17"/>
  <c r="F52" i="17"/>
  <c r="F53" i="17"/>
  <c r="F54" i="17"/>
  <c r="F55" i="17"/>
  <c r="F56" i="17"/>
  <c r="F57" i="17"/>
  <c r="F58" i="17"/>
  <c r="F59" i="17"/>
  <c r="F60" i="17"/>
  <c r="F61" i="17"/>
  <c r="F62" i="17"/>
  <c r="F63" i="17"/>
  <c r="F64" i="17"/>
  <c r="F65" i="17"/>
  <c r="F66" i="17"/>
  <c r="F67" i="17"/>
  <c r="F68" i="17"/>
  <c r="F69" i="17"/>
  <c r="F70" i="17"/>
  <c r="F71" i="17"/>
  <c r="F72" i="17"/>
  <c r="F73" i="17"/>
  <c r="F74" i="17"/>
  <c r="F75" i="17"/>
  <c r="F76" i="17"/>
  <c r="F77" i="17"/>
  <c r="F78" i="17"/>
  <c r="F79" i="17"/>
  <c r="F80" i="17"/>
  <c r="F81" i="17"/>
  <c r="F82" i="17"/>
  <c r="F83" i="17"/>
  <c r="F84" i="17"/>
  <c r="F85" i="17"/>
  <c r="F86" i="17"/>
  <c r="F87" i="17"/>
  <c r="F88" i="17"/>
  <c r="F89" i="17"/>
  <c r="F90" i="17"/>
  <c r="F91" i="17"/>
  <c r="F92" i="17"/>
  <c r="F93" i="17"/>
  <c r="F94" i="17"/>
  <c r="F95" i="17"/>
  <c r="F96" i="17"/>
  <c r="F97" i="17"/>
  <c r="F98" i="17"/>
  <c r="F99" i="17"/>
  <c r="F100" i="17"/>
  <c r="F151" i="17"/>
  <c r="F152" i="17"/>
  <c r="F153" i="17"/>
  <c r="F154" i="17"/>
  <c r="F155" i="17"/>
  <c r="F156" i="17"/>
  <c r="F157" i="17"/>
  <c r="F158" i="17"/>
  <c r="F159" i="17"/>
  <c r="F160" i="17"/>
  <c r="F161" i="17"/>
  <c r="F162" i="17"/>
  <c r="F163" i="17"/>
  <c r="F164" i="17"/>
  <c r="F165" i="17"/>
  <c r="F166" i="17"/>
  <c r="F167" i="17"/>
  <c r="F168" i="17"/>
  <c r="F169" i="17"/>
  <c r="F170" i="17"/>
  <c r="F171" i="17"/>
  <c r="F172" i="17"/>
  <c r="F173" i="17"/>
  <c r="F174" i="17"/>
  <c r="F175" i="17"/>
  <c r="F176" i="17"/>
  <c r="F177" i="17"/>
  <c r="F178" i="17"/>
  <c r="F179" i="17"/>
  <c r="F180" i="17"/>
  <c r="F181" i="17"/>
  <c r="F182" i="17"/>
  <c r="F183" i="17"/>
  <c r="F184" i="17"/>
  <c r="F185" i="17"/>
  <c r="F186" i="17"/>
  <c r="F187" i="17"/>
  <c r="F188" i="17"/>
  <c r="F189" i="17"/>
  <c r="F190" i="17"/>
  <c r="F191" i="17"/>
  <c r="F192" i="17"/>
  <c r="F193" i="17"/>
  <c r="F194" i="17"/>
  <c r="F195" i="17"/>
  <c r="F196" i="17"/>
  <c r="F197" i="17"/>
  <c r="F198" i="17"/>
  <c r="F199" i="17"/>
  <c r="F200" i="17"/>
  <c r="F252" i="17"/>
  <c r="F253" i="17"/>
  <c r="F254" i="17"/>
  <c r="F255" i="17"/>
  <c r="F256" i="17"/>
  <c r="F257" i="17"/>
  <c r="F258" i="17"/>
  <c r="F259" i="17"/>
  <c r="F260" i="17"/>
  <c r="F261" i="17"/>
  <c r="F262" i="17"/>
  <c r="F263" i="17"/>
  <c r="F264" i="17"/>
  <c r="F265" i="17"/>
  <c r="F266" i="17"/>
  <c r="F267" i="17"/>
  <c r="F268" i="17"/>
  <c r="F269" i="17"/>
  <c r="F270" i="17"/>
  <c r="F271" i="17"/>
  <c r="F272" i="17"/>
  <c r="F273" i="17"/>
  <c r="F274" i="17"/>
  <c r="F275" i="17"/>
  <c r="F276" i="17"/>
  <c r="F277" i="17"/>
  <c r="F278" i="17"/>
  <c r="F279" i="17"/>
  <c r="F280" i="17"/>
  <c r="F281" i="17"/>
  <c r="F282" i="17"/>
  <c r="F283" i="17"/>
  <c r="F284" i="17"/>
  <c r="F285" i="17"/>
  <c r="F286" i="17"/>
  <c r="F287" i="17"/>
  <c r="F288" i="17"/>
  <c r="F289" i="17"/>
  <c r="F290" i="17"/>
  <c r="F291" i="17"/>
  <c r="F292" i="17"/>
  <c r="F293" i="17"/>
  <c r="F294" i="17"/>
  <c r="F295" i="17"/>
  <c r="F296" i="17"/>
  <c r="F297" i="17"/>
  <c r="F298" i="17"/>
  <c r="F299" i="17"/>
  <c r="F300" i="17"/>
  <c r="F351" i="17"/>
  <c r="F352" i="17"/>
  <c r="F353" i="17"/>
  <c r="F354" i="17"/>
  <c r="F355" i="17"/>
  <c r="F356" i="17"/>
  <c r="F357" i="17"/>
  <c r="F358" i="17"/>
  <c r="F359" i="17"/>
  <c r="F360" i="17"/>
  <c r="F361" i="17"/>
  <c r="F362" i="17"/>
  <c r="F363" i="17"/>
  <c r="F364" i="17"/>
  <c r="F365" i="17"/>
  <c r="F366" i="17"/>
  <c r="F367" i="17"/>
  <c r="F368" i="17"/>
  <c r="F369" i="17"/>
  <c r="F370" i="17"/>
  <c r="F371" i="17"/>
  <c r="F372" i="17"/>
  <c r="F373" i="17"/>
  <c r="F374" i="17"/>
  <c r="F375" i="17"/>
  <c r="F376" i="17"/>
  <c r="F377" i="17"/>
  <c r="F378" i="17"/>
  <c r="F379" i="17"/>
  <c r="F380" i="17"/>
  <c r="F381" i="17"/>
  <c r="F382" i="17"/>
  <c r="F383" i="17"/>
  <c r="F384" i="17"/>
  <c r="F385" i="17"/>
  <c r="F386" i="17"/>
  <c r="F387" i="17"/>
  <c r="F388" i="17"/>
  <c r="F389" i="17"/>
  <c r="F390" i="17"/>
  <c r="F391" i="17"/>
  <c r="F392" i="17"/>
  <c r="F393" i="17"/>
  <c r="F394" i="17"/>
  <c r="F395" i="17"/>
  <c r="F396" i="17"/>
  <c r="F397" i="17"/>
  <c r="F398" i="17"/>
  <c r="F399" i="17"/>
  <c r="F400" i="17"/>
  <c r="F451" i="17"/>
  <c r="F452" i="17"/>
  <c r="F453" i="17"/>
  <c r="F454" i="17"/>
  <c r="F455" i="17"/>
  <c r="F456" i="17"/>
  <c r="F457" i="17"/>
  <c r="F458" i="17"/>
  <c r="F459" i="17"/>
  <c r="F460" i="17"/>
  <c r="F461" i="17"/>
  <c r="F462" i="17"/>
  <c r="F463" i="17"/>
  <c r="F464" i="17"/>
  <c r="F465" i="17"/>
  <c r="F466" i="17"/>
  <c r="F467" i="17"/>
  <c r="F468" i="17"/>
  <c r="F469" i="17"/>
  <c r="F470" i="17"/>
  <c r="F471" i="17"/>
  <c r="F472" i="17"/>
  <c r="F473" i="17"/>
  <c r="F474" i="17"/>
  <c r="F475" i="17"/>
  <c r="F476" i="17"/>
  <c r="F477" i="17"/>
  <c r="F478" i="17"/>
  <c r="F479" i="17"/>
  <c r="F480" i="17"/>
  <c r="F481" i="17"/>
  <c r="F482" i="17"/>
  <c r="F483" i="17"/>
  <c r="F484" i="17"/>
  <c r="F485" i="17"/>
  <c r="F486" i="17"/>
  <c r="F487" i="17"/>
  <c r="F488" i="17"/>
  <c r="F489" i="17"/>
  <c r="F490" i="17"/>
  <c r="F491" i="17"/>
  <c r="F492" i="17"/>
  <c r="F493" i="17"/>
  <c r="F494" i="17"/>
  <c r="F495" i="17"/>
  <c r="F496" i="17"/>
  <c r="F497" i="17"/>
  <c r="F498" i="17"/>
  <c r="F499" i="17"/>
  <c r="F500" i="17"/>
  <c r="F551" i="17"/>
  <c r="F552" i="17"/>
  <c r="F553" i="17"/>
  <c r="F554" i="17"/>
  <c r="F555" i="17"/>
  <c r="F556" i="17"/>
  <c r="F557" i="17"/>
  <c r="F558" i="17"/>
  <c r="F559" i="17"/>
  <c r="F560" i="17"/>
  <c r="F561" i="17"/>
  <c r="F562" i="17"/>
  <c r="F563" i="17"/>
  <c r="F564" i="17"/>
  <c r="F565" i="17"/>
  <c r="F566" i="17"/>
  <c r="F567" i="17"/>
  <c r="F568" i="17"/>
  <c r="F569" i="17"/>
  <c r="F570" i="17"/>
  <c r="F571" i="17"/>
  <c r="F572" i="17"/>
  <c r="F573" i="17"/>
  <c r="F574" i="17"/>
  <c r="F575" i="17"/>
  <c r="F576" i="17"/>
  <c r="F577" i="17"/>
  <c r="F578" i="17"/>
  <c r="F579" i="17"/>
  <c r="F580" i="17"/>
  <c r="F581" i="17"/>
  <c r="F582" i="17"/>
  <c r="F583" i="17"/>
  <c r="F584" i="17"/>
  <c r="F585" i="17"/>
  <c r="F586" i="17"/>
  <c r="F587" i="17"/>
  <c r="F588" i="17"/>
  <c r="F589" i="17"/>
  <c r="F590" i="17"/>
  <c r="F591" i="17"/>
  <c r="F592" i="17"/>
  <c r="F593" i="17"/>
  <c r="F594" i="17"/>
  <c r="F595" i="17"/>
  <c r="F596" i="17"/>
  <c r="F597" i="17"/>
  <c r="F598" i="17"/>
  <c r="F599" i="17"/>
  <c r="F601" i="17"/>
  <c r="F602" i="17"/>
  <c r="F603" i="17"/>
  <c r="F604" i="17"/>
  <c r="F605" i="17"/>
  <c r="F606" i="17"/>
  <c r="F607" i="17"/>
  <c r="F608" i="17"/>
  <c r="F609" i="17"/>
  <c r="F610" i="17"/>
  <c r="F611" i="17"/>
  <c r="F612" i="17"/>
  <c r="F613" i="17"/>
  <c r="F614" i="17"/>
  <c r="F615" i="17"/>
  <c r="F616" i="17"/>
  <c r="F617" i="17"/>
  <c r="F618" i="17"/>
  <c r="F619" i="17"/>
  <c r="F620" i="17"/>
  <c r="F621" i="17"/>
  <c r="F622" i="17"/>
  <c r="F623" i="17"/>
  <c r="F624" i="17"/>
  <c r="F625" i="17"/>
  <c r="F626" i="17"/>
  <c r="F627" i="17"/>
  <c r="F628" i="17"/>
  <c r="F629" i="17"/>
  <c r="F630" i="17"/>
  <c r="F631" i="17"/>
  <c r="F632" i="17"/>
  <c r="F633" i="17"/>
  <c r="F634" i="17"/>
  <c r="F635" i="17"/>
  <c r="F636" i="17"/>
  <c r="F637" i="17"/>
  <c r="F638" i="17"/>
  <c r="F639" i="17"/>
  <c r="F640" i="17"/>
  <c r="F641" i="17"/>
  <c r="F642" i="17"/>
  <c r="F643" i="17"/>
  <c r="F644" i="17"/>
  <c r="F645" i="17"/>
  <c r="F646" i="17"/>
  <c r="F647" i="17"/>
  <c r="F648" i="17"/>
  <c r="F649" i="17"/>
  <c r="F650" i="17"/>
  <c r="F651" i="17"/>
  <c r="F652" i="17"/>
  <c r="F653" i="17"/>
  <c r="F654" i="17"/>
  <c r="F655" i="17"/>
  <c r="F656" i="17"/>
  <c r="F657" i="17"/>
  <c r="F658" i="17"/>
  <c r="F659" i="17"/>
  <c r="F660" i="17"/>
  <c r="F661" i="17"/>
  <c r="F662" i="17"/>
  <c r="F663" i="17"/>
  <c r="F664" i="17"/>
  <c r="F665" i="17"/>
  <c r="F666" i="17"/>
  <c r="F667" i="17"/>
  <c r="F668" i="17"/>
  <c r="F669" i="17"/>
  <c r="F670" i="17"/>
  <c r="F671" i="17"/>
  <c r="F672" i="17"/>
  <c r="F673" i="17"/>
  <c r="F674" i="17"/>
  <c r="F675" i="17"/>
  <c r="F676" i="17"/>
  <c r="F677" i="17"/>
  <c r="F678" i="17"/>
  <c r="F679" i="17"/>
  <c r="F680" i="17"/>
  <c r="F681" i="17"/>
  <c r="F682" i="17"/>
  <c r="F683" i="17"/>
  <c r="F684" i="17"/>
  <c r="F685" i="17"/>
  <c r="F686" i="17"/>
  <c r="F687" i="17"/>
  <c r="F688" i="17"/>
  <c r="F689" i="17"/>
  <c r="F690" i="17"/>
  <c r="F691" i="17"/>
  <c r="F692" i="17"/>
  <c r="F693" i="17"/>
  <c r="F694" i="17"/>
  <c r="F695" i="17"/>
  <c r="F696" i="17"/>
  <c r="F697" i="17"/>
  <c r="F698" i="17"/>
  <c r="F699" i="17"/>
  <c r="F700" i="17"/>
  <c r="F701" i="17"/>
  <c r="F702" i="17"/>
  <c r="F703" i="17"/>
  <c r="F704" i="17"/>
  <c r="F705" i="17"/>
  <c r="F706" i="17"/>
  <c r="F707" i="17"/>
  <c r="F708" i="17"/>
  <c r="F709" i="17"/>
  <c r="F710" i="17"/>
  <c r="F711" i="17"/>
  <c r="F712" i="17"/>
  <c r="F713" i="17"/>
  <c r="F714" i="17"/>
  <c r="F715" i="17"/>
  <c r="F716" i="17"/>
  <c r="F717" i="17"/>
  <c r="F718" i="17"/>
  <c r="F719" i="17"/>
  <c r="F720" i="17"/>
  <c r="F721" i="17"/>
  <c r="F722" i="17"/>
  <c r="F723" i="17"/>
  <c r="F724" i="17"/>
  <c r="F725" i="17"/>
  <c r="F726" i="17"/>
  <c r="F727" i="17"/>
  <c r="F728" i="17"/>
  <c r="F729" i="17"/>
  <c r="F730" i="17"/>
  <c r="F731" i="17"/>
  <c r="F732" i="17"/>
  <c r="F733" i="17"/>
  <c r="F734" i="17"/>
  <c r="F735" i="17"/>
  <c r="F736" i="17"/>
  <c r="F737" i="17"/>
  <c r="F738" i="17"/>
  <c r="F739" i="17"/>
  <c r="F740" i="17"/>
  <c r="F741" i="17"/>
  <c r="F742" i="17"/>
  <c r="F743" i="17"/>
  <c r="F744" i="17"/>
  <c r="F745" i="17"/>
  <c r="F746" i="17"/>
  <c r="F747" i="17"/>
  <c r="F748" i="17"/>
  <c r="F749" i="17"/>
  <c r="F750" i="17"/>
  <c r="F751" i="17"/>
  <c r="F752" i="17"/>
  <c r="F753" i="17"/>
  <c r="F754" i="17"/>
  <c r="F755" i="17"/>
  <c r="F756" i="17"/>
  <c r="F757" i="17"/>
  <c r="F758" i="17"/>
  <c r="F759" i="17"/>
  <c r="F760" i="17"/>
  <c r="F761" i="17"/>
  <c r="F762" i="17"/>
  <c r="F763" i="17"/>
  <c r="F764" i="17"/>
  <c r="F765" i="17"/>
  <c r="F766" i="17"/>
  <c r="F767" i="17"/>
  <c r="F768" i="17"/>
  <c r="F769" i="17"/>
  <c r="F770" i="17"/>
  <c r="F771" i="17"/>
  <c r="F772" i="17"/>
  <c r="F773" i="17"/>
  <c r="F774" i="17"/>
  <c r="F775" i="17"/>
  <c r="F776" i="17"/>
  <c r="F777" i="17"/>
  <c r="F778" i="17"/>
  <c r="F779" i="17"/>
  <c r="F780" i="17"/>
  <c r="F831" i="17"/>
  <c r="F832" i="17"/>
  <c r="F833" i="17"/>
  <c r="F834" i="17"/>
  <c r="F835" i="17"/>
  <c r="F836" i="17"/>
  <c r="F837" i="17"/>
  <c r="F838" i="17"/>
  <c r="F839" i="17"/>
  <c r="F840" i="17"/>
  <c r="F841" i="17"/>
  <c r="F842" i="17"/>
  <c r="F843" i="17"/>
  <c r="F844" i="17"/>
  <c r="F845" i="17"/>
  <c r="F846" i="17"/>
  <c r="F847" i="17"/>
  <c r="F848" i="17"/>
  <c r="F849" i="17"/>
  <c r="F850" i="17"/>
  <c r="F851" i="17"/>
  <c r="F852" i="17"/>
  <c r="F853" i="17"/>
  <c r="F854" i="17"/>
  <c r="F855" i="17"/>
  <c r="F856" i="17"/>
  <c r="F857" i="17"/>
  <c r="F858" i="17"/>
  <c r="F859" i="17"/>
  <c r="F860" i="17"/>
  <c r="F861" i="17"/>
  <c r="F862" i="17"/>
  <c r="F863" i="17"/>
  <c r="F864" i="17"/>
  <c r="F865" i="17"/>
  <c r="F866" i="17"/>
  <c r="F867" i="17"/>
  <c r="F868" i="17"/>
  <c r="F869" i="17"/>
  <c r="F870" i="17"/>
  <c r="F871" i="17"/>
  <c r="F872" i="17"/>
  <c r="F873" i="17"/>
  <c r="F874" i="17"/>
  <c r="F875" i="17"/>
  <c r="F876" i="17"/>
  <c r="F877" i="17"/>
  <c r="F878" i="17"/>
  <c r="F879" i="17"/>
  <c r="F880" i="17"/>
  <c r="F935" i="17"/>
  <c r="F936" i="17"/>
  <c r="F937" i="17"/>
  <c r="F938" i="17"/>
  <c r="F939" i="17"/>
  <c r="F940" i="17"/>
  <c r="F941" i="17"/>
  <c r="F942" i="17"/>
  <c r="F943" i="17"/>
  <c r="F944" i="17"/>
  <c r="F945" i="17"/>
  <c r="F946" i="17"/>
  <c r="F947" i="17"/>
  <c r="F948" i="17"/>
  <c r="F949" i="17"/>
  <c r="F950" i="17"/>
  <c r="F951" i="17"/>
  <c r="F952" i="17"/>
  <c r="F953" i="17"/>
  <c r="F954" i="17"/>
  <c r="F955" i="17"/>
  <c r="F956" i="17"/>
  <c r="F957" i="17"/>
  <c r="F958" i="17"/>
  <c r="F959" i="17"/>
  <c r="F960" i="17"/>
  <c r="F961" i="17"/>
  <c r="F962" i="17"/>
  <c r="F963" i="17"/>
  <c r="F964" i="17"/>
  <c r="F965" i="17"/>
  <c r="F966" i="17"/>
  <c r="F967" i="17"/>
  <c r="F968" i="17"/>
  <c r="F969" i="17"/>
  <c r="F970" i="17"/>
  <c r="F971" i="17"/>
  <c r="F972" i="17"/>
  <c r="F973" i="17"/>
  <c r="F974" i="17"/>
  <c r="F975" i="17"/>
  <c r="F976" i="17"/>
  <c r="F977" i="17"/>
  <c r="F978" i="17"/>
  <c r="F979" i="17"/>
  <c r="F980" i="17"/>
  <c r="F981" i="17"/>
  <c r="F982" i="17"/>
  <c r="F983" i="17"/>
  <c r="F984" i="17"/>
  <c r="F985" i="17"/>
  <c r="F986" i="17"/>
  <c r="F987" i="17"/>
  <c r="F988" i="17"/>
  <c r="F989" i="17"/>
  <c r="F990" i="17"/>
  <c r="F991" i="17"/>
  <c r="F992" i="17"/>
  <c r="F993" i="17"/>
  <c r="F994" i="17"/>
  <c r="F995" i="17"/>
  <c r="F996" i="17"/>
  <c r="F997" i="17"/>
  <c r="F998" i="17"/>
  <c r="F999" i="17"/>
  <c r="F1000" i="17"/>
  <c r="F1001" i="17"/>
  <c r="F1002" i="17"/>
  <c r="F1003" i="17"/>
  <c r="F1004" i="17"/>
  <c r="F1005" i="17"/>
  <c r="F1006" i="17"/>
  <c r="F1007" i="17"/>
  <c r="F1008" i="17"/>
  <c r="F1009" i="17"/>
  <c r="F1010" i="17"/>
  <c r="F1011" i="17"/>
  <c r="F1012" i="17"/>
  <c r="F1013" i="17"/>
  <c r="F1014" i="17"/>
  <c r="F1015" i="17"/>
  <c r="F1016" i="17"/>
  <c r="F1017" i="17"/>
  <c r="F1018" i="17"/>
  <c r="F1019" i="17"/>
  <c r="F1020" i="17"/>
  <c r="F1021" i="17"/>
  <c r="F1022" i="17"/>
  <c r="F1023" i="17"/>
  <c r="F1024" i="17"/>
  <c r="F1025" i="17"/>
  <c r="F1026" i="17"/>
  <c r="F1027" i="17"/>
  <c r="F1028" i="17"/>
  <c r="F1029" i="17"/>
  <c r="F1030" i="17"/>
  <c r="F1031" i="17"/>
  <c r="F1032" i="17"/>
  <c r="F1033" i="17"/>
  <c r="F1034" i="17"/>
  <c r="F1035" i="17"/>
  <c r="F1036" i="17"/>
  <c r="F1037" i="17"/>
  <c r="F1038" i="17"/>
  <c r="F1039" i="17"/>
  <c r="F1040" i="17"/>
  <c r="F1041" i="17"/>
  <c r="F1042" i="17"/>
  <c r="F1043" i="17"/>
  <c r="F1044" i="17"/>
  <c r="F1045" i="17"/>
  <c r="F1046" i="17"/>
  <c r="F1047" i="17"/>
  <c r="F1048" i="17"/>
  <c r="F1049" i="17"/>
  <c r="F1050" i="17"/>
  <c r="F1051" i="17"/>
  <c r="F1052" i="17"/>
  <c r="F1053" i="17"/>
  <c r="F1054" i="17"/>
  <c r="F1055" i="17"/>
  <c r="F1056" i="17"/>
  <c r="F1057" i="17"/>
  <c r="F1058" i="17"/>
  <c r="F1059" i="17"/>
  <c r="F1060" i="17"/>
  <c r="F1061" i="17"/>
  <c r="F1062" i="17"/>
  <c r="F1063" i="17"/>
  <c r="F1064" i="17"/>
  <c r="F1065" i="17"/>
  <c r="F1066" i="17"/>
  <c r="F1067" i="17"/>
  <c r="F1068" i="17"/>
  <c r="F1069" i="17"/>
  <c r="F1070" i="17"/>
  <c r="F1071" i="17"/>
  <c r="F1072" i="17"/>
  <c r="F1073" i="17"/>
  <c r="F1074" i="17"/>
  <c r="F1075" i="17"/>
  <c r="F1076" i="17"/>
  <c r="F1077" i="17"/>
  <c r="F1078" i="17"/>
  <c r="F1079" i="17"/>
  <c r="F1080" i="17"/>
  <c r="F1081" i="17"/>
  <c r="F1082" i="17"/>
  <c r="F1083" i="17"/>
  <c r="F1084" i="17"/>
  <c r="F1085" i="17"/>
  <c r="F1086" i="17"/>
  <c r="F1087" i="17"/>
  <c r="F1088" i="17"/>
  <c r="F1089" i="17"/>
  <c r="F1090" i="17"/>
  <c r="F1091" i="17"/>
  <c r="F1092" i="17"/>
  <c r="F1093" i="17"/>
  <c r="F1094" i="17"/>
  <c r="F1095" i="17"/>
  <c r="F1096" i="17"/>
  <c r="F1097" i="17"/>
  <c r="F1098" i="17"/>
  <c r="F1099" i="17"/>
  <c r="F1100" i="17"/>
  <c r="F1101" i="17"/>
  <c r="F1102" i="17"/>
  <c r="F1103" i="17"/>
  <c r="F1104" i="17"/>
  <c r="F1105" i="17"/>
  <c r="F1106" i="17"/>
  <c r="F1107" i="17"/>
  <c r="F1108" i="17"/>
  <c r="F1109" i="17"/>
  <c r="F1110" i="17"/>
  <c r="F1111" i="17"/>
  <c r="F1112" i="17"/>
  <c r="F1113" i="17"/>
  <c r="F1114" i="17"/>
  <c r="F1115" i="17"/>
  <c r="F1116" i="17"/>
  <c r="F1117" i="17"/>
  <c r="F1118" i="17"/>
  <c r="F1119" i="17"/>
  <c r="F1120" i="17"/>
  <c r="F1121" i="17"/>
  <c r="F1122" i="17"/>
  <c r="F1123" i="17"/>
  <c r="F1124" i="17"/>
  <c r="F1125" i="17"/>
  <c r="F1126" i="17"/>
  <c r="F1127" i="17"/>
  <c r="F1128" i="17"/>
  <c r="F1129" i="17"/>
  <c r="F1130" i="17"/>
  <c r="F1131" i="17"/>
  <c r="F1132" i="17"/>
  <c r="F1133" i="17"/>
  <c r="F1134" i="17"/>
  <c r="F1135" i="17"/>
  <c r="F1136" i="17"/>
  <c r="F1137" i="17"/>
  <c r="F1138" i="17"/>
  <c r="F1139" i="17"/>
  <c r="F1140" i="17"/>
  <c r="F1141" i="17"/>
  <c r="F1142" i="17"/>
  <c r="F1143" i="17"/>
  <c r="F1144" i="17"/>
  <c r="F1145" i="17"/>
  <c r="F1146" i="17"/>
  <c r="F1147" i="17"/>
  <c r="F1148" i="17"/>
  <c r="F1149" i="17"/>
  <c r="F1150" i="17"/>
  <c r="F1151" i="17"/>
  <c r="F1152" i="17"/>
  <c r="F1153" i="17"/>
  <c r="F1154" i="17"/>
  <c r="F1155" i="17"/>
  <c r="F1156" i="17"/>
  <c r="F1157" i="17"/>
  <c r="F1158" i="17"/>
  <c r="F1159" i="17"/>
  <c r="F1160" i="17"/>
  <c r="F1161" i="17"/>
  <c r="F1162" i="17"/>
  <c r="F1163" i="17"/>
  <c r="F1164" i="17"/>
  <c r="F1165" i="17"/>
  <c r="F1166" i="17"/>
  <c r="F1167" i="17"/>
  <c r="F1168" i="17"/>
  <c r="F1169" i="17"/>
  <c r="F1170" i="17"/>
  <c r="F1171" i="17"/>
  <c r="F1172" i="17"/>
  <c r="F1173" i="17"/>
  <c r="F1174" i="17"/>
  <c r="F1175" i="17"/>
  <c r="F1176" i="17"/>
  <c r="F1177" i="17"/>
  <c r="F1178" i="17"/>
  <c r="F1179" i="17"/>
  <c r="F1180" i="17"/>
  <c r="F1231" i="17"/>
  <c r="F1232" i="17"/>
  <c r="F1233" i="17"/>
  <c r="F1234" i="17"/>
  <c r="F1235" i="17"/>
  <c r="F1236" i="17"/>
  <c r="F1237" i="17"/>
  <c r="F1238" i="17"/>
  <c r="F1239" i="17"/>
  <c r="F1240" i="17"/>
  <c r="F1241" i="17"/>
  <c r="F1242" i="17"/>
  <c r="F1243" i="17"/>
  <c r="F1244" i="17"/>
  <c r="F1245" i="17"/>
  <c r="F1246" i="17"/>
  <c r="F1247" i="17"/>
  <c r="F1248" i="17"/>
  <c r="F1249" i="17"/>
  <c r="F1250" i="17"/>
  <c r="F1251" i="17"/>
  <c r="F1252" i="17"/>
  <c r="F1253" i="17"/>
  <c r="F1254" i="17"/>
  <c r="F1255" i="17"/>
  <c r="F1256" i="17"/>
  <c r="F1257" i="17"/>
  <c r="F1258" i="17"/>
  <c r="F1259" i="17"/>
  <c r="F1260" i="17"/>
  <c r="F1261" i="17"/>
  <c r="F1262" i="17"/>
  <c r="F1263" i="17"/>
  <c r="F1264" i="17"/>
  <c r="F1265" i="17"/>
  <c r="F1266" i="17"/>
  <c r="F1267" i="17"/>
  <c r="F1268" i="17"/>
  <c r="F1269" i="17"/>
  <c r="F1270" i="17"/>
  <c r="F1271" i="17"/>
  <c r="F1272" i="17"/>
  <c r="F1273" i="17"/>
  <c r="F1274" i="17"/>
  <c r="F1275" i="17"/>
  <c r="F1276" i="17"/>
  <c r="F1277" i="17"/>
  <c r="F1278" i="17"/>
  <c r="F1279" i="17"/>
  <c r="F1280" i="17"/>
  <c r="F1331" i="17"/>
  <c r="F1332" i="17"/>
  <c r="F1333" i="17"/>
  <c r="F1334" i="17"/>
  <c r="F1335" i="17"/>
  <c r="F1336" i="17"/>
  <c r="F1337" i="17"/>
  <c r="F1338" i="17"/>
  <c r="F1339" i="17"/>
  <c r="F1340" i="17"/>
  <c r="F1341" i="17"/>
  <c r="F1342" i="17"/>
  <c r="F1343" i="17"/>
  <c r="F1344" i="17"/>
  <c r="F1345" i="17"/>
  <c r="F1346" i="17"/>
  <c r="F1347" i="17"/>
  <c r="F1348" i="17"/>
  <c r="F1349" i="17"/>
  <c r="F1350" i="17"/>
  <c r="F1351" i="17"/>
  <c r="F1352" i="17"/>
  <c r="F1353" i="17"/>
  <c r="F1354" i="17"/>
  <c r="F1355" i="17"/>
  <c r="F1356" i="17"/>
  <c r="F1357" i="17"/>
  <c r="F1358" i="17"/>
  <c r="F1359" i="17"/>
  <c r="F1360" i="17"/>
  <c r="F1361" i="17"/>
  <c r="F1362" i="17"/>
  <c r="F1363" i="17"/>
  <c r="F1364" i="17"/>
  <c r="F1365" i="17"/>
  <c r="F1366" i="17"/>
  <c r="F1367" i="17"/>
  <c r="F1368" i="17"/>
  <c r="F1369" i="17"/>
  <c r="F1370" i="17"/>
  <c r="F1371" i="17"/>
  <c r="F1372" i="17"/>
  <c r="F1373" i="17"/>
  <c r="F1374" i="17"/>
  <c r="F1375" i="17"/>
  <c r="F1376" i="17"/>
  <c r="F1377" i="17"/>
  <c r="F1378" i="17"/>
  <c r="F1379" i="17"/>
  <c r="F1380" i="17"/>
  <c r="F1431" i="17"/>
  <c r="F1432" i="17"/>
  <c r="F1433" i="17"/>
  <c r="F1434" i="17"/>
  <c r="F1435" i="17"/>
  <c r="F1436" i="17"/>
  <c r="F1437" i="17"/>
  <c r="F1438" i="17"/>
  <c r="F1439" i="17"/>
  <c r="F1440" i="17"/>
  <c r="F1441" i="17"/>
  <c r="F1442" i="17"/>
  <c r="F1443" i="17"/>
  <c r="F1444" i="17"/>
  <c r="F1445" i="17"/>
  <c r="F1446" i="17"/>
  <c r="F1447" i="17"/>
  <c r="F1448" i="17"/>
  <c r="F1449" i="17"/>
  <c r="F1450" i="17"/>
  <c r="F1451" i="17"/>
  <c r="F1452" i="17"/>
  <c r="F1453" i="17"/>
  <c r="F1454" i="17"/>
  <c r="F1455" i="17"/>
  <c r="F1456" i="17"/>
  <c r="F1457" i="17"/>
  <c r="F1458" i="17"/>
  <c r="F1459" i="17"/>
  <c r="F1460" i="17"/>
  <c r="F1461" i="17"/>
  <c r="F1462" i="17"/>
  <c r="F1463" i="17"/>
  <c r="F1464" i="17"/>
  <c r="F1465" i="17"/>
  <c r="F1466" i="17"/>
  <c r="F1467" i="17"/>
  <c r="F1468" i="17"/>
  <c r="F1469" i="17"/>
  <c r="F1470" i="17"/>
  <c r="F1471" i="17"/>
  <c r="F1472" i="17"/>
  <c r="F1473" i="17"/>
  <c r="F1474" i="17"/>
  <c r="F1475" i="17"/>
  <c r="F1476" i="17"/>
  <c r="F1477" i="17"/>
  <c r="F1478" i="17"/>
  <c r="F1479" i="17"/>
  <c r="F1480" i="17"/>
  <c r="F1531" i="17"/>
  <c r="F1532" i="17"/>
  <c r="F1533" i="17"/>
  <c r="F1534" i="17"/>
  <c r="F1535" i="17"/>
  <c r="F1536" i="17"/>
  <c r="F1537" i="17"/>
  <c r="F1538" i="17"/>
  <c r="F1539" i="17"/>
  <c r="F1540" i="17"/>
  <c r="F1541" i="17"/>
  <c r="F1542" i="17"/>
  <c r="F1543" i="17"/>
  <c r="F1544" i="17"/>
  <c r="F1545" i="17"/>
  <c r="F1546" i="17"/>
  <c r="F1547" i="17"/>
  <c r="F1548" i="17"/>
  <c r="F1549" i="17"/>
  <c r="F1550" i="17"/>
  <c r="F1551" i="17"/>
  <c r="F1552" i="17"/>
  <c r="F1553" i="17"/>
  <c r="F1554" i="17"/>
  <c r="F1555" i="17"/>
  <c r="F1556" i="17"/>
  <c r="F1557" i="17"/>
  <c r="F1558" i="17"/>
  <c r="F1559" i="17"/>
  <c r="F1560" i="17"/>
  <c r="F1561" i="17"/>
  <c r="F1562" i="17"/>
  <c r="F1563" i="17"/>
  <c r="F1564" i="17"/>
  <c r="F1565" i="17"/>
  <c r="F1566" i="17"/>
  <c r="F1567" i="17"/>
  <c r="F1568" i="17"/>
  <c r="F1569" i="17"/>
  <c r="F1570" i="17"/>
  <c r="F1571" i="17"/>
  <c r="F1572" i="17"/>
  <c r="F1573" i="17"/>
  <c r="F1574" i="17"/>
  <c r="F1575" i="17"/>
  <c r="F1576" i="17"/>
  <c r="F1577" i="17"/>
  <c r="F1578" i="17"/>
  <c r="F1579" i="17"/>
  <c r="F1580" i="17"/>
  <c r="F1631" i="17"/>
  <c r="F1632" i="17"/>
  <c r="F1633" i="17"/>
  <c r="F1634" i="17"/>
  <c r="F1635" i="17"/>
  <c r="F1636" i="17"/>
  <c r="F1637" i="17"/>
  <c r="F1638" i="17"/>
  <c r="F1639" i="17"/>
  <c r="F1640" i="17"/>
  <c r="F1641" i="17"/>
  <c r="F1642" i="17"/>
  <c r="F1643" i="17"/>
  <c r="F1644" i="17"/>
  <c r="F1645" i="17"/>
  <c r="F1646" i="17"/>
  <c r="F1647" i="17"/>
  <c r="F1648" i="17"/>
  <c r="F1649" i="17"/>
  <c r="F1650" i="17"/>
  <c r="F1651" i="17"/>
  <c r="F1652" i="17"/>
  <c r="F1653" i="17"/>
  <c r="F1654" i="17"/>
  <c r="F1655" i="17"/>
  <c r="F1656" i="17"/>
  <c r="F1657" i="17"/>
  <c r="F1658" i="17"/>
  <c r="F1659" i="17"/>
  <c r="F1660" i="17"/>
  <c r="F1661" i="17"/>
  <c r="F1662" i="17"/>
  <c r="F1663" i="17"/>
  <c r="F1664" i="17"/>
  <c r="F1665" i="17"/>
  <c r="F1666" i="17"/>
  <c r="F1667" i="17"/>
  <c r="F1668" i="17"/>
  <c r="F1669" i="17"/>
  <c r="F1670" i="17"/>
  <c r="F1671" i="17"/>
  <c r="F1672" i="17"/>
  <c r="F1673" i="17"/>
  <c r="F1674" i="17"/>
  <c r="F1675" i="17"/>
  <c r="F1676" i="17"/>
  <c r="F1677" i="17"/>
  <c r="F1678" i="17"/>
  <c r="F1679" i="17"/>
  <c r="F1680" i="17"/>
  <c r="F1731" i="17"/>
  <c r="F1732" i="17"/>
  <c r="F1733" i="17"/>
  <c r="F1734" i="17"/>
  <c r="F1735" i="17"/>
  <c r="F1736" i="17"/>
  <c r="F1737" i="17"/>
  <c r="F1738" i="17"/>
  <c r="F1739" i="17"/>
  <c r="F1740" i="17"/>
  <c r="F1741" i="17"/>
  <c r="F1742" i="17"/>
  <c r="F1743" i="17"/>
  <c r="F1744" i="17"/>
  <c r="F1745" i="17"/>
  <c r="F1746" i="17"/>
  <c r="F1747" i="17"/>
  <c r="F1748" i="17"/>
  <c r="F1749" i="17"/>
  <c r="F1750" i="17"/>
  <c r="F1751" i="17"/>
  <c r="F1752" i="17"/>
  <c r="F1753" i="17"/>
  <c r="F1754" i="17"/>
  <c r="F1755" i="17"/>
  <c r="F1756" i="17"/>
  <c r="F1757" i="17"/>
  <c r="F1758" i="17"/>
  <c r="F1759" i="17"/>
  <c r="F1760" i="17"/>
  <c r="F1761" i="17"/>
  <c r="F1762" i="17"/>
  <c r="F1763" i="17"/>
  <c r="F1764" i="17"/>
  <c r="F1765" i="17"/>
  <c r="F1766" i="17"/>
  <c r="F1767" i="17"/>
  <c r="F1768" i="17"/>
  <c r="F1769" i="17"/>
  <c r="F1770" i="17"/>
  <c r="F1771" i="17"/>
  <c r="F1772" i="17"/>
  <c r="F1773" i="17"/>
  <c r="F1774" i="17"/>
  <c r="F1775" i="17"/>
  <c r="F1776" i="17"/>
  <c r="F1777" i="17"/>
  <c r="F1778" i="17"/>
  <c r="F1779" i="17"/>
  <c r="F1780" i="17"/>
  <c r="F1791" i="17"/>
  <c r="F1792" i="17"/>
  <c r="F1793" i="17"/>
  <c r="F1794" i="17"/>
  <c r="F1795" i="17"/>
  <c r="F1796" i="17"/>
  <c r="F1797" i="17"/>
  <c r="F1798" i="17"/>
  <c r="F1799" i="17"/>
  <c r="F1800" i="17"/>
  <c r="F1811" i="17"/>
  <c r="F1812" i="17"/>
  <c r="F1813" i="17"/>
  <c r="F1814" i="17"/>
  <c r="F1815" i="17"/>
  <c r="F1816" i="17"/>
  <c r="F1817" i="17"/>
  <c r="F1818" i="17"/>
  <c r="F1819" i="17"/>
  <c r="F1820" i="17"/>
  <c r="F1831" i="17"/>
  <c r="F1832" i="17"/>
  <c r="F1833" i="17"/>
  <c r="F1834" i="17"/>
  <c r="F1835" i="17"/>
  <c r="F1836" i="17"/>
  <c r="F1837" i="17"/>
  <c r="F1838" i="17"/>
  <c r="F1839" i="17"/>
  <c r="F1840" i="17"/>
  <c r="F1851" i="17"/>
  <c r="F1852" i="17"/>
  <c r="F1853" i="17"/>
  <c r="F1854" i="17"/>
  <c r="F1855" i="17"/>
  <c r="F1856" i="17"/>
  <c r="F1857" i="17"/>
  <c r="F1858" i="17"/>
  <c r="F1859" i="17"/>
  <c r="F1860" i="17"/>
  <c r="B1904" i="15"/>
  <c r="B1903" i="15"/>
  <c r="B1902" i="15"/>
  <c r="B1901" i="15"/>
  <c r="B1900" i="15"/>
  <c r="B1899" i="15"/>
  <c r="B1898" i="15"/>
  <c r="B1897" i="15"/>
  <c r="B1896" i="15"/>
  <c r="B1895" i="15"/>
  <c r="B1894" i="15"/>
  <c r="B1893" i="15"/>
  <c r="B1892" i="15"/>
  <c r="B1891" i="15"/>
  <c r="B1890" i="15"/>
  <c r="B1889" i="15"/>
  <c r="B1888" i="15"/>
  <c r="B1887" i="15"/>
  <c r="B1886" i="15"/>
  <c r="B1885" i="15"/>
  <c r="B1884" i="15"/>
  <c r="B1883" i="15"/>
  <c r="B1882" i="15"/>
  <c r="B1881" i="15"/>
  <c r="B1880" i="15"/>
  <c r="B1879" i="15"/>
  <c r="B1878" i="15"/>
  <c r="B1877" i="15"/>
  <c r="B1876" i="15"/>
  <c r="B1875" i="15"/>
  <c r="B1874" i="15"/>
  <c r="B1873" i="15"/>
  <c r="B1872" i="15"/>
  <c r="B1871" i="15"/>
  <c r="B1870" i="15"/>
  <c r="B1869" i="15"/>
  <c r="B1868" i="15"/>
  <c r="B1867" i="15"/>
  <c r="B1866" i="15"/>
  <c r="B1865" i="15"/>
  <c r="B1864" i="15"/>
  <c r="B1863" i="15"/>
  <c r="B1862" i="15"/>
  <c r="B1861" i="15"/>
  <c r="B1860" i="15"/>
  <c r="B1859" i="15"/>
  <c r="B1858" i="15"/>
  <c r="B1857" i="15"/>
  <c r="B1856" i="15"/>
  <c r="B1855" i="15"/>
  <c r="B1854" i="15"/>
  <c r="B1853" i="15"/>
  <c r="B1852" i="15"/>
  <c r="B1851" i="15"/>
  <c r="B1850" i="15"/>
  <c r="B1849" i="15"/>
  <c r="B1848" i="15"/>
  <c r="B1847" i="15"/>
  <c r="B1846" i="15"/>
  <c r="B1845" i="15"/>
  <c r="B1844" i="15"/>
  <c r="B1843" i="15"/>
  <c r="B1842" i="15"/>
  <c r="B1841" i="15"/>
  <c r="B1840" i="15"/>
  <c r="B1839" i="15"/>
  <c r="B1838" i="15"/>
  <c r="B1837" i="15"/>
  <c r="B1836" i="15"/>
  <c r="B1835" i="15"/>
  <c r="B1834" i="15"/>
  <c r="B1833" i="15"/>
  <c r="B1832" i="15"/>
  <c r="B1831" i="15"/>
  <c r="B1830" i="15"/>
  <c r="B1829" i="15"/>
  <c r="B1828" i="15"/>
  <c r="B1827" i="15"/>
  <c r="B1826" i="15"/>
  <c r="B1825" i="15"/>
  <c r="B1824" i="15"/>
  <c r="B1823" i="15"/>
  <c r="B1822" i="15"/>
  <c r="B1821" i="15"/>
  <c r="B1820" i="15"/>
  <c r="B1819" i="15"/>
  <c r="B1818" i="15"/>
  <c r="B1817" i="15"/>
  <c r="B1816" i="15"/>
  <c r="B1815" i="15"/>
  <c r="B1814" i="15"/>
  <c r="B1813" i="15"/>
  <c r="B1812" i="15"/>
  <c r="B1811" i="15"/>
  <c r="B1810" i="15"/>
  <c r="B1809" i="15"/>
  <c r="B1808" i="15"/>
  <c r="B1807" i="15"/>
  <c r="B1806" i="15"/>
  <c r="B1805" i="15"/>
  <c r="B1804" i="15"/>
  <c r="B1803" i="15"/>
  <c r="B1802" i="15"/>
  <c r="B1801" i="15"/>
  <c r="B1800" i="15"/>
  <c r="B1799" i="15"/>
  <c r="B1798" i="15"/>
  <c r="B1797" i="15"/>
  <c r="B1796" i="15"/>
  <c r="B1795" i="15"/>
  <c r="B1794" i="15"/>
  <c r="B1793" i="15"/>
  <c r="B1792" i="15"/>
  <c r="B1791" i="15"/>
  <c r="B1790" i="15"/>
  <c r="B1789" i="15"/>
  <c r="B1788" i="15"/>
  <c r="B1787" i="15"/>
  <c r="B1786" i="15"/>
  <c r="B1785" i="15"/>
  <c r="B1784" i="15"/>
  <c r="B1783" i="15"/>
  <c r="B1782" i="15"/>
  <c r="B1781" i="15"/>
  <c r="B1780" i="15"/>
  <c r="B1779" i="15"/>
  <c r="B1778" i="15"/>
  <c r="B1777" i="15"/>
  <c r="B1776" i="15"/>
  <c r="B1775" i="15"/>
  <c r="B1774" i="15"/>
  <c r="B1773" i="15"/>
  <c r="B1772" i="15"/>
  <c r="B1771" i="15"/>
  <c r="B1770" i="15"/>
  <c r="B1769" i="15"/>
  <c r="B1768" i="15"/>
  <c r="B1767" i="15"/>
  <c r="B1766" i="15"/>
  <c r="B1765" i="15"/>
  <c r="B1764" i="15"/>
  <c r="B1763" i="15"/>
  <c r="B1762" i="15"/>
  <c r="B1761" i="15"/>
  <c r="B1760" i="15"/>
  <c r="B1759" i="15"/>
  <c r="B1758" i="15"/>
  <c r="B1757" i="15"/>
  <c r="B1756" i="15"/>
  <c r="B1755" i="15"/>
  <c r="B1754" i="15"/>
  <c r="B1753" i="15"/>
  <c r="B1752" i="15"/>
  <c r="B1751" i="15"/>
  <c r="B1750" i="15"/>
  <c r="B1749" i="15"/>
  <c r="B1748" i="15"/>
  <c r="B1747" i="15"/>
  <c r="B1746" i="15"/>
  <c r="B1745" i="15"/>
  <c r="B1744" i="15"/>
  <c r="B1743" i="15"/>
  <c r="B1742" i="15"/>
  <c r="B1741" i="15"/>
  <c r="B1740" i="15"/>
  <c r="B1739" i="15"/>
  <c r="B1738" i="15"/>
  <c r="B1737" i="15"/>
  <c r="B1736" i="15"/>
  <c r="B1735" i="15"/>
  <c r="B1734" i="15"/>
  <c r="B1733" i="15"/>
  <c r="B1732" i="15"/>
  <c r="B1731" i="15"/>
  <c r="B1730" i="15"/>
  <c r="B1729" i="15"/>
  <c r="B1728" i="15"/>
  <c r="B1727" i="15"/>
  <c r="B1726" i="15"/>
  <c r="B1725" i="15"/>
  <c r="B1724" i="15"/>
  <c r="B1723" i="15"/>
  <c r="B1722" i="15"/>
  <c r="B1721" i="15"/>
  <c r="B1720" i="15"/>
  <c r="B1719" i="15"/>
  <c r="B1718" i="15"/>
  <c r="B1717" i="15"/>
  <c r="B1716" i="15"/>
  <c r="B1715" i="15"/>
  <c r="B1714" i="15"/>
  <c r="B1713" i="15"/>
  <c r="B1712" i="15"/>
  <c r="B1711" i="15"/>
  <c r="B1710" i="15"/>
  <c r="B1709" i="15"/>
  <c r="B1708" i="15"/>
  <c r="B1707" i="15"/>
  <c r="B1706" i="15"/>
  <c r="B1705" i="15"/>
  <c r="B1704" i="15"/>
  <c r="B1703" i="15"/>
  <c r="B1702" i="15"/>
  <c r="B1701" i="15"/>
  <c r="B1700" i="15"/>
  <c r="B1699" i="15"/>
  <c r="B1698" i="15"/>
  <c r="B1697" i="15"/>
  <c r="B1696" i="15"/>
  <c r="B1695" i="15"/>
  <c r="B1694" i="15"/>
  <c r="B1693" i="15"/>
  <c r="B1692" i="15"/>
  <c r="B1691" i="15"/>
  <c r="B1690" i="15"/>
  <c r="B1689" i="15"/>
  <c r="B1688" i="15"/>
  <c r="B1687" i="15"/>
  <c r="B1686" i="15"/>
  <c r="B1685" i="15"/>
  <c r="B1684" i="15"/>
  <c r="B1683" i="15"/>
  <c r="B1682" i="15"/>
  <c r="B1681" i="15"/>
  <c r="B1680" i="15"/>
  <c r="B1679" i="15"/>
  <c r="B1678" i="15"/>
  <c r="B1677" i="15"/>
  <c r="B1676" i="15"/>
  <c r="B1675" i="15"/>
  <c r="B1674" i="15"/>
  <c r="B1673" i="15"/>
  <c r="B1672" i="15"/>
  <c r="B1671" i="15"/>
  <c r="B1670" i="15"/>
  <c r="B1669" i="15"/>
  <c r="B1668" i="15"/>
  <c r="B1667" i="15"/>
  <c r="B1666" i="15"/>
  <c r="B1665" i="15"/>
  <c r="B1664" i="15"/>
  <c r="B1663" i="15"/>
  <c r="B1662" i="15"/>
  <c r="B1661" i="15"/>
  <c r="B1660" i="15"/>
  <c r="B1659" i="15"/>
  <c r="B1658" i="15"/>
  <c r="B1657" i="15"/>
  <c r="B1656" i="15"/>
  <c r="B1655" i="15"/>
  <c r="B1654" i="15"/>
  <c r="B1653" i="15"/>
  <c r="B1652" i="15"/>
  <c r="B1651" i="15"/>
  <c r="B1650" i="15"/>
  <c r="B1649" i="15"/>
  <c r="B1648" i="15"/>
  <c r="B1647" i="15"/>
  <c r="B1646" i="15"/>
  <c r="B1645" i="15"/>
  <c r="B1644" i="15"/>
  <c r="B1643" i="15"/>
  <c r="B1642" i="15"/>
  <c r="B1641" i="15"/>
  <c r="B1640" i="15"/>
  <c r="B1639" i="15"/>
  <c r="B1638" i="15"/>
  <c r="B1637" i="15"/>
  <c r="B1636" i="15"/>
  <c r="B1635" i="15"/>
  <c r="B1634" i="15"/>
  <c r="B1633" i="15"/>
  <c r="B1632" i="15"/>
  <c r="B1631" i="15"/>
  <c r="B1630" i="15"/>
  <c r="B1629" i="15"/>
  <c r="B1628" i="15"/>
  <c r="B1627" i="15"/>
  <c r="B1626" i="15"/>
  <c r="B1625" i="15"/>
  <c r="B1624" i="15"/>
  <c r="B1623" i="15"/>
  <c r="B1622" i="15"/>
  <c r="B1621" i="15"/>
  <c r="B1620" i="15"/>
  <c r="B1619" i="15"/>
  <c r="B1618" i="15"/>
  <c r="B1617" i="15"/>
  <c r="B1616" i="15"/>
  <c r="B1615" i="15"/>
  <c r="B1614" i="15"/>
  <c r="B1613" i="15"/>
  <c r="B1612" i="15"/>
  <c r="B1611" i="15"/>
  <c r="B1610" i="15"/>
  <c r="B1609" i="15"/>
  <c r="B1608" i="15"/>
  <c r="B1607" i="15"/>
  <c r="B1606" i="15"/>
  <c r="B1605" i="15"/>
  <c r="B1604" i="15"/>
  <c r="B1603" i="15"/>
  <c r="B1602" i="15"/>
  <c r="B1601" i="15"/>
  <c r="B1600" i="15"/>
  <c r="B1599" i="15"/>
  <c r="B1598" i="15"/>
  <c r="B1597" i="15"/>
  <c r="B1596" i="15"/>
  <c r="B1595" i="15"/>
  <c r="B1594" i="15"/>
  <c r="B1593" i="15"/>
  <c r="B1592" i="15"/>
  <c r="B1591" i="15"/>
  <c r="B1590" i="15"/>
  <c r="B1589" i="15"/>
  <c r="B1588" i="15"/>
  <c r="B1587" i="15"/>
  <c r="B1586" i="15"/>
  <c r="B1585" i="15"/>
  <c r="B1584" i="15"/>
  <c r="B1583" i="15"/>
  <c r="B1582" i="15"/>
  <c r="B1581" i="15"/>
  <c r="B1580" i="15"/>
  <c r="B1579" i="15"/>
  <c r="B1578" i="15"/>
  <c r="B1577" i="15"/>
  <c r="B1576" i="15"/>
  <c r="B1575" i="15"/>
  <c r="B1574" i="15"/>
  <c r="B1573" i="15"/>
  <c r="B1572" i="15"/>
  <c r="B1571" i="15"/>
  <c r="B1570" i="15"/>
  <c r="B1569" i="15"/>
  <c r="B1568" i="15"/>
  <c r="B1567" i="15"/>
  <c r="B1566" i="15"/>
  <c r="B1565" i="15"/>
  <c r="B1564" i="15"/>
  <c r="B1563" i="15"/>
  <c r="B1562" i="15"/>
  <c r="B1561" i="15"/>
  <c r="B1560" i="15"/>
  <c r="B1559" i="15"/>
  <c r="B1558" i="15"/>
  <c r="B1557" i="15"/>
  <c r="B1556" i="15"/>
  <c r="B1555" i="15"/>
  <c r="B1554" i="15"/>
  <c r="B1553" i="15"/>
  <c r="B1552" i="15"/>
  <c r="B1551" i="15"/>
  <c r="B1550" i="15"/>
  <c r="B1549" i="15"/>
  <c r="B1548" i="15"/>
  <c r="B1547" i="15"/>
  <c r="B1546" i="15"/>
  <c r="B1545" i="15"/>
  <c r="B1544" i="15"/>
  <c r="B1543" i="15"/>
  <c r="B1542" i="15"/>
  <c r="B1541" i="15"/>
  <c r="B1540" i="15"/>
  <c r="B1539" i="15"/>
  <c r="B1538" i="15"/>
  <c r="B1537" i="15"/>
  <c r="B1536" i="15"/>
  <c r="B1535" i="15"/>
  <c r="B1534" i="15"/>
  <c r="B1533" i="15"/>
  <c r="B1532" i="15"/>
  <c r="B1531" i="15"/>
  <c r="B1530" i="15"/>
  <c r="B1529" i="15"/>
  <c r="B1528" i="15"/>
  <c r="B1527" i="15"/>
  <c r="B1526" i="15"/>
  <c r="B1525" i="15"/>
  <c r="B1524" i="15"/>
  <c r="B1523" i="15"/>
  <c r="B1522" i="15"/>
  <c r="B1521" i="15"/>
  <c r="B1520" i="15"/>
  <c r="B1519" i="15"/>
  <c r="B1518" i="15"/>
  <c r="B1517" i="15"/>
  <c r="B1516" i="15"/>
  <c r="B1515" i="15"/>
  <c r="B1514" i="15"/>
  <c r="B1513" i="15"/>
  <c r="B1512" i="15"/>
  <c r="B1511" i="15"/>
  <c r="B1510" i="15"/>
  <c r="B1509" i="15"/>
  <c r="B1508" i="15"/>
  <c r="B1507" i="15"/>
  <c r="B1506" i="15"/>
  <c r="B1505" i="15"/>
  <c r="B1504" i="15"/>
  <c r="B1503" i="15"/>
  <c r="B1502" i="15"/>
  <c r="B1501" i="15"/>
  <c r="B1500" i="15"/>
  <c r="B1499" i="15"/>
  <c r="B1498" i="15"/>
  <c r="B1497" i="15"/>
  <c r="B1496" i="15"/>
  <c r="B1495" i="15"/>
  <c r="B1494" i="15"/>
  <c r="B1493" i="15"/>
  <c r="B1492" i="15"/>
  <c r="B1491" i="15"/>
  <c r="B1490" i="15"/>
  <c r="B1489" i="15"/>
  <c r="B1488" i="15"/>
  <c r="B1487" i="15"/>
  <c r="B1486" i="15"/>
  <c r="B1485" i="15"/>
  <c r="B1484" i="15"/>
  <c r="B1483" i="15"/>
  <c r="B1482" i="15"/>
  <c r="B1481" i="15"/>
  <c r="B1480" i="15"/>
  <c r="B1479" i="15"/>
  <c r="B1478" i="15"/>
  <c r="B1477" i="15"/>
  <c r="B1476" i="15"/>
  <c r="B1475" i="15"/>
  <c r="B1474" i="15"/>
  <c r="B1473" i="15"/>
  <c r="B1472" i="15"/>
  <c r="B1471" i="15"/>
  <c r="B1470" i="15"/>
  <c r="B1469" i="15"/>
  <c r="B1468" i="15"/>
  <c r="B1467" i="15"/>
  <c r="B1466" i="15"/>
  <c r="B1465" i="15"/>
  <c r="B1464" i="15"/>
  <c r="B1463" i="15"/>
  <c r="B1462" i="15"/>
  <c r="B1461" i="15"/>
  <c r="B1460" i="15"/>
  <c r="B1459" i="15"/>
  <c r="B1458" i="15"/>
  <c r="B1457" i="15"/>
  <c r="B1456" i="15"/>
  <c r="B1455" i="15"/>
  <c r="B1454" i="15"/>
  <c r="B1453" i="15"/>
  <c r="B1452" i="15"/>
  <c r="B1451" i="15"/>
  <c r="B1450" i="15"/>
  <c r="B1449" i="15"/>
  <c r="B1448" i="15"/>
  <c r="B1447" i="15"/>
  <c r="B1446" i="15"/>
  <c r="B1445" i="15"/>
  <c r="B1444" i="15"/>
  <c r="B1443" i="15"/>
  <c r="B1442" i="15"/>
  <c r="B1441" i="15"/>
  <c r="B1440" i="15"/>
  <c r="B1439" i="15"/>
  <c r="B1438" i="15"/>
  <c r="B1437" i="15"/>
  <c r="B1436" i="15"/>
  <c r="B1435" i="15"/>
  <c r="B1434" i="15"/>
  <c r="B1433" i="15"/>
  <c r="B1432" i="15"/>
  <c r="B1431" i="15"/>
  <c r="B1430" i="15"/>
  <c r="B1429" i="15"/>
  <c r="B1428" i="15"/>
  <c r="B1427" i="15"/>
  <c r="B1426" i="15"/>
  <c r="B1425" i="15"/>
  <c r="B1424" i="15"/>
  <c r="B1423" i="15"/>
  <c r="B1422" i="15"/>
  <c r="B1421" i="15"/>
  <c r="B1420" i="15"/>
  <c r="B1419" i="15"/>
  <c r="B1418" i="15"/>
  <c r="B1417" i="15"/>
  <c r="B1416" i="15"/>
  <c r="B1415" i="15"/>
  <c r="B1414" i="15"/>
  <c r="B1413" i="15"/>
  <c r="B1412" i="15"/>
  <c r="B1411" i="15"/>
  <c r="B1410" i="15"/>
  <c r="B1409" i="15"/>
  <c r="B1408" i="15"/>
  <c r="B1407" i="15"/>
  <c r="B1406" i="15"/>
  <c r="B1405" i="15"/>
  <c r="B1404" i="15"/>
  <c r="B1403" i="15"/>
  <c r="B1402" i="15"/>
  <c r="B1401" i="15"/>
  <c r="B1400" i="15"/>
  <c r="B1399" i="15"/>
  <c r="B1398" i="15"/>
  <c r="B1397" i="15"/>
  <c r="B1396" i="15"/>
  <c r="B1395" i="15"/>
  <c r="B1394" i="15"/>
  <c r="B1393" i="15"/>
  <c r="B1392" i="15"/>
  <c r="B1391" i="15"/>
  <c r="B1390" i="15"/>
  <c r="B1389" i="15"/>
  <c r="B1388" i="15"/>
  <c r="B1387" i="15"/>
  <c r="B1386" i="15"/>
  <c r="B1385" i="15"/>
  <c r="B1384" i="15"/>
  <c r="B1383" i="15"/>
  <c r="B1382" i="15"/>
  <c r="B1381" i="15"/>
  <c r="B1380" i="15"/>
  <c r="B1379" i="15"/>
  <c r="B1378" i="15"/>
  <c r="B1377" i="15"/>
  <c r="B1376" i="15"/>
  <c r="B1375" i="15"/>
  <c r="B1374" i="15"/>
  <c r="B1373" i="15"/>
  <c r="B1372" i="15"/>
  <c r="B1371" i="15"/>
  <c r="B1370" i="15"/>
  <c r="B1369" i="15"/>
  <c r="B1368" i="15"/>
  <c r="B1367" i="15"/>
  <c r="B1366" i="15"/>
  <c r="B1365" i="15"/>
  <c r="B1364" i="15"/>
  <c r="B1363" i="15"/>
  <c r="B1362" i="15"/>
  <c r="B1361" i="15"/>
  <c r="B1360" i="15"/>
  <c r="B1359" i="15"/>
  <c r="B1358" i="15"/>
  <c r="B1357" i="15"/>
  <c r="B1356" i="15"/>
  <c r="B1355" i="15"/>
  <c r="B1354" i="15"/>
  <c r="B1353" i="15"/>
  <c r="B1352" i="15"/>
  <c r="B1351" i="15"/>
  <c r="B1350" i="15"/>
  <c r="B1349" i="15"/>
  <c r="B1348" i="15"/>
  <c r="B1347" i="15"/>
  <c r="B1346" i="15"/>
  <c r="B1345" i="15"/>
  <c r="B1344" i="15"/>
  <c r="B1343" i="15"/>
  <c r="B1342" i="15"/>
  <c r="B1341" i="15"/>
  <c r="B1340" i="15"/>
  <c r="B1339" i="15"/>
  <c r="B1338" i="15"/>
  <c r="B1337" i="15"/>
  <c r="B1336" i="15"/>
  <c r="B1335" i="15"/>
  <c r="B1334" i="15"/>
  <c r="B1333" i="15"/>
  <c r="B1332" i="15"/>
  <c r="B1331" i="15"/>
  <c r="B1330" i="15"/>
  <c r="B1329" i="15"/>
  <c r="B1328" i="15"/>
  <c r="B1327" i="15"/>
  <c r="B1326" i="15"/>
  <c r="B1325" i="15"/>
  <c r="B1324" i="15"/>
  <c r="B1323" i="15"/>
  <c r="B1322" i="15"/>
  <c r="B1321" i="15"/>
  <c r="B1320" i="15"/>
  <c r="B1319" i="15"/>
  <c r="B1318" i="15"/>
  <c r="B1317" i="15"/>
  <c r="B1316" i="15"/>
  <c r="B1315" i="15"/>
  <c r="B1314" i="15"/>
  <c r="B1313" i="15"/>
  <c r="B1312" i="15"/>
  <c r="B1311" i="15"/>
  <c r="B1310" i="15"/>
  <c r="B1309" i="15"/>
  <c r="B1308" i="15"/>
  <c r="B1307" i="15"/>
  <c r="B1306" i="15"/>
  <c r="B1305" i="15"/>
  <c r="B1304" i="15"/>
  <c r="B1303" i="15"/>
  <c r="B1302" i="15"/>
  <c r="B1301" i="15"/>
  <c r="B1300" i="15"/>
  <c r="B1299" i="15"/>
  <c r="B1298" i="15"/>
  <c r="B1297" i="15"/>
  <c r="B1296" i="15"/>
  <c r="B1295" i="15"/>
  <c r="B1294" i="15"/>
  <c r="B1293" i="15"/>
  <c r="B1292" i="15"/>
  <c r="B1291" i="15"/>
  <c r="B1290" i="15"/>
  <c r="B1289" i="15"/>
  <c r="B1288" i="15"/>
  <c r="B1287" i="15"/>
  <c r="B1286" i="15"/>
  <c r="B1285" i="15"/>
  <c r="B1284" i="15"/>
  <c r="B1283" i="15"/>
  <c r="B1282" i="15"/>
  <c r="B1281" i="15"/>
  <c r="B1280" i="15"/>
  <c r="B1279" i="15"/>
  <c r="B1278" i="15"/>
  <c r="B1277" i="15"/>
  <c r="B1276" i="15"/>
  <c r="B1275" i="15"/>
  <c r="B1274" i="15"/>
  <c r="B1273" i="15"/>
  <c r="B1272" i="15"/>
  <c r="B1271" i="15"/>
  <c r="B1270" i="15"/>
  <c r="B1269" i="15"/>
  <c r="B1268" i="15"/>
  <c r="B1267" i="15"/>
  <c r="B1266" i="15"/>
  <c r="B1265" i="15"/>
  <c r="B1264" i="15"/>
  <c r="B1263" i="15"/>
  <c r="B1262" i="15"/>
  <c r="B1261" i="15"/>
  <c r="B1260" i="15"/>
  <c r="B1259" i="15"/>
  <c r="B1258" i="15"/>
  <c r="B1257" i="15"/>
  <c r="B1256" i="15"/>
  <c r="B1255" i="15"/>
  <c r="B1254" i="15"/>
  <c r="B1253" i="15"/>
  <c r="B1252" i="15"/>
  <c r="B1251" i="15"/>
  <c r="B1250" i="15"/>
  <c r="B1249" i="15"/>
  <c r="B1248" i="15"/>
  <c r="B1247" i="15"/>
  <c r="B1246" i="15"/>
  <c r="B1245" i="15"/>
  <c r="B1244" i="15"/>
  <c r="B1243" i="15"/>
  <c r="B1242" i="15"/>
  <c r="B1241" i="15"/>
  <c r="B1240" i="15"/>
  <c r="B1239" i="15"/>
  <c r="B1238" i="15"/>
  <c r="B1237" i="15"/>
  <c r="B1236" i="15"/>
  <c r="B1235" i="15"/>
  <c r="B1234" i="15"/>
  <c r="B1233" i="15"/>
  <c r="B1232" i="15"/>
  <c r="B1231" i="15"/>
  <c r="B1230" i="15"/>
  <c r="B1229" i="15"/>
  <c r="B1228" i="15"/>
  <c r="B1227" i="15"/>
  <c r="B1226" i="15"/>
  <c r="B1225" i="15"/>
  <c r="B1224" i="15"/>
  <c r="B1223" i="15"/>
  <c r="B1222" i="15"/>
  <c r="B1221" i="15"/>
  <c r="B1220" i="15"/>
  <c r="B1219" i="15"/>
  <c r="B1218" i="15"/>
  <c r="B1217" i="15"/>
  <c r="B1216" i="15"/>
  <c r="B1215" i="15"/>
  <c r="B1214" i="15"/>
  <c r="B1213" i="15"/>
  <c r="B1212" i="15"/>
  <c r="B1211" i="15"/>
  <c r="B1210" i="15"/>
  <c r="B1209" i="15"/>
  <c r="B1208" i="15"/>
  <c r="B1207" i="15"/>
  <c r="B1206" i="15"/>
  <c r="B1205" i="15"/>
  <c r="B1204" i="15"/>
  <c r="B1203" i="15"/>
  <c r="B1202" i="15"/>
  <c r="B1201" i="15"/>
  <c r="B1200" i="15"/>
  <c r="B1199" i="15"/>
  <c r="B1198" i="15"/>
  <c r="B1197" i="15"/>
  <c r="B1196" i="15"/>
  <c r="B1195" i="15"/>
  <c r="B1194" i="15"/>
  <c r="B1193" i="15"/>
  <c r="B1192" i="15"/>
  <c r="B1191" i="15"/>
  <c r="B1190" i="15"/>
  <c r="B1189" i="15"/>
  <c r="B1188" i="15"/>
  <c r="B1187" i="15"/>
  <c r="B1186" i="15"/>
  <c r="B1185" i="15"/>
  <c r="B1184" i="15"/>
  <c r="B1183" i="15"/>
  <c r="B1182" i="15"/>
  <c r="B1181" i="15"/>
  <c r="B1180" i="15"/>
  <c r="B1179" i="15"/>
  <c r="B1178" i="15"/>
  <c r="B1177" i="15"/>
  <c r="B1176" i="15"/>
  <c r="B1175" i="15"/>
  <c r="B1174" i="15"/>
  <c r="B1173" i="15"/>
  <c r="B1172" i="15"/>
  <c r="B1171" i="15"/>
  <c r="B1170" i="15"/>
  <c r="B1169" i="15"/>
  <c r="B1168" i="15"/>
  <c r="B1167" i="15"/>
  <c r="B1166" i="15"/>
  <c r="B1165" i="15"/>
  <c r="B1164" i="15"/>
  <c r="B1163" i="15"/>
  <c r="B1162" i="15"/>
  <c r="B1161" i="15"/>
  <c r="B1160" i="15"/>
  <c r="B1159" i="15"/>
  <c r="B1158" i="15"/>
  <c r="B1157" i="15"/>
  <c r="B1156" i="15"/>
  <c r="B1155" i="15"/>
  <c r="B1154" i="15"/>
  <c r="B1153" i="15"/>
  <c r="B1152" i="15"/>
  <c r="B1151" i="15"/>
  <c r="B1150" i="15"/>
  <c r="B1149" i="15"/>
  <c r="B1148" i="15"/>
  <c r="B1147" i="15"/>
  <c r="B1146" i="15"/>
  <c r="B1145" i="15"/>
  <c r="B1144" i="15"/>
  <c r="B1143" i="15"/>
  <c r="B1142" i="15"/>
  <c r="B1141" i="15"/>
  <c r="B1140" i="15"/>
  <c r="B1139" i="15"/>
  <c r="B1138" i="15"/>
  <c r="B1137" i="15"/>
  <c r="B1136" i="15"/>
  <c r="B1135" i="15"/>
  <c r="B1134" i="15"/>
  <c r="B1133" i="15"/>
  <c r="B1132" i="15"/>
  <c r="B1131" i="15"/>
  <c r="B1130" i="15"/>
  <c r="B1129" i="15"/>
  <c r="B1128" i="15"/>
  <c r="B1127" i="15"/>
  <c r="B1126" i="15"/>
  <c r="B1125" i="15"/>
  <c r="B1124" i="15"/>
  <c r="B1123" i="15"/>
  <c r="B1122" i="15"/>
  <c r="B1121" i="15"/>
  <c r="B1120" i="15"/>
  <c r="B1119" i="15"/>
  <c r="B1118" i="15"/>
  <c r="B1117" i="15"/>
  <c r="B1116" i="15"/>
  <c r="B1115" i="15"/>
  <c r="B1114" i="15"/>
  <c r="B1113" i="15"/>
  <c r="B1112" i="15"/>
  <c r="B1111" i="15"/>
  <c r="B1110" i="15"/>
  <c r="B1109" i="15"/>
  <c r="B1108" i="15"/>
  <c r="B1107" i="15"/>
  <c r="B1106" i="15"/>
  <c r="B1105" i="15"/>
  <c r="B1104" i="15"/>
  <c r="B1103" i="15"/>
  <c r="B1102" i="15"/>
  <c r="B1101" i="15"/>
  <c r="B1100" i="15"/>
  <c r="B1099" i="15"/>
  <c r="B1098" i="15"/>
  <c r="B1097" i="15"/>
  <c r="B1096" i="15"/>
  <c r="B1095" i="15"/>
  <c r="B1094" i="15"/>
  <c r="B1093" i="15"/>
  <c r="B1092" i="15"/>
  <c r="B1091" i="15"/>
  <c r="B1090" i="15"/>
  <c r="B1089" i="15"/>
  <c r="B1088" i="15"/>
  <c r="B1087" i="15"/>
  <c r="B1086" i="15"/>
  <c r="B1085" i="15"/>
  <c r="B1084" i="15"/>
  <c r="B1083" i="15"/>
  <c r="B1082" i="15"/>
  <c r="B1081" i="15"/>
  <c r="B1080" i="15"/>
  <c r="B1079" i="15"/>
  <c r="B1078" i="15"/>
  <c r="B1077" i="15"/>
  <c r="B1076" i="15"/>
  <c r="B1075" i="15"/>
  <c r="B1074" i="15"/>
  <c r="B1073" i="15"/>
  <c r="B1072" i="15"/>
  <c r="B1071" i="15"/>
  <c r="B1070" i="15"/>
  <c r="B1069" i="15"/>
  <c r="B1068" i="15"/>
  <c r="B1067" i="15"/>
  <c r="B1066" i="15"/>
  <c r="B1065" i="15"/>
  <c r="B1064" i="15"/>
  <c r="B1063" i="15"/>
  <c r="B1062" i="15"/>
  <c r="B1061" i="15"/>
  <c r="B1060" i="15"/>
  <c r="B1059" i="15"/>
  <c r="B1058" i="15"/>
  <c r="B1057" i="15"/>
  <c r="B1056" i="15"/>
  <c r="B1055" i="15"/>
  <c r="B1054" i="15"/>
  <c r="B1053" i="15"/>
  <c r="B1052" i="15"/>
  <c r="B1051" i="15"/>
  <c r="B1050" i="15"/>
  <c r="B1049" i="15"/>
  <c r="B1048" i="15"/>
  <c r="B1047" i="15"/>
  <c r="B1046" i="15"/>
  <c r="B1045" i="15"/>
  <c r="B1044" i="15"/>
  <c r="B1043" i="15"/>
  <c r="B1042" i="15"/>
  <c r="B1041" i="15"/>
  <c r="B1040" i="15"/>
  <c r="B1039" i="15"/>
  <c r="B1038" i="15"/>
  <c r="B1037" i="15"/>
  <c r="B1036" i="15"/>
  <c r="B1035" i="15"/>
  <c r="B1034" i="15"/>
  <c r="B1033" i="15"/>
  <c r="B1032" i="15"/>
  <c r="B1031" i="15"/>
  <c r="B1030" i="15"/>
  <c r="B1029" i="15"/>
  <c r="B1028" i="15"/>
  <c r="B1027" i="15"/>
  <c r="B1026" i="15"/>
  <c r="B1025" i="15"/>
  <c r="B1024" i="15"/>
  <c r="B1023" i="15"/>
  <c r="B1022" i="15"/>
  <c r="B1021" i="15"/>
  <c r="B1020" i="15"/>
  <c r="B1019" i="15"/>
  <c r="B1018" i="15"/>
  <c r="B1017" i="15"/>
  <c r="B1016" i="15"/>
  <c r="B1015" i="15"/>
  <c r="B1014" i="15"/>
  <c r="B1013" i="15"/>
  <c r="B1012" i="15"/>
  <c r="B1011" i="15"/>
  <c r="B1010" i="15"/>
  <c r="B1009" i="15"/>
  <c r="B1008" i="15"/>
  <c r="B1007" i="15"/>
  <c r="B1006" i="15"/>
  <c r="B1005" i="15"/>
  <c r="B1004" i="15"/>
  <c r="B1003" i="15"/>
  <c r="B1002" i="15"/>
  <c r="B1001" i="15"/>
  <c r="B1000" i="15"/>
  <c r="B999" i="15"/>
  <c r="B998" i="15"/>
  <c r="B997" i="15"/>
  <c r="B996" i="15"/>
  <c r="B995" i="15"/>
  <c r="B994" i="15"/>
  <c r="B993" i="15"/>
  <c r="B992" i="15"/>
  <c r="B991" i="15"/>
  <c r="B990" i="15"/>
  <c r="B989" i="15"/>
  <c r="B988" i="15"/>
  <c r="B987" i="15"/>
  <c r="B986" i="15"/>
  <c r="B985" i="15"/>
  <c r="B984" i="15"/>
  <c r="B983" i="15"/>
  <c r="B982" i="15"/>
  <c r="B981" i="15"/>
  <c r="B980" i="15"/>
  <c r="B979" i="15"/>
  <c r="B978" i="15"/>
  <c r="B977" i="15"/>
  <c r="B976" i="15"/>
  <c r="B975" i="15"/>
  <c r="B974" i="15"/>
  <c r="B973" i="15"/>
  <c r="B972" i="15"/>
  <c r="B971" i="15"/>
  <c r="B970" i="15"/>
  <c r="B969" i="15"/>
  <c r="B968" i="15"/>
  <c r="B967" i="15"/>
  <c r="B966" i="15"/>
  <c r="B965" i="15"/>
  <c r="B964" i="15"/>
  <c r="B963" i="15"/>
  <c r="B962" i="15"/>
  <c r="B961" i="15"/>
  <c r="B960" i="15"/>
  <c r="B959" i="15"/>
  <c r="B958" i="15"/>
  <c r="B957" i="15"/>
  <c r="B956" i="15"/>
  <c r="B955" i="15"/>
  <c r="B954" i="15"/>
  <c r="B953" i="15"/>
  <c r="B952" i="15"/>
  <c r="B951" i="15"/>
  <c r="B950" i="15"/>
  <c r="B949" i="15"/>
  <c r="B948" i="15"/>
  <c r="B947" i="15"/>
  <c r="B946" i="15"/>
  <c r="B945" i="15"/>
  <c r="B944" i="15"/>
  <c r="B943" i="15"/>
  <c r="B942" i="15"/>
  <c r="B941" i="15"/>
  <c r="B940" i="15"/>
  <c r="B939" i="15"/>
  <c r="B938" i="15"/>
  <c r="B937" i="15"/>
  <c r="B936" i="15"/>
  <c r="B935" i="15"/>
  <c r="B934" i="15"/>
  <c r="B933" i="15"/>
  <c r="B932" i="15"/>
  <c r="B931" i="15"/>
  <c r="B930" i="15"/>
  <c r="B929" i="15"/>
  <c r="B928" i="15"/>
  <c r="B927" i="15"/>
  <c r="B926" i="15"/>
  <c r="B925" i="15"/>
  <c r="B924" i="15"/>
  <c r="B923" i="15"/>
  <c r="B922" i="15"/>
  <c r="B921" i="15"/>
  <c r="B920" i="15"/>
  <c r="B919" i="15"/>
  <c r="B918" i="15"/>
  <c r="B917" i="15"/>
  <c r="B916" i="15"/>
  <c r="B915" i="15"/>
  <c r="B914" i="15"/>
  <c r="B913" i="15"/>
  <c r="B912" i="15"/>
  <c r="B911" i="15"/>
  <c r="B910" i="15"/>
  <c r="B909" i="15"/>
  <c r="B908" i="15"/>
  <c r="B907" i="15"/>
  <c r="B906" i="15"/>
  <c r="B905" i="15"/>
  <c r="B904" i="15"/>
  <c r="B903" i="15"/>
  <c r="B902" i="15"/>
  <c r="B901" i="15"/>
  <c r="B900" i="15"/>
  <c r="B899" i="15"/>
  <c r="B898" i="15"/>
  <c r="B897" i="15"/>
  <c r="B896" i="15"/>
  <c r="B895" i="15"/>
  <c r="B894" i="15"/>
  <c r="B893" i="15"/>
  <c r="B892" i="15"/>
  <c r="B891" i="15"/>
  <c r="B890" i="15"/>
  <c r="B889" i="15"/>
  <c r="B888" i="15"/>
  <c r="B887" i="15"/>
  <c r="B886" i="15"/>
  <c r="B885" i="15"/>
  <c r="B884" i="15"/>
  <c r="B883" i="15"/>
  <c r="B882" i="15"/>
  <c r="B881" i="15"/>
  <c r="B880" i="15"/>
  <c r="B879" i="15"/>
  <c r="B878" i="15"/>
  <c r="B877" i="15"/>
  <c r="B876" i="15"/>
  <c r="B875" i="15"/>
  <c r="B874" i="15"/>
  <c r="B873" i="15"/>
  <c r="B872" i="15"/>
  <c r="B871" i="15"/>
  <c r="B870" i="15"/>
  <c r="B869" i="15"/>
  <c r="B868" i="15"/>
  <c r="B867" i="15"/>
  <c r="B866" i="15"/>
  <c r="B865" i="15"/>
  <c r="B864" i="15"/>
  <c r="B863" i="15"/>
  <c r="B862" i="15"/>
  <c r="B861" i="15"/>
  <c r="B860" i="15"/>
  <c r="B859" i="15"/>
  <c r="B858" i="15"/>
  <c r="B857" i="15"/>
  <c r="B856" i="15"/>
  <c r="B855" i="15"/>
  <c r="B854" i="15"/>
  <c r="B853" i="15"/>
  <c r="B852" i="15"/>
  <c r="B851" i="15"/>
  <c r="B850" i="15"/>
  <c r="B849" i="15"/>
  <c r="B848" i="15"/>
  <c r="B847" i="15"/>
  <c r="B846" i="15"/>
  <c r="B845" i="15"/>
  <c r="B844" i="15"/>
  <c r="B843" i="15"/>
  <c r="B842" i="15"/>
  <c r="B841" i="15"/>
  <c r="B840" i="15"/>
  <c r="B839" i="15"/>
  <c r="B838" i="15"/>
  <c r="B837" i="15"/>
  <c r="B836" i="15"/>
  <c r="B835" i="15"/>
  <c r="B834" i="15"/>
  <c r="B833" i="15"/>
  <c r="B832" i="15"/>
  <c r="B831" i="15"/>
  <c r="B830" i="15"/>
  <c r="B829" i="15"/>
  <c r="B828" i="15"/>
  <c r="B827" i="15"/>
  <c r="B826" i="15"/>
  <c r="B825" i="15"/>
  <c r="B824" i="15"/>
  <c r="B823" i="15"/>
  <c r="B822" i="15"/>
  <c r="B821" i="15"/>
  <c r="B820" i="15"/>
  <c r="B819" i="15"/>
  <c r="B818" i="15"/>
  <c r="B817" i="15"/>
  <c r="B816" i="15"/>
  <c r="B815" i="15"/>
  <c r="B814" i="15"/>
  <c r="B813" i="15"/>
  <c r="B812" i="15"/>
  <c r="B811" i="15"/>
  <c r="B810" i="15"/>
  <c r="B809" i="15"/>
  <c r="B808" i="15"/>
  <c r="B807" i="15"/>
  <c r="B806" i="15"/>
  <c r="B805" i="15"/>
  <c r="B804" i="15"/>
  <c r="B803" i="15"/>
  <c r="B802" i="15"/>
  <c r="B801" i="15"/>
  <c r="B800" i="15"/>
  <c r="B799" i="15"/>
  <c r="B798" i="15"/>
  <c r="B797" i="15"/>
  <c r="B796" i="15"/>
  <c r="B795" i="15"/>
  <c r="B794" i="15"/>
  <c r="B793" i="15"/>
  <c r="B792" i="15"/>
  <c r="B791" i="15"/>
  <c r="B790" i="15"/>
  <c r="B789" i="15"/>
  <c r="B788" i="15"/>
  <c r="B787" i="15"/>
  <c r="B786" i="15"/>
  <c r="B785" i="15"/>
  <c r="B784" i="15"/>
  <c r="B783" i="15"/>
  <c r="B782" i="15"/>
  <c r="B781" i="15"/>
  <c r="B780" i="15"/>
  <c r="B779" i="15"/>
  <c r="B778" i="15"/>
  <c r="B777" i="15"/>
  <c r="B776" i="15"/>
  <c r="B775" i="15"/>
  <c r="B774" i="15"/>
  <c r="B773" i="15"/>
  <c r="B772" i="15"/>
  <c r="B771" i="15"/>
  <c r="B770" i="15"/>
  <c r="B769" i="15"/>
  <c r="B768" i="15"/>
  <c r="B767" i="15"/>
  <c r="B766" i="15"/>
  <c r="B765" i="15"/>
  <c r="B764" i="15"/>
  <c r="B763" i="15"/>
  <c r="B762" i="15"/>
  <c r="B761" i="15"/>
  <c r="B760" i="15"/>
  <c r="B759" i="15"/>
  <c r="B758" i="15"/>
  <c r="B757" i="15"/>
  <c r="B756" i="15"/>
  <c r="B755" i="15"/>
  <c r="B754" i="15"/>
  <c r="B753" i="15"/>
  <c r="B752" i="15"/>
  <c r="B751" i="15"/>
  <c r="B750" i="15"/>
  <c r="B749" i="15"/>
  <c r="B748" i="15"/>
  <c r="B747" i="15"/>
  <c r="B746" i="15"/>
  <c r="B745" i="15"/>
  <c r="B744" i="15"/>
  <c r="B743" i="15"/>
  <c r="B742" i="15"/>
  <c r="B741" i="15"/>
  <c r="B740" i="15"/>
  <c r="B739" i="15"/>
  <c r="B738" i="15"/>
  <c r="B737" i="15"/>
  <c r="B736" i="15"/>
  <c r="B735" i="15"/>
  <c r="B734" i="15"/>
  <c r="B733" i="15"/>
  <c r="B732" i="15"/>
  <c r="B731" i="15"/>
  <c r="B730" i="15"/>
  <c r="B729" i="15"/>
  <c r="B728" i="15"/>
  <c r="B727" i="15"/>
  <c r="B726" i="15"/>
  <c r="B725" i="15"/>
  <c r="B724" i="15"/>
  <c r="B723" i="15"/>
  <c r="B722" i="15"/>
  <c r="B721" i="15"/>
  <c r="B720" i="15"/>
  <c r="B719" i="15"/>
  <c r="B718" i="15"/>
  <c r="B717" i="15"/>
  <c r="B716" i="15"/>
  <c r="B715" i="15"/>
  <c r="B714" i="15"/>
  <c r="B713" i="15"/>
  <c r="B712" i="15"/>
  <c r="B711" i="15"/>
  <c r="B710" i="15"/>
  <c r="B709" i="15"/>
  <c r="B708" i="15"/>
  <c r="B707" i="15"/>
  <c r="B706" i="15"/>
  <c r="B705" i="15"/>
  <c r="B704" i="15"/>
  <c r="B703" i="15"/>
  <c r="B702" i="15"/>
  <c r="B701" i="15"/>
  <c r="B700" i="15"/>
  <c r="B699" i="15"/>
  <c r="B698" i="15"/>
  <c r="B697" i="15"/>
  <c r="B696" i="15"/>
  <c r="B695" i="15"/>
  <c r="B694" i="15"/>
  <c r="B693" i="15"/>
  <c r="B692" i="15"/>
  <c r="B691" i="15"/>
  <c r="B690" i="15"/>
  <c r="B689" i="15"/>
  <c r="B688" i="15"/>
  <c r="B687" i="15"/>
  <c r="B686" i="15"/>
  <c r="B685" i="15"/>
  <c r="B684" i="15"/>
  <c r="B683" i="15"/>
  <c r="B682" i="15"/>
  <c r="B681" i="15"/>
  <c r="B680" i="15"/>
  <c r="B679" i="15"/>
  <c r="B678" i="15"/>
  <c r="B677" i="15"/>
  <c r="B676" i="15"/>
  <c r="B675" i="15"/>
  <c r="B674" i="15"/>
  <c r="B673" i="15"/>
  <c r="B672" i="15"/>
  <c r="B671" i="15"/>
  <c r="B670" i="15"/>
  <c r="B669" i="15"/>
  <c r="B668" i="15"/>
  <c r="B667" i="15"/>
  <c r="B666" i="15"/>
  <c r="B665" i="15"/>
  <c r="B664" i="15"/>
  <c r="B663" i="15"/>
  <c r="B662" i="15"/>
  <c r="B661" i="15"/>
  <c r="B660" i="15"/>
  <c r="B659" i="15"/>
  <c r="B658" i="15"/>
  <c r="B657" i="15"/>
  <c r="B656" i="15"/>
  <c r="B655" i="15"/>
  <c r="B654" i="15"/>
  <c r="B653" i="15"/>
  <c r="B652" i="15"/>
  <c r="B651" i="15"/>
  <c r="B650" i="15"/>
  <c r="B649" i="15"/>
  <c r="B648" i="15"/>
  <c r="B647" i="15"/>
  <c r="B646" i="15"/>
  <c r="B645" i="15"/>
  <c r="B644" i="15"/>
  <c r="B643" i="15"/>
  <c r="B642" i="15"/>
  <c r="B641" i="15"/>
  <c r="B640" i="15"/>
  <c r="B639" i="15"/>
  <c r="B638" i="15"/>
  <c r="B637" i="15"/>
  <c r="B636" i="15"/>
  <c r="B635" i="15"/>
  <c r="B634" i="15"/>
  <c r="B633" i="15"/>
  <c r="B632" i="15"/>
  <c r="B631" i="15"/>
  <c r="B630" i="15"/>
  <c r="B629" i="15"/>
  <c r="B628" i="15"/>
  <c r="B627" i="15"/>
  <c r="B626" i="15"/>
  <c r="B625" i="15"/>
  <c r="B624" i="15"/>
  <c r="B623" i="15"/>
  <c r="B622" i="15"/>
  <c r="B621" i="15"/>
  <c r="B620" i="15"/>
  <c r="B619" i="15"/>
  <c r="B618" i="15"/>
  <c r="B617" i="15"/>
  <c r="B616" i="15"/>
  <c r="B615" i="15"/>
  <c r="B614" i="15"/>
  <c r="B613" i="15"/>
  <c r="B612" i="15"/>
  <c r="B611" i="15"/>
  <c r="B610" i="15"/>
  <c r="B609" i="15"/>
  <c r="B608" i="15"/>
  <c r="B607" i="15"/>
  <c r="B606" i="15"/>
  <c r="B605" i="15"/>
  <c r="B604" i="15"/>
  <c r="B603" i="15"/>
  <c r="B602" i="15"/>
  <c r="B601" i="15"/>
  <c r="B600" i="15"/>
  <c r="B599" i="15"/>
  <c r="B598" i="15"/>
  <c r="B597" i="15"/>
  <c r="B596" i="15"/>
  <c r="B595" i="15"/>
  <c r="B594" i="15"/>
  <c r="B593" i="15"/>
  <c r="B592" i="15"/>
  <c r="B591" i="15"/>
  <c r="B590" i="15"/>
  <c r="B589" i="15"/>
  <c r="B588" i="15"/>
  <c r="B587" i="15"/>
  <c r="B586" i="15"/>
  <c r="B585" i="15"/>
  <c r="B584" i="15"/>
  <c r="B583" i="15"/>
  <c r="B582" i="15"/>
  <c r="B581" i="15"/>
  <c r="B580" i="15"/>
  <c r="B579" i="15"/>
  <c r="B578" i="15"/>
  <c r="B577" i="15"/>
  <c r="B576" i="15"/>
  <c r="B575" i="15"/>
  <c r="B574" i="15"/>
  <c r="B573" i="15"/>
  <c r="B572" i="15"/>
  <c r="B571" i="15"/>
  <c r="B570" i="15"/>
  <c r="B569" i="15"/>
  <c r="B568" i="15"/>
  <c r="B567" i="15"/>
  <c r="B566" i="15"/>
  <c r="B565" i="15"/>
  <c r="B564" i="15"/>
  <c r="B563" i="15"/>
  <c r="B562" i="15"/>
  <c r="B561" i="15"/>
  <c r="B560" i="15"/>
  <c r="B559" i="15"/>
  <c r="B558" i="15"/>
  <c r="B557" i="15"/>
  <c r="B556" i="15"/>
  <c r="B555" i="15"/>
  <c r="B554" i="15"/>
  <c r="B553" i="15"/>
  <c r="B552" i="15"/>
  <c r="B551" i="15"/>
  <c r="B550" i="15"/>
  <c r="B549" i="15"/>
  <c r="B548" i="15"/>
  <c r="B547" i="15"/>
  <c r="B546" i="15"/>
  <c r="B545" i="15"/>
  <c r="B544" i="15"/>
  <c r="B543" i="15"/>
  <c r="B542" i="15"/>
  <c r="B541" i="15"/>
  <c r="B540" i="15"/>
  <c r="B539" i="15"/>
  <c r="B538" i="15"/>
  <c r="B537" i="15"/>
  <c r="B536" i="15"/>
  <c r="B535" i="15"/>
  <c r="B534" i="15"/>
  <c r="B533" i="15"/>
  <c r="B532" i="15"/>
  <c r="B531" i="15"/>
  <c r="B530" i="15"/>
  <c r="B529" i="15"/>
  <c r="B528" i="15"/>
  <c r="B527" i="15"/>
  <c r="B526" i="15"/>
  <c r="B525" i="15"/>
  <c r="B524" i="15"/>
  <c r="B523" i="15"/>
  <c r="B522" i="15"/>
  <c r="B521" i="15"/>
  <c r="B520" i="15"/>
  <c r="B519" i="15"/>
  <c r="B518" i="15"/>
  <c r="B517" i="15"/>
  <c r="B516" i="15"/>
  <c r="B515" i="15"/>
  <c r="B514" i="15"/>
  <c r="B513" i="15"/>
  <c r="B512" i="15"/>
  <c r="B511" i="15"/>
  <c r="B510" i="15"/>
  <c r="B509" i="15"/>
  <c r="B508" i="15"/>
  <c r="B507" i="15"/>
  <c r="B506" i="15"/>
  <c r="B505" i="15"/>
  <c r="B504" i="15"/>
  <c r="B503" i="15"/>
  <c r="B502" i="15"/>
  <c r="B501" i="15"/>
  <c r="B500" i="15"/>
  <c r="B499" i="15"/>
  <c r="B498" i="15"/>
  <c r="B497" i="15"/>
  <c r="B496" i="15"/>
  <c r="B495" i="15"/>
  <c r="B494" i="15"/>
  <c r="B493" i="15"/>
  <c r="B492" i="15"/>
  <c r="B491" i="15"/>
  <c r="B490" i="15"/>
  <c r="B489" i="15"/>
  <c r="B488" i="15"/>
  <c r="B487" i="15"/>
  <c r="B486" i="15"/>
  <c r="B485" i="15"/>
  <c r="B484" i="15"/>
  <c r="B483" i="15"/>
  <c r="B482" i="15"/>
  <c r="B481" i="15"/>
  <c r="B480" i="15"/>
  <c r="B479" i="15"/>
  <c r="B478" i="15"/>
  <c r="B477" i="15"/>
  <c r="B476" i="15"/>
  <c r="B475" i="15"/>
  <c r="B474" i="15"/>
  <c r="B473" i="15"/>
  <c r="B472" i="15"/>
  <c r="B471" i="15"/>
  <c r="B470" i="15"/>
  <c r="B469" i="15"/>
  <c r="B468" i="15"/>
  <c r="B467" i="15"/>
  <c r="B466" i="15"/>
  <c r="B465" i="15"/>
  <c r="B464" i="15"/>
  <c r="B463" i="15"/>
  <c r="B462" i="15"/>
  <c r="B461" i="15"/>
  <c r="B460" i="15"/>
  <c r="B459" i="15"/>
  <c r="B458" i="15"/>
  <c r="B457" i="15"/>
  <c r="B456" i="15"/>
  <c r="B455" i="15"/>
  <c r="B454" i="15"/>
  <c r="B453" i="15"/>
  <c r="B452" i="15"/>
  <c r="B451" i="15"/>
  <c r="B450" i="15"/>
  <c r="B449" i="15"/>
  <c r="B448" i="15"/>
  <c r="B447" i="15"/>
  <c r="B446" i="15"/>
  <c r="B445" i="15"/>
  <c r="B444" i="15"/>
  <c r="B443" i="15"/>
  <c r="B442" i="15"/>
  <c r="B441" i="15"/>
  <c r="B440" i="15"/>
  <c r="B439" i="15"/>
  <c r="B438" i="15"/>
  <c r="B437" i="15"/>
  <c r="B436" i="15"/>
  <c r="B435" i="15"/>
  <c r="B434" i="15"/>
  <c r="B433" i="15"/>
  <c r="B432" i="15"/>
  <c r="B431" i="15"/>
  <c r="B430" i="15"/>
  <c r="B429" i="15"/>
  <c r="B428" i="15"/>
  <c r="B427" i="15"/>
  <c r="B426" i="15"/>
  <c r="B425" i="15"/>
  <c r="B424" i="15"/>
  <c r="B423" i="15"/>
  <c r="B422" i="15"/>
  <c r="B421" i="15"/>
  <c r="B420" i="15"/>
  <c r="B419" i="15"/>
  <c r="B418" i="15"/>
  <c r="B417" i="15"/>
  <c r="B416" i="15"/>
  <c r="B415" i="15"/>
  <c r="B414" i="15"/>
  <c r="B413" i="15"/>
  <c r="B412" i="15"/>
  <c r="B411" i="15"/>
  <c r="B410" i="15"/>
  <c r="B409" i="15"/>
  <c r="B408" i="15"/>
  <c r="B407" i="15"/>
  <c r="B406" i="15"/>
  <c r="B405" i="15"/>
  <c r="B404" i="15"/>
  <c r="B403" i="15"/>
  <c r="B402" i="15"/>
  <c r="B401" i="15"/>
  <c r="B400" i="15"/>
  <c r="B399" i="15"/>
  <c r="B398" i="15"/>
  <c r="B397" i="15"/>
  <c r="B396" i="15"/>
  <c r="B395" i="15"/>
  <c r="B394" i="15"/>
  <c r="B393" i="15"/>
  <c r="B392" i="15"/>
  <c r="B391" i="15"/>
  <c r="B390" i="15"/>
  <c r="B389" i="15"/>
  <c r="B388" i="15"/>
  <c r="B387" i="15"/>
  <c r="B386" i="15"/>
  <c r="B385" i="15"/>
  <c r="B384" i="15"/>
  <c r="B383" i="15"/>
  <c r="B382" i="15"/>
  <c r="B381" i="15"/>
  <c r="B380" i="15"/>
  <c r="B379" i="15"/>
  <c r="B378" i="15"/>
  <c r="B377" i="15"/>
  <c r="B376" i="15"/>
  <c r="B375" i="15"/>
  <c r="B374" i="15"/>
  <c r="B373" i="15"/>
  <c r="B372" i="15"/>
  <c r="B371" i="15"/>
  <c r="B370" i="15"/>
  <c r="B369" i="15"/>
  <c r="B368" i="15"/>
  <c r="B367" i="15"/>
  <c r="B366" i="15"/>
  <c r="B365" i="15"/>
  <c r="B364" i="15"/>
  <c r="B363" i="15"/>
  <c r="B362" i="15"/>
  <c r="B361" i="15"/>
  <c r="B360" i="15"/>
  <c r="B359" i="15"/>
  <c r="B358" i="15"/>
  <c r="B357" i="15"/>
  <c r="B356" i="15"/>
  <c r="B355" i="15"/>
  <c r="B354" i="15"/>
  <c r="B353" i="15"/>
  <c r="B352" i="15"/>
  <c r="B351" i="15"/>
  <c r="B350" i="15"/>
  <c r="B349" i="15"/>
  <c r="B348" i="15"/>
  <c r="B347" i="15"/>
  <c r="B346" i="15"/>
  <c r="B345" i="15"/>
  <c r="B344" i="15"/>
  <c r="B343" i="15"/>
  <c r="B342" i="15"/>
  <c r="B341" i="15"/>
  <c r="B340" i="15"/>
  <c r="B339" i="15"/>
  <c r="B338" i="15"/>
  <c r="B337" i="15"/>
  <c r="B336" i="15"/>
  <c r="B335" i="15"/>
  <c r="B334" i="15"/>
  <c r="B333" i="15"/>
  <c r="B332" i="15"/>
  <c r="B331" i="15"/>
  <c r="B330" i="15"/>
  <c r="B329" i="15"/>
  <c r="B328" i="15"/>
  <c r="B327" i="15"/>
  <c r="B326" i="15"/>
  <c r="B325" i="15"/>
  <c r="B324" i="15"/>
  <c r="B323" i="15"/>
  <c r="B322" i="15"/>
  <c r="B321" i="15"/>
  <c r="B320" i="15"/>
  <c r="B319" i="15"/>
  <c r="B318" i="15"/>
  <c r="B317" i="15"/>
  <c r="B316" i="15"/>
  <c r="B315" i="15"/>
  <c r="B314" i="15"/>
  <c r="B313" i="15"/>
  <c r="B312" i="15"/>
  <c r="B311" i="15"/>
  <c r="B310" i="15"/>
  <c r="B309" i="15"/>
  <c r="B308" i="15"/>
  <c r="B307" i="15"/>
  <c r="B306" i="15"/>
  <c r="B305" i="15"/>
  <c r="B304" i="15"/>
  <c r="B303" i="15"/>
  <c r="B302" i="15"/>
  <c r="B301" i="15"/>
  <c r="B300" i="15"/>
  <c r="B299" i="15"/>
  <c r="B298" i="15"/>
  <c r="B297" i="15"/>
  <c r="B296" i="15"/>
  <c r="B295" i="15"/>
  <c r="B294" i="15"/>
  <c r="B293" i="15"/>
  <c r="B292" i="15"/>
  <c r="B291" i="15"/>
  <c r="B290" i="15"/>
  <c r="B289" i="15"/>
  <c r="B288" i="15"/>
  <c r="B287" i="15"/>
  <c r="B286" i="15"/>
  <c r="B285" i="15"/>
  <c r="B284" i="15"/>
  <c r="B283" i="15"/>
  <c r="B282" i="15"/>
  <c r="B281" i="15"/>
  <c r="B280" i="15"/>
  <c r="B279" i="15"/>
  <c r="B278" i="15"/>
  <c r="B277" i="15"/>
  <c r="B276" i="15"/>
  <c r="B275" i="15"/>
  <c r="B274" i="15"/>
  <c r="B273" i="15"/>
  <c r="B272" i="15"/>
  <c r="B271" i="15"/>
  <c r="B270" i="15"/>
  <c r="B269" i="15"/>
  <c r="B268" i="15"/>
  <c r="B267" i="15"/>
  <c r="B266" i="15"/>
  <c r="B265" i="15"/>
  <c r="B264" i="15"/>
  <c r="B263" i="15"/>
  <c r="B262" i="15"/>
  <c r="B261" i="15"/>
  <c r="B260" i="15"/>
  <c r="B259" i="15"/>
  <c r="B258" i="15"/>
  <c r="B257" i="15"/>
  <c r="B256" i="15"/>
  <c r="B255" i="15"/>
  <c r="B254" i="15"/>
  <c r="B253" i="15"/>
  <c r="B252" i="15"/>
  <c r="B251" i="15"/>
  <c r="B250" i="15"/>
  <c r="B249" i="15"/>
  <c r="B248" i="15"/>
  <c r="B247" i="15"/>
  <c r="B246" i="15"/>
  <c r="B245" i="15"/>
  <c r="B244" i="15"/>
  <c r="B243" i="15"/>
  <c r="B242" i="15"/>
  <c r="B241" i="15"/>
  <c r="B240" i="15"/>
  <c r="B239" i="15"/>
  <c r="B238" i="15"/>
  <c r="B237" i="15"/>
  <c r="B236" i="15"/>
  <c r="B235" i="15"/>
  <c r="B234" i="15"/>
  <c r="B233" i="15"/>
  <c r="B232" i="15"/>
  <c r="B231" i="15"/>
  <c r="B230" i="15"/>
  <c r="B229" i="15"/>
  <c r="B228" i="15"/>
  <c r="B227" i="15"/>
  <c r="B226" i="15"/>
  <c r="A40" i="15"/>
  <c r="A39" i="15"/>
  <c r="A38" i="15"/>
  <c r="A37" i="15"/>
  <c r="A36" i="15"/>
  <c r="A35" i="15"/>
  <c r="A34" i="15"/>
  <c r="A33" i="15"/>
  <c r="A32" i="15"/>
  <c r="A31" i="15"/>
  <c r="A30" i="15"/>
  <c r="A29" i="15"/>
  <c r="A28" i="15"/>
  <c r="A27" i="15"/>
  <c r="A26" i="15"/>
  <c r="A25" i="15"/>
  <c r="A24" i="15"/>
  <c r="A23" i="15"/>
  <c r="A22" i="15"/>
  <c r="A21" i="15"/>
  <c r="A20" i="15"/>
  <c r="A19" i="15"/>
  <c r="A18" i="15"/>
  <c r="A17" i="15"/>
  <c r="A16" i="15"/>
  <c r="A15" i="15"/>
  <c r="A14" i="15"/>
  <c r="A13" i="15"/>
  <c r="A12" i="15"/>
  <c r="A11" i="15"/>
  <c r="A10" i="15"/>
  <c r="A9" i="15"/>
  <c r="A8" i="15"/>
  <c r="A7" i="15"/>
  <c r="A6" i="15"/>
  <c r="A5" i="15"/>
  <c r="A4" i="15"/>
  <c r="A3" i="15"/>
  <c r="A2" i="15"/>
  <c r="B1877" i="14"/>
  <c r="B1876" i="14"/>
  <c r="B1875" i="14"/>
  <c r="B1874" i="14"/>
  <c r="B1873" i="14"/>
  <c r="B1872" i="14"/>
  <c r="B1871" i="14"/>
  <c r="B1870" i="14"/>
  <c r="B1869" i="14"/>
  <c r="B1868" i="14"/>
  <c r="B1867" i="14"/>
  <c r="B1866" i="14"/>
  <c r="B1865" i="14"/>
  <c r="B1864" i="14"/>
  <c r="B1863" i="14"/>
  <c r="B1862" i="14"/>
  <c r="B1861" i="14"/>
  <c r="B1860" i="14"/>
  <c r="B1859" i="14"/>
  <c r="B1858" i="14"/>
  <c r="B1857" i="14"/>
  <c r="B1856" i="14"/>
  <c r="B1855" i="14"/>
  <c r="B1854" i="14"/>
  <c r="B1853" i="14"/>
  <c r="B1852" i="14"/>
  <c r="B1851" i="14"/>
  <c r="B1850" i="14"/>
  <c r="B1849" i="14"/>
  <c r="B1848" i="14"/>
  <c r="B1847" i="14"/>
  <c r="B1846" i="14"/>
  <c r="B1845" i="14"/>
  <c r="B1844" i="14"/>
  <c r="B1843" i="14"/>
  <c r="B1842" i="14"/>
  <c r="B1841" i="14"/>
  <c r="B1840" i="14"/>
  <c r="B1839" i="14"/>
  <c r="B1838" i="14"/>
  <c r="B1837" i="14"/>
  <c r="B1836" i="14"/>
  <c r="B1835" i="14"/>
  <c r="B1834" i="14"/>
  <c r="B1833" i="14"/>
  <c r="B1832" i="14"/>
  <c r="B1831" i="14"/>
  <c r="B1830" i="14"/>
  <c r="B1829" i="14"/>
  <c r="B1828" i="14"/>
  <c r="B1827" i="14"/>
  <c r="B1826" i="14"/>
  <c r="B1825" i="14"/>
  <c r="B1824" i="14"/>
  <c r="B1823" i="14"/>
  <c r="B1822" i="14"/>
  <c r="B1821" i="14"/>
  <c r="B1820" i="14"/>
  <c r="B1819" i="14"/>
  <c r="B1818" i="14"/>
  <c r="B1817" i="14"/>
  <c r="B1816" i="14"/>
  <c r="B1815" i="14"/>
  <c r="B1814" i="14"/>
  <c r="B1813" i="14"/>
  <c r="B1812" i="14"/>
  <c r="B1811" i="14"/>
  <c r="B1810" i="14"/>
  <c r="B1809" i="14"/>
  <c r="B1808" i="14"/>
  <c r="B1807" i="14"/>
  <c r="B1806" i="14"/>
  <c r="B1805" i="14"/>
  <c r="B1804" i="14"/>
  <c r="B1803" i="14"/>
  <c r="B1802" i="14"/>
  <c r="B1801" i="14"/>
  <c r="B1800" i="14"/>
  <c r="B1799" i="14"/>
  <c r="B1798" i="14"/>
  <c r="B1797" i="14"/>
  <c r="B1796" i="14"/>
  <c r="B1795" i="14"/>
  <c r="B1794" i="14"/>
  <c r="B1793" i="14"/>
  <c r="B1792" i="14"/>
  <c r="B1791" i="14"/>
  <c r="B1790" i="14"/>
  <c r="B1789" i="14"/>
  <c r="B1788" i="14"/>
  <c r="B1787" i="14"/>
  <c r="B1786" i="14"/>
  <c r="B1785" i="14"/>
  <c r="B1784" i="14"/>
  <c r="B1783" i="14"/>
  <c r="B1782" i="14"/>
  <c r="B1781" i="14"/>
  <c r="B1780" i="14"/>
  <c r="B1779" i="14"/>
  <c r="B1778" i="14"/>
  <c r="B1777" i="14"/>
  <c r="B1776" i="14"/>
  <c r="B1775" i="14"/>
  <c r="B1774" i="14"/>
  <c r="B1773" i="14"/>
  <c r="B1772" i="14"/>
  <c r="B1771" i="14"/>
  <c r="B1770" i="14"/>
  <c r="B1769" i="14"/>
  <c r="B1768" i="14"/>
  <c r="B1767" i="14"/>
  <c r="B1766" i="14"/>
  <c r="B1765" i="14"/>
  <c r="B1764" i="14"/>
  <c r="B1763" i="14"/>
  <c r="B1762" i="14"/>
  <c r="B1761" i="14"/>
  <c r="B1760" i="14"/>
  <c r="B1759" i="14"/>
  <c r="B1758" i="14"/>
  <c r="B1757" i="14"/>
  <c r="B1756" i="14"/>
  <c r="B1755" i="14"/>
  <c r="B1754" i="14"/>
  <c r="B1753" i="14"/>
  <c r="B1752" i="14"/>
  <c r="B1751" i="14"/>
  <c r="B1750" i="14"/>
  <c r="B1749" i="14"/>
  <c r="B1748" i="14"/>
  <c r="B1747" i="14"/>
  <c r="B1746" i="14"/>
  <c r="B1745" i="14"/>
  <c r="B1744" i="14"/>
  <c r="B1743" i="14"/>
  <c r="B1742" i="14"/>
  <c r="B1741" i="14"/>
  <c r="B1740" i="14"/>
  <c r="B1739" i="14"/>
  <c r="B1738" i="14"/>
  <c r="B1737" i="14"/>
  <c r="B1736" i="14"/>
  <c r="B1735" i="14"/>
  <c r="B1734" i="14"/>
  <c r="B1733" i="14"/>
  <c r="B1732" i="14"/>
  <c r="B1731" i="14"/>
  <c r="B1730" i="14"/>
  <c r="B1729" i="14"/>
  <c r="B1728" i="14"/>
  <c r="B1727" i="14"/>
  <c r="B1726" i="14"/>
  <c r="B1725" i="14"/>
  <c r="B1724" i="14"/>
  <c r="B1723" i="14"/>
  <c r="B1722" i="14"/>
  <c r="B1721" i="14"/>
  <c r="B1720" i="14"/>
  <c r="B1719" i="14"/>
  <c r="B1718" i="14"/>
  <c r="B1717" i="14"/>
  <c r="B1716" i="14"/>
  <c r="B1715" i="14"/>
  <c r="B1714" i="14"/>
  <c r="B1713" i="14"/>
  <c r="B1712" i="14"/>
  <c r="B1711" i="14"/>
  <c r="B1710" i="14"/>
  <c r="B1709" i="14"/>
  <c r="B1708" i="14"/>
  <c r="B1707" i="14"/>
  <c r="B1706" i="14"/>
  <c r="B1705" i="14"/>
  <c r="B1704" i="14"/>
  <c r="B1703" i="14"/>
  <c r="B1702" i="14"/>
  <c r="B1701" i="14"/>
  <c r="B1700" i="14"/>
  <c r="B1699" i="14"/>
  <c r="B1698" i="14"/>
  <c r="B1697" i="14"/>
  <c r="B1696" i="14"/>
  <c r="B1695" i="14"/>
  <c r="B1694" i="14"/>
  <c r="B1693" i="14"/>
  <c r="B1692" i="14"/>
  <c r="B1691" i="14"/>
  <c r="B1690" i="14"/>
  <c r="B1689" i="14"/>
  <c r="B1688" i="14"/>
  <c r="B1687" i="14"/>
  <c r="B1686" i="14"/>
  <c r="B1685" i="14"/>
  <c r="B1684" i="14"/>
  <c r="B1683" i="14"/>
  <c r="B1682" i="14"/>
  <c r="B1681" i="14"/>
  <c r="B1680" i="14"/>
  <c r="B1679" i="14"/>
  <c r="B1678" i="14"/>
  <c r="B1677" i="14"/>
  <c r="B1676" i="14"/>
  <c r="B1675" i="14"/>
  <c r="B1674" i="14"/>
  <c r="B1673" i="14"/>
  <c r="B1672" i="14"/>
  <c r="B1671" i="14"/>
  <c r="B1670" i="14"/>
  <c r="B1669" i="14"/>
  <c r="B1668" i="14"/>
  <c r="B1667" i="14"/>
  <c r="B1666" i="14"/>
  <c r="B1665" i="14"/>
  <c r="B1664" i="14"/>
  <c r="B1663" i="14"/>
  <c r="B1662" i="14"/>
  <c r="B1661" i="14"/>
  <c r="B1660" i="14"/>
  <c r="B1659" i="14"/>
  <c r="B1658" i="14"/>
  <c r="B1657" i="14"/>
  <c r="B1656" i="14"/>
  <c r="B1655" i="14"/>
  <c r="B1654" i="14"/>
  <c r="B1653" i="14"/>
  <c r="B1652" i="14"/>
  <c r="B1651" i="14"/>
  <c r="B1650" i="14"/>
  <c r="B1649" i="14"/>
  <c r="B1648" i="14"/>
  <c r="B1647" i="14"/>
  <c r="B1646" i="14"/>
  <c r="B1645" i="14"/>
  <c r="B1644" i="14"/>
  <c r="B1643" i="14"/>
  <c r="B1642" i="14"/>
  <c r="B1641" i="14"/>
  <c r="B1640" i="14"/>
  <c r="B1639" i="14"/>
  <c r="B1638" i="14"/>
  <c r="B1637" i="14"/>
  <c r="B1636" i="14"/>
  <c r="B1635" i="14"/>
  <c r="B1634" i="14"/>
  <c r="B1633" i="14"/>
  <c r="B1632" i="14"/>
  <c r="B1631" i="14"/>
  <c r="B1630" i="14"/>
  <c r="B1629" i="14"/>
  <c r="B1628" i="14"/>
  <c r="B1627" i="14"/>
  <c r="B1626" i="14"/>
  <c r="B1625" i="14"/>
  <c r="B1624" i="14"/>
  <c r="B1623" i="14"/>
  <c r="B1622" i="14"/>
  <c r="B1621" i="14"/>
  <c r="B1620" i="14"/>
  <c r="B1619" i="14"/>
  <c r="B1618" i="14"/>
  <c r="B1617" i="14"/>
  <c r="B1616" i="14"/>
  <c r="B1615" i="14"/>
  <c r="B1614" i="14"/>
  <c r="B1613" i="14"/>
  <c r="B1612" i="14"/>
  <c r="B1611" i="14"/>
  <c r="B1610" i="14"/>
  <c r="B1609" i="14"/>
  <c r="B1608" i="14"/>
  <c r="B1607" i="14"/>
  <c r="B1606" i="14"/>
  <c r="B1605" i="14"/>
  <c r="B1604" i="14"/>
  <c r="B1603" i="14"/>
  <c r="B1602" i="14"/>
  <c r="B1601" i="14"/>
  <c r="B1600" i="14"/>
  <c r="B1599" i="14"/>
  <c r="B1598" i="14"/>
  <c r="B1597" i="14"/>
  <c r="B1596" i="14"/>
  <c r="B1595" i="14"/>
  <c r="B1594" i="14"/>
  <c r="B1593" i="14"/>
  <c r="B1592" i="14"/>
  <c r="B1591" i="14"/>
  <c r="B1590" i="14"/>
  <c r="B1589" i="14"/>
  <c r="B1588" i="14"/>
  <c r="B1587" i="14"/>
  <c r="B1586" i="14"/>
  <c r="B1585" i="14"/>
  <c r="B1584" i="14"/>
  <c r="B1583" i="14"/>
  <c r="B1582" i="14"/>
  <c r="B1581" i="14"/>
  <c r="B1580" i="14"/>
  <c r="B1579" i="14"/>
  <c r="B1578" i="14"/>
  <c r="B1577" i="14"/>
  <c r="B1576" i="14"/>
  <c r="B1575" i="14"/>
  <c r="B1574" i="14"/>
  <c r="B1573" i="14"/>
  <c r="B1572" i="14"/>
  <c r="B1571" i="14"/>
  <c r="B1570" i="14"/>
  <c r="B1569" i="14"/>
  <c r="B1568" i="14"/>
  <c r="B1567" i="14"/>
  <c r="B1566" i="14"/>
  <c r="B1565" i="14"/>
  <c r="B1564" i="14"/>
  <c r="B1563" i="14"/>
  <c r="B1562" i="14"/>
  <c r="B1561" i="14"/>
  <c r="B1560" i="14"/>
  <c r="B1559" i="14"/>
  <c r="B1558" i="14"/>
  <c r="B1557" i="14"/>
  <c r="B1556" i="14"/>
  <c r="B1555" i="14"/>
  <c r="B1554" i="14"/>
  <c r="B1553" i="14"/>
  <c r="B1552" i="14"/>
  <c r="B1551" i="14"/>
  <c r="B1550" i="14"/>
  <c r="B1549" i="14"/>
  <c r="B1548" i="14"/>
  <c r="B1547" i="14"/>
  <c r="B1546" i="14"/>
  <c r="B1545" i="14"/>
  <c r="B1544" i="14"/>
  <c r="B1543" i="14"/>
  <c r="B1542" i="14"/>
  <c r="B1541" i="14"/>
  <c r="B1540" i="14"/>
  <c r="B1539" i="14"/>
  <c r="B1538" i="14"/>
  <c r="B1537" i="14"/>
  <c r="B1536" i="14"/>
  <c r="B1535" i="14"/>
  <c r="B1534" i="14"/>
  <c r="B1533" i="14"/>
  <c r="B1532" i="14"/>
  <c r="B1531" i="14"/>
  <c r="B1530" i="14"/>
  <c r="B1529" i="14"/>
  <c r="B1528" i="14"/>
  <c r="B1527" i="14"/>
  <c r="B1526" i="14"/>
  <c r="B1525" i="14"/>
  <c r="B1524" i="14"/>
  <c r="B1523" i="14"/>
  <c r="B1522" i="14"/>
  <c r="B1521" i="14"/>
  <c r="B1520" i="14"/>
  <c r="B1519" i="14"/>
  <c r="B1518" i="14"/>
  <c r="B1517" i="14"/>
  <c r="B1516" i="14"/>
  <c r="B1515" i="14"/>
  <c r="B1514" i="14"/>
  <c r="B1513" i="14"/>
  <c r="B1512" i="14"/>
  <c r="B1511" i="14"/>
  <c r="B1510" i="14"/>
  <c r="B1509" i="14"/>
  <c r="B1508" i="14"/>
  <c r="B1507" i="14"/>
  <c r="B1506" i="14"/>
  <c r="B1505" i="14"/>
  <c r="B1504" i="14"/>
  <c r="B1503" i="14"/>
  <c r="B1502" i="14"/>
  <c r="B1501" i="14"/>
  <c r="B1500" i="14"/>
  <c r="B1499" i="14"/>
  <c r="B1498" i="14"/>
  <c r="B1497" i="14"/>
  <c r="B1496" i="14"/>
  <c r="B1495" i="14"/>
  <c r="B1494" i="14"/>
  <c r="B1493" i="14"/>
  <c r="B1492" i="14"/>
  <c r="B1491" i="14"/>
  <c r="B1490" i="14"/>
  <c r="B1489" i="14"/>
  <c r="B1488" i="14"/>
  <c r="B1487" i="14"/>
  <c r="B1486" i="14"/>
  <c r="B1485" i="14"/>
  <c r="B1484" i="14"/>
  <c r="B1483" i="14"/>
  <c r="B1482" i="14"/>
  <c r="B1481" i="14"/>
  <c r="B1480" i="14"/>
  <c r="B1479" i="14"/>
  <c r="B1478" i="14"/>
  <c r="B1477" i="14"/>
  <c r="B1476" i="14"/>
  <c r="B1475" i="14"/>
  <c r="B1474" i="14"/>
  <c r="B1473" i="14"/>
  <c r="B1472" i="14"/>
  <c r="B1471" i="14"/>
  <c r="B1470" i="14"/>
  <c r="B1469" i="14"/>
  <c r="B1468" i="14"/>
  <c r="B1467" i="14"/>
  <c r="B1466" i="14"/>
  <c r="B1465" i="14"/>
  <c r="B1464" i="14"/>
  <c r="B1463" i="14"/>
  <c r="B1462" i="14"/>
  <c r="B1461" i="14"/>
  <c r="B1460" i="14"/>
  <c r="B1459" i="14"/>
  <c r="B1458" i="14"/>
  <c r="B1457" i="14"/>
  <c r="B1456" i="14"/>
  <c r="B1455" i="14"/>
  <c r="B1454" i="14"/>
  <c r="B1453" i="14"/>
  <c r="B1452" i="14"/>
  <c r="B1451" i="14"/>
  <c r="B1450" i="14"/>
  <c r="B1449" i="14"/>
  <c r="B1448" i="14"/>
  <c r="B1447" i="14"/>
  <c r="B1446" i="14"/>
  <c r="B1445" i="14"/>
  <c r="B1444" i="14"/>
  <c r="B1443" i="14"/>
  <c r="B1442" i="14"/>
  <c r="B1441" i="14"/>
  <c r="B1440" i="14"/>
  <c r="B1439" i="14"/>
  <c r="B1438" i="14"/>
  <c r="B1437" i="14"/>
  <c r="B1436" i="14"/>
  <c r="B1435" i="14"/>
  <c r="B1434" i="14"/>
  <c r="B1433" i="14"/>
  <c r="B1432" i="14"/>
  <c r="B1431" i="14"/>
  <c r="B1430" i="14"/>
  <c r="B1429" i="14"/>
  <c r="B1428" i="14"/>
  <c r="B1427" i="14"/>
  <c r="B1426" i="14"/>
  <c r="B1425" i="14"/>
  <c r="B1424" i="14"/>
  <c r="B1423" i="14"/>
  <c r="B1422" i="14"/>
  <c r="B1421" i="14"/>
  <c r="B1420" i="14"/>
  <c r="B1419" i="14"/>
  <c r="B1418" i="14"/>
  <c r="B1417" i="14"/>
  <c r="B1416" i="14"/>
  <c r="B1415" i="14"/>
  <c r="B1414" i="14"/>
  <c r="B1413" i="14"/>
  <c r="B1412" i="14"/>
  <c r="B1411" i="14"/>
  <c r="B1410" i="14"/>
  <c r="B1409" i="14"/>
  <c r="B1408" i="14"/>
  <c r="B1407" i="14"/>
  <c r="B1406" i="14"/>
  <c r="B1405" i="14"/>
  <c r="B1404" i="14"/>
  <c r="B1403" i="14"/>
  <c r="B1402" i="14"/>
  <c r="B1401" i="14"/>
  <c r="B1400" i="14"/>
  <c r="B1399" i="14"/>
  <c r="B1398" i="14"/>
  <c r="B1397" i="14"/>
  <c r="B1396" i="14"/>
  <c r="B1395" i="14"/>
  <c r="B1394" i="14"/>
  <c r="B1393" i="14"/>
  <c r="B1392" i="14"/>
  <c r="B1391" i="14"/>
  <c r="B1390" i="14"/>
  <c r="B1389" i="14"/>
  <c r="B1388" i="14"/>
  <c r="B1387" i="14"/>
  <c r="B1386" i="14"/>
  <c r="B1385" i="14"/>
  <c r="B1384" i="14"/>
  <c r="B1383" i="14"/>
  <c r="B1382" i="14"/>
  <c r="B1381" i="14"/>
  <c r="B1380" i="14"/>
  <c r="B1379" i="14"/>
  <c r="B1378" i="14"/>
  <c r="B1377" i="14"/>
  <c r="B1376" i="14"/>
  <c r="B1375" i="14"/>
  <c r="B1374" i="14"/>
  <c r="B1373" i="14"/>
  <c r="B1372" i="14"/>
  <c r="B1371" i="14"/>
  <c r="B1370" i="14"/>
  <c r="B1369" i="14"/>
  <c r="B1368" i="14"/>
  <c r="B1367" i="14"/>
  <c r="B1366" i="14"/>
  <c r="B1365" i="14"/>
  <c r="B1364" i="14"/>
  <c r="B1363" i="14"/>
  <c r="B1362" i="14"/>
  <c r="B1361" i="14"/>
  <c r="B1360" i="14"/>
  <c r="B1359" i="14"/>
  <c r="B1358" i="14"/>
  <c r="B1357" i="14"/>
  <c r="B1356" i="14"/>
  <c r="B1355" i="14"/>
  <c r="B1354" i="14"/>
  <c r="B1353" i="14"/>
  <c r="B1352" i="14"/>
  <c r="B1351" i="14"/>
  <c r="B1350" i="14"/>
  <c r="B1349" i="14"/>
  <c r="B1348" i="14"/>
  <c r="B1347" i="14"/>
  <c r="B1346" i="14"/>
  <c r="B1345" i="14"/>
  <c r="B1344" i="14"/>
  <c r="B1343" i="14"/>
  <c r="B1342" i="14"/>
  <c r="B1341" i="14"/>
  <c r="B1340" i="14"/>
  <c r="B1339" i="14"/>
  <c r="B1338" i="14"/>
  <c r="B1337" i="14"/>
  <c r="B1336" i="14"/>
  <c r="B1335" i="14"/>
  <c r="B1334" i="14"/>
  <c r="B1333" i="14"/>
  <c r="B1332" i="14"/>
  <c r="B1331" i="14"/>
  <c r="B1330" i="14"/>
  <c r="B1329" i="14"/>
  <c r="B1328" i="14"/>
  <c r="B1327" i="14"/>
  <c r="B1326" i="14"/>
  <c r="B1325" i="14"/>
  <c r="B1324" i="14"/>
  <c r="B1323" i="14"/>
  <c r="B1322" i="14"/>
  <c r="B1321" i="14"/>
  <c r="B1320" i="14"/>
  <c r="B1319" i="14"/>
  <c r="B1318" i="14"/>
  <c r="B1317" i="14"/>
  <c r="B1316" i="14"/>
  <c r="B1315" i="14"/>
  <c r="B1314" i="14"/>
  <c r="B1313" i="14"/>
  <c r="B1312" i="14"/>
  <c r="B1311" i="14"/>
  <c r="B1310" i="14"/>
  <c r="B1309" i="14"/>
  <c r="B1308" i="14"/>
  <c r="B1307" i="14"/>
  <c r="B1306" i="14"/>
  <c r="B1305" i="14"/>
  <c r="B1304" i="14"/>
  <c r="B1303" i="14"/>
  <c r="B1302" i="14"/>
  <c r="B1301" i="14"/>
  <c r="B1300" i="14"/>
  <c r="B1299" i="14"/>
  <c r="B1298" i="14"/>
  <c r="B1297" i="14"/>
  <c r="B1296" i="14"/>
  <c r="B1295" i="14"/>
  <c r="B1294" i="14"/>
  <c r="B1293" i="14"/>
  <c r="B1292" i="14"/>
  <c r="B1291" i="14"/>
  <c r="B1290" i="14"/>
  <c r="B1289" i="14"/>
  <c r="B1288" i="14"/>
  <c r="B1287" i="14"/>
  <c r="B1286" i="14"/>
  <c r="B1285" i="14"/>
  <c r="B1284" i="14"/>
  <c r="B1283" i="14"/>
  <c r="B1282" i="14"/>
  <c r="B1281" i="14"/>
  <c r="B1280" i="14"/>
  <c r="B1279" i="14"/>
  <c r="B1278" i="14"/>
  <c r="B1277" i="14"/>
  <c r="B1276" i="14"/>
  <c r="B1275" i="14"/>
  <c r="B1274" i="14"/>
  <c r="B1273" i="14"/>
  <c r="B1272" i="14"/>
  <c r="B1271" i="14"/>
  <c r="B1270" i="14"/>
  <c r="B1269" i="14"/>
  <c r="B1268" i="14"/>
  <c r="B1267" i="14"/>
  <c r="B1266" i="14"/>
  <c r="B1265" i="14"/>
  <c r="B1264" i="14"/>
  <c r="B1263" i="14"/>
  <c r="B1262" i="14"/>
  <c r="B1261" i="14"/>
  <c r="B1260" i="14"/>
  <c r="B1259" i="14"/>
  <c r="B1258" i="14"/>
  <c r="B1257" i="14"/>
  <c r="B1256" i="14"/>
  <c r="B1255" i="14"/>
  <c r="B1254" i="14"/>
  <c r="B1253" i="14"/>
  <c r="B1252" i="14"/>
  <c r="B1251" i="14"/>
  <c r="B1250" i="14"/>
  <c r="B1249" i="14"/>
  <c r="B1248" i="14"/>
  <c r="B1247" i="14"/>
  <c r="B1246" i="14"/>
  <c r="B1245" i="14"/>
  <c r="B1244" i="14"/>
  <c r="B1243" i="14"/>
  <c r="B1242" i="14"/>
  <c r="B1241" i="14"/>
  <c r="B1240" i="14"/>
  <c r="B1239" i="14"/>
  <c r="B1238" i="14"/>
  <c r="B1237" i="14"/>
  <c r="B1236" i="14"/>
  <c r="B1235" i="14"/>
  <c r="B1234" i="14"/>
  <c r="B1233" i="14"/>
  <c r="B1232" i="14"/>
  <c r="B1231" i="14"/>
  <c r="B1230" i="14"/>
  <c r="B1229" i="14"/>
  <c r="B1228" i="14"/>
  <c r="B1227" i="14"/>
  <c r="B1226" i="14"/>
  <c r="B1225" i="14"/>
  <c r="B1224" i="14"/>
  <c r="B1223" i="14"/>
  <c r="B1222" i="14"/>
  <c r="B1221" i="14"/>
  <c r="B1220" i="14"/>
  <c r="B1219" i="14"/>
  <c r="B1218" i="14"/>
  <c r="B1217" i="14"/>
  <c r="B1216" i="14"/>
  <c r="B1215" i="14"/>
  <c r="B1214" i="14"/>
  <c r="B1213" i="14"/>
  <c r="B1212" i="14"/>
  <c r="B1211" i="14"/>
  <c r="B1210" i="14"/>
  <c r="B1209" i="14"/>
  <c r="B1208" i="14"/>
  <c r="B1207" i="14"/>
  <c r="B1206" i="14"/>
  <c r="B1205" i="14"/>
  <c r="B1204" i="14"/>
  <c r="B1203" i="14"/>
  <c r="B1202" i="14"/>
  <c r="B1201" i="14"/>
  <c r="B1200" i="14"/>
  <c r="B1199" i="14"/>
  <c r="B1198" i="14"/>
  <c r="B1197" i="14"/>
  <c r="B1196" i="14"/>
  <c r="B1195" i="14"/>
  <c r="B1194" i="14"/>
  <c r="B1193" i="14"/>
  <c r="B1192" i="14"/>
  <c r="B1191" i="14"/>
  <c r="B1190" i="14"/>
  <c r="B1189" i="14"/>
  <c r="B1188" i="14"/>
  <c r="B1187" i="14"/>
  <c r="B1186" i="14"/>
  <c r="B1185" i="14"/>
  <c r="B1184" i="14"/>
  <c r="B1183" i="14"/>
  <c r="B1182" i="14"/>
  <c r="B1181" i="14"/>
  <c r="B1180" i="14"/>
  <c r="B1179" i="14"/>
  <c r="B1178" i="14"/>
  <c r="B1177" i="14"/>
  <c r="B1176" i="14"/>
  <c r="B1175" i="14"/>
  <c r="B1174" i="14"/>
  <c r="B1173" i="14"/>
  <c r="B1172" i="14"/>
  <c r="B1171" i="14"/>
  <c r="B1170" i="14"/>
  <c r="B1169" i="14"/>
  <c r="B1168" i="14"/>
  <c r="B1167" i="14"/>
  <c r="B1166" i="14"/>
  <c r="B1165" i="14"/>
  <c r="B1164" i="14"/>
  <c r="B1163" i="14"/>
  <c r="B1162" i="14"/>
  <c r="B1161" i="14"/>
  <c r="B1160" i="14"/>
  <c r="B1159" i="14"/>
  <c r="B1158" i="14"/>
  <c r="B1157" i="14"/>
  <c r="B1156" i="14"/>
  <c r="B1155" i="14"/>
  <c r="B1154" i="14"/>
  <c r="B1153" i="14"/>
  <c r="B1152" i="14"/>
  <c r="B1151" i="14"/>
  <c r="B1150" i="14"/>
  <c r="B1149" i="14"/>
  <c r="B1148" i="14"/>
  <c r="B1147" i="14"/>
  <c r="B1146" i="14"/>
  <c r="B1145" i="14"/>
  <c r="B1144" i="14"/>
  <c r="B1143" i="14"/>
  <c r="B1142" i="14"/>
  <c r="B1141" i="14"/>
  <c r="B1140" i="14"/>
  <c r="B1139" i="14"/>
  <c r="B1138" i="14"/>
  <c r="B1137" i="14"/>
  <c r="B1136" i="14"/>
  <c r="B1135" i="14"/>
  <c r="B1134" i="14"/>
  <c r="B1133" i="14"/>
  <c r="B1132" i="14"/>
  <c r="B1131" i="14"/>
  <c r="B1130" i="14"/>
  <c r="B1129" i="14"/>
  <c r="B1128" i="14"/>
  <c r="B1127" i="14"/>
  <c r="B1126" i="14"/>
  <c r="B1125" i="14"/>
  <c r="B1124" i="14"/>
  <c r="B1123" i="14"/>
  <c r="B1122" i="14"/>
  <c r="B1121" i="14"/>
  <c r="B1120" i="14"/>
  <c r="B1119" i="14"/>
  <c r="B1118" i="14"/>
  <c r="B1117" i="14"/>
  <c r="B1116" i="14"/>
  <c r="B1115" i="14"/>
  <c r="B1114" i="14"/>
  <c r="B1113" i="14"/>
  <c r="B1112" i="14"/>
  <c r="B1111" i="14"/>
  <c r="B1110" i="14"/>
  <c r="B1109" i="14"/>
  <c r="B1108" i="14"/>
  <c r="B1107" i="14"/>
  <c r="B1106" i="14"/>
  <c r="B1105" i="14"/>
  <c r="B1104" i="14"/>
  <c r="B1103" i="14"/>
  <c r="B1102" i="14"/>
  <c r="B1101" i="14"/>
  <c r="B1100" i="14"/>
  <c r="B1099" i="14"/>
  <c r="B1098" i="14"/>
  <c r="B1097" i="14"/>
  <c r="B1096" i="14"/>
  <c r="B1095" i="14"/>
  <c r="B1094" i="14"/>
  <c r="B1093" i="14"/>
  <c r="B1092" i="14"/>
  <c r="B1091" i="14"/>
  <c r="B1090" i="14"/>
  <c r="B1089" i="14"/>
  <c r="B1088" i="14"/>
  <c r="B1087" i="14"/>
  <c r="B1086" i="14"/>
  <c r="B1085" i="14"/>
  <c r="B1084" i="14"/>
  <c r="B1083" i="14"/>
  <c r="B1082" i="14"/>
  <c r="B1081" i="14"/>
  <c r="B1080" i="14"/>
  <c r="B1079" i="14"/>
  <c r="B1078" i="14"/>
  <c r="B1077" i="14"/>
  <c r="B1076" i="14"/>
  <c r="B1075" i="14"/>
  <c r="B1074" i="14"/>
  <c r="B1073" i="14"/>
  <c r="B1072" i="14"/>
  <c r="B1071" i="14"/>
  <c r="B1070" i="14"/>
  <c r="B1069" i="14"/>
  <c r="B1068" i="14"/>
  <c r="B1067" i="14"/>
  <c r="B1066" i="14"/>
  <c r="B1065" i="14"/>
  <c r="B1064" i="14"/>
  <c r="B1063" i="14"/>
  <c r="B1062" i="14"/>
  <c r="B1061" i="14"/>
  <c r="B1060" i="14"/>
  <c r="B1059" i="14"/>
  <c r="B1058" i="14"/>
  <c r="B1057" i="14"/>
  <c r="B1056" i="14"/>
  <c r="B1055" i="14"/>
  <c r="B1054" i="14"/>
  <c r="B1053" i="14"/>
  <c r="B1052" i="14"/>
  <c r="B1051" i="14"/>
  <c r="B1050" i="14"/>
  <c r="B1049" i="14"/>
  <c r="B1048" i="14"/>
  <c r="B1047" i="14"/>
  <c r="B1046" i="14"/>
  <c r="B1045" i="14"/>
  <c r="B1044" i="14"/>
  <c r="B1043" i="14"/>
  <c r="B1042" i="14"/>
  <c r="B1041" i="14"/>
  <c r="B1040" i="14"/>
  <c r="B1039" i="14"/>
  <c r="B1038" i="14"/>
  <c r="B1037" i="14"/>
  <c r="B1036" i="14"/>
  <c r="B1035" i="14"/>
  <c r="B1034" i="14"/>
  <c r="B1033" i="14"/>
  <c r="B1032" i="14"/>
  <c r="B1031" i="14"/>
  <c r="B1030" i="14"/>
  <c r="B1029" i="14"/>
  <c r="B1028" i="14"/>
  <c r="B1027" i="14"/>
  <c r="B1026" i="14"/>
  <c r="B1025" i="14"/>
  <c r="B1024" i="14"/>
  <c r="B1023" i="14"/>
  <c r="B1022" i="14"/>
  <c r="B1021" i="14"/>
  <c r="B1020" i="14"/>
  <c r="B1019" i="14"/>
  <c r="B1018" i="14"/>
  <c r="B1017" i="14"/>
  <c r="B1016" i="14"/>
  <c r="B1015" i="14"/>
  <c r="B1014" i="14"/>
  <c r="B1013" i="14"/>
  <c r="B1012" i="14"/>
  <c r="B1011" i="14"/>
  <c r="B1010" i="14"/>
  <c r="B1009" i="14"/>
  <c r="B1008" i="14"/>
  <c r="B1007" i="14"/>
  <c r="B1006" i="14"/>
  <c r="B1005" i="14"/>
  <c r="B1004" i="14"/>
  <c r="B1003" i="14"/>
  <c r="B1002" i="14"/>
  <c r="B1001" i="14"/>
  <c r="B1000" i="14"/>
  <c r="B999" i="14"/>
  <c r="B998" i="14"/>
  <c r="B997" i="14"/>
  <c r="B996" i="14"/>
  <c r="B995" i="14"/>
  <c r="B994" i="14"/>
  <c r="B993" i="14"/>
  <c r="B992" i="14"/>
  <c r="B991" i="14"/>
  <c r="B990" i="14"/>
  <c r="B989" i="14"/>
  <c r="B988" i="14"/>
  <c r="B987" i="14"/>
  <c r="B986" i="14"/>
  <c r="B985" i="14"/>
  <c r="B984" i="14"/>
  <c r="B983" i="14"/>
  <c r="B982" i="14"/>
  <c r="B981" i="14"/>
  <c r="B980" i="14"/>
  <c r="B979" i="14"/>
  <c r="B978" i="14"/>
  <c r="B977" i="14"/>
  <c r="B976" i="14"/>
  <c r="B975" i="14"/>
  <c r="B974" i="14"/>
  <c r="B973" i="14"/>
  <c r="B972" i="14"/>
  <c r="B971" i="14"/>
  <c r="B970" i="14"/>
  <c r="B969" i="14"/>
  <c r="B968" i="14"/>
  <c r="B967" i="14"/>
  <c r="B966" i="14"/>
  <c r="B965" i="14"/>
  <c r="B964" i="14"/>
  <c r="B963" i="14"/>
  <c r="B962" i="14"/>
  <c r="B961" i="14"/>
  <c r="B960" i="14"/>
  <c r="B959" i="14"/>
  <c r="B958" i="14"/>
  <c r="B957" i="14"/>
  <c r="B956" i="14"/>
  <c r="B955" i="14"/>
  <c r="B954" i="14"/>
  <c r="B953" i="14"/>
  <c r="B952" i="14"/>
  <c r="B951" i="14"/>
  <c r="B950" i="14"/>
  <c r="B949" i="14"/>
  <c r="B948" i="14"/>
  <c r="B947" i="14"/>
  <c r="B946" i="14"/>
  <c r="B945" i="14"/>
  <c r="B944" i="14"/>
  <c r="B943" i="14"/>
  <c r="B942" i="14"/>
  <c r="B941" i="14"/>
  <c r="B940" i="14"/>
  <c r="B939" i="14"/>
  <c r="B938" i="14"/>
  <c r="B937" i="14"/>
  <c r="B936" i="14"/>
  <c r="B935" i="14"/>
  <c r="B934" i="14"/>
  <c r="B933" i="14"/>
  <c r="B932" i="14"/>
  <c r="B931" i="14"/>
  <c r="B930" i="14"/>
  <c r="B929" i="14"/>
  <c r="B928" i="14"/>
  <c r="B927" i="14"/>
  <c r="B926" i="14"/>
  <c r="B925" i="14"/>
  <c r="B924" i="14"/>
  <c r="B923" i="14"/>
  <c r="B922" i="14"/>
  <c r="B921" i="14"/>
  <c r="B920" i="14"/>
  <c r="B919" i="14"/>
  <c r="B918" i="14"/>
  <c r="B917" i="14"/>
  <c r="B916" i="14"/>
  <c r="B915" i="14"/>
  <c r="B914" i="14"/>
  <c r="B913" i="14"/>
  <c r="B912" i="14"/>
  <c r="B911" i="14"/>
  <c r="B910" i="14"/>
  <c r="B909" i="14"/>
  <c r="B908" i="14"/>
  <c r="B907" i="14"/>
  <c r="B906" i="14"/>
  <c r="B905" i="14"/>
  <c r="B904" i="14"/>
  <c r="B903" i="14"/>
  <c r="B902" i="14"/>
  <c r="B901" i="14"/>
  <c r="B900" i="14"/>
  <c r="B899" i="14"/>
  <c r="B898" i="14"/>
  <c r="B897" i="14"/>
  <c r="B896" i="14"/>
  <c r="B895" i="14"/>
  <c r="B894" i="14"/>
  <c r="B893" i="14"/>
  <c r="B892" i="14"/>
  <c r="B891" i="14"/>
  <c r="B890" i="14"/>
  <c r="B889" i="14"/>
  <c r="B888" i="14"/>
  <c r="B887" i="14"/>
  <c r="B886" i="14"/>
  <c r="B885" i="14"/>
  <c r="B884" i="14"/>
  <c r="B883" i="14"/>
  <c r="B882" i="14"/>
  <c r="B881" i="14"/>
  <c r="B880" i="14"/>
  <c r="B879" i="14"/>
  <c r="B878" i="14"/>
  <c r="B877" i="14"/>
  <c r="B876" i="14"/>
  <c r="B875" i="14"/>
  <c r="B874" i="14"/>
  <c r="B873" i="14"/>
  <c r="B872" i="14"/>
  <c r="B871" i="14"/>
  <c r="B870" i="14"/>
  <c r="B869" i="14"/>
  <c r="B868" i="14"/>
  <c r="B867" i="14"/>
  <c r="B866" i="14"/>
  <c r="B865" i="14"/>
  <c r="B864" i="14"/>
  <c r="B863" i="14"/>
  <c r="B862" i="14"/>
  <c r="B861" i="14"/>
  <c r="B860" i="14"/>
  <c r="B859" i="14"/>
  <c r="B858" i="14"/>
  <c r="B857" i="14"/>
  <c r="B856" i="14"/>
  <c r="B855" i="14"/>
  <c r="B854" i="14"/>
  <c r="B853" i="14"/>
  <c r="B852" i="14"/>
  <c r="B851" i="14"/>
  <c r="B850" i="14"/>
  <c r="B849" i="14"/>
  <c r="B848" i="14"/>
  <c r="B847" i="14"/>
  <c r="B846" i="14"/>
  <c r="B845" i="14"/>
  <c r="B844" i="14"/>
  <c r="B843" i="14"/>
  <c r="B842" i="14"/>
  <c r="B841" i="14"/>
  <c r="B840" i="14"/>
  <c r="B839" i="14"/>
  <c r="B838" i="14"/>
  <c r="B837" i="14"/>
  <c r="B836" i="14"/>
  <c r="B835" i="14"/>
  <c r="B834" i="14"/>
  <c r="B833" i="14"/>
  <c r="B832" i="14"/>
  <c r="B831" i="14"/>
  <c r="B830" i="14"/>
  <c r="B829" i="14"/>
  <c r="B828" i="14"/>
  <c r="B827" i="14"/>
  <c r="B826" i="14"/>
  <c r="B825" i="14"/>
  <c r="B824" i="14"/>
  <c r="B823" i="14"/>
  <c r="B822" i="14"/>
  <c r="B821" i="14"/>
  <c r="B820" i="14"/>
  <c r="B819" i="14"/>
  <c r="B818" i="14"/>
  <c r="B817" i="14"/>
  <c r="B816" i="14"/>
  <c r="B815" i="14"/>
  <c r="B814" i="14"/>
  <c r="B813" i="14"/>
  <c r="B812" i="14"/>
  <c r="B811" i="14"/>
  <c r="B810" i="14"/>
  <c r="B809" i="14"/>
  <c r="B808" i="14"/>
  <c r="B807" i="14"/>
  <c r="B806" i="14"/>
  <c r="B805" i="14"/>
  <c r="B804" i="14"/>
  <c r="B803" i="14"/>
  <c r="B802" i="14"/>
  <c r="B801" i="14"/>
  <c r="B800" i="14"/>
  <c r="B799" i="14"/>
  <c r="B798" i="14"/>
  <c r="B797" i="14"/>
  <c r="B796" i="14"/>
  <c r="B795" i="14"/>
  <c r="B794" i="14"/>
  <c r="B793" i="14"/>
  <c r="B792" i="14"/>
  <c r="B791" i="14"/>
  <c r="B790" i="14"/>
  <c r="B789" i="14"/>
  <c r="B788" i="14"/>
  <c r="B787" i="14"/>
  <c r="B786" i="14"/>
  <c r="B785" i="14"/>
  <c r="B784" i="14"/>
  <c r="B783" i="14"/>
  <c r="B782" i="14"/>
  <c r="B781" i="14"/>
  <c r="B780" i="14"/>
  <c r="B779" i="14"/>
  <c r="B778" i="14"/>
  <c r="B777" i="14"/>
  <c r="B776" i="14"/>
  <c r="B775" i="14"/>
  <c r="B774" i="14"/>
  <c r="B773" i="14"/>
  <c r="B772" i="14"/>
  <c r="B771" i="14"/>
  <c r="B770" i="14"/>
  <c r="B769" i="14"/>
  <c r="B768" i="14"/>
  <c r="B767" i="14"/>
  <c r="B766" i="14"/>
  <c r="B765" i="14"/>
  <c r="B764" i="14"/>
  <c r="B763" i="14"/>
  <c r="B762" i="14"/>
  <c r="B761" i="14"/>
  <c r="B760" i="14"/>
  <c r="B759" i="14"/>
  <c r="B758" i="14"/>
  <c r="B757" i="14"/>
  <c r="B756" i="14"/>
  <c r="B755" i="14"/>
  <c r="B754" i="14"/>
  <c r="B753" i="14"/>
  <c r="B752" i="14"/>
  <c r="B751" i="14"/>
  <c r="B750" i="14"/>
  <c r="B749" i="14"/>
  <c r="B748" i="14"/>
  <c r="B747" i="14"/>
  <c r="B746" i="14"/>
  <c r="B745" i="14"/>
  <c r="B744" i="14"/>
  <c r="B743" i="14"/>
  <c r="B742" i="14"/>
  <c r="B741" i="14"/>
  <c r="B740" i="14"/>
  <c r="B739" i="14"/>
  <c r="B738" i="14"/>
  <c r="B737" i="14"/>
  <c r="B736" i="14"/>
  <c r="B735" i="14"/>
  <c r="B734" i="14"/>
  <c r="B733" i="14"/>
  <c r="B732" i="14"/>
  <c r="B731" i="14"/>
  <c r="B730" i="14"/>
  <c r="B729" i="14"/>
  <c r="B728" i="14"/>
  <c r="B727" i="14"/>
  <c r="B726" i="14"/>
  <c r="B725" i="14"/>
  <c r="B724" i="14"/>
  <c r="B723" i="14"/>
  <c r="B722" i="14"/>
  <c r="B721" i="14"/>
  <c r="B720" i="14"/>
  <c r="B719" i="14"/>
  <c r="B718" i="14"/>
  <c r="B717" i="14"/>
  <c r="B716" i="14"/>
  <c r="B715" i="14"/>
  <c r="B714" i="14"/>
  <c r="B713" i="14"/>
  <c r="B712" i="14"/>
  <c r="B711" i="14"/>
  <c r="B710" i="14"/>
  <c r="B709" i="14"/>
  <c r="B708" i="14"/>
  <c r="B707" i="14"/>
  <c r="B706" i="14"/>
  <c r="B705" i="14"/>
  <c r="B704" i="14"/>
  <c r="B703" i="14"/>
  <c r="B702" i="14"/>
  <c r="B701" i="14"/>
  <c r="B700" i="14"/>
  <c r="B699" i="14"/>
  <c r="B698" i="14"/>
  <c r="B697" i="14"/>
  <c r="B696" i="14"/>
  <c r="B695" i="14"/>
  <c r="B694" i="14"/>
  <c r="B693" i="14"/>
  <c r="B692" i="14"/>
  <c r="B691" i="14"/>
  <c r="B690" i="14"/>
  <c r="B689" i="14"/>
  <c r="B688" i="14"/>
  <c r="B687" i="14"/>
  <c r="B686" i="14"/>
  <c r="B685" i="14"/>
  <c r="B684" i="14"/>
  <c r="B683" i="14"/>
  <c r="B682" i="14"/>
  <c r="B681" i="14"/>
  <c r="B680" i="14"/>
  <c r="B679" i="14"/>
  <c r="B678" i="14"/>
  <c r="B677" i="14"/>
  <c r="B676" i="14"/>
  <c r="B675" i="14"/>
  <c r="B674" i="14"/>
  <c r="B673" i="14"/>
  <c r="B672" i="14"/>
  <c r="B671" i="14"/>
  <c r="B670" i="14"/>
  <c r="B669" i="14"/>
  <c r="B668" i="14"/>
  <c r="B667" i="14"/>
  <c r="B666" i="14"/>
  <c r="B665" i="14"/>
  <c r="B664" i="14"/>
  <c r="B663" i="14"/>
  <c r="B662" i="14"/>
  <c r="B661" i="14"/>
  <c r="B660" i="14"/>
  <c r="B659" i="14"/>
  <c r="B658" i="14"/>
  <c r="B657" i="14"/>
  <c r="B656" i="14"/>
  <c r="B655" i="14"/>
  <c r="B654" i="14"/>
  <c r="B653" i="14"/>
  <c r="B652" i="14"/>
  <c r="B651" i="14"/>
  <c r="B650" i="14"/>
  <c r="B649" i="14"/>
  <c r="B648" i="14"/>
  <c r="B647" i="14"/>
  <c r="B646" i="14"/>
  <c r="B645" i="14"/>
  <c r="B644" i="14"/>
  <c r="B643" i="14"/>
  <c r="B642" i="14"/>
  <c r="B641" i="14"/>
  <c r="B640" i="14"/>
  <c r="B639" i="14"/>
  <c r="B638" i="14"/>
  <c r="B637" i="14"/>
  <c r="B636" i="14"/>
  <c r="B635" i="14"/>
  <c r="B634" i="14"/>
  <c r="B633" i="14"/>
  <c r="B632" i="14"/>
  <c r="B631" i="14"/>
  <c r="B630" i="14"/>
  <c r="B629" i="14"/>
  <c r="B628" i="14"/>
  <c r="B627" i="14"/>
  <c r="B626" i="14"/>
  <c r="B625" i="14"/>
  <c r="B624" i="14"/>
  <c r="B623" i="14"/>
  <c r="B622" i="14"/>
  <c r="B621" i="14"/>
  <c r="B620" i="14"/>
  <c r="B619" i="14"/>
  <c r="B618" i="14"/>
  <c r="B617" i="14"/>
  <c r="B616" i="14"/>
  <c r="B615" i="14"/>
  <c r="B614" i="14"/>
  <c r="B613" i="14"/>
  <c r="B612" i="14"/>
  <c r="B611" i="14"/>
  <c r="B610" i="14"/>
  <c r="B609" i="14"/>
  <c r="B608" i="14"/>
  <c r="B607" i="14"/>
  <c r="B606" i="14"/>
  <c r="B605" i="14"/>
  <c r="B604" i="14"/>
  <c r="B603" i="14"/>
  <c r="B602" i="14"/>
  <c r="B601" i="14"/>
  <c r="B600" i="14"/>
  <c r="B599" i="14"/>
  <c r="B598" i="14"/>
  <c r="B597" i="14"/>
  <c r="B596" i="14"/>
  <c r="B595" i="14"/>
  <c r="B594" i="14"/>
  <c r="B593" i="14"/>
  <c r="B592" i="14"/>
  <c r="B591" i="14"/>
  <c r="B590" i="14"/>
  <c r="B589" i="14"/>
  <c r="B588" i="14"/>
  <c r="B587" i="14"/>
  <c r="B586" i="14"/>
  <c r="B585" i="14"/>
  <c r="B584" i="14"/>
  <c r="B583" i="14"/>
  <c r="B582" i="14"/>
  <c r="B581" i="14"/>
  <c r="B580" i="14"/>
  <c r="B579" i="14"/>
  <c r="B578" i="14"/>
  <c r="B577" i="14"/>
  <c r="B576" i="14"/>
  <c r="B575" i="14"/>
  <c r="B574" i="14"/>
  <c r="B573" i="14"/>
  <c r="B572" i="14"/>
  <c r="B571" i="14"/>
  <c r="B570" i="14"/>
  <c r="B569" i="14"/>
  <c r="B568" i="14"/>
  <c r="B567" i="14"/>
  <c r="B566" i="14"/>
  <c r="B565" i="14"/>
  <c r="B564" i="14"/>
  <c r="B563" i="14"/>
  <c r="B562" i="14"/>
  <c r="B561" i="14"/>
  <c r="B560" i="14"/>
  <c r="B559" i="14"/>
  <c r="B558" i="14"/>
  <c r="B557" i="14"/>
  <c r="B556" i="14"/>
  <c r="B555" i="14"/>
  <c r="B554" i="14"/>
  <c r="B553" i="14"/>
  <c r="B552" i="14"/>
  <c r="B551" i="14"/>
  <c r="B550" i="14"/>
  <c r="B549" i="14"/>
  <c r="B548" i="14"/>
  <c r="B547" i="14"/>
  <c r="B546" i="14"/>
  <c r="B545" i="14"/>
  <c r="B544" i="14"/>
  <c r="B543" i="14"/>
  <c r="B542" i="14"/>
  <c r="B541" i="14"/>
  <c r="B540" i="14"/>
  <c r="B539" i="14"/>
  <c r="B538" i="14"/>
  <c r="B537" i="14"/>
  <c r="B536" i="14"/>
  <c r="B535" i="14"/>
  <c r="B534" i="14"/>
  <c r="B533" i="14"/>
  <c r="B532" i="14"/>
  <c r="B531" i="14"/>
  <c r="B530" i="14"/>
  <c r="B529" i="14"/>
  <c r="B528" i="14"/>
  <c r="B527" i="14"/>
  <c r="B526" i="14"/>
  <c r="B525" i="14"/>
  <c r="B524" i="14"/>
  <c r="B523" i="14"/>
  <c r="B522" i="14"/>
  <c r="B521" i="14"/>
  <c r="B520" i="14"/>
  <c r="B519" i="14"/>
  <c r="B518" i="14"/>
  <c r="B517" i="14"/>
  <c r="B516" i="14"/>
  <c r="B515" i="14"/>
  <c r="B514" i="14"/>
  <c r="B513" i="14"/>
  <c r="B512" i="14"/>
  <c r="B511" i="14"/>
  <c r="B510" i="14"/>
  <c r="B509" i="14"/>
  <c r="B508" i="14"/>
  <c r="B507" i="14"/>
  <c r="B506" i="14"/>
  <c r="B505" i="14"/>
  <c r="B504" i="14"/>
  <c r="B503" i="14"/>
  <c r="B502" i="14"/>
  <c r="B501" i="14"/>
  <c r="B500" i="14"/>
  <c r="B499" i="14"/>
  <c r="B498" i="14"/>
  <c r="B497" i="14"/>
  <c r="B496" i="14"/>
  <c r="B495" i="14"/>
  <c r="B494" i="14"/>
  <c r="B493" i="14"/>
  <c r="B492" i="14"/>
  <c r="B491" i="14"/>
  <c r="B490" i="14"/>
  <c r="B489" i="14"/>
  <c r="B488" i="14"/>
  <c r="B487" i="14"/>
  <c r="B486" i="14"/>
  <c r="B485" i="14"/>
  <c r="B484" i="14"/>
  <c r="B483" i="14"/>
  <c r="B482" i="14"/>
  <c r="B481" i="14"/>
  <c r="B480" i="14"/>
  <c r="B479" i="14"/>
  <c r="B478" i="14"/>
  <c r="B477" i="14"/>
  <c r="B476" i="14"/>
  <c r="B475" i="14"/>
  <c r="B474" i="14"/>
  <c r="B473" i="14"/>
  <c r="B472" i="14"/>
  <c r="B471" i="14"/>
  <c r="B470" i="14"/>
  <c r="B469" i="14"/>
  <c r="B468" i="14"/>
  <c r="B467" i="14"/>
  <c r="B466" i="14"/>
  <c r="B465" i="14"/>
  <c r="B464" i="14"/>
  <c r="B463" i="14"/>
  <c r="B462" i="14"/>
  <c r="B461" i="14"/>
  <c r="B460" i="14"/>
  <c r="B459" i="14"/>
  <c r="B458" i="14"/>
  <c r="B457" i="14"/>
  <c r="B456" i="14"/>
  <c r="B455" i="14"/>
  <c r="B454" i="14"/>
  <c r="B453" i="14"/>
  <c r="B452" i="14"/>
  <c r="B451" i="14"/>
  <c r="B450" i="14"/>
  <c r="B449" i="14"/>
  <c r="B448" i="14"/>
  <c r="B447" i="14"/>
  <c r="B446" i="14"/>
  <c r="B445" i="14"/>
  <c r="B444" i="14"/>
  <c r="B443" i="14"/>
  <c r="B442" i="14"/>
  <c r="B441" i="14"/>
  <c r="B440" i="14"/>
  <c r="B439" i="14"/>
  <c r="B438" i="14"/>
  <c r="B437" i="14"/>
  <c r="B436" i="14"/>
  <c r="B435" i="14"/>
  <c r="B434" i="14"/>
  <c r="B433" i="14"/>
  <c r="B432" i="14"/>
  <c r="B431" i="14"/>
  <c r="B430" i="14"/>
  <c r="B429" i="14"/>
  <c r="B428" i="14"/>
  <c r="B427" i="14"/>
  <c r="B426" i="14"/>
  <c r="B425" i="14"/>
  <c r="B424" i="14"/>
  <c r="B423" i="14"/>
  <c r="B422" i="14"/>
  <c r="B421" i="14"/>
  <c r="B420" i="14"/>
  <c r="B419" i="14"/>
  <c r="B418" i="14"/>
  <c r="B417" i="14"/>
  <c r="B416" i="14"/>
  <c r="B415" i="14"/>
  <c r="B414" i="14"/>
  <c r="B413" i="14"/>
  <c r="B412" i="14"/>
  <c r="B411" i="14"/>
  <c r="B410" i="14"/>
  <c r="B409" i="14"/>
  <c r="B408" i="14"/>
  <c r="B407" i="14"/>
  <c r="B406" i="14"/>
  <c r="B405" i="14"/>
  <c r="B404" i="14"/>
  <c r="B403" i="14"/>
  <c r="B402" i="14"/>
  <c r="B401" i="14"/>
  <c r="B400" i="14"/>
  <c r="B399" i="14"/>
  <c r="B398" i="14"/>
  <c r="B397" i="14"/>
  <c r="B396" i="14"/>
  <c r="B395" i="14"/>
  <c r="B394" i="14"/>
  <c r="B393" i="14"/>
  <c r="B392" i="14"/>
  <c r="B391" i="14"/>
  <c r="B390" i="14"/>
  <c r="B389" i="14"/>
  <c r="B388" i="14"/>
  <c r="B387" i="14"/>
  <c r="B386" i="14"/>
  <c r="B385" i="14"/>
  <c r="B384" i="14"/>
  <c r="B383" i="14"/>
  <c r="B382" i="14"/>
  <c r="B381" i="14"/>
  <c r="B380" i="14"/>
  <c r="B379" i="14"/>
  <c r="B378" i="14"/>
  <c r="B377" i="14"/>
  <c r="B376" i="14"/>
  <c r="B375" i="14"/>
  <c r="B374" i="14"/>
  <c r="B373" i="14"/>
  <c r="B372" i="14"/>
  <c r="B371" i="14"/>
  <c r="B370" i="14"/>
  <c r="B369" i="14"/>
  <c r="B368" i="14"/>
  <c r="B367" i="14"/>
  <c r="B366" i="14"/>
  <c r="B365" i="14"/>
  <c r="B364" i="14"/>
  <c r="B363" i="14"/>
  <c r="B362" i="14"/>
  <c r="B361" i="14"/>
  <c r="B360" i="14"/>
  <c r="B359" i="14"/>
  <c r="B358" i="14"/>
  <c r="B357" i="14"/>
  <c r="B356" i="14"/>
  <c r="B355" i="14"/>
  <c r="B354" i="14"/>
  <c r="B353" i="14"/>
  <c r="B352" i="14"/>
  <c r="B351" i="14"/>
  <c r="B350" i="14"/>
  <c r="B349" i="14"/>
  <c r="B348" i="14"/>
  <c r="B347" i="14"/>
  <c r="B346" i="14"/>
  <c r="B345" i="14"/>
  <c r="B344" i="14"/>
  <c r="B343" i="14"/>
  <c r="B342" i="14"/>
  <c r="B341" i="14"/>
  <c r="B340" i="14"/>
  <c r="B339" i="14"/>
  <c r="B338" i="14"/>
  <c r="B337" i="14"/>
  <c r="B336" i="14"/>
  <c r="B335" i="14"/>
  <c r="B334" i="14"/>
  <c r="B333" i="14"/>
  <c r="B332" i="14"/>
  <c r="B331" i="14"/>
  <c r="B330" i="14"/>
  <c r="B329" i="14"/>
  <c r="B328" i="14"/>
  <c r="B327" i="14"/>
  <c r="B326" i="14"/>
  <c r="B325" i="14"/>
  <c r="B324" i="14"/>
  <c r="B323" i="14"/>
  <c r="B322" i="14"/>
  <c r="B321" i="14"/>
  <c r="B320" i="14"/>
  <c r="B319" i="14"/>
  <c r="B318" i="14"/>
  <c r="B317" i="14"/>
  <c r="B316" i="14"/>
  <c r="B315" i="14"/>
  <c r="B314" i="14"/>
  <c r="B313" i="14"/>
  <c r="B312" i="14"/>
  <c r="B311" i="14"/>
  <c r="B310" i="14"/>
  <c r="B309" i="14"/>
  <c r="B308" i="14"/>
  <c r="B307" i="14"/>
  <c r="B306" i="14"/>
  <c r="B305" i="14"/>
  <c r="B304" i="14"/>
  <c r="B303" i="14"/>
  <c r="B302" i="14"/>
  <c r="B301" i="14"/>
  <c r="B300" i="14"/>
  <c r="B299" i="14"/>
  <c r="B298" i="14"/>
  <c r="B297" i="14"/>
  <c r="B296" i="14"/>
  <c r="B295" i="14"/>
  <c r="B294" i="14"/>
  <c r="B293" i="14"/>
  <c r="B292" i="14"/>
  <c r="B291" i="14"/>
  <c r="B290" i="14"/>
  <c r="B289" i="14"/>
  <c r="B288" i="14"/>
  <c r="B287" i="14"/>
  <c r="B286" i="14"/>
  <c r="B285" i="14"/>
  <c r="B284" i="14"/>
  <c r="B283" i="14"/>
  <c r="B282" i="14"/>
  <c r="B281" i="14"/>
  <c r="B280" i="14"/>
  <c r="B279" i="14"/>
  <c r="B278" i="14"/>
  <c r="B277" i="14"/>
  <c r="B276" i="14"/>
  <c r="B275" i="14"/>
  <c r="B274" i="14"/>
  <c r="B273" i="14"/>
  <c r="B272" i="14"/>
  <c r="B271" i="14"/>
  <c r="B270" i="14"/>
  <c r="B269" i="14"/>
  <c r="B268" i="14"/>
  <c r="B267" i="14"/>
  <c r="B266" i="14"/>
  <c r="B265" i="14"/>
  <c r="B264" i="14"/>
  <c r="B263" i="14"/>
  <c r="B262" i="14"/>
  <c r="B261" i="14"/>
  <c r="B260" i="14"/>
  <c r="B259" i="14"/>
  <c r="B258" i="14"/>
  <c r="B257" i="14"/>
  <c r="B256" i="14"/>
  <c r="B255" i="14"/>
  <c r="B254" i="14"/>
  <c r="B253" i="14"/>
  <c r="B252" i="14"/>
  <c r="B251" i="14"/>
  <c r="B250" i="14"/>
  <c r="B249" i="14"/>
  <c r="B248" i="14"/>
  <c r="B247" i="14"/>
  <c r="B246" i="14"/>
  <c r="B245" i="14"/>
  <c r="B244" i="14"/>
  <c r="B243" i="14"/>
  <c r="B242" i="14"/>
  <c r="B241" i="14"/>
  <c r="B240" i="14"/>
  <c r="B239" i="14"/>
  <c r="B238" i="14"/>
  <c r="B237" i="14"/>
  <c r="B236" i="14"/>
  <c r="B235" i="14"/>
  <c r="B234" i="14"/>
  <c r="B233" i="14"/>
  <c r="B232" i="14"/>
  <c r="B231" i="14"/>
  <c r="B230" i="14"/>
  <c r="B229" i="14"/>
  <c r="B228" i="14"/>
  <c r="B227" i="14"/>
  <c r="B226" i="14"/>
  <c r="B225" i="14"/>
  <c r="B224" i="14"/>
  <c r="B223" i="14"/>
  <c r="B222" i="14"/>
  <c r="B221" i="14"/>
  <c r="B220" i="14"/>
  <c r="B219" i="14"/>
  <c r="B218" i="14"/>
  <c r="B217" i="14"/>
  <c r="B216" i="14"/>
  <c r="B215" i="14"/>
  <c r="B214" i="14"/>
  <c r="B213" i="14"/>
  <c r="B212" i="14"/>
  <c r="B211" i="14"/>
  <c r="B210" i="14"/>
  <c r="B209" i="14"/>
  <c r="B208" i="14"/>
  <c r="B207" i="14"/>
  <c r="B206" i="14"/>
  <c r="B205" i="14"/>
  <c r="B204" i="14"/>
  <c r="B203" i="14"/>
  <c r="B202" i="14"/>
  <c r="A101" i="14"/>
  <c r="A100" i="14"/>
  <c r="A99" i="14"/>
  <c r="A98" i="14"/>
  <c r="A97" i="14"/>
  <c r="A96" i="14"/>
  <c r="A95" i="14"/>
  <c r="A94" i="14"/>
  <c r="A93" i="14"/>
  <c r="A92" i="14"/>
  <c r="A91" i="14"/>
  <c r="A90" i="14"/>
  <c r="A89" i="14"/>
  <c r="A88" i="14"/>
  <c r="A87" i="14"/>
  <c r="A86" i="14"/>
  <c r="A85" i="14"/>
  <c r="A84" i="14"/>
  <c r="A83" i="14"/>
  <c r="A82" i="14"/>
  <c r="A81" i="14"/>
  <c r="A80" i="14"/>
  <c r="A79" i="14"/>
  <c r="A78" i="14"/>
  <c r="A77" i="14"/>
  <c r="A76" i="14"/>
  <c r="A75" i="14"/>
  <c r="A74" i="14"/>
  <c r="A73" i="14"/>
  <c r="A72" i="14"/>
  <c r="A71" i="14"/>
  <c r="A70" i="14"/>
  <c r="A69" i="14"/>
  <c r="A68" i="14"/>
  <c r="A67" i="14"/>
  <c r="A66" i="14"/>
  <c r="A65" i="14"/>
  <c r="A64" i="14"/>
  <c r="A63" i="14"/>
  <c r="A62" i="14"/>
  <c r="A61" i="14"/>
  <c r="A60" i="14"/>
  <c r="A59" i="14"/>
  <c r="A58" i="14"/>
  <c r="A57" i="14"/>
  <c r="A56" i="14"/>
  <c r="A55" i="14"/>
  <c r="A54" i="14"/>
  <c r="A53" i="14"/>
  <c r="A52" i="14"/>
  <c r="A51" i="14"/>
  <c r="A50" i="14"/>
  <c r="A49" i="14"/>
  <c r="A48" i="14"/>
  <c r="A47" i="14"/>
  <c r="A46" i="14"/>
  <c r="A45" i="14"/>
  <c r="A44" i="14"/>
  <c r="A43" i="14"/>
  <c r="A42" i="14"/>
  <c r="A41" i="14"/>
  <c r="A40" i="14"/>
  <c r="A39" i="14"/>
  <c r="A38" i="14"/>
  <c r="A37" i="14"/>
  <c r="A36" i="14"/>
  <c r="A35" i="14"/>
  <c r="A34" i="14"/>
  <c r="A33" i="14"/>
  <c r="A32" i="14"/>
  <c r="A31" i="14"/>
  <c r="A30" i="14"/>
  <c r="A29" i="14"/>
  <c r="A28" i="14"/>
  <c r="A27" i="14"/>
  <c r="A26" i="14"/>
  <c r="A25" i="14"/>
  <c r="A24" i="14"/>
  <c r="A23" i="14"/>
  <c r="A22" i="14"/>
  <c r="A21" i="14"/>
  <c r="A20" i="14"/>
  <c r="A19" i="14"/>
  <c r="A18" i="14"/>
  <c r="A17" i="14"/>
  <c r="A16" i="14"/>
  <c r="A15" i="14"/>
  <c r="A14" i="14"/>
  <c r="A13" i="14"/>
  <c r="A12" i="14"/>
  <c r="A11" i="14"/>
  <c r="A10" i="14"/>
  <c r="A9" i="14"/>
  <c r="A8" i="14"/>
  <c r="A7" i="14"/>
  <c r="A6" i="14"/>
  <c r="A5" i="14"/>
  <c r="A4" i="14"/>
  <c r="A3" i="14"/>
  <c r="A2" i="14"/>
  <c r="B1904" i="13"/>
  <c r="B1903" i="13"/>
  <c r="B1902" i="13"/>
  <c r="B1901" i="13"/>
  <c r="B1900" i="13"/>
  <c r="B1899" i="13"/>
  <c r="B1898" i="13"/>
  <c r="B1897" i="13"/>
  <c r="B1896" i="13"/>
  <c r="B1895" i="13"/>
  <c r="B1894" i="13"/>
  <c r="B1893" i="13"/>
  <c r="B1892" i="13"/>
  <c r="B1891" i="13"/>
  <c r="B1890" i="13"/>
  <c r="B1889" i="13"/>
  <c r="B1888" i="13"/>
  <c r="B1887" i="13"/>
  <c r="B1886" i="13"/>
  <c r="B1885" i="13"/>
  <c r="B1884" i="13"/>
  <c r="B1883" i="13"/>
  <c r="B1882" i="13"/>
  <c r="B1881" i="13"/>
  <c r="B1880" i="13"/>
  <c r="B1879" i="13"/>
  <c r="B1878" i="13"/>
  <c r="B1877" i="13"/>
  <c r="B1876" i="13"/>
  <c r="B1875" i="13"/>
  <c r="B1874" i="13"/>
  <c r="B1873" i="13"/>
  <c r="B1872" i="13"/>
  <c r="B1871" i="13"/>
  <c r="B1870" i="13"/>
  <c r="B1869" i="13"/>
  <c r="B1868" i="13"/>
  <c r="B1867" i="13"/>
  <c r="B1866" i="13"/>
  <c r="B1865" i="13"/>
  <c r="B1864" i="13"/>
  <c r="B1863" i="13"/>
  <c r="B1862" i="13"/>
  <c r="B1861" i="13"/>
  <c r="B1860" i="13"/>
  <c r="B1859" i="13"/>
  <c r="B1858" i="13"/>
  <c r="B1857" i="13"/>
  <c r="B1856" i="13"/>
  <c r="B1855" i="13"/>
  <c r="B1854" i="13"/>
  <c r="B1853" i="13"/>
  <c r="B1852" i="13"/>
  <c r="B1851" i="13"/>
  <c r="B1850" i="13"/>
  <c r="B1849" i="13"/>
  <c r="B1848" i="13"/>
  <c r="B1847" i="13"/>
  <c r="B1846" i="13"/>
  <c r="B1845" i="13"/>
  <c r="B1844" i="13"/>
  <c r="B1843" i="13"/>
  <c r="B1842" i="13"/>
  <c r="B1841" i="13"/>
  <c r="B1840" i="13"/>
  <c r="B1839" i="13"/>
  <c r="B1838" i="13"/>
  <c r="B1837" i="13"/>
  <c r="B1836" i="13"/>
  <c r="B1835" i="13"/>
  <c r="B1834" i="13"/>
  <c r="B1833" i="13"/>
  <c r="B1832" i="13"/>
  <c r="B1831" i="13"/>
  <c r="B1830" i="13"/>
  <c r="B1829" i="13"/>
  <c r="B1828" i="13"/>
  <c r="B1827" i="13"/>
  <c r="B1826" i="13"/>
  <c r="B1825" i="13"/>
  <c r="B1824" i="13"/>
  <c r="B1823" i="13"/>
  <c r="B1822" i="13"/>
  <c r="B1821" i="13"/>
  <c r="B1820" i="13"/>
  <c r="B1819" i="13"/>
  <c r="B1818" i="13"/>
  <c r="B1817" i="13"/>
  <c r="B1816" i="13"/>
  <c r="B1815" i="13"/>
  <c r="B1814" i="13"/>
  <c r="B1813" i="13"/>
  <c r="B1812" i="13"/>
  <c r="B1811" i="13"/>
  <c r="B1810" i="13"/>
  <c r="B1809" i="13"/>
  <c r="B1808" i="13"/>
  <c r="B1807" i="13"/>
  <c r="B1806" i="13"/>
  <c r="B1805" i="13"/>
  <c r="B1804" i="13"/>
  <c r="B1803" i="13"/>
  <c r="B1802" i="13"/>
  <c r="B1801" i="13"/>
  <c r="B1800" i="13"/>
  <c r="B1799" i="13"/>
  <c r="B1798" i="13"/>
  <c r="B1797" i="13"/>
  <c r="B1796" i="13"/>
  <c r="B1795" i="13"/>
  <c r="B1794" i="13"/>
  <c r="B1793" i="13"/>
  <c r="B1792" i="13"/>
  <c r="B1791" i="13"/>
  <c r="B1790" i="13"/>
  <c r="B1789" i="13"/>
  <c r="B1788" i="13"/>
  <c r="B1787" i="13"/>
  <c r="B1786" i="13"/>
  <c r="B1785" i="13"/>
  <c r="B1784" i="13"/>
  <c r="B1783" i="13"/>
  <c r="B1782" i="13"/>
  <c r="B1781" i="13"/>
  <c r="B1780" i="13"/>
  <c r="B1779" i="13"/>
  <c r="B1778" i="13"/>
  <c r="B1777" i="13"/>
  <c r="B1776" i="13"/>
  <c r="B1775" i="13"/>
  <c r="B1774" i="13"/>
  <c r="B1773" i="13"/>
  <c r="B1772" i="13"/>
  <c r="B1771" i="13"/>
  <c r="B1770" i="13"/>
  <c r="B1769" i="13"/>
  <c r="B1768" i="13"/>
  <c r="B1767" i="13"/>
  <c r="B1766" i="13"/>
  <c r="B1765" i="13"/>
  <c r="B1764" i="13"/>
  <c r="B1763" i="13"/>
  <c r="B1762" i="13"/>
  <c r="B1761" i="13"/>
  <c r="B1760" i="13"/>
  <c r="B1759" i="13"/>
  <c r="B1758" i="13"/>
  <c r="B1757" i="13"/>
  <c r="B1756" i="13"/>
  <c r="B1755" i="13"/>
  <c r="B1754" i="13"/>
  <c r="B1753" i="13"/>
  <c r="B1752" i="13"/>
  <c r="B1751" i="13"/>
  <c r="B1750" i="13"/>
  <c r="B1749" i="13"/>
  <c r="B1748" i="13"/>
  <c r="B1747" i="13"/>
  <c r="B1746" i="13"/>
  <c r="B1745" i="13"/>
  <c r="B1744" i="13"/>
  <c r="B1743" i="13"/>
  <c r="B1742" i="13"/>
  <c r="B1741" i="13"/>
  <c r="B1740" i="13"/>
  <c r="B1739" i="13"/>
  <c r="B1738" i="13"/>
  <c r="B1737" i="13"/>
  <c r="B1736" i="13"/>
  <c r="B1735" i="13"/>
  <c r="B1734" i="13"/>
  <c r="B1733" i="13"/>
  <c r="B1732" i="13"/>
  <c r="B1731" i="13"/>
  <c r="B1730" i="13"/>
  <c r="B1729" i="13"/>
  <c r="B1728" i="13"/>
  <c r="B1727" i="13"/>
  <c r="B1726" i="13"/>
  <c r="B1725" i="13"/>
  <c r="B1724" i="13"/>
  <c r="B1723" i="13"/>
  <c r="B1722" i="13"/>
  <c r="B1721" i="13"/>
  <c r="B1720" i="13"/>
  <c r="B1719" i="13"/>
  <c r="B1718" i="13"/>
  <c r="B1717" i="13"/>
  <c r="B1716" i="13"/>
  <c r="B1715" i="13"/>
  <c r="B1714" i="13"/>
  <c r="B1713" i="13"/>
  <c r="B1712" i="13"/>
  <c r="B1711" i="13"/>
  <c r="B1710" i="13"/>
  <c r="B1709" i="13"/>
  <c r="B1708" i="13"/>
  <c r="B1707" i="13"/>
  <c r="B1706" i="13"/>
  <c r="B1705" i="13"/>
  <c r="B1704" i="13"/>
  <c r="B1703" i="13"/>
  <c r="B1702" i="13"/>
  <c r="B1701" i="13"/>
  <c r="B1700" i="13"/>
  <c r="B1699" i="13"/>
  <c r="B1698" i="13"/>
  <c r="B1697" i="13"/>
  <c r="B1696" i="13"/>
  <c r="B1695" i="13"/>
  <c r="B1694" i="13"/>
  <c r="B1693" i="13"/>
  <c r="B1692" i="13"/>
  <c r="B1691" i="13"/>
  <c r="B1690" i="13"/>
  <c r="B1689" i="13"/>
  <c r="B1688" i="13"/>
  <c r="B1687" i="13"/>
  <c r="B1686" i="13"/>
  <c r="B1685" i="13"/>
  <c r="B1684" i="13"/>
  <c r="B1683" i="13"/>
  <c r="B1682" i="13"/>
  <c r="B1681" i="13"/>
  <c r="B1680" i="13"/>
  <c r="B1679" i="13"/>
  <c r="B1678" i="13"/>
  <c r="B1677" i="13"/>
  <c r="B1676" i="13"/>
  <c r="B1675" i="13"/>
  <c r="B1674" i="13"/>
  <c r="B1673" i="13"/>
  <c r="B1672" i="13"/>
  <c r="B1671" i="13"/>
  <c r="B1670" i="13"/>
  <c r="B1669" i="13"/>
  <c r="B1668" i="13"/>
  <c r="B1667" i="13"/>
  <c r="B1666" i="13"/>
  <c r="B1665" i="13"/>
  <c r="B1664" i="13"/>
  <c r="B1663" i="13"/>
  <c r="B1662" i="13"/>
  <c r="B1661" i="13"/>
  <c r="B1660" i="13"/>
  <c r="B1659" i="13"/>
  <c r="B1658" i="13"/>
  <c r="B1657" i="13"/>
  <c r="B1656" i="13"/>
  <c r="B1655" i="13"/>
  <c r="B1654" i="13"/>
  <c r="B1653" i="13"/>
  <c r="B1652" i="13"/>
  <c r="B1651" i="13"/>
  <c r="B1650" i="13"/>
  <c r="B1649" i="13"/>
  <c r="B1648" i="13"/>
  <c r="B1647" i="13"/>
  <c r="B1646" i="13"/>
  <c r="B1645" i="13"/>
  <c r="B1644" i="13"/>
  <c r="B1643" i="13"/>
  <c r="B1642" i="13"/>
  <c r="B1641" i="13"/>
  <c r="B1640" i="13"/>
  <c r="B1639" i="13"/>
  <c r="B1638" i="13"/>
  <c r="B1637" i="13"/>
  <c r="B1636" i="13"/>
  <c r="B1635" i="13"/>
  <c r="B1634" i="13"/>
  <c r="B1633" i="13"/>
  <c r="B1632" i="13"/>
  <c r="B1631" i="13"/>
  <c r="B1630" i="13"/>
  <c r="B1629" i="13"/>
  <c r="B1628" i="13"/>
  <c r="B1627" i="13"/>
  <c r="B1626" i="13"/>
  <c r="B1625" i="13"/>
  <c r="B1624" i="13"/>
  <c r="B1623" i="13"/>
  <c r="B1622" i="13"/>
  <c r="B1621" i="13"/>
  <c r="B1620" i="13"/>
  <c r="B1619" i="13"/>
  <c r="B1618" i="13"/>
  <c r="B1617" i="13"/>
  <c r="B1616" i="13"/>
  <c r="B1615" i="13"/>
  <c r="B1614" i="13"/>
  <c r="B1613" i="13"/>
  <c r="B1612" i="13"/>
  <c r="B1611" i="13"/>
  <c r="B1610" i="13"/>
  <c r="B1609" i="13"/>
  <c r="B1608" i="13"/>
  <c r="B1607" i="13"/>
  <c r="B1606" i="13"/>
  <c r="B1605" i="13"/>
  <c r="B1604" i="13"/>
  <c r="B1603" i="13"/>
  <c r="B1602" i="13"/>
  <c r="B1601" i="13"/>
  <c r="B1600" i="13"/>
  <c r="B1599" i="13"/>
  <c r="B1598" i="13"/>
  <c r="B1597" i="13"/>
  <c r="B1596" i="13"/>
  <c r="B1595" i="13"/>
  <c r="B1594" i="13"/>
  <c r="B1593" i="13"/>
  <c r="B1592" i="13"/>
  <c r="B1591" i="13"/>
  <c r="B1590" i="13"/>
  <c r="B1589" i="13"/>
  <c r="B1588" i="13"/>
  <c r="B1587" i="13"/>
  <c r="B1586" i="13"/>
  <c r="B1585" i="13"/>
  <c r="B1584" i="13"/>
  <c r="B1583" i="13"/>
  <c r="B1582" i="13"/>
  <c r="B1581" i="13"/>
  <c r="B1580" i="13"/>
  <c r="B1579" i="13"/>
  <c r="B1578" i="13"/>
  <c r="B1577" i="13"/>
  <c r="B1576" i="13"/>
  <c r="B1575" i="13"/>
  <c r="B1574" i="13"/>
  <c r="B1573" i="13"/>
  <c r="B1572" i="13"/>
  <c r="B1571" i="13"/>
  <c r="B1570" i="13"/>
  <c r="B1569" i="13"/>
  <c r="B1568" i="13"/>
  <c r="B1567" i="13"/>
  <c r="B1566" i="13"/>
  <c r="B1565" i="13"/>
  <c r="B1564" i="13"/>
  <c r="B1563" i="13"/>
  <c r="B1562" i="13"/>
  <c r="B1561" i="13"/>
  <c r="B1560" i="13"/>
  <c r="B1559" i="13"/>
  <c r="B1558" i="13"/>
  <c r="B1557" i="13"/>
  <c r="B1556" i="13"/>
  <c r="B1555" i="13"/>
  <c r="B1554" i="13"/>
  <c r="B1553" i="13"/>
  <c r="B1552" i="13"/>
  <c r="B1551" i="13"/>
  <c r="B1550" i="13"/>
  <c r="B1549" i="13"/>
  <c r="B1548" i="13"/>
  <c r="B1547" i="13"/>
  <c r="B1546" i="13"/>
  <c r="B1545" i="13"/>
  <c r="B1544" i="13"/>
  <c r="B1543" i="13"/>
  <c r="B1542" i="13"/>
  <c r="B1541" i="13"/>
  <c r="B1540" i="13"/>
  <c r="B1539" i="13"/>
  <c r="B1538" i="13"/>
  <c r="B1537" i="13"/>
  <c r="B1536" i="13"/>
  <c r="B1535" i="13"/>
  <c r="B1534" i="13"/>
  <c r="B1533" i="13"/>
  <c r="B1532" i="13"/>
  <c r="B1531" i="13"/>
  <c r="B1530" i="13"/>
  <c r="B1529" i="13"/>
  <c r="B1528" i="13"/>
  <c r="B1527" i="13"/>
  <c r="B1526" i="13"/>
  <c r="B1525" i="13"/>
  <c r="B1524" i="13"/>
  <c r="B1523" i="13"/>
  <c r="B1522" i="13"/>
  <c r="B1521" i="13"/>
  <c r="B1520" i="13"/>
  <c r="B1519" i="13"/>
  <c r="B1518" i="13"/>
  <c r="B1517" i="13"/>
  <c r="B1516" i="13"/>
  <c r="B1515" i="13"/>
  <c r="B1514" i="13"/>
  <c r="B1513" i="13"/>
  <c r="B1512" i="13"/>
  <c r="B1511" i="13"/>
  <c r="B1510" i="13"/>
  <c r="B1509" i="13"/>
  <c r="B1508" i="13"/>
  <c r="B1507" i="13"/>
  <c r="B1506" i="13"/>
  <c r="B1505" i="13"/>
  <c r="B1504" i="13"/>
  <c r="B1503" i="13"/>
  <c r="B1502" i="13"/>
  <c r="B1501" i="13"/>
  <c r="B1500" i="13"/>
  <c r="B1499" i="13"/>
  <c r="B1498" i="13"/>
  <c r="B1497" i="13"/>
  <c r="B1496" i="13"/>
  <c r="B1495" i="13"/>
  <c r="B1494" i="13"/>
  <c r="B1493" i="13"/>
  <c r="B1492" i="13"/>
  <c r="B1491" i="13"/>
  <c r="B1490" i="13"/>
  <c r="B1489" i="13"/>
  <c r="B1488" i="13"/>
  <c r="B1487" i="13"/>
  <c r="B1486" i="13"/>
  <c r="B1485" i="13"/>
  <c r="B1484" i="13"/>
  <c r="B1483" i="13"/>
  <c r="B1482" i="13"/>
  <c r="B1481" i="13"/>
  <c r="B1480" i="13"/>
  <c r="B1479" i="13"/>
  <c r="B1478" i="13"/>
  <c r="B1477" i="13"/>
  <c r="B1476" i="13"/>
  <c r="B1475" i="13"/>
  <c r="B1474" i="13"/>
  <c r="B1473" i="13"/>
  <c r="B1472" i="13"/>
  <c r="B1471" i="13"/>
  <c r="B1470" i="13"/>
  <c r="B1469" i="13"/>
  <c r="B1468" i="13"/>
  <c r="B1467" i="13"/>
  <c r="B1466" i="13"/>
  <c r="B1465" i="13"/>
  <c r="B1464" i="13"/>
  <c r="B1463" i="13"/>
  <c r="B1462" i="13"/>
  <c r="B1461" i="13"/>
  <c r="B1460" i="13"/>
  <c r="B1459" i="13"/>
  <c r="B1458" i="13"/>
  <c r="B1457" i="13"/>
  <c r="B1456" i="13"/>
  <c r="B1455" i="13"/>
  <c r="B1454" i="13"/>
  <c r="B1453" i="13"/>
  <c r="B1452" i="13"/>
  <c r="B1451" i="13"/>
  <c r="B1450" i="13"/>
  <c r="B1449" i="13"/>
  <c r="B1448" i="13"/>
  <c r="B1447" i="13"/>
  <c r="B1446" i="13"/>
  <c r="B1445" i="13"/>
  <c r="B1444" i="13"/>
  <c r="B1443" i="13"/>
  <c r="B1442" i="13"/>
  <c r="B1441" i="13"/>
  <c r="B1440" i="13"/>
  <c r="B1439" i="13"/>
  <c r="B1438" i="13"/>
  <c r="B1437" i="13"/>
  <c r="B1436" i="13"/>
  <c r="B1435" i="13"/>
  <c r="B1434" i="13"/>
  <c r="B1433" i="13"/>
  <c r="B1432" i="13"/>
  <c r="B1431" i="13"/>
  <c r="B1430" i="13"/>
  <c r="B1429" i="13"/>
  <c r="B1428" i="13"/>
  <c r="B1427" i="13"/>
  <c r="B1426" i="13"/>
  <c r="B1425" i="13"/>
  <c r="B1424" i="13"/>
  <c r="B1423" i="13"/>
  <c r="B1422" i="13"/>
  <c r="B1421" i="13"/>
  <c r="B1420" i="13"/>
  <c r="B1419" i="13"/>
  <c r="B1418" i="13"/>
  <c r="B1417" i="13"/>
  <c r="B1416" i="13"/>
  <c r="B1415" i="13"/>
  <c r="B1414" i="13"/>
  <c r="B1413" i="13"/>
  <c r="B1412" i="13"/>
  <c r="B1411" i="13"/>
  <c r="B1410" i="13"/>
  <c r="B1409" i="13"/>
  <c r="B1408" i="13"/>
  <c r="B1407" i="13"/>
  <c r="B1406" i="13"/>
  <c r="B1405" i="13"/>
  <c r="B1404" i="13"/>
  <c r="B1403" i="13"/>
  <c r="B1402" i="13"/>
  <c r="B1401" i="13"/>
  <c r="B1400" i="13"/>
  <c r="B1399" i="13"/>
  <c r="B1398" i="13"/>
  <c r="B1397" i="13"/>
  <c r="B1396" i="13"/>
  <c r="B1395" i="13"/>
  <c r="B1394" i="13"/>
  <c r="B1393" i="13"/>
  <c r="B1392" i="13"/>
  <c r="B1391" i="13"/>
  <c r="B1390" i="13"/>
  <c r="B1389" i="13"/>
  <c r="B1388" i="13"/>
  <c r="B1387" i="13"/>
  <c r="B1386" i="13"/>
  <c r="B1385" i="13"/>
  <c r="B1384" i="13"/>
  <c r="B1383" i="13"/>
  <c r="B1382" i="13"/>
  <c r="B1381" i="13"/>
  <c r="B1380" i="13"/>
  <c r="B1379" i="13"/>
  <c r="B1378" i="13"/>
  <c r="B1377" i="13"/>
  <c r="B1376" i="13"/>
  <c r="B1375" i="13"/>
  <c r="B1374" i="13"/>
  <c r="B1373" i="13"/>
  <c r="B1372" i="13"/>
  <c r="B1371" i="13"/>
  <c r="B1370" i="13"/>
  <c r="B1369" i="13"/>
  <c r="B1368" i="13"/>
  <c r="B1367" i="13"/>
  <c r="B1366" i="13"/>
  <c r="B1365" i="13"/>
  <c r="B1364" i="13"/>
  <c r="B1363" i="13"/>
  <c r="B1362" i="13"/>
  <c r="B1361" i="13"/>
  <c r="B1360" i="13"/>
  <c r="B1359" i="13"/>
  <c r="B1358" i="13"/>
  <c r="B1357" i="13"/>
  <c r="B1356" i="13"/>
  <c r="B1355" i="13"/>
  <c r="B1354" i="13"/>
  <c r="B1353" i="13"/>
  <c r="B1352" i="13"/>
  <c r="B1351" i="13"/>
  <c r="B1350" i="13"/>
  <c r="B1349" i="13"/>
  <c r="B1348" i="13"/>
  <c r="B1347" i="13"/>
  <c r="B1346" i="13"/>
  <c r="B1345" i="13"/>
  <c r="B1344" i="13"/>
  <c r="B1343" i="13"/>
  <c r="B1342" i="13"/>
  <c r="B1341" i="13"/>
  <c r="B1340" i="13"/>
  <c r="B1339" i="13"/>
  <c r="B1338" i="13"/>
  <c r="B1337" i="13"/>
  <c r="B1336" i="13"/>
  <c r="B1335" i="13"/>
  <c r="B1334" i="13"/>
  <c r="B1333" i="13"/>
  <c r="B1332" i="13"/>
  <c r="B1331" i="13"/>
  <c r="B1330" i="13"/>
  <c r="B1329" i="13"/>
  <c r="B1328" i="13"/>
  <c r="B1327" i="13"/>
  <c r="B1326" i="13"/>
  <c r="B1325" i="13"/>
  <c r="B1324" i="13"/>
  <c r="B1323" i="13"/>
  <c r="B1322" i="13"/>
  <c r="B1321" i="13"/>
  <c r="B1320" i="13"/>
  <c r="B1319" i="13"/>
  <c r="B1318" i="13"/>
  <c r="B1317" i="13"/>
  <c r="B1316" i="13"/>
  <c r="B1315" i="13"/>
  <c r="B1314" i="13"/>
  <c r="B1313" i="13"/>
  <c r="B1312" i="13"/>
  <c r="B1311" i="13"/>
  <c r="B1310" i="13"/>
  <c r="B1309" i="13"/>
  <c r="B1308" i="13"/>
  <c r="B1307" i="13"/>
  <c r="B1306" i="13"/>
  <c r="B1305" i="13"/>
  <c r="B1304" i="13"/>
  <c r="B1303" i="13"/>
  <c r="B1302" i="13"/>
  <c r="B1301" i="13"/>
  <c r="B1300" i="13"/>
  <c r="B1299" i="13"/>
  <c r="B1298" i="13"/>
  <c r="B1297" i="13"/>
  <c r="B1296" i="13"/>
  <c r="B1295" i="13"/>
  <c r="B1294" i="13"/>
  <c r="B1293" i="13"/>
  <c r="B1292" i="13"/>
  <c r="B1291" i="13"/>
  <c r="B1290" i="13"/>
  <c r="B1289" i="13"/>
  <c r="B1288" i="13"/>
  <c r="B1287" i="13"/>
  <c r="B1286" i="13"/>
  <c r="B1285" i="13"/>
  <c r="B1284" i="13"/>
  <c r="B1283" i="13"/>
  <c r="B1282" i="13"/>
  <c r="B1281" i="13"/>
  <c r="B1280" i="13"/>
  <c r="B1279" i="13"/>
  <c r="B1278" i="13"/>
  <c r="B1277" i="13"/>
  <c r="B1276" i="13"/>
  <c r="B1275" i="13"/>
  <c r="B1274" i="13"/>
  <c r="B1273" i="13"/>
  <c r="B1272" i="13"/>
  <c r="B1271" i="13"/>
  <c r="B1270" i="13"/>
  <c r="B1269" i="13"/>
  <c r="B1268" i="13"/>
  <c r="B1267" i="13"/>
  <c r="B1266" i="13"/>
  <c r="B1265" i="13"/>
  <c r="B1264" i="13"/>
  <c r="B1263" i="13"/>
  <c r="B1262" i="13"/>
  <c r="B1261" i="13"/>
  <c r="B1260" i="13"/>
  <c r="B1259" i="13"/>
  <c r="B1258" i="13"/>
  <c r="B1257" i="13"/>
  <c r="B1256" i="13"/>
  <c r="B1255" i="13"/>
  <c r="B1254" i="13"/>
  <c r="B1253" i="13"/>
  <c r="B1252" i="13"/>
  <c r="B1251" i="13"/>
  <c r="B1250" i="13"/>
  <c r="B1249" i="13"/>
  <c r="B1248" i="13"/>
  <c r="B1247" i="13"/>
  <c r="B1246" i="13"/>
  <c r="B1245" i="13"/>
  <c r="B1244" i="13"/>
  <c r="B1243" i="13"/>
  <c r="B1242" i="13"/>
  <c r="B1241" i="13"/>
  <c r="B1240" i="13"/>
  <c r="B1239" i="13"/>
  <c r="B1238" i="13"/>
  <c r="B1237" i="13"/>
  <c r="B1236" i="13"/>
  <c r="B1235" i="13"/>
  <c r="B1234" i="13"/>
  <c r="B1233" i="13"/>
  <c r="B1232" i="13"/>
  <c r="B1231" i="13"/>
  <c r="B1230" i="13"/>
  <c r="B1229" i="13"/>
  <c r="B1228" i="13"/>
  <c r="B1227" i="13"/>
  <c r="B1226" i="13"/>
  <c r="B1225" i="13"/>
  <c r="B1224" i="13"/>
  <c r="B1223" i="13"/>
  <c r="B1222" i="13"/>
  <c r="B1221" i="13"/>
  <c r="B1220" i="13"/>
  <c r="B1219" i="13"/>
  <c r="B1218" i="13"/>
  <c r="B1217" i="13"/>
  <c r="B1216" i="13"/>
  <c r="B1215" i="13"/>
  <c r="B1214" i="13"/>
  <c r="B1213" i="13"/>
  <c r="B1212" i="13"/>
  <c r="B1211" i="13"/>
  <c r="B1210" i="13"/>
  <c r="B1209" i="13"/>
  <c r="B1208" i="13"/>
  <c r="B1207" i="13"/>
  <c r="B1206" i="13"/>
  <c r="B1205" i="13"/>
  <c r="B1204" i="13"/>
  <c r="B1203" i="13"/>
  <c r="B1202" i="13"/>
  <c r="B1201" i="13"/>
  <c r="B1200" i="13"/>
  <c r="B1199" i="13"/>
  <c r="B1198" i="13"/>
  <c r="B1197" i="13"/>
  <c r="B1196" i="13"/>
  <c r="B1195" i="13"/>
  <c r="B1194" i="13"/>
  <c r="B1193" i="13"/>
  <c r="B1192" i="13"/>
  <c r="B1191" i="13"/>
  <c r="B1190" i="13"/>
  <c r="B1189" i="13"/>
  <c r="B1188" i="13"/>
  <c r="B1187" i="13"/>
  <c r="B1186" i="13"/>
  <c r="B1185" i="13"/>
  <c r="B1184" i="13"/>
  <c r="B1183" i="13"/>
  <c r="B1182" i="13"/>
  <c r="B1181" i="13"/>
  <c r="B1180" i="13"/>
  <c r="B1179" i="13"/>
  <c r="B1178" i="13"/>
  <c r="B1177" i="13"/>
  <c r="B1176" i="13"/>
  <c r="B1175" i="13"/>
  <c r="B1174" i="13"/>
  <c r="B1173" i="13"/>
  <c r="B1172" i="13"/>
  <c r="B1171" i="13"/>
  <c r="B1170" i="13"/>
  <c r="B1169" i="13"/>
  <c r="B1168" i="13"/>
  <c r="B1167" i="13"/>
  <c r="B1166" i="13"/>
  <c r="B1165" i="13"/>
  <c r="B1164" i="13"/>
  <c r="B1163" i="13"/>
  <c r="B1162" i="13"/>
  <c r="B1161" i="13"/>
  <c r="B1160" i="13"/>
  <c r="B1159" i="13"/>
  <c r="B1158" i="13"/>
  <c r="B1157" i="13"/>
  <c r="B1156" i="13"/>
  <c r="B1155" i="13"/>
  <c r="B1154" i="13"/>
  <c r="B1153" i="13"/>
  <c r="B1152" i="13"/>
  <c r="B1151" i="13"/>
  <c r="B1150" i="13"/>
  <c r="B1149" i="13"/>
  <c r="B1148" i="13"/>
  <c r="B1147" i="13"/>
  <c r="B1146" i="13"/>
  <c r="B1145" i="13"/>
  <c r="B1144" i="13"/>
  <c r="B1143" i="13"/>
  <c r="B1142" i="13"/>
  <c r="B1141" i="13"/>
  <c r="B1140" i="13"/>
  <c r="B1139" i="13"/>
  <c r="B1138" i="13"/>
  <c r="B1137" i="13"/>
  <c r="B1136" i="13"/>
  <c r="B1135" i="13"/>
  <c r="B1134" i="13"/>
  <c r="B1133" i="13"/>
  <c r="B1132" i="13"/>
  <c r="B1131" i="13"/>
  <c r="B1130" i="13"/>
  <c r="B1129" i="13"/>
  <c r="B1128" i="13"/>
  <c r="B1127" i="13"/>
  <c r="B1126" i="13"/>
  <c r="B1125" i="13"/>
  <c r="B1124" i="13"/>
  <c r="B1123" i="13"/>
  <c r="B1122" i="13"/>
  <c r="B1121" i="13"/>
  <c r="B1120" i="13"/>
  <c r="B1119" i="13"/>
  <c r="B1118" i="13"/>
  <c r="B1117" i="13"/>
  <c r="B1116" i="13"/>
  <c r="B1115" i="13"/>
  <c r="B1114" i="13"/>
  <c r="B1113" i="13"/>
  <c r="B1112" i="13"/>
  <c r="B1111" i="13"/>
  <c r="B1110" i="13"/>
  <c r="B1109" i="13"/>
  <c r="B1108" i="13"/>
  <c r="B1107" i="13"/>
  <c r="B1106" i="13"/>
  <c r="B1105" i="13"/>
  <c r="B1104" i="13"/>
  <c r="B1103" i="13"/>
  <c r="B1102" i="13"/>
  <c r="B1101" i="13"/>
  <c r="B1100" i="13"/>
  <c r="B1099" i="13"/>
  <c r="B1098" i="13"/>
  <c r="B1097" i="13"/>
  <c r="B1096" i="13"/>
  <c r="B1095" i="13"/>
  <c r="B1094" i="13"/>
  <c r="B1093" i="13"/>
  <c r="B1092" i="13"/>
  <c r="B1091" i="13"/>
  <c r="B1090" i="13"/>
  <c r="B1089" i="13"/>
  <c r="B1088" i="13"/>
  <c r="B1087" i="13"/>
  <c r="B1086" i="13"/>
  <c r="B1085" i="13"/>
  <c r="B1084" i="13"/>
  <c r="B1083" i="13"/>
  <c r="B1082" i="13"/>
  <c r="B1081" i="13"/>
  <c r="B1080" i="13"/>
  <c r="B1079" i="13"/>
  <c r="B1078" i="13"/>
  <c r="B1077" i="13"/>
  <c r="B1076" i="13"/>
  <c r="B1075" i="13"/>
  <c r="B1074" i="13"/>
  <c r="B1073" i="13"/>
  <c r="B1072" i="13"/>
  <c r="B1071" i="13"/>
  <c r="B1070" i="13"/>
  <c r="B1069" i="13"/>
  <c r="B1068" i="13"/>
  <c r="B1067" i="13"/>
  <c r="B1066" i="13"/>
  <c r="B1065" i="13"/>
  <c r="B1064" i="13"/>
  <c r="B1063" i="13"/>
  <c r="B1062" i="13"/>
  <c r="B1061" i="13"/>
  <c r="B1060" i="13"/>
  <c r="B1059" i="13"/>
  <c r="B1058" i="13"/>
  <c r="B1057" i="13"/>
  <c r="B1056" i="13"/>
  <c r="B1055" i="13"/>
  <c r="B1054" i="13"/>
  <c r="B1053" i="13"/>
  <c r="B1052" i="13"/>
  <c r="B1051" i="13"/>
  <c r="B1050" i="13"/>
  <c r="B1049" i="13"/>
  <c r="B1048" i="13"/>
  <c r="B1047" i="13"/>
  <c r="B1046" i="13"/>
  <c r="B1045" i="13"/>
  <c r="B1044" i="13"/>
  <c r="B1043" i="13"/>
  <c r="B1042" i="13"/>
  <c r="B1041" i="13"/>
  <c r="B1040" i="13"/>
  <c r="B1039" i="13"/>
  <c r="B1038" i="13"/>
  <c r="B1037" i="13"/>
  <c r="B1036" i="13"/>
  <c r="B1035" i="13"/>
  <c r="B1034" i="13"/>
  <c r="B1033" i="13"/>
  <c r="B1032" i="13"/>
  <c r="B1031" i="13"/>
  <c r="B1030" i="13"/>
  <c r="B1029" i="13"/>
  <c r="B1028" i="13"/>
  <c r="B1027" i="13"/>
  <c r="B1026" i="13"/>
  <c r="B1025" i="13"/>
  <c r="B1024" i="13"/>
  <c r="B1023" i="13"/>
  <c r="B1022" i="13"/>
  <c r="B1021" i="13"/>
  <c r="B1020" i="13"/>
  <c r="B1019" i="13"/>
  <c r="B1018" i="13"/>
  <c r="B1017" i="13"/>
  <c r="B1016" i="13"/>
  <c r="B1015" i="13"/>
  <c r="B1014" i="13"/>
  <c r="B1013" i="13"/>
  <c r="B1012" i="13"/>
  <c r="B1011" i="13"/>
  <c r="B1010" i="13"/>
  <c r="B1009" i="13"/>
  <c r="B1008" i="13"/>
  <c r="B1007" i="13"/>
  <c r="B1006" i="13"/>
  <c r="B1005" i="13"/>
  <c r="B1004" i="13"/>
  <c r="B1003" i="13"/>
  <c r="B1002" i="13"/>
  <c r="B1001" i="13"/>
  <c r="B1000" i="13"/>
  <c r="B999" i="13"/>
  <c r="B998" i="13"/>
  <c r="B997" i="13"/>
  <c r="B996" i="13"/>
  <c r="B995" i="13"/>
  <c r="B994" i="13"/>
  <c r="B993" i="13"/>
  <c r="B992" i="13"/>
  <c r="B991" i="13"/>
  <c r="B990" i="13"/>
  <c r="B989" i="13"/>
  <c r="B988" i="13"/>
  <c r="B987" i="13"/>
  <c r="B986" i="13"/>
  <c r="B985" i="13"/>
  <c r="B984" i="13"/>
  <c r="B983" i="13"/>
  <c r="B982" i="13"/>
  <c r="B981" i="13"/>
  <c r="B980" i="13"/>
  <c r="B979" i="13"/>
  <c r="B978" i="13"/>
  <c r="B977" i="13"/>
  <c r="B976" i="13"/>
  <c r="B975" i="13"/>
  <c r="B974" i="13"/>
  <c r="B973" i="13"/>
  <c r="B972" i="13"/>
  <c r="B971" i="13"/>
  <c r="B970" i="13"/>
  <c r="B969" i="13"/>
  <c r="B968" i="13"/>
  <c r="B967" i="13"/>
  <c r="B966" i="13"/>
  <c r="B965" i="13"/>
  <c r="B964" i="13"/>
  <c r="B963" i="13"/>
  <c r="B962" i="13"/>
  <c r="B961" i="13"/>
  <c r="B960" i="13"/>
  <c r="B959" i="13"/>
  <c r="B958" i="13"/>
  <c r="B957" i="13"/>
  <c r="B956" i="13"/>
  <c r="B955" i="13"/>
  <c r="B954" i="13"/>
  <c r="B953" i="13"/>
  <c r="B952" i="13"/>
  <c r="B951" i="13"/>
  <c r="B950" i="13"/>
  <c r="B949" i="13"/>
  <c r="B948" i="13"/>
  <c r="B947" i="13"/>
  <c r="B946" i="13"/>
  <c r="B945" i="13"/>
  <c r="B944" i="13"/>
  <c r="B943" i="13"/>
  <c r="B942" i="13"/>
  <c r="B941" i="13"/>
  <c r="B940" i="13"/>
  <c r="B939" i="13"/>
  <c r="B938" i="13"/>
  <c r="B937" i="13"/>
  <c r="B936" i="13"/>
  <c r="B935" i="13"/>
  <c r="B934" i="13"/>
  <c r="B933" i="13"/>
  <c r="B932" i="13"/>
  <c r="B931" i="13"/>
  <c r="B930" i="13"/>
  <c r="B929" i="13"/>
  <c r="B928" i="13"/>
  <c r="B927" i="13"/>
  <c r="B926" i="13"/>
  <c r="B925" i="13"/>
  <c r="B924" i="13"/>
  <c r="B923" i="13"/>
  <c r="B922" i="13"/>
  <c r="B921" i="13"/>
  <c r="B920" i="13"/>
  <c r="B919" i="13"/>
  <c r="B918" i="13"/>
  <c r="B917" i="13"/>
  <c r="B916" i="13"/>
  <c r="B915" i="13"/>
  <c r="B914" i="13"/>
  <c r="B913" i="13"/>
  <c r="B912" i="13"/>
  <c r="B911" i="13"/>
  <c r="B910" i="13"/>
  <c r="B909" i="13"/>
  <c r="B908" i="13"/>
  <c r="B907" i="13"/>
  <c r="B906" i="13"/>
  <c r="B905" i="13"/>
  <c r="B904" i="13"/>
  <c r="B903" i="13"/>
  <c r="B902" i="13"/>
  <c r="B901" i="13"/>
  <c r="B900" i="13"/>
  <c r="B899" i="13"/>
  <c r="B898" i="13"/>
  <c r="B897" i="13"/>
  <c r="B896" i="13"/>
  <c r="B895" i="13"/>
  <c r="B894" i="13"/>
  <c r="B893" i="13"/>
  <c r="B892" i="13"/>
  <c r="B891" i="13"/>
  <c r="B890" i="13"/>
  <c r="B889" i="13"/>
  <c r="B888" i="13"/>
  <c r="B887" i="13"/>
  <c r="B886" i="13"/>
  <c r="B885" i="13"/>
  <c r="B884" i="13"/>
  <c r="B883" i="13"/>
  <c r="B882" i="13"/>
  <c r="B881" i="13"/>
  <c r="B880" i="13"/>
  <c r="B879" i="13"/>
  <c r="B878" i="13"/>
  <c r="B877" i="13"/>
  <c r="B876" i="13"/>
  <c r="B875" i="13"/>
  <c r="B874" i="13"/>
  <c r="B873" i="13"/>
  <c r="B872" i="13"/>
  <c r="B871" i="13"/>
  <c r="B870" i="13"/>
  <c r="B869" i="13"/>
  <c r="B868" i="13"/>
  <c r="B867" i="13"/>
  <c r="B866" i="13"/>
  <c r="B865" i="13"/>
  <c r="B864" i="13"/>
  <c r="B863" i="13"/>
  <c r="B862" i="13"/>
  <c r="B861" i="13"/>
  <c r="B860" i="13"/>
  <c r="B859" i="13"/>
  <c r="B858" i="13"/>
  <c r="B857" i="13"/>
  <c r="B856" i="13"/>
  <c r="B855" i="13"/>
  <c r="B854" i="13"/>
  <c r="B853" i="13"/>
  <c r="B852" i="13"/>
  <c r="B851" i="13"/>
  <c r="B850" i="13"/>
  <c r="B849" i="13"/>
  <c r="B848" i="13"/>
  <c r="B847" i="13"/>
  <c r="B846" i="13"/>
  <c r="B845" i="13"/>
  <c r="B844" i="13"/>
  <c r="B843" i="13"/>
  <c r="B842" i="13"/>
  <c r="B841" i="13"/>
  <c r="B840" i="13"/>
  <c r="B839" i="13"/>
  <c r="B838" i="13"/>
  <c r="B837" i="13"/>
  <c r="B836" i="13"/>
  <c r="B835" i="13"/>
  <c r="B834" i="13"/>
  <c r="B833" i="13"/>
  <c r="B832" i="13"/>
  <c r="B831" i="13"/>
  <c r="B830" i="13"/>
  <c r="B829" i="13"/>
  <c r="B828" i="13"/>
  <c r="B827" i="13"/>
  <c r="B826" i="13"/>
  <c r="B825" i="13"/>
  <c r="B824" i="13"/>
  <c r="B823" i="13"/>
  <c r="B822" i="13"/>
  <c r="B821" i="13"/>
  <c r="B820" i="13"/>
  <c r="B819" i="13"/>
  <c r="B818" i="13"/>
  <c r="B817" i="13"/>
  <c r="B816" i="13"/>
  <c r="B815" i="13"/>
  <c r="B814" i="13"/>
  <c r="B813" i="13"/>
  <c r="B812" i="13"/>
  <c r="B811" i="13"/>
  <c r="B810" i="13"/>
  <c r="B809" i="13"/>
  <c r="B808" i="13"/>
  <c r="B807" i="13"/>
  <c r="B806" i="13"/>
  <c r="B805" i="13"/>
  <c r="B804" i="13"/>
  <c r="B803" i="13"/>
  <c r="B802" i="13"/>
  <c r="B801" i="13"/>
  <c r="B800" i="13"/>
  <c r="B799" i="13"/>
  <c r="B798" i="13"/>
  <c r="B797" i="13"/>
  <c r="B796" i="13"/>
  <c r="B795" i="13"/>
  <c r="B794" i="13"/>
  <c r="B793" i="13"/>
  <c r="B792" i="13"/>
  <c r="B791" i="13"/>
  <c r="B790" i="13"/>
  <c r="B789" i="13"/>
  <c r="B788" i="13"/>
  <c r="B787" i="13"/>
  <c r="B786" i="13"/>
  <c r="B785" i="13"/>
  <c r="B784" i="13"/>
  <c r="B783" i="13"/>
  <c r="B782" i="13"/>
  <c r="B781" i="13"/>
  <c r="B780" i="13"/>
  <c r="B779" i="13"/>
  <c r="B778" i="13"/>
  <c r="B777" i="13"/>
  <c r="B776" i="13"/>
  <c r="B775" i="13"/>
  <c r="B774" i="13"/>
  <c r="B773" i="13"/>
  <c r="B772" i="13"/>
  <c r="B771" i="13"/>
  <c r="B770" i="13"/>
  <c r="B769" i="13"/>
  <c r="B768" i="13"/>
  <c r="B767" i="13"/>
  <c r="B766" i="13"/>
  <c r="B765" i="13"/>
  <c r="B764" i="13"/>
  <c r="B763" i="13"/>
  <c r="B762" i="13"/>
  <c r="B761" i="13"/>
  <c r="B760" i="13"/>
  <c r="B759" i="13"/>
  <c r="B758" i="13"/>
  <c r="B757" i="13"/>
  <c r="B756" i="13"/>
  <c r="B755" i="13"/>
  <c r="B754" i="13"/>
  <c r="B753" i="13"/>
  <c r="B752" i="13"/>
  <c r="B751" i="13"/>
  <c r="B750" i="13"/>
  <c r="B749" i="13"/>
  <c r="B748" i="13"/>
  <c r="B747" i="13"/>
  <c r="B746" i="13"/>
  <c r="B745" i="13"/>
  <c r="B744" i="13"/>
  <c r="B743" i="13"/>
  <c r="B742" i="13"/>
  <c r="B741" i="13"/>
  <c r="B740" i="13"/>
  <c r="B739" i="13"/>
  <c r="B738" i="13"/>
  <c r="B737" i="13"/>
  <c r="B736" i="13"/>
  <c r="B735" i="13"/>
  <c r="B734" i="13"/>
  <c r="B733" i="13"/>
  <c r="B732" i="13"/>
  <c r="B731" i="13"/>
  <c r="B730" i="13"/>
  <c r="B729" i="13"/>
  <c r="B728" i="13"/>
  <c r="B727" i="13"/>
  <c r="B726" i="13"/>
  <c r="B725" i="13"/>
  <c r="B724" i="13"/>
  <c r="B723" i="13"/>
  <c r="B722" i="13"/>
  <c r="B721" i="13"/>
  <c r="B720" i="13"/>
  <c r="B719" i="13"/>
  <c r="B718" i="13"/>
  <c r="B717" i="13"/>
  <c r="B716" i="13"/>
  <c r="B715" i="13"/>
  <c r="B714" i="13"/>
  <c r="B713" i="13"/>
  <c r="B712" i="13"/>
  <c r="B711" i="13"/>
  <c r="B710" i="13"/>
  <c r="B709" i="13"/>
  <c r="B708" i="13"/>
  <c r="B707" i="13"/>
  <c r="B706" i="13"/>
  <c r="B705" i="13"/>
  <c r="B704" i="13"/>
  <c r="B703" i="13"/>
  <c r="B702" i="13"/>
  <c r="B701" i="13"/>
  <c r="B700" i="13"/>
  <c r="B699" i="13"/>
  <c r="B698" i="13"/>
  <c r="B697" i="13"/>
  <c r="B696" i="13"/>
  <c r="B695" i="13"/>
  <c r="B694" i="13"/>
  <c r="B693" i="13"/>
  <c r="B692" i="13"/>
  <c r="B691" i="13"/>
  <c r="B690" i="13"/>
  <c r="B689" i="13"/>
  <c r="B688" i="13"/>
  <c r="B687" i="13"/>
  <c r="B686" i="13"/>
  <c r="B685" i="13"/>
  <c r="B684" i="13"/>
  <c r="B683" i="13"/>
  <c r="B682" i="13"/>
  <c r="B681" i="13"/>
  <c r="B680" i="13"/>
  <c r="B679" i="13"/>
  <c r="B678" i="13"/>
  <c r="B677" i="13"/>
  <c r="B676" i="13"/>
  <c r="B675" i="13"/>
  <c r="B674" i="13"/>
  <c r="B673" i="13"/>
  <c r="B672" i="13"/>
  <c r="B671" i="13"/>
  <c r="B670" i="13"/>
  <c r="B669" i="13"/>
  <c r="B668" i="13"/>
  <c r="B667" i="13"/>
  <c r="B666" i="13"/>
  <c r="B665" i="13"/>
  <c r="B664" i="13"/>
  <c r="B663" i="13"/>
  <c r="B662" i="13"/>
  <c r="B661" i="13"/>
  <c r="B660" i="13"/>
  <c r="B659" i="13"/>
  <c r="B658" i="13"/>
  <c r="B657" i="13"/>
  <c r="B656" i="13"/>
  <c r="B655" i="13"/>
  <c r="B654" i="13"/>
  <c r="B653" i="13"/>
  <c r="B652" i="13"/>
  <c r="B651" i="13"/>
  <c r="B650" i="13"/>
  <c r="B649" i="13"/>
  <c r="B648" i="13"/>
  <c r="B647" i="13"/>
  <c r="B646" i="13"/>
  <c r="B645" i="13"/>
  <c r="B644" i="13"/>
  <c r="B643" i="13"/>
  <c r="B642" i="13"/>
  <c r="B641" i="13"/>
  <c r="B640" i="13"/>
  <c r="B639" i="13"/>
  <c r="B638" i="13"/>
  <c r="B637" i="13"/>
  <c r="B636" i="13"/>
  <c r="B635" i="13"/>
  <c r="B634" i="13"/>
  <c r="B633" i="13"/>
  <c r="B632" i="13"/>
  <c r="B631" i="13"/>
  <c r="B630" i="13"/>
  <c r="B629" i="13"/>
  <c r="B628" i="13"/>
  <c r="B627" i="13"/>
  <c r="B626" i="13"/>
  <c r="B625" i="13"/>
  <c r="B624" i="13"/>
  <c r="B623" i="13"/>
  <c r="B622" i="13"/>
  <c r="B621" i="13"/>
  <c r="B620" i="13"/>
  <c r="B619" i="13"/>
  <c r="B618" i="13"/>
  <c r="B617" i="13"/>
  <c r="B616" i="13"/>
  <c r="B615" i="13"/>
  <c r="B614" i="13"/>
  <c r="B613" i="13"/>
  <c r="B612" i="13"/>
  <c r="B611" i="13"/>
  <c r="B610" i="13"/>
  <c r="B609" i="13"/>
  <c r="B608" i="13"/>
  <c r="B607" i="13"/>
  <c r="B606" i="13"/>
  <c r="B605" i="13"/>
  <c r="B604" i="13"/>
  <c r="B603" i="13"/>
  <c r="B602" i="13"/>
  <c r="B601" i="13"/>
  <c r="B600" i="13"/>
  <c r="B599" i="13"/>
  <c r="B598" i="13"/>
  <c r="B597" i="13"/>
  <c r="B596" i="13"/>
  <c r="B595" i="13"/>
  <c r="B594" i="13"/>
  <c r="B593" i="13"/>
  <c r="B592" i="13"/>
  <c r="B591" i="13"/>
  <c r="B590" i="13"/>
  <c r="B589" i="13"/>
  <c r="B588" i="13"/>
  <c r="B587" i="13"/>
  <c r="B586" i="13"/>
  <c r="B585" i="13"/>
  <c r="B584" i="13"/>
  <c r="B583" i="13"/>
  <c r="B582" i="13"/>
  <c r="B581" i="13"/>
  <c r="B580" i="13"/>
  <c r="B579" i="13"/>
  <c r="B578" i="13"/>
  <c r="B577" i="13"/>
  <c r="B576" i="13"/>
  <c r="B575" i="13"/>
  <c r="B574" i="13"/>
  <c r="B573" i="13"/>
  <c r="B572" i="13"/>
  <c r="B571" i="13"/>
  <c r="B570" i="13"/>
  <c r="B569" i="13"/>
  <c r="B568" i="13"/>
  <c r="B567" i="13"/>
  <c r="B566" i="13"/>
  <c r="B565" i="13"/>
  <c r="B564" i="13"/>
  <c r="B563" i="13"/>
  <c r="B562" i="13"/>
  <c r="B561" i="13"/>
  <c r="B560" i="13"/>
  <c r="B559" i="13"/>
  <c r="B558" i="13"/>
  <c r="B557" i="13"/>
  <c r="B556" i="13"/>
  <c r="B555" i="13"/>
  <c r="B554" i="13"/>
  <c r="B553" i="13"/>
  <c r="B552" i="13"/>
  <c r="B551" i="13"/>
  <c r="B550" i="13"/>
  <c r="B549" i="13"/>
  <c r="B548" i="13"/>
  <c r="B547" i="13"/>
  <c r="B546" i="13"/>
  <c r="B545" i="13"/>
  <c r="B544" i="13"/>
  <c r="B543" i="13"/>
  <c r="B542" i="13"/>
  <c r="B541" i="13"/>
  <c r="B540" i="13"/>
  <c r="B539" i="13"/>
  <c r="B538" i="13"/>
  <c r="B537" i="13"/>
  <c r="B536" i="13"/>
  <c r="B535" i="13"/>
  <c r="B534" i="13"/>
  <c r="B533" i="13"/>
  <c r="B532" i="13"/>
  <c r="B531" i="13"/>
  <c r="B530" i="13"/>
  <c r="B529" i="13"/>
  <c r="B528" i="13"/>
  <c r="B527" i="13"/>
  <c r="B526" i="13"/>
  <c r="B525" i="13"/>
  <c r="B524" i="13"/>
  <c r="B523" i="13"/>
  <c r="B522" i="13"/>
  <c r="B521" i="13"/>
  <c r="B520" i="13"/>
  <c r="B519" i="13"/>
  <c r="B518" i="13"/>
  <c r="B517" i="13"/>
  <c r="B516" i="13"/>
  <c r="B515" i="13"/>
  <c r="B514" i="13"/>
  <c r="B513" i="13"/>
  <c r="B512" i="13"/>
  <c r="B511" i="13"/>
  <c r="B510" i="13"/>
  <c r="B509" i="13"/>
  <c r="B508" i="13"/>
  <c r="B507" i="13"/>
  <c r="B506" i="13"/>
  <c r="B505" i="13"/>
  <c r="B504" i="13"/>
  <c r="B503" i="13"/>
  <c r="B502" i="13"/>
  <c r="B501" i="13"/>
  <c r="B500" i="13"/>
  <c r="B499" i="13"/>
  <c r="B498" i="13"/>
  <c r="B497" i="13"/>
  <c r="B496" i="13"/>
  <c r="B495" i="13"/>
  <c r="B494" i="13"/>
  <c r="B493" i="13"/>
  <c r="B492" i="13"/>
  <c r="B491" i="13"/>
  <c r="B490" i="13"/>
  <c r="B489" i="13"/>
  <c r="B488" i="13"/>
  <c r="B487" i="13"/>
  <c r="B486" i="13"/>
  <c r="B485" i="13"/>
  <c r="B484" i="13"/>
  <c r="B483" i="13"/>
  <c r="B482" i="13"/>
  <c r="B481" i="13"/>
  <c r="B480" i="13"/>
  <c r="B479" i="13"/>
  <c r="B478" i="13"/>
  <c r="B477" i="13"/>
  <c r="B476" i="13"/>
  <c r="B475" i="13"/>
  <c r="B474" i="13"/>
  <c r="B473" i="13"/>
  <c r="B472" i="13"/>
  <c r="B471" i="13"/>
  <c r="B470" i="13"/>
  <c r="B469" i="13"/>
  <c r="B468" i="13"/>
  <c r="B467" i="13"/>
  <c r="B466" i="13"/>
  <c r="B465" i="13"/>
  <c r="B464" i="13"/>
  <c r="B463" i="13"/>
  <c r="B462" i="13"/>
  <c r="B461" i="13"/>
  <c r="B460" i="13"/>
  <c r="B459" i="13"/>
  <c r="B458" i="13"/>
  <c r="B457" i="13"/>
  <c r="B456" i="13"/>
  <c r="B455" i="13"/>
  <c r="B454" i="13"/>
  <c r="B453" i="13"/>
  <c r="B452" i="13"/>
  <c r="B451" i="13"/>
  <c r="B450" i="13"/>
  <c r="B449" i="13"/>
  <c r="B448" i="13"/>
  <c r="B447" i="13"/>
  <c r="B446" i="13"/>
  <c r="B445" i="13"/>
  <c r="B444" i="13"/>
  <c r="B443" i="13"/>
  <c r="B442" i="13"/>
  <c r="B441" i="13"/>
  <c r="B440" i="13"/>
  <c r="B439" i="13"/>
  <c r="B438" i="13"/>
  <c r="B437" i="13"/>
  <c r="B436" i="13"/>
  <c r="B435" i="13"/>
  <c r="B434" i="13"/>
  <c r="B433" i="13"/>
  <c r="B432" i="13"/>
  <c r="B431" i="13"/>
  <c r="B430" i="13"/>
  <c r="B429" i="13"/>
  <c r="B428" i="13"/>
  <c r="B427" i="13"/>
  <c r="B426" i="13"/>
  <c r="B425" i="13"/>
  <c r="B424" i="13"/>
  <c r="B423" i="13"/>
  <c r="B422" i="13"/>
  <c r="B421" i="13"/>
  <c r="B420" i="13"/>
  <c r="B419" i="13"/>
  <c r="B418" i="13"/>
  <c r="B417" i="13"/>
  <c r="B416" i="13"/>
  <c r="B415" i="13"/>
  <c r="B414" i="13"/>
  <c r="B413" i="13"/>
  <c r="B412" i="13"/>
  <c r="B411" i="13"/>
  <c r="B410" i="13"/>
  <c r="B409" i="13"/>
  <c r="B408" i="13"/>
  <c r="B407" i="13"/>
  <c r="B406" i="13"/>
  <c r="B405" i="13"/>
  <c r="B404" i="13"/>
  <c r="B403" i="13"/>
  <c r="B402" i="13"/>
  <c r="B401" i="13"/>
  <c r="B400" i="13"/>
  <c r="B399" i="13"/>
  <c r="B398" i="13"/>
  <c r="B397" i="13"/>
  <c r="B396" i="13"/>
  <c r="B395" i="13"/>
  <c r="B394" i="13"/>
  <c r="B393" i="13"/>
  <c r="B392" i="13"/>
  <c r="B391" i="13"/>
  <c r="B390" i="13"/>
  <c r="B389" i="13"/>
  <c r="B388" i="13"/>
  <c r="B387" i="13"/>
  <c r="B386" i="13"/>
  <c r="B385" i="13"/>
  <c r="B384" i="13"/>
  <c r="B383" i="13"/>
  <c r="B382" i="13"/>
  <c r="B381" i="13"/>
  <c r="B380" i="13"/>
  <c r="B379" i="13"/>
  <c r="B378" i="13"/>
  <c r="B377" i="13"/>
  <c r="B376" i="13"/>
  <c r="B375" i="13"/>
  <c r="B374" i="13"/>
  <c r="B373" i="13"/>
  <c r="B372" i="13"/>
  <c r="B371" i="13"/>
  <c r="B370" i="13"/>
  <c r="B369" i="13"/>
  <c r="B368" i="13"/>
  <c r="B367" i="13"/>
  <c r="B366" i="13"/>
  <c r="B365" i="13"/>
  <c r="B364" i="13"/>
  <c r="B363" i="13"/>
  <c r="B362" i="13"/>
  <c r="B361" i="13"/>
  <c r="B360" i="13"/>
  <c r="B359" i="13"/>
  <c r="B358" i="13"/>
  <c r="B357" i="13"/>
  <c r="B356" i="13"/>
  <c r="B355" i="13"/>
  <c r="B354" i="13"/>
  <c r="B353" i="13"/>
  <c r="B352" i="13"/>
  <c r="B351" i="13"/>
  <c r="B350" i="13"/>
  <c r="B349" i="13"/>
  <c r="B348" i="13"/>
  <c r="B347" i="13"/>
  <c r="B346" i="13"/>
  <c r="B345" i="13"/>
  <c r="B344" i="13"/>
  <c r="B343" i="13"/>
  <c r="B342" i="13"/>
  <c r="B341" i="13"/>
  <c r="B340" i="13"/>
  <c r="B339" i="13"/>
  <c r="B338" i="13"/>
  <c r="B337" i="13"/>
  <c r="B336" i="13"/>
  <c r="B335" i="13"/>
  <c r="B334" i="13"/>
  <c r="B333" i="13"/>
  <c r="B332" i="13"/>
  <c r="B331" i="13"/>
  <c r="B330" i="13"/>
  <c r="B329" i="13"/>
  <c r="B328" i="13"/>
  <c r="B327" i="13"/>
  <c r="B326" i="13"/>
  <c r="B325" i="13"/>
  <c r="B324" i="13"/>
  <c r="B323" i="13"/>
  <c r="B322" i="13"/>
  <c r="B321" i="13"/>
  <c r="B320" i="13"/>
  <c r="B319" i="13"/>
  <c r="B318" i="13"/>
  <c r="B317" i="13"/>
  <c r="B316" i="13"/>
  <c r="B315" i="13"/>
  <c r="B314" i="13"/>
  <c r="B313" i="13"/>
  <c r="B312" i="13"/>
  <c r="B311" i="13"/>
  <c r="B310" i="13"/>
  <c r="B309" i="13"/>
  <c r="B308" i="13"/>
  <c r="B307" i="13"/>
  <c r="B306" i="13"/>
  <c r="B305" i="13"/>
  <c r="B304" i="13"/>
  <c r="B303" i="13"/>
  <c r="B302" i="13"/>
  <c r="B301" i="13"/>
  <c r="B300" i="13"/>
  <c r="B299" i="13"/>
  <c r="B298" i="13"/>
  <c r="B297" i="13"/>
  <c r="B296" i="13"/>
  <c r="B295" i="13"/>
  <c r="B294" i="13"/>
  <c r="B293" i="13"/>
  <c r="B292" i="13"/>
  <c r="B291" i="13"/>
  <c r="B290" i="13"/>
  <c r="B289" i="13"/>
  <c r="B288" i="13"/>
  <c r="B287" i="13"/>
  <c r="B286" i="13"/>
  <c r="B285" i="13"/>
  <c r="B284" i="13"/>
  <c r="B283" i="13"/>
  <c r="B282" i="13"/>
  <c r="B281" i="13"/>
  <c r="B280" i="13"/>
  <c r="B279" i="13"/>
  <c r="B278" i="13"/>
  <c r="B277" i="13"/>
  <c r="B276" i="13"/>
  <c r="B275" i="13"/>
  <c r="B274" i="13"/>
  <c r="B273" i="13"/>
  <c r="B272" i="13"/>
  <c r="B271" i="13"/>
  <c r="B270" i="13"/>
  <c r="B269" i="13"/>
  <c r="B268" i="13"/>
  <c r="B267" i="13"/>
  <c r="B266" i="13"/>
  <c r="B265" i="13"/>
  <c r="B264" i="13"/>
  <c r="B263" i="13"/>
  <c r="B262" i="13"/>
  <c r="B261" i="13"/>
  <c r="B260" i="13"/>
  <c r="B259" i="13"/>
  <c r="B258" i="13"/>
  <c r="B257" i="13"/>
  <c r="B256" i="13"/>
  <c r="B255" i="13"/>
  <c r="B254" i="13"/>
  <c r="B253" i="13"/>
  <c r="B252" i="13"/>
  <c r="B251" i="13"/>
  <c r="B250" i="13"/>
  <c r="B249" i="13"/>
  <c r="B248" i="13"/>
  <c r="B247" i="13"/>
  <c r="B246" i="13"/>
  <c r="B245" i="13"/>
  <c r="B244" i="13"/>
  <c r="B243" i="13"/>
  <c r="B242" i="13"/>
  <c r="B241" i="13"/>
  <c r="B240" i="13"/>
  <c r="B239" i="13"/>
  <c r="B238" i="13"/>
  <c r="B237" i="13"/>
  <c r="B236" i="13"/>
  <c r="B235" i="13"/>
  <c r="B234" i="13"/>
  <c r="B233" i="13"/>
  <c r="B232" i="13"/>
  <c r="B231" i="13"/>
  <c r="B230" i="13"/>
  <c r="B229" i="13"/>
  <c r="B228" i="13"/>
  <c r="B227" i="13"/>
  <c r="B226" i="13"/>
  <c r="A101" i="13"/>
  <c r="A100" i="13"/>
  <c r="A99" i="13"/>
  <c r="A98" i="13"/>
  <c r="A97" i="13"/>
  <c r="A96" i="13"/>
  <c r="A95" i="13"/>
  <c r="A94" i="13"/>
  <c r="A93" i="13"/>
  <c r="A92" i="13"/>
  <c r="A91" i="13"/>
  <c r="A90" i="13"/>
  <c r="A89" i="13"/>
  <c r="A88" i="13"/>
  <c r="A87" i="13"/>
  <c r="A86" i="13"/>
  <c r="A85" i="13"/>
  <c r="A84" i="13"/>
  <c r="A83" i="13"/>
  <c r="A82" i="13"/>
  <c r="A81" i="13"/>
  <c r="A80" i="13"/>
  <c r="A79" i="13"/>
  <c r="A78" i="13"/>
  <c r="A77" i="13"/>
  <c r="A76" i="13"/>
  <c r="A75" i="13"/>
  <c r="A74" i="13"/>
  <c r="A73" i="13"/>
  <c r="A72" i="13"/>
  <c r="A71" i="13"/>
  <c r="A70" i="13"/>
  <c r="A69" i="13"/>
  <c r="A68" i="13"/>
  <c r="A67" i="13"/>
  <c r="A66" i="13"/>
  <c r="A65" i="13"/>
  <c r="A64" i="13"/>
  <c r="A63" i="13"/>
  <c r="A62" i="13"/>
  <c r="A61" i="13"/>
  <c r="A60" i="13"/>
  <c r="A59" i="13"/>
  <c r="A58" i="13"/>
  <c r="A57" i="13"/>
  <c r="A56" i="13"/>
  <c r="A55" i="13"/>
  <c r="A54" i="13"/>
  <c r="A53" i="13"/>
  <c r="A52" i="13"/>
  <c r="A51" i="13"/>
  <c r="A50" i="13"/>
  <c r="A49" i="13"/>
  <c r="A48" i="13"/>
  <c r="A47" i="13"/>
  <c r="A46" i="13"/>
  <c r="A45" i="13"/>
  <c r="A44" i="13"/>
  <c r="A43" i="13"/>
  <c r="A42" i="13"/>
  <c r="A41" i="13"/>
  <c r="A40" i="13"/>
  <c r="A39" i="13"/>
  <c r="A38" i="13"/>
  <c r="A37" i="13"/>
  <c r="A36" i="13"/>
  <c r="A35" i="13"/>
  <c r="A34" i="13"/>
  <c r="A33" i="13"/>
  <c r="A32" i="13"/>
  <c r="A31" i="13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A4" i="13"/>
  <c r="A3" i="13"/>
  <c r="A2" i="13"/>
  <c r="B1904" i="12"/>
  <c r="B1903" i="12"/>
  <c r="B1902" i="12"/>
  <c r="B1901" i="12"/>
  <c r="B1900" i="12"/>
  <c r="B1899" i="12"/>
  <c r="B1898" i="12"/>
  <c r="B1897" i="12"/>
  <c r="B1896" i="12"/>
  <c r="B1895" i="12"/>
  <c r="B1894" i="12"/>
  <c r="B1893" i="12"/>
  <c r="B1892" i="12"/>
  <c r="B1891" i="12"/>
  <c r="B1890" i="12"/>
  <c r="B1889" i="12"/>
  <c r="B1888" i="12"/>
  <c r="B1887" i="12"/>
  <c r="B1886" i="12"/>
  <c r="B1885" i="12"/>
  <c r="B1884" i="12"/>
  <c r="B1883" i="12"/>
  <c r="B1882" i="12"/>
  <c r="B1881" i="12"/>
  <c r="B1880" i="12"/>
  <c r="B1879" i="12"/>
  <c r="B1878" i="12"/>
  <c r="B1877" i="12"/>
  <c r="B1876" i="12"/>
  <c r="B1875" i="12"/>
  <c r="B1874" i="12"/>
  <c r="B1873" i="12"/>
  <c r="B1872" i="12"/>
  <c r="B1871" i="12"/>
  <c r="B1870" i="12"/>
  <c r="B1869" i="12"/>
  <c r="B1868" i="12"/>
  <c r="B1867" i="12"/>
  <c r="B1866" i="12"/>
  <c r="B1865" i="12"/>
  <c r="B1864" i="12"/>
  <c r="B1863" i="12"/>
  <c r="B1862" i="12"/>
  <c r="B1861" i="12"/>
  <c r="B1860" i="12"/>
  <c r="B1859" i="12"/>
  <c r="B1858" i="12"/>
  <c r="B1857" i="12"/>
  <c r="B1856" i="12"/>
  <c r="B1855" i="12"/>
  <c r="B1854" i="12"/>
  <c r="B1853" i="12"/>
  <c r="B1852" i="12"/>
  <c r="B1851" i="12"/>
  <c r="B1850" i="12"/>
  <c r="B1849" i="12"/>
  <c r="B1848" i="12"/>
  <c r="B1847" i="12"/>
  <c r="B1846" i="12"/>
  <c r="B1845" i="12"/>
  <c r="B1844" i="12"/>
  <c r="B1843" i="12"/>
  <c r="B1842" i="12"/>
  <c r="B1841" i="12"/>
  <c r="B1840" i="12"/>
  <c r="B1839" i="12"/>
  <c r="B1838" i="12"/>
  <c r="B1837" i="12"/>
  <c r="B1836" i="12"/>
  <c r="B1835" i="12"/>
  <c r="B1834" i="12"/>
  <c r="B1833" i="12"/>
  <c r="B1832" i="12"/>
  <c r="B1831" i="12"/>
  <c r="B1830" i="12"/>
  <c r="B1829" i="12"/>
  <c r="B1828" i="12"/>
  <c r="B1827" i="12"/>
  <c r="B1826" i="12"/>
  <c r="B1825" i="12"/>
  <c r="B1824" i="12"/>
  <c r="B1823" i="12"/>
  <c r="B1822" i="12"/>
  <c r="B1821" i="12"/>
  <c r="B1820" i="12"/>
  <c r="B1819" i="12"/>
  <c r="B1818" i="12"/>
  <c r="B1817" i="12"/>
  <c r="B1816" i="12"/>
  <c r="B1815" i="12"/>
  <c r="B1814" i="12"/>
  <c r="B1813" i="12"/>
  <c r="B1812" i="12"/>
  <c r="B1811" i="12"/>
  <c r="B1810" i="12"/>
  <c r="B1809" i="12"/>
  <c r="B1808" i="12"/>
  <c r="B1807" i="12"/>
  <c r="B1806" i="12"/>
  <c r="B1805" i="12"/>
  <c r="B1804" i="12"/>
  <c r="B1803" i="12"/>
  <c r="B1802" i="12"/>
  <c r="B1801" i="12"/>
  <c r="B1800" i="12"/>
  <c r="B1799" i="12"/>
  <c r="B1798" i="12"/>
  <c r="B1797" i="12"/>
  <c r="B1796" i="12"/>
  <c r="B1795" i="12"/>
  <c r="B1794" i="12"/>
  <c r="B1793" i="12"/>
  <c r="B1792" i="12"/>
  <c r="B1791" i="12"/>
  <c r="B1790" i="12"/>
  <c r="B1789" i="12"/>
  <c r="B1788" i="12"/>
  <c r="B1787" i="12"/>
  <c r="B1786" i="12"/>
  <c r="B1785" i="12"/>
  <c r="B1784" i="12"/>
  <c r="B1783" i="12"/>
  <c r="B1782" i="12"/>
  <c r="B1781" i="12"/>
  <c r="B1780" i="12"/>
  <c r="B1779" i="12"/>
  <c r="B1778" i="12"/>
  <c r="B1777" i="12"/>
  <c r="B1776" i="12"/>
  <c r="B1775" i="12"/>
  <c r="B1774" i="12"/>
  <c r="B1773" i="12"/>
  <c r="B1772" i="12"/>
  <c r="B1771" i="12"/>
  <c r="B1770" i="12"/>
  <c r="B1769" i="12"/>
  <c r="B1768" i="12"/>
  <c r="B1767" i="12"/>
  <c r="B1766" i="12"/>
  <c r="B1765" i="12"/>
  <c r="B1764" i="12"/>
  <c r="B1763" i="12"/>
  <c r="B1762" i="12"/>
  <c r="B1761" i="12"/>
  <c r="B1760" i="12"/>
  <c r="B1759" i="12"/>
  <c r="B1758" i="12"/>
  <c r="B1757" i="12"/>
  <c r="B1756" i="12"/>
  <c r="B1755" i="12"/>
  <c r="B1754" i="12"/>
  <c r="B1753" i="12"/>
  <c r="B1752" i="12"/>
  <c r="B1751" i="12"/>
  <c r="B1750" i="12"/>
  <c r="B1749" i="12"/>
  <c r="B1748" i="12"/>
  <c r="B1747" i="12"/>
  <c r="B1746" i="12"/>
  <c r="B1745" i="12"/>
  <c r="B1744" i="12"/>
  <c r="B1743" i="12"/>
  <c r="B1742" i="12"/>
  <c r="B1741" i="12"/>
  <c r="B1740" i="12"/>
  <c r="B1739" i="12"/>
  <c r="B1738" i="12"/>
  <c r="B1737" i="12"/>
  <c r="B1736" i="12"/>
  <c r="B1735" i="12"/>
  <c r="B1734" i="12"/>
  <c r="B1733" i="12"/>
  <c r="B1732" i="12"/>
  <c r="B1731" i="12"/>
  <c r="B1730" i="12"/>
  <c r="B1729" i="12"/>
  <c r="B1728" i="12"/>
  <c r="B1727" i="12"/>
  <c r="B1726" i="12"/>
  <c r="B1725" i="12"/>
  <c r="B1724" i="12"/>
  <c r="B1723" i="12"/>
  <c r="B1722" i="12"/>
  <c r="B1721" i="12"/>
  <c r="B1720" i="12"/>
  <c r="B1719" i="12"/>
  <c r="B1718" i="12"/>
  <c r="B1717" i="12"/>
  <c r="B1716" i="12"/>
  <c r="B1715" i="12"/>
  <c r="B1714" i="12"/>
  <c r="B1713" i="12"/>
  <c r="B1712" i="12"/>
  <c r="B1711" i="12"/>
  <c r="B1710" i="12"/>
  <c r="B1709" i="12"/>
  <c r="B1708" i="12"/>
  <c r="B1707" i="12"/>
  <c r="B1706" i="12"/>
  <c r="B1705" i="12"/>
  <c r="B1704" i="12"/>
  <c r="B1703" i="12"/>
  <c r="B1702" i="12"/>
  <c r="B1701" i="12"/>
  <c r="B1700" i="12"/>
  <c r="B1699" i="12"/>
  <c r="B1698" i="12"/>
  <c r="B1697" i="12"/>
  <c r="B1696" i="12"/>
  <c r="B1695" i="12"/>
  <c r="B1694" i="12"/>
  <c r="B1693" i="12"/>
  <c r="B1692" i="12"/>
  <c r="B1691" i="12"/>
  <c r="B1690" i="12"/>
  <c r="B1689" i="12"/>
  <c r="B1688" i="12"/>
  <c r="B1687" i="12"/>
  <c r="B1686" i="12"/>
  <c r="B1685" i="12"/>
  <c r="B1684" i="12"/>
  <c r="B1683" i="12"/>
  <c r="B1682" i="12"/>
  <c r="B1681" i="12"/>
  <c r="B1680" i="12"/>
  <c r="B1679" i="12"/>
  <c r="B1678" i="12"/>
  <c r="B1677" i="12"/>
  <c r="B1676" i="12"/>
  <c r="B1675" i="12"/>
  <c r="B1674" i="12"/>
  <c r="B1673" i="12"/>
  <c r="B1672" i="12"/>
  <c r="B1671" i="12"/>
  <c r="B1670" i="12"/>
  <c r="B1669" i="12"/>
  <c r="B1668" i="12"/>
  <c r="B1667" i="12"/>
  <c r="B1666" i="12"/>
  <c r="B1665" i="12"/>
  <c r="B1664" i="12"/>
  <c r="B1663" i="12"/>
  <c r="B1662" i="12"/>
  <c r="B1661" i="12"/>
  <c r="B1660" i="12"/>
  <c r="B1659" i="12"/>
  <c r="B1658" i="12"/>
  <c r="B1657" i="12"/>
  <c r="B1656" i="12"/>
  <c r="B1655" i="12"/>
  <c r="B1654" i="12"/>
  <c r="B1653" i="12"/>
  <c r="B1652" i="12"/>
  <c r="B1651" i="12"/>
  <c r="B1650" i="12"/>
  <c r="B1649" i="12"/>
  <c r="B1648" i="12"/>
  <c r="B1647" i="12"/>
  <c r="B1646" i="12"/>
  <c r="B1645" i="12"/>
  <c r="B1644" i="12"/>
  <c r="B1643" i="12"/>
  <c r="B1642" i="12"/>
  <c r="B1641" i="12"/>
  <c r="B1640" i="12"/>
  <c r="B1639" i="12"/>
  <c r="B1638" i="12"/>
  <c r="B1637" i="12"/>
  <c r="B1636" i="12"/>
  <c r="B1635" i="12"/>
  <c r="B1634" i="12"/>
  <c r="B1633" i="12"/>
  <c r="B1632" i="12"/>
  <c r="B1631" i="12"/>
  <c r="B1630" i="12"/>
  <c r="B1629" i="12"/>
  <c r="B1628" i="12"/>
  <c r="B1627" i="12"/>
  <c r="B1626" i="12"/>
  <c r="B1625" i="12"/>
  <c r="B1624" i="12"/>
  <c r="B1623" i="12"/>
  <c r="B1622" i="12"/>
  <c r="B1621" i="12"/>
  <c r="B1620" i="12"/>
  <c r="B1619" i="12"/>
  <c r="B1618" i="12"/>
  <c r="B1617" i="12"/>
  <c r="B1616" i="12"/>
  <c r="B1615" i="12"/>
  <c r="B1614" i="12"/>
  <c r="B1613" i="12"/>
  <c r="B1612" i="12"/>
  <c r="B1611" i="12"/>
  <c r="B1610" i="12"/>
  <c r="B1609" i="12"/>
  <c r="B1608" i="12"/>
  <c r="B1607" i="12"/>
  <c r="B1606" i="12"/>
  <c r="B1605" i="12"/>
  <c r="B1604" i="12"/>
  <c r="B1603" i="12"/>
  <c r="B1602" i="12"/>
  <c r="B1601" i="12"/>
  <c r="B1600" i="12"/>
  <c r="B1599" i="12"/>
  <c r="B1598" i="12"/>
  <c r="B1597" i="12"/>
  <c r="B1596" i="12"/>
  <c r="B1595" i="12"/>
  <c r="B1594" i="12"/>
  <c r="B1593" i="12"/>
  <c r="B1592" i="12"/>
  <c r="B1591" i="12"/>
  <c r="B1590" i="12"/>
  <c r="B1589" i="12"/>
  <c r="B1588" i="12"/>
  <c r="B1587" i="12"/>
  <c r="B1586" i="12"/>
  <c r="B1585" i="12"/>
  <c r="B1584" i="12"/>
  <c r="B1583" i="12"/>
  <c r="B1582" i="12"/>
  <c r="B1581" i="12"/>
  <c r="B1580" i="12"/>
  <c r="B1579" i="12"/>
  <c r="B1578" i="12"/>
  <c r="B1577" i="12"/>
  <c r="B1576" i="12"/>
  <c r="B1575" i="12"/>
  <c r="B1574" i="12"/>
  <c r="B1573" i="12"/>
  <c r="B1572" i="12"/>
  <c r="B1571" i="12"/>
  <c r="B1570" i="12"/>
  <c r="B1569" i="12"/>
  <c r="B1568" i="12"/>
  <c r="B1567" i="12"/>
  <c r="B1566" i="12"/>
  <c r="B1565" i="12"/>
  <c r="B1564" i="12"/>
  <c r="B1563" i="12"/>
  <c r="B1562" i="12"/>
  <c r="B1561" i="12"/>
  <c r="B1560" i="12"/>
  <c r="B1559" i="12"/>
  <c r="B1558" i="12"/>
  <c r="B1557" i="12"/>
  <c r="B1556" i="12"/>
  <c r="B1555" i="12"/>
  <c r="B1554" i="12"/>
  <c r="B1553" i="12"/>
  <c r="B1552" i="12"/>
  <c r="B1551" i="12"/>
  <c r="B1550" i="12"/>
  <c r="B1549" i="12"/>
  <c r="B1548" i="12"/>
  <c r="B1547" i="12"/>
  <c r="B1546" i="12"/>
  <c r="B1545" i="12"/>
  <c r="B1544" i="12"/>
  <c r="B1543" i="12"/>
  <c r="B1542" i="12"/>
  <c r="B1541" i="12"/>
  <c r="B1540" i="12"/>
  <c r="B1539" i="12"/>
  <c r="B1538" i="12"/>
  <c r="B1537" i="12"/>
  <c r="B1536" i="12"/>
  <c r="B1535" i="12"/>
  <c r="B1534" i="12"/>
  <c r="B1533" i="12"/>
  <c r="B1532" i="12"/>
  <c r="B1531" i="12"/>
  <c r="B1530" i="12"/>
  <c r="B1529" i="12"/>
  <c r="B1528" i="12"/>
  <c r="B1527" i="12"/>
  <c r="B1526" i="12"/>
  <c r="B1525" i="12"/>
  <c r="B1524" i="12"/>
  <c r="B1523" i="12"/>
  <c r="B1522" i="12"/>
  <c r="B1521" i="12"/>
  <c r="B1520" i="12"/>
  <c r="B1519" i="12"/>
  <c r="B1518" i="12"/>
  <c r="B1517" i="12"/>
  <c r="B1516" i="12"/>
  <c r="B1515" i="12"/>
  <c r="B1514" i="12"/>
  <c r="B1513" i="12"/>
  <c r="B1512" i="12"/>
  <c r="B1511" i="12"/>
  <c r="B1510" i="12"/>
  <c r="B1509" i="12"/>
  <c r="B1508" i="12"/>
  <c r="B1507" i="12"/>
  <c r="B1506" i="12"/>
  <c r="B1505" i="12"/>
  <c r="B1504" i="12"/>
  <c r="B1503" i="12"/>
  <c r="B1502" i="12"/>
  <c r="B1501" i="12"/>
  <c r="B1500" i="12"/>
  <c r="B1499" i="12"/>
  <c r="B1498" i="12"/>
  <c r="B1497" i="12"/>
  <c r="B1496" i="12"/>
  <c r="B1495" i="12"/>
  <c r="B1494" i="12"/>
  <c r="B1493" i="12"/>
  <c r="B1492" i="12"/>
  <c r="B1491" i="12"/>
  <c r="B1490" i="12"/>
  <c r="B1489" i="12"/>
  <c r="B1488" i="12"/>
  <c r="B1487" i="12"/>
  <c r="B1486" i="12"/>
  <c r="B1485" i="12"/>
  <c r="B1484" i="12"/>
  <c r="B1483" i="12"/>
  <c r="B1482" i="12"/>
  <c r="B1481" i="12"/>
  <c r="B1480" i="12"/>
  <c r="B1479" i="12"/>
  <c r="B1478" i="12"/>
  <c r="B1477" i="12"/>
  <c r="B1476" i="12"/>
  <c r="B1475" i="12"/>
  <c r="B1474" i="12"/>
  <c r="B1473" i="12"/>
  <c r="B1472" i="12"/>
  <c r="B1471" i="12"/>
  <c r="B1470" i="12"/>
  <c r="B1469" i="12"/>
  <c r="B1468" i="12"/>
  <c r="B1467" i="12"/>
  <c r="B1466" i="12"/>
  <c r="B1465" i="12"/>
  <c r="B1464" i="12"/>
  <c r="B1463" i="12"/>
  <c r="B1462" i="12"/>
  <c r="B1461" i="12"/>
  <c r="B1460" i="12"/>
  <c r="B1459" i="12"/>
  <c r="B1458" i="12"/>
  <c r="B1457" i="12"/>
  <c r="B1456" i="12"/>
  <c r="B1455" i="12"/>
  <c r="B1454" i="12"/>
  <c r="B1453" i="12"/>
  <c r="B1452" i="12"/>
  <c r="B1451" i="12"/>
  <c r="B1450" i="12"/>
  <c r="B1449" i="12"/>
  <c r="B1448" i="12"/>
  <c r="B1447" i="12"/>
  <c r="B1446" i="12"/>
  <c r="B1445" i="12"/>
  <c r="B1444" i="12"/>
  <c r="B1443" i="12"/>
  <c r="B1442" i="12"/>
  <c r="B1441" i="12"/>
  <c r="B1440" i="12"/>
  <c r="B1439" i="12"/>
  <c r="B1438" i="12"/>
  <c r="B1437" i="12"/>
  <c r="B1436" i="12"/>
  <c r="B1435" i="12"/>
  <c r="B1434" i="12"/>
  <c r="B1433" i="12"/>
  <c r="B1432" i="12"/>
  <c r="B1431" i="12"/>
  <c r="B1430" i="12"/>
  <c r="B1429" i="12"/>
  <c r="B1428" i="12"/>
  <c r="B1427" i="12"/>
  <c r="B1426" i="12"/>
  <c r="B1425" i="12"/>
  <c r="B1424" i="12"/>
  <c r="B1423" i="12"/>
  <c r="B1422" i="12"/>
  <c r="B1421" i="12"/>
  <c r="B1420" i="12"/>
  <c r="B1419" i="12"/>
  <c r="B1418" i="12"/>
  <c r="B1417" i="12"/>
  <c r="B1416" i="12"/>
  <c r="B1415" i="12"/>
  <c r="B1414" i="12"/>
  <c r="B1413" i="12"/>
  <c r="B1412" i="12"/>
  <c r="B1411" i="12"/>
  <c r="B1410" i="12"/>
  <c r="B1409" i="12"/>
  <c r="B1408" i="12"/>
  <c r="B1407" i="12"/>
  <c r="B1406" i="12"/>
  <c r="B1405" i="12"/>
  <c r="B1404" i="12"/>
  <c r="B1403" i="12"/>
  <c r="B1402" i="12"/>
  <c r="B1401" i="12"/>
  <c r="B1400" i="12"/>
  <c r="B1399" i="12"/>
  <c r="B1398" i="12"/>
  <c r="B1397" i="12"/>
  <c r="B1396" i="12"/>
  <c r="B1395" i="12"/>
  <c r="B1394" i="12"/>
  <c r="B1393" i="12"/>
  <c r="B1392" i="12"/>
  <c r="B1391" i="12"/>
  <c r="B1390" i="12"/>
  <c r="B1389" i="12"/>
  <c r="B1388" i="12"/>
  <c r="B1387" i="12"/>
  <c r="B1386" i="12"/>
  <c r="B1385" i="12"/>
  <c r="B1384" i="12"/>
  <c r="B1383" i="12"/>
  <c r="B1382" i="12"/>
  <c r="B1381" i="12"/>
  <c r="B1380" i="12"/>
  <c r="B1379" i="12"/>
  <c r="B1378" i="12"/>
  <c r="B1377" i="12"/>
  <c r="B1376" i="12"/>
  <c r="B1375" i="12"/>
  <c r="B1374" i="12"/>
  <c r="B1373" i="12"/>
  <c r="B1372" i="12"/>
  <c r="B1371" i="12"/>
  <c r="B1370" i="12"/>
  <c r="B1369" i="12"/>
  <c r="B1368" i="12"/>
  <c r="B1367" i="12"/>
  <c r="B1366" i="12"/>
  <c r="B1365" i="12"/>
  <c r="B1364" i="12"/>
  <c r="B1363" i="12"/>
  <c r="B1362" i="12"/>
  <c r="B1361" i="12"/>
  <c r="B1360" i="12"/>
  <c r="B1359" i="12"/>
  <c r="B1358" i="12"/>
  <c r="B1357" i="12"/>
  <c r="B1356" i="12"/>
  <c r="B1355" i="12"/>
  <c r="B1354" i="12"/>
  <c r="B1353" i="12"/>
  <c r="B1352" i="12"/>
  <c r="B1351" i="12"/>
  <c r="B1350" i="12"/>
  <c r="B1349" i="12"/>
  <c r="B1348" i="12"/>
  <c r="B1347" i="12"/>
  <c r="B1346" i="12"/>
  <c r="B1345" i="12"/>
  <c r="B1344" i="12"/>
  <c r="B1343" i="12"/>
  <c r="B1342" i="12"/>
  <c r="B1341" i="12"/>
  <c r="B1340" i="12"/>
  <c r="B1339" i="12"/>
  <c r="B1338" i="12"/>
  <c r="B1337" i="12"/>
  <c r="B1336" i="12"/>
  <c r="B1335" i="12"/>
  <c r="B1334" i="12"/>
  <c r="B1333" i="12"/>
  <c r="B1332" i="12"/>
  <c r="B1331" i="12"/>
  <c r="B1330" i="12"/>
  <c r="B1329" i="12"/>
  <c r="B1328" i="12"/>
  <c r="B1327" i="12"/>
  <c r="B1326" i="12"/>
  <c r="B1325" i="12"/>
  <c r="B1324" i="12"/>
  <c r="B1323" i="12"/>
  <c r="B1322" i="12"/>
  <c r="B1321" i="12"/>
  <c r="B1320" i="12"/>
  <c r="B1319" i="12"/>
  <c r="B1318" i="12"/>
  <c r="B1317" i="12"/>
  <c r="B1316" i="12"/>
  <c r="B1315" i="12"/>
  <c r="B1314" i="12"/>
  <c r="B1313" i="12"/>
  <c r="B1312" i="12"/>
  <c r="B1311" i="12"/>
  <c r="B1310" i="12"/>
  <c r="B1309" i="12"/>
  <c r="B1308" i="12"/>
  <c r="B1307" i="12"/>
  <c r="B1306" i="12"/>
  <c r="B1305" i="12"/>
  <c r="B1304" i="12"/>
  <c r="B1303" i="12"/>
  <c r="B1302" i="12"/>
  <c r="B1301" i="12"/>
  <c r="B1300" i="12"/>
  <c r="B1299" i="12"/>
  <c r="B1298" i="12"/>
  <c r="B1297" i="12"/>
  <c r="B1296" i="12"/>
  <c r="B1295" i="12"/>
  <c r="B1294" i="12"/>
  <c r="B1293" i="12"/>
  <c r="B1292" i="12"/>
  <c r="B1291" i="12"/>
  <c r="B1290" i="12"/>
  <c r="B1289" i="12"/>
  <c r="B1288" i="12"/>
  <c r="B1287" i="12"/>
  <c r="B1286" i="12"/>
  <c r="B1285" i="12"/>
  <c r="B1284" i="12"/>
  <c r="B1283" i="12"/>
  <c r="B1282" i="12"/>
  <c r="B1281" i="12"/>
  <c r="B1280" i="12"/>
  <c r="B1279" i="12"/>
  <c r="B1278" i="12"/>
  <c r="B1277" i="12"/>
  <c r="B1276" i="12"/>
  <c r="B1275" i="12"/>
  <c r="B1274" i="12"/>
  <c r="B1273" i="12"/>
  <c r="B1272" i="12"/>
  <c r="B1271" i="12"/>
  <c r="B1270" i="12"/>
  <c r="B1269" i="12"/>
  <c r="B1268" i="12"/>
  <c r="B1267" i="12"/>
  <c r="B1266" i="12"/>
  <c r="B1265" i="12"/>
  <c r="B1264" i="12"/>
  <c r="B1263" i="12"/>
  <c r="B1262" i="12"/>
  <c r="B1261" i="12"/>
  <c r="B1260" i="12"/>
  <c r="B1259" i="12"/>
  <c r="B1258" i="12"/>
  <c r="B1257" i="12"/>
  <c r="B1256" i="12"/>
  <c r="B1255" i="12"/>
  <c r="B1254" i="12"/>
  <c r="B1253" i="12"/>
  <c r="B1252" i="12"/>
  <c r="B1251" i="12"/>
  <c r="B1250" i="12"/>
  <c r="B1249" i="12"/>
  <c r="B1248" i="12"/>
  <c r="B1247" i="12"/>
  <c r="B1246" i="12"/>
  <c r="B1245" i="12"/>
  <c r="B1244" i="12"/>
  <c r="B1243" i="12"/>
  <c r="B1242" i="12"/>
  <c r="B1241" i="12"/>
  <c r="B1240" i="12"/>
  <c r="B1239" i="12"/>
  <c r="B1238" i="12"/>
  <c r="B1237" i="12"/>
  <c r="B1236" i="12"/>
  <c r="B1235" i="12"/>
  <c r="B1234" i="12"/>
  <c r="B1233" i="12"/>
  <c r="B1232" i="12"/>
  <c r="B1231" i="12"/>
  <c r="B1230" i="12"/>
  <c r="B1229" i="12"/>
  <c r="B1228" i="12"/>
  <c r="B1227" i="12"/>
  <c r="B1226" i="12"/>
  <c r="B1225" i="12"/>
  <c r="B1224" i="12"/>
  <c r="B1223" i="12"/>
  <c r="B1222" i="12"/>
  <c r="B1221" i="12"/>
  <c r="B1220" i="12"/>
  <c r="B1219" i="12"/>
  <c r="B1218" i="12"/>
  <c r="B1217" i="12"/>
  <c r="B1216" i="12"/>
  <c r="B1215" i="12"/>
  <c r="B1214" i="12"/>
  <c r="B1213" i="12"/>
  <c r="B1212" i="12"/>
  <c r="B1211" i="12"/>
  <c r="B1210" i="12"/>
  <c r="B1209" i="12"/>
  <c r="B1208" i="12"/>
  <c r="B1207" i="12"/>
  <c r="B1206" i="12"/>
  <c r="B1205" i="12"/>
  <c r="B1204" i="12"/>
  <c r="B1203" i="12"/>
  <c r="B1202" i="12"/>
  <c r="B1201" i="12"/>
  <c r="B1200" i="12"/>
  <c r="B1199" i="12"/>
  <c r="B1198" i="12"/>
  <c r="B1197" i="12"/>
  <c r="B1196" i="12"/>
  <c r="B1195" i="12"/>
  <c r="B1194" i="12"/>
  <c r="B1193" i="12"/>
  <c r="B1192" i="12"/>
  <c r="B1191" i="12"/>
  <c r="B1190" i="12"/>
  <c r="B1189" i="12"/>
  <c r="B1188" i="12"/>
  <c r="B1187" i="12"/>
  <c r="B1186" i="12"/>
  <c r="B1185" i="12"/>
  <c r="B1184" i="12"/>
  <c r="B1183" i="12"/>
  <c r="B1182" i="12"/>
  <c r="B1181" i="12"/>
  <c r="B1180" i="12"/>
  <c r="B1179" i="12"/>
  <c r="B1178" i="12"/>
  <c r="B1177" i="12"/>
  <c r="B1176" i="12"/>
  <c r="B1175" i="12"/>
  <c r="B1174" i="12"/>
  <c r="B1173" i="12"/>
  <c r="B1172" i="12"/>
  <c r="B1171" i="12"/>
  <c r="B1170" i="12"/>
  <c r="B1169" i="12"/>
  <c r="B1168" i="12"/>
  <c r="B1167" i="12"/>
  <c r="B1166" i="12"/>
  <c r="B1165" i="12"/>
  <c r="B1164" i="12"/>
  <c r="B1163" i="12"/>
  <c r="B1162" i="12"/>
  <c r="B1161" i="12"/>
  <c r="B1160" i="12"/>
  <c r="B1159" i="12"/>
  <c r="B1158" i="12"/>
  <c r="B1157" i="12"/>
  <c r="B1156" i="12"/>
  <c r="B1155" i="12"/>
  <c r="B1154" i="12"/>
  <c r="B1153" i="12"/>
  <c r="B1152" i="12"/>
  <c r="B1151" i="12"/>
  <c r="B1150" i="12"/>
  <c r="B1149" i="12"/>
  <c r="B1148" i="12"/>
  <c r="B1147" i="12"/>
  <c r="B1146" i="12"/>
  <c r="B1145" i="12"/>
  <c r="B1144" i="12"/>
  <c r="B1143" i="12"/>
  <c r="B1142" i="12"/>
  <c r="B1141" i="12"/>
  <c r="B1140" i="12"/>
  <c r="B1139" i="12"/>
  <c r="B1138" i="12"/>
  <c r="B1137" i="12"/>
  <c r="B1136" i="12"/>
  <c r="B1135" i="12"/>
  <c r="B1134" i="12"/>
  <c r="B1133" i="12"/>
  <c r="B1132" i="12"/>
  <c r="B1131" i="12"/>
  <c r="B1130" i="12"/>
  <c r="B1129" i="12"/>
  <c r="B1128" i="12"/>
  <c r="B1127" i="12"/>
  <c r="B1126" i="12"/>
  <c r="B1125" i="12"/>
  <c r="B1124" i="12"/>
  <c r="B1123" i="12"/>
  <c r="B1122" i="12"/>
  <c r="B1121" i="12"/>
  <c r="B1120" i="12"/>
  <c r="B1119" i="12"/>
  <c r="B1118" i="12"/>
  <c r="B1117" i="12"/>
  <c r="B1116" i="12"/>
  <c r="B1115" i="12"/>
  <c r="B1114" i="12"/>
  <c r="B1113" i="12"/>
  <c r="B1112" i="12"/>
  <c r="B1111" i="12"/>
  <c r="B1110" i="12"/>
  <c r="B1109" i="12"/>
  <c r="B1108" i="12"/>
  <c r="B1107" i="12"/>
  <c r="B1106" i="12"/>
  <c r="B1105" i="12"/>
  <c r="B1104" i="12"/>
  <c r="B1103" i="12"/>
  <c r="B1102" i="12"/>
  <c r="B1101" i="12"/>
  <c r="B1100" i="12"/>
  <c r="B1099" i="12"/>
  <c r="B1098" i="12"/>
  <c r="B1097" i="12"/>
  <c r="B1096" i="12"/>
  <c r="B1095" i="12"/>
  <c r="B1094" i="12"/>
  <c r="B1093" i="12"/>
  <c r="B1092" i="12"/>
  <c r="B1091" i="12"/>
  <c r="B1090" i="12"/>
  <c r="B1089" i="12"/>
  <c r="B1088" i="12"/>
  <c r="B1087" i="12"/>
  <c r="B1086" i="12"/>
  <c r="B1085" i="12"/>
  <c r="B1084" i="12"/>
  <c r="B1083" i="12"/>
  <c r="B1082" i="12"/>
  <c r="B1081" i="12"/>
  <c r="B1080" i="12"/>
  <c r="B1079" i="12"/>
  <c r="B1078" i="12"/>
  <c r="B1077" i="12"/>
  <c r="B1076" i="12"/>
  <c r="B1075" i="12"/>
  <c r="B1074" i="12"/>
  <c r="B1073" i="12"/>
  <c r="B1072" i="12"/>
  <c r="B1071" i="12"/>
  <c r="B1070" i="12"/>
  <c r="B1069" i="12"/>
  <c r="B1068" i="12"/>
  <c r="B1067" i="12"/>
  <c r="B1066" i="12"/>
  <c r="B1065" i="12"/>
  <c r="B1064" i="12"/>
  <c r="B1063" i="12"/>
  <c r="B1062" i="12"/>
  <c r="B1061" i="12"/>
  <c r="B1060" i="12"/>
  <c r="B1059" i="12"/>
  <c r="B1058" i="12"/>
  <c r="B1057" i="12"/>
  <c r="B1056" i="12"/>
  <c r="B1055" i="12"/>
  <c r="B1054" i="12"/>
  <c r="B1053" i="12"/>
  <c r="B1052" i="12"/>
  <c r="B1051" i="12"/>
  <c r="B1050" i="12"/>
  <c r="B1049" i="12"/>
  <c r="B1048" i="12"/>
  <c r="B1047" i="12"/>
  <c r="B1046" i="12"/>
  <c r="B1045" i="12"/>
  <c r="B1044" i="12"/>
  <c r="B1043" i="12"/>
  <c r="B1042" i="12"/>
  <c r="B1041" i="12"/>
  <c r="B1040" i="12"/>
  <c r="B1039" i="12"/>
  <c r="B1038" i="12"/>
  <c r="B1037" i="12"/>
  <c r="B1036" i="12"/>
  <c r="B1035" i="12"/>
  <c r="B1034" i="12"/>
  <c r="B1033" i="12"/>
  <c r="B1032" i="12"/>
  <c r="B1031" i="12"/>
  <c r="B1030" i="12"/>
  <c r="B1029" i="12"/>
  <c r="B1028" i="12"/>
  <c r="B1027" i="12"/>
  <c r="B1026" i="12"/>
  <c r="B1025" i="12"/>
  <c r="B1024" i="12"/>
  <c r="B1023" i="12"/>
  <c r="B1022" i="12"/>
  <c r="B1021" i="12"/>
  <c r="B1020" i="12"/>
  <c r="B1019" i="12"/>
  <c r="B1018" i="12"/>
  <c r="B1017" i="12"/>
  <c r="B1016" i="12"/>
  <c r="B1015" i="12"/>
  <c r="B1014" i="12"/>
  <c r="B1013" i="12"/>
  <c r="B1012" i="12"/>
  <c r="B1011" i="12"/>
  <c r="B1010" i="12"/>
  <c r="B1009" i="12"/>
  <c r="B1008" i="12"/>
  <c r="B1007" i="12"/>
  <c r="B1006" i="12"/>
  <c r="B1005" i="12"/>
  <c r="B1004" i="12"/>
  <c r="B1003" i="12"/>
  <c r="B1002" i="12"/>
  <c r="B1001" i="12"/>
  <c r="B1000" i="12"/>
  <c r="B999" i="12"/>
  <c r="B998" i="12"/>
  <c r="B997" i="12"/>
  <c r="B996" i="12"/>
  <c r="B995" i="12"/>
  <c r="B994" i="12"/>
  <c r="B993" i="12"/>
  <c r="B992" i="12"/>
  <c r="B991" i="12"/>
  <c r="B990" i="12"/>
  <c r="B989" i="12"/>
  <c r="B988" i="12"/>
  <c r="B987" i="12"/>
  <c r="B986" i="12"/>
  <c r="B985" i="12"/>
  <c r="B984" i="12"/>
  <c r="B983" i="12"/>
  <c r="B982" i="12"/>
  <c r="B981" i="12"/>
  <c r="B980" i="12"/>
  <c r="B979" i="12"/>
  <c r="B978" i="12"/>
  <c r="B977" i="12"/>
  <c r="B976" i="12"/>
  <c r="B975" i="12"/>
  <c r="B974" i="12"/>
  <c r="B973" i="12"/>
  <c r="B972" i="12"/>
  <c r="B971" i="12"/>
  <c r="B970" i="12"/>
  <c r="B969" i="12"/>
  <c r="B968" i="12"/>
  <c r="B967" i="12"/>
  <c r="B966" i="12"/>
  <c r="B965" i="12"/>
  <c r="B964" i="12"/>
  <c r="B963" i="12"/>
  <c r="B962" i="12"/>
  <c r="B961" i="12"/>
  <c r="B960" i="12"/>
  <c r="B959" i="12"/>
  <c r="B958" i="12"/>
  <c r="B957" i="12"/>
  <c r="B956" i="12"/>
  <c r="B955" i="12"/>
  <c r="B954" i="12"/>
  <c r="B953" i="12"/>
  <c r="B952" i="12"/>
  <c r="B951" i="12"/>
  <c r="B950" i="12"/>
  <c r="B949" i="12"/>
  <c r="B948" i="12"/>
  <c r="B947" i="12"/>
  <c r="B946" i="12"/>
  <c r="B945" i="12"/>
  <c r="B944" i="12"/>
  <c r="B943" i="12"/>
  <c r="B942" i="12"/>
  <c r="B941" i="12"/>
  <c r="B940" i="12"/>
  <c r="B939" i="12"/>
  <c r="B938" i="12"/>
  <c r="B937" i="12"/>
  <c r="B936" i="12"/>
  <c r="B935" i="12"/>
  <c r="B934" i="12"/>
  <c r="B933" i="12"/>
  <c r="B932" i="12"/>
  <c r="B931" i="12"/>
  <c r="B930" i="12"/>
  <c r="B929" i="12"/>
  <c r="B928" i="12"/>
  <c r="B927" i="12"/>
  <c r="B926" i="12"/>
  <c r="B925" i="12"/>
  <c r="B924" i="12"/>
  <c r="B923" i="12"/>
  <c r="B922" i="12"/>
  <c r="B921" i="12"/>
  <c r="B920" i="12"/>
  <c r="B919" i="12"/>
  <c r="B918" i="12"/>
  <c r="B917" i="12"/>
  <c r="B916" i="12"/>
  <c r="B915" i="12"/>
  <c r="B914" i="12"/>
  <c r="B913" i="12"/>
  <c r="B912" i="12"/>
  <c r="B911" i="12"/>
  <c r="B910" i="12"/>
  <c r="B909" i="12"/>
  <c r="B908" i="12"/>
  <c r="B907" i="12"/>
  <c r="B906" i="12"/>
  <c r="B905" i="12"/>
  <c r="B904" i="12"/>
  <c r="B903" i="12"/>
  <c r="B902" i="12"/>
  <c r="B901" i="12"/>
  <c r="B900" i="12"/>
  <c r="B899" i="12"/>
  <c r="B898" i="12"/>
  <c r="B897" i="12"/>
  <c r="B896" i="12"/>
  <c r="B895" i="12"/>
  <c r="B894" i="12"/>
  <c r="B893" i="12"/>
  <c r="B892" i="12"/>
  <c r="B891" i="12"/>
  <c r="B890" i="12"/>
  <c r="B889" i="12"/>
  <c r="B888" i="12"/>
  <c r="B887" i="12"/>
  <c r="B886" i="12"/>
  <c r="B885" i="12"/>
  <c r="B884" i="12"/>
  <c r="B883" i="12"/>
  <c r="B882" i="12"/>
  <c r="B881" i="12"/>
  <c r="B880" i="12"/>
  <c r="B879" i="12"/>
  <c r="B878" i="12"/>
  <c r="B877" i="12"/>
  <c r="B876" i="12"/>
  <c r="B875" i="12"/>
  <c r="B874" i="12"/>
  <c r="B873" i="12"/>
  <c r="B872" i="12"/>
  <c r="B871" i="12"/>
  <c r="B870" i="12"/>
  <c r="B869" i="12"/>
  <c r="B868" i="12"/>
  <c r="B867" i="12"/>
  <c r="B866" i="12"/>
  <c r="B865" i="12"/>
  <c r="B864" i="12"/>
  <c r="B863" i="12"/>
  <c r="B862" i="12"/>
  <c r="B861" i="12"/>
  <c r="B860" i="12"/>
  <c r="B859" i="12"/>
  <c r="B858" i="12"/>
  <c r="B857" i="12"/>
  <c r="B856" i="12"/>
  <c r="B855" i="12"/>
  <c r="B854" i="12"/>
  <c r="B853" i="12"/>
  <c r="B852" i="12"/>
  <c r="B851" i="12"/>
  <c r="B850" i="12"/>
  <c r="B849" i="12"/>
  <c r="B848" i="12"/>
  <c r="B847" i="12"/>
  <c r="B846" i="12"/>
  <c r="B845" i="12"/>
  <c r="B844" i="12"/>
  <c r="B843" i="12"/>
  <c r="B842" i="12"/>
  <c r="B841" i="12"/>
  <c r="B840" i="12"/>
  <c r="B839" i="12"/>
  <c r="B838" i="12"/>
  <c r="B837" i="12"/>
  <c r="B836" i="12"/>
  <c r="B835" i="12"/>
  <c r="B834" i="12"/>
  <c r="B833" i="12"/>
  <c r="B832" i="12"/>
  <c r="B831" i="12"/>
  <c r="B830" i="12"/>
  <c r="B829" i="12"/>
  <c r="B828" i="12"/>
  <c r="B827" i="12"/>
  <c r="B826" i="12"/>
  <c r="B825" i="12"/>
  <c r="B824" i="12"/>
  <c r="B823" i="12"/>
  <c r="B822" i="12"/>
  <c r="B821" i="12"/>
  <c r="B820" i="12"/>
  <c r="B819" i="12"/>
  <c r="B818" i="12"/>
  <c r="B817" i="12"/>
  <c r="B816" i="12"/>
  <c r="B815" i="12"/>
  <c r="B814" i="12"/>
  <c r="B813" i="12"/>
  <c r="B812" i="12"/>
  <c r="B811" i="12"/>
  <c r="B810" i="12"/>
  <c r="B809" i="12"/>
  <c r="B808" i="12"/>
  <c r="B807" i="12"/>
  <c r="B806" i="12"/>
  <c r="B805" i="12"/>
  <c r="B804" i="12"/>
  <c r="B803" i="12"/>
  <c r="B802" i="12"/>
  <c r="B801" i="12"/>
  <c r="B800" i="12"/>
  <c r="B799" i="12"/>
  <c r="B798" i="12"/>
  <c r="B797" i="12"/>
  <c r="B796" i="12"/>
  <c r="B795" i="12"/>
  <c r="B794" i="12"/>
  <c r="B793" i="12"/>
  <c r="B792" i="12"/>
  <c r="B791" i="12"/>
  <c r="B790" i="12"/>
  <c r="B789" i="12"/>
  <c r="B788" i="12"/>
  <c r="B787" i="12"/>
  <c r="B786" i="12"/>
  <c r="B785" i="12"/>
  <c r="B784" i="12"/>
  <c r="B783" i="12"/>
  <c r="B782" i="12"/>
  <c r="B781" i="12"/>
  <c r="B780" i="12"/>
  <c r="B779" i="12"/>
  <c r="B778" i="12"/>
  <c r="B777" i="12"/>
  <c r="B776" i="12"/>
  <c r="B775" i="12"/>
  <c r="B774" i="12"/>
  <c r="B773" i="12"/>
  <c r="B772" i="12"/>
  <c r="B771" i="12"/>
  <c r="B770" i="12"/>
  <c r="B769" i="12"/>
  <c r="B768" i="12"/>
  <c r="B767" i="12"/>
  <c r="B766" i="12"/>
  <c r="B765" i="12"/>
  <c r="B764" i="12"/>
  <c r="B763" i="12"/>
  <c r="B762" i="12"/>
  <c r="B761" i="12"/>
  <c r="B760" i="12"/>
  <c r="B759" i="12"/>
  <c r="B758" i="12"/>
  <c r="B757" i="12"/>
  <c r="B756" i="12"/>
  <c r="B755" i="12"/>
  <c r="B754" i="12"/>
  <c r="B753" i="12"/>
  <c r="B752" i="12"/>
  <c r="B751" i="12"/>
  <c r="B750" i="12"/>
  <c r="B749" i="12"/>
  <c r="B748" i="12"/>
  <c r="B747" i="12"/>
  <c r="B746" i="12"/>
  <c r="B745" i="12"/>
  <c r="B744" i="12"/>
  <c r="B743" i="12"/>
  <c r="B742" i="12"/>
  <c r="B741" i="12"/>
  <c r="B740" i="12"/>
  <c r="B739" i="12"/>
  <c r="B738" i="12"/>
  <c r="B737" i="12"/>
  <c r="B736" i="12"/>
  <c r="B735" i="12"/>
  <c r="B734" i="12"/>
  <c r="B733" i="12"/>
  <c r="B732" i="12"/>
  <c r="B731" i="12"/>
  <c r="B730" i="12"/>
  <c r="B729" i="12"/>
  <c r="B728" i="12"/>
  <c r="B727" i="12"/>
  <c r="B726" i="12"/>
  <c r="B725" i="12"/>
  <c r="B724" i="12"/>
  <c r="B723" i="12"/>
  <c r="B722" i="12"/>
  <c r="B721" i="12"/>
  <c r="B720" i="12"/>
  <c r="B719" i="12"/>
  <c r="B718" i="12"/>
  <c r="B717" i="12"/>
  <c r="B716" i="12"/>
  <c r="B715" i="12"/>
  <c r="B714" i="12"/>
  <c r="B713" i="12"/>
  <c r="B712" i="12"/>
  <c r="B711" i="12"/>
  <c r="B710" i="12"/>
  <c r="B709" i="12"/>
  <c r="B708" i="12"/>
  <c r="B707" i="12"/>
  <c r="B706" i="12"/>
  <c r="B705" i="12"/>
  <c r="B704" i="12"/>
  <c r="B703" i="12"/>
  <c r="B702" i="12"/>
  <c r="B701" i="12"/>
  <c r="B700" i="12"/>
  <c r="B699" i="12"/>
  <c r="B698" i="12"/>
  <c r="B697" i="12"/>
  <c r="B696" i="12"/>
  <c r="B695" i="12"/>
  <c r="B694" i="12"/>
  <c r="B693" i="12"/>
  <c r="B692" i="12"/>
  <c r="B691" i="12"/>
  <c r="B690" i="12"/>
  <c r="B689" i="12"/>
  <c r="B688" i="12"/>
  <c r="B687" i="12"/>
  <c r="B686" i="12"/>
  <c r="B685" i="12"/>
  <c r="B684" i="12"/>
  <c r="B683" i="12"/>
  <c r="B682" i="12"/>
  <c r="B681" i="12"/>
  <c r="B680" i="12"/>
  <c r="B679" i="12"/>
  <c r="B678" i="12"/>
  <c r="B677" i="12"/>
  <c r="B676" i="12"/>
  <c r="B675" i="12"/>
  <c r="B674" i="12"/>
  <c r="B673" i="12"/>
  <c r="B672" i="12"/>
  <c r="B671" i="12"/>
  <c r="B670" i="12"/>
  <c r="B669" i="12"/>
  <c r="B668" i="12"/>
  <c r="B667" i="12"/>
  <c r="B666" i="12"/>
  <c r="B665" i="12"/>
  <c r="B664" i="12"/>
  <c r="B663" i="12"/>
  <c r="B662" i="12"/>
  <c r="B661" i="12"/>
  <c r="B660" i="12"/>
  <c r="B659" i="12"/>
  <c r="B658" i="12"/>
  <c r="B657" i="12"/>
  <c r="B656" i="12"/>
  <c r="B655" i="12"/>
  <c r="B654" i="12"/>
  <c r="B653" i="12"/>
  <c r="B652" i="12"/>
  <c r="B651" i="12"/>
  <c r="B650" i="12"/>
  <c r="B649" i="12"/>
  <c r="B648" i="12"/>
  <c r="B647" i="12"/>
  <c r="B646" i="12"/>
  <c r="B645" i="12"/>
  <c r="B644" i="12"/>
  <c r="B643" i="12"/>
  <c r="B642" i="12"/>
  <c r="B641" i="12"/>
  <c r="B640" i="12"/>
  <c r="B639" i="12"/>
  <c r="B638" i="12"/>
  <c r="B637" i="12"/>
  <c r="B636" i="12"/>
  <c r="B635" i="12"/>
  <c r="B634" i="12"/>
  <c r="B633" i="12"/>
  <c r="B632" i="12"/>
  <c r="B631" i="12"/>
  <c r="B630" i="12"/>
  <c r="B629" i="12"/>
  <c r="B628" i="12"/>
  <c r="B627" i="12"/>
  <c r="B626" i="12"/>
  <c r="B625" i="12"/>
  <c r="B624" i="12"/>
  <c r="B623" i="12"/>
  <c r="B622" i="12"/>
  <c r="B621" i="12"/>
  <c r="B620" i="12"/>
  <c r="B619" i="12"/>
  <c r="B618" i="12"/>
  <c r="B617" i="12"/>
  <c r="B616" i="12"/>
  <c r="B615" i="12"/>
  <c r="B614" i="12"/>
  <c r="B613" i="12"/>
  <c r="B612" i="12"/>
  <c r="B611" i="12"/>
  <c r="B610" i="12"/>
  <c r="B609" i="12"/>
  <c r="B608" i="12"/>
  <c r="B607" i="12"/>
  <c r="B606" i="12"/>
  <c r="B605" i="12"/>
  <c r="B604" i="12"/>
  <c r="B603" i="12"/>
  <c r="B602" i="12"/>
  <c r="B601" i="12"/>
  <c r="B600" i="12"/>
  <c r="B599" i="12"/>
  <c r="B598" i="12"/>
  <c r="B597" i="12"/>
  <c r="B596" i="12"/>
  <c r="B595" i="12"/>
  <c r="B594" i="12"/>
  <c r="B593" i="12"/>
  <c r="B592" i="12"/>
  <c r="B591" i="12"/>
  <c r="B590" i="12"/>
  <c r="B589" i="12"/>
  <c r="B588" i="12"/>
  <c r="B587" i="12"/>
  <c r="B586" i="12"/>
  <c r="B585" i="12"/>
  <c r="B584" i="12"/>
  <c r="B583" i="12"/>
  <c r="B582" i="12"/>
  <c r="B581" i="12"/>
  <c r="B580" i="12"/>
  <c r="B579" i="12"/>
  <c r="B578" i="12"/>
  <c r="B577" i="12"/>
  <c r="B576" i="12"/>
  <c r="B575" i="12"/>
  <c r="B574" i="12"/>
  <c r="B573" i="12"/>
  <c r="B572" i="12"/>
  <c r="B571" i="12"/>
  <c r="B570" i="12"/>
  <c r="B569" i="12"/>
  <c r="B568" i="12"/>
  <c r="B567" i="12"/>
  <c r="B566" i="12"/>
  <c r="B565" i="12"/>
  <c r="B564" i="12"/>
  <c r="B563" i="12"/>
  <c r="B562" i="12"/>
  <c r="B561" i="12"/>
  <c r="B560" i="12"/>
  <c r="B559" i="12"/>
  <c r="B558" i="12"/>
  <c r="B557" i="12"/>
  <c r="B556" i="12"/>
  <c r="B555" i="12"/>
  <c r="B554" i="12"/>
  <c r="B553" i="12"/>
  <c r="B552" i="12"/>
  <c r="B551" i="12"/>
  <c r="B550" i="12"/>
  <c r="B549" i="12"/>
  <c r="B548" i="12"/>
  <c r="B547" i="12"/>
  <c r="B546" i="12"/>
  <c r="B545" i="12"/>
  <c r="B544" i="12"/>
  <c r="B543" i="12"/>
  <c r="B542" i="12"/>
  <c r="B541" i="12"/>
  <c r="B540" i="12"/>
  <c r="B539" i="12"/>
  <c r="B538" i="12"/>
  <c r="B537" i="12"/>
  <c r="B536" i="12"/>
  <c r="B535" i="12"/>
  <c r="B534" i="12"/>
  <c r="B533" i="12"/>
  <c r="B532" i="12"/>
  <c r="B531" i="12"/>
  <c r="B530" i="12"/>
  <c r="B529" i="12"/>
  <c r="B528" i="12"/>
  <c r="B527" i="12"/>
  <c r="B526" i="12"/>
  <c r="B525" i="12"/>
  <c r="B524" i="12"/>
  <c r="B523" i="12"/>
  <c r="B522" i="12"/>
  <c r="B521" i="12"/>
  <c r="B520" i="12"/>
  <c r="B519" i="12"/>
  <c r="B518" i="12"/>
  <c r="B517" i="12"/>
  <c r="B516" i="12"/>
  <c r="B515" i="12"/>
  <c r="B514" i="12"/>
  <c r="B513" i="12"/>
  <c r="B512" i="12"/>
  <c r="B511" i="12"/>
  <c r="B510" i="12"/>
  <c r="B509" i="12"/>
  <c r="B508" i="12"/>
  <c r="B507" i="12"/>
  <c r="B506" i="12"/>
  <c r="B505" i="12"/>
  <c r="B504" i="12"/>
  <c r="B503" i="12"/>
  <c r="B502" i="12"/>
  <c r="B501" i="12"/>
  <c r="B500" i="12"/>
  <c r="B499" i="12"/>
  <c r="B498" i="12"/>
  <c r="B497" i="12"/>
  <c r="B496" i="12"/>
  <c r="B495" i="12"/>
  <c r="B494" i="12"/>
  <c r="B493" i="12"/>
  <c r="B492" i="12"/>
  <c r="B491" i="12"/>
  <c r="B490" i="12"/>
  <c r="B489" i="12"/>
  <c r="B488" i="12"/>
  <c r="B487" i="12"/>
  <c r="B486" i="12"/>
  <c r="B485" i="12"/>
  <c r="B484" i="12"/>
  <c r="B483" i="12"/>
  <c r="B482" i="12"/>
  <c r="B481" i="12"/>
  <c r="B480" i="12"/>
  <c r="B479" i="12"/>
  <c r="B478" i="12"/>
  <c r="B477" i="12"/>
  <c r="B476" i="12"/>
  <c r="B475" i="12"/>
  <c r="B474" i="12"/>
  <c r="B473" i="12"/>
  <c r="B472" i="12"/>
  <c r="B471" i="12"/>
  <c r="B470" i="12"/>
  <c r="B469" i="12"/>
  <c r="B468" i="12"/>
  <c r="B467" i="12"/>
  <c r="B466" i="12"/>
  <c r="B465" i="12"/>
  <c r="B464" i="12"/>
  <c r="B463" i="12"/>
  <c r="B462" i="12"/>
  <c r="B461" i="12"/>
  <c r="B460" i="12"/>
  <c r="B459" i="12"/>
  <c r="B458" i="12"/>
  <c r="B457" i="12"/>
  <c r="B456" i="12"/>
  <c r="B455" i="12"/>
  <c r="B454" i="12"/>
  <c r="B453" i="12"/>
  <c r="B452" i="12"/>
  <c r="B451" i="12"/>
  <c r="B450" i="12"/>
  <c r="B449" i="12"/>
  <c r="B448" i="12"/>
  <c r="B447" i="12"/>
  <c r="B446" i="12"/>
  <c r="B445" i="12"/>
  <c r="B444" i="12"/>
  <c r="B443" i="12"/>
  <c r="B442" i="12"/>
  <c r="B441" i="12"/>
  <c r="B440" i="12"/>
  <c r="B439" i="12"/>
  <c r="B438" i="12"/>
  <c r="B437" i="12"/>
  <c r="B436" i="12"/>
  <c r="B435" i="12"/>
  <c r="B434" i="12"/>
  <c r="B433" i="12"/>
  <c r="B432" i="12"/>
  <c r="B431" i="12"/>
  <c r="B430" i="12"/>
  <c r="B429" i="12"/>
  <c r="B428" i="12"/>
  <c r="B427" i="12"/>
  <c r="B426" i="12"/>
  <c r="B425" i="12"/>
  <c r="B424" i="12"/>
  <c r="B423" i="12"/>
  <c r="B422" i="12"/>
  <c r="B421" i="12"/>
  <c r="B420" i="12"/>
  <c r="B419" i="12"/>
  <c r="B418" i="12"/>
  <c r="B417" i="12"/>
  <c r="B416" i="12"/>
  <c r="B415" i="12"/>
  <c r="B414" i="12"/>
  <c r="B413" i="12"/>
  <c r="B412" i="12"/>
  <c r="B411" i="12"/>
  <c r="B410" i="12"/>
  <c r="B409" i="12"/>
  <c r="B408" i="12"/>
  <c r="B407" i="12"/>
  <c r="B406" i="12"/>
  <c r="B405" i="12"/>
  <c r="B404" i="12"/>
  <c r="B403" i="12"/>
  <c r="B402" i="12"/>
  <c r="B401" i="12"/>
  <c r="B400" i="12"/>
  <c r="B399" i="12"/>
  <c r="B398" i="12"/>
  <c r="B397" i="12"/>
  <c r="B396" i="12"/>
  <c r="B395" i="12"/>
  <c r="B394" i="12"/>
  <c r="B393" i="12"/>
  <c r="B392" i="12"/>
  <c r="B391" i="12"/>
  <c r="B390" i="12"/>
  <c r="B389" i="12"/>
  <c r="B388" i="12"/>
  <c r="B387" i="12"/>
  <c r="B386" i="12"/>
  <c r="B385" i="12"/>
  <c r="B384" i="12"/>
  <c r="B383" i="12"/>
  <c r="B382" i="12"/>
  <c r="B381" i="12"/>
  <c r="B380" i="12"/>
  <c r="B379" i="12"/>
  <c r="B378" i="12"/>
  <c r="B377" i="12"/>
  <c r="B376" i="12"/>
  <c r="B375" i="12"/>
  <c r="B374" i="12"/>
  <c r="B373" i="12"/>
  <c r="B372" i="12"/>
  <c r="B371" i="12"/>
  <c r="B370" i="12"/>
  <c r="B369" i="12"/>
  <c r="B368" i="12"/>
  <c r="B367" i="12"/>
  <c r="B366" i="12"/>
  <c r="B365" i="12"/>
  <c r="B364" i="12"/>
  <c r="B363" i="12"/>
  <c r="B362" i="12"/>
  <c r="B361" i="12"/>
  <c r="B360" i="12"/>
  <c r="B359" i="12"/>
  <c r="B358" i="12"/>
  <c r="B357" i="12"/>
  <c r="B356" i="12"/>
  <c r="B355" i="12"/>
  <c r="B354" i="12"/>
  <c r="B353" i="12"/>
  <c r="B352" i="12"/>
  <c r="B351" i="12"/>
  <c r="B350" i="12"/>
  <c r="B349" i="12"/>
  <c r="B348" i="12"/>
  <c r="B347" i="12"/>
  <c r="B346" i="12"/>
  <c r="B345" i="12"/>
  <c r="B344" i="12"/>
  <c r="B343" i="12"/>
  <c r="B342" i="12"/>
  <c r="B341" i="12"/>
  <c r="B340" i="12"/>
  <c r="B339" i="12"/>
  <c r="B338" i="12"/>
  <c r="B337" i="12"/>
  <c r="B336" i="12"/>
  <c r="B335" i="12"/>
  <c r="B334" i="12"/>
  <c r="B333" i="12"/>
  <c r="B332" i="12"/>
  <c r="B331" i="12"/>
  <c r="B330" i="12"/>
  <c r="B329" i="12"/>
  <c r="B328" i="12"/>
  <c r="B327" i="12"/>
  <c r="B326" i="12"/>
  <c r="B325" i="12"/>
  <c r="B324" i="12"/>
  <c r="B323" i="12"/>
  <c r="B322" i="12"/>
  <c r="B321" i="12"/>
  <c r="B320" i="12"/>
  <c r="B319" i="12"/>
  <c r="B318" i="12"/>
  <c r="B317" i="12"/>
  <c r="B316" i="12"/>
  <c r="B315" i="12"/>
  <c r="B314" i="12"/>
  <c r="B313" i="12"/>
  <c r="B312" i="12"/>
  <c r="B311" i="12"/>
  <c r="B310" i="12"/>
  <c r="B309" i="12"/>
  <c r="B308" i="12"/>
  <c r="B307" i="12"/>
  <c r="B306" i="12"/>
  <c r="B305" i="12"/>
  <c r="B304" i="12"/>
  <c r="B303" i="12"/>
  <c r="A101" i="12"/>
  <c r="A100" i="12"/>
  <c r="A99" i="12"/>
  <c r="A98" i="12"/>
  <c r="A97" i="12"/>
  <c r="A96" i="12"/>
  <c r="A95" i="12"/>
  <c r="A94" i="12"/>
  <c r="A93" i="12"/>
  <c r="A92" i="12"/>
  <c r="A91" i="12"/>
  <c r="A90" i="12"/>
  <c r="A89" i="12"/>
  <c r="A88" i="12"/>
  <c r="A87" i="12"/>
  <c r="A86" i="12"/>
  <c r="A85" i="12"/>
  <c r="A84" i="12"/>
  <c r="A83" i="12"/>
  <c r="A82" i="12"/>
  <c r="A81" i="12"/>
  <c r="A80" i="12"/>
  <c r="A79" i="12"/>
  <c r="A78" i="12"/>
  <c r="A77" i="12"/>
  <c r="A76" i="12"/>
  <c r="A75" i="12"/>
  <c r="A74" i="12"/>
  <c r="A73" i="12"/>
  <c r="A72" i="12"/>
  <c r="A71" i="12"/>
  <c r="A70" i="12"/>
  <c r="A69" i="12"/>
  <c r="A68" i="12"/>
  <c r="A67" i="12"/>
  <c r="A66" i="12"/>
  <c r="A65" i="12"/>
  <c r="A64" i="12"/>
  <c r="A63" i="12"/>
  <c r="A62" i="12"/>
  <c r="A61" i="12"/>
  <c r="A60" i="12"/>
  <c r="A59" i="12"/>
  <c r="A58" i="12"/>
  <c r="A57" i="12"/>
  <c r="A56" i="12"/>
  <c r="A55" i="12"/>
  <c r="A54" i="12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4" i="12"/>
  <c r="A3" i="12"/>
  <c r="A2" i="12"/>
  <c r="B1875" i="10"/>
  <c r="B1874" i="10"/>
  <c r="B1873" i="10"/>
  <c r="B1872" i="10"/>
  <c r="B1871" i="10"/>
  <c r="B1870" i="10"/>
  <c r="B1869" i="10"/>
  <c r="B1868" i="10"/>
  <c r="B1867" i="10"/>
  <c r="B1866" i="10"/>
  <c r="B1865" i="10"/>
  <c r="B1864" i="10"/>
  <c r="B1863" i="10"/>
  <c r="B1862" i="10"/>
  <c r="B1861" i="10"/>
  <c r="B1860" i="10"/>
  <c r="B1859" i="10"/>
  <c r="B1858" i="10"/>
  <c r="B1857" i="10"/>
  <c r="B1856" i="10"/>
  <c r="B1855" i="10"/>
  <c r="B1854" i="10"/>
  <c r="B1853" i="10"/>
  <c r="B1852" i="10"/>
  <c r="B1851" i="10"/>
  <c r="B1850" i="10"/>
  <c r="B1849" i="10"/>
  <c r="B1848" i="10"/>
  <c r="B1847" i="10"/>
  <c r="B1846" i="10"/>
  <c r="B1845" i="10"/>
  <c r="B1844" i="10"/>
  <c r="B1843" i="10"/>
  <c r="B1842" i="10"/>
  <c r="B1841" i="10"/>
  <c r="B1840" i="10"/>
  <c r="B1839" i="10"/>
  <c r="B1838" i="10"/>
  <c r="B1837" i="10"/>
  <c r="B1836" i="10"/>
  <c r="B1835" i="10"/>
  <c r="B1834" i="10"/>
  <c r="B1833" i="10"/>
  <c r="B1832" i="10"/>
  <c r="B1831" i="10"/>
  <c r="B1830" i="10"/>
  <c r="B1829" i="10"/>
  <c r="B1828" i="10"/>
  <c r="B1827" i="10"/>
  <c r="B1826" i="10"/>
  <c r="B1825" i="10"/>
  <c r="B1824" i="10"/>
  <c r="B1823" i="10"/>
  <c r="B1822" i="10"/>
  <c r="B1821" i="10"/>
  <c r="B1820" i="10"/>
  <c r="B1819" i="10"/>
  <c r="B1818" i="10"/>
  <c r="B1817" i="10"/>
  <c r="B1816" i="10"/>
  <c r="B1815" i="10"/>
  <c r="B1814" i="10"/>
  <c r="B1813" i="10"/>
  <c r="B1812" i="10"/>
  <c r="B1811" i="10"/>
  <c r="B1810" i="10"/>
  <c r="B1809" i="10"/>
  <c r="B1808" i="10"/>
  <c r="B1807" i="10"/>
  <c r="B1806" i="10"/>
  <c r="B1805" i="10"/>
  <c r="B1804" i="10"/>
  <c r="B1803" i="10"/>
  <c r="B1802" i="10"/>
  <c r="B1801" i="10"/>
  <c r="B1800" i="10"/>
  <c r="B1799" i="10"/>
  <c r="B1798" i="10"/>
  <c r="B1797" i="10"/>
  <c r="B1796" i="10"/>
  <c r="B1795" i="10"/>
  <c r="B1794" i="10"/>
  <c r="B1793" i="10"/>
  <c r="B1792" i="10"/>
  <c r="B1791" i="10"/>
  <c r="B1790" i="10"/>
  <c r="B1789" i="10"/>
  <c r="B1788" i="10"/>
  <c r="B1787" i="10"/>
  <c r="B1786" i="10"/>
  <c r="B1785" i="10"/>
  <c r="B1784" i="10"/>
  <c r="B1783" i="10"/>
  <c r="B1782" i="10"/>
  <c r="B1781" i="10"/>
  <c r="B1780" i="10"/>
  <c r="B1779" i="10"/>
  <c r="B1778" i="10"/>
  <c r="B1777" i="10"/>
  <c r="B1776" i="10"/>
  <c r="B1775" i="10"/>
  <c r="B1774" i="10"/>
  <c r="B1773" i="10"/>
  <c r="B1772" i="10"/>
  <c r="B1771" i="10"/>
  <c r="B1770" i="10"/>
  <c r="B1769" i="10"/>
  <c r="B1768" i="10"/>
  <c r="B1767" i="10"/>
  <c r="B1766" i="10"/>
  <c r="B1765" i="10"/>
  <c r="B1764" i="10"/>
  <c r="B1763" i="10"/>
  <c r="B1762" i="10"/>
  <c r="B1761" i="10"/>
  <c r="B1760" i="10"/>
  <c r="B1759" i="10"/>
  <c r="B1758" i="10"/>
  <c r="B1757" i="10"/>
  <c r="B1756" i="10"/>
  <c r="B1755" i="10"/>
  <c r="B1754" i="10"/>
  <c r="B1753" i="10"/>
  <c r="B1752" i="10"/>
  <c r="B1751" i="10"/>
  <c r="B1750" i="10"/>
  <c r="B1749" i="10"/>
  <c r="B1748" i="10"/>
  <c r="B1747" i="10"/>
  <c r="B1746" i="10"/>
  <c r="B1745" i="10"/>
  <c r="B1744" i="10"/>
  <c r="B1743" i="10"/>
  <c r="B1742" i="10"/>
  <c r="B1741" i="10"/>
  <c r="B1740" i="10"/>
  <c r="B1739" i="10"/>
  <c r="B1738" i="10"/>
  <c r="B1737" i="10"/>
  <c r="B1736" i="10"/>
  <c r="B1735" i="10"/>
  <c r="B1734" i="10"/>
  <c r="B1733" i="10"/>
  <c r="B1732" i="10"/>
  <c r="B1731" i="10"/>
  <c r="B1730" i="10"/>
  <c r="B1729" i="10"/>
  <c r="B1728" i="10"/>
  <c r="B1727" i="10"/>
  <c r="B1726" i="10"/>
  <c r="B1725" i="10"/>
  <c r="B1724" i="10"/>
  <c r="B1723" i="10"/>
  <c r="B1722" i="10"/>
  <c r="B1721" i="10"/>
  <c r="B1720" i="10"/>
  <c r="B1719" i="10"/>
  <c r="B1718" i="10"/>
  <c r="B1717" i="10"/>
  <c r="B1716" i="10"/>
  <c r="B1715" i="10"/>
  <c r="B1714" i="10"/>
  <c r="B1713" i="10"/>
  <c r="B1712" i="10"/>
  <c r="B1711" i="10"/>
  <c r="B1710" i="10"/>
  <c r="B1709" i="10"/>
  <c r="B1708" i="10"/>
  <c r="B1707" i="10"/>
  <c r="B1706" i="10"/>
  <c r="B1705" i="10"/>
  <c r="B1704" i="10"/>
  <c r="B1703" i="10"/>
  <c r="B1702" i="10"/>
  <c r="B1701" i="10"/>
  <c r="B1700" i="10"/>
  <c r="B1699" i="10"/>
  <c r="B1698" i="10"/>
  <c r="B1697" i="10"/>
  <c r="B1696" i="10"/>
  <c r="B1695" i="10"/>
  <c r="B1694" i="10"/>
  <c r="B1693" i="10"/>
  <c r="B1692" i="10"/>
  <c r="B1691" i="10"/>
  <c r="B1690" i="10"/>
  <c r="B1689" i="10"/>
  <c r="B1688" i="10"/>
  <c r="B1687" i="10"/>
  <c r="B1686" i="10"/>
  <c r="B1685" i="10"/>
  <c r="B1684" i="10"/>
  <c r="B1683" i="10"/>
  <c r="B1682" i="10"/>
  <c r="B1681" i="10"/>
  <c r="B1680" i="10"/>
  <c r="B1679" i="10"/>
  <c r="B1678" i="10"/>
  <c r="B1677" i="10"/>
  <c r="B1676" i="10"/>
  <c r="B1675" i="10"/>
  <c r="B1674" i="10"/>
  <c r="B1673" i="10"/>
  <c r="B1672" i="10"/>
  <c r="B1671" i="10"/>
  <c r="B1670" i="10"/>
  <c r="B1669" i="10"/>
  <c r="B1668" i="10"/>
  <c r="B1667" i="10"/>
  <c r="B1666" i="10"/>
  <c r="B1665" i="10"/>
  <c r="B1664" i="10"/>
  <c r="B1663" i="10"/>
  <c r="B1662" i="10"/>
  <c r="B1661" i="10"/>
  <c r="B1660" i="10"/>
  <c r="B1659" i="10"/>
  <c r="B1658" i="10"/>
  <c r="B1657" i="10"/>
  <c r="B1656" i="10"/>
  <c r="B1655" i="10"/>
  <c r="B1654" i="10"/>
  <c r="B1653" i="10"/>
  <c r="B1652" i="10"/>
  <c r="B1651" i="10"/>
  <c r="B1650" i="10"/>
  <c r="B1649" i="10"/>
  <c r="B1648" i="10"/>
  <c r="B1647" i="10"/>
  <c r="B1646" i="10"/>
  <c r="B1645" i="10"/>
  <c r="B1644" i="10"/>
  <c r="B1643" i="10"/>
  <c r="B1642" i="10"/>
  <c r="B1641" i="10"/>
  <c r="B1640" i="10"/>
  <c r="B1639" i="10"/>
  <c r="B1638" i="10"/>
  <c r="B1637" i="10"/>
  <c r="B1636" i="10"/>
  <c r="B1635" i="10"/>
  <c r="B1634" i="10"/>
  <c r="B1633" i="10"/>
  <c r="B1632" i="10"/>
  <c r="B1631" i="10"/>
  <c r="B1630" i="10"/>
  <c r="B1629" i="10"/>
  <c r="B1628" i="10"/>
  <c r="B1627" i="10"/>
  <c r="B1626" i="10"/>
  <c r="B1625" i="10"/>
  <c r="B1624" i="10"/>
  <c r="B1623" i="10"/>
  <c r="B1622" i="10"/>
  <c r="B1621" i="10"/>
  <c r="B1620" i="10"/>
  <c r="B1619" i="10"/>
  <c r="B1618" i="10"/>
  <c r="B1617" i="10"/>
  <c r="B1616" i="10"/>
  <c r="B1615" i="10"/>
  <c r="B1614" i="10"/>
  <c r="B1613" i="10"/>
  <c r="B1612" i="10"/>
  <c r="B1611" i="10"/>
  <c r="B1610" i="10"/>
  <c r="B1609" i="10"/>
  <c r="B1608" i="10"/>
  <c r="B1607" i="10"/>
  <c r="B1606" i="10"/>
  <c r="B1605" i="10"/>
  <c r="B1604" i="10"/>
  <c r="B1603" i="10"/>
  <c r="B1602" i="10"/>
  <c r="B1601" i="10"/>
  <c r="B1600" i="10"/>
  <c r="B1599" i="10"/>
  <c r="B1598" i="10"/>
  <c r="B1597" i="10"/>
  <c r="B1596" i="10"/>
  <c r="B1595" i="10"/>
  <c r="B1594" i="10"/>
  <c r="B1593" i="10"/>
  <c r="B1592" i="10"/>
  <c r="B1591" i="10"/>
  <c r="B1590" i="10"/>
  <c r="B1589" i="10"/>
  <c r="B1588" i="10"/>
  <c r="B1587" i="10"/>
  <c r="B1586" i="10"/>
  <c r="B1585" i="10"/>
  <c r="B1584" i="10"/>
  <c r="B1583" i="10"/>
  <c r="B1582" i="10"/>
  <c r="B1581" i="10"/>
  <c r="B1580" i="10"/>
  <c r="B1579" i="10"/>
  <c r="B1578" i="10"/>
  <c r="B1577" i="10"/>
  <c r="B1576" i="10"/>
  <c r="B1575" i="10"/>
  <c r="B1574" i="10"/>
  <c r="B1573" i="10"/>
  <c r="B1572" i="10"/>
  <c r="B1571" i="10"/>
  <c r="B1570" i="10"/>
  <c r="B1569" i="10"/>
  <c r="B1568" i="10"/>
  <c r="B1567" i="10"/>
  <c r="B1566" i="10"/>
  <c r="B1565" i="10"/>
  <c r="B1564" i="10"/>
  <c r="B1563" i="10"/>
  <c r="B1562" i="10"/>
  <c r="B1561" i="10"/>
  <c r="B1560" i="10"/>
  <c r="B1559" i="10"/>
  <c r="B1558" i="10"/>
  <c r="B1557" i="10"/>
  <c r="B1556" i="10"/>
  <c r="B1555" i="10"/>
  <c r="B1554" i="10"/>
  <c r="B1553" i="10"/>
  <c r="B1552" i="10"/>
  <c r="B1551" i="10"/>
  <c r="B1550" i="10"/>
  <c r="B1549" i="10"/>
  <c r="B1548" i="10"/>
  <c r="B1547" i="10"/>
  <c r="B1546" i="10"/>
  <c r="B1545" i="10"/>
  <c r="B1544" i="10"/>
  <c r="B1543" i="10"/>
  <c r="B1542" i="10"/>
  <c r="B1541" i="10"/>
  <c r="B1540" i="10"/>
  <c r="B1539" i="10"/>
  <c r="B1538" i="10"/>
  <c r="B1537" i="10"/>
  <c r="B1536" i="10"/>
  <c r="B1535" i="10"/>
  <c r="B1534" i="10"/>
  <c r="B1533" i="10"/>
  <c r="B1532" i="10"/>
  <c r="B1531" i="10"/>
  <c r="B1530" i="10"/>
  <c r="B1529" i="10"/>
  <c r="B1528" i="10"/>
  <c r="B1527" i="10"/>
  <c r="B1526" i="10"/>
  <c r="B1525" i="10"/>
  <c r="B1524" i="10"/>
  <c r="B1523" i="10"/>
  <c r="B1522" i="10"/>
  <c r="B1521" i="10"/>
  <c r="B1520" i="10"/>
  <c r="B1519" i="10"/>
  <c r="B1518" i="10"/>
  <c r="B1517" i="10"/>
  <c r="B1516" i="10"/>
  <c r="B1515" i="10"/>
  <c r="B1514" i="10"/>
  <c r="B1513" i="10"/>
  <c r="B1512" i="10"/>
  <c r="B1511" i="10"/>
  <c r="B1510" i="10"/>
  <c r="B1509" i="10"/>
  <c r="B1508" i="10"/>
  <c r="B1507" i="10"/>
  <c r="B1506" i="10"/>
  <c r="B1505" i="10"/>
  <c r="B1504" i="10"/>
  <c r="B1503" i="10"/>
  <c r="B1502" i="10"/>
  <c r="B1501" i="10"/>
  <c r="B1500" i="10"/>
  <c r="B1499" i="10"/>
  <c r="B1498" i="10"/>
  <c r="B1497" i="10"/>
  <c r="B1496" i="10"/>
  <c r="B1495" i="10"/>
  <c r="B1494" i="10"/>
  <c r="B1493" i="10"/>
  <c r="B1492" i="10"/>
  <c r="B1491" i="10"/>
  <c r="B1490" i="10"/>
  <c r="B1489" i="10"/>
  <c r="B1488" i="10"/>
  <c r="B1487" i="10"/>
  <c r="B1486" i="10"/>
  <c r="B1485" i="10"/>
  <c r="B1484" i="10"/>
  <c r="B1483" i="10"/>
  <c r="B1482" i="10"/>
  <c r="B1481" i="10"/>
  <c r="B1480" i="10"/>
  <c r="B1479" i="10"/>
  <c r="B1478" i="10"/>
  <c r="B1477" i="10"/>
  <c r="B1476" i="10"/>
  <c r="B1475" i="10"/>
  <c r="B1474" i="10"/>
  <c r="B1473" i="10"/>
  <c r="B1472" i="10"/>
  <c r="B1471" i="10"/>
  <c r="B1470" i="10"/>
  <c r="B1469" i="10"/>
  <c r="B1468" i="10"/>
  <c r="B1467" i="10"/>
  <c r="B1466" i="10"/>
  <c r="B1465" i="10"/>
  <c r="B1464" i="10"/>
  <c r="B1463" i="10"/>
  <c r="B1462" i="10"/>
  <c r="B1461" i="10"/>
  <c r="B1460" i="10"/>
  <c r="B1459" i="10"/>
  <c r="B1458" i="10"/>
  <c r="B1457" i="10"/>
  <c r="B1456" i="10"/>
  <c r="B1455" i="10"/>
  <c r="B1454" i="10"/>
  <c r="B1453" i="10"/>
  <c r="B1452" i="10"/>
  <c r="B1451" i="10"/>
  <c r="B1450" i="10"/>
  <c r="B1449" i="10"/>
  <c r="B1448" i="10"/>
  <c r="B1447" i="10"/>
  <c r="B1446" i="10"/>
  <c r="B1445" i="10"/>
  <c r="B1444" i="10"/>
  <c r="B1443" i="10"/>
  <c r="B1442" i="10"/>
  <c r="B1441" i="10"/>
  <c r="B1440" i="10"/>
  <c r="B1439" i="10"/>
  <c r="B1438" i="10"/>
  <c r="B1437" i="10"/>
  <c r="B1436" i="10"/>
  <c r="B1435" i="10"/>
  <c r="B1434" i="10"/>
  <c r="B1433" i="10"/>
  <c r="B1432" i="10"/>
  <c r="B1431" i="10"/>
  <c r="B1430" i="10"/>
  <c r="B1429" i="10"/>
  <c r="B1428" i="10"/>
  <c r="B1427" i="10"/>
  <c r="B1426" i="10"/>
  <c r="B1425" i="10"/>
  <c r="B1424" i="10"/>
  <c r="B1423" i="10"/>
  <c r="B1422" i="10"/>
  <c r="B1421" i="10"/>
  <c r="B1420" i="10"/>
  <c r="B1419" i="10"/>
  <c r="B1418" i="10"/>
  <c r="B1417" i="10"/>
  <c r="B1416" i="10"/>
  <c r="B1415" i="10"/>
  <c r="B1414" i="10"/>
  <c r="B1413" i="10"/>
  <c r="B1412" i="10"/>
  <c r="B1411" i="10"/>
  <c r="B1410" i="10"/>
  <c r="B1409" i="10"/>
  <c r="B1408" i="10"/>
  <c r="B1407" i="10"/>
  <c r="B1406" i="10"/>
  <c r="B1405" i="10"/>
  <c r="B1404" i="10"/>
  <c r="B1403" i="10"/>
  <c r="B1402" i="10"/>
  <c r="B1401" i="10"/>
  <c r="B1400" i="10"/>
  <c r="B1399" i="10"/>
  <c r="B1398" i="10"/>
  <c r="B1397" i="10"/>
  <c r="B1396" i="10"/>
  <c r="B1395" i="10"/>
  <c r="B1394" i="10"/>
  <c r="B1393" i="10"/>
  <c r="B1392" i="10"/>
  <c r="B1391" i="10"/>
  <c r="B1390" i="10"/>
  <c r="B1389" i="10"/>
  <c r="B1388" i="10"/>
  <c r="B1387" i="10"/>
  <c r="B1386" i="10"/>
  <c r="B1385" i="10"/>
  <c r="B1384" i="10"/>
  <c r="B1383" i="10"/>
  <c r="B1382" i="10"/>
  <c r="B1381" i="10"/>
  <c r="B1380" i="10"/>
  <c r="B1379" i="10"/>
  <c r="B1378" i="10"/>
  <c r="B1377" i="10"/>
  <c r="B1376" i="10"/>
  <c r="B1375" i="10"/>
  <c r="B1374" i="10"/>
  <c r="B1373" i="10"/>
  <c r="B1372" i="10"/>
  <c r="B1371" i="10"/>
  <c r="B1370" i="10"/>
  <c r="B1369" i="10"/>
  <c r="B1368" i="10"/>
  <c r="B1367" i="10"/>
  <c r="B1366" i="10"/>
  <c r="B1365" i="10"/>
  <c r="B1364" i="10"/>
  <c r="B1363" i="10"/>
  <c r="B1362" i="10"/>
  <c r="B1361" i="10"/>
  <c r="B1360" i="10"/>
  <c r="B1359" i="10"/>
  <c r="B1358" i="10"/>
  <c r="B1357" i="10"/>
  <c r="B1356" i="10"/>
  <c r="B1355" i="10"/>
  <c r="B1354" i="10"/>
  <c r="B1353" i="10"/>
  <c r="B1352" i="10"/>
  <c r="B1351" i="10"/>
  <c r="B1350" i="10"/>
  <c r="B1349" i="10"/>
  <c r="B1348" i="10"/>
  <c r="B1347" i="10"/>
  <c r="B1346" i="10"/>
  <c r="B1345" i="10"/>
  <c r="B1344" i="10"/>
  <c r="B1343" i="10"/>
  <c r="B1342" i="10"/>
  <c r="B1341" i="10"/>
  <c r="B1340" i="10"/>
  <c r="B1339" i="10"/>
  <c r="B1338" i="10"/>
  <c r="B1337" i="10"/>
  <c r="B1336" i="10"/>
  <c r="B1335" i="10"/>
  <c r="B1334" i="10"/>
  <c r="B1333" i="10"/>
  <c r="B1332" i="10"/>
  <c r="B1331" i="10"/>
  <c r="B1330" i="10"/>
  <c r="B1329" i="10"/>
  <c r="B1328" i="10"/>
  <c r="B1327" i="10"/>
  <c r="B1326" i="10"/>
  <c r="B1325" i="10"/>
  <c r="B1324" i="10"/>
  <c r="B1323" i="10"/>
  <c r="B1322" i="10"/>
  <c r="B1321" i="10"/>
  <c r="B1320" i="10"/>
  <c r="B1319" i="10"/>
  <c r="B1318" i="10"/>
  <c r="B1317" i="10"/>
  <c r="B1316" i="10"/>
  <c r="B1315" i="10"/>
  <c r="B1314" i="10"/>
  <c r="B1313" i="10"/>
  <c r="B1312" i="10"/>
  <c r="B1311" i="10"/>
  <c r="B1310" i="10"/>
  <c r="B1309" i="10"/>
  <c r="B1308" i="10"/>
  <c r="B1307" i="10"/>
  <c r="B1306" i="10"/>
  <c r="B1305" i="10"/>
  <c r="B1304" i="10"/>
  <c r="B1303" i="10"/>
  <c r="B1302" i="10"/>
  <c r="B1301" i="10"/>
  <c r="B1300" i="10"/>
  <c r="B1299" i="10"/>
  <c r="B1298" i="10"/>
  <c r="B1297" i="10"/>
  <c r="B1296" i="10"/>
  <c r="B1295" i="10"/>
  <c r="B1294" i="10"/>
  <c r="B1293" i="10"/>
  <c r="B1292" i="10"/>
  <c r="B1291" i="10"/>
  <c r="B1290" i="10"/>
  <c r="B1289" i="10"/>
  <c r="B1288" i="10"/>
  <c r="B1287" i="10"/>
  <c r="B1286" i="10"/>
  <c r="B1285" i="10"/>
  <c r="B1284" i="10"/>
  <c r="B1283" i="10"/>
  <c r="B1282" i="10"/>
  <c r="B1281" i="10"/>
  <c r="B1280" i="10"/>
  <c r="B1279" i="10"/>
  <c r="B1278" i="10"/>
  <c r="B1277" i="10"/>
  <c r="B1276" i="10"/>
  <c r="B1275" i="10"/>
  <c r="B1274" i="10"/>
  <c r="B1273" i="10"/>
  <c r="B1272" i="10"/>
  <c r="B1271" i="10"/>
  <c r="B1270" i="10"/>
  <c r="B1269" i="10"/>
  <c r="B1268" i="10"/>
  <c r="B1267" i="10"/>
  <c r="B1266" i="10"/>
  <c r="B1265" i="10"/>
  <c r="B1264" i="10"/>
  <c r="B1263" i="10"/>
  <c r="B1262" i="10"/>
  <c r="B1261" i="10"/>
  <c r="B1260" i="10"/>
  <c r="B1259" i="10"/>
  <c r="B1258" i="10"/>
  <c r="B1257" i="10"/>
  <c r="B1256" i="10"/>
  <c r="B1255" i="10"/>
  <c r="B1254" i="10"/>
  <c r="B1253" i="10"/>
  <c r="B1252" i="10"/>
  <c r="B1251" i="10"/>
  <c r="B1250" i="10"/>
  <c r="B1249" i="10"/>
  <c r="B1248" i="10"/>
  <c r="B1247" i="10"/>
  <c r="B1246" i="10"/>
  <c r="B1245" i="10"/>
  <c r="B1244" i="10"/>
  <c r="B1243" i="10"/>
  <c r="B1242" i="10"/>
  <c r="B1241" i="10"/>
  <c r="B1240" i="10"/>
  <c r="B1239" i="10"/>
  <c r="B1238" i="10"/>
  <c r="B1237" i="10"/>
  <c r="B1236" i="10"/>
  <c r="B1235" i="10"/>
  <c r="B1234" i="10"/>
  <c r="B1233" i="10"/>
  <c r="B1232" i="10"/>
  <c r="B1231" i="10"/>
  <c r="B1230" i="10"/>
  <c r="B1229" i="10"/>
  <c r="B1228" i="10"/>
  <c r="B1227" i="10"/>
  <c r="B1226" i="10"/>
  <c r="B1225" i="10"/>
  <c r="B1224" i="10"/>
  <c r="B1223" i="10"/>
  <c r="B1222" i="10"/>
  <c r="B1221" i="10"/>
  <c r="B1220" i="10"/>
  <c r="B1219" i="10"/>
  <c r="B1218" i="10"/>
  <c r="B1217" i="10"/>
  <c r="B1216" i="10"/>
  <c r="B1215" i="10"/>
  <c r="B1214" i="10"/>
  <c r="B1213" i="10"/>
  <c r="B1212" i="10"/>
  <c r="B1211" i="10"/>
  <c r="B1210" i="10"/>
  <c r="B1209" i="10"/>
  <c r="B1208" i="10"/>
  <c r="B1207" i="10"/>
  <c r="B1206" i="10"/>
  <c r="B1205" i="10"/>
  <c r="B1204" i="10"/>
  <c r="B1203" i="10"/>
  <c r="B1202" i="10"/>
  <c r="B1201" i="10"/>
  <c r="B1200" i="10"/>
  <c r="B1199" i="10"/>
  <c r="B1198" i="10"/>
  <c r="B1197" i="10"/>
  <c r="B1196" i="10"/>
  <c r="B1195" i="10"/>
  <c r="B1194" i="10"/>
  <c r="B1193" i="10"/>
  <c r="B1192" i="10"/>
  <c r="B1191" i="10"/>
  <c r="B1190" i="10"/>
  <c r="B1189" i="10"/>
  <c r="B1188" i="10"/>
  <c r="B1187" i="10"/>
  <c r="B1186" i="10"/>
  <c r="B1185" i="10"/>
  <c r="B1184" i="10"/>
  <c r="B1183" i="10"/>
  <c r="B1182" i="10"/>
  <c r="B1181" i="10"/>
  <c r="B1180" i="10"/>
  <c r="B1179" i="10"/>
  <c r="B1178" i="10"/>
  <c r="B1177" i="10"/>
  <c r="B1176" i="10"/>
  <c r="B1175" i="10"/>
  <c r="B1174" i="10"/>
  <c r="B1173" i="10"/>
  <c r="B1172" i="10"/>
  <c r="B1171" i="10"/>
  <c r="B1170" i="10"/>
  <c r="B1169" i="10"/>
  <c r="B1168" i="10"/>
  <c r="B1167" i="10"/>
  <c r="B1166" i="10"/>
  <c r="B1165" i="10"/>
  <c r="B1164" i="10"/>
  <c r="B1163" i="10"/>
  <c r="B1162" i="10"/>
  <c r="B1161" i="10"/>
  <c r="B1160" i="10"/>
  <c r="B1159" i="10"/>
  <c r="B1158" i="10"/>
  <c r="B1157" i="10"/>
  <c r="B1156" i="10"/>
  <c r="B1155" i="10"/>
  <c r="B1154" i="10"/>
  <c r="B1153" i="10"/>
  <c r="B1152" i="10"/>
  <c r="B1151" i="10"/>
  <c r="B1150" i="10"/>
  <c r="B1149" i="10"/>
  <c r="B1148" i="10"/>
  <c r="B1147" i="10"/>
  <c r="B1146" i="10"/>
  <c r="B1145" i="10"/>
  <c r="B1144" i="10"/>
  <c r="B1143" i="10"/>
  <c r="B1142" i="10"/>
  <c r="B1141" i="10"/>
  <c r="B1140" i="10"/>
  <c r="B1139" i="10"/>
  <c r="B1138" i="10"/>
  <c r="B1137" i="10"/>
  <c r="B1136" i="10"/>
  <c r="B1135" i="10"/>
  <c r="B1134" i="10"/>
  <c r="B1133" i="10"/>
  <c r="B1132" i="10"/>
  <c r="B1131" i="10"/>
  <c r="B1130" i="10"/>
  <c r="B1129" i="10"/>
  <c r="B1128" i="10"/>
  <c r="B1127" i="10"/>
  <c r="B1126" i="10"/>
  <c r="B1125" i="10"/>
  <c r="B1124" i="10"/>
  <c r="B1123" i="10"/>
  <c r="B1122" i="10"/>
  <c r="B1121" i="10"/>
  <c r="B1120" i="10"/>
  <c r="B1119" i="10"/>
  <c r="B1118" i="10"/>
  <c r="B1117" i="10"/>
  <c r="B1116" i="10"/>
  <c r="B1115" i="10"/>
  <c r="B1114" i="10"/>
  <c r="B1113" i="10"/>
  <c r="B1112" i="10"/>
  <c r="B1111" i="10"/>
  <c r="B1110" i="10"/>
  <c r="B1109" i="10"/>
  <c r="B1108" i="10"/>
  <c r="B1107" i="10"/>
  <c r="B1106" i="10"/>
  <c r="B1105" i="10"/>
  <c r="B1104" i="10"/>
  <c r="B1103" i="10"/>
  <c r="B1102" i="10"/>
  <c r="B1101" i="10"/>
  <c r="B1100" i="10"/>
  <c r="B1099" i="10"/>
  <c r="B1098" i="10"/>
  <c r="B1097" i="10"/>
  <c r="B1096" i="10"/>
  <c r="B1095" i="10"/>
  <c r="B1094" i="10"/>
  <c r="B1093" i="10"/>
  <c r="B1092" i="10"/>
  <c r="B1091" i="10"/>
  <c r="B1090" i="10"/>
  <c r="B1089" i="10"/>
  <c r="B1088" i="10"/>
  <c r="B1087" i="10"/>
  <c r="B1086" i="10"/>
  <c r="B1085" i="10"/>
  <c r="B1084" i="10"/>
  <c r="B1083" i="10"/>
  <c r="B1082" i="10"/>
  <c r="B1081" i="10"/>
  <c r="B1080" i="10"/>
  <c r="B1079" i="10"/>
  <c r="B1078" i="10"/>
  <c r="B1077" i="10"/>
  <c r="B1076" i="10"/>
  <c r="B1075" i="10"/>
  <c r="B1074" i="10"/>
  <c r="B1073" i="10"/>
  <c r="B1072" i="10"/>
  <c r="B1071" i="10"/>
  <c r="B1070" i="10"/>
  <c r="B1069" i="10"/>
  <c r="B1068" i="10"/>
  <c r="B1067" i="10"/>
  <c r="B1066" i="10"/>
  <c r="B1065" i="10"/>
  <c r="B1064" i="10"/>
  <c r="B1063" i="10"/>
  <c r="B1062" i="10"/>
  <c r="B1061" i="10"/>
  <c r="B1060" i="10"/>
  <c r="B1059" i="10"/>
  <c r="B1058" i="10"/>
  <c r="B1057" i="10"/>
  <c r="B1056" i="10"/>
  <c r="B1055" i="10"/>
  <c r="B1054" i="10"/>
  <c r="B1053" i="10"/>
  <c r="B1052" i="10"/>
  <c r="B1051" i="10"/>
  <c r="B1050" i="10"/>
  <c r="B1049" i="10"/>
  <c r="B1048" i="10"/>
  <c r="B1047" i="10"/>
  <c r="B1046" i="10"/>
  <c r="B1045" i="10"/>
  <c r="B1044" i="10"/>
  <c r="B1043" i="10"/>
  <c r="B1042" i="10"/>
  <c r="B1041" i="10"/>
  <c r="B1040" i="10"/>
  <c r="B1039" i="10"/>
  <c r="B1038" i="10"/>
  <c r="B1037" i="10"/>
  <c r="B1036" i="10"/>
  <c r="B1035" i="10"/>
  <c r="B1034" i="10"/>
  <c r="B1033" i="10"/>
  <c r="B1032" i="10"/>
  <c r="B1031" i="10"/>
  <c r="B1030" i="10"/>
  <c r="B1029" i="10"/>
  <c r="B1028" i="10"/>
  <c r="B1027" i="10"/>
  <c r="B1026" i="10"/>
  <c r="B1025" i="10"/>
  <c r="B1024" i="10"/>
  <c r="B1023" i="10"/>
  <c r="B1022" i="10"/>
  <c r="B1021" i="10"/>
  <c r="B1020" i="10"/>
  <c r="B1019" i="10"/>
  <c r="B1018" i="10"/>
  <c r="B1017" i="10"/>
  <c r="B1016" i="10"/>
  <c r="B1015" i="10"/>
  <c r="B1014" i="10"/>
  <c r="B1013" i="10"/>
  <c r="B1012" i="10"/>
  <c r="B1011" i="10"/>
  <c r="B1010" i="10"/>
  <c r="B1009" i="10"/>
  <c r="B1008" i="10"/>
  <c r="B1007" i="10"/>
  <c r="B1006" i="10"/>
  <c r="B1005" i="10"/>
  <c r="B1004" i="10"/>
  <c r="B1003" i="10"/>
  <c r="B1002" i="10"/>
  <c r="B1001" i="10"/>
  <c r="B1000" i="10"/>
  <c r="B999" i="10"/>
  <c r="B998" i="10"/>
  <c r="B997" i="10"/>
  <c r="B996" i="10"/>
  <c r="B995" i="10"/>
  <c r="B994" i="10"/>
  <c r="B993" i="10"/>
  <c r="B992" i="10"/>
  <c r="B991" i="10"/>
  <c r="B990" i="10"/>
  <c r="B989" i="10"/>
  <c r="B988" i="10"/>
  <c r="B987" i="10"/>
  <c r="B986" i="10"/>
  <c r="B985" i="10"/>
  <c r="B984" i="10"/>
  <c r="B983" i="10"/>
  <c r="B982" i="10"/>
  <c r="B981" i="10"/>
  <c r="B980" i="10"/>
  <c r="B979" i="10"/>
  <c r="B978" i="10"/>
  <c r="B977" i="10"/>
  <c r="B976" i="10"/>
  <c r="B975" i="10"/>
  <c r="B974" i="10"/>
  <c r="B973" i="10"/>
  <c r="B972" i="10"/>
  <c r="B971" i="10"/>
  <c r="B970" i="10"/>
  <c r="B969" i="10"/>
  <c r="B968" i="10"/>
  <c r="B967" i="10"/>
  <c r="B966" i="10"/>
  <c r="B965" i="10"/>
  <c r="B964" i="10"/>
  <c r="B963" i="10"/>
  <c r="B962" i="10"/>
  <c r="B961" i="10"/>
  <c r="B960" i="10"/>
  <c r="B959" i="10"/>
  <c r="B958" i="10"/>
  <c r="B957" i="10"/>
  <c r="B956" i="10"/>
  <c r="B955" i="10"/>
  <c r="B954" i="10"/>
  <c r="B953" i="10"/>
  <c r="B952" i="10"/>
  <c r="B951" i="10"/>
  <c r="B950" i="10"/>
  <c r="B949" i="10"/>
  <c r="B948" i="10"/>
  <c r="B947" i="10"/>
  <c r="B946" i="10"/>
  <c r="B945" i="10"/>
  <c r="B944" i="10"/>
  <c r="B943" i="10"/>
  <c r="B942" i="10"/>
  <c r="B941" i="10"/>
  <c r="B940" i="10"/>
  <c r="B939" i="10"/>
  <c r="B938" i="10"/>
  <c r="B937" i="10"/>
  <c r="B936" i="10"/>
  <c r="B935" i="10"/>
  <c r="B934" i="10"/>
  <c r="B933" i="10"/>
  <c r="B932" i="10"/>
  <c r="B931" i="10"/>
  <c r="B930" i="10"/>
  <c r="B929" i="10"/>
  <c r="B928" i="10"/>
  <c r="B927" i="10"/>
  <c r="B926" i="10"/>
  <c r="B925" i="10"/>
  <c r="B924" i="10"/>
  <c r="B923" i="10"/>
  <c r="B922" i="10"/>
  <c r="B921" i="10"/>
  <c r="B920" i="10"/>
  <c r="B919" i="10"/>
  <c r="B918" i="10"/>
  <c r="B917" i="10"/>
  <c r="B916" i="10"/>
  <c r="B915" i="10"/>
  <c r="B914" i="10"/>
  <c r="B913" i="10"/>
  <c r="B912" i="10"/>
  <c r="B911" i="10"/>
  <c r="B910" i="10"/>
  <c r="B909" i="10"/>
  <c r="B908" i="10"/>
  <c r="B907" i="10"/>
  <c r="B906" i="10"/>
  <c r="B905" i="10"/>
  <c r="B904" i="10"/>
  <c r="B903" i="10"/>
  <c r="B902" i="10"/>
  <c r="B901" i="10"/>
  <c r="B900" i="10"/>
  <c r="B899" i="10"/>
  <c r="B898" i="10"/>
  <c r="B897" i="10"/>
  <c r="B896" i="10"/>
  <c r="B895" i="10"/>
  <c r="B894" i="10"/>
  <c r="B893" i="10"/>
  <c r="B892" i="10"/>
  <c r="B891" i="10"/>
  <c r="B890" i="10"/>
  <c r="B889" i="10"/>
  <c r="B888" i="10"/>
  <c r="B887" i="10"/>
  <c r="B886" i="10"/>
  <c r="B885" i="10"/>
  <c r="B884" i="10"/>
  <c r="B883" i="10"/>
  <c r="B882" i="10"/>
  <c r="B881" i="10"/>
  <c r="B880" i="10"/>
  <c r="B879" i="10"/>
  <c r="B878" i="10"/>
  <c r="B877" i="10"/>
  <c r="B876" i="10"/>
  <c r="B875" i="10"/>
  <c r="B874" i="10"/>
  <c r="B873" i="10"/>
  <c r="B872" i="10"/>
  <c r="B871" i="10"/>
  <c r="B870" i="10"/>
  <c r="B869" i="10"/>
  <c r="B868" i="10"/>
  <c r="B867" i="10"/>
  <c r="B866" i="10"/>
  <c r="B865" i="10"/>
  <c r="B864" i="10"/>
  <c r="B863" i="10"/>
  <c r="B862" i="10"/>
  <c r="B861" i="10"/>
  <c r="B860" i="10"/>
  <c r="B859" i="10"/>
  <c r="B858" i="10"/>
  <c r="B857" i="10"/>
  <c r="B856" i="10"/>
  <c r="B855" i="10"/>
  <c r="B854" i="10"/>
  <c r="B853" i="10"/>
  <c r="B852" i="10"/>
  <c r="B851" i="10"/>
  <c r="B850" i="10"/>
  <c r="B849" i="10"/>
  <c r="B848" i="10"/>
  <c r="B847" i="10"/>
  <c r="B846" i="10"/>
  <c r="B845" i="10"/>
  <c r="B844" i="10"/>
  <c r="B843" i="10"/>
  <c r="B842" i="10"/>
  <c r="B841" i="10"/>
  <c r="B840" i="10"/>
  <c r="B839" i="10"/>
  <c r="B838" i="10"/>
  <c r="B837" i="10"/>
  <c r="B836" i="10"/>
  <c r="B835" i="10"/>
  <c r="B834" i="10"/>
  <c r="B833" i="10"/>
  <c r="B832" i="10"/>
  <c r="B831" i="10"/>
  <c r="B830" i="10"/>
  <c r="B829" i="10"/>
  <c r="B828" i="10"/>
  <c r="B827" i="10"/>
  <c r="B826" i="10"/>
  <c r="B825" i="10"/>
  <c r="B824" i="10"/>
  <c r="B823" i="10"/>
  <c r="B822" i="10"/>
  <c r="B821" i="10"/>
  <c r="B820" i="10"/>
  <c r="B819" i="10"/>
  <c r="B818" i="10"/>
  <c r="B817" i="10"/>
  <c r="B816" i="10"/>
  <c r="B815" i="10"/>
  <c r="B814" i="10"/>
  <c r="B813" i="10"/>
  <c r="B812" i="10"/>
  <c r="B811" i="10"/>
  <c r="B810" i="10"/>
  <c r="B809" i="10"/>
  <c r="B808" i="10"/>
  <c r="B807" i="10"/>
  <c r="B806" i="10"/>
  <c r="B805" i="10"/>
  <c r="B804" i="10"/>
  <c r="B803" i="10"/>
  <c r="B802" i="10"/>
  <c r="B801" i="10"/>
  <c r="B800" i="10"/>
  <c r="B799" i="10"/>
  <c r="B798" i="10"/>
  <c r="B797" i="10"/>
  <c r="B796" i="10"/>
  <c r="B795" i="10"/>
  <c r="B794" i="10"/>
  <c r="B793" i="10"/>
  <c r="B792" i="10"/>
  <c r="B791" i="10"/>
  <c r="B790" i="10"/>
  <c r="B789" i="10"/>
  <c r="B788" i="10"/>
  <c r="B787" i="10"/>
  <c r="B786" i="10"/>
  <c r="B785" i="10"/>
  <c r="B784" i="10"/>
  <c r="B783" i="10"/>
  <c r="B782" i="10"/>
  <c r="B781" i="10"/>
  <c r="B780" i="10"/>
  <c r="B779" i="10"/>
  <c r="B778" i="10"/>
  <c r="B777" i="10"/>
  <c r="B776" i="10"/>
  <c r="B775" i="10"/>
  <c r="B774" i="10"/>
  <c r="B773" i="10"/>
  <c r="B772" i="10"/>
  <c r="B771" i="10"/>
  <c r="B770" i="10"/>
  <c r="B769" i="10"/>
  <c r="B768" i="10"/>
  <c r="B767" i="10"/>
  <c r="B766" i="10"/>
  <c r="B765" i="10"/>
  <c r="B764" i="10"/>
  <c r="B763" i="10"/>
  <c r="B762" i="10"/>
  <c r="B761" i="10"/>
  <c r="B760" i="10"/>
  <c r="B759" i="10"/>
  <c r="B758" i="10"/>
  <c r="B757" i="10"/>
  <c r="B756" i="10"/>
  <c r="B755" i="10"/>
  <c r="B754" i="10"/>
  <c r="B753" i="10"/>
  <c r="B752" i="10"/>
  <c r="B751" i="10"/>
  <c r="B750" i="10"/>
  <c r="B749" i="10"/>
  <c r="B748" i="10"/>
  <c r="B747" i="10"/>
  <c r="B746" i="10"/>
  <c r="B745" i="10"/>
  <c r="B744" i="10"/>
  <c r="B743" i="10"/>
  <c r="B742" i="10"/>
  <c r="B741" i="10"/>
  <c r="B740" i="10"/>
  <c r="B739" i="10"/>
  <c r="B738" i="10"/>
  <c r="B737" i="10"/>
  <c r="B736" i="10"/>
  <c r="B735" i="10"/>
  <c r="B734" i="10"/>
  <c r="B733" i="10"/>
  <c r="B732" i="10"/>
  <c r="B731" i="10"/>
  <c r="B730" i="10"/>
  <c r="B729" i="10"/>
  <c r="B728" i="10"/>
  <c r="B727" i="10"/>
  <c r="B726" i="10"/>
  <c r="B725" i="10"/>
  <c r="B724" i="10"/>
  <c r="B723" i="10"/>
  <c r="B722" i="10"/>
  <c r="B721" i="10"/>
  <c r="B720" i="10"/>
  <c r="B719" i="10"/>
  <c r="B718" i="10"/>
  <c r="B717" i="10"/>
  <c r="B716" i="10"/>
  <c r="B715" i="10"/>
  <c r="B714" i="10"/>
  <c r="B713" i="10"/>
  <c r="B712" i="10"/>
  <c r="B711" i="10"/>
  <c r="B710" i="10"/>
  <c r="B709" i="10"/>
  <c r="B708" i="10"/>
  <c r="B707" i="10"/>
  <c r="B706" i="10"/>
  <c r="B705" i="10"/>
  <c r="B704" i="10"/>
  <c r="B703" i="10"/>
  <c r="B702" i="10"/>
  <c r="B701" i="10"/>
  <c r="B700" i="10"/>
  <c r="B699" i="10"/>
  <c r="B698" i="10"/>
  <c r="B697" i="10"/>
  <c r="B696" i="10"/>
  <c r="B695" i="10"/>
  <c r="B694" i="10"/>
  <c r="B693" i="10"/>
  <c r="B692" i="10"/>
  <c r="B691" i="10"/>
  <c r="B690" i="10"/>
  <c r="B689" i="10"/>
  <c r="B688" i="10"/>
  <c r="B687" i="10"/>
  <c r="B686" i="10"/>
  <c r="B685" i="10"/>
  <c r="B684" i="10"/>
  <c r="B683" i="10"/>
  <c r="B682" i="10"/>
  <c r="B681" i="10"/>
  <c r="B680" i="10"/>
  <c r="B679" i="10"/>
  <c r="B678" i="10"/>
  <c r="B677" i="10"/>
  <c r="B676" i="10"/>
  <c r="B675" i="10"/>
  <c r="B674" i="10"/>
  <c r="B673" i="10"/>
  <c r="B672" i="10"/>
  <c r="B671" i="10"/>
  <c r="B670" i="10"/>
  <c r="B669" i="10"/>
  <c r="B668" i="10"/>
  <c r="B667" i="10"/>
  <c r="B666" i="10"/>
  <c r="B665" i="10"/>
  <c r="B664" i="10"/>
  <c r="B663" i="10"/>
  <c r="B662" i="10"/>
  <c r="B661" i="10"/>
  <c r="B660" i="10"/>
  <c r="B659" i="10"/>
  <c r="B658" i="10"/>
  <c r="B657" i="10"/>
  <c r="B656" i="10"/>
  <c r="B655" i="10"/>
  <c r="B654" i="10"/>
  <c r="B653" i="10"/>
  <c r="B652" i="10"/>
  <c r="B651" i="10"/>
  <c r="B650" i="10"/>
  <c r="B649" i="10"/>
  <c r="B648" i="10"/>
  <c r="B647" i="10"/>
  <c r="B646" i="10"/>
  <c r="B645" i="10"/>
  <c r="B644" i="10"/>
  <c r="B643" i="10"/>
  <c r="B642" i="10"/>
  <c r="B641" i="10"/>
  <c r="B640" i="10"/>
  <c r="B639" i="10"/>
  <c r="B638" i="10"/>
  <c r="B637" i="10"/>
  <c r="B636" i="10"/>
  <c r="B635" i="10"/>
  <c r="B634" i="10"/>
  <c r="B633" i="10"/>
  <c r="B632" i="10"/>
  <c r="B631" i="10"/>
  <c r="B630" i="10"/>
  <c r="B629" i="10"/>
  <c r="B628" i="10"/>
  <c r="B627" i="10"/>
  <c r="B626" i="10"/>
  <c r="B625" i="10"/>
  <c r="B624" i="10"/>
  <c r="B623" i="10"/>
  <c r="B622" i="10"/>
  <c r="B621" i="10"/>
  <c r="B620" i="10"/>
  <c r="B619" i="10"/>
  <c r="B618" i="10"/>
  <c r="B617" i="10"/>
  <c r="B616" i="10"/>
  <c r="B615" i="10"/>
  <c r="B614" i="10"/>
  <c r="B613" i="10"/>
  <c r="B612" i="10"/>
  <c r="B611" i="10"/>
  <c r="B610" i="10"/>
  <c r="B609" i="10"/>
  <c r="B608" i="10"/>
  <c r="B607" i="10"/>
  <c r="B606" i="10"/>
  <c r="B605" i="10"/>
  <c r="B604" i="10"/>
  <c r="B603" i="10"/>
  <c r="B602" i="10"/>
  <c r="B601" i="10"/>
  <c r="B600" i="10"/>
  <c r="B599" i="10"/>
  <c r="B598" i="10"/>
  <c r="B597" i="10"/>
  <c r="B596" i="10"/>
  <c r="B595" i="10"/>
  <c r="B594" i="10"/>
  <c r="B593" i="10"/>
  <c r="B592" i="10"/>
  <c r="B591" i="10"/>
  <c r="B590" i="10"/>
  <c r="B589" i="10"/>
  <c r="B588" i="10"/>
  <c r="B587" i="10"/>
  <c r="B586" i="10"/>
  <c r="B585" i="10"/>
  <c r="B584" i="10"/>
  <c r="B583" i="10"/>
  <c r="B582" i="10"/>
  <c r="B581" i="10"/>
  <c r="B580" i="10"/>
  <c r="B579" i="10"/>
  <c r="B578" i="10"/>
  <c r="B577" i="10"/>
  <c r="B576" i="10"/>
  <c r="B575" i="10"/>
  <c r="B574" i="10"/>
  <c r="B573" i="10"/>
  <c r="B572" i="10"/>
  <c r="B571" i="10"/>
  <c r="B570" i="10"/>
  <c r="B569" i="10"/>
  <c r="B568" i="10"/>
  <c r="B567" i="10"/>
  <c r="B566" i="10"/>
  <c r="B565" i="10"/>
  <c r="B564" i="10"/>
  <c r="B563" i="10"/>
  <c r="B562" i="10"/>
  <c r="B561" i="10"/>
  <c r="B560" i="10"/>
  <c r="B559" i="10"/>
  <c r="B558" i="10"/>
  <c r="B557" i="10"/>
  <c r="B556" i="10"/>
  <c r="B555" i="10"/>
  <c r="B554" i="10"/>
  <c r="B553" i="10"/>
  <c r="B552" i="10"/>
  <c r="B551" i="10"/>
  <c r="B550" i="10"/>
  <c r="B549" i="10"/>
  <c r="B548" i="10"/>
  <c r="B547" i="10"/>
  <c r="B546" i="10"/>
  <c r="B545" i="10"/>
  <c r="B544" i="10"/>
  <c r="B543" i="10"/>
  <c r="B542" i="10"/>
  <c r="B541" i="10"/>
  <c r="B540" i="10"/>
  <c r="B539" i="10"/>
  <c r="B538" i="10"/>
  <c r="B537" i="10"/>
  <c r="B536" i="10"/>
  <c r="B535" i="10"/>
  <c r="B534" i="10"/>
  <c r="B533" i="10"/>
  <c r="B532" i="10"/>
  <c r="B531" i="10"/>
  <c r="B530" i="10"/>
  <c r="B529" i="10"/>
  <c r="B528" i="10"/>
  <c r="B527" i="10"/>
  <c r="B526" i="10"/>
  <c r="B525" i="10"/>
  <c r="B524" i="10"/>
  <c r="B523" i="10"/>
  <c r="B522" i="10"/>
  <c r="B521" i="10"/>
  <c r="B520" i="10"/>
  <c r="B519" i="10"/>
  <c r="B518" i="10"/>
  <c r="B517" i="10"/>
  <c r="B516" i="10"/>
  <c r="B515" i="10"/>
  <c r="B514" i="10"/>
  <c r="B513" i="10"/>
  <c r="B512" i="10"/>
  <c r="B511" i="10"/>
  <c r="B510" i="10"/>
  <c r="B509" i="10"/>
  <c r="B508" i="10"/>
  <c r="B507" i="10"/>
  <c r="B506" i="10"/>
  <c r="B505" i="10"/>
  <c r="B504" i="10"/>
  <c r="B503" i="10"/>
  <c r="B502" i="10"/>
  <c r="B501" i="10"/>
  <c r="B500" i="10"/>
  <c r="B499" i="10"/>
  <c r="B498" i="10"/>
  <c r="B497" i="10"/>
  <c r="B496" i="10"/>
  <c r="B495" i="10"/>
  <c r="B494" i="10"/>
  <c r="B493" i="10"/>
  <c r="B492" i="10"/>
  <c r="B491" i="10"/>
  <c r="B490" i="10"/>
  <c r="B489" i="10"/>
  <c r="B488" i="10"/>
  <c r="B487" i="10"/>
  <c r="B486" i="10"/>
  <c r="B485" i="10"/>
  <c r="B484" i="10"/>
  <c r="B483" i="10"/>
  <c r="B482" i="10"/>
  <c r="B481" i="10"/>
  <c r="B480" i="10"/>
  <c r="B479" i="10"/>
  <c r="B478" i="10"/>
  <c r="B477" i="10"/>
  <c r="B476" i="10"/>
  <c r="B475" i="10"/>
  <c r="B474" i="10"/>
  <c r="B473" i="10"/>
  <c r="B472" i="10"/>
  <c r="B471" i="10"/>
  <c r="B470" i="10"/>
  <c r="B469" i="10"/>
  <c r="B468" i="10"/>
  <c r="B467" i="10"/>
  <c r="B466" i="10"/>
  <c r="B465" i="10"/>
  <c r="B464" i="10"/>
  <c r="B463" i="10"/>
  <c r="B462" i="10"/>
  <c r="B461" i="10"/>
  <c r="B460" i="10"/>
  <c r="B459" i="10"/>
  <c r="B458" i="10"/>
  <c r="B457" i="10"/>
  <c r="B456" i="10"/>
  <c r="B455" i="10"/>
  <c r="B454" i="10"/>
  <c r="B453" i="10"/>
  <c r="B452" i="10"/>
  <c r="B451" i="10"/>
  <c r="B450" i="10"/>
  <c r="B449" i="10"/>
  <c r="B448" i="10"/>
  <c r="B447" i="10"/>
  <c r="B446" i="10"/>
  <c r="B445" i="10"/>
  <c r="B444" i="10"/>
  <c r="B443" i="10"/>
  <c r="B442" i="10"/>
  <c r="B441" i="10"/>
  <c r="B440" i="10"/>
  <c r="B439" i="10"/>
  <c r="B438" i="10"/>
  <c r="B437" i="10"/>
  <c r="B436" i="10"/>
  <c r="B435" i="10"/>
  <c r="B434" i="10"/>
  <c r="B433" i="10"/>
  <c r="B432" i="10"/>
  <c r="B431" i="10"/>
  <c r="B430" i="10"/>
  <c r="B429" i="10"/>
  <c r="B428" i="10"/>
  <c r="B427" i="10"/>
  <c r="B426" i="10"/>
  <c r="B425" i="10"/>
  <c r="B424" i="10"/>
  <c r="B423" i="10"/>
  <c r="B422" i="10"/>
  <c r="B421" i="10"/>
  <c r="B420" i="10"/>
  <c r="B419" i="10"/>
  <c r="B418" i="10"/>
  <c r="B417" i="10"/>
  <c r="B416" i="10"/>
  <c r="B415" i="10"/>
  <c r="B414" i="10"/>
  <c r="B413" i="10"/>
  <c r="B412" i="10"/>
  <c r="B411" i="10"/>
  <c r="B410" i="10"/>
  <c r="B409" i="10"/>
  <c r="B408" i="10"/>
  <c r="B407" i="10"/>
  <c r="B406" i="10"/>
  <c r="B405" i="10"/>
  <c r="B404" i="10"/>
  <c r="B403" i="10"/>
  <c r="B402" i="10"/>
  <c r="B401" i="10"/>
  <c r="B400" i="10"/>
  <c r="B399" i="10"/>
  <c r="B398" i="10"/>
  <c r="B397" i="10"/>
  <c r="B396" i="10"/>
  <c r="B395" i="10"/>
  <c r="B394" i="10"/>
  <c r="B393" i="10"/>
  <c r="B392" i="10"/>
  <c r="B391" i="10"/>
  <c r="B390" i="10"/>
  <c r="B389" i="10"/>
  <c r="B388" i="10"/>
  <c r="B387" i="10"/>
  <c r="B386" i="10"/>
  <c r="B385" i="10"/>
  <c r="B384" i="10"/>
  <c r="B383" i="10"/>
  <c r="B382" i="10"/>
  <c r="B381" i="10"/>
  <c r="B380" i="10"/>
  <c r="B379" i="10"/>
  <c r="B378" i="10"/>
  <c r="B377" i="10"/>
  <c r="B376" i="10"/>
  <c r="B375" i="10"/>
  <c r="B374" i="10"/>
  <c r="B373" i="10"/>
  <c r="B372" i="10"/>
  <c r="B371" i="10"/>
  <c r="B370" i="10"/>
  <c r="B369" i="10"/>
  <c r="B368" i="10"/>
  <c r="B367" i="10"/>
  <c r="B366" i="10"/>
  <c r="B365" i="10"/>
  <c r="B364" i="10"/>
  <c r="B363" i="10"/>
  <c r="B362" i="10"/>
  <c r="B361" i="10"/>
  <c r="B360" i="10"/>
  <c r="B359" i="10"/>
  <c r="B358" i="10"/>
  <c r="B357" i="10"/>
  <c r="B356" i="10"/>
  <c r="B355" i="10"/>
  <c r="B354" i="10"/>
  <c r="B353" i="10"/>
  <c r="B352" i="10"/>
  <c r="B351" i="10"/>
  <c r="B350" i="10"/>
  <c r="B349" i="10"/>
  <c r="B348" i="10"/>
  <c r="B347" i="10"/>
  <c r="B346" i="10"/>
  <c r="B345" i="10"/>
  <c r="B344" i="10"/>
  <c r="B343" i="10"/>
  <c r="B342" i="10"/>
  <c r="B341" i="10"/>
  <c r="B340" i="10"/>
  <c r="B339" i="10"/>
  <c r="B338" i="10"/>
  <c r="B337" i="10"/>
  <c r="B336" i="10"/>
  <c r="B335" i="10"/>
  <c r="B334" i="10"/>
  <c r="B333" i="10"/>
  <c r="B332" i="10"/>
  <c r="B331" i="10"/>
  <c r="B330" i="10"/>
  <c r="B329" i="10"/>
  <c r="B328" i="10"/>
  <c r="B327" i="10"/>
  <c r="B326" i="10"/>
  <c r="B325" i="10"/>
  <c r="B324" i="10"/>
  <c r="B323" i="10"/>
  <c r="B322" i="10"/>
  <c r="B321" i="10"/>
  <c r="B320" i="10"/>
  <c r="B319" i="10"/>
  <c r="B318" i="10"/>
  <c r="B317" i="10"/>
  <c r="B316" i="10"/>
  <c r="B315" i="10"/>
  <c r="B314" i="10"/>
  <c r="B313" i="10"/>
  <c r="B312" i="10"/>
  <c r="B311" i="10"/>
  <c r="B310" i="10"/>
  <c r="B309" i="10"/>
  <c r="B308" i="10"/>
  <c r="B307" i="10"/>
  <c r="B306" i="10"/>
  <c r="B305" i="10"/>
  <c r="B304" i="10"/>
  <c r="B303" i="10"/>
  <c r="B302" i="10"/>
  <c r="B301" i="10"/>
  <c r="B300" i="10"/>
  <c r="B299" i="10"/>
  <c r="B298" i="10"/>
  <c r="B297" i="10"/>
  <c r="B296" i="10"/>
  <c r="B295" i="10"/>
  <c r="B294" i="10"/>
  <c r="B293" i="10"/>
  <c r="B292" i="10"/>
  <c r="B291" i="10"/>
  <c r="B290" i="10"/>
  <c r="B289" i="10"/>
  <c r="B288" i="10"/>
  <c r="B287" i="10"/>
  <c r="B286" i="10"/>
  <c r="B285" i="10"/>
  <c r="B284" i="10"/>
  <c r="B283" i="10"/>
  <c r="B282" i="10"/>
  <c r="B281" i="10"/>
  <c r="B280" i="10"/>
  <c r="B279" i="10"/>
  <c r="B278" i="10"/>
  <c r="B277" i="10"/>
  <c r="B276" i="10"/>
  <c r="B275" i="10"/>
  <c r="B274" i="10"/>
  <c r="B273" i="10"/>
  <c r="B272" i="10"/>
  <c r="B271" i="10"/>
  <c r="B270" i="10"/>
  <c r="B269" i="10"/>
  <c r="B268" i="10"/>
  <c r="B267" i="10"/>
  <c r="B266" i="10"/>
  <c r="B265" i="10"/>
  <c r="B264" i="10"/>
  <c r="B263" i="10"/>
  <c r="B262" i="10"/>
  <c r="B261" i="10"/>
  <c r="B260" i="10"/>
  <c r="B259" i="10"/>
  <c r="B258" i="10"/>
  <c r="B257" i="10"/>
  <c r="B256" i="10"/>
  <c r="B255" i="10"/>
  <c r="B254" i="10"/>
  <c r="B253" i="10"/>
  <c r="B252" i="10"/>
  <c r="B251" i="10"/>
  <c r="B250" i="10"/>
  <c r="B249" i="10"/>
  <c r="B248" i="10"/>
  <c r="B247" i="10"/>
  <c r="B246" i="10"/>
  <c r="B245" i="10"/>
  <c r="B244" i="10"/>
  <c r="B243" i="10"/>
  <c r="B242" i="10"/>
  <c r="B241" i="10"/>
  <c r="B240" i="10"/>
  <c r="B239" i="10"/>
  <c r="B238" i="10"/>
  <c r="B237" i="10"/>
  <c r="B236" i="10"/>
  <c r="B235" i="10"/>
  <c r="B234" i="10"/>
  <c r="B233" i="10"/>
  <c r="B232" i="10"/>
  <c r="B231" i="10"/>
  <c r="B230" i="10"/>
  <c r="B229" i="10"/>
  <c r="B228" i="10"/>
  <c r="B227" i="10"/>
  <c r="B226" i="10"/>
  <c r="B225" i="10"/>
  <c r="B224" i="10"/>
  <c r="B223" i="10"/>
  <c r="B222" i="10"/>
  <c r="B221" i="10"/>
  <c r="B220" i="10"/>
  <c r="B219" i="10"/>
  <c r="B218" i="10"/>
  <c r="B217" i="10"/>
  <c r="B216" i="10"/>
  <c r="B215" i="10"/>
  <c r="B214" i="10"/>
  <c r="B213" i="10"/>
  <c r="B212" i="10"/>
  <c r="B211" i="10"/>
  <c r="B210" i="10"/>
  <c r="B209" i="10"/>
  <c r="B208" i="10"/>
  <c r="B207" i="10"/>
  <c r="B206" i="10"/>
  <c r="B205" i="10"/>
  <c r="B204" i="10"/>
  <c r="B203" i="10"/>
  <c r="B202" i="10"/>
  <c r="A101" i="10"/>
  <c r="A100" i="10"/>
  <c r="A99" i="10"/>
  <c r="A98" i="10"/>
  <c r="A97" i="10"/>
  <c r="A96" i="10"/>
  <c r="A95" i="10"/>
  <c r="A94" i="10"/>
  <c r="A93" i="10"/>
  <c r="A92" i="10"/>
  <c r="A91" i="10"/>
  <c r="A90" i="10"/>
  <c r="A89" i="10"/>
  <c r="A88" i="10"/>
  <c r="A87" i="10"/>
  <c r="A86" i="10"/>
  <c r="A85" i="10"/>
  <c r="A84" i="10"/>
  <c r="A83" i="10"/>
  <c r="A82" i="10"/>
  <c r="A81" i="10"/>
  <c r="A80" i="10"/>
  <c r="A79" i="10"/>
  <c r="A78" i="10"/>
  <c r="A77" i="10"/>
  <c r="A76" i="10"/>
  <c r="A75" i="10"/>
  <c r="A74" i="10"/>
  <c r="A73" i="10"/>
  <c r="A72" i="10"/>
  <c r="A71" i="10"/>
  <c r="A70" i="10"/>
  <c r="A69" i="10"/>
  <c r="A68" i="10"/>
  <c r="A67" i="10"/>
  <c r="A66" i="10"/>
  <c r="A65" i="10"/>
  <c r="A64" i="10"/>
  <c r="A63" i="10"/>
  <c r="A62" i="10"/>
  <c r="A61" i="10"/>
  <c r="A60" i="10"/>
  <c r="A59" i="10"/>
  <c r="A58" i="10"/>
  <c r="A57" i="10"/>
  <c r="A56" i="10"/>
  <c r="A55" i="10"/>
  <c r="A54" i="10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A14" i="10"/>
  <c r="A13" i="10"/>
  <c r="A12" i="10"/>
  <c r="A11" i="10"/>
  <c r="A10" i="10"/>
  <c r="A9" i="10"/>
  <c r="A8" i="10"/>
  <c r="A7" i="10"/>
  <c r="A6" i="10"/>
  <c r="A5" i="10"/>
  <c r="A4" i="10"/>
  <c r="A3" i="10"/>
  <c r="A2" i="10"/>
  <c r="B1699" i="9"/>
  <c r="B1698" i="9"/>
  <c r="B1697" i="9"/>
  <c r="B1696" i="9"/>
  <c r="B1695" i="9"/>
  <c r="B1694" i="9"/>
  <c r="B1693" i="9"/>
  <c r="B1692" i="9"/>
  <c r="B1691" i="9"/>
  <c r="B1690" i="9"/>
  <c r="B1689" i="9"/>
  <c r="B1688" i="9"/>
  <c r="B1687" i="9"/>
  <c r="B1686" i="9"/>
  <c r="B1685" i="9"/>
  <c r="B1684" i="9"/>
  <c r="B1683" i="9"/>
  <c r="B1682" i="9"/>
  <c r="B1681" i="9"/>
  <c r="B1680" i="9"/>
  <c r="B1679" i="9"/>
  <c r="B1678" i="9"/>
  <c r="B1677" i="9"/>
  <c r="B1676" i="9"/>
  <c r="B1675" i="9"/>
  <c r="B1674" i="9"/>
  <c r="B1673" i="9"/>
  <c r="B1672" i="9"/>
  <c r="B1671" i="9"/>
  <c r="B1670" i="9"/>
  <c r="B1669" i="9"/>
  <c r="B1668" i="9"/>
  <c r="B1667" i="9"/>
  <c r="B1666" i="9"/>
  <c r="B1665" i="9"/>
  <c r="B1664" i="9"/>
  <c r="B1663" i="9"/>
  <c r="B1662" i="9"/>
  <c r="B1661" i="9"/>
  <c r="B1660" i="9"/>
  <c r="B1659" i="9"/>
  <c r="B1658" i="9"/>
  <c r="B1657" i="9"/>
  <c r="B1656" i="9"/>
  <c r="B1655" i="9"/>
  <c r="B1654" i="9"/>
  <c r="B1653" i="9"/>
  <c r="B1652" i="9"/>
  <c r="B1651" i="9"/>
  <c r="B1650" i="9"/>
  <c r="B1649" i="9"/>
  <c r="B1648" i="9"/>
  <c r="B1647" i="9"/>
  <c r="B1646" i="9"/>
  <c r="B1645" i="9"/>
  <c r="B1644" i="9"/>
  <c r="B1643" i="9"/>
  <c r="B1642" i="9"/>
  <c r="B1641" i="9"/>
  <c r="B1640" i="9"/>
  <c r="B1639" i="9"/>
  <c r="B1638" i="9"/>
  <c r="B1637" i="9"/>
  <c r="B1636" i="9"/>
  <c r="B1635" i="9"/>
  <c r="B1634" i="9"/>
  <c r="B1633" i="9"/>
  <c r="B1632" i="9"/>
  <c r="B1631" i="9"/>
  <c r="B1630" i="9"/>
  <c r="B1629" i="9"/>
  <c r="B1628" i="9"/>
  <c r="B1627" i="9"/>
  <c r="B1626" i="9"/>
  <c r="B1625" i="9"/>
  <c r="B1624" i="9"/>
  <c r="B1623" i="9"/>
  <c r="B1622" i="9"/>
  <c r="B1621" i="9"/>
  <c r="B1620" i="9"/>
  <c r="B1619" i="9"/>
  <c r="B1618" i="9"/>
  <c r="B1617" i="9"/>
  <c r="B1616" i="9"/>
  <c r="B1615" i="9"/>
  <c r="B1614" i="9"/>
  <c r="B1613" i="9"/>
  <c r="B1612" i="9"/>
  <c r="B1611" i="9"/>
  <c r="B1610" i="9"/>
  <c r="B1609" i="9"/>
  <c r="B1608" i="9"/>
  <c r="B1607" i="9"/>
  <c r="B1606" i="9"/>
  <c r="B1605" i="9"/>
  <c r="B1604" i="9"/>
  <c r="B1603" i="9"/>
  <c r="B1602" i="9"/>
  <c r="B1601" i="9"/>
  <c r="B1600" i="9"/>
  <c r="B1599" i="9"/>
  <c r="B1598" i="9"/>
  <c r="B1597" i="9"/>
  <c r="B1596" i="9"/>
  <c r="B1595" i="9"/>
  <c r="B1594" i="9"/>
  <c r="B1593" i="9"/>
  <c r="B1592" i="9"/>
  <c r="B1591" i="9"/>
  <c r="B1590" i="9"/>
  <c r="B1589" i="9"/>
  <c r="B1588" i="9"/>
  <c r="B1587" i="9"/>
  <c r="B1586" i="9"/>
  <c r="B1585" i="9"/>
  <c r="B1584" i="9"/>
  <c r="B1583" i="9"/>
  <c r="B1582" i="9"/>
  <c r="B1581" i="9"/>
  <c r="B1580" i="9"/>
  <c r="B1579" i="9"/>
  <c r="B1578" i="9"/>
  <c r="B1577" i="9"/>
  <c r="B1576" i="9"/>
  <c r="B1575" i="9"/>
  <c r="B1574" i="9"/>
  <c r="B1573" i="9"/>
  <c r="B1572" i="9"/>
  <c r="B1571" i="9"/>
  <c r="B1570" i="9"/>
  <c r="B1569" i="9"/>
  <c r="B1568" i="9"/>
  <c r="B1567" i="9"/>
  <c r="B1566" i="9"/>
  <c r="B1565" i="9"/>
  <c r="B1564" i="9"/>
  <c r="B1563" i="9"/>
  <c r="B1562" i="9"/>
  <c r="B1561" i="9"/>
  <c r="B1560" i="9"/>
  <c r="B1559" i="9"/>
  <c r="B1558" i="9"/>
  <c r="B1557" i="9"/>
  <c r="B1556" i="9"/>
  <c r="B1555" i="9"/>
  <c r="B1554" i="9"/>
  <c r="B1553" i="9"/>
  <c r="B1552" i="9"/>
  <c r="B1551" i="9"/>
  <c r="B1550" i="9"/>
  <c r="B1549" i="9"/>
  <c r="B1548" i="9"/>
  <c r="B1547" i="9"/>
  <c r="B1546" i="9"/>
  <c r="B1545" i="9"/>
  <c r="B1544" i="9"/>
  <c r="B1543" i="9"/>
  <c r="B1542" i="9"/>
  <c r="B1541" i="9"/>
  <c r="B1540" i="9"/>
  <c r="B1539" i="9"/>
  <c r="B1538" i="9"/>
  <c r="B1537" i="9"/>
  <c r="B1536" i="9"/>
  <c r="B1535" i="9"/>
  <c r="B1534" i="9"/>
  <c r="B1533" i="9"/>
  <c r="B1532" i="9"/>
  <c r="B1531" i="9"/>
  <c r="B1530" i="9"/>
  <c r="B1529" i="9"/>
  <c r="B1528" i="9"/>
  <c r="B1527" i="9"/>
  <c r="B1526" i="9"/>
  <c r="B1525" i="9"/>
  <c r="B1524" i="9"/>
  <c r="B1523" i="9"/>
  <c r="B1522" i="9"/>
  <c r="B1521" i="9"/>
  <c r="B1520" i="9"/>
  <c r="B1519" i="9"/>
  <c r="B1518" i="9"/>
  <c r="B1517" i="9"/>
  <c r="B1516" i="9"/>
  <c r="B1515" i="9"/>
  <c r="B1514" i="9"/>
  <c r="B1513" i="9"/>
  <c r="B1512" i="9"/>
  <c r="B1511" i="9"/>
  <c r="B1510" i="9"/>
  <c r="B1509" i="9"/>
  <c r="B1508" i="9"/>
  <c r="B1507" i="9"/>
  <c r="B1506" i="9"/>
  <c r="B1505" i="9"/>
  <c r="B1504" i="9"/>
  <c r="B1503" i="9"/>
  <c r="B1502" i="9"/>
  <c r="B1501" i="9"/>
  <c r="B1500" i="9"/>
  <c r="B1499" i="9"/>
  <c r="B1498" i="9"/>
  <c r="B1497" i="9"/>
  <c r="B1496" i="9"/>
  <c r="B1495" i="9"/>
  <c r="B1494" i="9"/>
  <c r="B1493" i="9"/>
  <c r="B1492" i="9"/>
  <c r="B1491" i="9"/>
  <c r="B1490" i="9"/>
  <c r="B1489" i="9"/>
  <c r="B1488" i="9"/>
  <c r="B1487" i="9"/>
  <c r="B1486" i="9"/>
  <c r="B1485" i="9"/>
  <c r="B1484" i="9"/>
  <c r="B1483" i="9"/>
  <c r="B1482" i="9"/>
  <c r="B1481" i="9"/>
  <c r="B1480" i="9"/>
  <c r="B1479" i="9"/>
  <c r="B1478" i="9"/>
  <c r="B1477" i="9"/>
  <c r="B1476" i="9"/>
  <c r="B1475" i="9"/>
  <c r="B1474" i="9"/>
  <c r="B1473" i="9"/>
  <c r="B1472" i="9"/>
  <c r="B1471" i="9"/>
  <c r="B1470" i="9"/>
  <c r="B1469" i="9"/>
  <c r="B1468" i="9"/>
  <c r="B1467" i="9"/>
  <c r="B1466" i="9"/>
  <c r="B1465" i="9"/>
  <c r="B1464" i="9"/>
  <c r="B1463" i="9"/>
  <c r="B1462" i="9"/>
  <c r="B1461" i="9"/>
  <c r="B1460" i="9"/>
  <c r="B1459" i="9"/>
  <c r="B1458" i="9"/>
  <c r="B1457" i="9"/>
  <c r="B1456" i="9"/>
  <c r="B1455" i="9"/>
  <c r="B1454" i="9"/>
  <c r="B1453" i="9"/>
  <c r="B1452" i="9"/>
  <c r="B1451" i="9"/>
  <c r="B1450" i="9"/>
  <c r="B1449" i="9"/>
  <c r="B1448" i="9"/>
  <c r="B1447" i="9"/>
  <c r="B1446" i="9"/>
  <c r="B1445" i="9"/>
  <c r="B1444" i="9"/>
  <c r="B1443" i="9"/>
  <c r="B1442" i="9"/>
  <c r="B1441" i="9"/>
  <c r="B1440" i="9"/>
  <c r="B1439" i="9"/>
  <c r="B1438" i="9"/>
  <c r="B1437" i="9"/>
  <c r="B1436" i="9"/>
  <c r="B1435" i="9"/>
  <c r="B1434" i="9"/>
  <c r="B1433" i="9"/>
  <c r="B1432" i="9"/>
  <c r="B1431" i="9"/>
  <c r="B1430" i="9"/>
  <c r="B1429" i="9"/>
  <c r="B1428" i="9"/>
  <c r="B1427" i="9"/>
  <c r="B1426" i="9"/>
  <c r="B1425" i="9"/>
  <c r="B1424" i="9"/>
  <c r="B1423" i="9"/>
  <c r="B1422" i="9"/>
  <c r="B1421" i="9"/>
  <c r="B1420" i="9"/>
  <c r="B1419" i="9"/>
  <c r="B1418" i="9"/>
  <c r="B1417" i="9"/>
  <c r="B1416" i="9"/>
  <c r="B1415" i="9"/>
  <c r="B1414" i="9"/>
  <c r="B1413" i="9"/>
  <c r="B1412" i="9"/>
  <c r="B1411" i="9"/>
  <c r="B1410" i="9"/>
  <c r="B1409" i="9"/>
  <c r="B1408" i="9"/>
  <c r="B1407" i="9"/>
  <c r="B1406" i="9"/>
  <c r="B1405" i="9"/>
  <c r="B1404" i="9"/>
  <c r="B1403" i="9"/>
  <c r="B1402" i="9"/>
  <c r="B1401" i="9"/>
  <c r="B1400" i="9"/>
  <c r="B1399" i="9"/>
  <c r="B1398" i="9"/>
  <c r="B1397" i="9"/>
  <c r="B1396" i="9"/>
  <c r="B1395" i="9"/>
  <c r="B1394" i="9"/>
  <c r="B1393" i="9"/>
  <c r="B1392" i="9"/>
  <c r="B1391" i="9"/>
  <c r="B1390" i="9"/>
  <c r="B1389" i="9"/>
  <c r="B1388" i="9"/>
  <c r="B1387" i="9"/>
  <c r="B1386" i="9"/>
  <c r="B1385" i="9"/>
  <c r="B1384" i="9"/>
  <c r="B1383" i="9"/>
  <c r="B1382" i="9"/>
  <c r="B1381" i="9"/>
  <c r="B1380" i="9"/>
  <c r="B1379" i="9"/>
  <c r="B1378" i="9"/>
  <c r="B1377" i="9"/>
  <c r="B1376" i="9"/>
  <c r="B1375" i="9"/>
  <c r="B1374" i="9"/>
  <c r="B1373" i="9"/>
  <c r="B1372" i="9"/>
  <c r="B1371" i="9"/>
  <c r="B1370" i="9"/>
  <c r="B1369" i="9"/>
  <c r="B1368" i="9"/>
  <c r="B1367" i="9"/>
  <c r="B1366" i="9"/>
  <c r="B1365" i="9"/>
  <c r="B1364" i="9"/>
  <c r="B1363" i="9"/>
  <c r="B1362" i="9"/>
  <c r="B1361" i="9"/>
  <c r="B1360" i="9"/>
  <c r="B1359" i="9"/>
  <c r="B1358" i="9"/>
  <c r="B1357" i="9"/>
  <c r="B1356" i="9"/>
  <c r="B1355" i="9"/>
  <c r="B1354" i="9"/>
  <c r="B1353" i="9"/>
  <c r="B1352" i="9"/>
  <c r="B1351" i="9"/>
  <c r="B1350" i="9"/>
  <c r="B1349" i="9"/>
  <c r="B1348" i="9"/>
  <c r="B1347" i="9"/>
  <c r="B1346" i="9"/>
  <c r="B1345" i="9"/>
  <c r="B1344" i="9"/>
  <c r="B1343" i="9"/>
  <c r="B1342" i="9"/>
  <c r="B1341" i="9"/>
  <c r="B1340" i="9"/>
  <c r="B1339" i="9"/>
  <c r="B1338" i="9"/>
  <c r="B1337" i="9"/>
  <c r="B1336" i="9"/>
  <c r="B1335" i="9"/>
  <c r="B1334" i="9"/>
  <c r="B1333" i="9"/>
  <c r="B1332" i="9"/>
  <c r="B1331" i="9"/>
  <c r="B1330" i="9"/>
  <c r="B1329" i="9"/>
  <c r="B1328" i="9"/>
  <c r="B1327" i="9"/>
  <c r="B1326" i="9"/>
  <c r="B1325" i="9"/>
  <c r="B1324" i="9"/>
  <c r="B1323" i="9"/>
  <c r="B1322" i="9"/>
  <c r="B1321" i="9"/>
  <c r="B1320" i="9"/>
  <c r="B1319" i="9"/>
  <c r="B1318" i="9"/>
  <c r="B1317" i="9"/>
  <c r="B1316" i="9"/>
  <c r="B1315" i="9"/>
  <c r="B1314" i="9"/>
  <c r="B1313" i="9"/>
  <c r="B1312" i="9"/>
  <c r="B1311" i="9"/>
  <c r="B1310" i="9"/>
  <c r="B1309" i="9"/>
  <c r="B1308" i="9"/>
  <c r="B1307" i="9"/>
  <c r="B1306" i="9"/>
  <c r="B1305" i="9"/>
  <c r="B1304" i="9"/>
  <c r="B1303" i="9"/>
  <c r="B1302" i="9"/>
  <c r="B1301" i="9"/>
  <c r="B1300" i="9"/>
  <c r="B1299" i="9"/>
  <c r="B1298" i="9"/>
  <c r="B1297" i="9"/>
  <c r="B1296" i="9"/>
  <c r="B1295" i="9"/>
  <c r="B1294" i="9"/>
  <c r="B1293" i="9"/>
  <c r="B1292" i="9"/>
  <c r="B1291" i="9"/>
  <c r="B1290" i="9"/>
  <c r="B1289" i="9"/>
  <c r="B1288" i="9"/>
  <c r="B1287" i="9"/>
  <c r="B1286" i="9"/>
  <c r="B1285" i="9"/>
  <c r="B1284" i="9"/>
  <c r="B1283" i="9"/>
  <c r="B1282" i="9"/>
  <c r="B1281" i="9"/>
  <c r="B1280" i="9"/>
  <c r="B1279" i="9"/>
  <c r="B1278" i="9"/>
  <c r="B1277" i="9"/>
  <c r="B1276" i="9"/>
  <c r="B1275" i="9"/>
  <c r="B1274" i="9"/>
  <c r="B1273" i="9"/>
  <c r="B1272" i="9"/>
  <c r="B1271" i="9"/>
  <c r="B1270" i="9"/>
  <c r="B1269" i="9"/>
  <c r="B1268" i="9"/>
  <c r="B1267" i="9"/>
  <c r="B1266" i="9"/>
  <c r="B1265" i="9"/>
  <c r="B1264" i="9"/>
  <c r="B1263" i="9"/>
  <c r="B1262" i="9"/>
  <c r="B1261" i="9"/>
  <c r="B1260" i="9"/>
  <c r="B1259" i="9"/>
  <c r="B1258" i="9"/>
  <c r="B1257" i="9"/>
  <c r="B1256" i="9"/>
  <c r="B1255" i="9"/>
  <c r="B1254" i="9"/>
  <c r="B1253" i="9"/>
  <c r="B1252" i="9"/>
  <c r="B1251" i="9"/>
  <c r="B1250" i="9"/>
  <c r="B1249" i="9"/>
  <c r="B1248" i="9"/>
  <c r="B1247" i="9"/>
  <c r="B1246" i="9"/>
  <c r="B1245" i="9"/>
  <c r="B1244" i="9"/>
  <c r="B1243" i="9"/>
  <c r="B1242" i="9"/>
  <c r="B1241" i="9"/>
  <c r="B1240" i="9"/>
  <c r="B1239" i="9"/>
  <c r="B1238" i="9"/>
  <c r="B1237" i="9"/>
  <c r="B1236" i="9"/>
  <c r="B1235" i="9"/>
  <c r="B1234" i="9"/>
  <c r="B1233" i="9"/>
  <c r="B1232" i="9"/>
  <c r="B1231" i="9"/>
  <c r="B1230" i="9"/>
  <c r="B1229" i="9"/>
  <c r="B1228" i="9"/>
  <c r="B1227" i="9"/>
  <c r="B1226" i="9"/>
  <c r="B1225" i="9"/>
  <c r="B1224" i="9"/>
  <c r="B1223" i="9"/>
  <c r="B1222" i="9"/>
  <c r="B1221" i="9"/>
  <c r="B1220" i="9"/>
  <c r="B1219" i="9"/>
  <c r="B1218" i="9"/>
  <c r="B1217" i="9"/>
  <c r="B1216" i="9"/>
  <c r="B1215" i="9"/>
  <c r="B1214" i="9"/>
  <c r="B1213" i="9"/>
  <c r="B1212" i="9"/>
  <c r="B1211" i="9"/>
  <c r="B1210" i="9"/>
  <c r="B1209" i="9"/>
  <c r="B1208" i="9"/>
  <c r="B1207" i="9"/>
  <c r="B1206" i="9"/>
  <c r="B1205" i="9"/>
  <c r="B1204" i="9"/>
  <c r="B1203" i="9"/>
  <c r="B1202" i="9"/>
  <c r="B1201" i="9"/>
  <c r="B1200" i="9"/>
  <c r="B1199" i="9"/>
  <c r="B1198" i="9"/>
  <c r="B1197" i="9"/>
  <c r="B1196" i="9"/>
  <c r="B1195" i="9"/>
  <c r="B1194" i="9"/>
  <c r="B1193" i="9"/>
  <c r="B1192" i="9"/>
  <c r="B1191" i="9"/>
  <c r="B1190" i="9"/>
  <c r="B1189" i="9"/>
  <c r="B1188" i="9"/>
  <c r="B1187" i="9"/>
  <c r="B1186" i="9"/>
  <c r="B1185" i="9"/>
  <c r="B1184" i="9"/>
  <c r="B1183" i="9"/>
  <c r="B1182" i="9"/>
  <c r="B1181" i="9"/>
  <c r="B1180" i="9"/>
  <c r="B1179" i="9"/>
  <c r="B1178" i="9"/>
  <c r="B1177" i="9"/>
  <c r="B1176" i="9"/>
  <c r="B1175" i="9"/>
  <c r="B1174" i="9"/>
  <c r="B1173" i="9"/>
  <c r="B1172" i="9"/>
  <c r="B1171" i="9"/>
  <c r="B1170" i="9"/>
  <c r="B1169" i="9"/>
  <c r="B1168" i="9"/>
  <c r="B1167" i="9"/>
  <c r="B1166" i="9"/>
  <c r="B1165" i="9"/>
  <c r="B1164" i="9"/>
  <c r="B1163" i="9"/>
  <c r="B1162" i="9"/>
  <c r="B1161" i="9"/>
  <c r="B1160" i="9"/>
  <c r="B1159" i="9"/>
  <c r="B1158" i="9"/>
  <c r="B1157" i="9"/>
  <c r="B1156" i="9"/>
  <c r="B1155" i="9"/>
  <c r="B1154" i="9"/>
  <c r="B1153" i="9"/>
  <c r="B1152" i="9"/>
  <c r="B1151" i="9"/>
  <c r="B1150" i="9"/>
  <c r="B1149" i="9"/>
  <c r="B1148" i="9"/>
  <c r="B1147" i="9"/>
  <c r="B1146" i="9"/>
  <c r="B1145" i="9"/>
  <c r="B1144" i="9"/>
  <c r="B1143" i="9"/>
  <c r="B1142" i="9"/>
  <c r="B1141" i="9"/>
  <c r="B1140" i="9"/>
  <c r="B1139" i="9"/>
  <c r="B1138" i="9"/>
  <c r="B1137" i="9"/>
  <c r="B1136" i="9"/>
  <c r="B1135" i="9"/>
  <c r="B1134" i="9"/>
  <c r="B1133" i="9"/>
  <c r="B1132" i="9"/>
  <c r="B1131" i="9"/>
  <c r="B1130" i="9"/>
  <c r="B1129" i="9"/>
  <c r="B1128" i="9"/>
  <c r="B1127" i="9"/>
  <c r="B1126" i="9"/>
  <c r="B1125" i="9"/>
  <c r="B1124" i="9"/>
  <c r="B1123" i="9"/>
  <c r="B1122" i="9"/>
  <c r="B1121" i="9"/>
  <c r="B1120" i="9"/>
  <c r="B1119" i="9"/>
  <c r="B1118" i="9"/>
  <c r="B1117" i="9"/>
  <c r="B1116" i="9"/>
  <c r="B1115" i="9"/>
  <c r="B1114" i="9"/>
  <c r="B1113" i="9"/>
  <c r="B1112" i="9"/>
  <c r="B1111" i="9"/>
  <c r="B1110" i="9"/>
  <c r="B1109" i="9"/>
  <c r="B1108" i="9"/>
  <c r="B1107" i="9"/>
  <c r="B1106" i="9"/>
  <c r="B1105" i="9"/>
  <c r="B1104" i="9"/>
  <c r="B1103" i="9"/>
  <c r="B1102" i="9"/>
  <c r="B1101" i="9"/>
  <c r="B1100" i="9"/>
  <c r="B1099" i="9"/>
  <c r="B1098" i="9"/>
  <c r="B1097" i="9"/>
  <c r="B1096" i="9"/>
  <c r="B1095" i="9"/>
  <c r="B1094" i="9"/>
  <c r="B1093" i="9"/>
  <c r="B1092" i="9"/>
  <c r="B1091" i="9"/>
  <c r="B1090" i="9"/>
  <c r="B1089" i="9"/>
  <c r="B1088" i="9"/>
  <c r="B1087" i="9"/>
  <c r="B1086" i="9"/>
  <c r="B1085" i="9"/>
  <c r="B1084" i="9"/>
  <c r="B1083" i="9"/>
  <c r="B1082" i="9"/>
  <c r="B1081" i="9"/>
  <c r="B1080" i="9"/>
  <c r="B1079" i="9"/>
  <c r="B1078" i="9"/>
  <c r="B1077" i="9"/>
  <c r="B1076" i="9"/>
  <c r="B1075" i="9"/>
  <c r="B1074" i="9"/>
  <c r="B1073" i="9"/>
  <c r="B1072" i="9"/>
  <c r="B1071" i="9"/>
  <c r="B1070" i="9"/>
  <c r="B1069" i="9"/>
  <c r="B1068" i="9"/>
  <c r="B1067" i="9"/>
  <c r="B1066" i="9"/>
  <c r="B1065" i="9"/>
  <c r="B1064" i="9"/>
  <c r="B1063" i="9"/>
  <c r="B1062" i="9"/>
  <c r="B1061" i="9"/>
  <c r="B1060" i="9"/>
  <c r="B1059" i="9"/>
  <c r="B1058" i="9"/>
  <c r="B1057" i="9"/>
  <c r="B1056" i="9"/>
  <c r="B1055" i="9"/>
  <c r="B1054" i="9"/>
  <c r="B1053" i="9"/>
  <c r="B1052" i="9"/>
  <c r="B1051" i="9"/>
  <c r="B1050" i="9"/>
  <c r="B1049" i="9"/>
  <c r="B1048" i="9"/>
  <c r="B1047" i="9"/>
  <c r="B1046" i="9"/>
  <c r="B1045" i="9"/>
  <c r="B1044" i="9"/>
  <c r="B1043" i="9"/>
  <c r="B1042" i="9"/>
  <c r="B1041" i="9"/>
  <c r="B1040" i="9"/>
  <c r="B1039" i="9"/>
  <c r="B1038" i="9"/>
  <c r="B1037" i="9"/>
  <c r="B1036" i="9"/>
  <c r="B1035" i="9"/>
  <c r="B1034" i="9"/>
  <c r="B1033" i="9"/>
  <c r="B1032" i="9"/>
  <c r="B1031" i="9"/>
  <c r="B1030" i="9"/>
  <c r="B1029" i="9"/>
  <c r="B1028" i="9"/>
  <c r="B1027" i="9"/>
  <c r="B1026" i="9"/>
  <c r="B1025" i="9"/>
  <c r="B1024" i="9"/>
  <c r="B1023" i="9"/>
  <c r="B1022" i="9"/>
  <c r="B1021" i="9"/>
  <c r="B1020" i="9"/>
  <c r="B1019" i="9"/>
  <c r="B1018" i="9"/>
  <c r="B1017" i="9"/>
  <c r="B1016" i="9"/>
  <c r="B1015" i="9"/>
  <c r="B1014" i="9"/>
  <c r="B1013" i="9"/>
  <c r="B1012" i="9"/>
  <c r="B1011" i="9"/>
  <c r="B1010" i="9"/>
  <c r="B1009" i="9"/>
  <c r="B1008" i="9"/>
  <c r="B1007" i="9"/>
  <c r="B1006" i="9"/>
  <c r="B1005" i="9"/>
  <c r="B1004" i="9"/>
  <c r="B1003" i="9"/>
  <c r="B1002" i="9"/>
  <c r="B1001" i="9"/>
  <c r="B1000" i="9"/>
  <c r="B999" i="9"/>
  <c r="B998" i="9"/>
  <c r="B997" i="9"/>
  <c r="B996" i="9"/>
  <c r="B995" i="9"/>
  <c r="B994" i="9"/>
  <c r="B993" i="9"/>
  <c r="B992" i="9"/>
  <c r="B991" i="9"/>
  <c r="B990" i="9"/>
  <c r="B989" i="9"/>
  <c r="B988" i="9"/>
  <c r="B987" i="9"/>
  <c r="B986" i="9"/>
  <c r="B985" i="9"/>
  <c r="B984" i="9"/>
  <c r="B983" i="9"/>
  <c r="B982" i="9"/>
  <c r="B981" i="9"/>
  <c r="B980" i="9"/>
  <c r="B979" i="9"/>
  <c r="B978" i="9"/>
  <c r="B977" i="9"/>
  <c r="B976" i="9"/>
  <c r="B975" i="9"/>
  <c r="B974" i="9"/>
  <c r="B973" i="9"/>
  <c r="B972" i="9"/>
  <c r="B971" i="9"/>
  <c r="B970" i="9"/>
  <c r="B969" i="9"/>
  <c r="B968" i="9"/>
  <c r="B967" i="9"/>
  <c r="B966" i="9"/>
  <c r="B965" i="9"/>
  <c r="B964" i="9"/>
  <c r="B963" i="9"/>
  <c r="B962" i="9"/>
  <c r="B961" i="9"/>
  <c r="B960" i="9"/>
  <c r="B959" i="9"/>
  <c r="B958" i="9"/>
  <c r="B957" i="9"/>
  <c r="B956" i="9"/>
  <c r="B955" i="9"/>
  <c r="B954" i="9"/>
  <c r="B953" i="9"/>
  <c r="B952" i="9"/>
  <c r="B951" i="9"/>
  <c r="B950" i="9"/>
  <c r="B949" i="9"/>
  <c r="B948" i="9"/>
  <c r="B947" i="9"/>
  <c r="B946" i="9"/>
  <c r="B945" i="9"/>
  <c r="B944" i="9"/>
  <c r="B943" i="9"/>
  <c r="B942" i="9"/>
  <c r="B941" i="9"/>
  <c r="B940" i="9"/>
  <c r="B939" i="9"/>
  <c r="B938" i="9"/>
  <c r="B937" i="9"/>
  <c r="B936" i="9"/>
  <c r="B935" i="9"/>
  <c r="B934" i="9"/>
  <c r="B933" i="9"/>
  <c r="B932" i="9"/>
  <c r="B931" i="9"/>
  <c r="B930" i="9"/>
  <c r="B929" i="9"/>
  <c r="B928" i="9"/>
  <c r="B927" i="9"/>
  <c r="B926" i="9"/>
  <c r="B925" i="9"/>
  <c r="B924" i="9"/>
  <c r="B923" i="9"/>
  <c r="B922" i="9"/>
  <c r="B921" i="9"/>
  <c r="B920" i="9"/>
  <c r="B919" i="9"/>
  <c r="B918" i="9"/>
  <c r="B917" i="9"/>
  <c r="B916" i="9"/>
  <c r="B915" i="9"/>
  <c r="B914" i="9"/>
  <c r="B913" i="9"/>
  <c r="B912" i="9"/>
  <c r="B911" i="9"/>
  <c r="B910" i="9"/>
  <c r="B909" i="9"/>
  <c r="B908" i="9"/>
  <c r="B907" i="9"/>
  <c r="B906" i="9"/>
  <c r="B905" i="9"/>
  <c r="B904" i="9"/>
  <c r="B903" i="9"/>
  <c r="B902" i="9"/>
  <c r="B901" i="9"/>
  <c r="B900" i="9"/>
  <c r="B899" i="9"/>
  <c r="B898" i="9"/>
  <c r="B897" i="9"/>
  <c r="B896" i="9"/>
  <c r="B895" i="9"/>
  <c r="B894" i="9"/>
  <c r="B893" i="9"/>
  <c r="B892" i="9"/>
  <c r="B891" i="9"/>
  <c r="B890" i="9"/>
  <c r="B889" i="9"/>
  <c r="B888" i="9"/>
  <c r="B887" i="9"/>
  <c r="B886" i="9"/>
  <c r="B885" i="9"/>
  <c r="B884" i="9"/>
  <c r="B883" i="9"/>
  <c r="B882" i="9"/>
  <c r="B881" i="9"/>
  <c r="B880" i="9"/>
  <c r="B879" i="9"/>
  <c r="B878" i="9"/>
  <c r="B877" i="9"/>
  <c r="B876" i="9"/>
  <c r="B875" i="9"/>
  <c r="B874" i="9"/>
  <c r="B873" i="9"/>
  <c r="B872" i="9"/>
  <c r="B871" i="9"/>
  <c r="B870" i="9"/>
  <c r="B869" i="9"/>
  <c r="B868" i="9"/>
  <c r="B867" i="9"/>
  <c r="B866" i="9"/>
  <c r="B865" i="9"/>
  <c r="B864" i="9"/>
  <c r="B863" i="9"/>
  <c r="B862" i="9"/>
  <c r="B861" i="9"/>
  <c r="B860" i="9"/>
  <c r="B859" i="9"/>
  <c r="B858" i="9"/>
  <c r="B857" i="9"/>
  <c r="B856" i="9"/>
  <c r="B855" i="9"/>
  <c r="B854" i="9"/>
  <c r="B853" i="9"/>
  <c r="B852" i="9"/>
  <c r="B851" i="9"/>
  <c r="B850" i="9"/>
  <c r="B849" i="9"/>
  <c r="B848" i="9"/>
  <c r="B847" i="9"/>
  <c r="B846" i="9"/>
  <c r="B845" i="9"/>
  <c r="B844" i="9"/>
  <c r="B843" i="9"/>
  <c r="B842" i="9"/>
  <c r="B841" i="9"/>
  <c r="B840" i="9"/>
  <c r="B839" i="9"/>
  <c r="B838" i="9"/>
  <c r="B837" i="9"/>
  <c r="B836" i="9"/>
  <c r="B835" i="9"/>
  <c r="B834" i="9"/>
  <c r="B833" i="9"/>
  <c r="B832" i="9"/>
  <c r="B831" i="9"/>
  <c r="B830" i="9"/>
  <c r="B829" i="9"/>
  <c r="B828" i="9"/>
  <c r="B827" i="9"/>
  <c r="B826" i="9"/>
  <c r="B825" i="9"/>
  <c r="B824" i="9"/>
  <c r="B823" i="9"/>
  <c r="B822" i="9"/>
  <c r="B821" i="9"/>
  <c r="B820" i="9"/>
  <c r="B819" i="9"/>
  <c r="B818" i="9"/>
  <c r="B817" i="9"/>
  <c r="B816" i="9"/>
  <c r="B815" i="9"/>
  <c r="B814" i="9"/>
  <c r="B813" i="9"/>
  <c r="B812" i="9"/>
  <c r="B811" i="9"/>
  <c r="B810" i="9"/>
  <c r="B809" i="9"/>
  <c r="B808" i="9"/>
  <c r="B807" i="9"/>
  <c r="B806" i="9"/>
  <c r="B805" i="9"/>
  <c r="B804" i="9"/>
  <c r="B803" i="9"/>
  <c r="B802" i="9"/>
  <c r="B801" i="9"/>
  <c r="B800" i="9"/>
  <c r="B799" i="9"/>
  <c r="B798" i="9"/>
  <c r="B797" i="9"/>
  <c r="B796" i="9"/>
  <c r="B795" i="9"/>
  <c r="B794" i="9"/>
  <c r="B793" i="9"/>
  <c r="B792" i="9"/>
  <c r="B791" i="9"/>
  <c r="B790" i="9"/>
  <c r="B789" i="9"/>
  <c r="B788" i="9"/>
  <c r="B787" i="9"/>
  <c r="B786" i="9"/>
  <c r="B785" i="9"/>
  <c r="B784" i="9"/>
  <c r="B783" i="9"/>
  <c r="B782" i="9"/>
  <c r="B781" i="9"/>
  <c r="B780" i="9"/>
  <c r="B779" i="9"/>
  <c r="B778" i="9"/>
  <c r="B777" i="9"/>
  <c r="B776" i="9"/>
  <c r="B775" i="9"/>
  <c r="B774" i="9"/>
  <c r="B773" i="9"/>
  <c r="B772" i="9"/>
  <c r="B771" i="9"/>
  <c r="B770" i="9"/>
  <c r="B769" i="9"/>
  <c r="B768" i="9"/>
  <c r="B767" i="9"/>
  <c r="B766" i="9"/>
  <c r="B765" i="9"/>
  <c r="B764" i="9"/>
  <c r="B763" i="9"/>
  <c r="B762" i="9"/>
  <c r="B761" i="9"/>
  <c r="B760" i="9"/>
  <c r="B759" i="9"/>
  <c r="B758" i="9"/>
  <c r="B757" i="9"/>
  <c r="B756" i="9"/>
  <c r="B755" i="9"/>
  <c r="B754" i="9"/>
  <c r="B753" i="9"/>
  <c r="B752" i="9"/>
  <c r="B751" i="9"/>
  <c r="B750" i="9"/>
  <c r="B749" i="9"/>
  <c r="B748" i="9"/>
  <c r="B747" i="9"/>
  <c r="B746" i="9"/>
  <c r="B745" i="9"/>
  <c r="B744" i="9"/>
  <c r="B743" i="9"/>
  <c r="B742" i="9"/>
  <c r="B741" i="9"/>
  <c r="B740" i="9"/>
  <c r="B739" i="9"/>
  <c r="B738" i="9"/>
  <c r="B737" i="9"/>
  <c r="B736" i="9"/>
  <c r="B735" i="9"/>
  <c r="B734" i="9"/>
  <c r="B733" i="9"/>
  <c r="B732" i="9"/>
  <c r="B731" i="9"/>
  <c r="B730" i="9"/>
  <c r="B729" i="9"/>
  <c r="B728" i="9"/>
  <c r="B727" i="9"/>
  <c r="B726" i="9"/>
  <c r="B725" i="9"/>
  <c r="B724" i="9"/>
  <c r="B723" i="9"/>
  <c r="B722" i="9"/>
  <c r="B721" i="9"/>
  <c r="B720" i="9"/>
  <c r="B719" i="9"/>
  <c r="B718" i="9"/>
  <c r="B717" i="9"/>
  <c r="B716" i="9"/>
  <c r="B715" i="9"/>
  <c r="B714" i="9"/>
  <c r="B713" i="9"/>
  <c r="B712" i="9"/>
  <c r="B711" i="9"/>
  <c r="B710" i="9"/>
  <c r="B709" i="9"/>
  <c r="B708" i="9"/>
  <c r="B707" i="9"/>
  <c r="B706" i="9"/>
  <c r="B705" i="9"/>
  <c r="B704" i="9"/>
  <c r="B703" i="9"/>
  <c r="B702" i="9"/>
  <c r="B701" i="9"/>
  <c r="B700" i="9"/>
  <c r="B699" i="9"/>
  <c r="B698" i="9"/>
  <c r="B697" i="9"/>
  <c r="B696" i="9"/>
  <c r="B695" i="9"/>
  <c r="B694" i="9"/>
  <c r="B693" i="9"/>
  <c r="B692" i="9"/>
  <c r="B691" i="9"/>
  <c r="B690" i="9"/>
  <c r="B689" i="9"/>
  <c r="B688" i="9"/>
  <c r="B687" i="9"/>
  <c r="B686" i="9"/>
  <c r="B685" i="9"/>
  <c r="B684" i="9"/>
  <c r="B683" i="9"/>
  <c r="B682" i="9"/>
  <c r="B681" i="9"/>
  <c r="B680" i="9"/>
  <c r="B679" i="9"/>
  <c r="B678" i="9"/>
  <c r="B677" i="9"/>
  <c r="B676" i="9"/>
  <c r="B675" i="9"/>
  <c r="B674" i="9"/>
  <c r="B673" i="9"/>
  <c r="B672" i="9"/>
  <c r="B671" i="9"/>
  <c r="B670" i="9"/>
  <c r="B669" i="9"/>
  <c r="B668" i="9"/>
  <c r="B667" i="9"/>
  <c r="B666" i="9"/>
  <c r="B665" i="9"/>
  <c r="B664" i="9"/>
  <c r="B663" i="9"/>
  <c r="B662" i="9"/>
  <c r="B661" i="9"/>
  <c r="B660" i="9"/>
  <c r="B659" i="9"/>
  <c r="B658" i="9"/>
  <c r="B657" i="9"/>
  <c r="B656" i="9"/>
  <c r="B655" i="9"/>
  <c r="B654" i="9"/>
  <c r="B653" i="9"/>
  <c r="B652" i="9"/>
  <c r="B651" i="9"/>
  <c r="B650" i="9"/>
  <c r="B649" i="9"/>
  <c r="B648" i="9"/>
  <c r="B647" i="9"/>
  <c r="B646" i="9"/>
  <c r="B645" i="9"/>
  <c r="B644" i="9"/>
  <c r="B643" i="9"/>
  <c r="B642" i="9"/>
  <c r="B641" i="9"/>
  <c r="B640" i="9"/>
  <c r="B639" i="9"/>
  <c r="B638" i="9"/>
  <c r="B637" i="9"/>
  <c r="B636" i="9"/>
  <c r="B635" i="9"/>
  <c r="B634" i="9"/>
  <c r="B633" i="9"/>
  <c r="B632" i="9"/>
  <c r="B631" i="9"/>
  <c r="B630" i="9"/>
  <c r="B629" i="9"/>
  <c r="B628" i="9"/>
  <c r="B627" i="9"/>
  <c r="B626" i="9"/>
  <c r="B625" i="9"/>
  <c r="B624" i="9"/>
  <c r="B623" i="9"/>
  <c r="B622" i="9"/>
  <c r="B621" i="9"/>
  <c r="B620" i="9"/>
  <c r="B619" i="9"/>
  <c r="B618" i="9"/>
  <c r="B617" i="9"/>
  <c r="B616" i="9"/>
  <c r="B615" i="9"/>
  <c r="B614" i="9"/>
  <c r="B613" i="9"/>
  <c r="B612" i="9"/>
  <c r="B611" i="9"/>
  <c r="B610" i="9"/>
  <c r="B609" i="9"/>
  <c r="B608" i="9"/>
  <c r="B607" i="9"/>
  <c r="B606" i="9"/>
  <c r="B605" i="9"/>
  <c r="B604" i="9"/>
  <c r="B603" i="9"/>
  <c r="B602" i="9"/>
  <c r="B601" i="9"/>
  <c r="B600" i="9"/>
  <c r="B599" i="9"/>
  <c r="B598" i="9"/>
  <c r="B597" i="9"/>
  <c r="B596" i="9"/>
  <c r="B595" i="9"/>
  <c r="B594" i="9"/>
  <c r="B593" i="9"/>
  <c r="B592" i="9"/>
  <c r="B591" i="9"/>
  <c r="B590" i="9"/>
  <c r="B589" i="9"/>
  <c r="B588" i="9"/>
  <c r="B587" i="9"/>
  <c r="B586" i="9"/>
  <c r="B585" i="9"/>
  <c r="B584" i="9"/>
  <c r="B583" i="9"/>
  <c r="B582" i="9"/>
  <c r="B581" i="9"/>
  <c r="B580" i="9"/>
  <c r="B579" i="9"/>
  <c r="B578" i="9"/>
  <c r="B577" i="9"/>
  <c r="B576" i="9"/>
  <c r="B575" i="9"/>
  <c r="B574" i="9"/>
  <c r="B573" i="9"/>
  <c r="B572" i="9"/>
  <c r="B571" i="9"/>
  <c r="B570" i="9"/>
  <c r="B569" i="9"/>
  <c r="B568" i="9"/>
  <c r="B567" i="9"/>
  <c r="B566" i="9"/>
  <c r="B565" i="9"/>
  <c r="B564" i="9"/>
  <c r="B563" i="9"/>
  <c r="B562" i="9"/>
  <c r="B561" i="9"/>
  <c r="B560" i="9"/>
  <c r="B559" i="9"/>
  <c r="B558" i="9"/>
  <c r="B557" i="9"/>
  <c r="B556" i="9"/>
  <c r="B555" i="9"/>
  <c r="B554" i="9"/>
  <c r="B553" i="9"/>
  <c r="B552" i="9"/>
  <c r="B551" i="9"/>
  <c r="B550" i="9"/>
  <c r="B549" i="9"/>
  <c r="B548" i="9"/>
  <c r="B547" i="9"/>
  <c r="B546" i="9"/>
  <c r="B545" i="9"/>
  <c r="B544" i="9"/>
  <c r="B543" i="9"/>
  <c r="B542" i="9"/>
  <c r="B541" i="9"/>
  <c r="B540" i="9"/>
  <c r="B539" i="9"/>
  <c r="B538" i="9"/>
  <c r="B537" i="9"/>
  <c r="B536" i="9"/>
  <c r="B535" i="9"/>
  <c r="B534" i="9"/>
  <c r="B533" i="9"/>
  <c r="B532" i="9"/>
  <c r="B531" i="9"/>
  <c r="B530" i="9"/>
  <c r="B529" i="9"/>
  <c r="B528" i="9"/>
  <c r="B527" i="9"/>
  <c r="B526" i="9"/>
  <c r="B525" i="9"/>
  <c r="B524" i="9"/>
  <c r="B523" i="9"/>
  <c r="B522" i="9"/>
  <c r="B521" i="9"/>
  <c r="B520" i="9"/>
  <c r="B519" i="9"/>
  <c r="B518" i="9"/>
  <c r="B517" i="9"/>
  <c r="B516" i="9"/>
  <c r="B515" i="9"/>
  <c r="B514" i="9"/>
  <c r="B513" i="9"/>
  <c r="B512" i="9"/>
  <c r="B511" i="9"/>
  <c r="B510" i="9"/>
  <c r="B509" i="9"/>
  <c r="B508" i="9"/>
  <c r="B507" i="9"/>
  <c r="B506" i="9"/>
  <c r="B505" i="9"/>
  <c r="B504" i="9"/>
  <c r="B503" i="9"/>
  <c r="B502" i="9"/>
  <c r="B501" i="9"/>
  <c r="B500" i="9"/>
  <c r="B499" i="9"/>
  <c r="B498" i="9"/>
  <c r="B497" i="9"/>
  <c r="B496" i="9"/>
  <c r="B495" i="9"/>
  <c r="B494" i="9"/>
  <c r="B493" i="9"/>
  <c r="B492" i="9"/>
  <c r="B491" i="9"/>
  <c r="B490" i="9"/>
  <c r="B489" i="9"/>
  <c r="B488" i="9"/>
  <c r="B487" i="9"/>
  <c r="B486" i="9"/>
  <c r="B485" i="9"/>
  <c r="B484" i="9"/>
  <c r="B483" i="9"/>
  <c r="B482" i="9"/>
  <c r="B481" i="9"/>
  <c r="B480" i="9"/>
  <c r="B479" i="9"/>
  <c r="B478" i="9"/>
  <c r="B477" i="9"/>
  <c r="B476" i="9"/>
  <c r="B475" i="9"/>
  <c r="B474" i="9"/>
  <c r="B473" i="9"/>
  <c r="B472" i="9"/>
  <c r="B471" i="9"/>
  <c r="B470" i="9"/>
  <c r="B469" i="9"/>
  <c r="B468" i="9"/>
  <c r="B467" i="9"/>
  <c r="B466" i="9"/>
  <c r="B465" i="9"/>
  <c r="B464" i="9"/>
  <c r="B463" i="9"/>
  <c r="B462" i="9"/>
  <c r="B461" i="9"/>
  <c r="B460" i="9"/>
  <c r="B459" i="9"/>
  <c r="B458" i="9"/>
  <c r="B457" i="9"/>
  <c r="B456" i="9"/>
  <c r="B455" i="9"/>
  <c r="B454" i="9"/>
  <c r="B453" i="9"/>
  <c r="B452" i="9"/>
  <c r="B451" i="9"/>
  <c r="B450" i="9"/>
  <c r="B449" i="9"/>
  <c r="B448" i="9"/>
  <c r="B447" i="9"/>
  <c r="B446" i="9"/>
  <c r="B445" i="9"/>
  <c r="B444" i="9"/>
  <c r="B443" i="9"/>
  <c r="B442" i="9"/>
  <c r="B441" i="9"/>
  <c r="B440" i="9"/>
  <c r="B439" i="9"/>
  <c r="B438" i="9"/>
  <c r="B437" i="9"/>
  <c r="B436" i="9"/>
  <c r="B435" i="9"/>
  <c r="B434" i="9"/>
  <c r="B433" i="9"/>
  <c r="B432" i="9"/>
  <c r="B431" i="9"/>
  <c r="B430" i="9"/>
  <c r="B429" i="9"/>
  <c r="B428" i="9"/>
  <c r="B427" i="9"/>
  <c r="B426" i="9"/>
  <c r="B425" i="9"/>
  <c r="B424" i="9"/>
  <c r="B423" i="9"/>
  <c r="B422" i="9"/>
  <c r="B421" i="9"/>
  <c r="B420" i="9"/>
  <c r="B419" i="9"/>
  <c r="B418" i="9"/>
  <c r="B417" i="9"/>
  <c r="B416" i="9"/>
  <c r="B415" i="9"/>
  <c r="B414" i="9"/>
  <c r="B413" i="9"/>
  <c r="B412" i="9"/>
  <c r="B411" i="9"/>
  <c r="B410" i="9"/>
  <c r="B409" i="9"/>
  <c r="B408" i="9"/>
  <c r="B407" i="9"/>
  <c r="B406" i="9"/>
  <c r="B405" i="9"/>
  <c r="B404" i="9"/>
  <c r="B403" i="9"/>
  <c r="B402" i="9"/>
  <c r="B401" i="9"/>
  <c r="B400" i="9"/>
  <c r="B399" i="9"/>
  <c r="B398" i="9"/>
  <c r="B397" i="9"/>
  <c r="B396" i="9"/>
  <c r="B395" i="9"/>
  <c r="B394" i="9"/>
  <c r="B393" i="9"/>
  <c r="B392" i="9"/>
  <c r="B391" i="9"/>
  <c r="B390" i="9"/>
  <c r="B389" i="9"/>
  <c r="B388" i="9"/>
  <c r="B387" i="9"/>
  <c r="B386" i="9"/>
  <c r="B385" i="9"/>
  <c r="B384" i="9"/>
  <c r="B383" i="9"/>
  <c r="B382" i="9"/>
  <c r="B381" i="9"/>
  <c r="B380" i="9"/>
  <c r="B379" i="9"/>
  <c r="B378" i="9"/>
  <c r="B377" i="9"/>
  <c r="B376" i="9"/>
  <c r="B375" i="9"/>
  <c r="B374" i="9"/>
  <c r="B373" i="9"/>
  <c r="B372" i="9"/>
  <c r="B371" i="9"/>
  <c r="B370" i="9"/>
  <c r="B369" i="9"/>
  <c r="B368" i="9"/>
  <c r="B367" i="9"/>
  <c r="B366" i="9"/>
  <c r="B365" i="9"/>
  <c r="B364" i="9"/>
  <c r="B363" i="9"/>
  <c r="B362" i="9"/>
  <c r="B361" i="9"/>
  <c r="B360" i="9"/>
  <c r="B359" i="9"/>
  <c r="B358" i="9"/>
  <c r="B357" i="9"/>
  <c r="B356" i="9"/>
  <c r="B355" i="9"/>
  <c r="B354" i="9"/>
  <c r="B353" i="9"/>
  <c r="B352" i="9"/>
  <c r="B351" i="9"/>
  <c r="B350" i="9"/>
  <c r="B349" i="9"/>
  <c r="B348" i="9"/>
  <c r="B347" i="9"/>
  <c r="B346" i="9"/>
  <c r="B345" i="9"/>
  <c r="B344" i="9"/>
  <c r="B343" i="9"/>
  <c r="B342" i="9"/>
  <c r="B341" i="9"/>
  <c r="B340" i="9"/>
  <c r="B339" i="9"/>
  <c r="B338" i="9"/>
  <c r="B337" i="9"/>
  <c r="B336" i="9"/>
  <c r="B335" i="9"/>
  <c r="B334" i="9"/>
  <c r="B333" i="9"/>
  <c r="B332" i="9"/>
  <c r="B331" i="9"/>
  <c r="B330" i="9"/>
  <c r="B329" i="9"/>
  <c r="B328" i="9"/>
  <c r="B327" i="9"/>
  <c r="B326" i="9"/>
  <c r="B325" i="9"/>
  <c r="B324" i="9"/>
  <c r="B323" i="9"/>
  <c r="B322" i="9"/>
  <c r="B321" i="9"/>
  <c r="B320" i="9"/>
  <c r="B319" i="9"/>
  <c r="B318" i="9"/>
  <c r="B317" i="9"/>
  <c r="B316" i="9"/>
  <c r="B315" i="9"/>
  <c r="B314" i="9"/>
  <c r="B313" i="9"/>
  <c r="B312" i="9"/>
  <c r="B311" i="9"/>
  <c r="B310" i="9"/>
  <c r="B309" i="9"/>
  <c r="B308" i="9"/>
  <c r="B307" i="9"/>
  <c r="B306" i="9"/>
  <c r="B305" i="9"/>
  <c r="B304" i="9"/>
  <c r="B303" i="9"/>
  <c r="B302" i="9"/>
  <c r="B301" i="9"/>
  <c r="B300" i="9"/>
  <c r="B299" i="9"/>
  <c r="B298" i="9"/>
  <c r="B297" i="9"/>
  <c r="B296" i="9"/>
  <c r="B295" i="9"/>
  <c r="B294" i="9"/>
  <c r="B293" i="9"/>
  <c r="B292" i="9"/>
  <c r="B291" i="9"/>
  <c r="B290" i="9"/>
  <c r="B289" i="9"/>
  <c r="B288" i="9"/>
  <c r="B287" i="9"/>
  <c r="B286" i="9"/>
  <c r="B285" i="9"/>
  <c r="B284" i="9"/>
  <c r="B283" i="9"/>
  <c r="B282" i="9"/>
  <c r="B281" i="9"/>
  <c r="B280" i="9"/>
  <c r="B279" i="9"/>
  <c r="B278" i="9"/>
  <c r="B277" i="9"/>
  <c r="B276" i="9"/>
  <c r="B275" i="9"/>
  <c r="B274" i="9"/>
  <c r="B273" i="9"/>
  <c r="B272" i="9"/>
  <c r="B271" i="9"/>
  <c r="B270" i="9"/>
  <c r="B269" i="9"/>
  <c r="B268" i="9"/>
  <c r="B267" i="9"/>
  <c r="B266" i="9"/>
  <c r="B265" i="9"/>
  <c r="B264" i="9"/>
  <c r="B263" i="9"/>
  <c r="B262" i="9"/>
  <c r="B261" i="9"/>
  <c r="B260" i="9"/>
  <c r="B259" i="9"/>
  <c r="B258" i="9"/>
  <c r="B257" i="9"/>
  <c r="B256" i="9"/>
  <c r="B255" i="9"/>
  <c r="B254" i="9"/>
  <c r="B253" i="9"/>
  <c r="B252" i="9"/>
  <c r="B251" i="9"/>
  <c r="B250" i="9"/>
  <c r="B249" i="9"/>
  <c r="B248" i="9"/>
  <c r="B247" i="9"/>
  <c r="B246" i="9"/>
  <c r="B245" i="9"/>
  <c r="B244" i="9"/>
  <c r="B243" i="9"/>
  <c r="B242" i="9"/>
  <c r="B241" i="9"/>
  <c r="B240" i="9"/>
  <c r="B239" i="9"/>
  <c r="B238" i="9"/>
  <c r="B237" i="9"/>
  <c r="B236" i="9"/>
  <c r="B235" i="9"/>
  <c r="B234" i="9"/>
  <c r="B233" i="9"/>
  <c r="B232" i="9"/>
  <c r="B231" i="9"/>
  <c r="B230" i="9"/>
  <c r="B229" i="9"/>
  <c r="B228" i="9"/>
  <c r="B227" i="9"/>
  <c r="B226" i="9"/>
  <c r="B225" i="9"/>
  <c r="B224" i="9"/>
  <c r="B223" i="9"/>
  <c r="B222" i="9"/>
  <c r="B221" i="9"/>
  <c r="B220" i="9"/>
  <c r="B219" i="9"/>
  <c r="B218" i="9"/>
  <c r="B217" i="9"/>
  <c r="B216" i="9"/>
  <c r="B215" i="9"/>
  <c r="B214" i="9"/>
  <c r="B213" i="9"/>
  <c r="B212" i="9"/>
  <c r="B211" i="9"/>
  <c r="B210" i="9"/>
  <c r="B209" i="9"/>
  <c r="B208" i="9"/>
  <c r="B207" i="9"/>
  <c r="B206" i="9"/>
  <c r="B205" i="9"/>
  <c r="B204" i="9"/>
  <c r="B203" i="9"/>
  <c r="B202" i="9"/>
  <c r="B201" i="9"/>
  <c r="B200" i="9"/>
  <c r="B199" i="9"/>
  <c r="B198" i="9"/>
  <c r="B197" i="9"/>
  <c r="B196" i="9"/>
  <c r="B195" i="9"/>
  <c r="B194" i="9"/>
  <c r="B193" i="9"/>
  <c r="B192" i="9"/>
  <c r="B191" i="9"/>
  <c r="B190" i="9"/>
  <c r="B189" i="9"/>
  <c r="B188" i="9"/>
  <c r="B187" i="9"/>
  <c r="B186" i="9"/>
  <c r="B185" i="9"/>
  <c r="B184" i="9"/>
  <c r="B183" i="9"/>
  <c r="B182" i="9"/>
  <c r="B181" i="9"/>
  <c r="B180" i="9"/>
  <c r="B179" i="9"/>
  <c r="B178" i="9"/>
  <c r="B177" i="9"/>
  <c r="B176" i="9"/>
  <c r="B175" i="9"/>
  <c r="B174" i="9"/>
  <c r="B173" i="9"/>
  <c r="B172" i="9"/>
  <c r="B171" i="9"/>
  <c r="B170" i="9"/>
  <c r="B169" i="9"/>
  <c r="B168" i="9"/>
  <c r="B167" i="9"/>
  <c r="B166" i="9"/>
  <c r="B165" i="9"/>
  <c r="B164" i="9"/>
  <c r="B163" i="9"/>
  <c r="B162" i="9"/>
  <c r="B161" i="9"/>
  <c r="B160" i="9"/>
  <c r="B159" i="9"/>
  <c r="B158" i="9"/>
  <c r="B157" i="9"/>
  <c r="B156" i="9"/>
  <c r="B155" i="9"/>
  <c r="B154" i="9"/>
  <c r="B153" i="9"/>
  <c r="B152" i="9"/>
  <c r="B151" i="9"/>
  <c r="B150" i="9"/>
  <c r="B149" i="9"/>
  <c r="B148" i="9"/>
  <c r="B147" i="9"/>
  <c r="B146" i="9"/>
  <c r="B145" i="9"/>
  <c r="B144" i="9"/>
  <c r="B143" i="9"/>
  <c r="B142" i="9"/>
  <c r="B141" i="9"/>
  <c r="B140" i="9"/>
  <c r="B139" i="9"/>
  <c r="B138" i="9"/>
  <c r="B137" i="9"/>
  <c r="B136" i="9"/>
  <c r="B135" i="9"/>
  <c r="B134" i="9"/>
  <c r="B133" i="9"/>
  <c r="B132" i="9"/>
  <c r="B131" i="9"/>
  <c r="B130" i="9"/>
  <c r="B129" i="9"/>
  <c r="B128" i="9"/>
  <c r="B127" i="9"/>
  <c r="B126" i="9"/>
  <c r="B125" i="9"/>
  <c r="B124" i="9"/>
  <c r="B123" i="9"/>
  <c r="B122" i="9"/>
  <c r="B121" i="9"/>
  <c r="B120" i="9"/>
  <c r="B119" i="9"/>
  <c r="B118" i="9"/>
  <c r="B117" i="9"/>
  <c r="B116" i="9"/>
  <c r="B115" i="9"/>
  <c r="B114" i="9"/>
  <c r="B113" i="9"/>
  <c r="B112" i="9"/>
  <c r="B111" i="9"/>
  <c r="B110" i="9"/>
  <c r="B109" i="9"/>
  <c r="B108" i="9"/>
  <c r="B107" i="9"/>
  <c r="B106" i="9"/>
  <c r="B105" i="9"/>
  <c r="B104" i="9"/>
  <c r="B103" i="9"/>
  <c r="B102" i="9"/>
  <c r="A101" i="9"/>
  <c r="A100" i="9"/>
  <c r="A99" i="9"/>
  <c r="A98" i="9"/>
  <c r="A97" i="9"/>
  <c r="A96" i="9"/>
  <c r="A95" i="9"/>
  <c r="A94" i="9"/>
  <c r="A93" i="9"/>
  <c r="A92" i="9"/>
  <c r="A91" i="9"/>
  <c r="A90" i="9"/>
  <c r="A89" i="9"/>
  <c r="A88" i="9"/>
  <c r="A87" i="9"/>
  <c r="A86" i="9"/>
  <c r="A85" i="9"/>
  <c r="A84" i="9"/>
  <c r="A83" i="9"/>
  <c r="A82" i="9"/>
  <c r="A81" i="9"/>
  <c r="A80" i="9"/>
  <c r="A79" i="9"/>
  <c r="A78" i="9"/>
  <c r="A77" i="9"/>
  <c r="A76" i="9"/>
  <c r="A75" i="9"/>
  <c r="A74" i="9"/>
  <c r="A73" i="9"/>
  <c r="A72" i="9"/>
  <c r="A71" i="9"/>
  <c r="A70" i="9"/>
  <c r="A69" i="9"/>
  <c r="A68" i="9"/>
  <c r="A67" i="9"/>
  <c r="A66" i="9"/>
  <c r="A65" i="9"/>
  <c r="A64" i="9"/>
  <c r="A63" i="9"/>
  <c r="A62" i="9"/>
  <c r="A61" i="9"/>
  <c r="A60" i="9"/>
  <c r="A59" i="9"/>
  <c r="A58" i="9"/>
  <c r="A57" i="9"/>
  <c r="A56" i="9"/>
  <c r="A55" i="9"/>
  <c r="A54" i="9"/>
  <c r="A53" i="9"/>
  <c r="A52" i="9"/>
  <c r="A51" i="9"/>
  <c r="A50" i="9"/>
  <c r="A49" i="9"/>
  <c r="A48" i="9"/>
  <c r="A47" i="9"/>
  <c r="A46" i="9"/>
  <c r="A45" i="9"/>
  <c r="A44" i="9"/>
  <c r="A43" i="9"/>
  <c r="A42" i="9"/>
  <c r="A41" i="9"/>
  <c r="A40" i="9"/>
  <c r="A39" i="9"/>
  <c r="A38" i="9"/>
  <c r="A37" i="9"/>
  <c r="A36" i="9"/>
  <c r="A35" i="9"/>
  <c r="A34" i="9"/>
  <c r="A33" i="9"/>
  <c r="A32" i="9"/>
  <c r="A31" i="9"/>
  <c r="A30" i="9"/>
  <c r="A29" i="9"/>
  <c r="A28" i="9"/>
  <c r="A27" i="9"/>
  <c r="A26" i="9"/>
  <c r="A25" i="9"/>
  <c r="A24" i="9"/>
  <c r="A23" i="9"/>
  <c r="A22" i="9"/>
  <c r="A21" i="9"/>
  <c r="A20" i="9"/>
  <c r="A19" i="9"/>
  <c r="A18" i="9"/>
  <c r="A17" i="9"/>
  <c r="A16" i="9"/>
  <c r="A15" i="9"/>
  <c r="A14" i="9"/>
  <c r="A13" i="9"/>
  <c r="A12" i="9"/>
  <c r="A11" i="9"/>
  <c r="A10" i="9"/>
  <c r="A9" i="9"/>
  <c r="A8" i="9"/>
  <c r="A7" i="9"/>
  <c r="A6" i="9"/>
  <c r="A5" i="9"/>
  <c r="A4" i="9"/>
  <c r="A3" i="9"/>
  <c r="A2" i="9"/>
  <c r="B1551" i="8"/>
  <c r="B1550" i="8"/>
  <c r="B1549" i="8"/>
  <c r="B1548" i="8"/>
  <c r="B1547" i="8"/>
  <c r="B1546" i="8"/>
  <c r="B1545" i="8"/>
  <c r="B1544" i="8"/>
  <c r="B1543" i="8"/>
  <c r="B1542" i="8"/>
  <c r="B1541" i="8"/>
  <c r="B1540" i="8"/>
  <c r="B1539" i="8"/>
  <c r="B1538" i="8"/>
  <c r="B1537" i="8"/>
  <c r="B1536" i="8"/>
  <c r="B1535" i="8"/>
  <c r="B1534" i="8"/>
  <c r="B1533" i="8"/>
  <c r="B1532" i="8"/>
  <c r="B1531" i="8"/>
  <c r="B1530" i="8"/>
  <c r="B1529" i="8"/>
  <c r="B1528" i="8"/>
  <c r="B1527" i="8"/>
  <c r="B1526" i="8"/>
  <c r="B1525" i="8"/>
  <c r="B1524" i="8"/>
  <c r="B1523" i="8"/>
  <c r="B1522" i="8"/>
  <c r="B1521" i="8"/>
  <c r="B1520" i="8"/>
  <c r="B1519" i="8"/>
  <c r="B1518" i="8"/>
  <c r="B1517" i="8"/>
  <c r="B1516" i="8"/>
  <c r="B1515" i="8"/>
  <c r="B1514" i="8"/>
  <c r="B1513" i="8"/>
  <c r="B1512" i="8"/>
  <c r="B1511" i="8"/>
  <c r="B1510" i="8"/>
  <c r="B1509" i="8"/>
  <c r="B1508" i="8"/>
  <c r="B1507" i="8"/>
  <c r="B1506" i="8"/>
  <c r="B1505" i="8"/>
  <c r="B1504" i="8"/>
  <c r="B1503" i="8"/>
  <c r="B1502" i="8"/>
  <c r="B1501" i="8"/>
  <c r="B1500" i="8"/>
  <c r="B1499" i="8"/>
  <c r="B1498" i="8"/>
  <c r="B1497" i="8"/>
  <c r="B1496" i="8"/>
  <c r="B1495" i="8"/>
  <c r="B1494" i="8"/>
  <c r="B1493" i="8"/>
  <c r="B1492" i="8"/>
  <c r="B1491" i="8"/>
  <c r="B1490" i="8"/>
  <c r="B1489" i="8"/>
  <c r="B1488" i="8"/>
  <c r="B1487" i="8"/>
  <c r="B1486" i="8"/>
  <c r="B1485" i="8"/>
  <c r="B1484" i="8"/>
  <c r="B1483" i="8"/>
  <c r="B1482" i="8"/>
  <c r="B1481" i="8"/>
  <c r="B1480" i="8"/>
  <c r="B1479" i="8"/>
  <c r="B1478" i="8"/>
  <c r="B1477" i="8"/>
  <c r="B1476" i="8"/>
  <c r="B1475" i="8"/>
  <c r="B1474" i="8"/>
  <c r="B1473" i="8"/>
  <c r="B1472" i="8"/>
  <c r="B1471" i="8"/>
  <c r="B1470" i="8"/>
  <c r="B1469" i="8"/>
  <c r="B1468" i="8"/>
  <c r="B1467" i="8"/>
  <c r="B1466" i="8"/>
  <c r="B1465" i="8"/>
  <c r="B1464" i="8"/>
  <c r="B1463" i="8"/>
  <c r="B1462" i="8"/>
  <c r="B1461" i="8"/>
  <c r="B1460" i="8"/>
  <c r="B1459" i="8"/>
  <c r="B1458" i="8"/>
  <c r="B1457" i="8"/>
  <c r="B1456" i="8"/>
  <c r="B1455" i="8"/>
  <c r="B1454" i="8"/>
  <c r="B1453" i="8"/>
  <c r="B1452" i="8"/>
  <c r="B1451" i="8"/>
  <c r="B1450" i="8"/>
  <c r="B1449" i="8"/>
  <c r="B1448" i="8"/>
  <c r="B1447" i="8"/>
  <c r="B1446" i="8"/>
  <c r="B1445" i="8"/>
  <c r="B1444" i="8"/>
  <c r="B1443" i="8"/>
  <c r="B1442" i="8"/>
  <c r="B1441" i="8"/>
  <c r="B1440" i="8"/>
  <c r="B1439" i="8"/>
  <c r="B1438" i="8"/>
  <c r="B1437" i="8"/>
  <c r="B1436" i="8"/>
  <c r="B1435" i="8"/>
  <c r="B1434" i="8"/>
  <c r="B1433" i="8"/>
  <c r="B1432" i="8"/>
  <c r="B1431" i="8"/>
  <c r="B1430" i="8"/>
  <c r="B1429" i="8"/>
  <c r="B1428" i="8"/>
  <c r="B1427" i="8"/>
  <c r="B1426" i="8"/>
  <c r="B1425" i="8"/>
  <c r="B1424" i="8"/>
  <c r="B1423" i="8"/>
  <c r="B1422" i="8"/>
  <c r="B1421" i="8"/>
  <c r="B1420" i="8"/>
  <c r="B1419" i="8"/>
  <c r="B1418" i="8"/>
  <c r="B1417" i="8"/>
  <c r="B1416" i="8"/>
  <c r="B1415" i="8"/>
  <c r="B1414" i="8"/>
  <c r="B1413" i="8"/>
  <c r="B1412" i="8"/>
  <c r="B1411" i="8"/>
  <c r="B1410" i="8"/>
  <c r="B1409" i="8"/>
  <c r="B1408" i="8"/>
  <c r="B1407" i="8"/>
  <c r="B1406" i="8"/>
  <c r="B1405" i="8"/>
  <c r="B1404" i="8"/>
  <c r="B1403" i="8"/>
  <c r="B1402" i="8"/>
  <c r="B1401" i="8"/>
  <c r="B1400" i="8"/>
  <c r="B1399" i="8"/>
  <c r="B1398" i="8"/>
  <c r="B1397" i="8"/>
  <c r="B1396" i="8"/>
  <c r="B1395" i="8"/>
  <c r="B1394" i="8"/>
  <c r="B1393" i="8"/>
  <c r="B1392" i="8"/>
  <c r="B1391" i="8"/>
  <c r="B1390" i="8"/>
  <c r="B1389" i="8"/>
  <c r="B1388" i="8"/>
  <c r="B1387" i="8"/>
  <c r="B1386" i="8"/>
  <c r="B1385" i="8"/>
  <c r="B1384" i="8"/>
  <c r="B1383" i="8"/>
  <c r="B1382" i="8"/>
  <c r="B1381" i="8"/>
  <c r="B1380" i="8"/>
  <c r="B1379" i="8"/>
  <c r="B1378" i="8"/>
  <c r="B1377" i="8"/>
  <c r="B1376" i="8"/>
  <c r="B1375" i="8"/>
  <c r="B1374" i="8"/>
  <c r="B1373" i="8"/>
  <c r="B1372" i="8"/>
  <c r="B1371" i="8"/>
  <c r="B1370" i="8"/>
  <c r="B1369" i="8"/>
  <c r="B1368" i="8"/>
  <c r="B1367" i="8"/>
  <c r="B1366" i="8"/>
  <c r="B1365" i="8"/>
  <c r="B1364" i="8"/>
  <c r="B1363" i="8"/>
  <c r="B1362" i="8"/>
  <c r="B1361" i="8"/>
  <c r="B1360" i="8"/>
  <c r="B1359" i="8"/>
  <c r="B1358" i="8"/>
  <c r="B1357" i="8"/>
  <c r="B1356" i="8"/>
  <c r="B1355" i="8"/>
  <c r="B1354" i="8"/>
  <c r="B1353" i="8"/>
  <c r="B1352" i="8"/>
  <c r="B1351" i="8"/>
  <c r="B1350" i="8"/>
  <c r="B1349" i="8"/>
  <c r="B1348" i="8"/>
  <c r="B1347" i="8"/>
  <c r="B1346" i="8"/>
  <c r="B1345" i="8"/>
  <c r="B1344" i="8"/>
  <c r="B1343" i="8"/>
  <c r="B1342" i="8"/>
  <c r="B1341" i="8"/>
  <c r="B1340" i="8"/>
  <c r="B1339" i="8"/>
  <c r="B1338" i="8"/>
  <c r="B1337" i="8"/>
  <c r="B1336" i="8"/>
  <c r="B1335" i="8"/>
  <c r="B1334" i="8"/>
  <c r="B1333" i="8"/>
  <c r="B1332" i="8"/>
  <c r="B1331" i="8"/>
  <c r="B1330" i="8"/>
  <c r="B1329" i="8"/>
  <c r="B1328" i="8"/>
  <c r="B1327" i="8"/>
  <c r="B1326" i="8"/>
  <c r="B1325" i="8"/>
  <c r="B1324" i="8"/>
  <c r="B1323" i="8"/>
  <c r="B1322" i="8"/>
  <c r="B1321" i="8"/>
  <c r="B1320" i="8"/>
  <c r="B1319" i="8"/>
  <c r="B1318" i="8"/>
  <c r="B1317" i="8"/>
  <c r="B1316" i="8"/>
  <c r="B1315" i="8"/>
  <c r="B1314" i="8"/>
  <c r="B1313" i="8"/>
  <c r="B1312" i="8"/>
  <c r="B1311" i="8"/>
  <c r="B1310" i="8"/>
  <c r="B1309" i="8"/>
  <c r="B1308" i="8"/>
  <c r="B1307" i="8"/>
  <c r="B1306" i="8"/>
  <c r="B1305" i="8"/>
  <c r="B1304" i="8"/>
  <c r="B1303" i="8"/>
  <c r="B1302" i="8"/>
  <c r="B1301" i="8"/>
  <c r="B1300" i="8"/>
  <c r="B1299" i="8"/>
  <c r="B1298" i="8"/>
  <c r="B1297" i="8"/>
  <c r="B1296" i="8"/>
  <c r="B1295" i="8"/>
  <c r="B1294" i="8"/>
  <c r="B1293" i="8"/>
  <c r="B1292" i="8"/>
  <c r="B1291" i="8"/>
  <c r="B1290" i="8"/>
  <c r="B1289" i="8"/>
  <c r="B1288" i="8"/>
  <c r="B1287" i="8"/>
  <c r="B1286" i="8"/>
  <c r="B1285" i="8"/>
  <c r="B1284" i="8"/>
  <c r="B1283" i="8"/>
  <c r="B1282" i="8"/>
  <c r="B1281" i="8"/>
  <c r="B1280" i="8"/>
  <c r="B1279" i="8"/>
  <c r="B1278" i="8"/>
  <c r="B1277" i="8"/>
  <c r="B1276" i="8"/>
  <c r="B1275" i="8"/>
  <c r="B1274" i="8"/>
  <c r="B1273" i="8"/>
  <c r="B1272" i="8"/>
  <c r="B1271" i="8"/>
  <c r="B1270" i="8"/>
  <c r="B1269" i="8"/>
  <c r="B1268" i="8"/>
  <c r="B1267" i="8"/>
  <c r="B1266" i="8"/>
  <c r="B1265" i="8"/>
  <c r="B1264" i="8"/>
  <c r="B1263" i="8"/>
  <c r="B1262" i="8"/>
  <c r="B1261" i="8"/>
  <c r="B1260" i="8"/>
  <c r="B1259" i="8"/>
  <c r="B1258" i="8"/>
  <c r="B1257" i="8"/>
  <c r="B1256" i="8"/>
  <c r="B1255" i="8"/>
  <c r="B1254" i="8"/>
  <c r="B1253" i="8"/>
  <c r="B1252" i="8"/>
  <c r="B1251" i="8"/>
  <c r="B1250" i="8"/>
  <c r="B1249" i="8"/>
  <c r="B1248" i="8"/>
  <c r="B1247" i="8"/>
  <c r="B1246" i="8"/>
  <c r="B1245" i="8"/>
  <c r="B1244" i="8"/>
  <c r="B1243" i="8"/>
  <c r="B1242" i="8"/>
  <c r="B1241" i="8"/>
  <c r="B1240" i="8"/>
  <c r="B1239" i="8"/>
  <c r="B1238" i="8"/>
  <c r="B1237" i="8"/>
  <c r="B1236" i="8"/>
  <c r="B1235" i="8"/>
  <c r="B1234" i="8"/>
  <c r="B1233" i="8"/>
  <c r="B1232" i="8"/>
  <c r="B1231" i="8"/>
  <c r="B1230" i="8"/>
  <c r="B1229" i="8"/>
  <c r="B1228" i="8"/>
  <c r="B1227" i="8"/>
  <c r="B1226" i="8"/>
  <c r="B1225" i="8"/>
  <c r="B1224" i="8"/>
  <c r="B1223" i="8"/>
  <c r="B1222" i="8"/>
  <c r="B1221" i="8"/>
  <c r="B1220" i="8"/>
  <c r="B1219" i="8"/>
  <c r="B1218" i="8"/>
  <c r="B1217" i="8"/>
  <c r="B1216" i="8"/>
  <c r="B1215" i="8"/>
  <c r="B1214" i="8"/>
  <c r="B1213" i="8"/>
  <c r="B1212" i="8"/>
  <c r="B1211" i="8"/>
  <c r="B1210" i="8"/>
  <c r="B1209" i="8"/>
  <c r="B1208" i="8"/>
  <c r="B1207" i="8"/>
  <c r="B1206" i="8"/>
  <c r="B1205" i="8"/>
  <c r="B1204" i="8"/>
  <c r="B1203" i="8"/>
  <c r="B1202" i="8"/>
  <c r="B1201" i="8"/>
  <c r="B1200" i="8"/>
  <c r="B1199" i="8"/>
  <c r="B1198" i="8"/>
  <c r="B1197" i="8"/>
  <c r="B1196" i="8"/>
  <c r="B1195" i="8"/>
  <c r="B1194" i="8"/>
  <c r="B1193" i="8"/>
  <c r="B1192" i="8"/>
  <c r="B1191" i="8"/>
  <c r="B1190" i="8"/>
  <c r="B1189" i="8"/>
  <c r="B1188" i="8"/>
  <c r="B1187" i="8"/>
  <c r="B1186" i="8"/>
  <c r="B1185" i="8"/>
  <c r="B1184" i="8"/>
  <c r="B1183" i="8"/>
  <c r="B1182" i="8"/>
  <c r="B1181" i="8"/>
  <c r="B1180" i="8"/>
  <c r="B1179" i="8"/>
  <c r="B1178" i="8"/>
  <c r="B1177" i="8"/>
  <c r="B1176" i="8"/>
  <c r="B1175" i="8"/>
  <c r="B1174" i="8"/>
  <c r="B1173" i="8"/>
  <c r="B1172" i="8"/>
  <c r="B1171" i="8"/>
  <c r="B1170" i="8"/>
  <c r="B1169" i="8"/>
  <c r="B1168" i="8"/>
  <c r="B1167" i="8"/>
  <c r="B1166" i="8"/>
  <c r="B1165" i="8"/>
  <c r="B1164" i="8"/>
  <c r="B1163" i="8"/>
  <c r="B1162" i="8"/>
  <c r="B1161" i="8"/>
  <c r="B1160" i="8"/>
  <c r="B1159" i="8"/>
  <c r="B1158" i="8"/>
  <c r="B1157" i="8"/>
  <c r="B1156" i="8"/>
  <c r="B1155" i="8"/>
  <c r="B1154" i="8"/>
  <c r="B1153" i="8"/>
  <c r="B1152" i="8"/>
  <c r="B1151" i="8"/>
  <c r="B1150" i="8"/>
  <c r="B1149" i="8"/>
  <c r="B1148" i="8"/>
  <c r="B1147" i="8"/>
  <c r="B1146" i="8"/>
  <c r="B1145" i="8"/>
  <c r="B1144" i="8"/>
  <c r="B1143" i="8"/>
  <c r="B1142" i="8"/>
  <c r="B1141" i="8"/>
  <c r="B1140" i="8"/>
  <c r="B1139" i="8"/>
  <c r="B1138" i="8"/>
  <c r="B1137" i="8"/>
  <c r="B1136" i="8"/>
  <c r="B1135" i="8"/>
  <c r="B1134" i="8"/>
  <c r="B1133" i="8"/>
  <c r="B1132" i="8"/>
  <c r="B1131" i="8"/>
  <c r="B1130" i="8"/>
  <c r="B1129" i="8"/>
  <c r="B1128" i="8"/>
  <c r="B1127" i="8"/>
  <c r="B1126" i="8"/>
  <c r="B1125" i="8"/>
  <c r="B1124" i="8"/>
  <c r="B1123" i="8"/>
  <c r="B1122" i="8"/>
  <c r="B1121" i="8"/>
  <c r="B1120" i="8"/>
  <c r="B1119" i="8"/>
  <c r="B1118" i="8"/>
  <c r="B1117" i="8"/>
  <c r="B1116" i="8"/>
  <c r="B1115" i="8"/>
  <c r="B1114" i="8"/>
  <c r="B1113" i="8"/>
  <c r="B1112" i="8"/>
  <c r="B1111" i="8"/>
  <c r="B1110" i="8"/>
  <c r="B1109" i="8"/>
  <c r="B1108" i="8"/>
  <c r="B1107" i="8"/>
  <c r="B1106" i="8"/>
  <c r="B1105" i="8"/>
  <c r="B1104" i="8"/>
  <c r="B1103" i="8"/>
  <c r="B1102" i="8"/>
  <c r="B1101" i="8"/>
  <c r="B1100" i="8"/>
  <c r="B1099" i="8"/>
  <c r="B1098" i="8"/>
  <c r="B1097" i="8"/>
  <c r="B1096" i="8"/>
  <c r="B1095" i="8"/>
  <c r="B1094" i="8"/>
  <c r="B1093" i="8"/>
  <c r="B1092" i="8"/>
  <c r="B1091" i="8"/>
  <c r="B1090" i="8"/>
  <c r="B1089" i="8"/>
  <c r="B1088" i="8"/>
  <c r="B1087" i="8"/>
  <c r="B1086" i="8"/>
  <c r="B1085" i="8"/>
  <c r="B1084" i="8"/>
  <c r="B1083" i="8"/>
  <c r="B1082" i="8"/>
  <c r="B1081" i="8"/>
  <c r="B1080" i="8"/>
  <c r="B1079" i="8"/>
  <c r="B1078" i="8"/>
  <c r="B1077" i="8"/>
  <c r="B1076" i="8"/>
  <c r="B1075" i="8"/>
  <c r="B1074" i="8"/>
  <c r="B1073" i="8"/>
  <c r="B1072" i="8"/>
  <c r="B1071" i="8"/>
  <c r="B1070" i="8"/>
  <c r="B1069" i="8"/>
  <c r="B1068" i="8"/>
  <c r="B1067" i="8"/>
  <c r="B1066" i="8"/>
  <c r="B1065" i="8"/>
  <c r="B1064" i="8"/>
  <c r="B1063" i="8"/>
  <c r="B1062" i="8"/>
  <c r="B1061" i="8"/>
  <c r="B1060" i="8"/>
  <c r="B1059" i="8"/>
  <c r="B1058" i="8"/>
  <c r="B1057" i="8"/>
  <c r="B1056" i="8"/>
  <c r="B1055" i="8"/>
  <c r="B1054" i="8"/>
  <c r="B1053" i="8"/>
  <c r="B1052" i="8"/>
  <c r="B1051" i="8"/>
  <c r="B1050" i="8"/>
  <c r="B1049" i="8"/>
  <c r="B1048" i="8"/>
  <c r="B1047" i="8"/>
  <c r="B1046" i="8"/>
  <c r="B1045" i="8"/>
  <c r="B1044" i="8"/>
  <c r="B1043" i="8"/>
  <c r="B1042" i="8"/>
  <c r="B1041" i="8"/>
  <c r="B1040" i="8"/>
  <c r="B1039" i="8"/>
  <c r="B1038" i="8"/>
  <c r="B1037" i="8"/>
  <c r="B1036" i="8"/>
  <c r="B1035" i="8"/>
  <c r="B1034" i="8"/>
  <c r="B1033" i="8"/>
  <c r="B1032" i="8"/>
  <c r="B1031" i="8"/>
  <c r="B1030" i="8"/>
  <c r="B1029" i="8"/>
  <c r="B1028" i="8"/>
  <c r="B1027" i="8"/>
  <c r="B1026" i="8"/>
  <c r="B1025" i="8"/>
  <c r="B1024" i="8"/>
  <c r="B1023" i="8"/>
  <c r="B1022" i="8"/>
  <c r="B1021" i="8"/>
  <c r="B1020" i="8"/>
  <c r="B1019" i="8"/>
  <c r="B1018" i="8"/>
  <c r="B1017" i="8"/>
  <c r="B1016" i="8"/>
  <c r="B1015" i="8"/>
  <c r="B1014" i="8"/>
  <c r="B1013" i="8"/>
  <c r="B1012" i="8"/>
  <c r="B1011" i="8"/>
  <c r="B1010" i="8"/>
  <c r="B1009" i="8"/>
  <c r="B1008" i="8"/>
  <c r="B1007" i="8"/>
  <c r="B1006" i="8"/>
  <c r="B1005" i="8"/>
  <c r="B1004" i="8"/>
  <c r="B1003" i="8"/>
  <c r="B1002" i="8"/>
  <c r="B1001" i="8"/>
  <c r="B1000" i="8"/>
  <c r="B999" i="8"/>
  <c r="B998" i="8"/>
  <c r="B997" i="8"/>
  <c r="B996" i="8"/>
  <c r="B995" i="8"/>
  <c r="B994" i="8"/>
  <c r="B993" i="8"/>
  <c r="B992" i="8"/>
  <c r="B991" i="8"/>
  <c r="B990" i="8"/>
  <c r="B989" i="8"/>
  <c r="B988" i="8"/>
  <c r="B987" i="8"/>
  <c r="B986" i="8"/>
  <c r="B985" i="8"/>
  <c r="B984" i="8"/>
  <c r="B983" i="8"/>
  <c r="B982" i="8"/>
  <c r="B981" i="8"/>
  <c r="B980" i="8"/>
  <c r="B979" i="8"/>
  <c r="B978" i="8"/>
  <c r="B977" i="8"/>
  <c r="B976" i="8"/>
  <c r="B975" i="8"/>
  <c r="B974" i="8"/>
  <c r="B973" i="8"/>
  <c r="B972" i="8"/>
  <c r="B971" i="8"/>
  <c r="B970" i="8"/>
  <c r="B969" i="8"/>
  <c r="B968" i="8"/>
  <c r="B967" i="8"/>
  <c r="B966" i="8"/>
  <c r="B965" i="8"/>
  <c r="B964" i="8"/>
  <c r="B963" i="8"/>
  <c r="B962" i="8"/>
  <c r="B961" i="8"/>
  <c r="B960" i="8"/>
  <c r="B959" i="8"/>
  <c r="B958" i="8"/>
  <c r="B957" i="8"/>
  <c r="B956" i="8"/>
  <c r="B955" i="8"/>
  <c r="B954" i="8"/>
  <c r="B953" i="8"/>
  <c r="B952" i="8"/>
  <c r="B951" i="8"/>
  <c r="B950" i="8"/>
  <c r="B949" i="8"/>
  <c r="B948" i="8"/>
  <c r="B947" i="8"/>
  <c r="B946" i="8"/>
  <c r="B945" i="8"/>
  <c r="B944" i="8"/>
  <c r="B943" i="8"/>
  <c r="B942" i="8"/>
  <c r="B941" i="8"/>
  <c r="B940" i="8"/>
  <c r="B939" i="8"/>
  <c r="B938" i="8"/>
  <c r="B937" i="8"/>
  <c r="B936" i="8"/>
  <c r="B935" i="8"/>
  <c r="B934" i="8"/>
  <c r="B933" i="8"/>
  <c r="B932" i="8"/>
  <c r="B931" i="8"/>
  <c r="B930" i="8"/>
  <c r="B929" i="8"/>
  <c r="B928" i="8"/>
  <c r="B927" i="8"/>
  <c r="B926" i="8"/>
  <c r="B925" i="8"/>
  <c r="B924" i="8"/>
  <c r="B923" i="8"/>
  <c r="B922" i="8"/>
  <c r="B921" i="8"/>
  <c r="B920" i="8"/>
  <c r="B919" i="8"/>
  <c r="B918" i="8"/>
  <c r="B917" i="8"/>
  <c r="B916" i="8"/>
  <c r="B915" i="8"/>
  <c r="B914" i="8"/>
  <c r="B913" i="8"/>
  <c r="B912" i="8"/>
  <c r="B911" i="8"/>
  <c r="B910" i="8"/>
  <c r="B909" i="8"/>
  <c r="B908" i="8"/>
  <c r="B907" i="8"/>
  <c r="B906" i="8"/>
  <c r="B905" i="8"/>
  <c r="B904" i="8"/>
  <c r="B903" i="8"/>
  <c r="B902" i="8"/>
  <c r="B901" i="8"/>
  <c r="B900" i="8"/>
  <c r="B899" i="8"/>
  <c r="B898" i="8"/>
  <c r="B897" i="8"/>
  <c r="B896" i="8"/>
  <c r="B895" i="8"/>
  <c r="B894" i="8"/>
  <c r="B893" i="8"/>
  <c r="B892" i="8"/>
  <c r="B891" i="8"/>
  <c r="B890" i="8"/>
  <c r="B889" i="8"/>
  <c r="B888" i="8"/>
  <c r="B887" i="8"/>
  <c r="B886" i="8"/>
  <c r="B885" i="8"/>
  <c r="B884" i="8"/>
  <c r="B883" i="8"/>
  <c r="B882" i="8"/>
  <c r="B881" i="8"/>
  <c r="B880" i="8"/>
  <c r="B879" i="8"/>
  <c r="B878" i="8"/>
  <c r="B877" i="8"/>
  <c r="B876" i="8"/>
  <c r="B875" i="8"/>
  <c r="B874" i="8"/>
  <c r="B873" i="8"/>
  <c r="B872" i="8"/>
  <c r="B871" i="8"/>
  <c r="B870" i="8"/>
  <c r="B869" i="8"/>
  <c r="B868" i="8"/>
  <c r="B867" i="8"/>
  <c r="B866" i="8"/>
  <c r="B865" i="8"/>
  <c r="B864" i="8"/>
  <c r="B863" i="8"/>
  <c r="B862" i="8"/>
  <c r="B861" i="8"/>
  <c r="B860" i="8"/>
  <c r="B859" i="8"/>
  <c r="B858" i="8"/>
  <c r="B857" i="8"/>
  <c r="B856" i="8"/>
  <c r="B855" i="8"/>
  <c r="B854" i="8"/>
  <c r="B853" i="8"/>
  <c r="B852" i="8"/>
  <c r="B851" i="8"/>
  <c r="B850" i="8"/>
  <c r="B849" i="8"/>
  <c r="B848" i="8"/>
  <c r="B847" i="8"/>
  <c r="B846" i="8"/>
  <c r="B845" i="8"/>
  <c r="B844" i="8"/>
  <c r="B843" i="8"/>
  <c r="B842" i="8"/>
  <c r="B841" i="8"/>
  <c r="B840" i="8"/>
  <c r="B839" i="8"/>
  <c r="B838" i="8"/>
  <c r="B837" i="8"/>
  <c r="B836" i="8"/>
  <c r="B835" i="8"/>
  <c r="B834" i="8"/>
  <c r="B833" i="8"/>
  <c r="B832" i="8"/>
  <c r="B831" i="8"/>
  <c r="B830" i="8"/>
  <c r="B829" i="8"/>
  <c r="B828" i="8"/>
  <c r="B827" i="8"/>
  <c r="B826" i="8"/>
  <c r="B825" i="8"/>
  <c r="B824" i="8"/>
  <c r="B823" i="8"/>
  <c r="B822" i="8"/>
  <c r="B821" i="8"/>
  <c r="B820" i="8"/>
  <c r="B819" i="8"/>
  <c r="B818" i="8"/>
  <c r="B817" i="8"/>
  <c r="B816" i="8"/>
  <c r="B815" i="8"/>
  <c r="B814" i="8"/>
  <c r="B813" i="8"/>
  <c r="B812" i="8"/>
  <c r="B811" i="8"/>
  <c r="B810" i="8"/>
  <c r="B809" i="8"/>
  <c r="B808" i="8"/>
  <c r="B807" i="8"/>
  <c r="B806" i="8"/>
  <c r="B805" i="8"/>
  <c r="B804" i="8"/>
  <c r="B803" i="8"/>
  <c r="B802" i="8"/>
  <c r="B801" i="8"/>
  <c r="B800" i="8"/>
  <c r="B799" i="8"/>
  <c r="B798" i="8"/>
  <c r="B797" i="8"/>
  <c r="B796" i="8"/>
  <c r="B795" i="8"/>
  <c r="B794" i="8"/>
  <c r="B793" i="8"/>
  <c r="B792" i="8"/>
  <c r="B791" i="8"/>
  <c r="B790" i="8"/>
  <c r="B789" i="8"/>
  <c r="B788" i="8"/>
  <c r="B787" i="8"/>
  <c r="B786" i="8"/>
  <c r="B785" i="8"/>
  <c r="B784" i="8"/>
  <c r="B783" i="8"/>
  <c r="B782" i="8"/>
  <c r="B781" i="8"/>
  <c r="B780" i="8"/>
  <c r="B779" i="8"/>
  <c r="B778" i="8"/>
  <c r="B777" i="8"/>
  <c r="B776" i="8"/>
  <c r="B775" i="8"/>
  <c r="B774" i="8"/>
  <c r="B773" i="8"/>
  <c r="B772" i="8"/>
  <c r="B771" i="8"/>
  <c r="B770" i="8"/>
  <c r="B769" i="8"/>
  <c r="B768" i="8"/>
  <c r="B767" i="8"/>
  <c r="B766" i="8"/>
  <c r="B765" i="8"/>
  <c r="B764" i="8"/>
  <c r="B763" i="8"/>
  <c r="B762" i="8"/>
  <c r="B761" i="8"/>
  <c r="B760" i="8"/>
  <c r="B759" i="8"/>
  <c r="B758" i="8"/>
  <c r="B757" i="8"/>
  <c r="B756" i="8"/>
  <c r="B755" i="8"/>
  <c r="B754" i="8"/>
  <c r="B753" i="8"/>
  <c r="B752" i="8"/>
  <c r="B751" i="8"/>
  <c r="B750" i="8"/>
  <c r="B749" i="8"/>
  <c r="B748" i="8"/>
  <c r="B747" i="8"/>
  <c r="B746" i="8"/>
  <c r="B745" i="8"/>
  <c r="B744" i="8"/>
  <c r="B743" i="8"/>
  <c r="B742" i="8"/>
  <c r="B741" i="8"/>
  <c r="B740" i="8"/>
  <c r="B739" i="8"/>
  <c r="B738" i="8"/>
  <c r="B737" i="8"/>
  <c r="B736" i="8"/>
  <c r="B735" i="8"/>
  <c r="B734" i="8"/>
  <c r="B733" i="8"/>
  <c r="B732" i="8"/>
  <c r="B731" i="8"/>
  <c r="B730" i="8"/>
  <c r="B729" i="8"/>
  <c r="B728" i="8"/>
  <c r="B727" i="8"/>
  <c r="B726" i="8"/>
  <c r="B725" i="8"/>
  <c r="B724" i="8"/>
  <c r="B723" i="8"/>
  <c r="B722" i="8"/>
  <c r="B721" i="8"/>
  <c r="B720" i="8"/>
  <c r="B719" i="8"/>
  <c r="B718" i="8"/>
  <c r="B717" i="8"/>
  <c r="B716" i="8"/>
  <c r="B715" i="8"/>
  <c r="B714" i="8"/>
  <c r="B713" i="8"/>
  <c r="B712" i="8"/>
  <c r="B711" i="8"/>
  <c r="B710" i="8"/>
  <c r="B709" i="8"/>
  <c r="B708" i="8"/>
  <c r="B707" i="8"/>
  <c r="B706" i="8"/>
  <c r="B705" i="8"/>
  <c r="B704" i="8"/>
  <c r="B703" i="8"/>
  <c r="B702" i="8"/>
  <c r="B701" i="8"/>
  <c r="B700" i="8"/>
  <c r="B699" i="8"/>
  <c r="B698" i="8"/>
  <c r="B697" i="8"/>
  <c r="B696" i="8"/>
  <c r="B695" i="8"/>
  <c r="B694" i="8"/>
  <c r="B693" i="8"/>
  <c r="B692" i="8"/>
  <c r="B691" i="8"/>
  <c r="B690" i="8"/>
  <c r="B689" i="8"/>
  <c r="B688" i="8"/>
  <c r="B687" i="8"/>
  <c r="B686" i="8"/>
  <c r="B685" i="8"/>
  <c r="B684" i="8"/>
  <c r="B683" i="8"/>
  <c r="B682" i="8"/>
  <c r="B681" i="8"/>
  <c r="B680" i="8"/>
  <c r="B679" i="8"/>
  <c r="B678" i="8"/>
  <c r="B677" i="8"/>
  <c r="B676" i="8"/>
  <c r="B675" i="8"/>
  <c r="B674" i="8"/>
  <c r="B673" i="8"/>
  <c r="B672" i="8"/>
  <c r="B671" i="8"/>
  <c r="B670" i="8"/>
  <c r="B669" i="8"/>
  <c r="B668" i="8"/>
  <c r="B667" i="8"/>
  <c r="B666" i="8"/>
  <c r="B665" i="8"/>
  <c r="B664" i="8"/>
  <c r="B663" i="8"/>
  <c r="B662" i="8"/>
  <c r="B661" i="8"/>
  <c r="B660" i="8"/>
  <c r="B659" i="8"/>
  <c r="B658" i="8"/>
  <c r="B657" i="8"/>
  <c r="B656" i="8"/>
  <c r="B655" i="8"/>
  <c r="B654" i="8"/>
  <c r="B653" i="8"/>
  <c r="B652" i="8"/>
  <c r="B651" i="8"/>
  <c r="B650" i="8"/>
  <c r="B649" i="8"/>
  <c r="B648" i="8"/>
  <c r="B647" i="8"/>
  <c r="B646" i="8"/>
  <c r="B645" i="8"/>
  <c r="B644" i="8"/>
  <c r="B643" i="8"/>
  <c r="B642" i="8"/>
  <c r="B641" i="8"/>
  <c r="B640" i="8"/>
  <c r="B639" i="8"/>
  <c r="B638" i="8"/>
  <c r="B637" i="8"/>
  <c r="B636" i="8"/>
  <c r="B635" i="8"/>
  <c r="B634" i="8"/>
  <c r="B633" i="8"/>
  <c r="B632" i="8"/>
  <c r="B631" i="8"/>
  <c r="B630" i="8"/>
  <c r="B629" i="8"/>
  <c r="B628" i="8"/>
  <c r="B627" i="8"/>
  <c r="B626" i="8"/>
  <c r="B625" i="8"/>
  <c r="B624" i="8"/>
  <c r="B623" i="8"/>
  <c r="B622" i="8"/>
  <c r="B621" i="8"/>
  <c r="B620" i="8"/>
  <c r="B619" i="8"/>
  <c r="B618" i="8"/>
  <c r="B617" i="8"/>
  <c r="B616" i="8"/>
  <c r="B615" i="8"/>
  <c r="B614" i="8"/>
  <c r="B613" i="8"/>
  <c r="B612" i="8"/>
  <c r="B611" i="8"/>
  <c r="B610" i="8"/>
  <c r="B609" i="8"/>
  <c r="B608" i="8"/>
  <c r="B607" i="8"/>
  <c r="B606" i="8"/>
  <c r="B605" i="8"/>
  <c r="B604" i="8"/>
  <c r="B603" i="8"/>
  <c r="B602" i="8"/>
  <c r="B601" i="8"/>
  <c r="B600" i="8"/>
  <c r="B599" i="8"/>
  <c r="B598" i="8"/>
  <c r="B597" i="8"/>
  <c r="B596" i="8"/>
  <c r="B595" i="8"/>
  <c r="B594" i="8"/>
  <c r="B593" i="8"/>
  <c r="B592" i="8"/>
  <c r="B591" i="8"/>
  <c r="B590" i="8"/>
  <c r="B589" i="8"/>
  <c r="B588" i="8"/>
  <c r="B587" i="8"/>
  <c r="B586" i="8"/>
  <c r="B585" i="8"/>
  <c r="B584" i="8"/>
  <c r="B583" i="8"/>
  <c r="B582" i="8"/>
  <c r="B581" i="8"/>
  <c r="B580" i="8"/>
  <c r="B579" i="8"/>
  <c r="B578" i="8"/>
  <c r="B577" i="8"/>
  <c r="B576" i="8"/>
  <c r="B575" i="8"/>
  <c r="B574" i="8"/>
  <c r="B573" i="8"/>
  <c r="B572" i="8"/>
  <c r="B571" i="8"/>
  <c r="B570" i="8"/>
  <c r="B569" i="8"/>
  <c r="B568" i="8"/>
  <c r="B567" i="8"/>
  <c r="B566" i="8"/>
  <c r="B565" i="8"/>
  <c r="B564" i="8"/>
  <c r="B563" i="8"/>
  <c r="B562" i="8"/>
  <c r="B561" i="8"/>
  <c r="B560" i="8"/>
  <c r="B559" i="8"/>
  <c r="B558" i="8"/>
  <c r="B557" i="8"/>
  <c r="B556" i="8"/>
  <c r="B555" i="8"/>
  <c r="B554" i="8"/>
  <c r="B553" i="8"/>
  <c r="B552" i="8"/>
  <c r="B551" i="8"/>
  <c r="B550" i="8"/>
  <c r="B549" i="8"/>
  <c r="B548" i="8"/>
  <c r="B547" i="8"/>
  <c r="B546" i="8"/>
  <c r="B545" i="8"/>
  <c r="B544" i="8"/>
  <c r="B543" i="8"/>
  <c r="B542" i="8"/>
  <c r="B541" i="8"/>
  <c r="B540" i="8"/>
  <c r="B539" i="8"/>
  <c r="B538" i="8"/>
  <c r="B537" i="8"/>
  <c r="B536" i="8"/>
  <c r="B535" i="8"/>
  <c r="B534" i="8"/>
  <c r="B533" i="8"/>
  <c r="B532" i="8"/>
  <c r="B531" i="8"/>
  <c r="B530" i="8"/>
  <c r="B529" i="8"/>
  <c r="B528" i="8"/>
  <c r="B527" i="8"/>
  <c r="B526" i="8"/>
  <c r="B525" i="8"/>
  <c r="B524" i="8"/>
  <c r="B523" i="8"/>
  <c r="B522" i="8"/>
  <c r="B521" i="8"/>
  <c r="B520" i="8"/>
  <c r="B519" i="8"/>
  <c r="B518" i="8"/>
  <c r="B517" i="8"/>
  <c r="B516" i="8"/>
  <c r="B515" i="8"/>
  <c r="B514" i="8"/>
  <c r="B513" i="8"/>
  <c r="B512" i="8"/>
  <c r="B511" i="8"/>
  <c r="B510" i="8"/>
  <c r="B509" i="8"/>
  <c r="B508" i="8"/>
  <c r="B507" i="8"/>
  <c r="B506" i="8"/>
  <c r="B505" i="8"/>
  <c r="B504" i="8"/>
  <c r="B503" i="8"/>
  <c r="B502" i="8"/>
  <c r="B501" i="8"/>
  <c r="B500" i="8"/>
  <c r="B499" i="8"/>
  <c r="B498" i="8"/>
  <c r="B497" i="8"/>
  <c r="B496" i="8"/>
  <c r="B495" i="8"/>
  <c r="B494" i="8"/>
  <c r="B493" i="8"/>
  <c r="B492" i="8"/>
  <c r="B491" i="8"/>
  <c r="B490" i="8"/>
  <c r="B489" i="8"/>
  <c r="B488" i="8"/>
  <c r="B487" i="8"/>
  <c r="B486" i="8"/>
  <c r="B485" i="8"/>
  <c r="B484" i="8"/>
  <c r="B483" i="8"/>
  <c r="B482" i="8"/>
  <c r="B481" i="8"/>
  <c r="B480" i="8"/>
  <c r="B479" i="8"/>
  <c r="B478" i="8"/>
  <c r="B477" i="8"/>
  <c r="B476" i="8"/>
  <c r="B475" i="8"/>
  <c r="B474" i="8"/>
  <c r="B473" i="8"/>
  <c r="B472" i="8"/>
  <c r="B471" i="8"/>
  <c r="B470" i="8"/>
  <c r="B469" i="8"/>
  <c r="B468" i="8"/>
  <c r="B467" i="8"/>
  <c r="B466" i="8"/>
  <c r="B465" i="8"/>
  <c r="B464" i="8"/>
  <c r="B463" i="8"/>
  <c r="B462" i="8"/>
  <c r="B461" i="8"/>
  <c r="B460" i="8"/>
  <c r="B459" i="8"/>
  <c r="B458" i="8"/>
  <c r="B457" i="8"/>
  <c r="B456" i="8"/>
  <c r="B455" i="8"/>
  <c r="B454" i="8"/>
  <c r="B453" i="8"/>
  <c r="B452" i="8"/>
  <c r="B451" i="8"/>
  <c r="B450" i="8"/>
  <c r="B449" i="8"/>
  <c r="B448" i="8"/>
  <c r="B447" i="8"/>
  <c r="B446" i="8"/>
  <c r="B445" i="8"/>
  <c r="B444" i="8"/>
  <c r="B443" i="8"/>
  <c r="B442" i="8"/>
  <c r="B441" i="8"/>
  <c r="B440" i="8"/>
  <c r="B439" i="8"/>
  <c r="B438" i="8"/>
  <c r="B437" i="8"/>
  <c r="B436" i="8"/>
  <c r="B435" i="8"/>
  <c r="B434" i="8"/>
  <c r="B433" i="8"/>
  <c r="B432" i="8"/>
  <c r="B431" i="8"/>
  <c r="B430" i="8"/>
  <c r="B429" i="8"/>
  <c r="B428" i="8"/>
  <c r="B427" i="8"/>
  <c r="B426" i="8"/>
  <c r="B425" i="8"/>
  <c r="B424" i="8"/>
  <c r="B423" i="8"/>
  <c r="B422" i="8"/>
  <c r="B421" i="8"/>
  <c r="B420" i="8"/>
  <c r="B419" i="8"/>
  <c r="B418" i="8"/>
  <c r="B417" i="8"/>
  <c r="B416" i="8"/>
  <c r="B415" i="8"/>
  <c r="B414" i="8"/>
  <c r="B413" i="8"/>
  <c r="B412" i="8"/>
  <c r="B411" i="8"/>
  <c r="B410" i="8"/>
  <c r="B409" i="8"/>
  <c r="B408" i="8"/>
  <c r="B407" i="8"/>
  <c r="B406" i="8"/>
  <c r="B405" i="8"/>
  <c r="B404" i="8"/>
  <c r="B403" i="8"/>
  <c r="B402" i="8"/>
  <c r="B401" i="8"/>
  <c r="B400" i="8"/>
  <c r="B399" i="8"/>
  <c r="B398" i="8"/>
  <c r="B397" i="8"/>
  <c r="B396" i="8"/>
  <c r="B395" i="8"/>
  <c r="B394" i="8"/>
  <c r="B393" i="8"/>
  <c r="B392" i="8"/>
  <c r="B391" i="8"/>
  <c r="B390" i="8"/>
  <c r="B389" i="8"/>
  <c r="B388" i="8"/>
  <c r="B387" i="8"/>
  <c r="B386" i="8"/>
  <c r="B385" i="8"/>
  <c r="B384" i="8"/>
  <c r="B383" i="8"/>
  <c r="B382" i="8"/>
  <c r="B381" i="8"/>
  <c r="B380" i="8"/>
  <c r="B379" i="8"/>
  <c r="B378" i="8"/>
  <c r="B377" i="8"/>
  <c r="B376" i="8"/>
  <c r="B375" i="8"/>
  <c r="B374" i="8"/>
  <c r="B373" i="8"/>
  <c r="B372" i="8"/>
  <c r="B371" i="8"/>
  <c r="B370" i="8"/>
  <c r="B369" i="8"/>
  <c r="B368" i="8"/>
  <c r="B367" i="8"/>
  <c r="B366" i="8"/>
  <c r="B365" i="8"/>
  <c r="B364" i="8"/>
  <c r="B363" i="8"/>
  <c r="B362" i="8"/>
  <c r="B361" i="8"/>
  <c r="B360" i="8"/>
  <c r="B359" i="8"/>
  <c r="B358" i="8"/>
  <c r="B357" i="8"/>
  <c r="B356" i="8"/>
  <c r="B355" i="8"/>
  <c r="B354" i="8"/>
  <c r="B353" i="8"/>
  <c r="B352" i="8"/>
  <c r="B351" i="8"/>
  <c r="B350" i="8"/>
  <c r="B349" i="8"/>
  <c r="B348" i="8"/>
  <c r="B347" i="8"/>
  <c r="B346" i="8"/>
  <c r="B345" i="8"/>
  <c r="B344" i="8"/>
  <c r="B343" i="8"/>
  <c r="B342" i="8"/>
  <c r="B341" i="8"/>
  <c r="B340" i="8"/>
  <c r="B339" i="8"/>
  <c r="B338" i="8"/>
  <c r="B337" i="8"/>
  <c r="B336" i="8"/>
  <c r="B335" i="8"/>
  <c r="B334" i="8"/>
  <c r="B333" i="8"/>
  <c r="B332" i="8"/>
  <c r="B331" i="8"/>
  <c r="B330" i="8"/>
  <c r="B329" i="8"/>
  <c r="B328" i="8"/>
  <c r="B327" i="8"/>
  <c r="B326" i="8"/>
  <c r="B325" i="8"/>
  <c r="B324" i="8"/>
  <c r="B323" i="8"/>
  <c r="B322" i="8"/>
  <c r="B321" i="8"/>
  <c r="B320" i="8"/>
  <c r="B319" i="8"/>
  <c r="B318" i="8"/>
  <c r="B317" i="8"/>
  <c r="B316" i="8"/>
  <c r="B315" i="8"/>
  <c r="B314" i="8"/>
  <c r="B313" i="8"/>
  <c r="B312" i="8"/>
  <c r="B311" i="8"/>
  <c r="B310" i="8"/>
  <c r="B309" i="8"/>
  <c r="B308" i="8"/>
  <c r="B307" i="8"/>
  <c r="B306" i="8"/>
  <c r="B305" i="8"/>
  <c r="B304" i="8"/>
  <c r="B303" i="8"/>
  <c r="B302" i="8"/>
  <c r="B301" i="8"/>
  <c r="B300" i="8"/>
  <c r="B299" i="8"/>
  <c r="B298" i="8"/>
  <c r="B297" i="8"/>
  <c r="B296" i="8"/>
  <c r="B295" i="8"/>
  <c r="B294" i="8"/>
  <c r="B293" i="8"/>
  <c r="B292" i="8"/>
  <c r="B291" i="8"/>
  <c r="B290" i="8"/>
  <c r="B289" i="8"/>
  <c r="B288" i="8"/>
  <c r="B287" i="8"/>
  <c r="B286" i="8"/>
  <c r="B285" i="8"/>
  <c r="B284" i="8"/>
  <c r="B283" i="8"/>
  <c r="B282" i="8"/>
  <c r="B281" i="8"/>
  <c r="B280" i="8"/>
  <c r="B279" i="8"/>
  <c r="B278" i="8"/>
  <c r="B277" i="8"/>
  <c r="B276" i="8"/>
  <c r="B275" i="8"/>
  <c r="B274" i="8"/>
  <c r="B273" i="8"/>
  <c r="B272" i="8"/>
  <c r="B271" i="8"/>
  <c r="B270" i="8"/>
  <c r="B269" i="8"/>
  <c r="B268" i="8"/>
  <c r="B267" i="8"/>
  <c r="B266" i="8"/>
  <c r="B265" i="8"/>
  <c r="B264" i="8"/>
  <c r="B263" i="8"/>
  <c r="B262" i="8"/>
  <c r="B261" i="8"/>
  <c r="B260" i="8"/>
  <c r="B259" i="8"/>
  <c r="B258" i="8"/>
  <c r="B257" i="8"/>
  <c r="B256" i="8"/>
  <c r="B255" i="8"/>
  <c r="B254" i="8"/>
  <c r="B253" i="8"/>
  <c r="B252" i="8"/>
  <c r="B251" i="8"/>
  <c r="B250" i="8"/>
  <c r="B249" i="8"/>
  <c r="B248" i="8"/>
  <c r="B247" i="8"/>
  <c r="B246" i="8"/>
  <c r="B245" i="8"/>
  <c r="B244" i="8"/>
  <c r="B243" i="8"/>
  <c r="B242" i="8"/>
  <c r="B241" i="8"/>
  <c r="B240" i="8"/>
  <c r="B239" i="8"/>
  <c r="B238" i="8"/>
  <c r="B237" i="8"/>
  <c r="B236" i="8"/>
  <c r="B235" i="8"/>
  <c r="B234" i="8"/>
  <c r="B233" i="8"/>
  <c r="B232" i="8"/>
  <c r="B231" i="8"/>
  <c r="B230" i="8"/>
  <c r="B229" i="8"/>
  <c r="B228" i="8"/>
  <c r="B227" i="8"/>
  <c r="B226" i="8"/>
  <c r="B225" i="8"/>
  <c r="B224" i="8"/>
  <c r="B223" i="8"/>
  <c r="B222" i="8"/>
  <c r="B221" i="8"/>
  <c r="B220" i="8"/>
  <c r="B219" i="8"/>
  <c r="B218" i="8"/>
  <c r="B217" i="8"/>
  <c r="B216" i="8"/>
  <c r="B215" i="8"/>
  <c r="B214" i="8"/>
  <c r="B213" i="8"/>
  <c r="B212" i="8"/>
  <c r="B211" i="8"/>
  <c r="B210" i="8"/>
  <c r="B209" i="8"/>
  <c r="B208" i="8"/>
  <c r="B207" i="8"/>
  <c r="B206" i="8"/>
  <c r="B205" i="8"/>
  <c r="B204" i="8"/>
  <c r="B203" i="8"/>
  <c r="B202" i="8"/>
  <c r="B201" i="8"/>
  <c r="B200" i="8"/>
  <c r="B199" i="8"/>
  <c r="B198" i="8"/>
  <c r="B197" i="8"/>
  <c r="B196" i="8"/>
  <c r="B195" i="8"/>
  <c r="B194" i="8"/>
  <c r="B193" i="8"/>
  <c r="B192" i="8"/>
  <c r="B191" i="8"/>
  <c r="B190" i="8"/>
  <c r="B189" i="8"/>
  <c r="B188" i="8"/>
  <c r="B187" i="8"/>
  <c r="B186" i="8"/>
  <c r="B185" i="8"/>
  <c r="B184" i="8"/>
  <c r="B183" i="8"/>
  <c r="B182" i="8"/>
  <c r="B181" i="8"/>
  <c r="B180" i="8"/>
  <c r="B179" i="8"/>
  <c r="B178" i="8"/>
  <c r="B177" i="8"/>
  <c r="B176" i="8"/>
  <c r="B175" i="8"/>
  <c r="B174" i="8"/>
  <c r="B173" i="8"/>
  <c r="B172" i="8"/>
  <c r="B171" i="8"/>
  <c r="B170" i="8"/>
  <c r="B169" i="8"/>
  <c r="B168" i="8"/>
  <c r="B167" i="8"/>
  <c r="B166" i="8"/>
  <c r="B165" i="8"/>
  <c r="B164" i="8"/>
  <c r="B163" i="8"/>
  <c r="B162" i="8"/>
  <c r="B161" i="8"/>
  <c r="B160" i="8"/>
  <c r="B159" i="8"/>
  <c r="B158" i="8"/>
  <c r="B157" i="8"/>
  <c r="B156" i="8"/>
  <c r="B155" i="8"/>
  <c r="B154" i="8"/>
  <c r="B153" i="8"/>
  <c r="B152" i="8"/>
  <c r="B151" i="8"/>
  <c r="B150" i="8"/>
  <c r="B149" i="8"/>
  <c r="B148" i="8"/>
  <c r="B147" i="8"/>
  <c r="B146" i="8"/>
  <c r="B145" i="8"/>
  <c r="B144" i="8"/>
  <c r="B143" i="8"/>
  <c r="B142" i="8"/>
  <c r="B141" i="8"/>
  <c r="B140" i="8"/>
  <c r="B139" i="8"/>
  <c r="B138" i="8"/>
  <c r="B137" i="8"/>
  <c r="B136" i="8"/>
  <c r="B135" i="8"/>
  <c r="B134" i="8"/>
  <c r="B133" i="8"/>
  <c r="B132" i="8"/>
  <c r="B131" i="8"/>
  <c r="B130" i="8"/>
  <c r="B129" i="8"/>
  <c r="B128" i="8"/>
  <c r="B127" i="8"/>
  <c r="B126" i="8"/>
  <c r="B125" i="8"/>
  <c r="B124" i="8"/>
  <c r="B123" i="8"/>
  <c r="B122" i="8"/>
  <c r="B121" i="8"/>
  <c r="B120" i="8"/>
  <c r="B119" i="8"/>
  <c r="B118" i="8"/>
  <c r="B117" i="8"/>
  <c r="B116" i="8"/>
  <c r="A101" i="8"/>
  <c r="A100" i="8"/>
  <c r="A99" i="8"/>
  <c r="A98" i="8"/>
  <c r="A97" i="8"/>
  <c r="A96" i="8"/>
  <c r="A95" i="8"/>
  <c r="A94" i="8"/>
  <c r="A93" i="8"/>
  <c r="A92" i="8"/>
  <c r="A91" i="8"/>
  <c r="A90" i="8"/>
  <c r="A89" i="8"/>
  <c r="A88" i="8"/>
  <c r="A87" i="8"/>
  <c r="A86" i="8"/>
  <c r="A85" i="8"/>
  <c r="A84" i="8"/>
  <c r="A83" i="8"/>
  <c r="A82" i="8"/>
  <c r="A81" i="8"/>
  <c r="A80" i="8"/>
  <c r="A79" i="8"/>
  <c r="A78" i="8"/>
  <c r="A77" i="8"/>
  <c r="A76" i="8"/>
  <c r="A75" i="8"/>
  <c r="A74" i="8"/>
  <c r="A73" i="8"/>
  <c r="A72" i="8"/>
  <c r="A71" i="8"/>
  <c r="A70" i="8"/>
  <c r="A69" i="8"/>
  <c r="A68" i="8"/>
  <c r="A67" i="8"/>
  <c r="A66" i="8"/>
  <c r="A65" i="8"/>
  <c r="A64" i="8"/>
  <c r="A63" i="8"/>
  <c r="A62" i="8"/>
  <c r="A61" i="8"/>
  <c r="A60" i="8"/>
  <c r="A59" i="8"/>
  <c r="A58" i="8"/>
  <c r="A57" i="8"/>
  <c r="A56" i="8"/>
  <c r="A55" i="8"/>
  <c r="A54" i="8"/>
  <c r="A53" i="8"/>
  <c r="A52" i="8"/>
  <c r="A51" i="8"/>
  <c r="A50" i="8"/>
  <c r="A49" i="8"/>
  <c r="A48" i="8"/>
  <c r="A47" i="8"/>
  <c r="A46" i="8"/>
  <c r="A45" i="8"/>
  <c r="A44" i="8"/>
  <c r="A43" i="8"/>
  <c r="A42" i="8"/>
  <c r="A41" i="8"/>
  <c r="A40" i="8"/>
  <c r="A39" i="8"/>
  <c r="A38" i="8"/>
  <c r="A37" i="8"/>
  <c r="A36" i="8"/>
  <c r="A35" i="8"/>
  <c r="A34" i="8"/>
  <c r="A33" i="8"/>
  <c r="A32" i="8"/>
  <c r="A31" i="8"/>
  <c r="A30" i="8"/>
  <c r="A29" i="8"/>
  <c r="A28" i="8"/>
  <c r="A27" i="8"/>
  <c r="A26" i="8"/>
  <c r="A25" i="8"/>
  <c r="A24" i="8"/>
  <c r="A23" i="8"/>
  <c r="A22" i="8"/>
  <c r="A21" i="8"/>
  <c r="A20" i="8"/>
  <c r="A19" i="8"/>
  <c r="A18" i="8"/>
  <c r="A17" i="8"/>
  <c r="A16" i="8"/>
  <c r="A15" i="8"/>
  <c r="A14" i="8"/>
  <c r="A13" i="8"/>
  <c r="A12" i="8"/>
  <c r="A11" i="8"/>
  <c r="A10" i="8"/>
  <c r="A9" i="8"/>
  <c r="A8" i="8"/>
  <c r="A7" i="8"/>
  <c r="A6" i="8"/>
  <c r="A5" i="8"/>
  <c r="A4" i="8"/>
  <c r="A3" i="8"/>
  <c r="A2" i="8"/>
  <c r="A201" i="7"/>
  <c r="A36" i="7"/>
  <c r="A48" i="7"/>
  <c r="A49" i="7"/>
  <c r="A61" i="7"/>
  <c r="B1873" i="7"/>
  <c r="B1872" i="7"/>
  <c r="B1871" i="7"/>
  <c r="B1870" i="7"/>
  <c r="B1869" i="7"/>
  <c r="B1868" i="7"/>
  <c r="B1867" i="7"/>
  <c r="B1866" i="7"/>
  <c r="B1865" i="7"/>
  <c r="B1864" i="7"/>
  <c r="B1863" i="7"/>
  <c r="B1862" i="7"/>
  <c r="B1861" i="7"/>
  <c r="B1860" i="7"/>
  <c r="B1859" i="7"/>
  <c r="B1858" i="7"/>
  <c r="B1857" i="7"/>
  <c r="B1856" i="7"/>
  <c r="B1855" i="7"/>
  <c r="B1854" i="7"/>
  <c r="B1853" i="7"/>
  <c r="B1852" i="7"/>
  <c r="B1851" i="7"/>
  <c r="B1850" i="7"/>
  <c r="B1849" i="7"/>
  <c r="B1848" i="7"/>
  <c r="B1847" i="7"/>
  <c r="B1846" i="7"/>
  <c r="B1845" i="7"/>
  <c r="B1844" i="7"/>
  <c r="B1843" i="7"/>
  <c r="B1842" i="7"/>
  <c r="B1841" i="7"/>
  <c r="B1840" i="7"/>
  <c r="B1839" i="7"/>
  <c r="B1838" i="7"/>
  <c r="B1837" i="7"/>
  <c r="B1836" i="7"/>
  <c r="B1835" i="7"/>
  <c r="B1834" i="7"/>
  <c r="B1833" i="7"/>
  <c r="B1832" i="7"/>
  <c r="B1831" i="7"/>
  <c r="B1830" i="7"/>
  <c r="B1829" i="7"/>
  <c r="B1828" i="7"/>
  <c r="B1827" i="7"/>
  <c r="B1826" i="7"/>
  <c r="B1825" i="7"/>
  <c r="B1824" i="7"/>
  <c r="B1823" i="7"/>
  <c r="B1822" i="7"/>
  <c r="B1821" i="7"/>
  <c r="B1820" i="7"/>
  <c r="B1819" i="7"/>
  <c r="B1818" i="7"/>
  <c r="B1817" i="7"/>
  <c r="B1816" i="7"/>
  <c r="B1815" i="7"/>
  <c r="B1814" i="7"/>
  <c r="B1813" i="7"/>
  <c r="B1812" i="7"/>
  <c r="B1811" i="7"/>
  <c r="B1810" i="7"/>
  <c r="B1809" i="7"/>
  <c r="B1808" i="7"/>
  <c r="B1807" i="7"/>
  <c r="B1806" i="7"/>
  <c r="B1805" i="7"/>
  <c r="B1804" i="7"/>
  <c r="B1803" i="7"/>
  <c r="B1802" i="7"/>
  <c r="B1801" i="7"/>
  <c r="B1800" i="7"/>
  <c r="B1799" i="7"/>
  <c r="B1798" i="7"/>
  <c r="B1797" i="7"/>
  <c r="B1796" i="7"/>
  <c r="B1795" i="7"/>
  <c r="B1794" i="7"/>
  <c r="B1793" i="7"/>
  <c r="B1792" i="7"/>
  <c r="B1791" i="7"/>
  <c r="B1790" i="7"/>
  <c r="B1789" i="7"/>
  <c r="B1788" i="7"/>
  <c r="B1787" i="7"/>
  <c r="B1786" i="7"/>
  <c r="B1785" i="7"/>
  <c r="B1784" i="7"/>
  <c r="B1783" i="7"/>
  <c r="B1782" i="7"/>
  <c r="B1781" i="7"/>
  <c r="B1780" i="7"/>
  <c r="B1779" i="7"/>
  <c r="B1778" i="7"/>
  <c r="B1777" i="7"/>
  <c r="B1776" i="7"/>
  <c r="B1775" i="7"/>
  <c r="B1774" i="7"/>
  <c r="B1773" i="7"/>
  <c r="B1772" i="7"/>
  <c r="B1771" i="7"/>
  <c r="B1770" i="7"/>
  <c r="B1769" i="7"/>
  <c r="B1768" i="7"/>
  <c r="B1767" i="7"/>
  <c r="B1766" i="7"/>
  <c r="B1765" i="7"/>
  <c r="B1764" i="7"/>
  <c r="B1763" i="7"/>
  <c r="B1762" i="7"/>
  <c r="B1761" i="7"/>
  <c r="B1760" i="7"/>
  <c r="B1759" i="7"/>
  <c r="B1758" i="7"/>
  <c r="B1757" i="7"/>
  <c r="B1756" i="7"/>
  <c r="B1755" i="7"/>
  <c r="B1754" i="7"/>
  <c r="B1753" i="7"/>
  <c r="B1752" i="7"/>
  <c r="B1751" i="7"/>
  <c r="B1750" i="7"/>
  <c r="B1749" i="7"/>
  <c r="B1748" i="7"/>
  <c r="B1747" i="7"/>
  <c r="B1746" i="7"/>
  <c r="B1745" i="7"/>
  <c r="B1744" i="7"/>
  <c r="B1743" i="7"/>
  <c r="B1742" i="7"/>
  <c r="B1741" i="7"/>
  <c r="B1740" i="7"/>
  <c r="B1739" i="7"/>
  <c r="B1738" i="7"/>
  <c r="B1737" i="7"/>
  <c r="B1736" i="7"/>
  <c r="B1735" i="7"/>
  <c r="B1734" i="7"/>
  <c r="B1733" i="7"/>
  <c r="B1732" i="7"/>
  <c r="B1731" i="7"/>
  <c r="B1730" i="7"/>
  <c r="B1729" i="7"/>
  <c r="B1728" i="7"/>
  <c r="B1727" i="7"/>
  <c r="B1726" i="7"/>
  <c r="B1725" i="7"/>
  <c r="B1724" i="7"/>
  <c r="B1723" i="7"/>
  <c r="B1722" i="7"/>
  <c r="B1721" i="7"/>
  <c r="B1720" i="7"/>
  <c r="B1719" i="7"/>
  <c r="B1718" i="7"/>
  <c r="B1717" i="7"/>
  <c r="B1716" i="7"/>
  <c r="B1715" i="7"/>
  <c r="B1714" i="7"/>
  <c r="B1713" i="7"/>
  <c r="B1712" i="7"/>
  <c r="B1711" i="7"/>
  <c r="B1710" i="7"/>
  <c r="B1709" i="7"/>
  <c r="B1708" i="7"/>
  <c r="B1707" i="7"/>
  <c r="B1706" i="7"/>
  <c r="B1705" i="7"/>
  <c r="B1704" i="7"/>
  <c r="B1703" i="7"/>
  <c r="B1702" i="7"/>
  <c r="B1701" i="7"/>
  <c r="B1700" i="7"/>
  <c r="B1699" i="7"/>
  <c r="B1698" i="7"/>
  <c r="B1697" i="7"/>
  <c r="B1696" i="7"/>
  <c r="B1695" i="7"/>
  <c r="B1694" i="7"/>
  <c r="B1693" i="7"/>
  <c r="B1692" i="7"/>
  <c r="B1691" i="7"/>
  <c r="B1690" i="7"/>
  <c r="B1689" i="7"/>
  <c r="B1688" i="7"/>
  <c r="B1687" i="7"/>
  <c r="B1686" i="7"/>
  <c r="B1685" i="7"/>
  <c r="B1684" i="7"/>
  <c r="B1683" i="7"/>
  <c r="B1682" i="7"/>
  <c r="B1681" i="7"/>
  <c r="B1680" i="7"/>
  <c r="B1679" i="7"/>
  <c r="B1678" i="7"/>
  <c r="B1677" i="7"/>
  <c r="B1676" i="7"/>
  <c r="B1675" i="7"/>
  <c r="B1674" i="7"/>
  <c r="B1673" i="7"/>
  <c r="B1672" i="7"/>
  <c r="B1671" i="7"/>
  <c r="B1670" i="7"/>
  <c r="B1669" i="7"/>
  <c r="B1668" i="7"/>
  <c r="B1667" i="7"/>
  <c r="B1666" i="7"/>
  <c r="B1665" i="7"/>
  <c r="B1664" i="7"/>
  <c r="B1663" i="7"/>
  <c r="B1662" i="7"/>
  <c r="B1661" i="7"/>
  <c r="B1660" i="7"/>
  <c r="B1659" i="7"/>
  <c r="B1658" i="7"/>
  <c r="B1657" i="7"/>
  <c r="B1656" i="7"/>
  <c r="B1655" i="7"/>
  <c r="B1654" i="7"/>
  <c r="B1653" i="7"/>
  <c r="B1652" i="7"/>
  <c r="B1651" i="7"/>
  <c r="B1650" i="7"/>
  <c r="B1649" i="7"/>
  <c r="B1648" i="7"/>
  <c r="B1647" i="7"/>
  <c r="B1646" i="7"/>
  <c r="B1645" i="7"/>
  <c r="B1644" i="7"/>
  <c r="B1643" i="7"/>
  <c r="B1642" i="7"/>
  <c r="B1641" i="7"/>
  <c r="B1640" i="7"/>
  <c r="B1639" i="7"/>
  <c r="B1638" i="7"/>
  <c r="B1637" i="7"/>
  <c r="B1636" i="7"/>
  <c r="B1635" i="7"/>
  <c r="B1634" i="7"/>
  <c r="B1633" i="7"/>
  <c r="B1632" i="7"/>
  <c r="B1631" i="7"/>
  <c r="B1630" i="7"/>
  <c r="B1629" i="7"/>
  <c r="B1628" i="7"/>
  <c r="B1627" i="7"/>
  <c r="B1626" i="7"/>
  <c r="B1625" i="7"/>
  <c r="B1624" i="7"/>
  <c r="B1623" i="7"/>
  <c r="B1622" i="7"/>
  <c r="B1621" i="7"/>
  <c r="B1620" i="7"/>
  <c r="B1619" i="7"/>
  <c r="B1618" i="7"/>
  <c r="B1617" i="7"/>
  <c r="B1616" i="7"/>
  <c r="B1615" i="7"/>
  <c r="B1614" i="7"/>
  <c r="B1613" i="7"/>
  <c r="B1612" i="7"/>
  <c r="B1611" i="7"/>
  <c r="B1610" i="7"/>
  <c r="B1609" i="7"/>
  <c r="B1608" i="7"/>
  <c r="B1607" i="7"/>
  <c r="B1606" i="7"/>
  <c r="B1605" i="7"/>
  <c r="B1604" i="7"/>
  <c r="B1603" i="7"/>
  <c r="B1602" i="7"/>
  <c r="B1601" i="7"/>
  <c r="B1600" i="7"/>
  <c r="B1599" i="7"/>
  <c r="B1598" i="7"/>
  <c r="B1597" i="7"/>
  <c r="B1596" i="7"/>
  <c r="B1595" i="7"/>
  <c r="B1594" i="7"/>
  <c r="B1593" i="7"/>
  <c r="B1592" i="7"/>
  <c r="B1591" i="7"/>
  <c r="B1590" i="7"/>
  <c r="B1589" i="7"/>
  <c r="B1588" i="7"/>
  <c r="B1587" i="7"/>
  <c r="B1586" i="7"/>
  <c r="B1585" i="7"/>
  <c r="B1584" i="7"/>
  <c r="B1583" i="7"/>
  <c r="B1582" i="7"/>
  <c r="B1581" i="7"/>
  <c r="B1580" i="7"/>
  <c r="B1579" i="7"/>
  <c r="B1578" i="7"/>
  <c r="B1577" i="7"/>
  <c r="B1576" i="7"/>
  <c r="B1575" i="7"/>
  <c r="B1574" i="7"/>
  <c r="B1573" i="7"/>
  <c r="B1572" i="7"/>
  <c r="B1571" i="7"/>
  <c r="B1570" i="7"/>
  <c r="B1569" i="7"/>
  <c r="B1568" i="7"/>
  <c r="B1567" i="7"/>
  <c r="B1566" i="7"/>
  <c r="B1565" i="7"/>
  <c r="B1564" i="7"/>
  <c r="B1563" i="7"/>
  <c r="B1562" i="7"/>
  <c r="B1561" i="7"/>
  <c r="B1560" i="7"/>
  <c r="B1559" i="7"/>
  <c r="B1558" i="7"/>
  <c r="B1557" i="7"/>
  <c r="B1556" i="7"/>
  <c r="B1555" i="7"/>
  <c r="B1554" i="7"/>
  <c r="B1553" i="7"/>
  <c r="B1552" i="7"/>
  <c r="B1551" i="7"/>
  <c r="B1550" i="7"/>
  <c r="B1549" i="7"/>
  <c r="B1548" i="7"/>
  <c r="B1547" i="7"/>
  <c r="B1546" i="7"/>
  <c r="B1545" i="7"/>
  <c r="B1544" i="7"/>
  <c r="B1543" i="7"/>
  <c r="B1542" i="7"/>
  <c r="B1541" i="7"/>
  <c r="B1540" i="7"/>
  <c r="B1539" i="7"/>
  <c r="B1538" i="7"/>
  <c r="B1537" i="7"/>
  <c r="B1536" i="7"/>
  <c r="B1535" i="7"/>
  <c r="B1534" i="7"/>
  <c r="B1533" i="7"/>
  <c r="B1532" i="7"/>
  <c r="B1531" i="7"/>
  <c r="B1530" i="7"/>
  <c r="B1529" i="7"/>
  <c r="B1528" i="7"/>
  <c r="B1527" i="7"/>
  <c r="B1526" i="7"/>
  <c r="B1525" i="7"/>
  <c r="B1524" i="7"/>
  <c r="B1523" i="7"/>
  <c r="B1522" i="7"/>
  <c r="B1521" i="7"/>
  <c r="B1520" i="7"/>
  <c r="B1519" i="7"/>
  <c r="B1518" i="7"/>
  <c r="B1517" i="7"/>
  <c r="B1516" i="7"/>
  <c r="B1515" i="7"/>
  <c r="B1514" i="7"/>
  <c r="B1513" i="7"/>
  <c r="B1512" i="7"/>
  <c r="B1511" i="7"/>
  <c r="B1510" i="7"/>
  <c r="B1509" i="7"/>
  <c r="B1508" i="7"/>
  <c r="B1507" i="7"/>
  <c r="B1506" i="7"/>
  <c r="B1505" i="7"/>
  <c r="B1504" i="7"/>
  <c r="B1503" i="7"/>
  <c r="B1502" i="7"/>
  <c r="B1501" i="7"/>
  <c r="B1500" i="7"/>
  <c r="B1499" i="7"/>
  <c r="B1498" i="7"/>
  <c r="B1497" i="7"/>
  <c r="B1496" i="7"/>
  <c r="B1495" i="7"/>
  <c r="B1494" i="7"/>
  <c r="B1493" i="7"/>
  <c r="B1492" i="7"/>
  <c r="B1491" i="7"/>
  <c r="B1490" i="7"/>
  <c r="B1489" i="7"/>
  <c r="B1488" i="7"/>
  <c r="B1487" i="7"/>
  <c r="B1486" i="7"/>
  <c r="B1485" i="7"/>
  <c r="B1484" i="7"/>
  <c r="B1483" i="7"/>
  <c r="B1482" i="7"/>
  <c r="B1481" i="7"/>
  <c r="B1480" i="7"/>
  <c r="B1479" i="7"/>
  <c r="B1478" i="7"/>
  <c r="B1477" i="7"/>
  <c r="B1476" i="7"/>
  <c r="B1475" i="7"/>
  <c r="B1474" i="7"/>
  <c r="B1473" i="7"/>
  <c r="B1472" i="7"/>
  <c r="B1471" i="7"/>
  <c r="B1470" i="7"/>
  <c r="B1469" i="7"/>
  <c r="B1468" i="7"/>
  <c r="B1467" i="7"/>
  <c r="B1466" i="7"/>
  <c r="B1465" i="7"/>
  <c r="B1464" i="7"/>
  <c r="B1463" i="7"/>
  <c r="B1462" i="7"/>
  <c r="B1461" i="7"/>
  <c r="B1460" i="7"/>
  <c r="B1459" i="7"/>
  <c r="B1458" i="7"/>
  <c r="B1457" i="7"/>
  <c r="B1456" i="7"/>
  <c r="B1455" i="7"/>
  <c r="B1454" i="7"/>
  <c r="B1453" i="7"/>
  <c r="B1452" i="7"/>
  <c r="B1451" i="7"/>
  <c r="B1450" i="7"/>
  <c r="B1449" i="7"/>
  <c r="B1448" i="7"/>
  <c r="B1447" i="7"/>
  <c r="B1446" i="7"/>
  <c r="B1445" i="7"/>
  <c r="B1444" i="7"/>
  <c r="B1443" i="7"/>
  <c r="B1442" i="7"/>
  <c r="B1441" i="7"/>
  <c r="B1440" i="7"/>
  <c r="B1439" i="7"/>
  <c r="B1438" i="7"/>
  <c r="B1437" i="7"/>
  <c r="B1436" i="7"/>
  <c r="B1435" i="7"/>
  <c r="B1434" i="7"/>
  <c r="B1433" i="7"/>
  <c r="B1432" i="7"/>
  <c r="B1431" i="7"/>
  <c r="B1430" i="7"/>
  <c r="B1429" i="7"/>
  <c r="B1428" i="7"/>
  <c r="B1427" i="7"/>
  <c r="B1426" i="7"/>
  <c r="B1425" i="7"/>
  <c r="B1424" i="7"/>
  <c r="B1423" i="7"/>
  <c r="B1422" i="7"/>
  <c r="B1421" i="7"/>
  <c r="B1420" i="7"/>
  <c r="B1419" i="7"/>
  <c r="B1418" i="7"/>
  <c r="B1417" i="7"/>
  <c r="B1416" i="7"/>
  <c r="B1415" i="7"/>
  <c r="B1414" i="7"/>
  <c r="B1413" i="7"/>
  <c r="B1412" i="7"/>
  <c r="B1411" i="7"/>
  <c r="B1410" i="7"/>
  <c r="B1409" i="7"/>
  <c r="B1408" i="7"/>
  <c r="B1407" i="7"/>
  <c r="B1406" i="7"/>
  <c r="B1405" i="7"/>
  <c r="B1404" i="7"/>
  <c r="B1403" i="7"/>
  <c r="B1402" i="7"/>
  <c r="B1401" i="7"/>
  <c r="B1400" i="7"/>
  <c r="B1399" i="7"/>
  <c r="B1398" i="7"/>
  <c r="B1397" i="7"/>
  <c r="B1396" i="7"/>
  <c r="B1395" i="7"/>
  <c r="B1394" i="7"/>
  <c r="B1393" i="7"/>
  <c r="B1392" i="7"/>
  <c r="B1391" i="7"/>
  <c r="B1390" i="7"/>
  <c r="B1389" i="7"/>
  <c r="B1388" i="7"/>
  <c r="B1387" i="7"/>
  <c r="B1386" i="7"/>
  <c r="B1385" i="7"/>
  <c r="B1384" i="7"/>
  <c r="B1383" i="7"/>
  <c r="B1382" i="7"/>
  <c r="B1381" i="7"/>
  <c r="B1380" i="7"/>
  <c r="B1379" i="7"/>
  <c r="B1378" i="7"/>
  <c r="B1377" i="7"/>
  <c r="B1376" i="7"/>
  <c r="B1375" i="7"/>
  <c r="B1374" i="7"/>
  <c r="B1373" i="7"/>
  <c r="B1372" i="7"/>
  <c r="B1371" i="7"/>
  <c r="B1370" i="7"/>
  <c r="B1369" i="7"/>
  <c r="B1368" i="7"/>
  <c r="B1367" i="7"/>
  <c r="B1366" i="7"/>
  <c r="B1365" i="7"/>
  <c r="B1364" i="7"/>
  <c r="B1363" i="7"/>
  <c r="B1362" i="7"/>
  <c r="B1361" i="7"/>
  <c r="B1360" i="7"/>
  <c r="B1359" i="7"/>
  <c r="B1358" i="7"/>
  <c r="B1357" i="7"/>
  <c r="B1356" i="7"/>
  <c r="B1355" i="7"/>
  <c r="B1354" i="7"/>
  <c r="B1353" i="7"/>
  <c r="B1352" i="7"/>
  <c r="B1351" i="7"/>
  <c r="B1350" i="7"/>
  <c r="B1349" i="7"/>
  <c r="B1348" i="7"/>
  <c r="B1347" i="7"/>
  <c r="B1346" i="7"/>
  <c r="B1345" i="7"/>
  <c r="B1344" i="7"/>
  <c r="B1343" i="7"/>
  <c r="B1342" i="7"/>
  <c r="B1341" i="7"/>
  <c r="B1340" i="7"/>
  <c r="B1339" i="7"/>
  <c r="B1338" i="7"/>
  <c r="B1337" i="7"/>
  <c r="B1336" i="7"/>
  <c r="B1335" i="7"/>
  <c r="B1334" i="7"/>
  <c r="B1333" i="7"/>
  <c r="B1332" i="7"/>
  <c r="B1331" i="7"/>
  <c r="B1330" i="7"/>
  <c r="B1329" i="7"/>
  <c r="B1328" i="7"/>
  <c r="B1327" i="7"/>
  <c r="B1326" i="7"/>
  <c r="B1325" i="7"/>
  <c r="B1324" i="7"/>
  <c r="B1323" i="7"/>
  <c r="B1322" i="7"/>
  <c r="B1321" i="7"/>
  <c r="B1320" i="7"/>
  <c r="B1319" i="7"/>
  <c r="B1318" i="7"/>
  <c r="B1317" i="7"/>
  <c r="B1316" i="7"/>
  <c r="B1315" i="7"/>
  <c r="B1314" i="7"/>
  <c r="B1313" i="7"/>
  <c r="B1312" i="7"/>
  <c r="B1311" i="7"/>
  <c r="B1310" i="7"/>
  <c r="B1309" i="7"/>
  <c r="B1308" i="7"/>
  <c r="B1307" i="7"/>
  <c r="B1306" i="7"/>
  <c r="B1305" i="7"/>
  <c r="B1304" i="7"/>
  <c r="B1303" i="7"/>
  <c r="B1302" i="7"/>
  <c r="B1301" i="7"/>
  <c r="B1300" i="7"/>
  <c r="B1299" i="7"/>
  <c r="B1298" i="7"/>
  <c r="B1297" i="7"/>
  <c r="B1296" i="7"/>
  <c r="B1295" i="7"/>
  <c r="B1294" i="7"/>
  <c r="B1293" i="7"/>
  <c r="B1292" i="7"/>
  <c r="B1291" i="7"/>
  <c r="B1290" i="7"/>
  <c r="B1289" i="7"/>
  <c r="B1288" i="7"/>
  <c r="B1287" i="7"/>
  <c r="B1286" i="7"/>
  <c r="B1285" i="7"/>
  <c r="B1284" i="7"/>
  <c r="B1283" i="7"/>
  <c r="B1282" i="7"/>
  <c r="B1281" i="7"/>
  <c r="B1280" i="7"/>
  <c r="B1279" i="7"/>
  <c r="B1278" i="7"/>
  <c r="B1277" i="7"/>
  <c r="B1276" i="7"/>
  <c r="B1275" i="7"/>
  <c r="B1274" i="7"/>
  <c r="B1273" i="7"/>
  <c r="B1272" i="7"/>
  <c r="B1271" i="7"/>
  <c r="B1270" i="7"/>
  <c r="B1269" i="7"/>
  <c r="B1268" i="7"/>
  <c r="B1267" i="7"/>
  <c r="B1266" i="7"/>
  <c r="B1265" i="7"/>
  <c r="B1264" i="7"/>
  <c r="B1263" i="7"/>
  <c r="B1262" i="7"/>
  <c r="B1261" i="7"/>
  <c r="B1260" i="7"/>
  <c r="B1259" i="7"/>
  <c r="B1258" i="7"/>
  <c r="B1257" i="7"/>
  <c r="B1256" i="7"/>
  <c r="B1255" i="7"/>
  <c r="B1254" i="7"/>
  <c r="B1253" i="7"/>
  <c r="B1252" i="7"/>
  <c r="B1251" i="7"/>
  <c r="B1250" i="7"/>
  <c r="B1249" i="7"/>
  <c r="B1248" i="7"/>
  <c r="B1247" i="7"/>
  <c r="B1246" i="7"/>
  <c r="B1245" i="7"/>
  <c r="B1244" i="7"/>
  <c r="B1243" i="7"/>
  <c r="B1242" i="7"/>
  <c r="B1241" i="7"/>
  <c r="B1240" i="7"/>
  <c r="B1239" i="7"/>
  <c r="B1238" i="7"/>
  <c r="B1237" i="7"/>
  <c r="B1236" i="7"/>
  <c r="B1235" i="7"/>
  <c r="B1234" i="7"/>
  <c r="B1233" i="7"/>
  <c r="B1232" i="7"/>
  <c r="B1231" i="7"/>
  <c r="B1230" i="7"/>
  <c r="B1229" i="7"/>
  <c r="B1228" i="7"/>
  <c r="B1227" i="7"/>
  <c r="B1226" i="7"/>
  <c r="B1225" i="7"/>
  <c r="B1224" i="7"/>
  <c r="B1223" i="7"/>
  <c r="B1222" i="7"/>
  <c r="B1221" i="7"/>
  <c r="B1220" i="7"/>
  <c r="B1219" i="7"/>
  <c r="B1218" i="7"/>
  <c r="B1217" i="7"/>
  <c r="B1216" i="7"/>
  <c r="B1215" i="7"/>
  <c r="B1214" i="7"/>
  <c r="B1213" i="7"/>
  <c r="B1212" i="7"/>
  <c r="B1211" i="7"/>
  <c r="B1210" i="7"/>
  <c r="B1209" i="7"/>
  <c r="B1208" i="7"/>
  <c r="B1207" i="7"/>
  <c r="B1206" i="7"/>
  <c r="B1205" i="7"/>
  <c r="B1204" i="7"/>
  <c r="B1203" i="7"/>
  <c r="B1202" i="7"/>
  <c r="B1201" i="7"/>
  <c r="B1200" i="7"/>
  <c r="B1199" i="7"/>
  <c r="B1198" i="7"/>
  <c r="B1197" i="7"/>
  <c r="B1196" i="7"/>
  <c r="B1195" i="7"/>
  <c r="B1194" i="7"/>
  <c r="B1193" i="7"/>
  <c r="B1192" i="7"/>
  <c r="B1191" i="7"/>
  <c r="B1190" i="7"/>
  <c r="B1189" i="7"/>
  <c r="B1188" i="7"/>
  <c r="B1187" i="7"/>
  <c r="B1186" i="7"/>
  <c r="B1185" i="7"/>
  <c r="B1184" i="7"/>
  <c r="B1183" i="7"/>
  <c r="B1182" i="7"/>
  <c r="B1181" i="7"/>
  <c r="B1180" i="7"/>
  <c r="B1179" i="7"/>
  <c r="B1178" i="7"/>
  <c r="B1177" i="7"/>
  <c r="B1176" i="7"/>
  <c r="B1175" i="7"/>
  <c r="B1174" i="7"/>
  <c r="B1173" i="7"/>
  <c r="B1172" i="7"/>
  <c r="B1171" i="7"/>
  <c r="B1170" i="7"/>
  <c r="B1169" i="7"/>
  <c r="B1168" i="7"/>
  <c r="B1167" i="7"/>
  <c r="B1166" i="7"/>
  <c r="B1165" i="7"/>
  <c r="B1164" i="7"/>
  <c r="B1163" i="7"/>
  <c r="B1162" i="7"/>
  <c r="B1161" i="7"/>
  <c r="B1160" i="7"/>
  <c r="B1159" i="7"/>
  <c r="B1158" i="7"/>
  <c r="B1157" i="7"/>
  <c r="B1156" i="7"/>
  <c r="B1155" i="7"/>
  <c r="B1154" i="7"/>
  <c r="B1153" i="7"/>
  <c r="B1152" i="7"/>
  <c r="B1151" i="7"/>
  <c r="B1150" i="7"/>
  <c r="B1149" i="7"/>
  <c r="B1148" i="7"/>
  <c r="B1147" i="7"/>
  <c r="B1146" i="7"/>
  <c r="B1145" i="7"/>
  <c r="B1144" i="7"/>
  <c r="B1143" i="7"/>
  <c r="B1142" i="7"/>
  <c r="B1141" i="7"/>
  <c r="B1140" i="7"/>
  <c r="B1139" i="7"/>
  <c r="B1138" i="7"/>
  <c r="B1137" i="7"/>
  <c r="B1136" i="7"/>
  <c r="B1135" i="7"/>
  <c r="B1134" i="7"/>
  <c r="B1133" i="7"/>
  <c r="B1132" i="7"/>
  <c r="B1131" i="7"/>
  <c r="B1130" i="7"/>
  <c r="B1129" i="7"/>
  <c r="B1128" i="7"/>
  <c r="B1127" i="7"/>
  <c r="B1126" i="7"/>
  <c r="B1125" i="7"/>
  <c r="B1124" i="7"/>
  <c r="B1123" i="7"/>
  <c r="B1122" i="7"/>
  <c r="B1121" i="7"/>
  <c r="B1120" i="7"/>
  <c r="B1119" i="7"/>
  <c r="B1118" i="7"/>
  <c r="B1117" i="7"/>
  <c r="B1116" i="7"/>
  <c r="B1115" i="7"/>
  <c r="B1114" i="7"/>
  <c r="B1113" i="7"/>
  <c r="B1112" i="7"/>
  <c r="B1111" i="7"/>
  <c r="B1110" i="7"/>
  <c r="B1109" i="7"/>
  <c r="B1108" i="7"/>
  <c r="B1107" i="7"/>
  <c r="B1106" i="7"/>
  <c r="B1105" i="7"/>
  <c r="B1104" i="7"/>
  <c r="B1103" i="7"/>
  <c r="B1102" i="7"/>
  <c r="B1101" i="7"/>
  <c r="B1100" i="7"/>
  <c r="B1099" i="7"/>
  <c r="B1098" i="7"/>
  <c r="B1097" i="7"/>
  <c r="B1096" i="7"/>
  <c r="B1095" i="7"/>
  <c r="B1094" i="7"/>
  <c r="B1093" i="7"/>
  <c r="B1092" i="7"/>
  <c r="B1091" i="7"/>
  <c r="B1090" i="7"/>
  <c r="B1089" i="7"/>
  <c r="B1088" i="7"/>
  <c r="B1087" i="7"/>
  <c r="B1086" i="7"/>
  <c r="B1085" i="7"/>
  <c r="B1084" i="7"/>
  <c r="B1083" i="7"/>
  <c r="B1082" i="7"/>
  <c r="B1081" i="7"/>
  <c r="B1080" i="7"/>
  <c r="B1079" i="7"/>
  <c r="B1078" i="7"/>
  <c r="B1077" i="7"/>
  <c r="B1076" i="7"/>
  <c r="B1075" i="7"/>
  <c r="B1074" i="7"/>
  <c r="B1073" i="7"/>
  <c r="B1072" i="7"/>
  <c r="B1071" i="7"/>
  <c r="B1070" i="7"/>
  <c r="B1069" i="7"/>
  <c r="B1068" i="7"/>
  <c r="B1067" i="7"/>
  <c r="B1066" i="7"/>
  <c r="B1065" i="7"/>
  <c r="B1064" i="7"/>
  <c r="B1063" i="7"/>
  <c r="B1062" i="7"/>
  <c r="B1061" i="7"/>
  <c r="B1060" i="7"/>
  <c r="B1059" i="7"/>
  <c r="B1058" i="7"/>
  <c r="B1057" i="7"/>
  <c r="B1056" i="7"/>
  <c r="B1055" i="7"/>
  <c r="B1054" i="7"/>
  <c r="B1053" i="7"/>
  <c r="B1052" i="7"/>
  <c r="B1051" i="7"/>
  <c r="B1050" i="7"/>
  <c r="B1049" i="7"/>
  <c r="B1048" i="7"/>
  <c r="B1047" i="7"/>
  <c r="B1046" i="7"/>
  <c r="B1045" i="7"/>
  <c r="B1044" i="7"/>
  <c r="B1043" i="7"/>
  <c r="B1042" i="7"/>
  <c r="B1041" i="7"/>
  <c r="B1040" i="7"/>
  <c r="B1039" i="7"/>
  <c r="B1038" i="7"/>
  <c r="B1037" i="7"/>
  <c r="B1036" i="7"/>
  <c r="B1035" i="7"/>
  <c r="B1034" i="7"/>
  <c r="B1033" i="7"/>
  <c r="B1032" i="7"/>
  <c r="B1031" i="7"/>
  <c r="B1030" i="7"/>
  <c r="B1029" i="7"/>
  <c r="B1028" i="7"/>
  <c r="B1027" i="7"/>
  <c r="B1026" i="7"/>
  <c r="B1025" i="7"/>
  <c r="B1024" i="7"/>
  <c r="B1023" i="7"/>
  <c r="B1022" i="7"/>
  <c r="B1021" i="7"/>
  <c r="B1020" i="7"/>
  <c r="B1019" i="7"/>
  <c r="B1018" i="7"/>
  <c r="B1017" i="7"/>
  <c r="B1016" i="7"/>
  <c r="B1015" i="7"/>
  <c r="B1014" i="7"/>
  <c r="B1013" i="7"/>
  <c r="B1012" i="7"/>
  <c r="B1011" i="7"/>
  <c r="B1010" i="7"/>
  <c r="B1009" i="7"/>
  <c r="B1008" i="7"/>
  <c r="B1007" i="7"/>
  <c r="B1006" i="7"/>
  <c r="B1005" i="7"/>
  <c r="B1004" i="7"/>
  <c r="B1003" i="7"/>
  <c r="B1002" i="7"/>
  <c r="B1001" i="7"/>
  <c r="B1000" i="7"/>
  <c r="B999" i="7"/>
  <c r="B998" i="7"/>
  <c r="B997" i="7"/>
  <c r="B996" i="7"/>
  <c r="B995" i="7"/>
  <c r="B994" i="7"/>
  <c r="B993" i="7"/>
  <c r="B992" i="7"/>
  <c r="B991" i="7"/>
  <c r="B990" i="7"/>
  <c r="B989" i="7"/>
  <c r="B988" i="7"/>
  <c r="B987" i="7"/>
  <c r="B986" i="7"/>
  <c r="B985" i="7"/>
  <c r="B984" i="7"/>
  <c r="B983" i="7"/>
  <c r="B982" i="7"/>
  <c r="B981" i="7"/>
  <c r="B980" i="7"/>
  <c r="B979" i="7"/>
  <c r="B978" i="7"/>
  <c r="B977" i="7"/>
  <c r="B976" i="7"/>
  <c r="B975" i="7"/>
  <c r="B974" i="7"/>
  <c r="B973" i="7"/>
  <c r="B972" i="7"/>
  <c r="B971" i="7"/>
  <c r="B970" i="7"/>
  <c r="B969" i="7"/>
  <c r="B968" i="7"/>
  <c r="B967" i="7"/>
  <c r="B966" i="7"/>
  <c r="B965" i="7"/>
  <c r="B964" i="7"/>
  <c r="B963" i="7"/>
  <c r="B962" i="7"/>
  <c r="B961" i="7"/>
  <c r="B960" i="7"/>
  <c r="B959" i="7"/>
  <c r="B958" i="7"/>
  <c r="B957" i="7"/>
  <c r="B956" i="7"/>
  <c r="B955" i="7"/>
  <c r="B954" i="7"/>
  <c r="B953" i="7"/>
  <c r="B952" i="7"/>
  <c r="B951" i="7"/>
  <c r="B950" i="7"/>
  <c r="B949" i="7"/>
  <c r="B948" i="7"/>
  <c r="B947" i="7"/>
  <c r="B946" i="7"/>
  <c r="B945" i="7"/>
  <c r="B944" i="7"/>
  <c r="B943" i="7"/>
  <c r="B942" i="7"/>
  <c r="B941" i="7"/>
  <c r="B940" i="7"/>
  <c r="B939" i="7"/>
  <c r="B938" i="7"/>
  <c r="B937" i="7"/>
  <c r="B936" i="7"/>
  <c r="B935" i="7"/>
  <c r="B934" i="7"/>
  <c r="B933" i="7"/>
  <c r="B932" i="7"/>
  <c r="B931" i="7"/>
  <c r="B930" i="7"/>
  <c r="B929" i="7"/>
  <c r="B928" i="7"/>
  <c r="B927" i="7"/>
  <c r="B926" i="7"/>
  <c r="B925" i="7"/>
  <c r="B924" i="7"/>
  <c r="B923" i="7"/>
  <c r="B922" i="7"/>
  <c r="B921" i="7"/>
  <c r="B920" i="7"/>
  <c r="B919" i="7"/>
  <c r="B918" i="7"/>
  <c r="B917" i="7"/>
  <c r="B916" i="7"/>
  <c r="B915" i="7"/>
  <c r="B914" i="7"/>
  <c r="B913" i="7"/>
  <c r="B912" i="7"/>
  <c r="B911" i="7"/>
  <c r="B910" i="7"/>
  <c r="B909" i="7"/>
  <c r="B908" i="7"/>
  <c r="B907" i="7"/>
  <c r="B906" i="7"/>
  <c r="B905" i="7"/>
  <c r="B904" i="7"/>
  <c r="B903" i="7"/>
  <c r="B902" i="7"/>
  <c r="B901" i="7"/>
  <c r="B900" i="7"/>
  <c r="B899" i="7"/>
  <c r="B898" i="7"/>
  <c r="B897" i="7"/>
  <c r="B896" i="7"/>
  <c r="B895" i="7"/>
  <c r="B894" i="7"/>
  <c r="B893" i="7"/>
  <c r="B892" i="7"/>
  <c r="B891" i="7"/>
  <c r="B890" i="7"/>
  <c r="B889" i="7"/>
  <c r="B888" i="7"/>
  <c r="B887" i="7"/>
  <c r="B886" i="7"/>
  <c r="B885" i="7"/>
  <c r="B884" i="7"/>
  <c r="B883" i="7"/>
  <c r="B882" i="7"/>
  <c r="B881" i="7"/>
  <c r="B880" i="7"/>
  <c r="B879" i="7"/>
  <c r="B878" i="7"/>
  <c r="B877" i="7"/>
  <c r="B876" i="7"/>
  <c r="B875" i="7"/>
  <c r="B874" i="7"/>
  <c r="B873" i="7"/>
  <c r="B872" i="7"/>
  <c r="B871" i="7"/>
  <c r="B870" i="7"/>
  <c r="B869" i="7"/>
  <c r="B868" i="7"/>
  <c r="B867" i="7"/>
  <c r="B866" i="7"/>
  <c r="B865" i="7"/>
  <c r="B864" i="7"/>
  <c r="B863" i="7"/>
  <c r="B862" i="7"/>
  <c r="B861" i="7"/>
  <c r="B860" i="7"/>
  <c r="B859" i="7"/>
  <c r="B858" i="7"/>
  <c r="B857" i="7"/>
  <c r="B856" i="7"/>
  <c r="B855" i="7"/>
  <c r="B854" i="7"/>
  <c r="B853" i="7"/>
  <c r="B852" i="7"/>
  <c r="B851" i="7"/>
  <c r="B850" i="7"/>
  <c r="B849" i="7"/>
  <c r="B848" i="7"/>
  <c r="B847" i="7"/>
  <c r="B846" i="7"/>
  <c r="B845" i="7"/>
  <c r="B844" i="7"/>
  <c r="B843" i="7"/>
  <c r="B842" i="7"/>
  <c r="B841" i="7"/>
  <c r="B840" i="7"/>
  <c r="B839" i="7"/>
  <c r="B838" i="7"/>
  <c r="B837" i="7"/>
  <c r="B836" i="7"/>
  <c r="B835" i="7"/>
  <c r="B834" i="7"/>
  <c r="B833" i="7"/>
  <c r="B832" i="7"/>
  <c r="B831" i="7"/>
  <c r="B830" i="7"/>
  <c r="B829" i="7"/>
  <c r="B828" i="7"/>
  <c r="B827" i="7"/>
  <c r="B826" i="7"/>
  <c r="B825" i="7"/>
  <c r="B824" i="7"/>
  <c r="B823" i="7"/>
  <c r="B822" i="7"/>
  <c r="B821" i="7"/>
  <c r="B820" i="7"/>
  <c r="B819" i="7"/>
  <c r="B818" i="7"/>
  <c r="B817" i="7"/>
  <c r="B816" i="7"/>
  <c r="B815" i="7"/>
  <c r="B814" i="7"/>
  <c r="B813" i="7"/>
  <c r="B812" i="7"/>
  <c r="B811" i="7"/>
  <c r="B810" i="7"/>
  <c r="B809" i="7"/>
  <c r="B808" i="7"/>
  <c r="B807" i="7"/>
  <c r="B806" i="7"/>
  <c r="B805" i="7"/>
  <c r="B804" i="7"/>
  <c r="B803" i="7"/>
  <c r="B802" i="7"/>
  <c r="B801" i="7"/>
  <c r="B800" i="7"/>
  <c r="B799" i="7"/>
  <c r="B798" i="7"/>
  <c r="B797" i="7"/>
  <c r="B796" i="7"/>
  <c r="B795" i="7"/>
  <c r="B794" i="7"/>
  <c r="B793" i="7"/>
  <c r="B792" i="7"/>
  <c r="B791" i="7"/>
  <c r="B790" i="7"/>
  <c r="B789" i="7"/>
  <c r="B788" i="7"/>
  <c r="B787" i="7"/>
  <c r="B786" i="7"/>
  <c r="B785" i="7"/>
  <c r="B784" i="7"/>
  <c r="B783" i="7"/>
  <c r="B782" i="7"/>
  <c r="B781" i="7"/>
  <c r="B780" i="7"/>
  <c r="B779" i="7"/>
  <c r="B778" i="7"/>
  <c r="B777" i="7"/>
  <c r="B776" i="7"/>
  <c r="B775" i="7"/>
  <c r="B774" i="7"/>
  <c r="B773" i="7"/>
  <c r="B772" i="7"/>
  <c r="B771" i="7"/>
  <c r="B770" i="7"/>
  <c r="B769" i="7"/>
  <c r="B768" i="7"/>
  <c r="B767" i="7"/>
  <c r="B766" i="7"/>
  <c r="B765" i="7"/>
  <c r="B764" i="7"/>
  <c r="B763" i="7"/>
  <c r="B762" i="7"/>
  <c r="B761" i="7"/>
  <c r="B760" i="7"/>
  <c r="B759" i="7"/>
  <c r="B758" i="7"/>
  <c r="B757" i="7"/>
  <c r="B756" i="7"/>
  <c r="B755" i="7"/>
  <c r="B754" i="7"/>
  <c r="B753" i="7"/>
  <c r="B752" i="7"/>
  <c r="B751" i="7"/>
  <c r="B750" i="7"/>
  <c r="B749" i="7"/>
  <c r="B748" i="7"/>
  <c r="B747" i="7"/>
  <c r="B746" i="7"/>
  <c r="B745" i="7"/>
  <c r="B744" i="7"/>
  <c r="B743" i="7"/>
  <c r="B742" i="7"/>
  <c r="B741" i="7"/>
  <c r="B740" i="7"/>
  <c r="B739" i="7"/>
  <c r="B738" i="7"/>
  <c r="B737" i="7"/>
  <c r="B736" i="7"/>
  <c r="B735" i="7"/>
  <c r="B734" i="7"/>
  <c r="B733" i="7"/>
  <c r="B732" i="7"/>
  <c r="B731" i="7"/>
  <c r="B730" i="7"/>
  <c r="B729" i="7"/>
  <c r="B728" i="7"/>
  <c r="B727" i="7"/>
  <c r="B726" i="7"/>
  <c r="B725" i="7"/>
  <c r="B724" i="7"/>
  <c r="B723" i="7"/>
  <c r="B722" i="7"/>
  <c r="B721" i="7"/>
  <c r="B720" i="7"/>
  <c r="B719" i="7"/>
  <c r="B718" i="7"/>
  <c r="B717" i="7"/>
  <c r="B716" i="7"/>
  <c r="B715" i="7"/>
  <c r="B714" i="7"/>
  <c r="B713" i="7"/>
  <c r="B712" i="7"/>
  <c r="B711" i="7"/>
  <c r="B710" i="7"/>
  <c r="B709" i="7"/>
  <c r="B708" i="7"/>
  <c r="B707" i="7"/>
  <c r="B706" i="7"/>
  <c r="B705" i="7"/>
  <c r="B704" i="7"/>
  <c r="B703" i="7"/>
  <c r="B702" i="7"/>
  <c r="B701" i="7"/>
  <c r="B700" i="7"/>
  <c r="B699" i="7"/>
  <c r="B698" i="7"/>
  <c r="B697" i="7"/>
  <c r="B696" i="7"/>
  <c r="B695" i="7"/>
  <c r="B694" i="7"/>
  <c r="B693" i="7"/>
  <c r="B692" i="7"/>
  <c r="B691" i="7"/>
  <c r="B690" i="7"/>
  <c r="B689" i="7"/>
  <c r="B688" i="7"/>
  <c r="B687" i="7"/>
  <c r="B686" i="7"/>
  <c r="B685" i="7"/>
  <c r="B684" i="7"/>
  <c r="B683" i="7"/>
  <c r="B682" i="7"/>
  <c r="B681" i="7"/>
  <c r="B680" i="7"/>
  <c r="B679" i="7"/>
  <c r="B678" i="7"/>
  <c r="B677" i="7"/>
  <c r="B676" i="7"/>
  <c r="B675" i="7"/>
  <c r="B674" i="7"/>
  <c r="B673" i="7"/>
  <c r="B672" i="7"/>
  <c r="B671" i="7"/>
  <c r="B670" i="7"/>
  <c r="B669" i="7"/>
  <c r="B668" i="7"/>
  <c r="B667" i="7"/>
  <c r="B666" i="7"/>
  <c r="B665" i="7"/>
  <c r="B664" i="7"/>
  <c r="B663" i="7"/>
  <c r="B662" i="7"/>
  <c r="B661" i="7"/>
  <c r="B660" i="7"/>
  <c r="B659" i="7"/>
  <c r="B658" i="7"/>
  <c r="B657" i="7"/>
  <c r="B656" i="7"/>
  <c r="B655" i="7"/>
  <c r="B654" i="7"/>
  <c r="B653" i="7"/>
  <c r="B652" i="7"/>
  <c r="B651" i="7"/>
  <c r="B650" i="7"/>
  <c r="B649" i="7"/>
  <c r="B648" i="7"/>
  <c r="B647" i="7"/>
  <c r="B646" i="7"/>
  <c r="B645" i="7"/>
  <c r="B644" i="7"/>
  <c r="B643" i="7"/>
  <c r="B642" i="7"/>
  <c r="B641" i="7"/>
  <c r="B640" i="7"/>
  <c r="B639" i="7"/>
  <c r="B638" i="7"/>
  <c r="B637" i="7"/>
  <c r="B636" i="7"/>
  <c r="B635" i="7"/>
  <c r="B634" i="7"/>
  <c r="B633" i="7"/>
  <c r="B632" i="7"/>
  <c r="B631" i="7"/>
  <c r="B630" i="7"/>
  <c r="B629" i="7"/>
  <c r="B628" i="7"/>
  <c r="B627" i="7"/>
  <c r="B626" i="7"/>
  <c r="B625" i="7"/>
  <c r="B624" i="7"/>
  <c r="B623" i="7"/>
  <c r="B622" i="7"/>
  <c r="B621" i="7"/>
  <c r="B620" i="7"/>
  <c r="B619" i="7"/>
  <c r="B618" i="7"/>
  <c r="B617" i="7"/>
  <c r="B616" i="7"/>
  <c r="B615" i="7"/>
  <c r="B614" i="7"/>
  <c r="B613" i="7"/>
  <c r="B612" i="7"/>
  <c r="B611" i="7"/>
  <c r="B610" i="7"/>
  <c r="B609" i="7"/>
  <c r="B608" i="7"/>
  <c r="B607" i="7"/>
  <c r="B606" i="7"/>
  <c r="B605" i="7"/>
  <c r="B604" i="7"/>
  <c r="B603" i="7"/>
  <c r="B602" i="7"/>
  <c r="B601" i="7"/>
  <c r="B600" i="7"/>
  <c r="B599" i="7"/>
  <c r="B598" i="7"/>
  <c r="B597" i="7"/>
  <c r="B596" i="7"/>
  <c r="B595" i="7"/>
  <c r="B594" i="7"/>
  <c r="B593" i="7"/>
  <c r="B592" i="7"/>
  <c r="B591" i="7"/>
  <c r="B590" i="7"/>
  <c r="B589" i="7"/>
  <c r="B588" i="7"/>
  <c r="B587" i="7"/>
  <c r="B586" i="7"/>
  <c r="B585" i="7"/>
  <c r="B584" i="7"/>
  <c r="B583" i="7"/>
  <c r="B582" i="7"/>
  <c r="B581" i="7"/>
  <c r="B580" i="7"/>
  <c r="B579" i="7"/>
  <c r="B578" i="7"/>
  <c r="B577" i="7"/>
  <c r="B576" i="7"/>
  <c r="B575" i="7"/>
  <c r="B574" i="7"/>
  <c r="B573" i="7"/>
  <c r="B572" i="7"/>
  <c r="B571" i="7"/>
  <c r="B570" i="7"/>
  <c r="B569" i="7"/>
  <c r="B568" i="7"/>
  <c r="B567" i="7"/>
  <c r="B566" i="7"/>
  <c r="B565" i="7"/>
  <c r="B564" i="7"/>
  <c r="B563" i="7"/>
  <c r="B562" i="7"/>
  <c r="B561" i="7"/>
  <c r="B560" i="7"/>
  <c r="B559" i="7"/>
  <c r="B558" i="7"/>
  <c r="B557" i="7"/>
  <c r="B556" i="7"/>
  <c r="B555" i="7"/>
  <c r="B554" i="7"/>
  <c r="B553" i="7"/>
  <c r="B552" i="7"/>
  <c r="B551" i="7"/>
  <c r="B550" i="7"/>
  <c r="B549" i="7"/>
  <c r="B548" i="7"/>
  <c r="B547" i="7"/>
  <c r="B546" i="7"/>
  <c r="B545" i="7"/>
  <c r="B544" i="7"/>
  <c r="B543" i="7"/>
  <c r="B542" i="7"/>
  <c r="B541" i="7"/>
  <c r="B540" i="7"/>
  <c r="B539" i="7"/>
  <c r="B538" i="7"/>
  <c r="B537" i="7"/>
  <c r="B536" i="7"/>
  <c r="B535" i="7"/>
  <c r="B534" i="7"/>
  <c r="B533" i="7"/>
  <c r="B532" i="7"/>
  <c r="B531" i="7"/>
  <c r="B530" i="7"/>
  <c r="B529" i="7"/>
  <c r="B528" i="7"/>
  <c r="B527" i="7"/>
  <c r="B526" i="7"/>
  <c r="B525" i="7"/>
  <c r="B524" i="7"/>
  <c r="B523" i="7"/>
  <c r="B522" i="7"/>
  <c r="B521" i="7"/>
  <c r="B520" i="7"/>
  <c r="B519" i="7"/>
  <c r="B518" i="7"/>
  <c r="B517" i="7"/>
  <c r="B516" i="7"/>
  <c r="B515" i="7"/>
  <c r="B514" i="7"/>
  <c r="B513" i="7"/>
  <c r="B512" i="7"/>
  <c r="B511" i="7"/>
  <c r="B510" i="7"/>
  <c r="B509" i="7"/>
  <c r="B508" i="7"/>
  <c r="B507" i="7"/>
  <c r="B506" i="7"/>
  <c r="B505" i="7"/>
  <c r="B504" i="7"/>
  <c r="B503" i="7"/>
  <c r="B502" i="7"/>
  <c r="B501" i="7"/>
  <c r="B500" i="7"/>
  <c r="B499" i="7"/>
  <c r="B498" i="7"/>
  <c r="B497" i="7"/>
  <c r="B496" i="7"/>
  <c r="B495" i="7"/>
  <c r="B494" i="7"/>
  <c r="B493" i="7"/>
  <c r="B492" i="7"/>
  <c r="B491" i="7"/>
  <c r="B490" i="7"/>
  <c r="B489" i="7"/>
  <c r="B488" i="7"/>
  <c r="B487" i="7"/>
  <c r="B486" i="7"/>
  <c r="B485" i="7"/>
  <c r="B484" i="7"/>
  <c r="B483" i="7"/>
  <c r="B482" i="7"/>
  <c r="B481" i="7"/>
  <c r="B480" i="7"/>
  <c r="B479" i="7"/>
  <c r="B478" i="7"/>
  <c r="B477" i="7"/>
  <c r="B476" i="7"/>
  <c r="B475" i="7"/>
  <c r="B474" i="7"/>
  <c r="B473" i="7"/>
  <c r="B472" i="7"/>
  <c r="B471" i="7"/>
  <c r="B470" i="7"/>
  <c r="B469" i="7"/>
  <c r="B468" i="7"/>
  <c r="B467" i="7"/>
  <c r="B466" i="7"/>
  <c r="B465" i="7"/>
  <c r="B464" i="7"/>
  <c r="B463" i="7"/>
  <c r="B462" i="7"/>
  <c r="B461" i="7"/>
  <c r="B460" i="7"/>
  <c r="B459" i="7"/>
  <c r="B458" i="7"/>
  <c r="B457" i="7"/>
  <c r="B456" i="7"/>
  <c r="B455" i="7"/>
  <c r="B454" i="7"/>
  <c r="B453" i="7"/>
  <c r="B452" i="7"/>
  <c r="B451" i="7"/>
  <c r="B450" i="7"/>
  <c r="B449" i="7"/>
  <c r="B448" i="7"/>
  <c r="B447" i="7"/>
  <c r="B446" i="7"/>
  <c r="B445" i="7"/>
  <c r="B444" i="7"/>
  <c r="B443" i="7"/>
  <c r="B442" i="7"/>
  <c r="B441" i="7"/>
  <c r="B440" i="7"/>
  <c r="B439" i="7"/>
  <c r="B438" i="7"/>
  <c r="B437" i="7"/>
  <c r="B436" i="7"/>
  <c r="B435" i="7"/>
  <c r="B434" i="7"/>
  <c r="B433" i="7"/>
  <c r="B432" i="7"/>
  <c r="B431" i="7"/>
  <c r="B430" i="7"/>
  <c r="B429" i="7"/>
  <c r="B428" i="7"/>
  <c r="B427" i="7"/>
  <c r="B426" i="7"/>
  <c r="B425" i="7"/>
  <c r="B424" i="7"/>
  <c r="B423" i="7"/>
  <c r="B422" i="7"/>
  <c r="B421" i="7"/>
  <c r="B420" i="7"/>
  <c r="B419" i="7"/>
  <c r="B418" i="7"/>
  <c r="B417" i="7"/>
  <c r="B416" i="7"/>
  <c r="B415" i="7"/>
  <c r="B414" i="7"/>
  <c r="B413" i="7"/>
  <c r="B412" i="7"/>
  <c r="B411" i="7"/>
  <c r="B410" i="7"/>
  <c r="B409" i="7"/>
  <c r="B408" i="7"/>
  <c r="B407" i="7"/>
  <c r="B406" i="7"/>
  <c r="B405" i="7"/>
  <c r="B404" i="7"/>
  <c r="B403" i="7"/>
  <c r="B402" i="7"/>
  <c r="B401" i="7"/>
  <c r="B400" i="7"/>
  <c r="B399" i="7"/>
  <c r="B398" i="7"/>
  <c r="B397" i="7"/>
  <c r="B396" i="7"/>
  <c r="B395" i="7"/>
  <c r="B394" i="7"/>
  <c r="B393" i="7"/>
  <c r="B392" i="7"/>
  <c r="B391" i="7"/>
  <c r="B390" i="7"/>
  <c r="B389" i="7"/>
  <c r="B388" i="7"/>
  <c r="B387" i="7"/>
  <c r="B386" i="7"/>
  <c r="B385" i="7"/>
  <c r="B384" i="7"/>
  <c r="B383" i="7"/>
  <c r="B382" i="7"/>
  <c r="B381" i="7"/>
  <c r="B380" i="7"/>
  <c r="B379" i="7"/>
  <c r="B378" i="7"/>
  <c r="B377" i="7"/>
  <c r="B376" i="7"/>
  <c r="B375" i="7"/>
  <c r="B374" i="7"/>
  <c r="B373" i="7"/>
  <c r="B372" i="7"/>
  <c r="B371" i="7"/>
  <c r="B370" i="7"/>
  <c r="B369" i="7"/>
  <c r="B368" i="7"/>
  <c r="B367" i="7"/>
  <c r="B366" i="7"/>
  <c r="B365" i="7"/>
  <c r="B364" i="7"/>
  <c r="B363" i="7"/>
  <c r="B362" i="7"/>
  <c r="B361" i="7"/>
  <c r="B360" i="7"/>
  <c r="B359" i="7"/>
  <c r="B358" i="7"/>
  <c r="B357" i="7"/>
  <c r="B356" i="7"/>
  <c r="B355" i="7"/>
  <c r="B354" i="7"/>
  <c r="B353" i="7"/>
  <c r="B352" i="7"/>
  <c r="B351" i="7"/>
  <c r="B350" i="7"/>
  <c r="B349" i="7"/>
  <c r="B348" i="7"/>
  <c r="B347" i="7"/>
  <c r="B346" i="7"/>
  <c r="B345" i="7"/>
  <c r="B344" i="7"/>
  <c r="B343" i="7"/>
  <c r="B342" i="7"/>
  <c r="B341" i="7"/>
  <c r="B340" i="7"/>
  <c r="B339" i="7"/>
  <c r="B338" i="7"/>
  <c r="B337" i="7"/>
  <c r="B336" i="7"/>
  <c r="B335" i="7"/>
  <c r="B334" i="7"/>
  <c r="B333" i="7"/>
  <c r="B332" i="7"/>
  <c r="B331" i="7"/>
  <c r="B330" i="7"/>
  <c r="B329" i="7"/>
  <c r="B328" i="7"/>
  <c r="B327" i="7"/>
  <c r="B326" i="7"/>
  <c r="B325" i="7"/>
  <c r="B324" i="7"/>
  <c r="B323" i="7"/>
  <c r="B322" i="7"/>
  <c r="B321" i="7"/>
  <c r="B320" i="7"/>
  <c r="B319" i="7"/>
  <c r="B318" i="7"/>
  <c r="B317" i="7"/>
  <c r="B316" i="7"/>
  <c r="B315" i="7"/>
  <c r="B314" i="7"/>
  <c r="B313" i="7"/>
  <c r="B312" i="7"/>
  <c r="B311" i="7"/>
  <c r="B310" i="7"/>
  <c r="B309" i="7"/>
  <c r="B308" i="7"/>
  <c r="B307" i="7"/>
  <c r="B306" i="7"/>
  <c r="B305" i="7"/>
  <c r="B304" i="7"/>
  <c r="B303" i="7"/>
  <c r="B302" i="7"/>
  <c r="B301" i="7"/>
  <c r="B300" i="7"/>
  <c r="B299" i="7"/>
  <c r="B298" i="7"/>
  <c r="B297" i="7"/>
  <c r="B296" i="7"/>
  <c r="B295" i="7"/>
  <c r="B294" i="7"/>
  <c r="B293" i="7"/>
  <c r="B292" i="7"/>
  <c r="B291" i="7"/>
  <c r="B290" i="7"/>
  <c r="B289" i="7"/>
  <c r="B288" i="7"/>
  <c r="B287" i="7"/>
  <c r="B286" i="7"/>
  <c r="B285" i="7"/>
  <c r="B284" i="7"/>
  <c r="B283" i="7"/>
  <c r="B282" i="7"/>
  <c r="B281" i="7"/>
  <c r="B280" i="7"/>
  <c r="B279" i="7"/>
  <c r="B278" i="7"/>
  <c r="B277" i="7"/>
  <c r="B276" i="7"/>
  <c r="B275" i="7"/>
  <c r="B274" i="7"/>
  <c r="B273" i="7"/>
  <c r="B272" i="7"/>
  <c r="B271" i="7"/>
  <c r="B270" i="7"/>
  <c r="B269" i="7"/>
  <c r="B268" i="7"/>
  <c r="B267" i="7"/>
  <c r="B266" i="7"/>
  <c r="B265" i="7"/>
  <c r="B264" i="7"/>
  <c r="B263" i="7"/>
  <c r="B262" i="7"/>
  <c r="B261" i="7"/>
  <c r="B260" i="7"/>
  <c r="B259" i="7"/>
  <c r="B258" i="7"/>
  <c r="B257" i="7"/>
  <c r="B256" i="7"/>
  <c r="B255" i="7"/>
  <c r="B254" i="7"/>
  <c r="B253" i="7"/>
  <c r="B252" i="7"/>
  <c r="B251" i="7"/>
  <c r="B250" i="7"/>
  <c r="B249" i="7"/>
  <c r="B248" i="7"/>
  <c r="B247" i="7"/>
  <c r="B246" i="7"/>
  <c r="B245" i="7"/>
  <c r="B244" i="7"/>
  <c r="B243" i="7"/>
  <c r="B242" i="7"/>
  <c r="B241" i="7"/>
  <c r="B240" i="7"/>
  <c r="B239" i="7"/>
  <c r="B238" i="7"/>
  <c r="B237" i="7"/>
  <c r="B236" i="7"/>
  <c r="B235" i="7"/>
  <c r="B234" i="7"/>
  <c r="B233" i="7"/>
  <c r="B232" i="7"/>
  <c r="B231" i="7"/>
  <c r="B230" i="7"/>
  <c r="B229" i="7"/>
  <c r="B228" i="7"/>
  <c r="B227" i="7"/>
  <c r="B226" i="7"/>
  <c r="B225" i="7"/>
  <c r="B224" i="7"/>
  <c r="B223" i="7"/>
  <c r="B222" i="7"/>
  <c r="B221" i="7"/>
  <c r="B220" i="7"/>
  <c r="B219" i="7"/>
  <c r="B218" i="7"/>
  <c r="B217" i="7"/>
  <c r="B216" i="7"/>
  <c r="B215" i="7"/>
  <c r="B214" i="7"/>
  <c r="B213" i="7"/>
  <c r="B212" i="7"/>
  <c r="B211" i="7"/>
  <c r="B210" i="7"/>
  <c r="B209" i="7"/>
  <c r="B208" i="7"/>
  <c r="B207" i="7"/>
  <c r="B206" i="7"/>
  <c r="B205" i="7"/>
  <c r="B204" i="7"/>
  <c r="B203" i="7"/>
  <c r="B202" i="7"/>
  <c r="A174" i="7"/>
  <c r="A170" i="7"/>
  <c r="A164" i="7"/>
  <c r="A163" i="7"/>
  <c r="A162" i="7"/>
  <c r="A161" i="7"/>
  <c r="A159" i="7"/>
  <c r="A150" i="7"/>
  <c r="A148" i="7"/>
  <c r="A142" i="7"/>
  <c r="A139" i="7"/>
  <c r="A138" i="7"/>
  <c r="A136" i="7"/>
  <c r="A130" i="7"/>
  <c r="A117" i="7"/>
  <c r="A114" i="7"/>
  <c r="A112" i="7"/>
  <c r="A111" i="7"/>
  <c r="A110" i="7"/>
  <c r="A106" i="7"/>
  <c r="A104" i="7"/>
  <c r="A103" i="7"/>
  <c r="A99" i="7"/>
  <c r="A95" i="7"/>
  <c r="A93" i="7"/>
  <c r="A89" i="7"/>
  <c r="A87" i="7"/>
  <c r="A63" i="7"/>
  <c r="A58" i="7"/>
  <c r="A55" i="7"/>
  <c r="A52" i="7"/>
  <c r="A51" i="7"/>
  <c r="A50" i="7"/>
  <c r="A47" i="7"/>
  <c r="A46" i="7"/>
  <c r="A44" i="7"/>
  <c r="A43" i="7"/>
  <c r="A42" i="7"/>
  <c r="A40" i="7"/>
  <c r="A39" i="7"/>
  <c r="A38" i="7"/>
  <c r="A34" i="7"/>
  <c r="A32" i="7"/>
  <c r="A30" i="7"/>
  <c r="A28" i="7"/>
  <c r="A27" i="7"/>
  <c r="A26" i="7"/>
  <c r="A22" i="7"/>
  <c r="A21" i="7"/>
  <c r="A20" i="7"/>
  <c r="A19" i="7"/>
  <c r="J630" i="22" l="1"/>
  <c r="I627" i="22"/>
  <c r="I615" i="22"/>
  <c r="J615" i="22"/>
  <c r="J627" i="22"/>
  <c r="I630" i="22"/>
  <c r="J616" i="22"/>
  <c r="I616" i="22"/>
  <c r="J613" i="22"/>
  <c r="I613" i="22"/>
  <c r="J628" i="22"/>
  <c r="I628" i="22"/>
  <c r="A180" i="7"/>
  <c r="A199" i="7"/>
  <c r="A167" i="7"/>
  <c r="A165" i="7"/>
  <c r="A195" i="7"/>
  <c r="A25" i="7"/>
  <c r="A133" i="7"/>
  <c r="A168" i="7"/>
  <c r="A132" i="7"/>
  <c r="A183" i="7"/>
  <c r="A145" i="7"/>
  <c r="A197" i="7"/>
  <c r="A108" i="7"/>
  <c r="A144" i="7"/>
  <c r="A169" i="7"/>
  <c r="A109" i="7"/>
  <c r="A18" i="7"/>
  <c r="A24" i="7"/>
  <c r="A41" i="7"/>
  <c r="A181" i="7"/>
  <c r="A29" i="7"/>
  <c r="A2" i="7"/>
  <c r="A3" i="7"/>
  <c r="A4" i="7"/>
  <c r="A5" i="7"/>
  <c r="A6" i="7"/>
  <c r="A7" i="7"/>
  <c r="A8" i="7"/>
  <c r="A9" i="7"/>
  <c r="A10" i="7"/>
  <c r="A11" i="7"/>
  <c r="A12" i="7"/>
  <c r="A13" i="7"/>
  <c r="A14" i="7"/>
  <c r="A15" i="7"/>
  <c r="A16" i="7"/>
  <c r="A17" i="7"/>
  <c r="A23" i="7"/>
  <c r="A31" i="7"/>
  <c r="A33" i="7"/>
  <c r="A35" i="7"/>
  <c r="A37" i="7"/>
  <c r="A54" i="7"/>
  <c r="A45" i="7"/>
  <c r="A85" i="7"/>
  <c r="A65" i="7"/>
  <c r="A68" i="7"/>
  <c r="A71" i="7"/>
  <c r="A74" i="7"/>
  <c r="A84" i="7"/>
  <c r="A57" i="7"/>
  <c r="A60" i="7"/>
  <c r="A75" i="7"/>
  <c r="A83" i="7"/>
  <c r="A66" i="7"/>
  <c r="A69" i="7"/>
  <c r="A72" i="7"/>
  <c r="A76" i="7"/>
  <c r="A82" i="7"/>
  <c r="A53" i="7"/>
  <c r="A56" i="7"/>
  <c r="A59" i="7"/>
  <c r="A62" i="7"/>
  <c r="A64" i="7"/>
  <c r="A77" i="7"/>
  <c r="A81" i="7"/>
  <c r="A67" i="7"/>
  <c r="A70" i="7"/>
  <c r="A73" i="7"/>
  <c r="A78" i="7"/>
  <c r="A79" i="7"/>
  <c r="A80" i="7"/>
  <c r="A86" i="7"/>
  <c r="A92" i="7"/>
  <c r="A98" i="7"/>
  <c r="A105" i="7"/>
  <c r="A107" i="7"/>
  <c r="A123" i="7"/>
  <c r="A91" i="7"/>
  <c r="A97" i="7"/>
  <c r="A102" i="7"/>
  <c r="A90" i="7"/>
  <c r="A96" i="7"/>
  <c r="A135" i="7"/>
  <c r="A88" i="7"/>
  <c r="A94" i="7"/>
  <c r="A100" i="7"/>
  <c r="A121" i="7"/>
  <c r="A129" i="7"/>
  <c r="A149" i="7"/>
  <c r="A116" i="7"/>
  <c r="A126" i="7"/>
  <c r="A177" i="7"/>
  <c r="A115" i="7"/>
  <c r="A120" i="7"/>
  <c r="A141" i="7"/>
  <c r="A122" i="7"/>
  <c r="A124" i="7"/>
  <c r="A131" i="7"/>
  <c r="A154" i="7"/>
  <c r="A127" i="7"/>
  <c r="A151" i="7"/>
  <c r="A146" i="7"/>
  <c r="A113" i="7"/>
  <c r="A119" i="7"/>
  <c r="A152" i="7"/>
  <c r="A118" i="7"/>
  <c r="A125" i="7"/>
  <c r="A128" i="7"/>
  <c r="A134" i="7"/>
  <c r="A140" i="7"/>
  <c r="A172" i="7"/>
  <c r="A190" i="7"/>
  <c r="A176" i="7"/>
  <c r="A193" i="7"/>
  <c r="A198" i="7"/>
  <c r="A137" i="7"/>
  <c r="A143" i="7"/>
  <c r="A147" i="7"/>
  <c r="A178" i="7"/>
  <c r="A200" i="7"/>
  <c r="A173" i="7"/>
  <c r="A189" i="7"/>
  <c r="A160" i="7"/>
  <c r="A192" i="7"/>
  <c r="A157" i="7"/>
  <c r="A184" i="7"/>
  <c r="A156" i="7"/>
  <c r="A155" i="7"/>
  <c r="A166" i="7"/>
  <c r="A171" i="7"/>
  <c r="A175" i="7"/>
  <c r="A186" i="7"/>
  <c r="A187" i="7"/>
  <c r="A196" i="7"/>
  <c r="A153" i="7"/>
  <c r="A158" i="7"/>
  <c r="A179" i="7"/>
  <c r="A182" i="7"/>
  <c r="A185" i="7"/>
  <c r="A188" i="7"/>
  <c r="A191" i="7"/>
  <c r="A194" i="7"/>
  <c r="J626" i="22" l="1"/>
  <c r="I612" i="22"/>
  <c r="J612" i="22"/>
  <c r="I626" i="22"/>
  <c r="I614" i="22" l="1"/>
  <c r="J614" i="22"/>
  <c r="I625" i="22"/>
  <c r="J625" i="22"/>
  <c r="M612" i="22" l="1"/>
  <c r="M613" i="22" s="1"/>
  <c r="M614" i="22" s="1"/>
  <c r="M615" i="22" s="1"/>
  <c r="M616" i="22" s="1"/>
  <c r="M617" i="22" s="1"/>
  <c r="M618" i="22" s="1"/>
  <c r="M619" i="22" s="1"/>
  <c r="M620" i="22" s="1"/>
  <c r="M621" i="22" s="1"/>
  <c r="M622" i="22" s="1"/>
  <c r="M623" i="22" s="1"/>
  <c r="M624" i="22" s="1"/>
  <c r="N612" i="22" l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DEA7B8E-27B1-4953-A901-B6EEA2D1620C}" keepAlive="1" name="Abfrage - Beispieldatei" description="Verbindung mit der Abfrage 'Beispieldatei' in der Arbeitsmappe." type="5" refreshedVersion="0" background="1">
    <dbPr connection="Provider=Microsoft.Mashup.OleDb.1;Data Source=$Workbook$;Location=Beispieldatei;Extended Properties=&quot;&quot;" command="SELECT * FROM [Beispieldatei]"/>
  </connection>
  <connection id="2" xr16:uid="{C3B89F91-9C9A-4BFB-B98A-BDA4FCF0E0EE}" keepAlive="1" name="Abfrage - Beispieldatei (2)" description="Verbindung mit der Abfrage 'Beispieldatei (2)' in der Arbeitsmappe." type="5" refreshedVersion="0" background="1">
    <dbPr connection="Provider=Microsoft.Mashup.OleDb.1;Data Source=$Workbook$;Location=&quot;Beispieldatei (2)&quot;;Extended Properties=&quot;&quot;" command="SELECT * FROM [Beispieldatei (2)]"/>
  </connection>
  <connection id="3" xr16:uid="{3550AD7D-F5B1-4DBB-BEDB-2F210C4BD108}" keepAlive="1" name="Abfrage - Beispieldatei transformieren" description="Verbindung mit der Abfrage 'Beispieldatei transformieren' in der Arbeitsmappe." type="5" refreshedVersion="0" background="1">
    <dbPr connection="Provider=Microsoft.Mashup.OleDb.1;Data Source=$Workbook$;Location=&quot;Beispieldatei transformieren&quot;;Extended Properties=&quot;&quot;" command="SELECT * FROM [Beispieldatei transformieren]"/>
  </connection>
  <connection id="4" xr16:uid="{399120CC-D33D-43AB-803E-9F87E11206EE}" keepAlive="1" name="Abfrage - Beispieldatei transformieren (2)" description="Verbindung mit der Abfrage 'Beispieldatei transformieren (2)' in der Arbeitsmappe." type="5" refreshedVersion="0" background="1">
    <dbPr connection="Provider=Microsoft.Mashup.OleDb.1;Data Source=$Workbook$;Location=&quot;Beispieldatei transformieren (2)&quot;;Extended Properties=&quot;&quot;" command="SELECT * FROM [Beispieldatei transformieren (2)]"/>
  </connection>
  <connection id="5" xr16:uid="{5F93AD26-0D21-4C0E-9B5D-4344EE479AD9}" keepAlive="1" name="Abfrage - Datei transformieren" description="Verbindung mit der Abfrage 'Datei transformieren' in der Arbeitsmappe." type="5" refreshedVersion="0" background="1">
    <dbPr connection="Provider=Microsoft.Mashup.OleDb.1;Data Source=$Workbook$;Location=&quot;Datei transformieren&quot;;Extended Properties=&quot;&quot;" command="SELECT * FROM [Datei transformieren]"/>
  </connection>
  <connection id="6" xr16:uid="{922A8069-F828-48D1-8129-1AF474CE4EC0}" keepAlive="1" name="Abfrage - Datei transformieren (2)" description="Verbindung mit der Abfrage 'Datei transformieren (2)' in der Arbeitsmappe." type="5" refreshedVersion="0" background="1">
    <dbPr connection="Provider=Microsoft.Mashup.OleDb.1;Data Source=$Workbook$;Location=&quot;Datei transformieren (2)&quot;;Extended Properties=&quot;&quot;" command="SELECT * FROM [Datei transformieren (2)]"/>
  </connection>
  <connection id="7" xr16:uid="{BE00DA16-AE28-4E94-ADE9-4D4CA12CA6DA}" keepAlive="1" name="Abfrage - Parameter1" description="Verbindung mit der Abfrage 'Parameter1' in der Arbeitsmappe." type="5" refreshedVersion="0" background="1">
    <dbPr connection="Provider=Microsoft.Mashup.OleDb.1;Data Source=$Workbook$;Location=Parameter1;Extended Properties=&quot;&quot;" command="SELECT * FROM [Parameter1]"/>
  </connection>
  <connection id="8" xr16:uid="{04BC8D1C-A9B5-4951-887A-F5A86BF06F6C}" keepAlive="1" name="Abfrage - Parameter2" description="Verbindung mit der Abfrage 'Parameter2' in der Arbeitsmappe." type="5" refreshedVersion="0" background="1">
    <dbPr connection="Provider=Microsoft.Mashup.OleDb.1;Data Source=$Workbook$;Location=Parameter2;Extended Properties=&quot;&quot;" command="SELECT * FROM [Parameter2]"/>
  </connection>
  <connection id="9" xr16:uid="{6AB8D1D4-18DF-465E-9859-27219ADDD4F6}" keepAlive="1" name="Abfrage - Sensitivität_bzw_Monte_Carlo_bei_Strom" description="Verbindung mit der Abfrage 'Sensitivität_bzw_Monte_Carlo_bei_Strom' in der Arbeitsmappe." type="5" refreshedVersion="8" background="1" saveData="1">
    <dbPr connection="Provider=Microsoft.Mashup.OleDb.1;Data Source=$Workbook$;Location=Sensitivität_bzw_Monte_Carlo_bei_Strom;Extended Properties=&quot;&quot;" command="SELECT * FROM [Sensitivität_bzw_Monte_Carlo_bei_Strom]"/>
  </connection>
  <connection id="10" xr16:uid="{F4285353-24C0-4B5D-B2BA-E019117E51FB}" keepAlive="1" name="Abfrage - Variation_Singulär" description="Verbindung mit der Abfrage 'Variation_Singulär' in der Arbeitsmappe." type="5" refreshedVersion="8" background="1" saveData="1">
    <dbPr connection="Provider=Microsoft.Mashup.OleDb.1;Data Source=$Workbook$;Location=Variation_Singulär;Extended Properties=&quot;&quot;" command="SELECT * FROM [Variation_Singulär]"/>
  </connection>
</connections>
</file>

<file path=xl/sharedStrings.xml><?xml version="1.0" encoding="utf-8"?>
<sst xmlns="http://schemas.openxmlformats.org/spreadsheetml/2006/main" count="6685" uniqueCount="125">
  <si>
    <t>Auszahlung_aus_der_Szenario_Range_Szenario_II_1.xlsx</t>
  </si>
  <si>
    <t>Batteriepreisenkung_Range_Szenario_II_2.xlsx</t>
  </si>
  <si>
    <t>Habenzins_Range_Szenario_II_1.xlsx</t>
  </si>
  <si>
    <t>Habenzins_Range_Szenario_II_2.xlsx</t>
  </si>
  <si>
    <t>Inflation_Range_Szenario_II_1.xlsx</t>
  </si>
  <si>
    <t>Inflation_Range_Szenario_II_2.xlsx</t>
  </si>
  <si>
    <t>Sollzins_KfW_Range_Szenario_II_1.xlsx</t>
  </si>
  <si>
    <t>Sollzins_KfW_Range_Szenario_II_2.xlsx</t>
  </si>
  <si>
    <t>Strompreis_lower_Szenario_II_1.xlsx</t>
  </si>
  <si>
    <t>Strompreis_lower_Szenario_II_2.xlsx</t>
  </si>
  <si>
    <t>Strompreis_upper_Szenario_II_1.xlsx</t>
  </si>
  <si>
    <t>Strompreis_upper_Szenario_II_2.xlsx</t>
  </si>
  <si>
    <t>Source.Name</t>
  </si>
  <si>
    <t>0</t>
  </si>
  <si>
    <t>1</t>
  </si>
  <si>
    <t>20</t>
  </si>
  <si>
    <t>Auszahlung_aus_der_Szenario_Range</t>
  </si>
  <si>
    <t>Typ</t>
  </si>
  <si>
    <t>Teilschritte</t>
  </si>
  <si>
    <t>Auszahlung_aus_der_Szenario_Range.xlsx</t>
  </si>
  <si>
    <t>Auszahlung_BoS_Versicherung_Wartung_Range.xlsx</t>
  </si>
  <si>
    <t>Batteriepreisenkung_Range.xlsx</t>
  </si>
  <si>
    <t>Batteriepreis_Range.xlsx</t>
  </si>
  <si>
    <t>Degredation_Range.xlsx</t>
  </si>
  <si>
    <t>Fremdkapitalzins_Range.xlsx</t>
  </si>
  <si>
    <t>Habenzins_Range.xlsx</t>
  </si>
  <si>
    <t>Inflation_Range.xlsx</t>
  </si>
  <si>
    <t>Sollzins_KfW_Range.xlsx</t>
  </si>
  <si>
    <t>Variation</t>
  </si>
  <si>
    <t>=LINKS(Sensitivität_bzw_Monte_Carlo_bei_Strom[@[Source.Name]];SUCHEN("II";Sensitivität_bzw_Monte_Carlo_bei_Strom[@[Source.Name]];1)-11)</t>
  </si>
  <si>
    <t>=LINKS(Variation_Singulär!A2;SUCHEN(".xlsx";Variation_Singulär!A2;1)-1)</t>
  </si>
  <si>
    <t>Auszahlung_aus_der_Szenario_Range_2.xlsx</t>
  </si>
  <si>
    <t>Auszahlung_BoS_Versicherung_Wartung_Range_Szenario_II_1.xlsx</t>
  </si>
  <si>
    <t>Auszahlung_BoS_Versicherung_Wartung_Range_Szenario_II_2.xlsx</t>
  </si>
  <si>
    <t>Batteriepreis_Range_Szenario_II_2.xlsx</t>
  </si>
  <si>
    <t>Degredation_Range_Szenario_II_1.xlsx</t>
  </si>
  <si>
    <t>Degredation_Range_Szenario_II_2.xlsx</t>
  </si>
  <si>
    <t>Einspeisevergütung_Range_Szenario_II_1.xlsx</t>
  </si>
  <si>
    <t>Einspeisevergütung_Range_Szenario_II_2.xlsx</t>
  </si>
  <si>
    <t>Fremdkapitalzins_Range_Szenario_II_1.xlsx</t>
  </si>
  <si>
    <t>Fremdkapitalzins_Range_Szenario_II_2.xlsx</t>
  </si>
  <si>
    <t>Sensitivität_bzw_Monte_Carlo_be</t>
  </si>
  <si>
    <t>Variation_Singulär</t>
  </si>
  <si>
    <t>Anschaffung</t>
  </si>
  <si>
    <t>Laufende_Kosten</t>
  </si>
  <si>
    <t>Batteriepreissenkung</t>
  </si>
  <si>
    <t>Batteriepreis</t>
  </si>
  <si>
    <t>Degradation</t>
  </si>
  <si>
    <t>Einspeisevergütung</t>
  </si>
  <si>
    <t>Habenzins</t>
  </si>
  <si>
    <t>Inflation</t>
  </si>
  <si>
    <t>Sollzins_KfW</t>
  </si>
  <si>
    <t>Strompreis</t>
  </si>
  <si>
    <t>Register</t>
  </si>
  <si>
    <t>Tornado</t>
  </si>
  <si>
    <t>Szenario</t>
  </si>
  <si>
    <t>Endwert aus dem Basisszenario</t>
  </si>
  <si>
    <t>Median</t>
  </si>
  <si>
    <t>Min</t>
  </si>
  <si>
    <t>Max</t>
  </si>
  <si>
    <t>Bundesregierung</t>
  </si>
  <si>
    <t>EU-Kommission</t>
  </si>
  <si>
    <t>Internationaler Währungsfonds</t>
  </si>
  <si>
    <t>OECD</t>
  </si>
  <si>
    <t>Bundesbank</t>
  </si>
  <si>
    <t>Sachverständigenrat zur Begutachtung der gesamtwirtschaftlichen Entwicklung</t>
  </si>
  <si>
    <t>Gemeinschaftsdiagnose der führenden Wirtschaftsforschungsinstitute</t>
  </si>
  <si>
    <t>ifo Institut für Wirtschaftsforschung an der Universität München</t>
  </si>
  <si>
    <t>Institut für Weltwirtschaft IfW Kiel</t>
  </si>
  <si>
    <t>Institut der deutschen Wirtschaft Köln</t>
  </si>
  <si>
    <t>Hamburgisches WeltWirtschaftsInstitut</t>
  </si>
  <si>
    <t>Institut für Wirtschaftsforschung Halle IWH</t>
  </si>
  <si>
    <t>Institut für Makroökonomie und Konjunkturforschung IMK</t>
  </si>
  <si>
    <t>RWI – Leibniz-Institut für Wirtschaftsforschung</t>
  </si>
  <si>
    <t>Quelle Tagesschau</t>
  </si>
  <si>
    <t>Datum der Vorhersage</t>
  </si>
  <si>
    <t>2022</t>
  </si>
  <si>
    <t>2023</t>
  </si>
  <si>
    <t>--&gt;</t>
  </si>
  <si>
    <t>Mittel</t>
  </si>
  <si>
    <t>Stabwa</t>
  </si>
  <si>
    <t>Prognose in Sept</t>
  </si>
  <si>
    <t>Prognose gesamt</t>
  </si>
  <si>
    <t>notes</t>
  </si>
  <si>
    <t>Batteriepreissenkung_II_2.xlsx</t>
  </si>
  <si>
    <t>Habenzinssatz_II_2.xlsx</t>
  </si>
  <si>
    <t>Inflation_II_2.xlsx</t>
  </si>
  <si>
    <t>Strompreis_II_1.xlsx</t>
  </si>
  <si>
    <t>Strompreis_II_2.xlsx</t>
  </si>
  <si>
    <t>Column1</t>
  </si>
  <si>
    <t>Strompreis_Range.xlsx</t>
  </si>
  <si>
    <t>Ertragsteuer</t>
  </si>
  <si>
    <t xml:space="preserve"> </t>
  </si>
  <si>
    <t>Minimum</t>
  </si>
  <si>
    <t>Maximum</t>
  </si>
  <si>
    <t>Laufende Kosten</t>
  </si>
  <si>
    <t>Basisszenario II 1</t>
  </si>
  <si>
    <t>Basisszenario II 2</t>
  </si>
  <si>
    <t>Spalte1</t>
  </si>
  <si>
    <t>Der keinste Wert</t>
  </si>
  <si>
    <t>FuzzyLookup_AddIn_Undo_Sheet</t>
  </si>
  <si>
    <t>Anschaffungsauszahlung_II_1.xlsx</t>
  </si>
  <si>
    <t>Anschaffungsauszahlung_II_2.xlsx</t>
  </si>
  <si>
    <t>Batteriepreis_II_2.xlsx</t>
  </si>
  <si>
    <t>Degradation_II_1.xlsx</t>
  </si>
  <si>
    <t>Degradation_II_2.xlsx</t>
  </si>
  <si>
    <t>Fremdkapitalzins_KfW_II_2.xlsx</t>
  </si>
  <si>
    <t>Habenzinssatz_II_1.xlsx</t>
  </si>
  <si>
    <t>Inflation_II_1.xlsx</t>
  </si>
  <si>
    <t>Laufende_Zahlungen_II_1.xlsx</t>
  </si>
  <si>
    <t>Laufende_Zahlungen_II_2.xlsx</t>
  </si>
  <si>
    <t>Sollzinssatz_KfW_II_1.xlsx</t>
  </si>
  <si>
    <t>Strompreis_Range_Quantile_Range.xlsx</t>
  </si>
  <si>
    <t>MIN</t>
  </si>
  <si>
    <t>MAX</t>
  </si>
  <si>
    <t>Parameter</t>
  </si>
  <si>
    <t>Laufende Zahlungen</t>
  </si>
  <si>
    <t>Sollzinssatz vom KfW</t>
  </si>
  <si>
    <t>Batteriepreis nach 10 Jahren</t>
  </si>
  <si>
    <t>/</t>
  </si>
  <si>
    <t xml:space="preserve">Maximum </t>
  </si>
  <si>
    <t xml:space="preserve">Minimum </t>
  </si>
  <si>
    <t>Maximum_Norm</t>
  </si>
  <si>
    <t>Minium_Norm</t>
  </si>
  <si>
    <t>Relative Verhältnis aus Szenario II (1) der ausgewählten Spannweiten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</si>
</sst>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2">
    <numFmt numFmtId="44" formatCode="_-* #,##0.00\ &quot;€&quot;_-;\-* #,##0.00\ &quot;€&quot;_-;_-* &quot;-&quot;??\ &quot;€&quot;_-;_-@_-"/>
    <numFmt numFmtId="164" formatCode="0.000%"/>
  </numFmts>
  <fonts count="12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2"/>
      <color theme="1"/>
      <name val="Times New Roman"/>
      <family val="1"/>
    </font>
    <font>
      <b/>
      <u/>
      <sz val="12"/>
      <color theme="10"/>
      <name val="Times New Roman"/>
      <family val="1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sz val="11"/>
      <color rgb="FFE3E4E7"/>
      <name val="Arial"/>
      <family val="2"/>
    </font>
    <font>
      <b/>
      <sz val="11"/>
      <color rgb="FFE3E4E7"/>
      <name val="Arial"/>
      <family val="2"/>
    </font>
    <font>
      <b/>
      <sz val="11"/>
      <color theme="1"/>
      <name val="Calibri"/>
      <family val="2"/>
      <scheme val="minor"/>
    </font>
    <font>
      <sz val="12"/>
      <color theme="1"/>
      <name val="Times New Roman"/>
      <family val="1"/>
    </font>
    <font>
      <b/>
      <sz val="14"/>
      <color theme="1"/>
      <name val="Times New Roman"/>
      <family val="1"/>
    </font>
  </fonts>
  <fills count="1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34998626667073579"/>
        <bgColor theme="0" tint="-0.34998626667073579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253044"/>
        <bgColor indexed="64"/>
      </patternFill>
    </fill>
    <fill>
      <patternFill patternType="solid">
        <fgColor rgb="FF3B4557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4" tint="0.79998168889431442"/>
        <bgColor theme="4" tint="0.79998168889431442"/>
      </patternFill>
    </fill>
  </fills>
  <borders count="14">
    <border>
      <left/>
      <right/>
      <top/>
      <bottom/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/>
      <right/>
      <top/>
      <bottom style="medium">
        <color rgb="FF3B4557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1"/>
      </top>
      <bottom style="thin">
        <color theme="1"/>
      </bottom>
      <diagonal/>
    </border>
    <border>
      <left/>
      <right style="thin">
        <color theme="1"/>
      </right>
      <top style="thin">
        <color theme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/>
      <bottom/>
      <diagonal/>
    </border>
  </borders>
  <cellStyleXfs count="5">
    <xf numFmtId="0" fontId="0" fillId="0" borderId="0"/>
    <xf numFmtId="0" fontId="2" fillId="0" borderId="0" applyNumberFormat="0" applyFill="0" applyBorder="0" applyAlignment="0" applyProtection="0"/>
    <xf numFmtId="9" fontId="6" fillId="0" borderId="0" applyFont="0" applyFill="0" applyBorder="0" applyAlignment="0" applyProtection="0"/>
    <xf numFmtId="0" fontId="9" fillId="0" borderId="0"/>
    <xf numFmtId="44" fontId="6" fillId="0" borderId="0" applyFont="0" applyFill="0" applyBorder="0" applyAlignment="0" applyProtection="0"/>
  </cellStyleXfs>
  <cellXfs count="55">
    <xf numFmtId="0" fontId="0" fillId="0" borderId="0" xfId="0"/>
    <xf numFmtId="0" fontId="0" fillId="0" borderId="0" xfId="0" applyNumberFormat="1"/>
    <xf numFmtId="0" fontId="0" fillId="0" borderId="0" xfId="0" applyFill="1"/>
    <xf numFmtId="0" fontId="0" fillId="0" borderId="0" xfId="0" quotePrefix="1"/>
    <xf numFmtId="0" fontId="0" fillId="2" borderId="0" xfId="0" applyFill="1"/>
    <xf numFmtId="0" fontId="0" fillId="3" borderId="0" xfId="0" applyFill="1"/>
    <xf numFmtId="0" fontId="3" fillId="0" borderId="0" xfId="0" applyFont="1"/>
    <xf numFmtId="0" fontId="4" fillId="0" borderId="0" xfId="1" applyFont="1"/>
    <xf numFmtId="0" fontId="0" fillId="4" borderId="2" xfId="0" applyFont="1" applyFill="1" applyBorder="1"/>
    <xf numFmtId="0" fontId="0" fillId="5" borderId="2" xfId="0" applyFont="1" applyFill="1" applyBorder="1"/>
    <xf numFmtId="0" fontId="0" fillId="4" borderId="4" xfId="0" applyFont="1" applyFill="1" applyBorder="1"/>
    <xf numFmtId="0" fontId="0" fillId="4" borderId="1" xfId="0" applyNumberFormat="1" applyFont="1" applyFill="1" applyBorder="1"/>
    <xf numFmtId="0" fontId="0" fillId="5" borderId="1" xfId="0" applyNumberFormat="1" applyFont="1" applyFill="1" applyBorder="1"/>
    <xf numFmtId="0" fontId="0" fillId="4" borderId="3" xfId="0" applyNumberFormat="1" applyFont="1" applyFill="1" applyBorder="1"/>
    <xf numFmtId="0" fontId="0" fillId="6" borderId="0" xfId="0" applyFill="1"/>
    <xf numFmtId="0" fontId="0" fillId="7" borderId="0" xfId="0" applyFill="1"/>
    <xf numFmtId="0" fontId="0" fillId="8" borderId="0" xfId="0" applyFill="1"/>
    <xf numFmtId="0" fontId="7" fillId="9" borderId="5" xfId="0" applyFont="1" applyFill="1" applyBorder="1" applyAlignment="1">
      <alignment horizontal="left" vertical="center" wrapText="1"/>
    </xf>
    <xf numFmtId="17" fontId="7" fillId="9" borderId="5" xfId="0" applyNumberFormat="1" applyFont="1" applyFill="1" applyBorder="1" applyAlignment="1">
      <alignment horizontal="left" vertical="center" wrapText="1"/>
    </xf>
    <xf numFmtId="10" fontId="7" fillId="9" borderId="5" xfId="0" applyNumberFormat="1" applyFont="1" applyFill="1" applyBorder="1" applyAlignment="1">
      <alignment horizontal="left" vertical="center" wrapText="1"/>
    </xf>
    <xf numFmtId="0" fontId="7" fillId="10" borderId="5" xfId="0" applyFont="1" applyFill="1" applyBorder="1" applyAlignment="1">
      <alignment horizontal="left" vertical="center" wrapText="1"/>
    </xf>
    <xf numFmtId="17" fontId="7" fillId="10" borderId="5" xfId="0" applyNumberFormat="1" applyFont="1" applyFill="1" applyBorder="1" applyAlignment="1">
      <alignment horizontal="left" vertical="center" wrapText="1"/>
    </xf>
    <xf numFmtId="10" fontId="7" fillId="10" borderId="5" xfId="0" applyNumberFormat="1" applyFont="1" applyFill="1" applyBorder="1" applyAlignment="1">
      <alignment horizontal="left" vertical="center" wrapText="1"/>
    </xf>
    <xf numFmtId="10" fontId="0" fillId="0" borderId="0" xfId="0" applyNumberFormat="1"/>
    <xf numFmtId="0" fontId="8" fillId="11" borderId="5" xfId="0" applyFont="1" applyFill="1" applyBorder="1" applyAlignment="1">
      <alignment horizontal="left" vertical="center" wrapText="1"/>
    </xf>
    <xf numFmtId="17" fontId="8" fillId="11" borderId="5" xfId="0" applyNumberFormat="1" applyFont="1" applyFill="1" applyBorder="1" applyAlignment="1">
      <alignment horizontal="left" vertical="center" wrapText="1"/>
    </xf>
    <xf numFmtId="10" fontId="8" fillId="11" borderId="5" xfId="0" applyNumberFormat="1" applyFont="1" applyFill="1" applyBorder="1" applyAlignment="1">
      <alignment horizontal="left" vertical="center" wrapText="1"/>
    </xf>
    <xf numFmtId="0" fontId="8" fillId="11" borderId="0" xfId="0" applyFont="1" applyFill="1" applyBorder="1" applyAlignment="1">
      <alignment horizontal="left" vertical="center" wrapText="1"/>
    </xf>
    <xf numFmtId="17" fontId="8" fillId="11" borderId="0" xfId="0" applyNumberFormat="1" applyFont="1" applyFill="1" applyBorder="1" applyAlignment="1">
      <alignment horizontal="left" vertical="center" wrapText="1"/>
    </xf>
    <xf numFmtId="10" fontId="8" fillId="11" borderId="0" xfId="0" applyNumberFormat="1" applyFont="1" applyFill="1" applyBorder="1" applyAlignment="1">
      <alignment horizontal="left" vertical="center" wrapText="1"/>
    </xf>
    <xf numFmtId="164" fontId="0" fillId="0" borderId="0" xfId="2" applyNumberFormat="1" applyFont="1"/>
    <xf numFmtId="0" fontId="0" fillId="5" borderId="7" xfId="0" applyFont="1" applyFill="1" applyBorder="1"/>
    <xf numFmtId="0" fontId="0" fillId="0" borderId="7" xfId="0" applyFont="1" applyBorder="1"/>
    <xf numFmtId="0" fontId="0" fillId="0" borderId="8" xfId="0" applyFont="1" applyBorder="1"/>
    <xf numFmtId="0" fontId="0" fillId="5" borderId="9" xfId="0" applyFont="1" applyFill="1" applyBorder="1"/>
    <xf numFmtId="0" fontId="9" fillId="0" borderId="12" xfId="0" applyFont="1" applyBorder="1" applyAlignment="1">
      <alignment horizontal="center" vertical="top"/>
    </xf>
    <xf numFmtId="0" fontId="9" fillId="0" borderId="13" xfId="0" applyFont="1" applyBorder="1" applyAlignment="1">
      <alignment horizontal="center" vertical="top"/>
    </xf>
    <xf numFmtId="0" fontId="0" fillId="0" borderId="0" xfId="0" applyFont="1" applyBorder="1"/>
    <xf numFmtId="0" fontId="0" fillId="0" borderId="11" xfId="0" applyBorder="1"/>
    <xf numFmtId="0" fontId="0" fillId="0" borderId="0" xfId="0" applyBorder="1"/>
    <xf numFmtId="0" fontId="0" fillId="0" borderId="6" xfId="0" applyBorder="1"/>
    <xf numFmtId="0" fontId="0" fillId="0" borderId="10" xfId="0" applyBorder="1"/>
    <xf numFmtId="44" fontId="0" fillId="0" borderId="0" xfId="4" applyFont="1"/>
    <xf numFmtId="44" fontId="0" fillId="0" borderId="0" xfId="4" applyFont="1" applyAlignment="1">
      <alignment horizontal="center" vertical="center"/>
    </xf>
    <xf numFmtId="0" fontId="10" fillId="0" borderId="0" xfId="0" applyFont="1"/>
    <xf numFmtId="10" fontId="10" fillId="0" borderId="0" xfId="0" applyNumberFormat="1" applyFont="1"/>
    <xf numFmtId="44" fontId="10" fillId="0" borderId="0" xfId="4" applyFont="1" applyAlignment="1">
      <alignment horizontal="center" vertical="center"/>
    </xf>
    <xf numFmtId="0" fontId="0" fillId="0" borderId="10" xfId="0" applyFont="1" applyBorder="1"/>
    <xf numFmtId="0" fontId="0" fillId="0" borderId="11" xfId="0" applyFont="1" applyBorder="1"/>
    <xf numFmtId="0" fontId="0" fillId="12" borderId="10" xfId="0" applyFont="1" applyFill="1" applyBorder="1"/>
    <xf numFmtId="0" fontId="0" fillId="12" borderId="6" xfId="0" applyFont="1" applyFill="1" applyBorder="1"/>
    <xf numFmtId="0" fontId="0" fillId="0" borderId="6" xfId="0" applyFont="1" applyBorder="1"/>
    <xf numFmtId="0" fontId="0" fillId="0" borderId="10" xfId="0" applyFont="1" applyFill="1" applyBorder="1"/>
    <xf numFmtId="0" fontId="0" fillId="12" borderId="0" xfId="0" applyFont="1" applyFill="1" applyBorder="1"/>
    <xf numFmtId="0" fontId="11" fillId="0" borderId="0" xfId="0" applyFont="1" applyAlignment="1">
      <alignment horizontal="center"/>
    </xf>
  </cellXfs>
  <cellStyles count="5">
    <cellStyle name="Heading 4" xfId="3" xr:uid="{59655399-67CB-499D-ADAF-4B326331D19D}"/>
    <cellStyle name="Link" xfId="1" builtinId="8"/>
    <cellStyle name="Prozent" xfId="2" builtinId="5"/>
    <cellStyle name="Standard" xfId="0" builtinId="0"/>
    <cellStyle name="Währung" xfId="4" builtinId="4"/>
  </cellStyles>
  <dxfs count="6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3E4E7"/>
        <name val="Arial"/>
        <family val="2"/>
        <scheme val="none"/>
      </font>
      <numFmt numFmtId="14" formatCode="0.00%"/>
      <fill>
        <patternFill patternType="solid">
          <fgColor indexed="64"/>
          <bgColor rgb="FF3B4557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rgb="FF3B455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3E4E7"/>
        <name val="Arial"/>
        <family val="2"/>
        <scheme val="none"/>
      </font>
      <numFmt numFmtId="14" formatCode="0.00%"/>
      <fill>
        <patternFill patternType="solid">
          <fgColor indexed="64"/>
          <bgColor rgb="FF3B4557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rgb="FF3B455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3E4E7"/>
        <name val="Arial"/>
        <family val="2"/>
        <scheme val="none"/>
      </font>
      <numFmt numFmtId="22" formatCode="mmm\ yy"/>
      <fill>
        <patternFill patternType="solid">
          <fgColor indexed="64"/>
          <bgColor rgb="FF3B4557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rgb="FF3B4557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3E4E7"/>
        <name val="Arial"/>
        <family val="2"/>
        <scheme val="none"/>
      </font>
      <fill>
        <patternFill patternType="solid">
          <fgColor indexed="64"/>
          <bgColor rgb="FF3B4557"/>
        </patternFill>
      </fill>
      <alignment horizontal="left" vertical="center" textRotation="0" wrapText="1" indent="0" justifyLastLine="0" shrinkToFit="0" readingOrder="0"/>
      <border diagonalUp="0" diagonalDown="0">
        <left/>
        <right/>
        <top/>
        <bottom style="medium">
          <color rgb="FF3B4557"/>
        </bottom>
        <vertical/>
        <horizontal/>
      </border>
    </dxf>
    <dxf>
      <border outline="0">
        <bottom style="medium">
          <color rgb="FF3B4557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E3E4E7"/>
        <name val="Arial"/>
        <family val="2"/>
        <scheme val="none"/>
      </font>
      <fill>
        <patternFill patternType="solid">
          <fgColor indexed="64"/>
          <bgColor rgb="FF3B4557"/>
        </patternFill>
      </fill>
      <alignment horizontal="left" vertical="center" textRotation="0" wrapText="1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  <numFmt numFmtId="14" formatCode="0.00%"/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font>
        <strike val="0"/>
        <outline val="0"/>
        <shadow val="0"/>
        <u val="none"/>
        <vertAlign val="baseline"/>
        <sz val="12"/>
        <color theme="1"/>
        <name val="Times New Roman"/>
        <family val="1"/>
        <scheme val="none"/>
      </font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border diagonalUp="0" diagonalDown="0">
        <left style="thin">
          <color theme="4" tint="0.39997558519241921"/>
        </left>
        <right/>
        <top style="thin">
          <color theme="4" tint="0.39997558519241921"/>
        </top>
        <bottom style="thin">
          <color theme="4" tint="0.39997558519241921"/>
        </bottom>
        <vertical/>
        <horizontal/>
      </border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34998626667073579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34998626667073579"/>
          <bgColor theme="0" tint="-0.34998626667073579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34998626667073579"/>
          <bgColor theme="0" tint="-0.34998626667073579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34998626667073579"/>
          <bgColor theme="0" tint="-0.34998626667073579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fill>
        <patternFill patternType="solid">
          <fgColor theme="0" tint="-0.34998626667073579"/>
          <bgColor theme="0" tint="-0.34998626667073579"/>
        </patternFill>
      </fill>
      <border diagonalUp="0" diagonalDown="0">
        <left style="thin">
          <color theme="0"/>
        </left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0" formatCode="General"/>
      <fill>
        <patternFill patternType="solid">
          <fgColor theme="0" tint="-0.34998626667073579"/>
          <bgColor theme="0" tint="-0.34998626667073579"/>
        </patternFill>
      </fill>
      <border diagonalUp="0" diagonalDown="0">
        <left/>
        <right style="thin">
          <color theme="0"/>
        </right>
        <top style="thin">
          <color theme="0"/>
        </top>
        <bottom style="thin">
          <color theme="0"/>
        </bottom>
        <vertical/>
        <horizontal/>
      </border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165" formatCode="0.000000000"/>
      <fill>
        <patternFill patternType="solid">
          <fgColor theme="0" tint="-0.14999847407452621"/>
          <bgColor theme="0" tint="-0.14999847407452621"/>
        </patternFill>
      </fill>
      <border diagonalUp="0" diagonalDown="0">
        <left/>
        <right/>
        <top style="thin">
          <color theme="1"/>
        </top>
        <bottom style="thin">
          <color theme="1"/>
        </bottom>
        <vertical/>
        <horizontal/>
      </border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7" tint="0.59999389629810485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  <fill>
        <patternFill patternType="solid">
          <fgColor indexed="64"/>
          <bgColor theme="7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</dxfs>
  <tableStyles count="1" defaultTableStyle="TableStyleMedium2" defaultPivotStyle="PivotStyleLight16">
    <tableStyle name="Invisible" pivot="0" table="0" count="0" xr9:uid="{5FAD10DD-4DD4-43E3-A540-9CF7669B619F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onnections" Target="connection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ustomXml" Target="../customXml/item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2400"/>
              <a:t>Variation der Anschaffungsauszahlung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3250834947472466E-2"/>
          <c:y val="5.7475266429607853E-2"/>
          <c:w val="0.8778690028182794"/>
          <c:h val="0.86570580351271875"/>
        </c:manualLayout>
      </c:layout>
      <c:scatterChart>
        <c:scatterStyle val="lineMarker"/>
        <c:varyColors val="0"/>
        <c:ser>
          <c:idx val="0"/>
          <c:order val="0"/>
          <c:tx>
            <c:v>Szenario II (1)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5611488339083528E-2"/>
                  <c:y val="-3.90302990461129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Anschaffung!$C$2:$C$100</c:f>
              <c:numCache>
                <c:formatCode>General</c:formatCode>
                <c:ptCount val="99"/>
                <c:pt idx="0">
                  <c:v>1117.0416</c:v>
                </c:pt>
                <c:pt idx="1">
                  <c:v>1118.7401535353531</c:v>
                </c:pt>
                <c:pt idx="2">
                  <c:v>1120.4387070707071</c:v>
                </c:pt>
                <c:pt idx="3">
                  <c:v>1122.13726060606</c:v>
                </c:pt>
                <c:pt idx="4">
                  <c:v>1123.8358141414139</c:v>
                </c:pt>
                <c:pt idx="5">
                  <c:v>1125.534367676767</c:v>
                </c:pt>
                <c:pt idx="6">
                  <c:v>1127.232921212121</c:v>
                </c:pt>
                <c:pt idx="7">
                  <c:v>1128.931474747475</c:v>
                </c:pt>
                <c:pt idx="8">
                  <c:v>1130.6300282828281</c:v>
                </c:pt>
                <c:pt idx="9">
                  <c:v>1132.3285818181821</c:v>
                </c:pt>
                <c:pt idx="10">
                  <c:v>1134.027135353535</c:v>
                </c:pt>
                <c:pt idx="11">
                  <c:v>1135.725688888889</c:v>
                </c:pt>
                <c:pt idx="12">
                  <c:v>1137.424242424242</c:v>
                </c:pt>
                <c:pt idx="13">
                  <c:v>1139.122795959596</c:v>
                </c:pt>
                <c:pt idx="14">
                  <c:v>1140.8213494949489</c:v>
                </c:pt>
                <c:pt idx="15">
                  <c:v>1142.5199030303031</c:v>
                </c:pt>
                <c:pt idx="16">
                  <c:v>1144.218456565656</c:v>
                </c:pt>
                <c:pt idx="17">
                  <c:v>1145.91701010101</c:v>
                </c:pt>
                <c:pt idx="18">
                  <c:v>1147.615563636364</c:v>
                </c:pt>
                <c:pt idx="19">
                  <c:v>1149.314117171717</c:v>
                </c:pt>
                <c:pt idx="20">
                  <c:v>1151.012670707071</c:v>
                </c:pt>
                <c:pt idx="21">
                  <c:v>1152.7112242424239</c:v>
                </c:pt>
                <c:pt idx="22">
                  <c:v>1154.4097777777779</c:v>
                </c:pt>
                <c:pt idx="23">
                  <c:v>1156.108331313131</c:v>
                </c:pt>
                <c:pt idx="24">
                  <c:v>1157.806884848485</c:v>
                </c:pt>
                <c:pt idx="25">
                  <c:v>1159.5054383838381</c:v>
                </c:pt>
                <c:pt idx="26">
                  <c:v>1161.203991919192</c:v>
                </c:pt>
                <c:pt idx="27">
                  <c:v>1162.9025454545449</c:v>
                </c:pt>
                <c:pt idx="28">
                  <c:v>1164.6010989898989</c:v>
                </c:pt>
                <c:pt idx="29">
                  <c:v>1166.299652525252</c:v>
                </c:pt>
                <c:pt idx="30">
                  <c:v>1167.998206060606</c:v>
                </c:pt>
                <c:pt idx="31">
                  <c:v>1169.69675959596</c:v>
                </c:pt>
                <c:pt idx="32">
                  <c:v>1171.3953131313131</c:v>
                </c:pt>
                <c:pt idx="33">
                  <c:v>1173.0938666666671</c:v>
                </c:pt>
                <c:pt idx="34">
                  <c:v>1174.7924202020199</c:v>
                </c:pt>
                <c:pt idx="35">
                  <c:v>1176.4909737373739</c:v>
                </c:pt>
                <c:pt idx="36">
                  <c:v>1178.189527272727</c:v>
                </c:pt>
                <c:pt idx="37">
                  <c:v>1179.888080808081</c:v>
                </c:pt>
                <c:pt idx="38">
                  <c:v>1181.5866343434341</c:v>
                </c:pt>
                <c:pt idx="39">
                  <c:v>1183.2851878787881</c:v>
                </c:pt>
                <c:pt idx="40">
                  <c:v>1184.9837414141409</c:v>
                </c:pt>
                <c:pt idx="41">
                  <c:v>1186.6822949494949</c:v>
                </c:pt>
                <c:pt idx="42">
                  <c:v>1188.380848484848</c:v>
                </c:pt>
                <c:pt idx="43">
                  <c:v>1190.079402020202</c:v>
                </c:pt>
                <c:pt idx="44">
                  <c:v>1191.777955555556</c:v>
                </c:pt>
                <c:pt idx="45">
                  <c:v>1193.4765090909091</c:v>
                </c:pt>
                <c:pt idx="46">
                  <c:v>1195.1750626262631</c:v>
                </c:pt>
                <c:pt idx="47">
                  <c:v>1196.8736161616159</c:v>
                </c:pt>
                <c:pt idx="48">
                  <c:v>1198.572169696969</c:v>
                </c:pt>
                <c:pt idx="49">
                  <c:v>1200.270723232323</c:v>
                </c:pt>
                <c:pt idx="50">
                  <c:v>1201.969276767677</c:v>
                </c:pt>
                <c:pt idx="51">
                  <c:v>1203.6678303030301</c:v>
                </c:pt>
                <c:pt idx="52">
                  <c:v>1205.3663838383841</c:v>
                </c:pt>
                <c:pt idx="53">
                  <c:v>1207.0649373737369</c:v>
                </c:pt>
                <c:pt idx="54">
                  <c:v>1208.7634909090909</c:v>
                </c:pt>
                <c:pt idx="55">
                  <c:v>1210.462044444444</c:v>
                </c:pt>
                <c:pt idx="56">
                  <c:v>1212.160597979798</c:v>
                </c:pt>
                <c:pt idx="57">
                  <c:v>1213.8591515151511</c:v>
                </c:pt>
                <c:pt idx="58">
                  <c:v>1215.5577050505051</c:v>
                </c:pt>
                <c:pt idx="59">
                  <c:v>1217.2562585858579</c:v>
                </c:pt>
                <c:pt idx="60">
                  <c:v>1218.9548121212119</c:v>
                </c:pt>
                <c:pt idx="61">
                  <c:v>1220.653365656565</c:v>
                </c:pt>
                <c:pt idx="62">
                  <c:v>1222.351919191919</c:v>
                </c:pt>
                <c:pt idx="63">
                  <c:v>1224.050472727273</c:v>
                </c:pt>
                <c:pt idx="64">
                  <c:v>1225.7490262626261</c:v>
                </c:pt>
                <c:pt idx="65">
                  <c:v>1227.4475797979801</c:v>
                </c:pt>
                <c:pt idx="66">
                  <c:v>1229.146133333333</c:v>
                </c:pt>
                <c:pt idx="67">
                  <c:v>1230.8446868686869</c:v>
                </c:pt>
                <c:pt idx="68">
                  <c:v>1232.54324040404</c:v>
                </c:pt>
                <c:pt idx="69">
                  <c:v>1234.241793939394</c:v>
                </c:pt>
                <c:pt idx="70">
                  <c:v>1235.9403474747469</c:v>
                </c:pt>
                <c:pt idx="71">
                  <c:v>1237.6389010101011</c:v>
                </c:pt>
                <c:pt idx="72">
                  <c:v>1239.337454545454</c:v>
                </c:pt>
                <c:pt idx="73">
                  <c:v>1241.036008080808</c:v>
                </c:pt>
                <c:pt idx="74">
                  <c:v>1242.734561616161</c:v>
                </c:pt>
                <c:pt idx="75">
                  <c:v>1244.433115151515</c:v>
                </c:pt>
                <c:pt idx="76">
                  <c:v>1246.131668686869</c:v>
                </c:pt>
                <c:pt idx="77">
                  <c:v>1247.8302222222219</c:v>
                </c:pt>
                <c:pt idx="78">
                  <c:v>1249.5287757575761</c:v>
                </c:pt>
                <c:pt idx="79">
                  <c:v>1251.227329292929</c:v>
                </c:pt>
                <c:pt idx="80">
                  <c:v>1252.925882828283</c:v>
                </c:pt>
                <c:pt idx="81">
                  <c:v>1254.6244363636361</c:v>
                </c:pt>
                <c:pt idx="82">
                  <c:v>1256.32298989899</c:v>
                </c:pt>
                <c:pt idx="83">
                  <c:v>1258.0215434343429</c:v>
                </c:pt>
                <c:pt idx="84">
                  <c:v>1259.7200969696969</c:v>
                </c:pt>
                <c:pt idx="85">
                  <c:v>1261.41865050505</c:v>
                </c:pt>
                <c:pt idx="86">
                  <c:v>1263.117204040404</c:v>
                </c:pt>
                <c:pt idx="87">
                  <c:v>1264.815757575758</c:v>
                </c:pt>
                <c:pt idx="88">
                  <c:v>1266.5143111111111</c:v>
                </c:pt>
                <c:pt idx="89">
                  <c:v>1268.2128646464651</c:v>
                </c:pt>
                <c:pt idx="90">
                  <c:v>1269.9114181818179</c:v>
                </c:pt>
                <c:pt idx="91">
                  <c:v>1271.6099717171719</c:v>
                </c:pt>
                <c:pt idx="92">
                  <c:v>1273.308525252525</c:v>
                </c:pt>
                <c:pt idx="93">
                  <c:v>1275.007078787879</c:v>
                </c:pt>
                <c:pt idx="94">
                  <c:v>1276.7056323232321</c:v>
                </c:pt>
                <c:pt idx="95">
                  <c:v>1278.4041858585861</c:v>
                </c:pt>
                <c:pt idx="96">
                  <c:v>1280.1027393939389</c:v>
                </c:pt>
                <c:pt idx="97">
                  <c:v>1281.8012929292929</c:v>
                </c:pt>
                <c:pt idx="98">
                  <c:v>1283.499846464646</c:v>
                </c:pt>
              </c:numCache>
            </c:numRef>
          </c:xVal>
          <c:yVal>
            <c:numRef>
              <c:f>Anschaffung!$B$2:$B$100</c:f>
              <c:numCache>
                <c:formatCode>General</c:formatCode>
                <c:ptCount val="99"/>
                <c:pt idx="0">
                  <c:v>25671.126817098509</c:v>
                </c:pt>
                <c:pt idx="1">
                  <c:v>25628.286092829261</c:v>
                </c:pt>
                <c:pt idx="2">
                  <c:v>25601.041827263369</c:v>
                </c:pt>
                <c:pt idx="3">
                  <c:v>25558.201102994131</c:v>
                </c:pt>
                <c:pt idx="4">
                  <c:v>25530.306007786221</c:v>
                </c:pt>
                <c:pt idx="5">
                  <c:v>25487.465283516962</c:v>
                </c:pt>
                <c:pt idx="6">
                  <c:v>25460.670574471351</c:v>
                </c:pt>
                <c:pt idx="7">
                  <c:v>25417.829850202099</c:v>
                </c:pt>
                <c:pt idx="8">
                  <c:v>25388.140732184242</c:v>
                </c:pt>
                <c:pt idx="9">
                  <c:v>25345.300007915001</c:v>
                </c:pt>
                <c:pt idx="10">
                  <c:v>25302.45928364577</c:v>
                </c:pt>
                <c:pt idx="11">
                  <c:v>25259.618559376519</c:v>
                </c:pt>
                <c:pt idx="12">
                  <c:v>25216.77783510727</c:v>
                </c:pt>
                <c:pt idx="13">
                  <c:v>25173.937110838011</c:v>
                </c:pt>
                <c:pt idx="14">
                  <c:v>25131.096386568781</c:v>
                </c:pt>
                <c:pt idx="15">
                  <c:v>25088.255662299511</c:v>
                </c:pt>
                <c:pt idx="16">
                  <c:v>25059.335642013521</c:v>
                </c:pt>
                <c:pt idx="17">
                  <c:v>25016.49491774429</c:v>
                </c:pt>
                <c:pt idx="18">
                  <c:v>24973.654193475038</c:v>
                </c:pt>
                <c:pt idx="19">
                  <c:v>24930.81346920579</c:v>
                </c:pt>
                <c:pt idx="20">
                  <c:v>24887.972744936549</c:v>
                </c:pt>
                <c:pt idx="21">
                  <c:v>24845.132020667301</c:v>
                </c:pt>
                <c:pt idx="22">
                  <c:v>24802.291296398031</c:v>
                </c:pt>
                <c:pt idx="23">
                  <c:v>24759.450572128819</c:v>
                </c:pt>
                <c:pt idx="24">
                  <c:v>24716.60984785957</c:v>
                </c:pt>
                <c:pt idx="25">
                  <c:v>24673.7691235903</c:v>
                </c:pt>
                <c:pt idx="26">
                  <c:v>24630.928399321059</c:v>
                </c:pt>
                <c:pt idx="27">
                  <c:v>24588.087675051811</c:v>
                </c:pt>
                <c:pt idx="28">
                  <c:v>24545.246950782559</c:v>
                </c:pt>
                <c:pt idx="29">
                  <c:v>24516.933128251989</c:v>
                </c:pt>
                <c:pt idx="30">
                  <c:v>24474.092403982759</c:v>
                </c:pt>
                <c:pt idx="31">
                  <c:v>24431.251679713521</c:v>
                </c:pt>
                <c:pt idx="32">
                  <c:v>24388.410955444251</c:v>
                </c:pt>
                <c:pt idx="33">
                  <c:v>24345.57023117501</c:v>
                </c:pt>
                <c:pt idx="34">
                  <c:v>24302.729506905762</c:v>
                </c:pt>
                <c:pt idx="35">
                  <c:v>24259.888782636499</c:v>
                </c:pt>
                <c:pt idx="36">
                  <c:v>24217.048058367262</c:v>
                </c:pt>
                <c:pt idx="37">
                  <c:v>24190.02697422633</c:v>
                </c:pt>
                <c:pt idx="38">
                  <c:v>24162.34574723386</c:v>
                </c:pt>
                <c:pt idx="39">
                  <c:v>24119.505022964611</c:v>
                </c:pt>
                <c:pt idx="40">
                  <c:v>24076.664298695348</c:v>
                </c:pt>
                <c:pt idx="41">
                  <c:v>24033.8235744261</c:v>
                </c:pt>
                <c:pt idx="42">
                  <c:v>23990.982850156859</c:v>
                </c:pt>
                <c:pt idx="43">
                  <c:v>23948.142125887629</c:v>
                </c:pt>
                <c:pt idx="44">
                  <c:v>23905.301401618381</c:v>
                </c:pt>
                <c:pt idx="45">
                  <c:v>23876.184989851561</c:v>
                </c:pt>
                <c:pt idx="46">
                  <c:v>23833.344265582331</c:v>
                </c:pt>
                <c:pt idx="47">
                  <c:v>23790.503541313072</c:v>
                </c:pt>
                <c:pt idx="48">
                  <c:v>23763.93844673377</c:v>
                </c:pt>
                <c:pt idx="49">
                  <c:v>23721.097722464539</c:v>
                </c:pt>
                <c:pt idx="50">
                  <c:v>23678.256998195298</c:v>
                </c:pt>
                <c:pt idx="51">
                  <c:v>23635.41627392605</c:v>
                </c:pt>
                <c:pt idx="52">
                  <c:v>23592.575549656802</c:v>
                </c:pt>
                <c:pt idx="53">
                  <c:v>23563.854731164629</c:v>
                </c:pt>
                <c:pt idx="54">
                  <c:v>23521.014006895381</c:v>
                </c:pt>
                <c:pt idx="55">
                  <c:v>23478.173282626129</c:v>
                </c:pt>
                <c:pt idx="56">
                  <c:v>23435.332558356909</c:v>
                </c:pt>
                <c:pt idx="57">
                  <c:v>23392.491834087661</c:v>
                </c:pt>
                <c:pt idx="58">
                  <c:v>23349.651109818398</c:v>
                </c:pt>
                <c:pt idx="59">
                  <c:v>23306.81038554915</c:v>
                </c:pt>
                <c:pt idx="60">
                  <c:v>23263.969661279909</c:v>
                </c:pt>
                <c:pt idx="61">
                  <c:v>23221.12893701065</c:v>
                </c:pt>
                <c:pt idx="62">
                  <c:v>23193.664638634349</c:v>
                </c:pt>
                <c:pt idx="63">
                  <c:v>23165.558692435941</c:v>
                </c:pt>
                <c:pt idx="64">
                  <c:v>23135.684033268019</c:v>
                </c:pt>
                <c:pt idx="65">
                  <c:v>23092.84330899877</c:v>
                </c:pt>
                <c:pt idx="66">
                  <c:v>23050.002584729511</c:v>
                </c:pt>
                <c:pt idx="67">
                  <c:v>23007.16186046027</c:v>
                </c:pt>
                <c:pt idx="68">
                  <c:v>22964.321136191022</c:v>
                </c:pt>
                <c:pt idx="69">
                  <c:v>22921.48041192177</c:v>
                </c:pt>
                <c:pt idx="70">
                  <c:v>22891.242486296291</c:v>
                </c:pt>
                <c:pt idx="71">
                  <c:v>22848.401762027039</c:v>
                </c:pt>
                <c:pt idx="72">
                  <c:v>22805.56103775778</c:v>
                </c:pt>
                <c:pt idx="73">
                  <c:v>22762.720313488531</c:v>
                </c:pt>
                <c:pt idx="74">
                  <c:v>22733.21939166823</c:v>
                </c:pt>
                <c:pt idx="75">
                  <c:v>22690.378667398989</c:v>
                </c:pt>
                <c:pt idx="76">
                  <c:v>22647.53794312977</c:v>
                </c:pt>
                <c:pt idx="77">
                  <c:v>22604.697218860521</c:v>
                </c:pt>
                <c:pt idx="78">
                  <c:v>22561.85649459128</c:v>
                </c:pt>
                <c:pt idx="79">
                  <c:v>22519.01577032201</c:v>
                </c:pt>
                <c:pt idx="80">
                  <c:v>22476.175046052758</c:v>
                </c:pt>
                <c:pt idx="81">
                  <c:v>22433.334321783499</c:v>
                </c:pt>
                <c:pt idx="82">
                  <c:v>22390.493597514269</c:v>
                </c:pt>
                <c:pt idx="83">
                  <c:v>22347.65287324505</c:v>
                </c:pt>
                <c:pt idx="84">
                  <c:v>22304.812148975809</c:v>
                </c:pt>
                <c:pt idx="85">
                  <c:v>22261.971424706549</c:v>
                </c:pt>
                <c:pt idx="86">
                  <c:v>22219.13070043729</c:v>
                </c:pt>
                <c:pt idx="87">
                  <c:v>22176.289976168031</c:v>
                </c:pt>
                <c:pt idx="88">
                  <c:v>22147.771209997562</c:v>
                </c:pt>
                <c:pt idx="89">
                  <c:v>22104.930485728331</c:v>
                </c:pt>
                <c:pt idx="90">
                  <c:v>22062.08976145909</c:v>
                </c:pt>
                <c:pt idx="91">
                  <c:v>22019.249037189831</c:v>
                </c:pt>
                <c:pt idx="92">
                  <c:v>21992.00477162395</c:v>
                </c:pt>
                <c:pt idx="93">
                  <c:v>21949.16404735469</c:v>
                </c:pt>
                <c:pt idx="94">
                  <c:v>21906.323323085431</c:v>
                </c:pt>
                <c:pt idx="95">
                  <c:v>21879.52861403982</c:v>
                </c:pt>
                <c:pt idx="96">
                  <c:v>21836.68788977059</c:v>
                </c:pt>
                <c:pt idx="97">
                  <c:v>21793.84716550136</c:v>
                </c:pt>
                <c:pt idx="98">
                  <c:v>21751.00644123209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8DE-4E06-B131-6163155B509D}"/>
            </c:ext>
          </c:extLst>
        </c:ser>
        <c:ser>
          <c:idx val="1"/>
          <c:order val="1"/>
          <c:tx>
            <c:v>Szenario II (2)</c:v>
          </c:tx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tx1">
                  <a:lumMod val="50000"/>
                  <a:lumOff val="5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2.5601982709078805E-2"/>
                  <c:y val="-4.2098612356401076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Anschaffung!$C$102:$C$200</c:f>
              <c:numCache>
                <c:formatCode>General</c:formatCode>
                <c:ptCount val="99"/>
                <c:pt idx="0">
                  <c:v>1118.7401535353531</c:v>
                </c:pt>
                <c:pt idx="1">
                  <c:v>1120.4387070707071</c:v>
                </c:pt>
                <c:pt idx="2">
                  <c:v>1122.13726060606</c:v>
                </c:pt>
                <c:pt idx="3">
                  <c:v>1123.8358141414139</c:v>
                </c:pt>
                <c:pt idx="4">
                  <c:v>1125.534367676767</c:v>
                </c:pt>
                <c:pt idx="5">
                  <c:v>1127.232921212121</c:v>
                </c:pt>
                <c:pt idx="6">
                  <c:v>1128.931474747475</c:v>
                </c:pt>
                <c:pt idx="7">
                  <c:v>1130.6300282828281</c:v>
                </c:pt>
                <c:pt idx="8">
                  <c:v>1132.3285818181821</c:v>
                </c:pt>
                <c:pt idx="9">
                  <c:v>1134.027135353535</c:v>
                </c:pt>
                <c:pt idx="10">
                  <c:v>1135.725688888889</c:v>
                </c:pt>
                <c:pt idx="11">
                  <c:v>1137.424242424242</c:v>
                </c:pt>
                <c:pt idx="12">
                  <c:v>1139.122795959596</c:v>
                </c:pt>
                <c:pt idx="13">
                  <c:v>1140.8213494949489</c:v>
                </c:pt>
                <c:pt idx="14">
                  <c:v>1142.5199030303031</c:v>
                </c:pt>
                <c:pt idx="15">
                  <c:v>1144.218456565656</c:v>
                </c:pt>
                <c:pt idx="16">
                  <c:v>1145.91701010101</c:v>
                </c:pt>
                <c:pt idx="17">
                  <c:v>1147.615563636364</c:v>
                </c:pt>
                <c:pt idx="18">
                  <c:v>1149.314117171717</c:v>
                </c:pt>
                <c:pt idx="19">
                  <c:v>1151.012670707071</c:v>
                </c:pt>
                <c:pt idx="20">
                  <c:v>1152.7112242424239</c:v>
                </c:pt>
                <c:pt idx="21">
                  <c:v>1154.4097777777779</c:v>
                </c:pt>
                <c:pt idx="22">
                  <c:v>1156.108331313131</c:v>
                </c:pt>
                <c:pt idx="23">
                  <c:v>1157.806884848485</c:v>
                </c:pt>
                <c:pt idx="24">
                  <c:v>1159.5054383838381</c:v>
                </c:pt>
                <c:pt idx="25">
                  <c:v>1161.203991919192</c:v>
                </c:pt>
                <c:pt idx="26">
                  <c:v>1162.9025454545449</c:v>
                </c:pt>
                <c:pt idx="27">
                  <c:v>1164.6010989898989</c:v>
                </c:pt>
                <c:pt idx="28">
                  <c:v>1166.299652525252</c:v>
                </c:pt>
                <c:pt idx="29">
                  <c:v>1167.998206060606</c:v>
                </c:pt>
                <c:pt idx="30">
                  <c:v>1169.69675959596</c:v>
                </c:pt>
                <c:pt idx="31">
                  <c:v>1171.3953131313131</c:v>
                </c:pt>
                <c:pt idx="32">
                  <c:v>1173.0938666666671</c:v>
                </c:pt>
                <c:pt idx="33">
                  <c:v>1174.7924202020199</c:v>
                </c:pt>
                <c:pt idx="34">
                  <c:v>1176.4909737373739</c:v>
                </c:pt>
                <c:pt idx="35">
                  <c:v>1178.189527272727</c:v>
                </c:pt>
                <c:pt idx="36">
                  <c:v>1179.888080808081</c:v>
                </c:pt>
                <c:pt idx="37">
                  <c:v>1181.5866343434341</c:v>
                </c:pt>
                <c:pt idx="38">
                  <c:v>1183.2851878787881</c:v>
                </c:pt>
                <c:pt idx="39">
                  <c:v>1184.9837414141409</c:v>
                </c:pt>
                <c:pt idx="40">
                  <c:v>1186.6822949494949</c:v>
                </c:pt>
                <c:pt idx="41">
                  <c:v>1188.380848484848</c:v>
                </c:pt>
                <c:pt idx="42">
                  <c:v>1190.079402020202</c:v>
                </c:pt>
                <c:pt idx="43">
                  <c:v>1191.777955555556</c:v>
                </c:pt>
                <c:pt idx="44">
                  <c:v>1193.4765090909091</c:v>
                </c:pt>
                <c:pt idx="45">
                  <c:v>1195.1750626262631</c:v>
                </c:pt>
                <c:pt idx="46">
                  <c:v>1196.8736161616159</c:v>
                </c:pt>
                <c:pt idx="47">
                  <c:v>1198.572169696969</c:v>
                </c:pt>
                <c:pt idx="48">
                  <c:v>1200.270723232323</c:v>
                </c:pt>
                <c:pt idx="49">
                  <c:v>1201.969276767677</c:v>
                </c:pt>
                <c:pt idx="50">
                  <c:v>1203.6678303030301</c:v>
                </c:pt>
                <c:pt idx="51">
                  <c:v>1205.3663838383841</c:v>
                </c:pt>
                <c:pt idx="52">
                  <c:v>1207.0649373737369</c:v>
                </c:pt>
                <c:pt idx="53">
                  <c:v>1208.7634909090909</c:v>
                </c:pt>
                <c:pt idx="54">
                  <c:v>1210.462044444444</c:v>
                </c:pt>
                <c:pt idx="55">
                  <c:v>1212.160597979798</c:v>
                </c:pt>
                <c:pt idx="56">
                  <c:v>1213.8591515151511</c:v>
                </c:pt>
                <c:pt idx="57">
                  <c:v>1215.5577050505051</c:v>
                </c:pt>
                <c:pt idx="58">
                  <c:v>1217.2562585858579</c:v>
                </c:pt>
                <c:pt idx="59">
                  <c:v>1218.9548121212119</c:v>
                </c:pt>
                <c:pt idx="60">
                  <c:v>1220.653365656565</c:v>
                </c:pt>
                <c:pt idx="61">
                  <c:v>1222.351919191919</c:v>
                </c:pt>
                <c:pt idx="62">
                  <c:v>1224.050472727273</c:v>
                </c:pt>
                <c:pt idx="63">
                  <c:v>1225.7490262626261</c:v>
                </c:pt>
                <c:pt idx="64">
                  <c:v>1227.4475797979801</c:v>
                </c:pt>
                <c:pt idx="65">
                  <c:v>1229.146133333333</c:v>
                </c:pt>
                <c:pt idx="66">
                  <c:v>1230.8446868686869</c:v>
                </c:pt>
                <c:pt idx="67">
                  <c:v>1232.54324040404</c:v>
                </c:pt>
                <c:pt idx="68">
                  <c:v>1234.241793939394</c:v>
                </c:pt>
                <c:pt idx="69">
                  <c:v>1235.9403474747469</c:v>
                </c:pt>
                <c:pt idx="70">
                  <c:v>1237.6389010101011</c:v>
                </c:pt>
                <c:pt idx="71">
                  <c:v>1239.337454545454</c:v>
                </c:pt>
                <c:pt idx="72">
                  <c:v>1241.036008080808</c:v>
                </c:pt>
                <c:pt idx="73">
                  <c:v>1242.734561616161</c:v>
                </c:pt>
                <c:pt idx="74">
                  <c:v>1244.433115151515</c:v>
                </c:pt>
                <c:pt idx="75">
                  <c:v>1246.131668686869</c:v>
                </c:pt>
                <c:pt idx="76">
                  <c:v>1247.8302222222219</c:v>
                </c:pt>
                <c:pt idx="77">
                  <c:v>1249.5287757575761</c:v>
                </c:pt>
                <c:pt idx="78">
                  <c:v>1251.227329292929</c:v>
                </c:pt>
                <c:pt idx="79">
                  <c:v>1252.925882828283</c:v>
                </c:pt>
                <c:pt idx="80">
                  <c:v>1254.6244363636361</c:v>
                </c:pt>
                <c:pt idx="81">
                  <c:v>1256.32298989899</c:v>
                </c:pt>
                <c:pt idx="82">
                  <c:v>1258.0215434343429</c:v>
                </c:pt>
                <c:pt idx="83">
                  <c:v>1259.7200969696969</c:v>
                </c:pt>
                <c:pt idx="84">
                  <c:v>1261.41865050505</c:v>
                </c:pt>
                <c:pt idx="85">
                  <c:v>1263.117204040404</c:v>
                </c:pt>
                <c:pt idx="86">
                  <c:v>1264.815757575758</c:v>
                </c:pt>
                <c:pt idx="87">
                  <c:v>1266.5143111111111</c:v>
                </c:pt>
                <c:pt idx="88">
                  <c:v>1268.2128646464651</c:v>
                </c:pt>
                <c:pt idx="89">
                  <c:v>1269.9114181818179</c:v>
                </c:pt>
                <c:pt idx="90">
                  <c:v>1271.6099717171719</c:v>
                </c:pt>
                <c:pt idx="91">
                  <c:v>1273.308525252525</c:v>
                </c:pt>
                <c:pt idx="92">
                  <c:v>1275.007078787879</c:v>
                </c:pt>
                <c:pt idx="93">
                  <c:v>1276.7056323232321</c:v>
                </c:pt>
                <c:pt idx="94">
                  <c:v>1278.4041858585861</c:v>
                </c:pt>
                <c:pt idx="95">
                  <c:v>1280.1027393939389</c:v>
                </c:pt>
                <c:pt idx="96">
                  <c:v>1281.8012929292929</c:v>
                </c:pt>
                <c:pt idx="97">
                  <c:v>1283.499846464646</c:v>
                </c:pt>
                <c:pt idx="98">
                  <c:v>1285.1984</c:v>
                </c:pt>
              </c:numCache>
            </c:numRef>
          </c:xVal>
          <c:yVal>
            <c:numRef>
              <c:f>Anschaffung!$B$102:$B$200</c:f>
              <c:numCache>
                <c:formatCode>General</c:formatCode>
                <c:ptCount val="99"/>
                <c:pt idx="0">
                  <c:v>12207.79834805652</c:v>
                </c:pt>
                <c:pt idx="1">
                  <c:v>12179.077529564371</c:v>
                </c:pt>
                <c:pt idx="2">
                  <c:v>12136.23680529513</c:v>
                </c:pt>
                <c:pt idx="3">
                  <c:v>12093.39608102589</c:v>
                </c:pt>
                <c:pt idx="4">
                  <c:v>12050.55535675664</c:v>
                </c:pt>
                <c:pt idx="5">
                  <c:v>12007.71463248737</c:v>
                </c:pt>
                <c:pt idx="6">
                  <c:v>11964.873908218109</c:v>
                </c:pt>
                <c:pt idx="7">
                  <c:v>11937.852824077159</c:v>
                </c:pt>
                <c:pt idx="8">
                  <c:v>11895.012099807949</c:v>
                </c:pt>
                <c:pt idx="9">
                  <c:v>11852.171375538701</c:v>
                </c:pt>
                <c:pt idx="10">
                  <c:v>11809.33065126946</c:v>
                </c:pt>
                <c:pt idx="11">
                  <c:v>11781.016828738901</c:v>
                </c:pt>
                <c:pt idx="12">
                  <c:v>11738.1761044696</c:v>
                </c:pt>
                <c:pt idx="13">
                  <c:v>11710.49487747716</c:v>
                </c:pt>
                <c:pt idx="14">
                  <c:v>11667.654153207901</c:v>
                </c:pt>
                <c:pt idx="15">
                  <c:v>11624.813428938691</c:v>
                </c:pt>
                <c:pt idx="16">
                  <c:v>11581.972704669441</c:v>
                </c:pt>
                <c:pt idx="17">
                  <c:v>11539.131980400191</c:v>
                </c:pt>
                <c:pt idx="18">
                  <c:v>11496.29125613092</c:v>
                </c:pt>
                <c:pt idx="19">
                  <c:v>11453.45053186167</c:v>
                </c:pt>
                <c:pt idx="20">
                  <c:v>11410.60980759242</c:v>
                </c:pt>
                <c:pt idx="21">
                  <c:v>11367.76908332319</c:v>
                </c:pt>
                <c:pt idx="22">
                  <c:v>11337.894424155271</c:v>
                </c:pt>
                <c:pt idx="23">
                  <c:v>11295.05369988603</c:v>
                </c:pt>
                <c:pt idx="24">
                  <c:v>11252.212975616791</c:v>
                </c:pt>
                <c:pt idx="25">
                  <c:v>11209.37225134751</c:v>
                </c:pt>
                <c:pt idx="26">
                  <c:v>11182.807156768229</c:v>
                </c:pt>
                <c:pt idx="27">
                  <c:v>11139.966432498981</c:v>
                </c:pt>
                <c:pt idx="28">
                  <c:v>11110.46551067872</c:v>
                </c:pt>
                <c:pt idx="29">
                  <c:v>11067.624786409469</c:v>
                </c:pt>
                <c:pt idx="30">
                  <c:v>11024.784062140219</c:v>
                </c:pt>
                <c:pt idx="31">
                  <c:v>10981.943337870949</c:v>
                </c:pt>
                <c:pt idx="32">
                  <c:v>10951.70541224545</c:v>
                </c:pt>
                <c:pt idx="33">
                  <c:v>10908.864687976209</c:v>
                </c:pt>
                <c:pt idx="34">
                  <c:v>10866.023963706981</c:v>
                </c:pt>
                <c:pt idx="35">
                  <c:v>10838.5596653307</c:v>
                </c:pt>
                <c:pt idx="36">
                  <c:v>10795.718941061439</c:v>
                </c:pt>
                <c:pt idx="37">
                  <c:v>10752.8782167922</c:v>
                </c:pt>
                <c:pt idx="38">
                  <c:v>10710.037492522921</c:v>
                </c:pt>
                <c:pt idx="39">
                  <c:v>10667.196768253671</c:v>
                </c:pt>
                <c:pt idx="40">
                  <c:v>10624.35604398442</c:v>
                </c:pt>
                <c:pt idx="41">
                  <c:v>10581.51531971521</c:v>
                </c:pt>
                <c:pt idx="42">
                  <c:v>10538.67459544596</c:v>
                </c:pt>
                <c:pt idx="43">
                  <c:v>10510.568649247551</c:v>
                </c:pt>
                <c:pt idx="44">
                  <c:v>10467.72792497831</c:v>
                </c:pt>
                <c:pt idx="45">
                  <c:v>10424.88720070901</c:v>
                </c:pt>
                <c:pt idx="46">
                  <c:v>10382.04647643978</c:v>
                </c:pt>
                <c:pt idx="47">
                  <c:v>10339.205752170539</c:v>
                </c:pt>
                <c:pt idx="48">
                  <c:v>10310.686986000081</c:v>
                </c:pt>
                <c:pt idx="49">
                  <c:v>10267.84626173084</c:v>
                </c:pt>
                <c:pt idx="50">
                  <c:v>10225.005537461589</c:v>
                </c:pt>
                <c:pt idx="51">
                  <c:v>10182.164813192319</c:v>
                </c:pt>
                <c:pt idx="52">
                  <c:v>10139.32408892306</c:v>
                </c:pt>
                <c:pt idx="53">
                  <c:v>10096.483364653821</c:v>
                </c:pt>
                <c:pt idx="54">
                  <c:v>10053.6426403846</c:v>
                </c:pt>
                <c:pt idx="55">
                  <c:v>10010.801916115361</c:v>
                </c:pt>
                <c:pt idx="56">
                  <c:v>9967.9611918461214</c:v>
                </c:pt>
                <c:pt idx="57">
                  <c:v>9925.1204675768731</c:v>
                </c:pt>
                <c:pt idx="58">
                  <c:v>9882.2797433075939</c:v>
                </c:pt>
                <c:pt idx="59">
                  <c:v>9839.4390190383419</c:v>
                </c:pt>
                <c:pt idx="60">
                  <c:v>9796.5982947691027</c:v>
                </c:pt>
                <c:pt idx="61">
                  <c:v>9769.3540292032485</c:v>
                </c:pt>
                <c:pt idx="62">
                  <c:v>9726.5133049340002</c:v>
                </c:pt>
                <c:pt idx="63">
                  <c:v>9683.6725806647501</c:v>
                </c:pt>
                <c:pt idx="64">
                  <c:v>9640.8318563954708</c:v>
                </c:pt>
                <c:pt idx="65">
                  <c:v>9597.9911321262261</c:v>
                </c:pt>
                <c:pt idx="66">
                  <c:v>9555.1504078569869</c:v>
                </c:pt>
                <c:pt idx="67">
                  <c:v>9512.3096835877477</c:v>
                </c:pt>
                <c:pt idx="68">
                  <c:v>9482.9996510055771</c:v>
                </c:pt>
                <c:pt idx="69">
                  <c:v>9456.2049419599534</c:v>
                </c:pt>
                <c:pt idx="70">
                  <c:v>9413.3642176907051</c:v>
                </c:pt>
                <c:pt idx="71">
                  <c:v>9370.5234934214241</c:v>
                </c:pt>
                <c:pt idx="72">
                  <c:v>9327.6827691521776</c:v>
                </c:pt>
                <c:pt idx="73">
                  <c:v>9284.8420448829238</c:v>
                </c:pt>
                <c:pt idx="74">
                  <c:v>9242.0013206137137</c:v>
                </c:pt>
                <c:pt idx="75">
                  <c:v>9213.0813003277126</c:v>
                </c:pt>
                <c:pt idx="76">
                  <c:v>9170.2405760584807</c:v>
                </c:pt>
                <c:pt idx="77">
                  <c:v>9142.3454808505667</c:v>
                </c:pt>
                <c:pt idx="78">
                  <c:v>9099.5047565812656</c:v>
                </c:pt>
                <c:pt idx="79">
                  <c:v>9056.6640323120318</c:v>
                </c:pt>
                <c:pt idx="80">
                  <c:v>9013.8233080427835</c:v>
                </c:pt>
                <c:pt idx="81">
                  <c:v>8970.9825837735643</c:v>
                </c:pt>
                <c:pt idx="82">
                  <c:v>8928.1418595043306</c:v>
                </c:pt>
                <c:pt idx="83">
                  <c:v>8885.301135235075</c:v>
                </c:pt>
                <c:pt idx="84">
                  <c:v>8842.4604109657903</c:v>
                </c:pt>
                <c:pt idx="85">
                  <c:v>8799.6196866965529</c:v>
                </c:pt>
                <c:pt idx="86">
                  <c:v>8769.5621039689577</c:v>
                </c:pt>
                <c:pt idx="87">
                  <c:v>8726.7213796997148</c:v>
                </c:pt>
                <c:pt idx="88">
                  <c:v>8697.0322616818721</c:v>
                </c:pt>
                <c:pt idx="89">
                  <c:v>8654.1915374126511</c:v>
                </c:pt>
                <c:pt idx="90">
                  <c:v>8611.3508131434028</c:v>
                </c:pt>
                <c:pt idx="91">
                  <c:v>8568.5100888741108</c:v>
                </c:pt>
                <c:pt idx="92">
                  <c:v>8525.669364604857</c:v>
                </c:pt>
                <c:pt idx="93">
                  <c:v>8482.8286403356251</c:v>
                </c:pt>
                <c:pt idx="94">
                  <c:v>8439.9879160664059</c:v>
                </c:pt>
                <c:pt idx="95">
                  <c:v>8412.9668319254488</c:v>
                </c:pt>
                <c:pt idx="96">
                  <c:v>8370.1261076562059</c:v>
                </c:pt>
                <c:pt idx="97">
                  <c:v>8339.7103833869241</c:v>
                </c:pt>
                <c:pt idx="98">
                  <c:v>8296.869659117674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8DE-4E06-B131-6163155B50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948224"/>
        <c:axId val="1311944896"/>
      </c:scatterChart>
      <c:valAx>
        <c:axId val="1311948224"/>
        <c:scaling>
          <c:orientation val="minMax"/>
          <c:max val="1290"/>
          <c:min val="11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800"/>
                  <a:t>Anschaffungsauszahlung ohne Batterie in €/kWp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4896"/>
        <c:crosses val="autoZero"/>
        <c:crossBetween val="midCat"/>
        <c:majorUnit val="15"/>
        <c:minorUnit val="2"/>
      </c:valAx>
      <c:valAx>
        <c:axId val="1311944896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600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8224"/>
        <c:crosses val="autoZero"/>
        <c:crossBetween val="midCat"/>
        <c:majorUnit val="1000"/>
        <c:minorUnit val="200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ayout>
        <c:manualLayout>
          <c:xMode val="edge"/>
          <c:yMode val="edge"/>
          <c:x val="0.88343938638069697"/>
          <c:y val="8.0791439266083648E-2"/>
          <c:w val="9.311392578664246E-2"/>
          <c:h val="6.46618158698846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2400"/>
              <a:t>Variation der Gesamten laufenden Auszahlungen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3250834947472466E-2"/>
          <c:y val="5.7475266429607853E-2"/>
          <c:w val="0.8778690028182794"/>
          <c:h val="0.86570580351271875"/>
        </c:manualLayout>
      </c:layout>
      <c:scatterChart>
        <c:scatterStyle val="lineMarker"/>
        <c:varyColors val="0"/>
        <c:ser>
          <c:idx val="0"/>
          <c:order val="0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3801277711578788"/>
                  <c:y val="-0.1031606980721422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Laufende_Kosten!$D$2:$D$101</c:f>
              <c:numCache>
                <c:formatCode>General</c:formatCode>
                <c:ptCount val="100"/>
                <c:pt idx="0">
                  <c:v>18.016861200000001</c:v>
                </c:pt>
                <c:pt idx="1">
                  <c:v>18.13891310707071</c:v>
                </c:pt>
                <c:pt idx="2">
                  <c:v>18.260965014141419</c:v>
                </c:pt>
                <c:pt idx="3">
                  <c:v>18.383016921212121</c:v>
                </c:pt>
                <c:pt idx="4">
                  <c:v>18.50506882828283</c:v>
                </c:pt>
                <c:pt idx="5">
                  <c:v>18.62712073535354</c:v>
                </c:pt>
                <c:pt idx="6">
                  <c:v>18.749172642424249</c:v>
                </c:pt>
                <c:pt idx="7">
                  <c:v>18.871224549494951</c:v>
                </c:pt>
                <c:pt idx="8">
                  <c:v>18.99327645656566</c:v>
                </c:pt>
                <c:pt idx="9">
                  <c:v>19.115328363636369</c:v>
                </c:pt>
                <c:pt idx="10">
                  <c:v>19.237380270707071</c:v>
                </c:pt>
                <c:pt idx="11">
                  <c:v>19.35943217777778</c:v>
                </c:pt>
                <c:pt idx="12">
                  <c:v>19.481484084848489</c:v>
                </c:pt>
                <c:pt idx="13">
                  <c:v>19.603535991919191</c:v>
                </c:pt>
                <c:pt idx="14">
                  <c:v>19.7255878989899</c:v>
                </c:pt>
                <c:pt idx="15">
                  <c:v>19.847639806060609</c:v>
                </c:pt>
                <c:pt idx="16">
                  <c:v>19.969691713131311</c:v>
                </c:pt>
                <c:pt idx="17">
                  <c:v>20.091743620202021</c:v>
                </c:pt>
                <c:pt idx="18">
                  <c:v>20.21379552727273</c:v>
                </c:pt>
                <c:pt idx="19">
                  <c:v>20.335847434343439</c:v>
                </c:pt>
                <c:pt idx="20">
                  <c:v>20.457899341414141</c:v>
                </c:pt>
                <c:pt idx="21">
                  <c:v>20.57995124848485</c:v>
                </c:pt>
                <c:pt idx="22">
                  <c:v>20.702003155555559</c:v>
                </c:pt>
                <c:pt idx="23">
                  <c:v>20.824055062626261</c:v>
                </c:pt>
                <c:pt idx="24">
                  <c:v>20.94610696969697</c:v>
                </c:pt>
                <c:pt idx="25">
                  <c:v>21.068158876767679</c:v>
                </c:pt>
                <c:pt idx="26">
                  <c:v>21.190210783838381</c:v>
                </c:pt>
                <c:pt idx="27">
                  <c:v>21.31226269090909</c:v>
                </c:pt>
                <c:pt idx="28">
                  <c:v>21.4343145979798</c:v>
                </c:pt>
                <c:pt idx="29">
                  <c:v>21.556366505050509</c:v>
                </c:pt>
                <c:pt idx="30">
                  <c:v>21.678418412121211</c:v>
                </c:pt>
                <c:pt idx="31">
                  <c:v>21.80047031919192</c:v>
                </c:pt>
                <c:pt idx="32">
                  <c:v>21.922522226262629</c:v>
                </c:pt>
                <c:pt idx="33">
                  <c:v>22.044574133333331</c:v>
                </c:pt>
                <c:pt idx="34">
                  <c:v>22.16662604040404</c:v>
                </c:pt>
                <c:pt idx="35">
                  <c:v>22.288677947474749</c:v>
                </c:pt>
                <c:pt idx="36">
                  <c:v>22.410729854545451</c:v>
                </c:pt>
                <c:pt idx="37">
                  <c:v>22.53278176161616</c:v>
                </c:pt>
                <c:pt idx="38">
                  <c:v>22.654833668686869</c:v>
                </c:pt>
                <c:pt idx="39">
                  <c:v>22.776885575757571</c:v>
                </c:pt>
                <c:pt idx="40">
                  <c:v>22.898937482828281</c:v>
                </c:pt>
                <c:pt idx="41">
                  <c:v>23.02098938989899</c:v>
                </c:pt>
                <c:pt idx="42">
                  <c:v>23.143041296969699</c:v>
                </c:pt>
                <c:pt idx="43">
                  <c:v>23.265093204040401</c:v>
                </c:pt>
                <c:pt idx="44">
                  <c:v>23.38714511111111</c:v>
                </c:pt>
                <c:pt idx="45">
                  <c:v>23.509197018181819</c:v>
                </c:pt>
                <c:pt idx="46">
                  <c:v>23.631248925252532</c:v>
                </c:pt>
                <c:pt idx="47">
                  <c:v>23.75330083232323</c:v>
                </c:pt>
                <c:pt idx="48">
                  <c:v>23.875352739393939</c:v>
                </c:pt>
                <c:pt idx="49">
                  <c:v>23.997404646464648</c:v>
                </c:pt>
                <c:pt idx="50">
                  <c:v>24.11945655353535</c:v>
                </c:pt>
                <c:pt idx="51">
                  <c:v>24.24150846060606</c:v>
                </c:pt>
                <c:pt idx="52">
                  <c:v>24.363560367676769</c:v>
                </c:pt>
                <c:pt idx="53">
                  <c:v>24.485612274747471</c:v>
                </c:pt>
                <c:pt idx="54">
                  <c:v>24.60766418181818</c:v>
                </c:pt>
                <c:pt idx="55">
                  <c:v>24.729716088888889</c:v>
                </c:pt>
                <c:pt idx="56">
                  <c:v>24.851767995959602</c:v>
                </c:pt>
                <c:pt idx="57">
                  <c:v>24.9738199030303</c:v>
                </c:pt>
                <c:pt idx="58">
                  <c:v>25.095871810101009</c:v>
                </c:pt>
                <c:pt idx="59">
                  <c:v>25.217923717171718</c:v>
                </c:pt>
                <c:pt idx="60">
                  <c:v>25.339975624242431</c:v>
                </c:pt>
                <c:pt idx="61">
                  <c:v>25.462027531313129</c:v>
                </c:pt>
                <c:pt idx="62">
                  <c:v>25.584079438383839</c:v>
                </c:pt>
                <c:pt idx="63">
                  <c:v>25.706131345454551</c:v>
                </c:pt>
                <c:pt idx="64">
                  <c:v>25.82818325252525</c:v>
                </c:pt>
                <c:pt idx="65">
                  <c:v>25.950235159595959</c:v>
                </c:pt>
                <c:pt idx="66">
                  <c:v>26.072287066666672</c:v>
                </c:pt>
                <c:pt idx="67">
                  <c:v>26.19433897373737</c:v>
                </c:pt>
                <c:pt idx="68">
                  <c:v>26.316390880808079</c:v>
                </c:pt>
                <c:pt idx="69">
                  <c:v>26.438442787878792</c:v>
                </c:pt>
                <c:pt idx="70">
                  <c:v>26.560494694949501</c:v>
                </c:pt>
                <c:pt idx="71">
                  <c:v>26.682546602020199</c:v>
                </c:pt>
                <c:pt idx="72">
                  <c:v>26.804598509090908</c:v>
                </c:pt>
                <c:pt idx="73">
                  <c:v>26.926650416161621</c:v>
                </c:pt>
                <c:pt idx="74">
                  <c:v>27.04870232323233</c:v>
                </c:pt>
                <c:pt idx="75">
                  <c:v>27.170754230303029</c:v>
                </c:pt>
                <c:pt idx="76">
                  <c:v>27.292806137373741</c:v>
                </c:pt>
                <c:pt idx="77">
                  <c:v>27.414858044444451</c:v>
                </c:pt>
                <c:pt idx="78">
                  <c:v>27.536909951515149</c:v>
                </c:pt>
                <c:pt idx="79">
                  <c:v>27.658961858585862</c:v>
                </c:pt>
                <c:pt idx="80">
                  <c:v>27.781013765656571</c:v>
                </c:pt>
                <c:pt idx="81">
                  <c:v>27.903065672727269</c:v>
                </c:pt>
                <c:pt idx="82">
                  <c:v>28.025117579797978</c:v>
                </c:pt>
                <c:pt idx="83">
                  <c:v>28.147169486868691</c:v>
                </c:pt>
                <c:pt idx="84">
                  <c:v>28.2692213939394</c:v>
                </c:pt>
                <c:pt idx="85">
                  <c:v>28.391273301010099</c:v>
                </c:pt>
                <c:pt idx="86">
                  <c:v>28.513325208080811</c:v>
                </c:pt>
                <c:pt idx="87">
                  <c:v>28.63537711515152</c:v>
                </c:pt>
                <c:pt idx="88">
                  <c:v>28.75742902222223</c:v>
                </c:pt>
                <c:pt idx="89">
                  <c:v>28.879480929292932</c:v>
                </c:pt>
                <c:pt idx="90">
                  <c:v>29.001532836363641</c:v>
                </c:pt>
                <c:pt idx="91">
                  <c:v>29.123584743434339</c:v>
                </c:pt>
                <c:pt idx="92">
                  <c:v>29.245636650505048</c:v>
                </c:pt>
                <c:pt idx="93">
                  <c:v>29.367688557575761</c:v>
                </c:pt>
                <c:pt idx="94">
                  <c:v>29.48974046464647</c:v>
                </c:pt>
                <c:pt idx="95">
                  <c:v>29.611792371717168</c:v>
                </c:pt>
                <c:pt idx="96">
                  <c:v>29.733844278787881</c:v>
                </c:pt>
                <c:pt idx="97">
                  <c:v>29.85589618585859</c:v>
                </c:pt>
                <c:pt idx="98">
                  <c:v>29.977948092929299</c:v>
                </c:pt>
                <c:pt idx="99">
                  <c:v>30.1</c:v>
                </c:pt>
              </c:numCache>
            </c:numRef>
          </c:xVal>
          <c:yVal>
            <c:numRef>
              <c:f>Laufende_Kosten!$C$2:$C$101</c:f>
              <c:numCache>
                <c:formatCode>General</c:formatCode>
                <c:ptCount val="100"/>
                <c:pt idx="0">
                  <c:v>27625.335914464809</c:v>
                </c:pt>
                <c:pt idx="1">
                  <c:v>27578.72773082865</c:v>
                </c:pt>
                <c:pt idx="2">
                  <c:v>27532.119547192469</c:v>
                </c:pt>
                <c:pt idx="3">
                  <c:v>27497.93636355631</c:v>
                </c:pt>
                <c:pt idx="4">
                  <c:v>27451.32817992015</c:v>
                </c:pt>
                <c:pt idx="5">
                  <c:v>27404.719996283991</c:v>
                </c:pt>
                <c:pt idx="6">
                  <c:v>27358.111812647821</c:v>
                </c:pt>
                <c:pt idx="7">
                  <c:v>27311.503629011659</c:v>
                </c:pt>
                <c:pt idx="8">
                  <c:v>27278.235247824461</c:v>
                </c:pt>
                <c:pt idx="9">
                  <c:v>27246.78656146508</c:v>
                </c:pt>
                <c:pt idx="10">
                  <c:v>27200.17837782891</c:v>
                </c:pt>
                <c:pt idx="11">
                  <c:v>27166.536259294069</c:v>
                </c:pt>
                <c:pt idx="12">
                  <c:v>27119.92807565791</c:v>
                </c:pt>
                <c:pt idx="13">
                  <c:v>27073.31989202174</c:v>
                </c:pt>
                <c:pt idx="14">
                  <c:v>27041.238610124259</c:v>
                </c:pt>
                <c:pt idx="15">
                  <c:v>26994.630426488078</c:v>
                </c:pt>
                <c:pt idx="16">
                  <c:v>26960.62504149567</c:v>
                </c:pt>
                <c:pt idx="17">
                  <c:v>26927.937561842758</c:v>
                </c:pt>
                <c:pt idx="18">
                  <c:v>26910.23649578659</c:v>
                </c:pt>
                <c:pt idx="19">
                  <c:v>26863.628312150431</c:v>
                </c:pt>
                <c:pt idx="20">
                  <c:v>26817.020128514261</c:v>
                </c:pt>
                <c:pt idx="21">
                  <c:v>26770.411944878098</c:v>
                </c:pt>
                <c:pt idx="22">
                  <c:v>26723.803761241939</c:v>
                </c:pt>
                <c:pt idx="23">
                  <c:v>26677.195577605769</c:v>
                </c:pt>
                <c:pt idx="24">
                  <c:v>26630.58739396961</c:v>
                </c:pt>
                <c:pt idx="25">
                  <c:v>26598.713988404281</c:v>
                </c:pt>
                <c:pt idx="26">
                  <c:v>26565.257411019509</c:v>
                </c:pt>
                <c:pt idx="27">
                  <c:v>26545.552274702059</c:v>
                </c:pt>
                <c:pt idx="28">
                  <c:v>26514.99010628953</c:v>
                </c:pt>
                <c:pt idx="29">
                  <c:v>26482.106235155781</c:v>
                </c:pt>
                <c:pt idx="30">
                  <c:v>26451.094510222982</c:v>
                </c:pt>
                <c:pt idx="31">
                  <c:v>26416.911326586829</c:v>
                </c:pt>
                <c:pt idx="32">
                  <c:v>26370.303142950659</c:v>
                </c:pt>
                <c:pt idx="33">
                  <c:v>26323.694959314489</c:v>
                </c:pt>
                <c:pt idx="34">
                  <c:v>26277.08677567833</c:v>
                </c:pt>
                <c:pt idx="35">
                  <c:v>26230.478592042171</c:v>
                </c:pt>
                <c:pt idx="36">
                  <c:v>26183.870408406008</c:v>
                </c:pt>
                <c:pt idx="37">
                  <c:v>26137.262224769831</c:v>
                </c:pt>
                <c:pt idx="38">
                  <c:v>26104.975999232451</c:v>
                </c:pt>
                <c:pt idx="39">
                  <c:v>26073.3134446576</c:v>
                </c:pt>
                <c:pt idx="40">
                  <c:v>26026.705261021441</c:v>
                </c:pt>
                <c:pt idx="41">
                  <c:v>26006.402944935551</c:v>
                </c:pt>
                <c:pt idx="42">
                  <c:v>25959.794761299388</c:v>
                </c:pt>
                <c:pt idx="43">
                  <c:v>25913.186577663229</c:v>
                </c:pt>
                <c:pt idx="44">
                  <c:v>25866.578394027059</c:v>
                </c:pt>
                <c:pt idx="45">
                  <c:v>25819.9702103909</c:v>
                </c:pt>
                <c:pt idx="46">
                  <c:v>25801.78446552678</c:v>
                </c:pt>
                <c:pt idx="47">
                  <c:v>25755.176281890621</c:v>
                </c:pt>
                <c:pt idx="48">
                  <c:v>25708.568098254462</c:v>
                </c:pt>
                <c:pt idx="49">
                  <c:v>25678.23554430826</c:v>
                </c:pt>
                <c:pt idx="50">
                  <c:v>25631.62736067209</c:v>
                </c:pt>
                <c:pt idx="51">
                  <c:v>25598.549868722981</c:v>
                </c:pt>
                <c:pt idx="52">
                  <c:v>25567.1011823636</c:v>
                </c:pt>
                <c:pt idx="53">
                  <c:v>25548.94060444937</c:v>
                </c:pt>
                <c:pt idx="54">
                  <c:v>25502.3324208132</c:v>
                </c:pt>
                <c:pt idx="55">
                  <c:v>25455.724237177041</c:v>
                </c:pt>
                <c:pt idx="56">
                  <c:v>25409.116053540871</c:v>
                </c:pt>
                <c:pt idx="57">
                  <c:v>25388.44261769775</c:v>
                </c:pt>
                <c:pt idx="58">
                  <c:v>25341.834434061591</c:v>
                </c:pt>
                <c:pt idx="59">
                  <c:v>25307.651250425421</c:v>
                </c:pt>
                <c:pt idx="60">
                  <c:v>25261.043066789269</c:v>
                </c:pt>
                <c:pt idx="61">
                  <c:v>25214.434883153099</c:v>
                </c:pt>
                <c:pt idx="62">
                  <c:v>25183.20312540988</c:v>
                </c:pt>
                <c:pt idx="63">
                  <c:v>25136.594941773721</c:v>
                </c:pt>
                <c:pt idx="64">
                  <c:v>25117.830976417052</c:v>
                </c:pt>
                <c:pt idx="65">
                  <c:v>25085.957570851711</c:v>
                </c:pt>
                <c:pt idx="66">
                  <c:v>25039.349387215541</c:v>
                </c:pt>
                <c:pt idx="67">
                  <c:v>24992.741203579379</c:v>
                </c:pt>
                <c:pt idx="68">
                  <c:v>24946.13301994322</c:v>
                </c:pt>
                <c:pt idx="69">
                  <c:v>24899.52483630706</c:v>
                </c:pt>
                <c:pt idx="70">
                  <c:v>24852.91665267089</c:v>
                </c:pt>
                <c:pt idx="71">
                  <c:v>24806.308469034731</c:v>
                </c:pt>
                <c:pt idx="72">
                  <c:v>24772.66635049988</c:v>
                </c:pt>
                <c:pt idx="73">
                  <c:v>24739.397969312678</c:v>
                </c:pt>
                <c:pt idx="74">
                  <c:v>24692.789785676508</c:v>
                </c:pt>
                <c:pt idx="75">
                  <c:v>24658.784400684101</c:v>
                </c:pt>
                <c:pt idx="76">
                  <c:v>24658.140649073692</c:v>
                </c:pt>
                <c:pt idx="77">
                  <c:v>24611.532465437529</c:v>
                </c:pt>
                <c:pt idx="78">
                  <c:v>24564.924281801359</c:v>
                </c:pt>
                <c:pt idx="79">
                  <c:v>24518.3160981652</c:v>
                </c:pt>
                <c:pt idx="80">
                  <c:v>24486.653543590372</c:v>
                </c:pt>
                <c:pt idx="81">
                  <c:v>24440.045359954202</c:v>
                </c:pt>
                <c:pt idx="82">
                  <c:v>24393.437176318039</c:v>
                </c:pt>
                <c:pt idx="83">
                  <c:v>24346.828992681869</c:v>
                </c:pt>
                <c:pt idx="84">
                  <c:v>24300.22080904571</c:v>
                </c:pt>
                <c:pt idx="85">
                  <c:v>24267.143317096601</c:v>
                </c:pt>
                <c:pt idx="86">
                  <c:v>24220.535133460431</c:v>
                </c:pt>
                <c:pt idx="87">
                  <c:v>24199.135091365912</c:v>
                </c:pt>
                <c:pt idx="88">
                  <c:v>24152.526907729749</c:v>
                </c:pt>
                <c:pt idx="89">
                  <c:v>24132.991034328239</c:v>
                </c:pt>
                <c:pt idx="90">
                  <c:v>24086.382850692069</c:v>
                </c:pt>
                <c:pt idx="91">
                  <c:v>24039.77466705591</c:v>
                </c:pt>
                <c:pt idx="92">
                  <c:v>24007.693385158422</c:v>
                </c:pt>
                <c:pt idx="93">
                  <c:v>23976.90484165055</c:v>
                </c:pt>
                <c:pt idx="94">
                  <c:v>23945.456155291169</c:v>
                </c:pt>
                <c:pt idx="95">
                  <c:v>23898.847971655021</c:v>
                </c:pt>
                <c:pt idx="96">
                  <c:v>23852.239788018851</c:v>
                </c:pt>
                <c:pt idx="97">
                  <c:v>23805.631604382681</c:v>
                </c:pt>
                <c:pt idx="98">
                  <c:v>23772.74773324894</c:v>
                </c:pt>
                <c:pt idx="99">
                  <c:v>23742.415179302749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F50-4914-B3F2-ABD6B3C06102}"/>
            </c:ext>
          </c:extLst>
        </c:ser>
        <c:ser>
          <c:idx val="1"/>
          <c:order val="1"/>
          <c:tx>
            <c:v>Szenario II (2)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54906375223707227"/>
                  <c:y val="-0.1167326883364482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Laufende_Kosten!$D$102:$D$201</c:f>
              <c:numCache>
                <c:formatCode>General</c:formatCode>
                <c:ptCount val="100"/>
                <c:pt idx="0">
                  <c:v>18.016861200000001</c:v>
                </c:pt>
                <c:pt idx="1">
                  <c:v>18.13891310707071</c:v>
                </c:pt>
                <c:pt idx="2">
                  <c:v>18.260965014141419</c:v>
                </c:pt>
                <c:pt idx="3">
                  <c:v>18.383016921212121</c:v>
                </c:pt>
                <c:pt idx="4">
                  <c:v>18.50506882828283</c:v>
                </c:pt>
                <c:pt idx="5">
                  <c:v>18.62712073535354</c:v>
                </c:pt>
                <c:pt idx="6">
                  <c:v>18.749172642424249</c:v>
                </c:pt>
                <c:pt idx="7">
                  <c:v>18.871224549494951</c:v>
                </c:pt>
                <c:pt idx="8">
                  <c:v>18.99327645656566</c:v>
                </c:pt>
                <c:pt idx="9">
                  <c:v>19.115328363636369</c:v>
                </c:pt>
                <c:pt idx="10">
                  <c:v>19.237380270707071</c:v>
                </c:pt>
                <c:pt idx="11">
                  <c:v>19.35943217777778</c:v>
                </c:pt>
                <c:pt idx="12">
                  <c:v>19.481484084848489</c:v>
                </c:pt>
                <c:pt idx="13">
                  <c:v>19.603535991919191</c:v>
                </c:pt>
                <c:pt idx="14">
                  <c:v>19.7255878989899</c:v>
                </c:pt>
                <c:pt idx="15">
                  <c:v>19.847639806060609</c:v>
                </c:pt>
                <c:pt idx="16">
                  <c:v>19.969691713131311</c:v>
                </c:pt>
                <c:pt idx="17">
                  <c:v>20.091743620202021</c:v>
                </c:pt>
                <c:pt idx="18">
                  <c:v>20.21379552727273</c:v>
                </c:pt>
                <c:pt idx="19">
                  <c:v>20.335847434343439</c:v>
                </c:pt>
                <c:pt idx="20">
                  <c:v>20.457899341414141</c:v>
                </c:pt>
                <c:pt idx="21">
                  <c:v>20.57995124848485</c:v>
                </c:pt>
                <c:pt idx="22">
                  <c:v>20.702003155555559</c:v>
                </c:pt>
                <c:pt idx="23">
                  <c:v>20.824055062626261</c:v>
                </c:pt>
                <c:pt idx="24">
                  <c:v>20.94610696969697</c:v>
                </c:pt>
                <c:pt idx="25">
                  <c:v>21.068158876767679</c:v>
                </c:pt>
                <c:pt idx="26">
                  <c:v>21.190210783838381</c:v>
                </c:pt>
                <c:pt idx="27">
                  <c:v>21.31226269090909</c:v>
                </c:pt>
                <c:pt idx="28">
                  <c:v>21.4343145979798</c:v>
                </c:pt>
                <c:pt idx="29">
                  <c:v>21.556366505050509</c:v>
                </c:pt>
                <c:pt idx="30">
                  <c:v>21.678418412121211</c:v>
                </c:pt>
                <c:pt idx="31">
                  <c:v>21.80047031919192</c:v>
                </c:pt>
                <c:pt idx="32">
                  <c:v>21.922522226262629</c:v>
                </c:pt>
                <c:pt idx="33">
                  <c:v>22.044574133333331</c:v>
                </c:pt>
                <c:pt idx="34">
                  <c:v>22.16662604040404</c:v>
                </c:pt>
                <c:pt idx="35">
                  <c:v>22.288677947474749</c:v>
                </c:pt>
                <c:pt idx="36">
                  <c:v>22.410729854545451</c:v>
                </c:pt>
                <c:pt idx="37">
                  <c:v>22.53278176161616</c:v>
                </c:pt>
                <c:pt idx="38">
                  <c:v>22.654833668686869</c:v>
                </c:pt>
                <c:pt idx="39">
                  <c:v>22.776885575757571</c:v>
                </c:pt>
                <c:pt idx="40">
                  <c:v>22.898937482828281</c:v>
                </c:pt>
                <c:pt idx="41">
                  <c:v>23.02098938989899</c:v>
                </c:pt>
                <c:pt idx="42">
                  <c:v>23.143041296969699</c:v>
                </c:pt>
                <c:pt idx="43">
                  <c:v>23.265093204040401</c:v>
                </c:pt>
                <c:pt idx="44">
                  <c:v>23.38714511111111</c:v>
                </c:pt>
                <c:pt idx="45">
                  <c:v>23.509197018181819</c:v>
                </c:pt>
                <c:pt idx="46">
                  <c:v>23.631248925252532</c:v>
                </c:pt>
                <c:pt idx="47">
                  <c:v>23.75330083232323</c:v>
                </c:pt>
                <c:pt idx="48">
                  <c:v>23.875352739393939</c:v>
                </c:pt>
                <c:pt idx="49">
                  <c:v>23.997404646464648</c:v>
                </c:pt>
                <c:pt idx="50">
                  <c:v>24.11945655353535</c:v>
                </c:pt>
                <c:pt idx="51">
                  <c:v>24.24150846060606</c:v>
                </c:pt>
                <c:pt idx="52">
                  <c:v>24.363560367676769</c:v>
                </c:pt>
                <c:pt idx="53">
                  <c:v>24.485612274747471</c:v>
                </c:pt>
                <c:pt idx="54">
                  <c:v>24.60766418181818</c:v>
                </c:pt>
                <c:pt idx="55">
                  <c:v>24.729716088888889</c:v>
                </c:pt>
                <c:pt idx="56">
                  <c:v>24.851767995959602</c:v>
                </c:pt>
                <c:pt idx="57">
                  <c:v>24.9738199030303</c:v>
                </c:pt>
                <c:pt idx="58">
                  <c:v>25.095871810101009</c:v>
                </c:pt>
                <c:pt idx="59">
                  <c:v>25.217923717171718</c:v>
                </c:pt>
                <c:pt idx="60">
                  <c:v>25.339975624242431</c:v>
                </c:pt>
                <c:pt idx="61">
                  <c:v>25.462027531313129</c:v>
                </c:pt>
                <c:pt idx="62">
                  <c:v>25.584079438383839</c:v>
                </c:pt>
                <c:pt idx="63">
                  <c:v>25.706131345454551</c:v>
                </c:pt>
                <c:pt idx="64">
                  <c:v>25.82818325252525</c:v>
                </c:pt>
                <c:pt idx="65">
                  <c:v>25.950235159595959</c:v>
                </c:pt>
                <c:pt idx="66">
                  <c:v>26.072287066666672</c:v>
                </c:pt>
                <c:pt idx="67">
                  <c:v>26.19433897373737</c:v>
                </c:pt>
                <c:pt idx="68">
                  <c:v>26.316390880808079</c:v>
                </c:pt>
                <c:pt idx="69">
                  <c:v>26.438442787878792</c:v>
                </c:pt>
                <c:pt idx="70">
                  <c:v>26.560494694949501</c:v>
                </c:pt>
                <c:pt idx="71">
                  <c:v>26.682546602020199</c:v>
                </c:pt>
                <c:pt idx="72">
                  <c:v>26.804598509090908</c:v>
                </c:pt>
                <c:pt idx="73">
                  <c:v>26.926650416161621</c:v>
                </c:pt>
                <c:pt idx="74">
                  <c:v>27.04870232323233</c:v>
                </c:pt>
                <c:pt idx="75">
                  <c:v>27.170754230303029</c:v>
                </c:pt>
                <c:pt idx="76">
                  <c:v>27.292806137373741</c:v>
                </c:pt>
                <c:pt idx="77">
                  <c:v>27.414858044444451</c:v>
                </c:pt>
                <c:pt idx="78">
                  <c:v>27.536909951515149</c:v>
                </c:pt>
                <c:pt idx="79">
                  <c:v>27.658961858585862</c:v>
                </c:pt>
                <c:pt idx="80">
                  <c:v>27.781013765656571</c:v>
                </c:pt>
                <c:pt idx="81">
                  <c:v>27.903065672727269</c:v>
                </c:pt>
                <c:pt idx="82">
                  <c:v>28.025117579797978</c:v>
                </c:pt>
                <c:pt idx="83">
                  <c:v>28.147169486868691</c:v>
                </c:pt>
                <c:pt idx="84">
                  <c:v>28.2692213939394</c:v>
                </c:pt>
                <c:pt idx="85">
                  <c:v>28.391273301010099</c:v>
                </c:pt>
                <c:pt idx="86">
                  <c:v>28.513325208080811</c:v>
                </c:pt>
                <c:pt idx="87">
                  <c:v>28.63537711515152</c:v>
                </c:pt>
                <c:pt idx="88">
                  <c:v>28.75742902222223</c:v>
                </c:pt>
                <c:pt idx="89">
                  <c:v>28.879480929292932</c:v>
                </c:pt>
                <c:pt idx="90">
                  <c:v>29.001532836363641</c:v>
                </c:pt>
                <c:pt idx="91">
                  <c:v>29.123584743434339</c:v>
                </c:pt>
                <c:pt idx="92">
                  <c:v>29.245636650505048</c:v>
                </c:pt>
                <c:pt idx="93">
                  <c:v>29.367688557575761</c:v>
                </c:pt>
                <c:pt idx="94">
                  <c:v>29.48974046464647</c:v>
                </c:pt>
                <c:pt idx="95">
                  <c:v>29.611792371717168</c:v>
                </c:pt>
                <c:pt idx="96">
                  <c:v>29.733844278787881</c:v>
                </c:pt>
                <c:pt idx="97">
                  <c:v>29.85589618585859</c:v>
                </c:pt>
                <c:pt idx="98">
                  <c:v>29.977948092929299</c:v>
                </c:pt>
                <c:pt idx="99">
                  <c:v>30.1</c:v>
                </c:pt>
              </c:numCache>
            </c:numRef>
          </c:xVal>
          <c:yVal>
            <c:numRef>
              <c:f>Laufende_Kosten!$C$102:$C$201</c:f>
              <c:numCache>
                <c:formatCode>General</c:formatCode>
                <c:ptCount val="100"/>
                <c:pt idx="0">
                  <c:v>14115.5470194232</c:v>
                </c:pt>
                <c:pt idx="1">
                  <c:v>14095.825604871599</c:v>
                </c:pt>
                <c:pt idx="2">
                  <c:v>14049.21742123544</c:v>
                </c:pt>
                <c:pt idx="3">
                  <c:v>14002.60923759927</c:v>
                </c:pt>
                <c:pt idx="4">
                  <c:v>13984.908171543109</c:v>
                </c:pt>
                <c:pt idx="5">
                  <c:v>13938.299987906939</c:v>
                </c:pt>
                <c:pt idx="6">
                  <c:v>13891.691804270769</c:v>
                </c:pt>
                <c:pt idx="7">
                  <c:v>13859.61052237329</c:v>
                </c:pt>
                <c:pt idx="8">
                  <c:v>13813.002338737129</c:v>
                </c:pt>
                <c:pt idx="9">
                  <c:v>13778.99695374471</c:v>
                </c:pt>
                <c:pt idx="10">
                  <c:v>13746.50867588562</c:v>
                </c:pt>
                <c:pt idx="11">
                  <c:v>13699.900492249461</c:v>
                </c:pt>
                <c:pt idx="12">
                  <c:v>13653.2923086133</c:v>
                </c:pt>
                <c:pt idx="13">
                  <c:v>13606.68412497713</c:v>
                </c:pt>
                <c:pt idx="14">
                  <c:v>13602.99787531841</c:v>
                </c:pt>
                <c:pt idx="15">
                  <c:v>13571.98615038561</c:v>
                </c:pt>
                <c:pt idx="16">
                  <c:v>13525.377966749449</c:v>
                </c:pt>
                <c:pt idx="17">
                  <c:v>13493.504561184111</c:v>
                </c:pt>
                <c:pt idx="18">
                  <c:v>13459.67951908959</c:v>
                </c:pt>
                <c:pt idx="19">
                  <c:v>13413.071335453429</c:v>
                </c:pt>
                <c:pt idx="20">
                  <c:v>13366.463151817259</c:v>
                </c:pt>
                <c:pt idx="21">
                  <c:v>13319.8549681811</c:v>
                </c:pt>
                <c:pt idx="22">
                  <c:v>13273.24678454493</c:v>
                </c:pt>
                <c:pt idx="23">
                  <c:v>13226.638600908769</c:v>
                </c:pt>
                <c:pt idx="24">
                  <c:v>13206.777375371379</c:v>
                </c:pt>
                <c:pt idx="25">
                  <c:v>13160.169191735209</c:v>
                </c:pt>
                <c:pt idx="26">
                  <c:v>13113.56100809905</c:v>
                </c:pt>
                <c:pt idx="27">
                  <c:v>13066.95282446288</c:v>
                </c:pt>
                <c:pt idx="28">
                  <c:v>13033.684443275681</c:v>
                </c:pt>
                <c:pt idx="29">
                  <c:v>13002.02188870085</c:v>
                </c:pt>
                <c:pt idx="30">
                  <c:v>12971.23334519297</c:v>
                </c:pt>
                <c:pt idx="31">
                  <c:v>12937.591226658131</c:v>
                </c:pt>
                <c:pt idx="32">
                  <c:v>12890.98304302197</c:v>
                </c:pt>
                <c:pt idx="33">
                  <c:v>12844.374859385811</c:v>
                </c:pt>
                <c:pt idx="34">
                  <c:v>12797.766675749641</c:v>
                </c:pt>
                <c:pt idx="35">
                  <c:v>12751.15849211348</c:v>
                </c:pt>
                <c:pt idx="36">
                  <c:v>12704.55030847731</c:v>
                </c:pt>
                <c:pt idx="37">
                  <c:v>12688.138458514361</c:v>
                </c:pt>
                <c:pt idx="38">
                  <c:v>12667.663765208999</c:v>
                </c:pt>
                <c:pt idx="39">
                  <c:v>12621.05558157284</c:v>
                </c:pt>
                <c:pt idx="40">
                  <c:v>12589.606895213459</c:v>
                </c:pt>
                <c:pt idx="41">
                  <c:v>12542.9987115773</c:v>
                </c:pt>
                <c:pt idx="42">
                  <c:v>12496.390527941139</c:v>
                </c:pt>
                <c:pt idx="43">
                  <c:v>12449.78234430498</c:v>
                </c:pt>
                <c:pt idx="44">
                  <c:v>12403.17416066881</c:v>
                </c:pt>
                <c:pt idx="45">
                  <c:v>12356.56597703264</c:v>
                </c:pt>
                <c:pt idx="46">
                  <c:v>12351.75620716364</c:v>
                </c:pt>
                <c:pt idx="47">
                  <c:v>12305.14802352747</c:v>
                </c:pt>
                <c:pt idx="48">
                  <c:v>12271.32298143295</c:v>
                </c:pt>
                <c:pt idx="49">
                  <c:v>12253.815536192151</c:v>
                </c:pt>
                <c:pt idx="50">
                  <c:v>12207.207352555981</c:v>
                </c:pt>
                <c:pt idx="51">
                  <c:v>12160.59916891982</c:v>
                </c:pt>
                <c:pt idx="52">
                  <c:v>12126.41598528366</c:v>
                </c:pt>
                <c:pt idx="53">
                  <c:v>12079.80780164749</c:v>
                </c:pt>
                <c:pt idx="54">
                  <c:v>12033.199618011329</c:v>
                </c:pt>
                <c:pt idx="55">
                  <c:v>11986.591434375159</c:v>
                </c:pt>
                <c:pt idx="56">
                  <c:v>11939.983250739</c:v>
                </c:pt>
                <c:pt idx="57">
                  <c:v>11908.109845173671</c:v>
                </c:pt>
                <c:pt idx="58">
                  <c:v>11861.501661537501</c:v>
                </c:pt>
                <c:pt idx="59">
                  <c:v>11814.89347790134</c:v>
                </c:pt>
                <c:pt idx="60">
                  <c:v>11783.88175296854</c:v>
                </c:pt>
                <c:pt idx="61">
                  <c:v>11764.9353298801</c:v>
                </c:pt>
                <c:pt idx="62">
                  <c:v>11747.33922656888</c:v>
                </c:pt>
                <c:pt idx="63">
                  <c:v>11700.73104293271</c:v>
                </c:pt>
                <c:pt idx="64">
                  <c:v>11654.12285929656</c:v>
                </c:pt>
                <c:pt idx="65">
                  <c:v>11607.51467566039</c:v>
                </c:pt>
                <c:pt idx="66">
                  <c:v>11560.906492024231</c:v>
                </c:pt>
                <c:pt idx="67">
                  <c:v>11526.90110703181</c:v>
                </c:pt>
                <c:pt idx="68">
                  <c:v>11480.292923395649</c:v>
                </c:pt>
                <c:pt idx="69">
                  <c:v>11433.684739759479</c:v>
                </c:pt>
                <c:pt idx="70">
                  <c:v>11402.02218518464</c:v>
                </c:pt>
                <c:pt idx="71">
                  <c:v>11368.944693235529</c:v>
                </c:pt>
                <c:pt idx="72">
                  <c:v>11336.257213582619</c:v>
                </c:pt>
                <c:pt idx="73">
                  <c:v>11289.64902994646</c:v>
                </c:pt>
                <c:pt idx="74">
                  <c:v>11243.04084631029</c:v>
                </c:pt>
                <c:pt idx="75">
                  <c:v>11196.432662674129</c:v>
                </c:pt>
                <c:pt idx="76">
                  <c:v>11149.82447903797</c:v>
                </c:pt>
                <c:pt idx="77">
                  <c:v>11119.035935530101</c:v>
                </c:pt>
                <c:pt idx="78">
                  <c:v>11098.36249968698</c:v>
                </c:pt>
                <c:pt idx="79">
                  <c:v>11051.75431605081</c:v>
                </c:pt>
                <c:pt idx="80">
                  <c:v>11017.57113241465</c:v>
                </c:pt>
                <c:pt idx="81">
                  <c:v>10970.96294877849</c:v>
                </c:pt>
                <c:pt idx="82">
                  <c:v>10924.35476514232</c:v>
                </c:pt>
                <c:pt idx="83">
                  <c:v>10907.025984560019</c:v>
                </c:pt>
                <c:pt idx="84">
                  <c:v>10874.14211342628</c:v>
                </c:pt>
                <c:pt idx="85">
                  <c:v>10842.06083152879</c:v>
                </c:pt>
                <c:pt idx="86">
                  <c:v>10795.452647892629</c:v>
                </c:pt>
                <c:pt idx="87">
                  <c:v>10765.120093946431</c:v>
                </c:pt>
                <c:pt idx="88">
                  <c:v>10718.51191031027</c:v>
                </c:pt>
                <c:pt idx="89">
                  <c:v>10671.9037266741</c:v>
                </c:pt>
                <c:pt idx="90">
                  <c:v>10625.295543037941</c:v>
                </c:pt>
                <c:pt idx="91">
                  <c:v>10578.68735940178</c:v>
                </c:pt>
                <c:pt idx="92">
                  <c:v>10532.07917576561</c:v>
                </c:pt>
                <c:pt idx="93">
                  <c:v>10513.813483123709</c:v>
                </c:pt>
                <c:pt idx="94">
                  <c:v>10480.545101936499</c:v>
                </c:pt>
                <c:pt idx="95">
                  <c:v>10433.93691830034</c:v>
                </c:pt>
                <c:pt idx="96">
                  <c:v>10399.93153330793</c:v>
                </c:pt>
                <c:pt idx="97">
                  <c:v>10368.05812774259</c:v>
                </c:pt>
                <c:pt idx="98">
                  <c:v>10321.449944106431</c:v>
                </c:pt>
                <c:pt idx="99">
                  <c:v>10289.163718569031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2F50-4914-B3F2-ABD6B3C061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948224"/>
        <c:axId val="1311944896"/>
      </c:scatterChart>
      <c:valAx>
        <c:axId val="1311948224"/>
        <c:scaling>
          <c:orientation val="minMax"/>
          <c:min val="1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800"/>
                  <a:t>Laufende</a:t>
                </a:r>
                <a:r>
                  <a:rPr lang="de-DE" sz="1800" baseline="0"/>
                  <a:t> Auszahlungen in €/kWp</a:t>
                </a:r>
                <a:endParaRPr lang="de-DE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4896"/>
        <c:crosses val="autoZero"/>
        <c:crossBetween val="midCat"/>
      </c:valAx>
      <c:valAx>
        <c:axId val="1311944896"/>
        <c:scaling>
          <c:orientation val="minMax"/>
          <c:max val="28000"/>
          <c:min val="9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600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8224"/>
        <c:crosses val="autoZero"/>
        <c:crossBetween val="midCat"/>
        <c:majorUnit val="1000"/>
        <c:minorUnit val="250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>
        <c:manualLayout>
          <c:xMode val="edge"/>
          <c:yMode val="edge"/>
          <c:x val="0.89060331291235573"/>
          <c:y val="5.822156555717984E-2"/>
          <c:w val="8.1479500455521103E-2"/>
          <c:h val="5.501236107708412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2400"/>
              <a:t>Variation der Degradation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3250834947472466E-2"/>
          <c:y val="5.7475266429607853E-2"/>
          <c:w val="0.8778690028182794"/>
          <c:h val="0.86570580351271875"/>
        </c:manualLayout>
      </c:layout>
      <c:scatterChart>
        <c:scatterStyle val="lineMarker"/>
        <c:varyColors val="0"/>
        <c:ser>
          <c:idx val="0"/>
          <c:order val="0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5611488339083528E-2"/>
                  <c:y val="-3.90302990461129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Laufende_Kosten!$C$2:$C$100</c:f>
              <c:numCache>
                <c:formatCode>General</c:formatCode>
                <c:ptCount val="99"/>
                <c:pt idx="0">
                  <c:v>27625.335914464809</c:v>
                </c:pt>
                <c:pt idx="1">
                  <c:v>27578.72773082865</c:v>
                </c:pt>
                <c:pt idx="2">
                  <c:v>27532.119547192469</c:v>
                </c:pt>
                <c:pt idx="3">
                  <c:v>27497.93636355631</c:v>
                </c:pt>
                <c:pt idx="4">
                  <c:v>27451.32817992015</c:v>
                </c:pt>
                <c:pt idx="5">
                  <c:v>27404.719996283991</c:v>
                </c:pt>
                <c:pt idx="6">
                  <c:v>27358.111812647821</c:v>
                </c:pt>
                <c:pt idx="7">
                  <c:v>27311.503629011659</c:v>
                </c:pt>
                <c:pt idx="8">
                  <c:v>27278.235247824461</c:v>
                </c:pt>
                <c:pt idx="9">
                  <c:v>27246.78656146508</c:v>
                </c:pt>
                <c:pt idx="10">
                  <c:v>27200.17837782891</c:v>
                </c:pt>
                <c:pt idx="11">
                  <c:v>27166.536259294069</c:v>
                </c:pt>
                <c:pt idx="12">
                  <c:v>27119.92807565791</c:v>
                </c:pt>
                <c:pt idx="13">
                  <c:v>27073.31989202174</c:v>
                </c:pt>
                <c:pt idx="14">
                  <c:v>27041.238610124259</c:v>
                </c:pt>
                <c:pt idx="15">
                  <c:v>26994.630426488078</c:v>
                </c:pt>
                <c:pt idx="16">
                  <c:v>26960.62504149567</c:v>
                </c:pt>
                <c:pt idx="17">
                  <c:v>26927.937561842758</c:v>
                </c:pt>
                <c:pt idx="18">
                  <c:v>26910.23649578659</c:v>
                </c:pt>
                <c:pt idx="19">
                  <c:v>26863.628312150431</c:v>
                </c:pt>
                <c:pt idx="20">
                  <c:v>26817.020128514261</c:v>
                </c:pt>
                <c:pt idx="21">
                  <c:v>26770.411944878098</c:v>
                </c:pt>
                <c:pt idx="22">
                  <c:v>26723.803761241939</c:v>
                </c:pt>
                <c:pt idx="23">
                  <c:v>26677.195577605769</c:v>
                </c:pt>
                <c:pt idx="24">
                  <c:v>26630.58739396961</c:v>
                </c:pt>
                <c:pt idx="25">
                  <c:v>26598.713988404281</c:v>
                </c:pt>
                <c:pt idx="26">
                  <c:v>26565.257411019509</c:v>
                </c:pt>
                <c:pt idx="27">
                  <c:v>26545.552274702059</c:v>
                </c:pt>
                <c:pt idx="28">
                  <c:v>26514.99010628953</c:v>
                </c:pt>
                <c:pt idx="29">
                  <c:v>26482.106235155781</c:v>
                </c:pt>
                <c:pt idx="30">
                  <c:v>26451.094510222982</c:v>
                </c:pt>
                <c:pt idx="31">
                  <c:v>26416.911326586829</c:v>
                </c:pt>
                <c:pt idx="32">
                  <c:v>26370.303142950659</c:v>
                </c:pt>
                <c:pt idx="33">
                  <c:v>26323.694959314489</c:v>
                </c:pt>
                <c:pt idx="34">
                  <c:v>26277.08677567833</c:v>
                </c:pt>
                <c:pt idx="35">
                  <c:v>26230.478592042171</c:v>
                </c:pt>
                <c:pt idx="36">
                  <c:v>26183.870408406008</c:v>
                </c:pt>
                <c:pt idx="37">
                  <c:v>26137.262224769831</c:v>
                </c:pt>
                <c:pt idx="38">
                  <c:v>26104.975999232451</c:v>
                </c:pt>
                <c:pt idx="39">
                  <c:v>26073.3134446576</c:v>
                </c:pt>
                <c:pt idx="40">
                  <c:v>26026.705261021441</c:v>
                </c:pt>
                <c:pt idx="41">
                  <c:v>26006.402944935551</c:v>
                </c:pt>
                <c:pt idx="42">
                  <c:v>25959.794761299388</c:v>
                </c:pt>
                <c:pt idx="43">
                  <c:v>25913.186577663229</c:v>
                </c:pt>
                <c:pt idx="44">
                  <c:v>25866.578394027059</c:v>
                </c:pt>
                <c:pt idx="45">
                  <c:v>25819.9702103909</c:v>
                </c:pt>
                <c:pt idx="46">
                  <c:v>25801.78446552678</c:v>
                </c:pt>
                <c:pt idx="47">
                  <c:v>25755.176281890621</c:v>
                </c:pt>
                <c:pt idx="48">
                  <c:v>25708.568098254462</c:v>
                </c:pt>
                <c:pt idx="49">
                  <c:v>25678.23554430826</c:v>
                </c:pt>
                <c:pt idx="50">
                  <c:v>25631.62736067209</c:v>
                </c:pt>
                <c:pt idx="51">
                  <c:v>25598.549868722981</c:v>
                </c:pt>
                <c:pt idx="52">
                  <c:v>25567.1011823636</c:v>
                </c:pt>
                <c:pt idx="53">
                  <c:v>25548.94060444937</c:v>
                </c:pt>
                <c:pt idx="54">
                  <c:v>25502.3324208132</c:v>
                </c:pt>
                <c:pt idx="55">
                  <c:v>25455.724237177041</c:v>
                </c:pt>
                <c:pt idx="56">
                  <c:v>25409.116053540871</c:v>
                </c:pt>
                <c:pt idx="57">
                  <c:v>25388.44261769775</c:v>
                </c:pt>
                <c:pt idx="58">
                  <c:v>25341.834434061591</c:v>
                </c:pt>
                <c:pt idx="59">
                  <c:v>25307.651250425421</c:v>
                </c:pt>
                <c:pt idx="60">
                  <c:v>25261.043066789269</c:v>
                </c:pt>
                <c:pt idx="61">
                  <c:v>25214.434883153099</c:v>
                </c:pt>
                <c:pt idx="62">
                  <c:v>25183.20312540988</c:v>
                </c:pt>
                <c:pt idx="63">
                  <c:v>25136.594941773721</c:v>
                </c:pt>
                <c:pt idx="64">
                  <c:v>25117.830976417052</c:v>
                </c:pt>
                <c:pt idx="65">
                  <c:v>25085.957570851711</c:v>
                </c:pt>
                <c:pt idx="66">
                  <c:v>25039.349387215541</c:v>
                </c:pt>
                <c:pt idx="67">
                  <c:v>24992.741203579379</c:v>
                </c:pt>
                <c:pt idx="68">
                  <c:v>24946.13301994322</c:v>
                </c:pt>
                <c:pt idx="69">
                  <c:v>24899.52483630706</c:v>
                </c:pt>
                <c:pt idx="70">
                  <c:v>24852.91665267089</c:v>
                </c:pt>
                <c:pt idx="71">
                  <c:v>24806.308469034731</c:v>
                </c:pt>
                <c:pt idx="72">
                  <c:v>24772.66635049988</c:v>
                </c:pt>
                <c:pt idx="73">
                  <c:v>24739.397969312678</c:v>
                </c:pt>
                <c:pt idx="74">
                  <c:v>24692.789785676508</c:v>
                </c:pt>
                <c:pt idx="75">
                  <c:v>24658.784400684101</c:v>
                </c:pt>
                <c:pt idx="76">
                  <c:v>24658.140649073692</c:v>
                </c:pt>
                <c:pt idx="77">
                  <c:v>24611.532465437529</c:v>
                </c:pt>
                <c:pt idx="78">
                  <c:v>24564.924281801359</c:v>
                </c:pt>
                <c:pt idx="79">
                  <c:v>24518.3160981652</c:v>
                </c:pt>
                <c:pt idx="80">
                  <c:v>24486.653543590372</c:v>
                </c:pt>
                <c:pt idx="81">
                  <c:v>24440.045359954202</c:v>
                </c:pt>
                <c:pt idx="82">
                  <c:v>24393.437176318039</c:v>
                </c:pt>
                <c:pt idx="83">
                  <c:v>24346.828992681869</c:v>
                </c:pt>
                <c:pt idx="84">
                  <c:v>24300.22080904571</c:v>
                </c:pt>
                <c:pt idx="85">
                  <c:v>24267.143317096601</c:v>
                </c:pt>
                <c:pt idx="86">
                  <c:v>24220.535133460431</c:v>
                </c:pt>
                <c:pt idx="87">
                  <c:v>24199.135091365912</c:v>
                </c:pt>
                <c:pt idx="88">
                  <c:v>24152.526907729749</c:v>
                </c:pt>
                <c:pt idx="89">
                  <c:v>24132.991034328239</c:v>
                </c:pt>
                <c:pt idx="90">
                  <c:v>24086.382850692069</c:v>
                </c:pt>
                <c:pt idx="91">
                  <c:v>24039.77466705591</c:v>
                </c:pt>
                <c:pt idx="92">
                  <c:v>24007.693385158422</c:v>
                </c:pt>
                <c:pt idx="93">
                  <c:v>23976.90484165055</c:v>
                </c:pt>
                <c:pt idx="94">
                  <c:v>23945.456155291169</c:v>
                </c:pt>
                <c:pt idx="95">
                  <c:v>23898.847971655021</c:v>
                </c:pt>
                <c:pt idx="96">
                  <c:v>23852.239788018851</c:v>
                </c:pt>
                <c:pt idx="97">
                  <c:v>23805.631604382681</c:v>
                </c:pt>
                <c:pt idx="98">
                  <c:v>23772.74773324894</c:v>
                </c:pt>
              </c:numCache>
            </c:numRef>
          </c:xVal>
          <c:yVal>
            <c:numRef>
              <c:f>Anschaffung!#REF!</c:f>
            </c:numRef>
          </c:yVal>
          <c:smooth val="0"/>
          <c:extLst>
            <c:ext xmlns:c16="http://schemas.microsoft.com/office/drawing/2014/chart" uri="{C3380CC4-5D6E-409C-BE32-E72D297353CC}">
              <c16:uniqueId val="{00000001-7FE7-42D1-AC81-35D69A977A26}"/>
            </c:ext>
          </c:extLst>
        </c:ser>
        <c:ser>
          <c:idx val="1"/>
          <c:order val="1"/>
          <c:tx>
            <c:v>Szenario II (2)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7946757796728302E-2"/>
                  <c:y val="-7.6523910001750212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Degradation!$D$102:$D$200</c:f>
              <c:numCache>
                <c:formatCode>General</c:formatCode>
                <c:ptCount val="99"/>
                <c:pt idx="0">
                  <c:v>4.0000000000000001E-3</c:v>
                </c:pt>
                <c:pt idx="1">
                  <c:v>4.0303030303030308E-3</c:v>
                </c:pt>
                <c:pt idx="2">
                  <c:v>4.0606060606060614E-3</c:v>
                </c:pt>
                <c:pt idx="3">
                  <c:v>4.0909090909090912E-3</c:v>
                </c:pt>
                <c:pt idx="4">
                  <c:v>4.121212121212121E-3</c:v>
                </c:pt>
                <c:pt idx="5">
                  <c:v>4.1515151515151517E-3</c:v>
                </c:pt>
                <c:pt idx="6">
                  <c:v>4.1818181818181824E-3</c:v>
                </c:pt>
                <c:pt idx="7">
                  <c:v>4.2121212121212122E-3</c:v>
                </c:pt>
                <c:pt idx="8">
                  <c:v>4.2424242424242429E-3</c:v>
                </c:pt>
                <c:pt idx="9">
                  <c:v>4.2727272727272727E-3</c:v>
                </c:pt>
                <c:pt idx="10">
                  <c:v>4.3030303030303033E-3</c:v>
                </c:pt>
                <c:pt idx="11">
                  <c:v>4.3333333333333331E-3</c:v>
                </c:pt>
                <c:pt idx="12">
                  <c:v>4.3636363636363638E-3</c:v>
                </c:pt>
                <c:pt idx="13">
                  <c:v>4.3939393939393936E-3</c:v>
                </c:pt>
                <c:pt idx="14">
                  <c:v>4.4242424242424243E-3</c:v>
                </c:pt>
                <c:pt idx="15">
                  <c:v>4.454545454545455E-3</c:v>
                </c:pt>
                <c:pt idx="16">
                  <c:v>4.4848484848484848E-3</c:v>
                </c:pt>
                <c:pt idx="17">
                  <c:v>4.5151515151515154E-3</c:v>
                </c:pt>
                <c:pt idx="18">
                  <c:v>4.5454545454545452E-3</c:v>
                </c:pt>
                <c:pt idx="19">
                  <c:v>4.5757575757575759E-3</c:v>
                </c:pt>
                <c:pt idx="20">
                  <c:v>4.6060606060606066E-3</c:v>
                </c:pt>
                <c:pt idx="21">
                  <c:v>4.6363636363636364E-3</c:v>
                </c:pt>
                <c:pt idx="22">
                  <c:v>4.6666666666666671E-3</c:v>
                </c:pt>
                <c:pt idx="23">
                  <c:v>4.6969696969696969E-3</c:v>
                </c:pt>
                <c:pt idx="24">
                  <c:v>4.7272727272727284E-3</c:v>
                </c:pt>
                <c:pt idx="25">
                  <c:v>4.7575757575757573E-3</c:v>
                </c:pt>
                <c:pt idx="26">
                  <c:v>4.787878787878788E-3</c:v>
                </c:pt>
                <c:pt idx="27">
                  <c:v>4.8181818181818187E-3</c:v>
                </c:pt>
                <c:pt idx="28">
                  <c:v>4.8484848484848476E-3</c:v>
                </c:pt>
                <c:pt idx="29">
                  <c:v>4.8787878787878792E-3</c:v>
                </c:pt>
                <c:pt idx="30">
                  <c:v>4.909090909090909E-3</c:v>
                </c:pt>
                <c:pt idx="31">
                  <c:v>4.9393939393939396E-3</c:v>
                </c:pt>
                <c:pt idx="32">
                  <c:v>4.9696969696969694E-3</c:v>
                </c:pt>
                <c:pt idx="33">
                  <c:v>5.0000000000000001E-3</c:v>
                </c:pt>
                <c:pt idx="34">
                  <c:v>5.0303030303030308E-3</c:v>
                </c:pt>
                <c:pt idx="35">
                  <c:v>5.0606060606060606E-3</c:v>
                </c:pt>
                <c:pt idx="36">
                  <c:v>5.0909090909090913E-3</c:v>
                </c:pt>
                <c:pt idx="37">
                  <c:v>5.1212121212121211E-3</c:v>
                </c:pt>
                <c:pt idx="38">
                  <c:v>5.1515151515151517E-3</c:v>
                </c:pt>
                <c:pt idx="39">
                  <c:v>5.1818181818181824E-3</c:v>
                </c:pt>
                <c:pt idx="40">
                  <c:v>5.2121212121212122E-3</c:v>
                </c:pt>
                <c:pt idx="41">
                  <c:v>5.2424242424242429E-3</c:v>
                </c:pt>
                <c:pt idx="42">
                  <c:v>5.2727272727272727E-3</c:v>
                </c:pt>
                <c:pt idx="43">
                  <c:v>5.3030303030303034E-3</c:v>
                </c:pt>
                <c:pt idx="44">
                  <c:v>5.3333333333333332E-3</c:v>
                </c:pt>
                <c:pt idx="45">
                  <c:v>5.3636363636363638E-3</c:v>
                </c:pt>
                <c:pt idx="46">
                  <c:v>5.3939393939393936E-3</c:v>
                </c:pt>
                <c:pt idx="47">
                  <c:v>5.4242424242424243E-3</c:v>
                </c:pt>
                <c:pt idx="48">
                  <c:v>5.454545454545455E-3</c:v>
                </c:pt>
                <c:pt idx="49">
                  <c:v>5.4848484848484848E-3</c:v>
                </c:pt>
                <c:pt idx="50">
                  <c:v>5.5151515151515146E-3</c:v>
                </c:pt>
                <c:pt idx="51">
                  <c:v>5.5454545454545453E-3</c:v>
                </c:pt>
                <c:pt idx="52">
                  <c:v>5.5757575757575759E-3</c:v>
                </c:pt>
                <c:pt idx="53">
                  <c:v>5.6060606060606057E-3</c:v>
                </c:pt>
                <c:pt idx="54">
                  <c:v>5.6363636363636364E-3</c:v>
                </c:pt>
                <c:pt idx="55">
                  <c:v>5.6666666666666671E-3</c:v>
                </c:pt>
                <c:pt idx="56">
                  <c:v>5.6969696969696969E-3</c:v>
                </c:pt>
                <c:pt idx="57">
                  <c:v>5.7272727272727284E-3</c:v>
                </c:pt>
                <c:pt idx="58">
                  <c:v>5.7575757575757574E-3</c:v>
                </c:pt>
                <c:pt idx="59">
                  <c:v>5.787878787878788E-3</c:v>
                </c:pt>
                <c:pt idx="60">
                  <c:v>5.8181818181818178E-3</c:v>
                </c:pt>
                <c:pt idx="61">
                  <c:v>5.8484848484848494E-3</c:v>
                </c:pt>
                <c:pt idx="62">
                  <c:v>5.8787878787878792E-3</c:v>
                </c:pt>
                <c:pt idx="63">
                  <c:v>5.909090909090909E-3</c:v>
                </c:pt>
                <c:pt idx="64">
                  <c:v>5.9393939393939396E-3</c:v>
                </c:pt>
                <c:pt idx="65">
                  <c:v>5.9696969696969703E-3</c:v>
                </c:pt>
                <c:pt idx="66">
                  <c:v>6.0000000000000001E-3</c:v>
                </c:pt>
                <c:pt idx="67">
                  <c:v>6.0303030303030299E-3</c:v>
                </c:pt>
                <c:pt idx="68">
                  <c:v>6.0606060606060606E-3</c:v>
                </c:pt>
                <c:pt idx="69">
                  <c:v>6.0909090909090913E-3</c:v>
                </c:pt>
                <c:pt idx="70">
                  <c:v>6.1212121212121211E-3</c:v>
                </c:pt>
                <c:pt idx="71">
                  <c:v>6.1515151515151517E-3</c:v>
                </c:pt>
                <c:pt idx="72">
                  <c:v>6.1818181818181824E-3</c:v>
                </c:pt>
                <c:pt idx="73">
                  <c:v>6.2121212121212122E-3</c:v>
                </c:pt>
                <c:pt idx="74">
                  <c:v>6.242424242424242E-3</c:v>
                </c:pt>
                <c:pt idx="75">
                  <c:v>6.2727272727272727E-3</c:v>
                </c:pt>
                <c:pt idx="76">
                  <c:v>6.3030303030303034E-3</c:v>
                </c:pt>
                <c:pt idx="77">
                  <c:v>6.3333333333333332E-3</c:v>
                </c:pt>
                <c:pt idx="78">
                  <c:v>6.3636363636363638E-3</c:v>
                </c:pt>
                <c:pt idx="79">
                  <c:v>6.3939393939393954E-3</c:v>
                </c:pt>
                <c:pt idx="80">
                  <c:v>6.4242424242424243E-3</c:v>
                </c:pt>
                <c:pt idx="81">
                  <c:v>6.4545454545454541E-3</c:v>
                </c:pt>
                <c:pt idx="82">
                  <c:v>6.4848484848484848E-3</c:v>
                </c:pt>
                <c:pt idx="83">
                  <c:v>6.5151515151515146E-3</c:v>
                </c:pt>
                <c:pt idx="84">
                  <c:v>6.5454545454545453E-3</c:v>
                </c:pt>
                <c:pt idx="85">
                  <c:v>6.5757575757575759E-3</c:v>
                </c:pt>
                <c:pt idx="86">
                  <c:v>6.6060606060606066E-3</c:v>
                </c:pt>
                <c:pt idx="87">
                  <c:v>6.6363636363636364E-3</c:v>
                </c:pt>
                <c:pt idx="88">
                  <c:v>6.6666666666666662E-3</c:v>
                </c:pt>
                <c:pt idx="89">
                  <c:v>6.6969696969696969E-3</c:v>
                </c:pt>
                <c:pt idx="90">
                  <c:v>6.7272727272727276E-3</c:v>
                </c:pt>
                <c:pt idx="91">
                  <c:v>6.7575757575757574E-3</c:v>
                </c:pt>
                <c:pt idx="92">
                  <c:v>6.787878787878788E-3</c:v>
                </c:pt>
                <c:pt idx="93">
                  <c:v>6.8181818181818187E-3</c:v>
                </c:pt>
                <c:pt idx="94">
                  <c:v>6.8484848484848494E-3</c:v>
                </c:pt>
                <c:pt idx="95">
                  <c:v>6.8787878787878783E-3</c:v>
                </c:pt>
                <c:pt idx="96">
                  <c:v>6.909090909090909E-3</c:v>
                </c:pt>
                <c:pt idx="97">
                  <c:v>6.9393939393939397E-3</c:v>
                </c:pt>
                <c:pt idx="98">
                  <c:v>6.9696969696969686E-3</c:v>
                </c:pt>
              </c:numCache>
            </c:numRef>
          </c:xVal>
          <c:yVal>
            <c:numRef>
              <c:f>Degradation!$C$102:$C$200</c:f>
              <c:numCache>
                <c:formatCode>General</c:formatCode>
                <c:ptCount val="99"/>
                <c:pt idx="0">
                  <c:v>13123.42140417006</c:v>
                </c:pt>
                <c:pt idx="1">
                  <c:v>13036.02584425496</c:v>
                </c:pt>
                <c:pt idx="2">
                  <c:v>12946.48750129484</c:v>
                </c:pt>
                <c:pt idx="3">
                  <c:v>12884.603980444441</c:v>
                </c:pt>
                <c:pt idx="4">
                  <c:v>12782.558830345321</c:v>
                </c:pt>
                <c:pt idx="5">
                  <c:v>12693.438819502409</c:v>
                </c:pt>
                <c:pt idx="6">
                  <c:v>12605.23250683773</c:v>
                </c:pt>
                <c:pt idx="7">
                  <c:v>12516.21614087343</c:v>
                </c:pt>
                <c:pt idx="8">
                  <c:v>12428.127103994209</c:v>
                </c:pt>
                <c:pt idx="9">
                  <c:v>12353.247805081781</c:v>
                </c:pt>
                <c:pt idx="10">
                  <c:v>12276.899477999699</c:v>
                </c:pt>
                <c:pt idx="11">
                  <c:v>12200.88136796244</c:v>
                </c:pt>
                <c:pt idx="12">
                  <c:v>12098.50839470921</c:v>
                </c:pt>
                <c:pt idx="13">
                  <c:v>12024.14064716706</c:v>
                </c:pt>
                <c:pt idx="14">
                  <c:v>11934.65163432639</c:v>
                </c:pt>
                <c:pt idx="15">
                  <c:v>11844.580481670469</c:v>
                </c:pt>
                <c:pt idx="16">
                  <c:v>11742.04323937928</c:v>
                </c:pt>
                <c:pt idx="17">
                  <c:v>11667.77599605326</c:v>
                </c:pt>
                <c:pt idx="18">
                  <c:v>11577.759328345781</c:v>
                </c:pt>
                <c:pt idx="19">
                  <c:v>11487.881869099059</c:v>
                </c:pt>
                <c:pt idx="20">
                  <c:v>11385.18011892787</c:v>
                </c:pt>
                <c:pt idx="21">
                  <c:v>11295.777006868209</c:v>
                </c:pt>
                <c:pt idx="22">
                  <c:v>11219.338617047069</c:v>
                </c:pt>
                <c:pt idx="23">
                  <c:v>11143.010085770111</c:v>
                </c:pt>
                <c:pt idx="24">
                  <c:v>11040.143588471879</c:v>
                </c:pt>
                <c:pt idx="25">
                  <c:v>10979.741993238111</c:v>
                </c:pt>
                <c:pt idx="26">
                  <c:v>10890.912938310939</c:v>
                </c:pt>
                <c:pt idx="27">
                  <c:v>10814.798642174839</c:v>
                </c:pt>
                <c:pt idx="28">
                  <c:v>10724.550299643581</c:v>
                </c:pt>
                <c:pt idx="29">
                  <c:v>10633.90253138492</c:v>
                </c:pt>
                <c:pt idx="30">
                  <c:v>10530.788463930759</c:v>
                </c:pt>
                <c:pt idx="31">
                  <c:v>10427.63308226506</c:v>
                </c:pt>
                <c:pt idx="32">
                  <c:v>10365.477016986961</c:v>
                </c:pt>
                <c:pt idx="33">
                  <c:v>10289.163718569031</c:v>
                </c:pt>
                <c:pt idx="34">
                  <c:v>10185.884304110899</c:v>
                </c:pt>
                <c:pt idx="35">
                  <c:v>10096.09420700171</c:v>
                </c:pt>
                <c:pt idx="36">
                  <c:v>10017.94017036175</c:v>
                </c:pt>
                <c:pt idx="37">
                  <c:v>9941.6088979753877</c:v>
                </c:pt>
                <c:pt idx="38">
                  <c:v>9838.1638958550266</c:v>
                </c:pt>
                <c:pt idx="39">
                  <c:v>9734.6774591687845</c:v>
                </c:pt>
                <c:pt idx="40">
                  <c:v>9656.7184365888206</c:v>
                </c:pt>
                <c:pt idx="41">
                  <c:v>9566.8733980485376</c:v>
                </c:pt>
                <c:pt idx="42">
                  <c:v>9489.0273696516215</c:v>
                </c:pt>
                <c:pt idx="43">
                  <c:v>9414.4405787489395</c:v>
                </c:pt>
                <c:pt idx="44">
                  <c:v>9339.1263432595497</c:v>
                </c:pt>
                <c:pt idx="45">
                  <c:v>9235.3909824277216</c:v>
                </c:pt>
                <c:pt idx="46">
                  <c:v>9144.7656876393194</c:v>
                </c:pt>
                <c:pt idx="47">
                  <c:v>9053.5500299168452</c:v>
                </c:pt>
                <c:pt idx="48">
                  <c:v>8977.7475965269296</c:v>
                </c:pt>
                <c:pt idx="49">
                  <c:v>8899.2370492336177</c:v>
                </c:pt>
                <c:pt idx="50">
                  <c:v>8795.2938361235447</c:v>
                </c:pt>
                <c:pt idx="51">
                  <c:v>8691.3090071553215</c:v>
                </c:pt>
                <c:pt idx="52">
                  <c:v>8600.0656887217592</c:v>
                </c:pt>
                <c:pt idx="53">
                  <c:v>8523.2580890163845</c:v>
                </c:pt>
                <c:pt idx="54">
                  <c:v>8433.470279653644</c:v>
                </c:pt>
                <c:pt idx="55">
                  <c:v>8355.6459468462745</c:v>
                </c:pt>
                <c:pt idx="56">
                  <c:v>8277.0294174775318</c:v>
                </c:pt>
                <c:pt idx="57">
                  <c:v>8172.7945750100298</c:v>
                </c:pt>
                <c:pt idx="58">
                  <c:v>8081.4840756093099</c:v>
                </c:pt>
                <c:pt idx="59">
                  <c:v>7977.1657738791446</c:v>
                </c:pt>
                <c:pt idx="60">
                  <c:v>7929.0138282981679</c:v>
                </c:pt>
                <c:pt idx="61">
                  <c:v>7838.7319122828076</c:v>
                </c:pt>
                <c:pt idx="62">
                  <c:v>7759.3161062870768</c:v>
                </c:pt>
                <c:pt idx="63">
                  <c:v>7654.8307035815633</c:v>
                </c:pt>
                <c:pt idx="64">
                  <c:v>7563.6432900333384</c:v>
                </c:pt>
                <c:pt idx="65">
                  <c:v>7459.074245512682</c:v>
                </c:pt>
                <c:pt idx="66">
                  <c:v>7367.6149634817812</c:v>
                </c:pt>
                <c:pt idx="67">
                  <c:v>7275.9282812943566</c:v>
                </c:pt>
                <c:pt idx="68">
                  <c:v>7211.6618177756454</c:v>
                </c:pt>
                <c:pt idx="69">
                  <c:v>7131.9531053584669</c:v>
                </c:pt>
                <c:pt idx="70">
                  <c:v>7027.1746895187271</c:v>
                </c:pt>
                <c:pt idx="71">
                  <c:v>6922.3543536301368</c:v>
                </c:pt>
                <c:pt idx="72">
                  <c:v>6845.5496758417112</c:v>
                </c:pt>
                <c:pt idx="73">
                  <c:v>6740.6454540196664</c:v>
                </c:pt>
                <c:pt idx="74">
                  <c:v>6650.0212243973292</c:v>
                </c:pt>
                <c:pt idx="75">
                  <c:v>6570.7978579312739</c:v>
                </c:pt>
                <c:pt idx="76">
                  <c:v>6517.2713040580766</c:v>
                </c:pt>
                <c:pt idx="77">
                  <c:v>6427.1447559031794</c:v>
                </c:pt>
                <c:pt idx="78">
                  <c:v>6336.1504573435004</c:v>
                </c:pt>
                <c:pt idx="79">
                  <c:v>6230.994210565359</c:v>
                </c:pt>
                <c:pt idx="80">
                  <c:v>6141.1723319101957</c:v>
                </c:pt>
                <c:pt idx="81">
                  <c:v>6035.9319542580124</c:v>
                </c:pt>
                <c:pt idx="82">
                  <c:v>5956.7988006633104</c:v>
                </c:pt>
                <c:pt idx="83">
                  <c:v>5877.9977334010109</c:v>
                </c:pt>
                <c:pt idx="84">
                  <c:v>5811.9109426956757</c:v>
                </c:pt>
                <c:pt idx="85">
                  <c:v>5719.6537254056593</c:v>
                </c:pt>
                <c:pt idx="86">
                  <c:v>5627.5425544413738</c:v>
                </c:pt>
                <c:pt idx="87">
                  <c:v>5522.049415781571</c:v>
                </c:pt>
                <c:pt idx="88">
                  <c:v>5431.2488745676092</c:v>
                </c:pt>
                <c:pt idx="89">
                  <c:v>5354.1423744955491</c:v>
                </c:pt>
                <c:pt idx="90">
                  <c:v>5248.522647796216</c:v>
                </c:pt>
                <c:pt idx="91">
                  <c:v>5155.4634929387394</c:v>
                </c:pt>
                <c:pt idx="92">
                  <c:v>5062.5424387714866</c:v>
                </c:pt>
                <c:pt idx="93">
                  <c:v>4969.762050544924</c:v>
                </c:pt>
                <c:pt idx="94">
                  <c:v>4878.2952822784973</c:v>
                </c:pt>
                <c:pt idx="95">
                  <c:v>4811.7651862052389</c:v>
                </c:pt>
                <c:pt idx="96">
                  <c:v>4777.2288092653371</c:v>
                </c:pt>
                <c:pt idx="97">
                  <c:v>4671.3131712149934</c:v>
                </c:pt>
                <c:pt idx="98">
                  <c:v>4577.9579970337691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FE7-42D1-AC81-35D69A977A26}"/>
            </c:ext>
          </c:extLst>
        </c:ser>
        <c:ser>
          <c:idx val="2"/>
          <c:order val="2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4067010615162823E-2"/>
                  <c:y val="-9.1086634706486841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Degradation!$D$2:$D$101</c:f>
              <c:numCache>
                <c:formatCode>General</c:formatCode>
                <c:ptCount val="100"/>
                <c:pt idx="0">
                  <c:v>4.0000000000000001E-3</c:v>
                </c:pt>
                <c:pt idx="1">
                  <c:v>4.0303030303030308E-3</c:v>
                </c:pt>
                <c:pt idx="2">
                  <c:v>4.0606060606060614E-3</c:v>
                </c:pt>
                <c:pt idx="3">
                  <c:v>4.0909090909090912E-3</c:v>
                </c:pt>
                <c:pt idx="4">
                  <c:v>4.121212121212121E-3</c:v>
                </c:pt>
                <c:pt idx="5">
                  <c:v>4.1515151515151517E-3</c:v>
                </c:pt>
                <c:pt idx="6">
                  <c:v>4.1818181818181824E-3</c:v>
                </c:pt>
                <c:pt idx="7">
                  <c:v>4.2121212121212122E-3</c:v>
                </c:pt>
                <c:pt idx="8">
                  <c:v>4.2424242424242429E-3</c:v>
                </c:pt>
                <c:pt idx="9">
                  <c:v>4.2727272727272727E-3</c:v>
                </c:pt>
                <c:pt idx="10">
                  <c:v>4.3030303030303033E-3</c:v>
                </c:pt>
                <c:pt idx="11">
                  <c:v>4.3333333333333331E-3</c:v>
                </c:pt>
                <c:pt idx="12">
                  <c:v>4.3636363636363638E-3</c:v>
                </c:pt>
                <c:pt idx="13">
                  <c:v>4.3939393939393936E-3</c:v>
                </c:pt>
                <c:pt idx="14">
                  <c:v>4.4242424242424243E-3</c:v>
                </c:pt>
                <c:pt idx="15">
                  <c:v>4.454545454545455E-3</c:v>
                </c:pt>
                <c:pt idx="16">
                  <c:v>4.4848484848484848E-3</c:v>
                </c:pt>
                <c:pt idx="17">
                  <c:v>4.5151515151515154E-3</c:v>
                </c:pt>
                <c:pt idx="18">
                  <c:v>4.5454545454545452E-3</c:v>
                </c:pt>
                <c:pt idx="19">
                  <c:v>4.5757575757575759E-3</c:v>
                </c:pt>
                <c:pt idx="20">
                  <c:v>4.6060606060606066E-3</c:v>
                </c:pt>
                <c:pt idx="21">
                  <c:v>4.6363636363636364E-3</c:v>
                </c:pt>
                <c:pt idx="22">
                  <c:v>4.6666666666666671E-3</c:v>
                </c:pt>
                <c:pt idx="23">
                  <c:v>4.6969696969696969E-3</c:v>
                </c:pt>
                <c:pt idx="24">
                  <c:v>4.7272727272727284E-3</c:v>
                </c:pt>
                <c:pt idx="25">
                  <c:v>4.7575757575757573E-3</c:v>
                </c:pt>
                <c:pt idx="26">
                  <c:v>4.787878787878788E-3</c:v>
                </c:pt>
                <c:pt idx="27">
                  <c:v>4.8181818181818187E-3</c:v>
                </c:pt>
                <c:pt idx="28">
                  <c:v>4.8484848484848476E-3</c:v>
                </c:pt>
                <c:pt idx="29">
                  <c:v>4.8787878787878792E-3</c:v>
                </c:pt>
                <c:pt idx="30">
                  <c:v>4.909090909090909E-3</c:v>
                </c:pt>
                <c:pt idx="31">
                  <c:v>4.9393939393939396E-3</c:v>
                </c:pt>
                <c:pt idx="32">
                  <c:v>4.9696969696969694E-3</c:v>
                </c:pt>
                <c:pt idx="33">
                  <c:v>5.0000000000000001E-3</c:v>
                </c:pt>
                <c:pt idx="34">
                  <c:v>5.0303030303030308E-3</c:v>
                </c:pt>
                <c:pt idx="35">
                  <c:v>5.0606060606060606E-3</c:v>
                </c:pt>
                <c:pt idx="36">
                  <c:v>5.0909090909090913E-3</c:v>
                </c:pt>
                <c:pt idx="37">
                  <c:v>5.1212121212121211E-3</c:v>
                </c:pt>
                <c:pt idx="38">
                  <c:v>5.1515151515151517E-3</c:v>
                </c:pt>
                <c:pt idx="39">
                  <c:v>5.1818181818181824E-3</c:v>
                </c:pt>
                <c:pt idx="40">
                  <c:v>5.2121212121212122E-3</c:v>
                </c:pt>
                <c:pt idx="41">
                  <c:v>5.2424242424242429E-3</c:v>
                </c:pt>
                <c:pt idx="42">
                  <c:v>5.2727272727272727E-3</c:v>
                </c:pt>
                <c:pt idx="43">
                  <c:v>5.3030303030303034E-3</c:v>
                </c:pt>
                <c:pt idx="44">
                  <c:v>5.3333333333333332E-3</c:v>
                </c:pt>
                <c:pt idx="45">
                  <c:v>5.3636363636363638E-3</c:v>
                </c:pt>
                <c:pt idx="46">
                  <c:v>5.3939393939393936E-3</c:v>
                </c:pt>
                <c:pt idx="47">
                  <c:v>5.4242424242424243E-3</c:v>
                </c:pt>
                <c:pt idx="48">
                  <c:v>5.454545454545455E-3</c:v>
                </c:pt>
                <c:pt idx="49">
                  <c:v>5.4848484848484848E-3</c:v>
                </c:pt>
                <c:pt idx="50">
                  <c:v>5.5151515151515146E-3</c:v>
                </c:pt>
                <c:pt idx="51">
                  <c:v>5.5454545454545453E-3</c:v>
                </c:pt>
                <c:pt idx="52">
                  <c:v>5.5757575757575759E-3</c:v>
                </c:pt>
                <c:pt idx="53">
                  <c:v>5.6060606060606057E-3</c:v>
                </c:pt>
                <c:pt idx="54">
                  <c:v>5.6363636363636364E-3</c:v>
                </c:pt>
                <c:pt idx="55">
                  <c:v>5.6666666666666671E-3</c:v>
                </c:pt>
                <c:pt idx="56">
                  <c:v>5.6969696969696969E-3</c:v>
                </c:pt>
                <c:pt idx="57">
                  <c:v>5.7272727272727284E-3</c:v>
                </c:pt>
                <c:pt idx="58">
                  <c:v>5.7575757575757574E-3</c:v>
                </c:pt>
                <c:pt idx="59">
                  <c:v>5.787878787878788E-3</c:v>
                </c:pt>
                <c:pt idx="60">
                  <c:v>5.8181818181818178E-3</c:v>
                </c:pt>
                <c:pt idx="61">
                  <c:v>5.8484848484848494E-3</c:v>
                </c:pt>
                <c:pt idx="62">
                  <c:v>5.8787878787878792E-3</c:v>
                </c:pt>
                <c:pt idx="63">
                  <c:v>5.909090909090909E-3</c:v>
                </c:pt>
                <c:pt idx="64">
                  <c:v>5.9393939393939396E-3</c:v>
                </c:pt>
                <c:pt idx="65">
                  <c:v>5.9696969696969703E-3</c:v>
                </c:pt>
                <c:pt idx="66">
                  <c:v>6.0000000000000001E-3</c:v>
                </c:pt>
                <c:pt idx="67">
                  <c:v>6.0303030303030299E-3</c:v>
                </c:pt>
                <c:pt idx="68">
                  <c:v>6.0606060606060606E-3</c:v>
                </c:pt>
                <c:pt idx="69">
                  <c:v>6.0909090909090913E-3</c:v>
                </c:pt>
                <c:pt idx="70">
                  <c:v>6.1212121212121211E-3</c:v>
                </c:pt>
                <c:pt idx="71">
                  <c:v>6.1515151515151517E-3</c:v>
                </c:pt>
                <c:pt idx="72">
                  <c:v>6.1818181818181824E-3</c:v>
                </c:pt>
                <c:pt idx="73">
                  <c:v>6.2121212121212122E-3</c:v>
                </c:pt>
                <c:pt idx="74">
                  <c:v>6.242424242424242E-3</c:v>
                </c:pt>
                <c:pt idx="75">
                  <c:v>6.2727272727272727E-3</c:v>
                </c:pt>
                <c:pt idx="76">
                  <c:v>6.3030303030303034E-3</c:v>
                </c:pt>
                <c:pt idx="77">
                  <c:v>6.3333333333333332E-3</c:v>
                </c:pt>
                <c:pt idx="78">
                  <c:v>6.3636363636363638E-3</c:v>
                </c:pt>
                <c:pt idx="79">
                  <c:v>6.3939393939393954E-3</c:v>
                </c:pt>
                <c:pt idx="80">
                  <c:v>6.4242424242424243E-3</c:v>
                </c:pt>
                <c:pt idx="81">
                  <c:v>6.4545454545454541E-3</c:v>
                </c:pt>
                <c:pt idx="82">
                  <c:v>6.4848484848484848E-3</c:v>
                </c:pt>
                <c:pt idx="83">
                  <c:v>6.5151515151515146E-3</c:v>
                </c:pt>
                <c:pt idx="84">
                  <c:v>6.5454545454545453E-3</c:v>
                </c:pt>
                <c:pt idx="85">
                  <c:v>6.5757575757575759E-3</c:v>
                </c:pt>
                <c:pt idx="86">
                  <c:v>6.6060606060606066E-3</c:v>
                </c:pt>
                <c:pt idx="87">
                  <c:v>6.6363636363636364E-3</c:v>
                </c:pt>
                <c:pt idx="88">
                  <c:v>6.6666666666666662E-3</c:v>
                </c:pt>
                <c:pt idx="89">
                  <c:v>6.6969696969696969E-3</c:v>
                </c:pt>
                <c:pt idx="90">
                  <c:v>6.7272727272727276E-3</c:v>
                </c:pt>
                <c:pt idx="91">
                  <c:v>6.7575757575757574E-3</c:v>
                </c:pt>
                <c:pt idx="92">
                  <c:v>6.787878787878788E-3</c:v>
                </c:pt>
                <c:pt idx="93">
                  <c:v>6.8181818181818187E-3</c:v>
                </c:pt>
                <c:pt idx="94">
                  <c:v>6.8484848484848494E-3</c:v>
                </c:pt>
                <c:pt idx="95">
                  <c:v>6.8787878787878783E-3</c:v>
                </c:pt>
                <c:pt idx="96">
                  <c:v>6.909090909090909E-3</c:v>
                </c:pt>
                <c:pt idx="97">
                  <c:v>6.9393939393939397E-3</c:v>
                </c:pt>
                <c:pt idx="98">
                  <c:v>6.9696969696969686E-3</c:v>
                </c:pt>
                <c:pt idx="99">
                  <c:v>7.0000000000000001E-3</c:v>
                </c:pt>
              </c:numCache>
            </c:numRef>
          </c:xVal>
          <c:yVal>
            <c:numRef>
              <c:f>Degradation!$C$2:$C$101</c:f>
              <c:numCache>
                <c:formatCode>General</c:formatCode>
                <c:ptCount val="100"/>
                <c:pt idx="0">
                  <c:v>26601.550869983239</c:v>
                </c:pt>
                <c:pt idx="1">
                  <c:v>26500.1159403073</c:v>
                </c:pt>
                <c:pt idx="2">
                  <c:v>26398.640281480271</c:v>
                </c:pt>
                <c:pt idx="3">
                  <c:v>26336.419372869281</c:v>
                </c:pt>
                <c:pt idx="4">
                  <c:v>26234.86221142756</c:v>
                </c:pt>
                <c:pt idx="5">
                  <c:v>26186.901430935992</c:v>
                </c:pt>
                <c:pt idx="6">
                  <c:v>26085.26270775394</c:v>
                </c:pt>
                <c:pt idx="7">
                  <c:v>25996.549246616589</c:v>
                </c:pt>
                <c:pt idx="8">
                  <c:v>25894.82890251965</c:v>
                </c:pt>
                <c:pt idx="9">
                  <c:v>25807.802503829778</c:v>
                </c:pt>
                <c:pt idx="10">
                  <c:v>25731.57708584415</c:v>
                </c:pt>
                <c:pt idx="11">
                  <c:v>25629.734199312239</c:v>
                </c:pt>
                <c:pt idx="12">
                  <c:v>25540.453234304201</c:v>
                </c:pt>
                <c:pt idx="13">
                  <c:v>25452.449282684331</c:v>
                </c:pt>
                <c:pt idx="14">
                  <c:v>25376.606664283041</c:v>
                </c:pt>
                <c:pt idx="15">
                  <c:v>25274.600180259029</c:v>
                </c:pt>
                <c:pt idx="16">
                  <c:v>25200.203357216571</c:v>
                </c:pt>
                <c:pt idx="17">
                  <c:v>25138.451679533959</c:v>
                </c:pt>
                <c:pt idx="18">
                  <c:v>25052.141981615969</c:v>
                </c:pt>
                <c:pt idx="19">
                  <c:v>24963.695975002091</c:v>
                </c:pt>
                <c:pt idx="20">
                  <c:v>24887.239064836791</c:v>
                </c:pt>
                <c:pt idx="21">
                  <c:v>24799.308697048069</c:v>
                </c:pt>
                <c:pt idx="22">
                  <c:v>24709.79848698822</c:v>
                </c:pt>
                <c:pt idx="23">
                  <c:v>24607.464094779061</c:v>
                </c:pt>
                <c:pt idx="24">
                  <c:v>24517.513647062191</c:v>
                </c:pt>
                <c:pt idx="25">
                  <c:v>24428.43693137986</c:v>
                </c:pt>
                <c:pt idx="26">
                  <c:v>24338.945393023099</c:v>
                </c:pt>
                <c:pt idx="27">
                  <c:v>24249.049487962879</c:v>
                </c:pt>
                <c:pt idx="28">
                  <c:v>24175.199858051499</c:v>
                </c:pt>
                <c:pt idx="29">
                  <c:v>24101.06651479557</c:v>
                </c:pt>
                <c:pt idx="30">
                  <c:v>24024.37916857026</c:v>
                </c:pt>
                <c:pt idx="31">
                  <c:v>23934.14091456735</c:v>
                </c:pt>
                <c:pt idx="32">
                  <c:v>23831.436485629329</c:v>
                </c:pt>
                <c:pt idx="33">
                  <c:v>23742.415179302749</c:v>
                </c:pt>
                <c:pt idx="34">
                  <c:v>23653.748261395511</c:v>
                </c:pt>
                <c:pt idx="35">
                  <c:v>23576.489081632179</c:v>
                </c:pt>
                <c:pt idx="36">
                  <c:v>23486.959605773121</c:v>
                </c:pt>
                <c:pt idx="37">
                  <c:v>23396.474077683601</c:v>
                </c:pt>
                <c:pt idx="38">
                  <c:v>23321.040204436831</c:v>
                </c:pt>
                <c:pt idx="39">
                  <c:v>23218.047131813499</c:v>
                </c:pt>
                <c:pt idx="40">
                  <c:v>23141.695062363418</c:v>
                </c:pt>
                <c:pt idx="41">
                  <c:v>23052.941343301511</c:v>
                </c:pt>
                <c:pt idx="42">
                  <c:v>22977.80356589198</c:v>
                </c:pt>
                <c:pt idx="43">
                  <c:v>22887.611289241609</c:v>
                </c:pt>
                <c:pt idx="44">
                  <c:v>22810.757296641779</c:v>
                </c:pt>
                <c:pt idx="45">
                  <c:v>22707.51623019476</c:v>
                </c:pt>
                <c:pt idx="46">
                  <c:v>22617.01692038753</c:v>
                </c:pt>
                <c:pt idx="47">
                  <c:v>22540.757184041609</c:v>
                </c:pt>
                <c:pt idx="48">
                  <c:v>22437.391917745241</c:v>
                </c:pt>
                <c:pt idx="49">
                  <c:v>22346.588020035801</c:v>
                </c:pt>
                <c:pt idx="50">
                  <c:v>22256.291484813239</c:v>
                </c:pt>
                <c:pt idx="51">
                  <c:v>22165.22688314812</c:v>
                </c:pt>
                <c:pt idx="52">
                  <c:v>22103.727406154831</c:v>
                </c:pt>
                <c:pt idx="53">
                  <c:v>22028.21243229647</c:v>
                </c:pt>
                <c:pt idx="54">
                  <c:v>21937.38150111369</c:v>
                </c:pt>
                <c:pt idx="55">
                  <c:v>21833.72590785315</c:v>
                </c:pt>
                <c:pt idx="56">
                  <c:v>21730.028778954329</c:v>
                </c:pt>
                <c:pt idx="57">
                  <c:v>21651.31789795278</c:v>
                </c:pt>
                <c:pt idx="58">
                  <c:v>21560.877454894919</c:v>
                </c:pt>
                <c:pt idx="59">
                  <c:v>21457.0556284056</c:v>
                </c:pt>
                <c:pt idx="60">
                  <c:v>21380.26451604165</c:v>
                </c:pt>
                <c:pt idx="61">
                  <c:v>21303.049859801999</c:v>
                </c:pt>
                <c:pt idx="62">
                  <c:v>21226.208299214992</c:v>
                </c:pt>
                <c:pt idx="63">
                  <c:v>21122.21999745673</c:v>
                </c:pt>
                <c:pt idx="64">
                  <c:v>21043.217837658689</c:v>
                </c:pt>
                <c:pt idx="65">
                  <c:v>20952.67689906104</c:v>
                </c:pt>
                <c:pt idx="66">
                  <c:v>20863.2983598387</c:v>
                </c:pt>
                <c:pt idx="67">
                  <c:v>20759.143340364739</c:v>
                </c:pt>
                <c:pt idx="68">
                  <c:v>20668.28640598066</c:v>
                </c:pt>
                <c:pt idx="69">
                  <c:v>20577.199542855331</c:v>
                </c:pt>
                <c:pt idx="70">
                  <c:v>20528.384896866621</c:v>
                </c:pt>
                <c:pt idx="71">
                  <c:v>20464.250212742911</c:v>
                </c:pt>
                <c:pt idx="72">
                  <c:v>20359.886454561929</c:v>
                </c:pt>
                <c:pt idx="73">
                  <c:v>20255.480903035059</c:v>
                </c:pt>
                <c:pt idx="74">
                  <c:v>20164.757855446402</c:v>
                </c:pt>
                <c:pt idx="75">
                  <c:v>20074.189375551941</c:v>
                </c:pt>
                <c:pt idx="76">
                  <c:v>19984.185254396831</c:v>
                </c:pt>
                <c:pt idx="77">
                  <c:v>19905.568068938181</c:v>
                </c:pt>
                <c:pt idx="78">
                  <c:v>19826.33926248374</c:v>
                </c:pt>
                <c:pt idx="79">
                  <c:v>19761.140104902661</c:v>
                </c:pt>
                <c:pt idx="80">
                  <c:v>19656.441573521912</c:v>
                </c:pt>
                <c:pt idx="81">
                  <c:v>19551.701126882021</c:v>
                </c:pt>
                <c:pt idx="82">
                  <c:v>19461.24070781346</c:v>
                </c:pt>
                <c:pt idx="83">
                  <c:v>19356.416384844681</c:v>
                </c:pt>
                <c:pt idx="84">
                  <c:v>19263.975100793861</c:v>
                </c:pt>
                <c:pt idx="85">
                  <c:v>19159.066840373489</c:v>
                </c:pt>
                <c:pt idx="86">
                  <c:v>19094.44815753794</c:v>
                </c:pt>
                <c:pt idx="87">
                  <c:v>19003.575804269269</c:v>
                </c:pt>
                <c:pt idx="88">
                  <c:v>18925.231900558101</c:v>
                </c:pt>
                <c:pt idx="89">
                  <c:v>18846.837879599901</c:v>
                </c:pt>
                <c:pt idx="90">
                  <c:v>18767.48431025113</c:v>
                </c:pt>
                <c:pt idx="91">
                  <c:v>18676.244574210032</c:v>
                </c:pt>
                <c:pt idx="92">
                  <c:v>18571.04205062702</c:v>
                </c:pt>
                <c:pt idx="93">
                  <c:v>18478.400226790771</c:v>
                </c:pt>
                <c:pt idx="94">
                  <c:v>18400.631409681129</c:v>
                </c:pt>
                <c:pt idx="95">
                  <c:v>18295.302543365549</c:v>
                </c:pt>
                <c:pt idx="96">
                  <c:v>18202.897597200219</c:v>
                </c:pt>
                <c:pt idx="97">
                  <c:v>18125.285851511311</c:v>
                </c:pt>
                <c:pt idx="98">
                  <c:v>18019.830504243331</c:v>
                </c:pt>
                <c:pt idx="99">
                  <c:v>17927.484572164471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7FE7-42D1-AC81-35D69A977A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948224"/>
        <c:axId val="1311944896"/>
      </c:scatterChart>
      <c:valAx>
        <c:axId val="1311948224"/>
        <c:scaling>
          <c:orientation val="minMax"/>
          <c:max val="7.5000000000000023E-3"/>
          <c:min val="3.5000000000000009E-3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800"/>
                  <a:t>Degradation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00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4896"/>
        <c:crosses val="autoZero"/>
        <c:crossBetween val="midCat"/>
      </c:valAx>
      <c:valAx>
        <c:axId val="1311944896"/>
        <c:scaling>
          <c:orientation val="minMax"/>
          <c:min val="4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600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8224"/>
        <c:crosses val="autoZero"/>
        <c:crossBetween val="midCat"/>
        <c:majorUnit val="2000"/>
        <c:minorUnit val="1000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7231550754284848"/>
          <c:y val="6.6412334739914564E-2"/>
          <c:w val="9.4184595961329054E-2"/>
          <c:h val="6.1412683794801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2400"/>
              <a:t>Variation der Habenzinssatzes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3250834947472466E-2"/>
          <c:y val="5.7475266429607853E-2"/>
          <c:w val="0.8778690028182794"/>
          <c:h val="0.86570580351271875"/>
        </c:manualLayout>
      </c:layout>
      <c:scatterChart>
        <c:scatterStyle val="lineMarker"/>
        <c:varyColors val="0"/>
        <c:ser>
          <c:idx val="1"/>
          <c:order val="0"/>
          <c:tx>
            <c:v>Szenario II (2)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3126281181104239"/>
                  <c:y val="3.9582666049520112E-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Habenzins!$D$102:$D$201</c:f>
              <c:numCache>
                <c:formatCode>General</c:formatCode>
                <c:ptCount val="100"/>
                <c:pt idx="0">
                  <c:v>0</c:v>
                </c:pt>
                <c:pt idx="1">
                  <c:v>2.3939393939393939E-4</c:v>
                </c:pt>
                <c:pt idx="2">
                  <c:v>4.7878787878787878E-4</c:v>
                </c:pt>
                <c:pt idx="3">
                  <c:v>7.1818181818181811E-4</c:v>
                </c:pt>
                <c:pt idx="4">
                  <c:v>9.5757575757575756E-4</c:v>
                </c:pt>
                <c:pt idx="5">
                  <c:v>1.196969696969697E-3</c:v>
                </c:pt>
                <c:pt idx="6">
                  <c:v>1.436363636363636E-3</c:v>
                </c:pt>
                <c:pt idx="7">
                  <c:v>1.6757575757575761E-3</c:v>
                </c:pt>
                <c:pt idx="8">
                  <c:v>1.9151515151515149E-3</c:v>
                </c:pt>
                <c:pt idx="9">
                  <c:v>2.154545454545455E-3</c:v>
                </c:pt>
                <c:pt idx="10">
                  <c:v>2.393939393939394E-3</c:v>
                </c:pt>
                <c:pt idx="11">
                  <c:v>2.633333333333333E-3</c:v>
                </c:pt>
                <c:pt idx="12">
                  <c:v>2.872727272727272E-3</c:v>
                </c:pt>
                <c:pt idx="13">
                  <c:v>3.1121212121212119E-3</c:v>
                </c:pt>
                <c:pt idx="14">
                  <c:v>3.3515151515151509E-3</c:v>
                </c:pt>
                <c:pt idx="15">
                  <c:v>3.5909090909090908E-3</c:v>
                </c:pt>
                <c:pt idx="16">
                  <c:v>3.8303030303030298E-3</c:v>
                </c:pt>
                <c:pt idx="17">
                  <c:v>4.0696969696969697E-3</c:v>
                </c:pt>
                <c:pt idx="18">
                  <c:v>4.3090909090909091E-3</c:v>
                </c:pt>
                <c:pt idx="19">
                  <c:v>4.5484848484848494E-3</c:v>
                </c:pt>
                <c:pt idx="20">
                  <c:v>4.787878787878788E-3</c:v>
                </c:pt>
                <c:pt idx="21">
                  <c:v>5.0272727272727266E-3</c:v>
                </c:pt>
                <c:pt idx="22">
                  <c:v>5.2666666666666669E-3</c:v>
                </c:pt>
                <c:pt idx="23">
                  <c:v>5.5060606060606063E-3</c:v>
                </c:pt>
                <c:pt idx="24">
                  <c:v>5.7454545454545449E-3</c:v>
                </c:pt>
                <c:pt idx="25">
                  <c:v>5.9848484848484844E-3</c:v>
                </c:pt>
                <c:pt idx="26">
                  <c:v>6.2242424242424238E-3</c:v>
                </c:pt>
                <c:pt idx="27">
                  <c:v>6.4636363636363632E-3</c:v>
                </c:pt>
                <c:pt idx="28">
                  <c:v>6.7030303030303027E-3</c:v>
                </c:pt>
                <c:pt idx="29">
                  <c:v>6.9424242424242421E-3</c:v>
                </c:pt>
                <c:pt idx="30">
                  <c:v>7.1818181818181816E-3</c:v>
                </c:pt>
                <c:pt idx="31">
                  <c:v>7.421212121212121E-3</c:v>
                </c:pt>
                <c:pt idx="32">
                  <c:v>7.6606060606060596E-3</c:v>
                </c:pt>
                <c:pt idx="33">
                  <c:v>7.899999999999999E-3</c:v>
                </c:pt>
                <c:pt idx="34">
                  <c:v>8.1393939393939393E-3</c:v>
                </c:pt>
                <c:pt idx="35">
                  <c:v>8.3787878787878779E-3</c:v>
                </c:pt>
                <c:pt idx="36">
                  <c:v>8.6181818181818182E-3</c:v>
                </c:pt>
                <c:pt idx="37">
                  <c:v>8.8575757575757568E-3</c:v>
                </c:pt>
                <c:pt idx="38">
                  <c:v>9.0969696969696971E-3</c:v>
                </c:pt>
                <c:pt idx="39">
                  <c:v>9.3363636363636357E-3</c:v>
                </c:pt>
                <c:pt idx="40">
                  <c:v>9.575757575757576E-3</c:v>
                </c:pt>
                <c:pt idx="41">
                  <c:v>9.8151515151515146E-3</c:v>
                </c:pt>
                <c:pt idx="42">
                  <c:v>1.005454545454545E-2</c:v>
                </c:pt>
                <c:pt idx="43">
                  <c:v>1.029393939393939E-2</c:v>
                </c:pt>
                <c:pt idx="44">
                  <c:v>1.053333333333333E-2</c:v>
                </c:pt>
                <c:pt idx="45">
                  <c:v>1.0772727272727271E-2</c:v>
                </c:pt>
                <c:pt idx="46">
                  <c:v>1.1012121212121209E-2</c:v>
                </c:pt>
                <c:pt idx="47">
                  <c:v>1.125151515151515E-2</c:v>
                </c:pt>
                <c:pt idx="48">
                  <c:v>1.149090909090909E-2</c:v>
                </c:pt>
                <c:pt idx="49">
                  <c:v>1.173030303030303E-2</c:v>
                </c:pt>
                <c:pt idx="50">
                  <c:v>1.196969696969697E-2</c:v>
                </c:pt>
                <c:pt idx="51">
                  <c:v>1.2209090909090911E-2</c:v>
                </c:pt>
                <c:pt idx="52">
                  <c:v>1.2448484848484849E-2</c:v>
                </c:pt>
                <c:pt idx="53">
                  <c:v>1.268787878787879E-2</c:v>
                </c:pt>
                <c:pt idx="54">
                  <c:v>1.292727272727273E-2</c:v>
                </c:pt>
                <c:pt idx="55">
                  <c:v>1.316666666666667E-2</c:v>
                </c:pt>
                <c:pt idx="56">
                  <c:v>1.3406060606060611E-2</c:v>
                </c:pt>
                <c:pt idx="57">
                  <c:v>1.3645454545454549E-2</c:v>
                </c:pt>
                <c:pt idx="58">
                  <c:v>1.3884848484848481E-2</c:v>
                </c:pt>
                <c:pt idx="59">
                  <c:v>1.4124242424242419E-2</c:v>
                </c:pt>
                <c:pt idx="60">
                  <c:v>1.436363636363636E-2</c:v>
                </c:pt>
                <c:pt idx="61">
                  <c:v>1.46030303030303E-2</c:v>
                </c:pt>
                <c:pt idx="62">
                  <c:v>1.484242424242424E-2</c:v>
                </c:pt>
                <c:pt idx="63">
                  <c:v>1.5081818181818181E-2</c:v>
                </c:pt>
                <c:pt idx="64">
                  <c:v>1.5321212121212119E-2</c:v>
                </c:pt>
                <c:pt idx="65">
                  <c:v>1.5560606060606059E-2</c:v>
                </c:pt>
                <c:pt idx="66">
                  <c:v>1.5800000000000002E-2</c:v>
                </c:pt>
                <c:pt idx="67">
                  <c:v>1.603939393939394E-2</c:v>
                </c:pt>
                <c:pt idx="68">
                  <c:v>1.6278787878787879E-2</c:v>
                </c:pt>
                <c:pt idx="69">
                  <c:v>1.6518181818181821E-2</c:v>
                </c:pt>
                <c:pt idx="70">
                  <c:v>1.6757575757575759E-2</c:v>
                </c:pt>
                <c:pt idx="71">
                  <c:v>1.6996969696969701E-2</c:v>
                </c:pt>
                <c:pt idx="72">
                  <c:v>1.723636363636364E-2</c:v>
                </c:pt>
                <c:pt idx="73">
                  <c:v>1.7475757575757579E-2</c:v>
                </c:pt>
                <c:pt idx="74">
                  <c:v>1.771515151515151E-2</c:v>
                </c:pt>
                <c:pt idx="75">
                  <c:v>1.7954545454545459E-2</c:v>
                </c:pt>
                <c:pt idx="76">
                  <c:v>1.8193939393939391E-2</c:v>
                </c:pt>
                <c:pt idx="77">
                  <c:v>1.8433333333333329E-2</c:v>
                </c:pt>
                <c:pt idx="78">
                  <c:v>1.8672727272727271E-2</c:v>
                </c:pt>
                <c:pt idx="79">
                  <c:v>1.891212121212121E-2</c:v>
                </c:pt>
                <c:pt idx="80">
                  <c:v>1.9151515151515149E-2</c:v>
                </c:pt>
                <c:pt idx="81">
                  <c:v>1.9390909090909091E-2</c:v>
                </c:pt>
                <c:pt idx="82">
                  <c:v>1.9630303030303029E-2</c:v>
                </c:pt>
                <c:pt idx="83">
                  <c:v>1.9869696969696971E-2</c:v>
                </c:pt>
                <c:pt idx="84">
                  <c:v>2.010909090909091E-2</c:v>
                </c:pt>
                <c:pt idx="85">
                  <c:v>2.0348484848484848E-2</c:v>
                </c:pt>
                <c:pt idx="86">
                  <c:v>2.058787878787879E-2</c:v>
                </c:pt>
                <c:pt idx="87">
                  <c:v>2.0827272727272729E-2</c:v>
                </c:pt>
                <c:pt idx="88">
                  <c:v>2.1066666666666671E-2</c:v>
                </c:pt>
                <c:pt idx="89">
                  <c:v>2.130606060606061E-2</c:v>
                </c:pt>
                <c:pt idx="90">
                  <c:v>2.1545454545454541E-2</c:v>
                </c:pt>
                <c:pt idx="91">
                  <c:v>2.178484848484848E-2</c:v>
                </c:pt>
                <c:pt idx="92">
                  <c:v>2.2024242424242429E-2</c:v>
                </c:pt>
                <c:pt idx="93">
                  <c:v>2.226363636363636E-2</c:v>
                </c:pt>
                <c:pt idx="94">
                  <c:v>2.2503030303030299E-2</c:v>
                </c:pt>
                <c:pt idx="95">
                  <c:v>2.2742424242424241E-2</c:v>
                </c:pt>
                <c:pt idx="96">
                  <c:v>2.298181818181818E-2</c:v>
                </c:pt>
                <c:pt idx="97">
                  <c:v>2.3221212121212122E-2</c:v>
                </c:pt>
                <c:pt idx="98">
                  <c:v>2.346060606060606E-2</c:v>
                </c:pt>
                <c:pt idx="99">
                  <c:v>2.3699999999999999E-2</c:v>
                </c:pt>
              </c:numCache>
            </c:numRef>
          </c:xVal>
          <c:yVal>
            <c:numRef>
              <c:f>Habenzins!$C$102:$C$201</c:f>
              <c:numCache>
                <c:formatCode>General</c:formatCode>
                <c:ptCount val="100"/>
                <c:pt idx="0">
                  <c:v>9006.244289521801</c:v>
                </c:pt>
                <c:pt idx="1">
                  <c:v>9026.034788826144</c:v>
                </c:pt>
                <c:pt idx="2">
                  <c:v>9033.4543489142907</c:v>
                </c:pt>
                <c:pt idx="3">
                  <c:v>9053.3682021098739</c:v>
                </c:pt>
                <c:pt idx="4">
                  <c:v>9060.770473101993</c:v>
                </c:pt>
                <c:pt idx="5">
                  <c:v>9068.1994268787494</c:v>
                </c:pt>
                <c:pt idx="6">
                  <c:v>9075.5559656982823</c:v>
                </c:pt>
                <c:pt idx="7">
                  <c:v>9095.6168578787401</c:v>
                </c:pt>
                <c:pt idx="8">
                  <c:v>9103.1160102543945</c:v>
                </c:pt>
                <c:pt idx="9">
                  <c:v>9123.2817280693926</c:v>
                </c:pt>
                <c:pt idx="10">
                  <c:v>9130.9621497274202</c:v>
                </c:pt>
                <c:pt idx="11">
                  <c:v>9151.246249700589</c:v>
                </c:pt>
                <c:pt idx="12">
                  <c:v>9171.5961624982374</c:v>
                </c:pt>
                <c:pt idx="13">
                  <c:v>9192.0121018875361</c:v>
                </c:pt>
                <c:pt idx="14">
                  <c:v>9186.9979748147434</c:v>
                </c:pt>
                <c:pt idx="15">
                  <c:v>9207.4992518920935</c:v>
                </c:pt>
                <c:pt idx="16">
                  <c:v>9228.0670387606897</c:v>
                </c:pt>
                <c:pt idx="17">
                  <c:v>9248.7015512878315</c:v>
                </c:pt>
                <c:pt idx="18">
                  <c:v>9269.4030059993584</c:v>
                </c:pt>
                <c:pt idx="19">
                  <c:v>9290.1716200815026</c:v>
                </c:pt>
                <c:pt idx="20">
                  <c:v>9311.0076113827836</c:v>
                </c:pt>
                <c:pt idx="21">
                  <c:v>9331.9111984158735</c:v>
                </c:pt>
                <c:pt idx="22">
                  <c:v>9340.0668552157713</c:v>
                </c:pt>
                <c:pt idx="23">
                  <c:v>9361.088283376519</c:v>
                </c:pt>
                <c:pt idx="24">
                  <c:v>9369.201552093049</c:v>
                </c:pt>
                <c:pt idx="25">
                  <c:v>9377.0056316716036</c:v>
                </c:pt>
                <c:pt idx="26">
                  <c:v>9385.5501617742902</c:v>
                </c:pt>
                <c:pt idx="27">
                  <c:v>9406.7771820733669</c:v>
                </c:pt>
                <c:pt idx="28">
                  <c:v>9428.07318589631</c:v>
                </c:pt>
                <c:pt idx="29">
                  <c:v>9449.4383968260299</c:v>
                </c:pt>
                <c:pt idx="30">
                  <c:v>9457.5963655676824</c:v>
                </c:pt>
                <c:pt idx="31">
                  <c:v>9466.5687659687064</c:v>
                </c:pt>
                <c:pt idx="32">
                  <c:v>9488.1111024153834</c:v>
                </c:pt>
                <c:pt idx="33">
                  <c:v>9509.723488323174</c:v>
                </c:pt>
                <c:pt idx="34">
                  <c:v>9531.4061505918598</c:v>
                </c:pt>
                <c:pt idx="35">
                  <c:v>9553.159316811465</c:v>
                </c:pt>
                <c:pt idx="36">
                  <c:v>9574.9832152642321</c:v>
                </c:pt>
                <c:pt idx="37">
                  <c:v>9596.8780749265479</c:v>
                </c:pt>
                <c:pt idx="38">
                  <c:v>9618.8441254709414</c:v>
                </c:pt>
                <c:pt idx="39">
                  <c:v>9640.8815972680295</c:v>
                </c:pt>
                <c:pt idx="40">
                  <c:v>9662.9907213885144</c:v>
                </c:pt>
                <c:pt idx="41">
                  <c:v>9685.1717296051647</c:v>
                </c:pt>
                <c:pt idx="42">
                  <c:v>9707.4248543947779</c:v>
                </c:pt>
                <c:pt idx="43">
                  <c:v>9729.7503289401957</c:v>
                </c:pt>
                <c:pt idx="44">
                  <c:v>9752.1483871322998</c:v>
                </c:pt>
                <c:pt idx="45">
                  <c:v>9774.6192635720072</c:v>
                </c:pt>
                <c:pt idx="46">
                  <c:v>9797.1631935722744</c:v>
                </c:pt>
                <c:pt idx="47">
                  <c:v>9819.7804131601188</c:v>
                </c:pt>
                <c:pt idx="48">
                  <c:v>9842.4711590786392</c:v>
                </c:pt>
                <c:pt idx="49">
                  <c:v>9865.2356687890242</c:v>
                </c:pt>
                <c:pt idx="50">
                  <c:v>9888.0741804726076</c:v>
                </c:pt>
                <c:pt idx="51">
                  <c:v>9896.795623677348</c:v>
                </c:pt>
                <c:pt idx="52">
                  <c:v>9906.7919899754961</c:v>
                </c:pt>
                <c:pt idx="53">
                  <c:v>9929.806677508077</c:v>
                </c:pt>
                <c:pt idx="54">
                  <c:v>9939.3475052099402</c:v>
                </c:pt>
                <c:pt idx="55">
                  <c:v>9962.4905473592571</c:v>
                </c:pt>
                <c:pt idx="56">
                  <c:v>9985.7089105795985</c:v>
                </c:pt>
                <c:pt idx="57">
                  <c:v>10009.00283791688</c:v>
                </c:pt>
                <c:pt idx="58">
                  <c:v>10007.23043976197</c:v>
                </c:pt>
                <c:pt idx="59">
                  <c:v>10017.33306437001</c:v>
                </c:pt>
                <c:pt idx="60">
                  <c:v>10025.774774365051</c:v>
                </c:pt>
                <c:pt idx="61">
                  <c:v>10049.304328495249</c:v>
                </c:pt>
                <c:pt idx="62">
                  <c:v>10072.91051247711</c:v>
                </c:pt>
                <c:pt idx="63">
                  <c:v>10096.59357339101</c:v>
                </c:pt>
                <c:pt idx="64">
                  <c:v>10120.35375906493</c:v>
                </c:pt>
                <c:pt idx="65">
                  <c:v>10144.191318076601</c:v>
                </c:pt>
                <c:pt idx="66">
                  <c:v>10168.10649975561</c:v>
                </c:pt>
                <c:pt idx="67">
                  <c:v>10192.099554185481</c:v>
                </c:pt>
                <c:pt idx="68">
                  <c:v>10216.17073220583</c:v>
                </c:pt>
                <c:pt idx="69">
                  <c:v>10240.320285414509</c:v>
                </c:pt>
                <c:pt idx="70">
                  <c:v>10264.548466169699</c:v>
                </c:pt>
                <c:pt idx="71">
                  <c:v>10288.85552759209</c:v>
                </c:pt>
                <c:pt idx="72">
                  <c:v>10298.891647821951</c:v>
                </c:pt>
                <c:pt idx="73">
                  <c:v>10323.328704240759</c:v>
                </c:pt>
                <c:pt idx="74">
                  <c:v>10347.845354250279</c:v>
                </c:pt>
                <c:pt idx="75">
                  <c:v>10372.44185396152</c:v>
                </c:pt>
                <c:pt idx="76">
                  <c:v>10382.207530134299</c:v>
                </c:pt>
                <c:pt idx="77">
                  <c:v>10394.311159850609</c:v>
                </c:pt>
                <c:pt idx="78">
                  <c:v>10419.11062031529</c:v>
                </c:pt>
                <c:pt idx="79">
                  <c:v>10443.99088484088</c:v>
                </c:pt>
                <c:pt idx="80">
                  <c:v>10468.952213271479</c:v>
                </c:pt>
                <c:pt idx="81">
                  <c:v>10493.99486623496</c:v>
                </c:pt>
                <c:pt idx="82">
                  <c:v>10506.06794673629</c:v>
                </c:pt>
                <c:pt idx="83">
                  <c:v>10517.76686691997</c:v>
                </c:pt>
                <c:pt idx="84">
                  <c:v>10527.051517211459</c:v>
                </c:pt>
                <c:pt idx="85">
                  <c:v>10552.353356596061</c:v>
                </c:pt>
                <c:pt idx="86">
                  <c:v>10577.73768966293</c:v>
                </c:pt>
                <c:pt idx="87">
                  <c:v>10603.20478144168</c:v>
                </c:pt>
                <c:pt idx="88">
                  <c:v>10628.754897760489</c:v>
                </c:pt>
                <c:pt idx="89">
                  <c:v>10654.38830524828</c:v>
                </c:pt>
                <c:pt idx="90">
                  <c:v>10680.10527133703</c:v>
                </c:pt>
                <c:pt idx="91">
                  <c:v>10705.906064264</c:v>
                </c:pt>
                <c:pt idx="92">
                  <c:v>10731.79095307396</c:v>
                </c:pt>
                <c:pt idx="93">
                  <c:v>10757.760207621521</c:v>
                </c:pt>
                <c:pt idx="94">
                  <c:v>10783.814098573341</c:v>
                </c:pt>
                <c:pt idx="95">
                  <c:v>10794.646082744301</c:v>
                </c:pt>
                <c:pt idx="96">
                  <c:v>10820.83673693988</c:v>
                </c:pt>
                <c:pt idx="97">
                  <c:v>10834.68777849141</c:v>
                </c:pt>
                <c:pt idx="98">
                  <c:v>10861.049481219259</c:v>
                </c:pt>
                <c:pt idx="99">
                  <c:v>10871.11396175687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625-4DC9-9C1C-FEDAF69AB0AD}"/>
            </c:ext>
          </c:extLst>
        </c:ser>
        <c:ser>
          <c:idx val="2"/>
          <c:order val="1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5782855112999953"/>
                  <c:y val="0.1239990152720169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Habenzins!$D$2:$D$101</c:f>
              <c:numCache>
                <c:formatCode>General</c:formatCode>
                <c:ptCount val="100"/>
                <c:pt idx="0">
                  <c:v>0</c:v>
                </c:pt>
                <c:pt idx="1">
                  <c:v>2.3939393939393939E-4</c:v>
                </c:pt>
                <c:pt idx="2">
                  <c:v>4.7878787878787878E-4</c:v>
                </c:pt>
                <c:pt idx="3">
                  <c:v>7.1818181818181811E-4</c:v>
                </c:pt>
                <c:pt idx="4">
                  <c:v>9.5757575757575756E-4</c:v>
                </c:pt>
                <c:pt idx="5">
                  <c:v>1.196969696969697E-3</c:v>
                </c:pt>
                <c:pt idx="6">
                  <c:v>1.436363636363636E-3</c:v>
                </c:pt>
                <c:pt idx="7">
                  <c:v>1.6757575757575761E-3</c:v>
                </c:pt>
                <c:pt idx="8">
                  <c:v>1.9151515151515149E-3</c:v>
                </c:pt>
                <c:pt idx="9">
                  <c:v>2.154545454545455E-3</c:v>
                </c:pt>
                <c:pt idx="10">
                  <c:v>2.393939393939394E-3</c:v>
                </c:pt>
                <c:pt idx="11">
                  <c:v>2.633333333333333E-3</c:v>
                </c:pt>
                <c:pt idx="12">
                  <c:v>2.872727272727272E-3</c:v>
                </c:pt>
                <c:pt idx="13">
                  <c:v>3.1121212121212119E-3</c:v>
                </c:pt>
                <c:pt idx="14">
                  <c:v>3.3515151515151509E-3</c:v>
                </c:pt>
                <c:pt idx="15">
                  <c:v>3.5909090909090908E-3</c:v>
                </c:pt>
                <c:pt idx="16">
                  <c:v>3.8303030303030298E-3</c:v>
                </c:pt>
                <c:pt idx="17">
                  <c:v>4.0696969696969697E-3</c:v>
                </c:pt>
                <c:pt idx="18">
                  <c:v>4.3090909090909091E-3</c:v>
                </c:pt>
                <c:pt idx="19">
                  <c:v>4.5484848484848494E-3</c:v>
                </c:pt>
                <c:pt idx="20">
                  <c:v>4.787878787878788E-3</c:v>
                </c:pt>
                <c:pt idx="21">
                  <c:v>5.0272727272727266E-3</c:v>
                </c:pt>
                <c:pt idx="22">
                  <c:v>5.2666666666666669E-3</c:v>
                </c:pt>
                <c:pt idx="23">
                  <c:v>5.5060606060606063E-3</c:v>
                </c:pt>
                <c:pt idx="24">
                  <c:v>5.7454545454545449E-3</c:v>
                </c:pt>
                <c:pt idx="25">
                  <c:v>5.9848484848484844E-3</c:v>
                </c:pt>
                <c:pt idx="26">
                  <c:v>6.2242424242424238E-3</c:v>
                </c:pt>
                <c:pt idx="27">
                  <c:v>6.4636363636363632E-3</c:v>
                </c:pt>
                <c:pt idx="28">
                  <c:v>6.7030303030303027E-3</c:v>
                </c:pt>
                <c:pt idx="29">
                  <c:v>6.9424242424242421E-3</c:v>
                </c:pt>
                <c:pt idx="30">
                  <c:v>7.1818181818181816E-3</c:v>
                </c:pt>
                <c:pt idx="31">
                  <c:v>7.421212121212121E-3</c:v>
                </c:pt>
                <c:pt idx="32">
                  <c:v>7.6606060606060596E-3</c:v>
                </c:pt>
                <c:pt idx="33">
                  <c:v>7.899999999999999E-3</c:v>
                </c:pt>
                <c:pt idx="34">
                  <c:v>8.1393939393939393E-3</c:v>
                </c:pt>
                <c:pt idx="35">
                  <c:v>8.3787878787878779E-3</c:v>
                </c:pt>
                <c:pt idx="36">
                  <c:v>8.6181818181818182E-3</c:v>
                </c:pt>
                <c:pt idx="37">
                  <c:v>8.8575757575757568E-3</c:v>
                </c:pt>
                <c:pt idx="38">
                  <c:v>9.0969696969696971E-3</c:v>
                </c:pt>
                <c:pt idx="39">
                  <c:v>9.3363636363636357E-3</c:v>
                </c:pt>
                <c:pt idx="40">
                  <c:v>9.575757575757576E-3</c:v>
                </c:pt>
                <c:pt idx="41">
                  <c:v>9.8151515151515146E-3</c:v>
                </c:pt>
                <c:pt idx="42">
                  <c:v>1.005454545454545E-2</c:v>
                </c:pt>
                <c:pt idx="43">
                  <c:v>1.029393939393939E-2</c:v>
                </c:pt>
                <c:pt idx="44">
                  <c:v>1.053333333333333E-2</c:v>
                </c:pt>
                <c:pt idx="45">
                  <c:v>1.0772727272727271E-2</c:v>
                </c:pt>
                <c:pt idx="46">
                  <c:v>1.1012121212121209E-2</c:v>
                </c:pt>
                <c:pt idx="47">
                  <c:v>1.125151515151515E-2</c:v>
                </c:pt>
                <c:pt idx="48">
                  <c:v>1.149090909090909E-2</c:v>
                </c:pt>
                <c:pt idx="49">
                  <c:v>1.173030303030303E-2</c:v>
                </c:pt>
                <c:pt idx="50">
                  <c:v>1.196969696969697E-2</c:v>
                </c:pt>
                <c:pt idx="51">
                  <c:v>1.2209090909090911E-2</c:v>
                </c:pt>
                <c:pt idx="52">
                  <c:v>1.2448484848484849E-2</c:v>
                </c:pt>
                <c:pt idx="53">
                  <c:v>1.268787878787879E-2</c:v>
                </c:pt>
                <c:pt idx="54">
                  <c:v>1.292727272727273E-2</c:v>
                </c:pt>
                <c:pt idx="55">
                  <c:v>1.316666666666667E-2</c:v>
                </c:pt>
                <c:pt idx="56">
                  <c:v>1.3406060606060611E-2</c:v>
                </c:pt>
                <c:pt idx="57">
                  <c:v>1.3645454545454549E-2</c:v>
                </c:pt>
                <c:pt idx="58">
                  <c:v>1.3884848484848481E-2</c:v>
                </c:pt>
                <c:pt idx="59">
                  <c:v>1.4124242424242419E-2</c:v>
                </c:pt>
                <c:pt idx="60">
                  <c:v>1.436363636363636E-2</c:v>
                </c:pt>
                <c:pt idx="61">
                  <c:v>1.46030303030303E-2</c:v>
                </c:pt>
                <c:pt idx="62">
                  <c:v>1.484242424242424E-2</c:v>
                </c:pt>
                <c:pt idx="63">
                  <c:v>1.5081818181818181E-2</c:v>
                </c:pt>
                <c:pt idx="64">
                  <c:v>1.5321212121212119E-2</c:v>
                </c:pt>
                <c:pt idx="65">
                  <c:v>1.5560606060606059E-2</c:v>
                </c:pt>
                <c:pt idx="66">
                  <c:v>1.5800000000000002E-2</c:v>
                </c:pt>
                <c:pt idx="67">
                  <c:v>1.603939393939394E-2</c:v>
                </c:pt>
                <c:pt idx="68">
                  <c:v>1.6278787878787879E-2</c:v>
                </c:pt>
                <c:pt idx="69">
                  <c:v>1.6518181818181821E-2</c:v>
                </c:pt>
                <c:pt idx="70">
                  <c:v>1.6757575757575759E-2</c:v>
                </c:pt>
                <c:pt idx="71">
                  <c:v>1.6996969696969701E-2</c:v>
                </c:pt>
                <c:pt idx="72">
                  <c:v>1.723636363636364E-2</c:v>
                </c:pt>
                <c:pt idx="73">
                  <c:v>1.7475757575757579E-2</c:v>
                </c:pt>
                <c:pt idx="74">
                  <c:v>1.771515151515151E-2</c:v>
                </c:pt>
                <c:pt idx="75">
                  <c:v>1.7954545454545459E-2</c:v>
                </c:pt>
                <c:pt idx="76">
                  <c:v>1.8193939393939391E-2</c:v>
                </c:pt>
                <c:pt idx="77">
                  <c:v>1.8433333333333329E-2</c:v>
                </c:pt>
                <c:pt idx="78">
                  <c:v>1.8672727272727271E-2</c:v>
                </c:pt>
                <c:pt idx="79">
                  <c:v>1.891212121212121E-2</c:v>
                </c:pt>
                <c:pt idx="80">
                  <c:v>1.9151515151515149E-2</c:v>
                </c:pt>
                <c:pt idx="81">
                  <c:v>1.9390909090909091E-2</c:v>
                </c:pt>
                <c:pt idx="82">
                  <c:v>1.9630303030303029E-2</c:v>
                </c:pt>
                <c:pt idx="83">
                  <c:v>1.9869696969696971E-2</c:v>
                </c:pt>
                <c:pt idx="84">
                  <c:v>2.010909090909091E-2</c:v>
                </c:pt>
                <c:pt idx="85">
                  <c:v>2.0348484848484848E-2</c:v>
                </c:pt>
                <c:pt idx="86">
                  <c:v>2.058787878787879E-2</c:v>
                </c:pt>
                <c:pt idx="87">
                  <c:v>2.0827272727272729E-2</c:v>
                </c:pt>
                <c:pt idx="88">
                  <c:v>2.1066666666666671E-2</c:v>
                </c:pt>
                <c:pt idx="89">
                  <c:v>2.130606060606061E-2</c:v>
                </c:pt>
                <c:pt idx="90">
                  <c:v>2.1545454545454541E-2</c:v>
                </c:pt>
                <c:pt idx="91">
                  <c:v>2.178484848484848E-2</c:v>
                </c:pt>
                <c:pt idx="92">
                  <c:v>2.2024242424242429E-2</c:v>
                </c:pt>
                <c:pt idx="93">
                  <c:v>2.226363636363636E-2</c:v>
                </c:pt>
                <c:pt idx="94">
                  <c:v>2.2503030303030299E-2</c:v>
                </c:pt>
                <c:pt idx="95">
                  <c:v>2.2742424242424241E-2</c:v>
                </c:pt>
                <c:pt idx="96">
                  <c:v>2.298181818181818E-2</c:v>
                </c:pt>
                <c:pt idx="97">
                  <c:v>2.3221212121212122E-2</c:v>
                </c:pt>
                <c:pt idx="98">
                  <c:v>2.346060606060606E-2</c:v>
                </c:pt>
                <c:pt idx="99">
                  <c:v>2.3699999999999999E-2</c:v>
                </c:pt>
              </c:numCache>
            </c:numRef>
          </c:xVal>
          <c:yVal>
            <c:numRef>
              <c:f>Habenzins!$C$2:$C$101</c:f>
              <c:numCache>
                <c:formatCode>General</c:formatCode>
                <c:ptCount val="100"/>
                <c:pt idx="0">
                  <c:v>20948.91809882304</c:v>
                </c:pt>
                <c:pt idx="1">
                  <c:v>20991.108085863489</c:v>
                </c:pt>
                <c:pt idx="2">
                  <c:v>21033.410559212829</c:v>
                </c:pt>
                <c:pt idx="3">
                  <c:v>21075.825835388321</c:v>
                </c:pt>
                <c:pt idx="4">
                  <c:v>21118.35423178734</c:v>
                </c:pt>
                <c:pt idx="5">
                  <c:v>21136.095915761722</c:v>
                </c:pt>
                <c:pt idx="6">
                  <c:v>21178.841459956649</c:v>
                </c:pt>
                <c:pt idx="7">
                  <c:v>21221.701075802612</c:v>
                </c:pt>
                <c:pt idx="8">
                  <c:v>21252.109193769931</c:v>
                </c:pt>
                <c:pt idx="9">
                  <c:v>21282.732675577419</c:v>
                </c:pt>
                <c:pt idx="10">
                  <c:v>21325.916203227309</c:v>
                </c:pt>
                <c:pt idx="11">
                  <c:v>21369.21507024132</c:v>
                </c:pt>
                <c:pt idx="12">
                  <c:v>21400.053647241821</c:v>
                </c:pt>
                <c:pt idx="13">
                  <c:v>21443.57152197506</c:v>
                </c:pt>
                <c:pt idx="14">
                  <c:v>21487.205702108731</c:v>
                </c:pt>
                <c:pt idx="15">
                  <c:v>21530.956514848389</c:v>
                </c:pt>
                <c:pt idx="16">
                  <c:v>21574.82428830834</c:v>
                </c:pt>
                <c:pt idx="17">
                  <c:v>21606.299077868789</c:v>
                </c:pt>
                <c:pt idx="18">
                  <c:v>21637.60658368851</c:v>
                </c:pt>
                <c:pt idx="19">
                  <c:v>21668.7935992934</c:v>
                </c:pt>
                <c:pt idx="20">
                  <c:v>21700.140598818762</c:v>
                </c:pt>
                <c:pt idx="21">
                  <c:v>21744.5150619216</c:v>
                </c:pt>
                <c:pt idx="22">
                  <c:v>21775.7895486663</c:v>
                </c:pt>
                <c:pt idx="23">
                  <c:v>21820.364774606751</c:v>
                </c:pt>
                <c:pt idx="24">
                  <c:v>21852.453231252279</c:v>
                </c:pt>
                <c:pt idx="25">
                  <c:v>21884.83495678812</c:v>
                </c:pt>
                <c:pt idx="26">
                  <c:v>21916.940988328701</c:v>
                </c:pt>
                <c:pt idx="27">
                  <c:v>21961.972712441409</c:v>
                </c:pt>
                <c:pt idx="28">
                  <c:v>22007.125141975121</c:v>
                </c:pt>
                <c:pt idx="29">
                  <c:v>22052.39861658038</c:v>
                </c:pt>
                <c:pt idx="30">
                  <c:v>22085.293364054149</c:v>
                </c:pt>
                <c:pt idx="31">
                  <c:v>22118.069060275771</c:v>
                </c:pt>
                <c:pt idx="32">
                  <c:v>22163.69500671007</c:v>
                </c:pt>
                <c:pt idx="33">
                  <c:v>22209.443360134839</c:v>
                </c:pt>
                <c:pt idx="34">
                  <c:v>22255.314464935509</c:v>
                </c:pt>
                <c:pt idx="35">
                  <c:v>22301.30866645258</c:v>
                </c:pt>
                <c:pt idx="36">
                  <c:v>22334.166150513782</c:v>
                </c:pt>
                <c:pt idx="37">
                  <c:v>22366.390625486601</c:v>
                </c:pt>
                <c:pt idx="38">
                  <c:v>22412.687416926521</c:v>
                </c:pt>
                <c:pt idx="39">
                  <c:v>22432.945131793502</c:v>
                </c:pt>
                <c:pt idx="40">
                  <c:v>22466.522151243829</c:v>
                </c:pt>
                <c:pt idx="41">
                  <c:v>22513.14508238847</c:v>
                </c:pt>
                <c:pt idx="42">
                  <c:v>22546.713247951091</c:v>
                </c:pt>
                <c:pt idx="43">
                  <c:v>22593.568676384712</c:v>
                </c:pt>
                <c:pt idx="44">
                  <c:v>22628.125084309511</c:v>
                </c:pt>
                <c:pt idx="45">
                  <c:v>22661.260725078711</c:v>
                </c:pt>
                <c:pt idx="46">
                  <c:v>22708.458840064312</c:v>
                </c:pt>
                <c:pt idx="47">
                  <c:v>22743.00252952128</c:v>
                </c:pt>
                <c:pt idx="48">
                  <c:v>22790.447263376671</c:v>
                </c:pt>
                <c:pt idx="49">
                  <c:v>22838.01966831322</c:v>
                </c:pt>
                <c:pt idx="50">
                  <c:v>22859.707373621841</c:v>
                </c:pt>
                <c:pt idx="51">
                  <c:v>22907.512194363459</c:v>
                </c:pt>
                <c:pt idx="52">
                  <c:v>22955.445736743011</c:v>
                </c:pt>
                <c:pt idx="53">
                  <c:v>23003.50836292082</c:v>
                </c:pt>
                <c:pt idx="54">
                  <c:v>23051.700436060109</c:v>
                </c:pt>
                <c:pt idx="55">
                  <c:v>23100.022320329648</c:v>
                </c:pt>
                <c:pt idx="56">
                  <c:v>23122.188617156378</c:v>
                </c:pt>
                <c:pt idx="57">
                  <c:v>23170.744961768371</c:v>
                </c:pt>
                <c:pt idx="58">
                  <c:v>23205.476207441399</c:v>
                </c:pt>
                <c:pt idx="59">
                  <c:v>23254.266872845819</c:v>
                </c:pt>
                <c:pt idx="60">
                  <c:v>23290.461845922029</c:v>
                </c:pt>
                <c:pt idx="61">
                  <c:v>23339.510963266079</c:v>
                </c:pt>
                <c:pt idx="62">
                  <c:v>23361.29881049024</c:v>
                </c:pt>
                <c:pt idx="63">
                  <c:v>23410.568182303108</c:v>
                </c:pt>
                <c:pt idx="64">
                  <c:v>23459.970490256521</c:v>
                </c:pt>
                <c:pt idx="65">
                  <c:v>23494.981159365951</c:v>
                </c:pt>
                <c:pt idx="66">
                  <c:v>23531.342243176859</c:v>
                </c:pt>
                <c:pt idx="67">
                  <c:v>23581.097621077352</c:v>
                </c:pt>
                <c:pt idx="68">
                  <c:v>23630.98735049017</c:v>
                </c:pt>
                <c:pt idx="69">
                  <c:v>23655.46353200882</c:v>
                </c:pt>
                <c:pt idx="70">
                  <c:v>23691.518512104161</c:v>
                </c:pt>
                <c:pt idx="71">
                  <c:v>23741.77811209681</c:v>
                </c:pt>
                <c:pt idx="72">
                  <c:v>23778.430370516311</c:v>
                </c:pt>
                <c:pt idx="73">
                  <c:v>23828.942885564749</c:v>
                </c:pt>
                <c:pt idx="74">
                  <c:v>23879.591969457389</c:v>
                </c:pt>
                <c:pt idx="75">
                  <c:v>23930.378006378251</c:v>
                </c:pt>
                <c:pt idx="76">
                  <c:v>23981.301381573161</c:v>
                </c:pt>
                <c:pt idx="77">
                  <c:v>24032.36248135268</c:v>
                </c:pt>
                <c:pt idx="78">
                  <c:v>24068.10491067186</c:v>
                </c:pt>
                <c:pt idx="79">
                  <c:v>24078.956863645879</c:v>
                </c:pt>
                <c:pt idx="80">
                  <c:v>24117.518748157199</c:v>
                </c:pt>
                <c:pt idx="81">
                  <c:v>24154.900262170671</c:v>
                </c:pt>
                <c:pt idx="82">
                  <c:v>24206.542027305179</c:v>
                </c:pt>
                <c:pt idx="83">
                  <c:v>24244.59845727549</c:v>
                </c:pt>
                <c:pt idx="84">
                  <c:v>24296.503987017109</c:v>
                </c:pt>
                <c:pt idx="85">
                  <c:v>24348.550138928229</c:v>
                </c:pt>
                <c:pt idx="86">
                  <c:v>24384.09755987419</c:v>
                </c:pt>
                <c:pt idx="87">
                  <c:v>24423.727196756521</c:v>
                </c:pt>
                <c:pt idx="88">
                  <c:v>24476.138791089321</c:v>
                </c:pt>
                <c:pt idx="89">
                  <c:v>24528.692417865801</c:v>
                </c:pt>
                <c:pt idx="90">
                  <c:v>24568.275127112891</c:v>
                </c:pt>
                <c:pt idx="91">
                  <c:v>24607.499466215409</c:v>
                </c:pt>
                <c:pt idx="92">
                  <c:v>24660.460332618852</c:v>
                </c:pt>
                <c:pt idx="93">
                  <c:v>24698.604816462179</c:v>
                </c:pt>
                <c:pt idx="94">
                  <c:v>24735.966058343762</c:v>
                </c:pt>
                <c:pt idx="95">
                  <c:v>24776.86351894369</c:v>
                </c:pt>
                <c:pt idx="96">
                  <c:v>24830.330667759568</c:v>
                </c:pt>
                <c:pt idx="97">
                  <c:v>24883.942911710859</c:v>
                </c:pt>
                <c:pt idx="98">
                  <c:v>24924.78007637769</c:v>
                </c:pt>
                <c:pt idx="99">
                  <c:v>24978.678628939131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625-4DC9-9C1C-FEDAF69AB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948224"/>
        <c:axId val="1311944896"/>
      </c:scatterChart>
      <c:valAx>
        <c:axId val="1311948224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800"/>
                  <a:t>Habenzinssatz in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.00%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4896"/>
        <c:crosses val="autoZero"/>
        <c:crossBetween val="midCat"/>
      </c:valAx>
      <c:valAx>
        <c:axId val="1311944896"/>
        <c:scaling>
          <c:orientation val="minMax"/>
          <c:min val="8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600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8224"/>
        <c:crosses val="autoZero"/>
        <c:crossBetween val="midCat"/>
        <c:majorUnit val="1000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7045840365473903"/>
          <c:y val="0.16570793996519612"/>
          <c:w val="9.4184595961329054E-2"/>
          <c:h val="6.1412683794801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2400"/>
              <a:t>Variation der Inflation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3250834947472466E-2"/>
          <c:y val="5.7475266429607853E-2"/>
          <c:w val="0.8778690028182794"/>
          <c:h val="0.86570580351271875"/>
        </c:manualLayout>
      </c:layout>
      <c:scatterChart>
        <c:scatterStyle val="lineMarker"/>
        <c:varyColors val="0"/>
        <c:ser>
          <c:idx val="0"/>
          <c:order val="0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5611488339083528E-2"/>
                  <c:y val="-3.90302990461129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Laufende_Kosten!$C$2:$C$100</c:f>
              <c:numCache>
                <c:formatCode>General</c:formatCode>
                <c:ptCount val="99"/>
                <c:pt idx="0">
                  <c:v>27625.335914464809</c:v>
                </c:pt>
                <c:pt idx="1">
                  <c:v>27578.72773082865</c:v>
                </c:pt>
                <c:pt idx="2">
                  <c:v>27532.119547192469</c:v>
                </c:pt>
                <c:pt idx="3">
                  <c:v>27497.93636355631</c:v>
                </c:pt>
                <c:pt idx="4">
                  <c:v>27451.32817992015</c:v>
                </c:pt>
                <c:pt idx="5">
                  <c:v>27404.719996283991</c:v>
                </c:pt>
                <c:pt idx="6">
                  <c:v>27358.111812647821</c:v>
                </c:pt>
                <c:pt idx="7">
                  <c:v>27311.503629011659</c:v>
                </c:pt>
                <c:pt idx="8">
                  <c:v>27278.235247824461</c:v>
                </c:pt>
                <c:pt idx="9">
                  <c:v>27246.78656146508</c:v>
                </c:pt>
                <c:pt idx="10">
                  <c:v>27200.17837782891</c:v>
                </c:pt>
                <c:pt idx="11">
                  <c:v>27166.536259294069</c:v>
                </c:pt>
                <c:pt idx="12">
                  <c:v>27119.92807565791</c:v>
                </c:pt>
                <c:pt idx="13">
                  <c:v>27073.31989202174</c:v>
                </c:pt>
                <c:pt idx="14">
                  <c:v>27041.238610124259</c:v>
                </c:pt>
                <c:pt idx="15">
                  <c:v>26994.630426488078</c:v>
                </c:pt>
                <c:pt idx="16">
                  <c:v>26960.62504149567</c:v>
                </c:pt>
                <c:pt idx="17">
                  <c:v>26927.937561842758</c:v>
                </c:pt>
                <c:pt idx="18">
                  <c:v>26910.23649578659</c:v>
                </c:pt>
                <c:pt idx="19">
                  <c:v>26863.628312150431</c:v>
                </c:pt>
                <c:pt idx="20">
                  <c:v>26817.020128514261</c:v>
                </c:pt>
                <c:pt idx="21">
                  <c:v>26770.411944878098</c:v>
                </c:pt>
                <c:pt idx="22">
                  <c:v>26723.803761241939</c:v>
                </c:pt>
                <c:pt idx="23">
                  <c:v>26677.195577605769</c:v>
                </c:pt>
                <c:pt idx="24">
                  <c:v>26630.58739396961</c:v>
                </c:pt>
                <c:pt idx="25">
                  <c:v>26598.713988404281</c:v>
                </c:pt>
                <c:pt idx="26">
                  <c:v>26565.257411019509</c:v>
                </c:pt>
                <c:pt idx="27">
                  <c:v>26545.552274702059</c:v>
                </c:pt>
                <c:pt idx="28">
                  <c:v>26514.99010628953</c:v>
                </c:pt>
                <c:pt idx="29">
                  <c:v>26482.106235155781</c:v>
                </c:pt>
                <c:pt idx="30">
                  <c:v>26451.094510222982</c:v>
                </c:pt>
                <c:pt idx="31">
                  <c:v>26416.911326586829</c:v>
                </c:pt>
                <c:pt idx="32">
                  <c:v>26370.303142950659</c:v>
                </c:pt>
                <c:pt idx="33">
                  <c:v>26323.694959314489</c:v>
                </c:pt>
                <c:pt idx="34">
                  <c:v>26277.08677567833</c:v>
                </c:pt>
                <c:pt idx="35">
                  <c:v>26230.478592042171</c:v>
                </c:pt>
                <c:pt idx="36">
                  <c:v>26183.870408406008</c:v>
                </c:pt>
                <c:pt idx="37">
                  <c:v>26137.262224769831</c:v>
                </c:pt>
                <c:pt idx="38">
                  <c:v>26104.975999232451</c:v>
                </c:pt>
                <c:pt idx="39">
                  <c:v>26073.3134446576</c:v>
                </c:pt>
                <c:pt idx="40">
                  <c:v>26026.705261021441</c:v>
                </c:pt>
                <c:pt idx="41">
                  <c:v>26006.402944935551</c:v>
                </c:pt>
                <c:pt idx="42">
                  <c:v>25959.794761299388</c:v>
                </c:pt>
                <c:pt idx="43">
                  <c:v>25913.186577663229</c:v>
                </c:pt>
                <c:pt idx="44">
                  <c:v>25866.578394027059</c:v>
                </c:pt>
                <c:pt idx="45">
                  <c:v>25819.9702103909</c:v>
                </c:pt>
                <c:pt idx="46">
                  <c:v>25801.78446552678</c:v>
                </c:pt>
                <c:pt idx="47">
                  <c:v>25755.176281890621</c:v>
                </c:pt>
                <c:pt idx="48">
                  <c:v>25708.568098254462</c:v>
                </c:pt>
                <c:pt idx="49">
                  <c:v>25678.23554430826</c:v>
                </c:pt>
                <c:pt idx="50">
                  <c:v>25631.62736067209</c:v>
                </c:pt>
                <c:pt idx="51">
                  <c:v>25598.549868722981</c:v>
                </c:pt>
                <c:pt idx="52">
                  <c:v>25567.1011823636</c:v>
                </c:pt>
                <c:pt idx="53">
                  <c:v>25548.94060444937</c:v>
                </c:pt>
                <c:pt idx="54">
                  <c:v>25502.3324208132</c:v>
                </c:pt>
                <c:pt idx="55">
                  <c:v>25455.724237177041</c:v>
                </c:pt>
                <c:pt idx="56">
                  <c:v>25409.116053540871</c:v>
                </c:pt>
                <c:pt idx="57">
                  <c:v>25388.44261769775</c:v>
                </c:pt>
                <c:pt idx="58">
                  <c:v>25341.834434061591</c:v>
                </c:pt>
                <c:pt idx="59">
                  <c:v>25307.651250425421</c:v>
                </c:pt>
                <c:pt idx="60">
                  <c:v>25261.043066789269</c:v>
                </c:pt>
                <c:pt idx="61">
                  <c:v>25214.434883153099</c:v>
                </c:pt>
                <c:pt idx="62">
                  <c:v>25183.20312540988</c:v>
                </c:pt>
                <c:pt idx="63">
                  <c:v>25136.594941773721</c:v>
                </c:pt>
                <c:pt idx="64">
                  <c:v>25117.830976417052</c:v>
                </c:pt>
                <c:pt idx="65">
                  <c:v>25085.957570851711</c:v>
                </c:pt>
                <c:pt idx="66">
                  <c:v>25039.349387215541</c:v>
                </c:pt>
                <c:pt idx="67">
                  <c:v>24992.741203579379</c:v>
                </c:pt>
                <c:pt idx="68">
                  <c:v>24946.13301994322</c:v>
                </c:pt>
                <c:pt idx="69">
                  <c:v>24899.52483630706</c:v>
                </c:pt>
                <c:pt idx="70">
                  <c:v>24852.91665267089</c:v>
                </c:pt>
                <c:pt idx="71">
                  <c:v>24806.308469034731</c:v>
                </c:pt>
                <c:pt idx="72">
                  <c:v>24772.66635049988</c:v>
                </c:pt>
                <c:pt idx="73">
                  <c:v>24739.397969312678</c:v>
                </c:pt>
                <c:pt idx="74">
                  <c:v>24692.789785676508</c:v>
                </c:pt>
                <c:pt idx="75">
                  <c:v>24658.784400684101</c:v>
                </c:pt>
                <c:pt idx="76">
                  <c:v>24658.140649073692</c:v>
                </c:pt>
                <c:pt idx="77">
                  <c:v>24611.532465437529</c:v>
                </c:pt>
                <c:pt idx="78">
                  <c:v>24564.924281801359</c:v>
                </c:pt>
                <c:pt idx="79">
                  <c:v>24518.3160981652</c:v>
                </c:pt>
                <c:pt idx="80">
                  <c:v>24486.653543590372</c:v>
                </c:pt>
                <c:pt idx="81">
                  <c:v>24440.045359954202</c:v>
                </c:pt>
                <c:pt idx="82">
                  <c:v>24393.437176318039</c:v>
                </c:pt>
                <c:pt idx="83">
                  <c:v>24346.828992681869</c:v>
                </c:pt>
                <c:pt idx="84">
                  <c:v>24300.22080904571</c:v>
                </c:pt>
                <c:pt idx="85">
                  <c:v>24267.143317096601</c:v>
                </c:pt>
                <c:pt idx="86">
                  <c:v>24220.535133460431</c:v>
                </c:pt>
                <c:pt idx="87">
                  <c:v>24199.135091365912</c:v>
                </c:pt>
                <c:pt idx="88">
                  <c:v>24152.526907729749</c:v>
                </c:pt>
                <c:pt idx="89">
                  <c:v>24132.991034328239</c:v>
                </c:pt>
                <c:pt idx="90">
                  <c:v>24086.382850692069</c:v>
                </c:pt>
                <c:pt idx="91">
                  <c:v>24039.77466705591</c:v>
                </c:pt>
                <c:pt idx="92">
                  <c:v>24007.693385158422</c:v>
                </c:pt>
                <c:pt idx="93">
                  <c:v>23976.90484165055</c:v>
                </c:pt>
                <c:pt idx="94">
                  <c:v>23945.456155291169</c:v>
                </c:pt>
                <c:pt idx="95">
                  <c:v>23898.847971655021</c:v>
                </c:pt>
                <c:pt idx="96">
                  <c:v>23852.239788018851</c:v>
                </c:pt>
                <c:pt idx="97">
                  <c:v>23805.631604382681</c:v>
                </c:pt>
                <c:pt idx="98">
                  <c:v>23772.74773324894</c:v>
                </c:pt>
              </c:numCache>
            </c:numRef>
          </c:xVal>
          <c:yVal>
            <c:numRef>
              <c:f>Anschaffung!#REF!</c:f>
            </c:numRef>
          </c:yVal>
          <c:smooth val="0"/>
          <c:extLst>
            <c:ext xmlns:c16="http://schemas.microsoft.com/office/drawing/2014/chart" uri="{C3380CC4-5D6E-409C-BE32-E72D297353CC}">
              <c16:uniqueId val="{00000001-CD9D-4DF4-8540-AFCC10151B40}"/>
            </c:ext>
          </c:extLst>
        </c:ser>
        <c:ser>
          <c:idx val="1"/>
          <c:order val="1"/>
          <c:tx>
            <c:v>Szenario II (2)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solidFill>
                  <a:schemeClr val="accent2"/>
                </a:solidFill>
                <a:prstDash val="sysDot"/>
              </a:ln>
              <a:effectLst/>
            </c:spPr>
            <c:trendlineType val="power"/>
            <c:dispRSqr val="0"/>
            <c:dispEq val="0"/>
          </c:trendline>
          <c:trendline>
            <c:spPr>
              <a:ln w="6350" cap="flat" cmpd="sng" algn="ctr">
                <a:noFill/>
                <a:prstDash val="solid"/>
                <a:miter lim="800000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8195683496160168"/>
                  <c:y val="-0.1556873003153805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Inflation!$D$102:$D$200</c:f>
              <c:numCache>
                <c:formatCode>General</c:formatCode>
                <c:ptCount val="99"/>
                <c:pt idx="0">
                  <c:v>0</c:v>
                </c:pt>
                <c:pt idx="1">
                  <c:v>1.0101010101010101E-3</c:v>
                </c:pt>
                <c:pt idx="2">
                  <c:v>2.0202020202020202E-3</c:v>
                </c:pt>
                <c:pt idx="3">
                  <c:v>3.0303030303030299E-3</c:v>
                </c:pt>
                <c:pt idx="4">
                  <c:v>4.0404040404040404E-3</c:v>
                </c:pt>
                <c:pt idx="5">
                  <c:v>5.0505050505050501E-3</c:v>
                </c:pt>
                <c:pt idx="6">
                  <c:v>6.0606060606060606E-3</c:v>
                </c:pt>
                <c:pt idx="7">
                  <c:v>7.0707070707070711E-3</c:v>
                </c:pt>
                <c:pt idx="8">
                  <c:v>8.0808080808080808E-3</c:v>
                </c:pt>
                <c:pt idx="9">
                  <c:v>9.0909090909090905E-3</c:v>
                </c:pt>
                <c:pt idx="10">
                  <c:v>1.01010101010101E-2</c:v>
                </c:pt>
                <c:pt idx="11">
                  <c:v>1.111111111111111E-2</c:v>
                </c:pt>
                <c:pt idx="12">
                  <c:v>1.2121212121212119E-2</c:v>
                </c:pt>
                <c:pt idx="13">
                  <c:v>1.3131313131313129E-2</c:v>
                </c:pt>
                <c:pt idx="14">
                  <c:v>1.4141414141414141E-2</c:v>
                </c:pt>
                <c:pt idx="15">
                  <c:v>1.515151515151515E-2</c:v>
                </c:pt>
                <c:pt idx="16">
                  <c:v>1.6161616161616162E-2</c:v>
                </c:pt>
                <c:pt idx="17">
                  <c:v>1.7171717171717171E-2</c:v>
                </c:pt>
                <c:pt idx="18">
                  <c:v>1.8181818181818181E-2</c:v>
                </c:pt>
                <c:pt idx="19">
                  <c:v>1.9191919191919191E-2</c:v>
                </c:pt>
                <c:pt idx="20">
                  <c:v>2.02020202020202E-2</c:v>
                </c:pt>
                <c:pt idx="21">
                  <c:v>2.121212121212121E-2</c:v>
                </c:pt>
                <c:pt idx="22">
                  <c:v>2.222222222222222E-2</c:v>
                </c:pt>
                <c:pt idx="23">
                  <c:v>2.3232323232323229E-2</c:v>
                </c:pt>
                <c:pt idx="24">
                  <c:v>2.4242424242424239E-2</c:v>
                </c:pt>
                <c:pt idx="25">
                  <c:v>2.5252525252525249E-2</c:v>
                </c:pt>
                <c:pt idx="26">
                  <c:v>2.6262626262626258E-2</c:v>
                </c:pt>
                <c:pt idx="27">
                  <c:v>2.7272727272727271E-2</c:v>
                </c:pt>
                <c:pt idx="28">
                  <c:v>2.8282828282828281E-2</c:v>
                </c:pt>
                <c:pt idx="29">
                  <c:v>2.9292929292929291E-2</c:v>
                </c:pt>
                <c:pt idx="30">
                  <c:v>3.03030303030303E-2</c:v>
                </c:pt>
                <c:pt idx="31">
                  <c:v>3.1313131313131307E-2</c:v>
                </c:pt>
                <c:pt idx="32">
                  <c:v>3.2323232323232323E-2</c:v>
                </c:pt>
                <c:pt idx="33">
                  <c:v>3.3333333333333333E-2</c:v>
                </c:pt>
                <c:pt idx="34">
                  <c:v>3.4343434343434343E-2</c:v>
                </c:pt>
                <c:pt idx="35">
                  <c:v>3.5353535353535352E-2</c:v>
                </c:pt>
                <c:pt idx="36">
                  <c:v>3.6363636363636362E-2</c:v>
                </c:pt>
                <c:pt idx="37">
                  <c:v>3.7373737373737372E-2</c:v>
                </c:pt>
                <c:pt idx="38">
                  <c:v>3.8383838383838381E-2</c:v>
                </c:pt>
                <c:pt idx="39">
                  <c:v>3.9393939393939391E-2</c:v>
                </c:pt>
                <c:pt idx="40">
                  <c:v>4.0404040404040401E-2</c:v>
                </c:pt>
                <c:pt idx="41">
                  <c:v>4.1414141414141417E-2</c:v>
                </c:pt>
                <c:pt idx="42">
                  <c:v>4.2424242424242427E-2</c:v>
                </c:pt>
                <c:pt idx="43">
                  <c:v>4.3434343434343443E-2</c:v>
                </c:pt>
                <c:pt idx="44">
                  <c:v>4.4444444444444453E-2</c:v>
                </c:pt>
                <c:pt idx="45">
                  <c:v>4.5454545454545463E-2</c:v>
                </c:pt>
                <c:pt idx="46">
                  <c:v>4.6464646464646472E-2</c:v>
                </c:pt>
                <c:pt idx="47">
                  <c:v>4.7474747474747482E-2</c:v>
                </c:pt>
                <c:pt idx="48">
                  <c:v>4.8484848484848478E-2</c:v>
                </c:pt>
                <c:pt idx="49">
                  <c:v>4.9494949494949488E-2</c:v>
                </c:pt>
                <c:pt idx="50">
                  <c:v>5.0505050505050497E-2</c:v>
                </c:pt>
                <c:pt idx="51">
                  <c:v>5.1515151515151507E-2</c:v>
                </c:pt>
                <c:pt idx="52">
                  <c:v>5.2525252525252517E-2</c:v>
                </c:pt>
                <c:pt idx="53">
                  <c:v>5.3535353535353533E-2</c:v>
                </c:pt>
                <c:pt idx="54">
                  <c:v>5.4545454545454543E-2</c:v>
                </c:pt>
                <c:pt idx="55">
                  <c:v>5.5555555555555552E-2</c:v>
                </c:pt>
                <c:pt idx="56">
                  <c:v>5.6565656565656569E-2</c:v>
                </c:pt>
                <c:pt idx="57">
                  <c:v>5.7575757575757579E-2</c:v>
                </c:pt>
                <c:pt idx="58">
                  <c:v>5.8585858585858588E-2</c:v>
                </c:pt>
                <c:pt idx="59">
                  <c:v>5.9595959595959598E-2</c:v>
                </c:pt>
                <c:pt idx="60">
                  <c:v>6.0606060606060608E-2</c:v>
                </c:pt>
                <c:pt idx="61">
                  <c:v>6.1616161616161617E-2</c:v>
                </c:pt>
                <c:pt idx="62">
                  <c:v>6.2626262626262627E-2</c:v>
                </c:pt>
                <c:pt idx="63">
                  <c:v>6.363636363636363E-2</c:v>
                </c:pt>
                <c:pt idx="64">
                  <c:v>6.4646464646464646E-2</c:v>
                </c:pt>
                <c:pt idx="65">
                  <c:v>6.5656565656565663E-2</c:v>
                </c:pt>
                <c:pt idx="66">
                  <c:v>6.6666666666666666E-2</c:v>
                </c:pt>
                <c:pt idx="67">
                  <c:v>6.7676767676767682E-2</c:v>
                </c:pt>
                <c:pt idx="68">
                  <c:v>6.8686868686868685E-2</c:v>
                </c:pt>
                <c:pt idx="69">
                  <c:v>6.9696969696969702E-2</c:v>
                </c:pt>
                <c:pt idx="70">
                  <c:v>7.0707070707070704E-2</c:v>
                </c:pt>
                <c:pt idx="71">
                  <c:v>7.1717171717171721E-2</c:v>
                </c:pt>
                <c:pt idx="72">
                  <c:v>7.2727272727272724E-2</c:v>
                </c:pt>
                <c:pt idx="73">
                  <c:v>7.373737373737374E-2</c:v>
                </c:pt>
                <c:pt idx="74">
                  <c:v>7.4747474747474743E-2</c:v>
                </c:pt>
                <c:pt idx="75">
                  <c:v>7.575757575757576E-2</c:v>
                </c:pt>
                <c:pt idx="76">
                  <c:v>7.6767676767676762E-2</c:v>
                </c:pt>
                <c:pt idx="77">
                  <c:v>7.7777777777777779E-2</c:v>
                </c:pt>
                <c:pt idx="78">
                  <c:v>7.8787878787878782E-2</c:v>
                </c:pt>
                <c:pt idx="79">
                  <c:v>7.9797979797979798E-2</c:v>
                </c:pt>
                <c:pt idx="80">
                  <c:v>8.0808080808080801E-2</c:v>
                </c:pt>
                <c:pt idx="81">
                  <c:v>8.1818181818181818E-2</c:v>
                </c:pt>
                <c:pt idx="82">
                  <c:v>8.2828282828282834E-2</c:v>
                </c:pt>
                <c:pt idx="83">
                  <c:v>8.3838383838383837E-2</c:v>
                </c:pt>
                <c:pt idx="84">
                  <c:v>8.4848484848484854E-2</c:v>
                </c:pt>
                <c:pt idx="85">
                  <c:v>8.5858585858585856E-2</c:v>
                </c:pt>
                <c:pt idx="86">
                  <c:v>8.6868686868686873E-2</c:v>
                </c:pt>
                <c:pt idx="87">
                  <c:v>8.7878787878787876E-2</c:v>
                </c:pt>
                <c:pt idx="88">
                  <c:v>8.8888888888888892E-2</c:v>
                </c:pt>
                <c:pt idx="89">
                  <c:v>8.9898989898989895E-2</c:v>
                </c:pt>
                <c:pt idx="90">
                  <c:v>9.0909090909090912E-2</c:v>
                </c:pt>
                <c:pt idx="91">
                  <c:v>9.1919191919191914E-2</c:v>
                </c:pt>
                <c:pt idx="92">
                  <c:v>9.2929292929292931E-2</c:v>
                </c:pt>
                <c:pt idx="93">
                  <c:v>9.3939393939393934E-2</c:v>
                </c:pt>
                <c:pt idx="94">
                  <c:v>9.494949494949495E-2</c:v>
                </c:pt>
                <c:pt idx="95">
                  <c:v>9.5959595959595953E-2</c:v>
                </c:pt>
                <c:pt idx="96">
                  <c:v>9.696969696969697E-2</c:v>
                </c:pt>
                <c:pt idx="97">
                  <c:v>9.7979797979797986E-2</c:v>
                </c:pt>
                <c:pt idx="98">
                  <c:v>9.8989898989898989E-2</c:v>
                </c:pt>
              </c:numCache>
            </c:numRef>
          </c:xVal>
          <c:yVal>
            <c:numRef>
              <c:f>Inflation!$C$102:$C$200</c:f>
              <c:numCache>
                <c:formatCode>General</c:formatCode>
                <c:ptCount val="99"/>
                <c:pt idx="0">
                  <c:v>10888.543622841809</c:v>
                </c:pt>
                <c:pt idx="1">
                  <c:v>10889.489485220951</c:v>
                </c:pt>
                <c:pt idx="2">
                  <c:v>10863.84704469988</c:v>
                </c:pt>
                <c:pt idx="3">
                  <c:v>10836.99118924297</c:v>
                </c:pt>
                <c:pt idx="4">
                  <c:v>10808.905520454109</c:v>
                </c:pt>
                <c:pt idx="5">
                  <c:v>10779.57341570437</c:v>
                </c:pt>
                <c:pt idx="6">
                  <c:v>10748.978025119701</c:v>
                </c:pt>
                <c:pt idx="7">
                  <c:v>10729.70506717341</c:v>
                </c:pt>
                <c:pt idx="8">
                  <c:v>10710.255943522719</c:v>
                </c:pt>
                <c:pt idx="9">
                  <c:v>10703.65366205294</c:v>
                </c:pt>
                <c:pt idx="10">
                  <c:v>10667.831976856671</c:v>
                </c:pt>
                <c:pt idx="11">
                  <c:v>10643.44238113046</c:v>
                </c:pt>
                <c:pt idx="12">
                  <c:v>10573.25783904084</c:v>
                </c:pt>
                <c:pt idx="13">
                  <c:v>10533.327911708349</c:v>
                </c:pt>
                <c:pt idx="14">
                  <c:v>10504.416344140491</c:v>
                </c:pt>
                <c:pt idx="15">
                  <c:v>10461.65409909982</c:v>
                </c:pt>
                <c:pt idx="16">
                  <c:v>10417.446879751549</c:v>
                </c:pt>
                <c:pt idx="17">
                  <c:v>10385.114928643359</c:v>
                </c:pt>
                <c:pt idx="18">
                  <c:v>10350.924879496681</c:v>
                </c:pt>
                <c:pt idx="19">
                  <c:v>10314.86710657969</c:v>
                </c:pt>
                <c:pt idx="20">
                  <c:v>10279.003665438169</c:v>
                </c:pt>
                <c:pt idx="21">
                  <c:v>10227.272790755071</c:v>
                </c:pt>
                <c:pt idx="22">
                  <c:v>10173.975511771279</c:v>
                </c:pt>
                <c:pt idx="23">
                  <c:v>10157.82944801703</c:v>
                </c:pt>
                <c:pt idx="24">
                  <c:v>10101.335430702149</c:v>
                </c:pt>
                <c:pt idx="25">
                  <c:v>10056.36210449698</c:v>
                </c:pt>
                <c:pt idx="26">
                  <c:v>9996.5841657203055</c:v>
                </c:pt>
                <c:pt idx="27">
                  <c:v>9949.0515331180268</c:v>
                </c:pt>
                <c:pt idx="28">
                  <c:v>9898.5029015762502</c:v>
                </c:pt>
                <c:pt idx="29">
                  <c:v>9830.3208090653134</c:v>
                </c:pt>
                <c:pt idx="30">
                  <c:v>9763.7038668291934</c:v>
                </c:pt>
                <c:pt idx="31">
                  <c:v>9721.4681896169022</c:v>
                </c:pt>
                <c:pt idx="32">
                  <c:v>9664.6310009201752</c:v>
                </c:pt>
                <c:pt idx="33">
                  <c:v>9605.4208708912811</c:v>
                </c:pt>
                <c:pt idx="34">
                  <c:v>9531.5867105526831</c:v>
                </c:pt>
                <c:pt idx="35">
                  <c:v>9455.8867193904607</c:v>
                </c:pt>
                <c:pt idx="36">
                  <c:v>9388.6735962205166</c:v>
                </c:pt>
                <c:pt idx="37">
                  <c:v>9335.7106660238223</c:v>
                </c:pt>
                <c:pt idx="38">
                  <c:v>9267.226191420903</c:v>
                </c:pt>
                <c:pt idx="39">
                  <c:v>9197.3373180181534</c:v>
                </c:pt>
                <c:pt idx="40">
                  <c:v>9124.705191055391</c:v>
                </c:pt>
                <c:pt idx="41">
                  <c:v>9037.2671800269472</c:v>
                </c:pt>
                <c:pt idx="42">
                  <c:v>8960.3818201619724</c:v>
                </c:pt>
                <c:pt idx="43">
                  <c:v>8865.4210984149668</c:v>
                </c:pt>
                <c:pt idx="44">
                  <c:v>8785.0887449440761</c:v>
                </c:pt>
                <c:pt idx="45">
                  <c:v>8702.4335892721137</c:v>
                </c:pt>
                <c:pt idx="46">
                  <c:v>8617.4293692203501</c:v>
                </c:pt>
                <c:pt idx="47">
                  <c:v>8557.6944110390632</c:v>
                </c:pt>
                <c:pt idx="48">
                  <c:v>8480.3365588530742</c:v>
                </c:pt>
                <c:pt idx="49">
                  <c:v>8375.6982688918688</c:v>
                </c:pt>
                <c:pt idx="50">
                  <c:v>8266.261505536706</c:v>
                </c:pt>
                <c:pt idx="51">
                  <c:v>8171.5528953207586</c:v>
                </c:pt>
                <c:pt idx="52">
                  <c:v>8072.396971994056</c:v>
                </c:pt>
                <c:pt idx="53">
                  <c:v>8037.6042477150186</c:v>
                </c:pt>
                <c:pt idx="54">
                  <c:v>7921.2367886742704</c:v>
                </c:pt>
                <c:pt idx="55">
                  <c:v>7802.4273437368574</c:v>
                </c:pt>
                <c:pt idx="56">
                  <c:v>7693.5678504170883</c:v>
                </c:pt>
                <c:pt idx="57">
                  <c:v>7582.3775998545452</c:v>
                </c:pt>
                <c:pt idx="58">
                  <c:v>7482.9450837323611</c:v>
                </c:pt>
                <c:pt idx="59">
                  <c:v>7380.7229685695329</c:v>
                </c:pt>
                <c:pt idx="60">
                  <c:v>7288.3059666091567</c:v>
                </c:pt>
                <c:pt idx="61">
                  <c:v>7165.1193897501362</c:v>
                </c:pt>
                <c:pt idx="62">
                  <c:v>7040.8677596332427</c:v>
                </c:pt>
                <c:pt idx="63">
                  <c:v>6914.0771947106932</c:v>
                </c:pt>
                <c:pt idx="64">
                  <c:v>6797.1384857352041</c:v>
                </c:pt>
                <c:pt idx="65">
                  <c:v>6664.6181590591568</c:v>
                </c:pt>
                <c:pt idx="66">
                  <c:v>6544.7611340217409</c:v>
                </c:pt>
                <c:pt idx="67">
                  <c:v>6419.1455897221886</c:v>
                </c:pt>
                <c:pt idx="68">
                  <c:v>6292.2841687946056</c:v>
                </c:pt>
                <c:pt idx="69">
                  <c:v>6174.8978770740378</c:v>
                </c:pt>
                <c:pt idx="70">
                  <c:v>6027.656005805813</c:v>
                </c:pt>
                <c:pt idx="71">
                  <c:v>5890.8960950735391</c:v>
                </c:pt>
                <c:pt idx="72">
                  <c:v>5737.7355234841634</c:v>
                </c:pt>
                <c:pt idx="73">
                  <c:v>5622.2936444414618</c:v>
                </c:pt>
                <c:pt idx="74">
                  <c:v>5477.9296408311429</c:v>
                </c:pt>
                <c:pt idx="75">
                  <c:v>5315.492219565147</c:v>
                </c:pt>
                <c:pt idx="76">
                  <c:v>5203.4785752674406</c:v>
                </c:pt>
                <c:pt idx="77">
                  <c:v>5021.7383662084931</c:v>
                </c:pt>
                <c:pt idx="78">
                  <c:v>4888.5706682838636</c:v>
                </c:pt>
                <c:pt idx="79">
                  <c:v>4727.2632341865419</c:v>
                </c:pt>
                <c:pt idx="80">
                  <c:v>4548.7494761992693</c:v>
                </c:pt>
                <c:pt idx="81">
                  <c:v>4388.7994620986956</c:v>
                </c:pt>
                <c:pt idx="82">
                  <c:v>4216.4708454765496</c:v>
                </c:pt>
                <c:pt idx="83">
                  <c:v>4040.4345516173512</c:v>
                </c:pt>
                <c:pt idx="84">
                  <c:v>3847.0507444166028</c:v>
                </c:pt>
                <c:pt idx="85">
                  <c:v>3702.07652349195</c:v>
                </c:pt>
                <c:pt idx="86">
                  <c:v>3516.578405569604</c:v>
                </c:pt>
                <c:pt idx="87">
                  <c:v>3324.51144313944</c:v>
                </c:pt>
                <c:pt idx="88">
                  <c:v>3129.9275016145889</c:v>
                </c:pt>
                <c:pt idx="89">
                  <c:v>2940.274906731182</c:v>
                </c:pt>
                <c:pt idx="90">
                  <c:v>2752.0615419725568</c:v>
                </c:pt>
                <c:pt idx="91">
                  <c:v>2544.4722244638128</c:v>
                </c:pt>
                <c:pt idx="92">
                  <c:v>2348.4540097927029</c:v>
                </c:pt>
                <c:pt idx="93">
                  <c:v>2146.1182427582048</c:v>
                </c:pt>
                <c:pt idx="94">
                  <c:v>1908.679777112601</c:v>
                </c:pt>
                <c:pt idx="95">
                  <c:v>1685.0778986747309</c:v>
                </c:pt>
                <c:pt idx="96">
                  <c:v>1471.358129763154</c:v>
                </c:pt>
                <c:pt idx="97">
                  <c:v>1239.4194887297249</c:v>
                </c:pt>
                <c:pt idx="98">
                  <c:v>1029.2487014834239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CD9D-4DF4-8540-AFCC10151B40}"/>
            </c:ext>
          </c:extLst>
        </c:ser>
        <c:ser>
          <c:idx val="2"/>
          <c:order val="2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log"/>
            <c:dispRSqr val="0"/>
            <c:dispEq val="0"/>
          </c:trendline>
          <c:trendline>
            <c:spPr>
              <a:ln w="6350" cap="flat" cmpd="sng" algn="ctr">
                <a:solidFill>
                  <a:schemeClr val="accent6"/>
                </a:solidFill>
                <a:prstDash val="solid"/>
                <a:miter lim="800000"/>
              </a:ln>
              <a:effectLst/>
            </c:spPr>
            <c:trendlineType val="power"/>
            <c:dispRSqr val="0"/>
            <c:dispEq val="0"/>
          </c:trendline>
          <c:trendline>
            <c:spPr>
              <a:ln w="6350" cap="flat" cmpd="sng" algn="ctr">
                <a:solidFill>
                  <a:schemeClr val="accent6"/>
                </a:solidFill>
                <a:prstDash val="solid"/>
                <a:miter lim="800000"/>
              </a:ln>
              <a:effectLst/>
            </c:spPr>
            <c:trendlineType val="power"/>
            <c:dispRSqr val="0"/>
            <c:dispEq val="0"/>
          </c:trendline>
          <c:trendline>
            <c:spPr>
              <a:ln w="6350" cap="flat" cmpd="sng" algn="ctr">
                <a:noFill/>
                <a:prstDash val="solid"/>
                <a:miter lim="800000"/>
              </a:ln>
              <a:effectLst/>
            </c:spPr>
            <c:trendlineType val="poly"/>
            <c:order val="3"/>
            <c:dispRSqr val="0"/>
            <c:dispEq val="1"/>
            <c:trendlineLbl>
              <c:layout>
                <c:manualLayout>
                  <c:x val="-0.26946701818876817"/>
                  <c:y val="-0.1661689029009358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Inflation!$D$2:$D$101</c:f>
              <c:numCache>
                <c:formatCode>General</c:formatCode>
                <c:ptCount val="100"/>
                <c:pt idx="0">
                  <c:v>0</c:v>
                </c:pt>
                <c:pt idx="1">
                  <c:v>1.0101010101010101E-3</c:v>
                </c:pt>
                <c:pt idx="2">
                  <c:v>2.0202020202020202E-3</c:v>
                </c:pt>
                <c:pt idx="3">
                  <c:v>3.0303030303030299E-3</c:v>
                </c:pt>
                <c:pt idx="4">
                  <c:v>4.0404040404040404E-3</c:v>
                </c:pt>
                <c:pt idx="5">
                  <c:v>5.0505050505050501E-3</c:v>
                </c:pt>
                <c:pt idx="6">
                  <c:v>6.0606060606060606E-3</c:v>
                </c:pt>
                <c:pt idx="7">
                  <c:v>7.0707070707070711E-3</c:v>
                </c:pt>
                <c:pt idx="8">
                  <c:v>8.0808080808080808E-3</c:v>
                </c:pt>
                <c:pt idx="9">
                  <c:v>9.0909090909090905E-3</c:v>
                </c:pt>
                <c:pt idx="10">
                  <c:v>1.01010101010101E-2</c:v>
                </c:pt>
                <c:pt idx="11">
                  <c:v>1.111111111111111E-2</c:v>
                </c:pt>
                <c:pt idx="12">
                  <c:v>1.2121212121212119E-2</c:v>
                </c:pt>
                <c:pt idx="13">
                  <c:v>1.3131313131313129E-2</c:v>
                </c:pt>
                <c:pt idx="14">
                  <c:v>1.4141414141414141E-2</c:v>
                </c:pt>
                <c:pt idx="15">
                  <c:v>1.515151515151515E-2</c:v>
                </c:pt>
                <c:pt idx="16">
                  <c:v>1.6161616161616162E-2</c:v>
                </c:pt>
                <c:pt idx="17">
                  <c:v>1.7171717171717171E-2</c:v>
                </c:pt>
                <c:pt idx="18">
                  <c:v>1.8181818181818181E-2</c:v>
                </c:pt>
                <c:pt idx="19">
                  <c:v>1.9191919191919191E-2</c:v>
                </c:pt>
                <c:pt idx="20">
                  <c:v>2.02020202020202E-2</c:v>
                </c:pt>
                <c:pt idx="21">
                  <c:v>2.121212121212121E-2</c:v>
                </c:pt>
                <c:pt idx="22">
                  <c:v>2.222222222222222E-2</c:v>
                </c:pt>
                <c:pt idx="23">
                  <c:v>2.3232323232323229E-2</c:v>
                </c:pt>
                <c:pt idx="24">
                  <c:v>2.4242424242424239E-2</c:v>
                </c:pt>
                <c:pt idx="25">
                  <c:v>2.5252525252525249E-2</c:v>
                </c:pt>
                <c:pt idx="26">
                  <c:v>2.6262626262626258E-2</c:v>
                </c:pt>
                <c:pt idx="27">
                  <c:v>2.7272727272727271E-2</c:v>
                </c:pt>
                <c:pt idx="28">
                  <c:v>2.8282828282828281E-2</c:v>
                </c:pt>
                <c:pt idx="29">
                  <c:v>2.9292929292929291E-2</c:v>
                </c:pt>
                <c:pt idx="30">
                  <c:v>3.03030303030303E-2</c:v>
                </c:pt>
                <c:pt idx="31">
                  <c:v>3.1313131313131307E-2</c:v>
                </c:pt>
                <c:pt idx="32">
                  <c:v>3.2323232323232323E-2</c:v>
                </c:pt>
                <c:pt idx="33">
                  <c:v>3.3333333333333333E-2</c:v>
                </c:pt>
                <c:pt idx="34">
                  <c:v>3.4343434343434343E-2</c:v>
                </c:pt>
                <c:pt idx="35">
                  <c:v>3.5353535353535352E-2</c:v>
                </c:pt>
                <c:pt idx="36">
                  <c:v>3.6363636363636362E-2</c:v>
                </c:pt>
                <c:pt idx="37">
                  <c:v>3.7373737373737372E-2</c:v>
                </c:pt>
                <c:pt idx="38">
                  <c:v>3.8383838383838381E-2</c:v>
                </c:pt>
                <c:pt idx="39">
                  <c:v>3.9393939393939391E-2</c:v>
                </c:pt>
                <c:pt idx="40">
                  <c:v>4.0404040404040401E-2</c:v>
                </c:pt>
                <c:pt idx="41">
                  <c:v>4.1414141414141417E-2</c:v>
                </c:pt>
                <c:pt idx="42">
                  <c:v>4.2424242424242427E-2</c:v>
                </c:pt>
                <c:pt idx="43">
                  <c:v>4.3434343434343443E-2</c:v>
                </c:pt>
                <c:pt idx="44">
                  <c:v>4.4444444444444453E-2</c:v>
                </c:pt>
                <c:pt idx="45">
                  <c:v>4.5454545454545463E-2</c:v>
                </c:pt>
                <c:pt idx="46">
                  <c:v>4.6464646464646472E-2</c:v>
                </c:pt>
                <c:pt idx="47">
                  <c:v>4.7474747474747482E-2</c:v>
                </c:pt>
                <c:pt idx="48">
                  <c:v>4.8484848484848478E-2</c:v>
                </c:pt>
                <c:pt idx="49">
                  <c:v>4.9494949494949488E-2</c:v>
                </c:pt>
                <c:pt idx="50">
                  <c:v>5.0505050505050497E-2</c:v>
                </c:pt>
                <c:pt idx="51">
                  <c:v>5.1515151515151507E-2</c:v>
                </c:pt>
                <c:pt idx="52">
                  <c:v>5.2525252525252517E-2</c:v>
                </c:pt>
                <c:pt idx="53">
                  <c:v>5.3535353535353533E-2</c:v>
                </c:pt>
                <c:pt idx="54">
                  <c:v>5.4545454545454543E-2</c:v>
                </c:pt>
                <c:pt idx="55">
                  <c:v>5.5555555555555552E-2</c:v>
                </c:pt>
                <c:pt idx="56">
                  <c:v>5.6565656565656569E-2</c:v>
                </c:pt>
                <c:pt idx="57">
                  <c:v>5.7575757575757579E-2</c:v>
                </c:pt>
                <c:pt idx="58">
                  <c:v>5.8585858585858588E-2</c:v>
                </c:pt>
                <c:pt idx="59">
                  <c:v>5.9595959595959598E-2</c:v>
                </c:pt>
                <c:pt idx="60">
                  <c:v>6.0606060606060608E-2</c:v>
                </c:pt>
                <c:pt idx="61">
                  <c:v>6.1616161616161617E-2</c:v>
                </c:pt>
                <c:pt idx="62">
                  <c:v>6.2626262626262627E-2</c:v>
                </c:pt>
                <c:pt idx="63">
                  <c:v>6.363636363636363E-2</c:v>
                </c:pt>
                <c:pt idx="64">
                  <c:v>6.4646464646464646E-2</c:v>
                </c:pt>
                <c:pt idx="65">
                  <c:v>6.5656565656565663E-2</c:v>
                </c:pt>
                <c:pt idx="66">
                  <c:v>6.6666666666666666E-2</c:v>
                </c:pt>
                <c:pt idx="67">
                  <c:v>6.7676767676767682E-2</c:v>
                </c:pt>
                <c:pt idx="68">
                  <c:v>6.8686868686868685E-2</c:v>
                </c:pt>
                <c:pt idx="69">
                  <c:v>6.9696969696969702E-2</c:v>
                </c:pt>
                <c:pt idx="70">
                  <c:v>7.0707070707070704E-2</c:v>
                </c:pt>
                <c:pt idx="71">
                  <c:v>7.1717171717171721E-2</c:v>
                </c:pt>
                <c:pt idx="72">
                  <c:v>7.2727272727272724E-2</c:v>
                </c:pt>
                <c:pt idx="73">
                  <c:v>7.373737373737374E-2</c:v>
                </c:pt>
                <c:pt idx="74">
                  <c:v>7.4747474747474743E-2</c:v>
                </c:pt>
                <c:pt idx="75">
                  <c:v>7.575757575757576E-2</c:v>
                </c:pt>
                <c:pt idx="76">
                  <c:v>7.6767676767676762E-2</c:v>
                </c:pt>
                <c:pt idx="77">
                  <c:v>7.7777777777777779E-2</c:v>
                </c:pt>
                <c:pt idx="78">
                  <c:v>7.8787878787878782E-2</c:v>
                </c:pt>
                <c:pt idx="79">
                  <c:v>7.9797979797979798E-2</c:v>
                </c:pt>
                <c:pt idx="80">
                  <c:v>8.0808080808080801E-2</c:v>
                </c:pt>
                <c:pt idx="81">
                  <c:v>8.1818181818181818E-2</c:v>
                </c:pt>
                <c:pt idx="82">
                  <c:v>8.2828282828282834E-2</c:v>
                </c:pt>
                <c:pt idx="83">
                  <c:v>8.3838383838383837E-2</c:v>
                </c:pt>
                <c:pt idx="84">
                  <c:v>8.4848484848484854E-2</c:v>
                </c:pt>
                <c:pt idx="85">
                  <c:v>8.5858585858585856E-2</c:v>
                </c:pt>
                <c:pt idx="86">
                  <c:v>8.6868686868686873E-2</c:v>
                </c:pt>
                <c:pt idx="87">
                  <c:v>8.7878787878787876E-2</c:v>
                </c:pt>
                <c:pt idx="88">
                  <c:v>8.8888888888888892E-2</c:v>
                </c:pt>
                <c:pt idx="89">
                  <c:v>8.9898989898989895E-2</c:v>
                </c:pt>
                <c:pt idx="90">
                  <c:v>9.0909090909090912E-2</c:v>
                </c:pt>
                <c:pt idx="91">
                  <c:v>9.1919191919191914E-2</c:v>
                </c:pt>
                <c:pt idx="92">
                  <c:v>9.2929292929292931E-2</c:v>
                </c:pt>
                <c:pt idx="93">
                  <c:v>9.3939393939393934E-2</c:v>
                </c:pt>
                <c:pt idx="94">
                  <c:v>9.494949494949495E-2</c:v>
                </c:pt>
                <c:pt idx="95">
                  <c:v>9.5959595959595953E-2</c:v>
                </c:pt>
                <c:pt idx="96">
                  <c:v>9.696969696969697E-2</c:v>
                </c:pt>
                <c:pt idx="97">
                  <c:v>9.7979797979797986E-2</c:v>
                </c:pt>
                <c:pt idx="98">
                  <c:v>9.8989898989898989E-2</c:v>
                </c:pt>
                <c:pt idx="99">
                  <c:v>0.1</c:v>
                </c:pt>
              </c:numCache>
            </c:numRef>
          </c:xVal>
          <c:yVal>
            <c:numRef>
              <c:f>Inflation!$C$2:$C$101</c:f>
              <c:numCache>
                <c:formatCode>General</c:formatCode>
                <c:ptCount val="100"/>
                <c:pt idx="0">
                  <c:v>24342.383923228281</c:v>
                </c:pt>
                <c:pt idx="1">
                  <c:v>24303.224287695681</c:v>
                </c:pt>
                <c:pt idx="2">
                  <c:v>24278.913429587799</c:v>
                </c:pt>
                <c:pt idx="3">
                  <c:v>24253.389156544079</c:v>
                </c:pt>
                <c:pt idx="4">
                  <c:v>24252.39987261737</c:v>
                </c:pt>
                <c:pt idx="5">
                  <c:v>24224.399350280812</c:v>
                </c:pt>
                <c:pt idx="6">
                  <c:v>24195.135542109329</c:v>
                </c:pt>
                <c:pt idx="7">
                  <c:v>24177.55743303381</c:v>
                </c:pt>
                <c:pt idx="8">
                  <c:v>24130.33915340095</c:v>
                </c:pt>
                <c:pt idx="9">
                  <c:v>24097.182070022129</c:v>
                </c:pt>
                <c:pt idx="10">
                  <c:v>24076.61267122229</c:v>
                </c:pt>
                <c:pt idx="11">
                  <c:v>24066.905006698449</c:v>
                </c:pt>
                <c:pt idx="12">
                  <c:v>24029.69452094899</c:v>
                </c:pt>
                <c:pt idx="13">
                  <c:v>23991.096176029689</c:v>
                </c:pt>
                <c:pt idx="14">
                  <c:v>23951.091190875031</c:v>
                </c:pt>
                <c:pt idx="15">
                  <c:v>23935.595276040589</c:v>
                </c:pt>
                <c:pt idx="16">
                  <c:v>23905.144639105521</c:v>
                </c:pt>
                <c:pt idx="17">
                  <c:v>23860.80446796156</c:v>
                </c:pt>
                <c:pt idx="18">
                  <c:v>23814.979936126751</c:v>
                </c:pt>
                <c:pt idx="19">
                  <c:v>23767.6509469792</c:v>
                </c:pt>
                <c:pt idx="20">
                  <c:v>23732.521442654521</c:v>
                </c:pt>
                <c:pt idx="21">
                  <c:v>23665.846520694649</c:v>
                </c:pt>
                <c:pt idx="22">
                  <c:v>23653.569593646189</c:v>
                </c:pt>
                <c:pt idx="23">
                  <c:v>23600.016279076441</c:v>
                </c:pt>
                <c:pt idx="24">
                  <c:v>23558.193646623709</c:v>
                </c:pt>
                <c:pt idx="25">
                  <c:v>23513.825296580329</c:v>
                </c:pt>
                <c:pt idx="26">
                  <c:v>23452.3424416302</c:v>
                </c:pt>
                <c:pt idx="27">
                  <c:v>23392.220687457851</c:v>
                </c:pt>
                <c:pt idx="28">
                  <c:v>23330.400839685521</c:v>
                </c:pt>
                <c:pt idx="29">
                  <c:v>23280.01150042783</c:v>
                </c:pt>
                <c:pt idx="30">
                  <c:v>23240.859630935691</c:v>
                </c:pt>
                <c:pt idx="31">
                  <c:v>23173.806223634179</c:v>
                </c:pt>
                <c:pt idx="32">
                  <c:v>23117.385814901689</c:v>
                </c:pt>
                <c:pt idx="33">
                  <c:v>23059.69019084566</c:v>
                </c:pt>
                <c:pt idx="34">
                  <c:v>22987.18761292025</c:v>
                </c:pt>
                <c:pt idx="35">
                  <c:v>22925.602345712861</c:v>
                </c:pt>
                <c:pt idx="36">
                  <c:v>22863.664784052671</c:v>
                </c:pt>
                <c:pt idx="37">
                  <c:v>22827.483814995128</c:v>
                </c:pt>
                <c:pt idx="38">
                  <c:v>22759.967656347832</c:v>
                </c:pt>
                <c:pt idx="39">
                  <c:v>22687.982970950019</c:v>
                </c:pt>
                <c:pt idx="40">
                  <c:v>22617.050891110212</c:v>
                </c:pt>
                <c:pt idx="41">
                  <c:v>22543.910527596268</c:v>
                </c:pt>
                <c:pt idx="42">
                  <c:v>22468.537093042371</c:v>
                </c:pt>
                <c:pt idx="43">
                  <c:v>22378.30259383687</c:v>
                </c:pt>
                <c:pt idx="44">
                  <c:v>22324.520510661019</c:v>
                </c:pt>
                <c:pt idx="45">
                  <c:v>22230.045331150839</c:v>
                </c:pt>
                <c:pt idx="46">
                  <c:v>22133.406628410939</c:v>
                </c:pt>
                <c:pt idx="47">
                  <c:v>22047.9148970645</c:v>
                </c:pt>
                <c:pt idx="48">
                  <c:v>21974.13234067642</c:v>
                </c:pt>
                <c:pt idx="49">
                  <c:v>21921.60263841513</c:v>
                </c:pt>
                <c:pt idx="50">
                  <c:v>21816.012781009711</c:v>
                </c:pt>
                <c:pt idx="51">
                  <c:v>21708.108851468289</c:v>
                </c:pt>
                <c:pt idx="52">
                  <c:v>21597.859510554779</c:v>
                </c:pt>
                <c:pt idx="53">
                  <c:v>21495.106679415541</c:v>
                </c:pt>
                <c:pt idx="54">
                  <c:v>21403.780988253271</c:v>
                </c:pt>
                <c:pt idx="55">
                  <c:v>21312.799882517411</c:v>
                </c:pt>
                <c:pt idx="56">
                  <c:v>21219.338380311201</c:v>
                </c:pt>
                <c:pt idx="57">
                  <c:v>21109.301913518091</c:v>
                </c:pt>
                <c:pt idx="58">
                  <c:v>20998.82483422905</c:v>
                </c:pt>
                <c:pt idx="59">
                  <c:v>20896.629864061069</c:v>
                </c:pt>
                <c:pt idx="60">
                  <c:v>20766.43714657543</c:v>
                </c:pt>
                <c:pt idx="61">
                  <c:v>20658.988340488679</c:v>
                </c:pt>
                <c:pt idx="62">
                  <c:v>20536.617100392628</c:v>
                </c:pt>
                <c:pt idx="63">
                  <c:v>20425.29973308415</c:v>
                </c:pt>
                <c:pt idx="64">
                  <c:v>20337.67948960061</c:v>
                </c:pt>
                <c:pt idx="65">
                  <c:v>20206.312946694001</c:v>
                </c:pt>
                <c:pt idx="66">
                  <c:v>20086.776239635441</c:v>
                </c:pt>
                <c:pt idx="67">
                  <c:v>19963.807638834431</c:v>
                </c:pt>
                <c:pt idx="68">
                  <c:v>19849.767053977081</c:v>
                </c:pt>
                <c:pt idx="69">
                  <c:v>19694.419168422221</c:v>
                </c:pt>
                <c:pt idx="70">
                  <c:v>19548.686678210928</c:v>
                </c:pt>
                <c:pt idx="71">
                  <c:v>19426.05446964908</c:v>
                </c:pt>
                <c:pt idx="72">
                  <c:v>19287.936515057841</c:v>
                </c:pt>
                <c:pt idx="73">
                  <c:v>19147.27046232051</c:v>
                </c:pt>
                <c:pt idx="74">
                  <c:v>18985.784439091109</c:v>
                </c:pt>
                <c:pt idx="75">
                  <c:v>18824.861523797979</c:v>
                </c:pt>
                <c:pt idx="76">
                  <c:v>18672.942728802071</c:v>
                </c:pt>
                <c:pt idx="77">
                  <c:v>18502.430688025401</c:v>
                </c:pt>
                <c:pt idx="78">
                  <c:v>18345.768363603231</c:v>
                </c:pt>
                <c:pt idx="79">
                  <c:v>18210.367709866699</c:v>
                </c:pt>
                <c:pt idx="80">
                  <c:v>18046.568436264479</c:v>
                </c:pt>
                <c:pt idx="81">
                  <c:v>17879.33087494244</c:v>
                </c:pt>
                <c:pt idx="82">
                  <c:v>17721.50399754024</c:v>
                </c:pt>
                <c:pt idx="83">
                  <c:v>17559.35439500535</c:v>
                </c:pt>
                <c:pt idx="84">
                  <c:v>17396.59690237404</c:v>
                </c:pt>
                <c:pt idx="85">
                  <c:v>17212.881287230921</c:v>
                </c:pt>
                <c:pt idx="86">
                  <c:v>17039.044740085232</c:v>
                </c:pt>
                <c:pt idx="87">
                  <c:v>16862.375768768619</c:v>
                </c:pt>
                <c:pt idx="88">
                  <c:v>16669.15528041152</c:v>
                </c:pt>
                <c:pt idx="89">
                  <c:v>16472.242267212521</c:v>
                </c:pt>
                <c:pt idx="90">
                  <c:v>16282.909446522781</c:v>
                </c:pt>
                <c:pt idx="91">
                  <c:v>16091.089352263571</c:v>
                </c:pt>
                <c:pt idx="92">
                  <c:v>15908.27914528845</c:v>
                </c:pt>
                <c:pt idx="93">
                  <c:v>15681.881277975421</c:v>
                </c:pt>
                <c:pt idx="94">
                  <c:v>15476.2073119669</c:v>
                </c:pt>
                <c:pt idx="95">
                  <c:v>15241.6975570923</c:v>
                </c:pt>
                <c:pt idx="96">
                  <c:v>15096.81519999486</c:v>
                </c:pt>
                <c:pt idx="97">
                  <c:v>14853.23433376697</c:v>
                </c:pt>
                <c:pt idx="98">
                  <c:v>14618.279927449599</c:v>
                </c:pt>
                <c:pt idx="99">
                  <c:v>14404.120093318619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CD9D-4DF4-8540-AFCC10151B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948224"/>
        <c:axId val="1311944896"/>
      </c:scatterChart>
      <c:valAx>
        <c:axId val="1311948224"/>
        <c:scaling>
          <c:orientation val="minMax"/>
          <c:max val="0.1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800"/>
                  <a:t>Inflation in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.00%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4896"/>
        <c:crosses val="autoZero"/>
        <c:crossBetween val="midCat"/>
        <c:minorUnit val="1.0000000000000002E-2"/>
      </c:valAx>
      <c:valAx>
        <c:axId val="1311944896"/>
        <c:scaling>
          <c:orientation val="minMax"/>
          <c:max val="2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600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8224"/>
        <c:crosses val="autoZero"/>
        <c:crossBetween val="midCat"/>
        <c:majorUnit val="1000"/>
        <c:minorUnit val="250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egendEntry>
        <c:idx val="6"/>
        <c:delete val="1"/>
      </c:legendEntry>
      <c:layout>
        <c:manualLayout>
          <c:xMode val="edge"/>
          <c:yMode val="edge"/>
          <c:x val="0.82078710861532123"/>
          <c:y val="6.3863944729395494E-2"/>
          <c:w val="0.15878690101508847"/>
          <c:h val="5.05212894287540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2400"/>
              <a:t>Variation des</a:t>
            </a:r>
            <a:r>
              <a:rPr lang="de-DE" sz="2400" baseline="0"/>
              <a:t> Solzinssatzes des KfW Kredites</a:t>
            </a:r>
            <a:endParaRPr lang="de-DE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3250834947472466E-2"/>
          <c:y val="5.7475266429607853E-2"/>
          <c:w val="0.8778690028182794"/>
          <c:h val="0.86570580351271875"/>
        </c:manualLayout>
      </c:layout>
      <c:scatterChart>
        <c:scatterStyle val="lineMarker"/>
        <c:varyColors val="0"/>
        <c:ser>
          <c:idx val="1"/>
          <c:order val="0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1393521030929831E-2"/>
                  <c:y val="3.1670494827699116E-3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Sollzins_KfW!$D$102:$D$200</c:f>
              <c:numCache>
                <c:formatCode>General</c:formatCode>
                <c:ptCount val="99"/>
                <c:pt idx="0">
                  <c:v>4.65E-2</c:v>
                </c:pt>
                <c:pt idx="1">
                  <c:v>4.7184848484848482E-2</c:v>
                </c:pt>
                <c:pt idx="2">
                  <c:v>4.7869696969696972E-2</c:v>
                </c:pt>
                <c:pt idx="3">
                  <c:v>4.8554545454545447E-2</c:v>
                </c:pt>
                <c:pt idx="4">
                  <c:v>4.9239393939393937E-2</c:v>
                </c:pt>
                <c:pt idx="5">
                  <c:v>4.9924242424242433E-2</c:v>
                </c:pt>
                <c:pt idx="6">
                  <c:v>5.0609090909090909E-2</c:v>
                </c:pt>
                <c:pt idx="7">
                  <c:v>5.1293939393939392E-2</c:v>
                </c:pt>
                <c:pt idx="8">
                  <c:v>5.1978787878787881E-2</c:v>
                </c:pt>
                <c:pt idx="9">
                  <c:v>5.2663636363636357E-2</c:v>
                </c:pt>
                <c:pt idx="10">
                  <c:v>5.3348484848484853E-2</c:v>
                </c:pt>
                <c:pt idx="11">
                  <c:v>5.4033333333333343E-2</c:v>
                </c:pt>
                <c:pt idx="12">
                  <c:v>5.4718181818181819E-2</c:v>
                </c:pt>
                <c:pt idx="13">
                  <c:v>5.5403030303030301E-2</c:v>
                </c:pt>
                <c:pt idx="14">
                  <c:v>5.6087878787878777E-2</c:v>
                </c:pt>
                <c:pt idx="15">
                  <c:v>5.6772727272727273E-2</c:v>
                </c:pt>
                <c:pt idx="16">
                  <c:v>5.7457575757575763E-2</c:v>
                </c:pt>
                <c:pt idx="17">
                  <c:v>5.8142424242424252E-2</c:v>
                </c:pt>
                <c:pt idx="18">
                  <c:v>5.8827272727272728E-2</c:v>
                </c:pt>
                <c:pt idx="19">
                  <c:v>5.9512121212121211E-2</c:v>
                </c:pt>
                <c:pt idx="20">
                  <c:v>6.0196969696969693E-2</c:v>
                </c:pt>
                <c:pt idx="21">
                  <c:v>6.0881818181818183E-2</c:v>
                </c:pt>
                <c:pt idx="22">
                  <c:v>6.1566666666666672E-2</c:v>
                </c:pt>
                <c:pt idx="23">
                  <c:v>6.2251515151515148E-2</c:v>
                </c:pt>
                <c:pt idx="24">
                  <c:v>6.2936363636363638E-2</c:v>
                </c:pt>
                <c:pt idx="25">
                  <c:v>6.362121212121212E-2</c:v>
                </c:pt>
                <c:pt idx="26">
                  <c:v>6.4306060606060603E-2</c:v>
                </c:pt>
                <c:pt idx="27">
                  <c:v>6.4990909090909099E-2</c:v>
                </c:pt>
                <c:pt idx="28">
                  <c:v>6.5675757575757582E-2</c:v>
                </c:pt>
                <c:pt idx="29">
                  <c:v>6.6360606060606064E-2</c:v>
                </c:pt>
                <c:pt idx="30">
                  <c:v>6.7045454545454547E-2</c:v>
                </c:pt>
                <c:pt idx="31">
                  <c:v>6.773030303030303E-2</c:v>
                </c:pt>
                <c:pt idx="32">
                  <c:v>6.8415151515151512E-2</c:v>
                </c:pt>
                <c:pt idx="33">
                  <c:v>6.9099999999999995E-2</c:v>
                </c:pt>
                <c:pt idx="34">
                  <c:v>6.9784848484848477E-2</c:v>
                </c:pt>
                <c:pt idx="35">
                  <c:v>7.0469696969696974E-2</c:v>
                </c:pt>
                <c:pt idx="36">
                  <c:v>7.1154545454545456E-2</c:v>
                </c:pt>
                <c:pt idx="37">
                  <c:v>7.1839393939393939E-2</c:v>
                </c:pt>
                <c:pt idx="38">
                  <c:v>7.2524242424242422E-2</c:v>
                </c:pt>
                <c:pt idx="39">
                  <c:v>7.3209090909090918E-2</c:v>
                </c:pt>
                <c:pt idx="40">
                  <c:v>7.3893939393939401E-2</c:v>
                </c:pt>
                <c:pt idx="41">
                  <c:v>7.4578787878787883E-2</c:v>
                </c:pt>
                <c:pt idx="42">
                  <c:v>7.5263636363636366E-2</c:v>
                </c:pt>
                <c:pt idx="43">
                  <c:v>7.5948484848484848E-2</c:v>
                </c:pt>
                <c:pt idx="44">
                  <c:v>7.6633333333333331E-2</c:v>
                </c:pt>
                <c:pt idx="45">
                  <c:v>7.7318181818181814E-2</c:v>
                </c:pt>
                <c:pt idx="46">
                  <c:v>7.8003030303030296E-2</c:v>
                </c:pt>
                <c:pt idx="47">
                  <c:v>7.8687878787878779E-2</c:v>
                </c:pt>
                <c:pt idx="48">
                  <c:v>7.9372727272727275E-2</c:v>
                </c:pt>
                <c:pt idx="49">
                  <c:v>8.0057575757575758E-2</c:v>
                </c:pt>
                <c:pt idx="50">
                  <c:v>8.0742424242424241E-2</c:v>
                </c:pt>
                <c:pt idx="51">
                  <c:v>8.1427272727272737E-2</c:v>
                </c:pt>
                <c:pt idx="52">
                  <c:v>8.211212121212122E-2</c:v>
                </c:pt>
                <c:pt idx="53">
                  <c:v>8.2796969696969702E-2</c:v>
                </c:pt>
                <c:pt idx="54">
                  <c:v>8.3481818181818185E-2</c:v>
                </c:pt>
                <c:pt idx="55">
                  <c:v>8.4166666666666667E-2</c:v>
                </c:pt>
                <c:pt idx="56">
                  <c:v>8.485151515151515E-2</c:v>
                </c:pt>
                <c:pt idx="57">
                  <c:v>8.5536363636363633E-2</c:v>
                </c:pt>
                <c:pt idx="58">
                  <c:v>8.6221212121212115E-2</c:v>
                </c:pt>
                <c:pt idx="59">
                  <c:v>8.6906060606060598E-2</c:v>
                </c:pt>
                <c:pt idx="60">
                  <c:v>8.7590909090909094E-2</c:v>
                </c:pt>
                <c:pt idx="61">
                  <c:v>8.8275757575757577E-2</c:v>
                </c:pt>
                <c:pt idx="62">
                  <c:v>8.8960606060606059E-2</c:v>
                </c:pt>
                <c:pt idx="63">
                  <c:v>8.9645454545454556E-2</c:v>
                </c:pt>
                <c:pt idx="64">
                  <c:v>9.0330303030303039E-2</c:v>
                </c:pt>
                <c:pt idx="65">
                  <c:v>9.1015151515151521E-2</c:v>
                </c:pt>
                <c:pt idx="66">
                  <c:v>9.1700000000000004E-2</c:v>
                </c:pt>
                <c:pt idx="67">
                  <c:v>9.2384848484848486E-2</c:v>
                </c:pt>
                <c:pt idx="68">
                  <c:v>9.3069696969696969E-2</c:v>
                </c:pt>
                <c:pt idx="69">
                  <c:v>9.3754545454545452E-2</c:v>
                </c:pt>
                <c:pt idx="70">
                  <c:v>9.4439393939393934E-2</c:v>
                </c:pt>
                <c:pt idx="71">
                  <c:v>9.5124242424242417E-2</c:v>
                </c:pt>
                <c:pt idx="72">
                  <c:v>9.5809090909090913E-2</c:v>
                </c:pt>
                <c:pt idx="73">
                  <c:v>9.6493939393939396E-2</c:v>
                </c:pt>
                <c:pt idx="74">
                  <c:v>9.7178787878787878E-2</c:v>
                </c:pt>
                <c:pt idx="75">
                  <c:v>9.7863636363636375E-2</c:v>
                </c:pt>
                <c:pt idx="76">
                  <c:v>9.8548484848484857E-2</c:v>
                </c:pt>
                <c:pt idx="77">
                  <c:v>9.923333333333334E-2</c:v>
                </c:pt>
                <c:pt idx="78">
                  <c:v>9.9918181818181823E-2</c:v>
                </c:pt>
                <c:pt idx="79">
                  <c:v>0.10060303030303031</c:v>
                </c:pt>
                <c:pt idx="80">
                  <c:v>0.1012878787878788</c:v>
                </c:pt>
                <c:pt idx="81">
                  <c:v>0.1019727272727273</c:v>
                </c:pt>
                <c:pt idx="82">
                  <c:v>0.10265757575757579</c:v>
                </c:pt>
                <c:pt idx="83">
                  <c:v>0.10334242424242419</c:v>
                </c:pt>
                <c:pt idx="84">
                  <c:v>0.1040272727272727</c:v>
                </c:pt>
                <c:pt idx="85">
                  <c:v>0.1047121212121212</c:v>
                </c:pt>
                <c:pt idx="86">
                  <c:v>0.1053969696969697</c:v>
                </c:pt>
                <c:pt idx="87">
                  <c:v>0.10608181818181819</c:v>
                </c:pt>
                <c:pt idx="88">
                  <c:v>0.1067666666666667</c:v>
                </c:pt>
                <c:pt idx="89">
                  <c:v>0.1074515151515152</c:v>
                </c:pt>
                <c:pt idx="90">
                  <c:v>0.1081363636363636</c:v>
                </c:pt>
                <c:pt idx="91">
                  <c:v>0.1088212121212121</c:v>
                </c:pt>
                <c:pt idx="92">
                  <c:v>0.10950606060606061</c:v>
                </c:pt>
                <c:pt idx="93">
                  <c:v>0.1101909090909091</c:v>
                </c:pt>
                <c:pt idx="94">
                  <c:v>0.1108757575757576</c:v>
                </c:pt>
                <c:pt idx="95">
                  <c:v>0.1115606060606061</c:v>
                </c:pt>
                <c:pt idx="96">
                  <c:v>0.11224545454545461</c:v>
                </c:pt>
                <c:pt idx="97">
                  <c:v>0.11293030303030301</c:v>
                </c:pt>
                <c:pt idx="98">
                  <c:v>0.1136151515151515</c:v>
                </c:pt>
              </c:numCache>
            </c:numRef>
          </c:xVal>
          <c:yVal>
            <c:numRef>
              <c:f>Sollzins_KfW!$C$102:$C$200</c:f>
              <c:numCache>
                <c:formatCode>General</c:formatCode>
                <c:ptCount val="99"/>
                <c:pt idx="0">
                  <c:v>25174.90285761992</c:v>
                </c:pt>
                <c:pt idx="1">
                  <c:v>25050.565841666561</c:v>
                </c:pt>
                <c:pt idx="2">
                  <c:v>24910.594843845371</c:v>
                </c:pt>
                <c:pt idx="3">
                  <c:v>24769.56937822999</c:v>
                </c:pt>
                <c:pt idx="4">
                  <c:v>24640.904252454289</c:v>
                </c:pt>
                <c:pt idx="5">
                  <c:v>24485.55682874014</c:v>
                </c:pt>
                <c:pt idx="6">
                  <c:v>24376.797508014311</c:v>
                </c:pt>
                <c:pt idx="7">
                  <c:v>24235.370788283421</c:v>
                </c:pt>
                <c:pt idx="8">
                  <c:v>24080.023364569272</c:v>
                </c:pt>
                <c:pt idx="9">
                  <c:v>23939.20284259379</c:v>
                </c:pt>
                <c:pt idx="10">
                  <c:v>23814.834556284732</c:v>
                </c:pt>
                <c:pt idx="11">
                  <c:v>23689.487074762968</c:v>
                </c:pt>
                <c:pt idx="12">
                  <c:v>23548.259556825891</c:v>
                </c:pt>
                <c:pt idx="13">
                  <c:v>23423.02333707552</c:v>
                </c:pt>
                <c:pt idx="14">
                  <c:v>23280.641978462689</c:v>
                </c:pt>
                <c:pt idx="15">
                  <c:v>23138.634357197501</c:v>
                </c:pt>
                <c:pt idx="16">
                  <c:v>23041.854164152861</c:v>
                </c:pt>
                <c:pt idx="17">
                  <c:v>22901.452369500039</c:v>
                </c:pt>
                <c:pt idx="18">
                  <c:v>22746.104945785901</c:v>
                </c:pt>
                <c:pt idx="19">
                  <c:v>22590.757522071741</c:v>
                </c:pt>
                <c:pt idx="20">
                  <c:v>22451.22973848589</c:v>
                </c:pt>
                <c:pt idx="21">
                  <c:v>22355.37503516423</c:v>
                </c:pt>
                <c:pt idx="22">
                  <c:v>22213.948315433328</c:v>
                </c:pt>
                <c:pt idx="23">
                  <c:v>22073.977317612131</c:v>
                </c:pt>
                <c:pt idx="24">
                  <c:v>21918.629893897982</c:v>
                </c:pt>
                <c:pt idx="25">
                  <c:v>21791.168854506061</c:v>
                </c:pt>
                <c:pt idx="26">
                  <c:v>21681.58381049598</c:v>
                </c:pt>
                <c:pt idx="27">
                  <c:v>21552.743840825889</c:v>
                </c:pt>
                <c:pt idx="28">
                  <c:v>21412.342046173071</c:v>
                </c:pt>
                <c:pt idx="29">
                  <c:v>21287.136220685989</c:v>
                </c:pt>
                <c:pt idx="30">
                  <c:v>21131.788796971839</c:v>
                </c:pt>
                <c:pt idx="31">
                  <c:v>21007.876500224451</c:v>
                </c:pt>
                <c:pt idx="32">
                  <c:v>20852.529076510309</c:v>
                </c:pt>
                <c:pt idx="33">
                  <c:v>20739.509980427771</c:v>
                </c:pt>
                <c:pt idx="34">
                  <c:v>20597.50235916259</c:v>
                </c:pt>
                <c:pt idx="35">
                  <c:v>20457.751394151801</c:v>
                </c:pt>
                <c:pt idx="36">
                  <c:v>20333.184763732101</c:v>
                </c:pt>
                <c:pt idx="37">
                  <c:v>20191.75804400121</c:v>
                </c:pt>
                <c:pt idx="38">
                  <c:v>20062.907377075429</c:v>
                </c:pt>
                <c:pt idx="39">
                  <c:v>19938.325222550899</c:v>
                </c:pt>
                <c:pt idx="40">
                  <c:v>19797.097704613829</c:v>
                </c:pt>
                <c:pt idx="41">
                  <c:v>19658.025910589651</c:v>
                </c:pt>
                <c:pt idx="42">
                  <c:v>19532.159942251059</c:v>
                </c:pt>
                <c:pt idx="43">
                  <c:v>19405.913256932279</c:v>
                </c:pt>
                <c:pt idx="44">
                  <c:v>19250.56583321813</c:v>
                </c:pt>
                <c:pt idx="45">
                  <c:v>19110.814868207359</c:v>
                </c:pt>
                <c:pt idx="46">
                  <c:v>18999.191967706902</c:v>
                </c:pt>
                <c:pt idx="47">
                  <c:v>18843.84454399276</c:v>
                </c:pt>
                <c:pt idx="48">
                  <c:v>18715.834696993181</c:v>
                </c:pt>
                <c:pt idx="49">
                  <c:v>18576.306913407341</c:v>
                </c:pt>
                <c:pt idx="50">
                  <c:v>18420.959489693189</c:v>
                </c:pt>
                <c:pt idx="51">
                  <c:v>18310.754028713589</c:v>
                </c:pt>
                <c:pt idx="52">
                  <c:v>18170.566102276229</c:v>
                </c:pt>
                <c:pt idx="53">
                  <c:v>18043.934906903982</c:v>
                </c:pt>
                <c:pt idx="54">
                  <c:v>17915.490530508549</c:v>
                </c:pt>
                <c:pt idx="55">
                  <c:v>17790.061523596542</c:v>
                </c:pt>
                <c:pt idx="56">
                  <c:v>17664.290806793069</c:v>
                </c:pt>
                <c:pt idx="57">
                  <c:v>17508.94338307892</c:v>
                </c:pt>
                <c:pt idx="58">
                  <c:v>17368.122861103438</c:v>
                </c:pt>
                <c:pt idx="59">
                  <c:v>17242.319390020009</c:v>
                </c:pt>
                <c:pt idx="60">
                  <c:v>17101.70674437669</c:v>
                </c:pt>
                <c:pt idx="61">
                  <c:v>16975.601015453831</c:v>
                </c:pt>
                <c:pt idx="62">
                  <c:v>16835.199220801009</c:v>
                </c:pt>
                <c:pt idx="63">
                  <c:v>16695.011294363649</c:v>
                </c:pt>
                <c:pt idx="64">
                  <c:v>16555.04029654244</c:v>
                </c:pt>
                <c:pt idx="65">
                  <c:v>16415.289331531661</c:v>
                </c:pt>
                <c:pt idx="66">
                  <c:v>16289.90862702439</c:v>
                </c:pt>
                <c:pt idx="67">
                  <c:v>16148.68110908732</c:v>
                </c:pt>
                <c:pt idx="68">
                  <c:v>16022.304931752869</c:v>
                </c:pt>
                <c:pt idx="69">
                  <c:v>15881.27946613749</c:v>
                </c:pt>
                <c:pt idx="70">
                  <c:v>15725.932042423339</c:v>
                </c:pt>
                <c:pt idx="71">
                  <c:v>15613.812150137839</c:v>
                </c:pt>
                <c:pt idx="72">
                  <c:v>15486.53930694347</c:v>
                </c:pt>
                <c:pt idx="73">
                  <c:v>15359.66820397771</c:v>
                </c:pt>
                <c:pt idx="74">
                  <c:v>15234.85670343329</c:v>
                </c:pt>
                <c:pt idx="75">
                  <c:v>15108.830050924929</c:v>
                </c:pt>
                <c:pt idx="76">
                  <c:v>14969.528642434399</c:v>
                </c:pt>
                <c:pt idx="77">
                  <c:v>14814.18121872025</c:v>
                </c:pt>
                <c:pt idx="78">
                  <c:v>14674.653435134411</c:v>
                </c:pt>
                <c:pt idx="79">
                  <c:v>14531.908810064</c:v>
                </c:pt>
                <c:pt idx="80">
                  <c:v>14376.56138634986</c:v>
                </c:pt>
                <c:pt idx="81">
                  <c:v>14262.03771393768</c:v>
                </c:pt>
                <c:pt idx="82">
                  <c:v>14137.28787801227</c:v>
                </c:pt>
                <c:pt idx="83">
                  <c:v>14011.202134107631</c:v>
                </c:pt>
                <c:pt idx="84">
                  <c:v>13916.932721327899</c:v>
                </c:pt>
                <c:pt idx="85">
                  <c:v>13774.55136271507</c:v>
                </c:pt>
                <c:pt idx="86">
                  <c:v>13635.24995422455</c:v>
                </c:pt>
                <c:pt idx="87">
                  <c:v>13479.902530510401</c:v>
                </c:pt>
                <c:pt idx="88">
                  <c:v>13340.37474692455</c:v>
                </c:pt>
                <c:pt idx="89">
                  <c:v>13198.178929461799</c:v>
                </c:pt>
                <c:pt idx="90">
                  <c:v>13042.83150574765</c:v>
                </c:pt>
                <c:pt idx="91">
                  <c:v>12928.078888671929</c:v>
                </c:pt>
                <c:pt idx="92">
                  <c:v>12789.007094647761</c:v>
                </c:pt>
                <c:pt idx="93">
                  <c:v>12633.65967093361</c:v>
                </c:pt>
                <c:pt idx="94">
                  <c:v>12509.28513181577</c:v>
                </c:pt>
                <c:pt idx="95">
                  <c:v>12427.626472348011</c:v>
                </c:pt>
                <c:pt idx="96">
                  <c:v>12316.365673617811</c:v>
                </c:pt>
                <c:pt idx="97">
                  <c:v>12161.01824990366</c:v>
                </c:pt>
                <c:pt idx="98">
                  <c:v>12021.490466317809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4EBB-4ACC-9E73-8568B0F27AD8}"/>
            </c:ext>
          </c:extLst>
        </c:ser>
        <c:ser>
          <c:idx val="2"/>
          <c:order val="1"/>
          <c:tx>
            <c:v>Szenario II (2)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solidFill>
                  <a:schemeClr val="accent3"/>
                </a:solidFill>
                <a:prstDash val="sysDot"/>
              </a:ln>
              <a:effectLst/>
            </c:spPr>
            <c:trendlineType val="poly"/>
            <c:order val="2"/>
            <c:dispRSqr val="0"/>
            <c:dispEq val="1"/>
            <c:trendlineLbl>
              <c:layout>
                <c:manualLayout>
                  <c:x val="-4.3256799701637198E-2"/>
                  <c:y val="-1.0917801038149759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Sollzins_KfW!$D$2:$D$101</c:f>
              <c:numCache>
                <c:formatCode>General</c:formatCode>
                <c:ptCount val="100"/>
                <c:pt idx="0">
                  <c:v>4.65E-2</c:v>
                </c:pt>
                <c:pt idx="1">
                  <c:v>4.7184848484848482E-2</c:v>
                </c:pt>
                <c:pt idx="2">
                  <c:v>4.7869696969696972E-2</c:v>
                </c:pt>
                <c:pt idx="3">
                  <c:v>4.8554545454545447E-2</c:v>
                </c:pt>
                <c:pt idx="4">
                  <c:v>4.9239393939393937E-2</c:v>
                </c:pt>
                <c:pt idx="5">
                  <c:v>4.9924242424242433E-2</c:v>
                </c:pt>
                <c:pt idx="6">
                  <c:v>5.0609090909090909E-2</c:v>
                </c:pt>
                <c:pt idx="7">
                  <c:v>5.1293939393939392E-2</c:v>
                </c:pt>
                <c:pt idx="8">
                  <c:v>5.1978787878787881E-2</c:v>
                </c:pt>
                <c:pt idx="9">
                  <c:v>5.2663636363636357E-2</c:v>
                </c:pt>
                <c:pt idx="10">
                  <c:v>5.3348484848484853E-2</c:v>
                </c:pt>
                <c:pt idx="11">
                  <c:v>5.4033333333333343E-2</c:v>
                </c:pt>
                <c:pt idx="12">
                  <c:v>5.4718181818181819E-2</c:v>
                </c:pt>
                <c:pt idx="13">
                  <c:v>5.5403030303030301E-2</c:v>
                </c:pt>
                <c:pt idx="14">
                  <c:v>5.6087878787878777E-2</c:v>
                </c:pt>
                <c:pt idx="15">
                  <c:v>5.6772727272727273E-2</c:v>
                </c:pt>
                <c:pt idx="16">
                  <c:v>5.7457575757575763E-2</c:v>
                </c:pt>
                <c:pt idx="17">
                  <c:v>5.8142424242424252E-2</c:v>
                </c:pt>
                <c:pt idx="18">
                  <c:v>5.8827272727272728E-2</c:v>
                </c:pt>
                <c:pt idx="19">
                  <c:v>5.9512121212121211E-2</c:v>
                </c:pt>
                <c:pt idx="20">
                  <c:v>6.0196969696969693E-2</c:v>
                </c:pt>
                <c:pt idx="21">
                  <c:v>6.0881818181818183E-2</c:v>
                </c:pt>
                <c:pt idx="22">
                  <c:v>6.1566666666666672E-2</c:v>
                </c:pt>
                <c:pt idx="23">
                  <c:v>6.2251515151515148E-2</c:v>
                </c:pt>
                <c:pt idx="24">
                  <c:v>6.2936363636363638E-2</c:v>
                </c:pt>
                <c:pt idx="25">
                  <c:v>6.362121212121212E-2</c:v>
                </c:pt>
                <c:pt idx="26">
                  <c:v>6.4306060606060603E-2</c:v>
                </c:pt>
                <c:pt idx="27">
                  <c:v>6.4990909090909099E-2</c:v>
                </c:pt>
                <c:pt idx="28">
                  <c:v>6.5675757575757582E-2</c:v>
                </c:pt>
                <c:pt idx="29">
                  <c:v>6.6360606060606064E-2</c:v>
                </c:pt>
                <c:pt idx="30">
                  <c:v>6.7045454545454547E-2</c:v>
                </c:pt>
                <c:pt idx="31">
                  <c:v>6.773030303030303E-2</c:v>
                </c:pt>
                <c:pt idx="32">
                  <c:v>6.8415151515151512E-2</c:v>
                </c:pt>
                <c:pt idx="33">
                  <c:v>6.9099999999999995E-2</c:v>
                </c:pt>
                <c:pt idx="34">
                  <c:v>6.9784848484848477E-2</c:v>
                </c:pt>
                <c:pt idx="35">
                  <c:v>7.0469696969696974E-2</c:v>
                </c:pt>
                <c:pt idx="36">
                  <c:v>7.1154545454545456E-2</c:v>
                </c:pt>
                <c:pt idx="37">
                  <c:v>7.1839393939393939E-2</c:v>
                </c:pt>
                <c:pt idx="38">
                  <c:v>7.2524242424242422E-2</c:v>
                </c:pt>
                <c:pt idx="39">
                  <c:v>7.3209090909090918E-2</c:v>
                </c:pt>
                <c:pt idx="40">
                  <c:v>7.3893939393939401E-2</c:v>
                </c:pt>
                <c:pt idx="41">
                  <c:v>7.4578787878787883E-2</c:v>
                </c:pt>
                <c:pt idx="42">
                  <c:v>7.5263636363636366E-2</c:v>
                </c:pt>
                <c:pt idx="43">
                  <c:v>7.5948484848484848E-2</c:v>
                </c:pt>
                <c:pt idx="44">
                  <c:v>7.6633333333333331E-2</c:v>
                </c:pt>
                <c:pt idx="45">
                  <c:v>7.7318181818181814E-2</c:v>
                </c:pt>
                <c:pt idx="46">
                  <c:v>7.8003030303030296E-2</c:v>
                </c:pt>
                <c:pt idx="47">
                  <c:v>7.8687878787878779E-2</c:v>
                </c:pt>
                <c:pt idx="48">
                  <c:v>7.9372727272727275E-2</c:v>
                </c:pt>
                <c:pt idx="49">
                  <c:v>8.0057575757575758E-2</c:v>
                </c:pt>
                <c:pt idx="50">
                  <c:v>8.0742424242424241E-2</c:v>
                </c:pt>
                <c:pt idx="51">
                  <c:v>8.1427272727272737E-2</c:v>
                </c:pt>
                <c:pt idx="52">
                  <c:v>8.211212121212122E-2</c:v>
                </c:pt>
                <c:pt idx="53">
                  <c:v>8.2796969696969702E-2</c:v>
                </c:pt>
                <c:pt idx="54">
                  <c:v>8.3481818181818185E-2</c:v>
                </c:pt>
                <c:pt idx="55">
                  <c:v>8.4166666666666667E-2</c:v>
                </c:pt>
                <c:pt idx="56">
                  <c:v>8.485151515151515E-2</c:v>
                </c:pt>
                <c:pt idx="57">
                  <c:v>8.5536363636363633E-2</c:v>
                </c:pt>
                <c:pt idx="58">
                  <c:v>8.6221212121212115E-2</c:v>
                </c:pt>
                <c:pt idx="59">
                  <c:v>8.6906060606060598E-2</c:v>
                </c:pt>
                <c:pt idx="60">
                  <c:v>8.7590909090909094E-2</c:v>
                </c:pt>
                <c:pt idx="61">
                  <c:v>8.8275757575757577E-2</c:v>
                </c:pt>
                <c:pt idx="62">
                  <c:v>8.8960606060606059E-2</c:v>
                </c:pt>
                <c:pt idx="63">
                  <c:v>8.9645454545454556E-2</c:v>
                </c:pt>
                <c:pt idx="64">
                  <c:v>9.0330303030303039E-2</c:v>
                </c:pt>
                <c:pt idx="65">
                  <c:v>9.1015151515151521E-2</c:v>
                </c:pt>
                <c:pt idx="66">
                  <c:v>9.1700000000000004E-2</c:v>
                </c:pt>
                <c:pt idx="67">
                  <c:v>9.2384848484848486E-2</c:v>
                </c:pt>
                <c:pt idx="68">
                  <c:v>9.3069696969696969E-2</c:v>
                </c:pt>
                <c:pt idx="69">
                  <c:v>9.3754545454545452E-2</c:v>
                </c:pt>
                <c:pt idx="70">
                  <c:v>9.4439393939393934E-2</c:v>
                </c:pt>
                <c:pt idx="71">
                  <c:v>9.5124242424242417E-2</c:v>
                </c:pt>
                <c:pt idx="72">
                  <c:v>9.5809090909090913E-2</c:v>
                </c:pt>
                <c:pt idx="73">
                  <c:v>9.6493939393939396E-2</c:v>
                </c:pt>
                <c:pt idx="74">
                  <c:v>9.7178787878787878E-2</c:v>
                </c:pt>
                <c:pt idx="75">
                  <c:v>9.7863636363636375E-2</c:v>
                </c:pt>
                <c:pt idx="76">
                  <c:v>9.8548484848484857E-2</c:v>
                </c:pt>
                <c:pt idx="77">
                  <c:v>9.923333333333334E-2</c:v>
                </c:pt>
                <c:pt idx="78">
                  <c:v>9.9918181818181823E-2</c:v>
                </c:pt>
                <c:pt idx="79">
                  <c:v>0.10060303030303031</c:v>
                </c:pt>
                <c:pt idx="80">
                  <c:v>0.1012878787878788</c:v>
                </c:pt>
                <c:pt idx="81">
                  <c:v>0.1019727272727273</c:v>
                </c:pt>
                <c:pt idx="82">
                  <c:v>0.10265757575757579</c:v>
                </c:pt>
                <c:pt idx="83">
                  <c:v>0.10334242424242419</c:v>
                </c:pt>
                <c:pt idx="84">
                  <c:v>0.1040272727272727</c:v>
                </c:pt>
                <c:pt idx="85">
                  <c:v>0.1047121212121212</c:v>
                </c:pt>
                <c:pt idx="86">
                  <c:v>0.1053969696969697</c:v>
                </c:pt>
                <c:pt idx="87">
                  <c:v>0.10608181818181819</c:v>
                </c:pt>
                <c:pt idx="88">
                  <c:v>0.1067666666666667</c:v>
                </c:pt>
                <c:pt idx="89">
                  <c:v>0.1074515151515152</c:v>
                </c:pt>
                <c:pt idx="90">
                  <c:v>0.1081363636363636</c:v>
                </c:pt>
                <c:pt idx="91">
                  <c:v>0.1088212121212121</c:v>
                </c:pt>
                <c:pt idx="92">
                  <c:v>0.10950606060606061</c:v>
                </c:pt>
                <c:pt idx="93">
                  <c:v>0.1101909090909091</c:v>
                </c:pt>
                <c:pt idx="94">
                  <c:v>0.1108757575757576</c:v>
                </c:pt>
                <c:pt idx="95">
                  <c:v>0.1115606060606061</c:v>
                </c:pt>
                <c:pt idx="96">
                  <c:v>0.11224545454545461</c:v>
                </c:pt>
                <c:pt idx="97">
                  <c:v>0.11293030303030301</c:v>
                </c:pt>
                <c:pt idx="98">
                  <c:v>0.1136151515151515</c:v>
                </c:pt>
                <c:pt idx="99">
                  <c:v>0.1143</c:v>
                </c:pt>
              </c:numCache>
            </c:numRef>
          </c:xVal>
          <c:yVal>
            <c:numRef>
              <c:f>Sollzins_KfW!$C$2:$C$101</c:f>
              <c:numCache>
                <c:formatCode>General</c:formatCode>
                <c:ptCount val="100"/>
                <c:pt idx="0">
                  <c:v>12226.653546413319</c:v>
                </c:pt>
                <c:pt idx="1">
                  <c:v>12031.611211412041</c:v>
                </c:pt>
                <c:pt idx="2">
                  <c:v>11868.633751965721</c:v>
                </c:pt>
                <c:pt idx="3">
                  <c:v>11673.19016284893</c:v>
                </c:pt>
                <c:pt idx="4">
                  <c:v>11463.825869748871</c:v>
                </c:pt>
                <c:pt idx="5">
                  <c:v>11301.049679637141</c:v>
                </c:pt>
                <c:pt idx="6">
                  <c:v>11119.529604816589</c:v>
                </c:pt>
                <c:pt idx="7">
                  <c:v>10923.131376817861</c:v>
                </c:pt>
                <c:pt idx="8">
                  <c:v>10771.875921505311</c:v>
                </c:pt>
                <c:pt idx="9">
                  <c:v>10592.12706054419</c:v>
                </c:pt>
                <c:pt idx="10">
                  <c:v>10398.13919333708</c:v>
                </c:pt>
                <c:pt idx="11">
                  <c:v>10217.83163640662</c:v>
                </c:pt>
                <c:pt idx="12">
                  <c:v>10024.06380200994</c:v>
                </c:pt>
                <c:pt idx="13">
                  <c:v>9844.2762158205642</c:v>
                </c:pt>
                <c:pt idx="14">
                  <c:v>9663.7782557650935</c:v>
                </c:pt>
                <c:pt idx="15">
                  <c:v>9470.2336027933361</c:v>
                </c:pt>
                <c:pt idx="16">
                  <c:v>9289.1804132214766</c:v>
                </c:pt>
                <c:pt idx="17">
                  <c:v>9137.5216988687826</c:v>
                </c:pt>
                <c:pt idx="18">
                  <c:v>8957.2581441640996</c:v>
                </c:pt>
                <c:pt idx="19">
                  <c:v>8778.2250878382438</c:v>
                </c:pt>
                <c:pt idx="20">
                  <c:v>8597.3318099618136</c:v>
                </c:pt>
                <c:pt idx="21">
                  <c:v>8402.2894749605312</c:v>
                </c:pt>
                <c:pt idx="22">
                  <c:v>8223.6904510501063</c:v>
                </c:pt>
                <c:pt idx="23">
                  <c:v>8027.6659603990101</c:v>
                </c:pt>
                <c:pt idx="24">
                  <c:v>7849.7367942657183</c:v>
                </c:pt>
                <c:pt idx="25">
                  <c:v>7682.6356961431802</c:v>
                </c:pt>
                <c:pt idx="26">
                  <c:v>7501.3289964688556</c:v>
                </c:pt>
                <c:pt idx="27">
                  <c:v>7321.6810678492429</c:v>
                </c:pt>
                <c:pt idx="28">
                  <c:v>7143.0975680436441</c:v>
                </c:pt>
                <c:pt idx="29">
                  <c:v>6949.5529150718876</c:v>
                </c:pt>
                <c:pt idx="30">
                  <c:v>6768.8585635355876</c:v>
                </c:pt>
                <c:pt idx="31">
                  <c:v>6573.8162285343087</c:v>
                </c:pt>
                <c:pt idx="32">
                  <c:v>6421.6414672961664</c:v>
                </c:pt>
                <c:pt idx="33">
                  <c:v>6227.6536000890592</c:v>
                </c:pt>
                <c:pt idx="34">
                  <c:v>6033.8857656923756</c:v>
                </c:pt>
                <c:pt idx="35">
                  <c:v>5855.0943895546161</c:v>
                </c:pt>
                <c:pt idx="36">
                  <c:v>5659.6508004378193</c:v>
                </c:pt>
                <c:pt idx="37">
                  <c:v>5506.9638695274934</c:v>
                </c:pt>
                <c:pt idx="38">
                  <c:v>5326.6651112658456</c:v>
                </c:pt>
                <c:pt idx="39">
                  <c:v>5147.1071395428125</c:v>
                </c:pt>
                <c:pt idx="40">
                  <c:v>4982.6007277112631</c:v>
                </c:pt>
                <c:pt idx="41">
                  <c:v>4802.5572058170001</c:v>
                </c:pt>
                <c:pt idx="42">
                  <c:v>4608.0390365003377</c:v>
                </c:pt>
                <c:pt idx="43">
                  <c:v>4327.8475639645621</c:v>
                </c:pt>
                <c:pt idx="44">
                  <c:v>4102.4917459534863</c:v>
                </c:pt>
                <c:pt idx="45">
                  <c:v>3856.044393471816</c:v>
                </c:pt>
                <c:pt idx="46">
                  <c:v>3575.852920936034</c:v>
                </c:pt>
                <c:pt idx="47">
                  <c:v>3384.691968851107</c:v>
                </c:pt>
                <c:pt idx="48">
                  <c:v>3202.2364647372401</c:v>
                </c:pt>
                <c:pt idx="49">
                  <c:v>2948.5524462455269</c:v>
                </c:pt>
                <c:pt idx="50">
                  <c:v>2692.7595268066402</c:v>
                </c:pt>
                <c:pt idx="51">
                  <c:v>2426.7600047414189</c:v>
                </c:pt>
                <c:pt idx="52">
                  <c:v>2136.545542975744</c:v>
                </c:pt>
                <c:pt idx="53">
                  <c:v>1833.179474958665</c:v>
                </c:pt>
                <c:pt idx="54">
                  <c:v>1625.815726768692</c:v>
                </c:pt>
                <c:pt idx="55">
                  <c:v>1435.6619249194159</c:v>
                </c:pt>
                <c:pt idx="56">
                  <c:v>1191.4367338216809</c:v>
                </c:pt>
                <c:pt idx="57">
                  <c:v>924.202540831222</c:v>
                </c:pt>
                <c:pt idx="58">
                  <c:v>656.80101161262019</c:v>
                </c:pt>
                <c:pt idx="59">
                  <c:v>351.9564147013898</c:v>
                </c:pt>
                <c:pt idx="60">
                  <c:v>82.423132015514966</c:v>
                </c:pt>
                <c:pt idx="61">
                  <c:v>-176.09616203841961</c:v>
                </c:pt>
                <c:pt idx="62">
                  <c:v>-421.27065421821322</c:v>
                </c:pt>
                <c:pt idx="63">
                  <c:v>-576.76148099743523</c:v>
                </c:pt>
                <c:pt idx="64">
                  <c:v>-863.5197246623693</c:v>
                </c:pt>
                <c:pt idx="65">
                  <c:v>-1150.131907518653</c:v>
                </c:pt>
                <c:pt idx="66">
                  <c:v>-1424.280167017027</c:v>
                </c:pt>
                <c:pt idx="67">
                  <c:v>-1723.1266838073011</c:v>
                </c:pt>
                <c:pt idx="68">
                  <c:v>-1988.7125966217329</c:v>
                </c:pt>
                <c:pt idx="69">
                  <c:v>-2225.782388103054</c:v>
                </c:pt>
                <c:pt idx="70">
                  <c:v>-2530.2181422081098</c:v>
                </c:pt>
                <c:pt idx="71">
                  <c:v>-2800.6787217356659</c:v>
                </c:pt>
                <c:pt idx="72">
                  <c:v>-3012.7358419271031</c:v>
                </c:pt>
                <c:pt idx="73">
                  <c:v>-3314.467977318297</c:v>
                </c:pt>
                <c:pt idx="74">
                  <c:v>-3626.3512816682919</c:v>
                </c:pt>
                <c:pt idx="75">
                  <c:v>-3895.7291159481142</c:v>
                </c:pt>
                <c:pt idx="76">
                  <c:v>-4231.8070897990001</c:v>
                </c:pt>
                <c:pt idx="77">
                  <c:v>-4560.9420072925041</c:v>
                </c:pt>
                <c:pt idx="78">
                  <c:v>-4825.2528326158344</c:v>
                </c:pt>
                <c:pt idx="79">
                  <c:v>-5061.5362252368705</c:v>
                </c:pt>
                <c:pt idx="80">
                  <c:v>-5350.2268270436361</c:v>
                </c:pt>
                <c:pt idx="81">
                  <c:v>-5636.7020905562686</c:v>
                </c:pt>
                <c:pt idx="82">
                  <c:v>-5956.6393156785598</c:v>
                </c:pt>
                <c:pt idx="83">
                  <c:v>-6331.9516406434404</c:v>
                </c:pt>
                <c:pt idx="84">
                  <c:v>-6674.6581648695992</c:v>
                </c:pt>
                <c:pt idx="85">
                  <c:v>-6942.9657803634236</c:v>
                </c:pt>
                <c:pt idx="86">
                  <c:v>-7212.8251323059849</c:v>
                </c:pt>
                <c:pt idx="87">
                  <c:v>-7424.1302039493676</c:v>
                </c:pt>
                <c:pt idx="88">
                  <c:v>-7757.3561976462179</c:v>
                </c:pt>
                <c:pt idx="89">
                  <c:v>-8136.3088402570474</c:v>
                </c:pt>
                <c:pt idx="90">
                  <c:v>-8502.4783413262321</c:v>
                </c:pt>
                <c:pt idx="91">
                  <c:v>-8783.3573500292405</c:v>
                </c:pt>
                <c:pt idx="92">
                  <c:v>-9070.8860703647497</c:v>
                </c:pt>
                <c:pt idx="93">
                  <c:v>-9333.2792178917207</c:v>
                </c:pt>
                <c:pt idx="94">
                  <c:v>-9634.0627812183848</c:v>
                </c:pt>
                <c:pt idx="95">
                  <c:v>-9970.8739810745828</c:v>
                </c:pt>
                <c:pt idx="96">
                  <c:v>-10348.13494062374</c:v>
                </c:pt>
                <c:pt idx="97">
                  <c:v>-10658.004540084719</c:v>
                </c:pt>
                <c:pt idx="98">
                  <c:v>-11005.173686743819</c:v>
                </c:pt>
                <c:pt idx="99">
                  <c:v>-11270.26503451572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D-4EBB-4ACC-9E73-8568B0F27A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948224"/>
        <c:axId val="1311944896"/>
      </c:scatterChart>
      <c:valAx>
        <c:axId val="1311948224"/>
        <c:scaling>
          <c:orientation val="minMax"/>
          <c:min val="3.0000000000000006E-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800"/>
                  <a:t>Sollzins</a:t>
                </a:r>
                <a:r>
                  <a:rPr lang="de-DE" sz="1800" baseline="0"/>
                  <a:t> </a:t>
                </a:r>
                <a:r>
                  <a:rPr lang="de-DE" sz="1800"/>
                  <a:t>in %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.00%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4896"/>
        <c:crosses val="autoZero"/>
        <c:crossBetween val="midCat"/>
        <c:majorUnit val="5.000000000000001E-3"/>
      </c:valAx>
      <c:valAx>
        <c:axId val="1311944896"/>
        <c:scaling>
          <c:orientation val="minMax"/>
          <c:max val="26000"/>
          <c:min val="-12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600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8224"/>
        <c:crosses val="autoZero"/>
        <c:crossBetween val="midCat"/>
        <c:majorUnit val="2000"/>
        <c:minorUnit val="500"/>
      </c:valAx>
      <c:spPr>
        <a:noFill/>
        <a:ln>
          <a:noFill/>
        </a:ln>
        <a:effectLst/>
      </c:spPr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egendEntry>
        <c:idx val="5"/>
        <c:delete val="1"/>
      </c:legendEntry>
      <c:layout>
        <c:manualLayout>
          <c:xMode val="edge"/>
          <c:yMode val="edge"/>
          <c:x val="0.83969535430954845"/>
          <c:y val="6.119398890245005E-2"/>
          <c:w val="0.15878690101508847"/>
          <c:h val="5.0521289428754008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2400"/>
              <a:t>Variation des</a:t>
            </a:r>
            <a:r>
              <a:rPr lang="de-DE" sz="2400" baseline="0"/>
              <a:t> Batteriepreises nach 10 Jahren</a:t>
            </a:r>
            <a:endParaRPr lang="de-DE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892865031550122E-2"/>
          <c:y val="5.8907473838166254E-2"/>
          <c:w val="0.8778690028182794"/>
          <c:h val="0.86570580351271875"/>
        </c:manualLayout>
      </c:layout>
      <c:scatterChart>
        <c:scatterStyle val="lineMarker"/>
        <c:varyColors val="0"/>
        <c:ser>
          <c:idx val="1"/>
          <c:order val="0"/>
          <c:tx>
            <c:v>Szenario II (2)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Batteriepreissenkung!$D$2:$D$101</c:f>
              <c:numCache>
                <c:formatCode>General</c:formatCode>
                <c:ptCount val="100"/>
                <c:pt idx="0">
                  <c:v>0.5</c:v>
                </c:pt>
                <c:pt idx="1">
                  <c:v>0.49898989898989898</c:v>
                </c:pt>
                <c:pt idx="2">
                  <c:v>0.49797979797979802</c:v>
                </c:pt>
                <c:pt idx="3">
                  <c:v>0.49696969696969701</c:v>
                </c:pt>
                <c:pt idx="4">
                  <c:v>0.49595959595959588</c:v>
                </c:pt>
                <c:pt idx="5">
                  <c:v>0.49494949494949492</c:v>
                </c:pt>
                <c:pt idx="6">
                  <c:v>0.49393939393939401</c:v>
                </c:pt>
                <c:pt idx="7">
                  <c:v>0.49292929292929288</c:v>
                </c:pt>
                <c:pt idx="8">
                  <c:v>0.49191919191919192</c:v>
                </c:pt>
                <c:pt idx="9">
                  <c:v>0.49090909090909091</c:v>
                </c:pt>
                <c:pt idx="10">
                  <c:v>0.48989898989898989</c:v>
                </c:pt>
                <c:pt idx="11">
                  <c:v>0.48888888888888887</c:v>
                </c:pt>
                <c:pt idx="12">
                  <c:v>0.48787878787878791</c:v>
                </c:pt>
                <c:pt idx="13">
                  <c:v>0.4868686868686869</c:v>
                </c:pt>
                <c:pt idx="14">
                  <c:v>0.48585858585858588</c:v>
                </c:pt>
                <c:pt idx="15">
                  <c:v>0.48484848484848492</c:v>
                </c:pt>
                <c:pt idx="16">
                  <c:v>0.48383838383838379</c:v>
                </c:pt>
                <c:pt idx="17">
                  <c:v>0.48282828282828277</c:v>
                </c:pt>
                <c:pt idx="18">
                  <c:v>0.48181818181818181</c:v>
                </c:pt>
                <c:pt idx="19">
                  <c:v>0.4808080808080808</c:v>
                </c:pt>
                <c:pt idx="20">
                  <c:v>0.47979797979797978</c:v>
                </c:pt>
                <c:pt idx="21">
                  <c:v>0.47878787878787882</c:v>
                </c:pt>
                <c:pt idx="22">
                  <c:v>0.4777777777777778</c:v>
                </c:pt>
                <c:pt idx="23">
                  <c:v>0.47676767676767678</c:v>
                </c:pt>
                <c:pt idx="24">
                  <c:v>0.47575757575757582</c:v>
                </c:pt>
                <c:pt idx="25">
                  <c:v>0.47474747474747481</c:v>
                </c:pt>
                <c:pt idx="26">
                  <c:v>0.47373737373737368</c:v>
                </c:pt>
                <c:pt idx="27">
                  <c:v>0.47272727272727272</c:v>
                </c:pt>
                <c:pt idx="28">
                  <c:v>0.47171717171717181</c:v>
                </c:pt>
                <c:pt idx="29">
                  <c:v>0.47070707070707068</c:v>
                </c:pt>
                <c:pt idx="30">
                  <c:v>0.46969696969696972</c:v>
                </c:pt>
                <c:pt idx="31">
                  <c:v>0.46868686868686871</c:v>
                </c:pt>
                <c:pt idx="32">
                  <c:v>0.46767676767676769</c:v>
                </c:pt>
                <c:pt idx="33">
                  <c:v>0.46666666666666667</c:v>
                </c:pt>
                <c:pt idx="34">
                  <c:v>0.46565656565656571</c:v>
                </c:pt>
                <c:pt idx="35">
                  <c:v>0.46464646464646459</c:v>
                </c:pt>
                <c:pt idx="36">
                  <c:v>0.46363636363636362</c:v>
                </c:pt>
                <c:pt idx="37">
                  <c:v>0.46262626262626261</c:v>
                </c:pt>
                <c:pt idx="38">
                  <c:v>0.46161616161616159</c:v>
                </c:pt>
                <c:pt idx="39">
                  <c:v>0.46060606060606057</c:v>
                </c:pt>
                <c:pt idx="40">
                  <c:v>0.45959595959595961</c:v>
                </c:pt>
                <c:pt idx="41">
                  <c:v>0.4585858585858586</c:v>
                </c:pt>
                <c:pt idx="42">
                  <c:v>0.45757575757575758</c:v>
                </c:pt>
                <c:pt idx="43">
                  <c:v>0.45656565656565662</c:v>
                </c:pt>
                <c:pt idx="44">
                  <c:v>0.45555555555555549</c:v>
                </c:pt>
                <c:pt idx="45">
                  <c:v>0.45454545454545459</c:v>
                </c:pt>
                <c:pt idx="46">
                  <c:v>0.45353535353535362</c:v>
                </c:pt>
                <c:pt idx="47">
                  <c:v>0.45252525252525261</c:v>
                </c:pt>
                <c:pt idx="48">
                  <c:v>0.45151515151515148</c:v>
                </c:pt>
                <c:pt idx="49">
                  <c:v>0.45050505050505052</c:v>
                </c:pt>
                <c:pt idx="50">
                  <c:v>0.4494949494949495</c:v>
                </c:pt>
                <c:pt idx="51">
                  <c:v>0.44848484848484849</c:v>
                </c:pt>
                <c:pt idx="52">
                  <c:v>0.44747474747474753</c:v>
                </c:pt>
                <c:pt idx="53">
                  <c:v>0.44646464646464651</c:v>
                </c:pt>
                <c:pt idx="54">
                  <c:v>0.44545454545454538</c:v>
                </c:pt>
                <c:pt idx="55">
                  <c:v>0.44444444444444448</c:v>
                </c:pt>
                <c:pt idx="56">
                  <c:v>0.44343434343434351</c:v>
                </c:pt>
                <c:pt idx="57">
                  <c:v>0.44242424242424239</c:v>
                </c:pt>
                <c:pt idx="58">
                  <c:v>0.44141414141414143</c:v>
                </c:pt>
                <c:pt idx="59">
                  <c:v>0.44040404040404041</c:v>
                </c:pt>
                <c:pt idx="60">
                  <c:v>0.43939393939393939</c:v>
                </c:pt>
                <c:pt idx="61">
                  <c:v>0.43838383838383838</c:v>
                </c:pt>
                <c:pt idx="62">
                  <c:v>0.43737373737373741</c:v>
                </c:pt>
                <c:pt idx="63">
                  <c:v>0.4363636363636364</c:v>
                </c:pt>
                <c:pt idx="64">
                  <c:v>0.43535353535353538</c:v>
                </c:pt>
                <c:pt idx="65">
                  <c:v>0.43434343434343442</c:v>
                </c:pt>
                <c:pt idx="66">
                  <c:v>0.43333333333333329</c:v>
                </c:pt>
                <c:pt idx="67">
                  <c:v>0.43232323232323228</c:v>
                </c:pt>
                <c:pt idx="68">
                  <c:v>0.43131313131313131</c:v>
                </c:pt>
                <c:pt idx="69">
                  <c:v>0.4303030303030303</c:v>
                </c:pt>
                <c:pt idx="70">
                  <c:v>0.42929292929292928</c:v>
                </c:pt>
                <c:pt idx="71">
                  <c:v>0.42828282828282832</c:v>
                </c:pt>
                <c:pt idx="72">
                  <c:v>0.4272727272727273</c:v>
                </c:pt>
                <c:pt idx="73">
                  <c:v>0.42626262626262629</c:v>
                </c:pt>
                <c:pt idx="74">
                  <c:v>0.42525252525252533</c:v>
                </c:pt>
                <c:pt idx="75">
                  <c:v>0.42424242424242431</c:v>
                </c:pt>
                <c:pt idx="76">
                  <c:v>0.42323232323232318</c:v>
                </c:pt>
                <c:pt idx="77">
                  <c:v>0.42222222222222222</c:v>
                </c:pt>
                <c:pt idx="78">
                  <c:v>0.4212121212121212</c:v>
                </c:pt>
                <c:pt idx="79">
                  <c:v>0.42020202020202019</c:v>
                </c:pt>
                <c:pt idx="80">
                  <c:v>0.41919191919191923</c:v>
                </c:pt>
                <c:pt idx="81">
                  <c:v>0.41818181818181821</c:v>
                </c:pt>
                <c:pt idx="82">
                  <c:v>0.41717171717171719</c:v>
                </c:pt>
                <c:pt idx="83">
                  <c:v>0.41616161616161618</c:v>
                </c:pt>
                <c:pt idx="84">
                  <c:v>0.41515151515151522</c:v>
                </c:pt>
                <c:pt idx="85">
                  <c:v>0.41414141414141409</c:v>
                </c:pt>
                <c:pt idx="86">
                  <c:v>0.41313131313131313</c:v>
                </c:pt>
                <c:pt idx="87">
                  <c:v>0.41212121212121222</c:v>
                </c:pt>
                <c:pt idx="88">
                  <c:v>0.41111111111111109</c:v>
                </c:pt>
                <c:pt idx="89">
                  <c:v>0.41010101010101008</c:v>
                </c:pt>
                <c:pt idx="90">
                  <c:v>0.40909090909090912</c:v>
                </c:pt>
                <c:pt idx="91">
                  <c:v>0.4080808080808081</c:v>
                </c:pt>
                <c:pt idx="92">
                  <c:v>0.40707070707070708</c:v>
                </c:pt>
                <c:pt idx="93">
                  <c:v>0.40606060606060612</c:v>
                </c:pt>
                <c:pt idx="94">
                  <c:v>0.40505050505050499</c:v>
                </c:pt>
                <c:pt idx="95">
                  <c:v>0.40404040404040409</c:v>
                </c:pt>
                <c:pt idx="96">
                  <c:v>0.40303030303030313</c:v>
                </c:pt>
                <c:pt idx="97">
                  <c:v>0.40202020202020211</c:v>
                </c:pt>
                <c:pt idx="98">
                  <c:v>0.40101010101010098</c:v>
                </c:pt>
                <c:pt idx="99">
                  <c:v>0.4</c:v>
                </c:pt>
              </c:numCache>
            </c:numRef>
          </c:xVal>
          <c:yVal>
            <c:numRef>
              <c:f>Batteriepreissenkung!$C$2:$C$101</c:f>
              <c:numCache>
                <c:formatCode>General</c:formatCode>
                <c:ptCount val="100"/>
                <c:pt idx="0">
                  <c:v>10557.88399604589</c:v>
                </c:pt>
                <c:pt idx="1">
                  <c:v>10551.29797362424</c:v>
                </c:pt>
                <c:pt idx="2">
                  <c:v>10544.71195120258</c:v>
                </c:pt>
                <c:pt idx="3">
                  <c:v>10538.125928780921</c:v>
                </c:pt>
                <c:pt idx="4">
                  <c:v>10531.53990635927</c:v>
                </c:pt>
                <c:pt idx="5">
                  <c:v>10524.953883937609</c:v>
                </c:pt>
                <c:pt idx="6">
                  <c:v>10532.68981961473</c:v>
                </c:pt>
                <c:pt idx="7">
                  <c:v>10526.103797193069</c:v>
                </c:pt>
                <c:pt idx="8">
                  <c:v>10519.517774771421</c:v>
                </c:pt>
                <c:pt idx="9">
                  <c:v>10512.931752349759</c:v>
                </c:pt>
                <c:pt idx="10">
                  <c:v>10506.345729928111</c:v>
                </c:pt>
                <c:pt idx="11">
                  <c:v>10499.75970750645</c:v>
                </c:pt>
                <c:pt idx="12">
                  <c:v>10493.173685084799</c:v>
                </c:pt>
                <c:pt idx="13">
                  <c:v>10486.58766266314</c:v>
                </c:pt>
                <c:pt idx="14">
                  <c:v>10480.001640241489</c:v>
                </c:pt>
                <c:pt idx="15">
                  <c:v>10473.41561781983</c:v>
                </c:pt>
                <c:pt idx="16">
                  <c:v>10466.829595398171</c:v>
                </c:pt>
                <c:pt idx="17">
                  <c:v>10460.24357297652</c:v>
                </c:pt>
                <c:pt idx="18">
                  <c:v>10453.657550554861</c:v>
                </c:pt>
                <c:pt idx="19">
                  <c:v>10447.07152813321</c:v>
                </c:pt>
                <c:pt idx="20">
                  <c:v>10454.807463810321</c:v>
                </c:pt>
                <c:pt idx="21">
                  <c:v>10448.22144138867</c:v>
                </c:pt>
                <c:pt idx="22">
                  <c:v>10441.635418967009</c:v>
                </c:pt>
                <c:pt idx="23">
                  <c:v>10435.049396545361</c:v>
                </c:pt>
                <c:pt idx="24">
                  <c:v>10428.463374123699</c:v>
                </c:pt>
                <c:pt idx="25">
                  <c:v>10421.877351702051</c:v>
                </c:pt>
                <c:pt idx="26">
                  <c:v>10415.29132928039</c:v>
                </c:pt>
                <c:pt idx="27">
                  <c:v>10408.705306858739</c:v>
                </c:pt>
                <c:pt idx="28">
                  <c:v>10402.11928443708</c:v>
                </c:pt>
                <c:pt idx="29">
                  <c:v>10395.53326201543</c:v>
                </c:pt>
                <c:pt idx="30">
                  <c:v>10388.94723959377</c:v>
                </c:pt>
                <c:pt idx="31">
                  <c:v>10382.36121717212</c:v>
                </c:pt>
                <c:pt idx="32">
                  <c:v>10375.77519475046</c:v>
                </c:pt>
                <c:pt idx="33">
                  <c:v>10369.189172328801</c:v>
                </c:pt>
                <c:pt idx="34">
                  <c:v>10362.603149907151</c:v>
                </c:pt>
                <c:pt idx="35">
                  <c:v>10370.339085584261</c:v>
                </c:pt>
                <c:pt idx="36">
                  <c:v>10363.75306316261</c:v>
                </c:pt>
                <c:pt idx="37">
                  <c:v>10357.167040740949</c:v>
                </c:pt>
                <c:pt idx="38">
                  <c:v>10350.581018319301</c:v>
                </c:pt>
                <c:pt idx="39">
                  <c:v>10343.994995897639</c:v>
                </c:pt>
                <c:pt idx="40">
                  <c:v>10337.408973475989</c:v>
                </c:pt>
                <c:pt idx="41">
                  <c:v>10330.82295105433</c:v>
                </c:pt>
                <c:pt idx="42">
                  <c:v>10324.236928632679</c:v>
                </c:pt>
                <c:pt idx="43">
                  <c:v>10317.65090621102</c:v>
                </c:pt>
                <c:pt idx="44">
                  <c:v>10311.06488378936</c:v>
                </c:pt>
                <c:pt idx="45">
                  <c:v>10304.47886136771</c:v>
                </c:pt>
                <c:pt idx="46">
                  <c:v>10297.892838946051</c:v>
                </c:pt>
                <c:pt idx="47">
                  <c:v>10291.3068165244</c:v>
                </c:pt>
                <c:pt idx="48">
                  <c:v>10284.72079410275</c:v>
                </c:pt>
                <c:pt idx="49">
                  <c:v>10278.134771681091</c:v>
                </c:pt>
                <c:pt idx="50">
                  <c:v>10285.870707358201</c:v>
                </c:pt>
                <c:pt idx="51">
                  <c:v>10279.284684936551</c:v>
                </c:pt>
                <c:pt idx="52">
                  <c:v>10272.698662514889</c:v>
                </c:pt>
                <c:pt idx="53">
                  <c:v>10266.112640093241</c:v>
                </c:pt>
                <c:pt idx="54">
                  <c:v>10259.52661767158</c:v>
                </c:pt>
                <c:pt idx="55">
                  <c:v>10252.940595249929</c:v>
                </c:pt>
                <c:pt idx="56">
                  <c:v>10246.35457282827</c:v>
                </c:pt>
                <c:pt idx="57">
                  <c:v>10239.768550406619</c:v>
                </c:pt>
                <c:pt idx="58">
                  <c:v>10233.18252798496</c:v>
                </c:pt>
                <c:pt idx="59">
                  <c:v>10226.59650556331</c:v>
                </c:pt>
                <c:pt idx="60">
                  <c:v>10220.01048314165</c:v>
                </c:pt>
                <c:pt idx="61">
                  <c:v>10213.42446072</c:v>
                </c:pt>
                <c:pt idx="62">
                  <c:v>10206.83843829834</c:v>
                </c:pt>
                <c:pt idx="63">
                  <c:v>10200.252415876679</c:v>
                </c:pt>
                <c:pt idx="64">
                  <c:v>10193.666393455031</c:v>
                </c:pt>
                <c:pt idx="65">
                  <c:v>10201.402329132139</c:v>
                </c:pt>
                <c:pt idx="66">
                  <c:v>10194.816306710491</c:v>
                </c:pt>
                <c:pt idx="67">
                  <c:v>10188.230284288829</c:v>
                </c:pt>
                <c:pt idx="68">
                  <c:v>10181.644261867181</c:v>
                </c:pt>
                <c:pt idx="69">
                  <c:v>10175.05823944552</c:v>
                </c:pt>
                <c:pt idx="70">
                  <c:v>10168.472217023869</c:v>
                </c:pt>
                <c:pt idx="71">
                  <c:v>10161.886194602221</c:v>
                </c:pt>
                <c:pt idx="72">
                  <c:v>10155.300172180559</c:v>
                </c:pt>
                <c:pt idx="73">
                  <c:v>10148.714149758909</c:v>
                </c:pt>
                <c:pt idx="74">
                  <c:v>10142.12812733725</c:v>
                </c:pt>
                <c:pt idx="75">
                  <c:v>10135.54210491559</c:v>
                </c:pt>
                <c:pt idx="76">
                  <c:v>10128.95608249394</c:v>
                </c:pt>
                <c:pt idx="77">
                  <c:v>10122.37006007228</c:v>
                </c:pt>
                <c:pt idx="78">
                  <c:v>10115.784037650619</c:v>
                </c:pt>
                <c:pt idx="79">
                  <c:v>10123.51997332774</c:v>
                </c:pt>
                <c:pt idx="80">
                  <c:v>10116.933950906079</c:v>
                </c:pt>
                <c:pt idx="81">
                  <c:v>10110.347928484431</c:v>
                </c:pt>
                <c:pt idx="82">
                  <c:v>10103.761906062769</c:v>
                </c:pt>
                <c:pt idx="83">
                  <c:v>10097.175883641121</c:v>
                </c:pt>
                <c:pt idx="84">
                  <c:v>10090.58986121946</c:v>
                </c:pt>
                <c:pt idx="85">
                  <c:v>10084.003838797809</c:v>
                </c:pt>
                <c:pt idx="86">
                  <c:v>10077.41781637615</c:v>
                </c:pt>
                <c:pt idx="87">
                  <c:v>10070.8317939545</c:v>
                </c:pt>
                <c:pt idx="88">
                  <c:v>10064.24577153284</c:v>
                </c:pt>
                <c:pt idx="89">
                  <c:v>10057.65974911119</c:v>
                </c:pt>
                <c:pt idx="90">
                  <c:v>10051.07372668953</c:v>
                </c:pt>
                <c:pt idx="91">
                  <c:v>10044.48770426788</c:v>
                </c:pt>
                <c:pt idx="92">
                  <c:v>10037.901681846221</c:v>
                </c:pt>
                <c:pt idx="93">
                  <c:v>10031.31565942457</c:v>
                </c:pt>
                <c:pt idx="94">
                  <c:v>10039.051595101681</c:v>
                </c:pt>
                <c:pt idx="95">
                  <c:v>10032.465572680019</c:v>
                </c:pt>
                <c:pt idx="96">
                  <c:v>10025.879550258371</c:v>
                </c:pt>
                <c:pt idx="97">
                  <c:v>10019.29352783672</c:v>
                </c:pt>
                <c:pt idx="98">
                  <c:v>10012.707505415059</c:v>
                </c:pt>
                <c:pt idx="99">
                  <c:v>10006.1214829934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3160-4636-A23B-033186D5F8BE}"/>
            </c:ext>
          </c:extLst>
        </c:ser>
        <c:ser>
          <c:idx val="0"/>
          <c:order val="1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5611488339083528E-2"/>
                  <c:y val="-3.90302990461129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Laufende_Kosten!$C$2:$C$100</c:f>
              <c:numCache>
                <c:formatCode>General</c:formatCode>
                <c:ptCount val="99"/>
                <c:pt idx="0">
                  <c:v>27625.335914464809</c:v>
                </c:pt>
                <c:pt idx="1">
                  <c:v>27578.72773082865</c:v>
                </c:pt>
                <c:pt idx="2">
                  <c:v>27532.119547192469</c:v>
                </c:pt>
                <c:pt idx="3">
                  <c:v>27497.93636355631</c:v>
                </c:pt>
                <c:pt idx="4">
                  <c:v>27451.32817992015</c:v>
                </c:pt>
                <c:pt idx="5">
                  <c:v>27404.719996283991</c:v>
                </c:pt>
                <c:pt idx="6">
                  <c:v>27358.111812647821</c:v>
                </c:pt>
                <c:pt idx="7">
                  <c:v>27311.503629011659</c:v>
                </c:pt>
                <c:pt idx="8">
                  <c:v>27278.235247824461</c:v>
                </c:pt>
                <c:pt idx="9">
                  <c:v>27246.78656146508</c:v>
                </c:pt>
                <c:pt idx="10">
                  <c:v>27200.17837782891</c:v>
                </c:pt>
                <c:pt idx="11">
                  <c:v>27166.536259294069</c:v>
                </c:pt>
                <c:pt idx="12">
                  <c:v>27119.92807565791</c:v>
                </c:pt>
                <c:pt idx="13">
                  <c:v>27073.31989202174</c:v>
                </c:pt>
                <c:pt idx="14">
                  <c:v>27041.238610124259</c:v>
                </c:pt>
                <c:pt idx="15">
                  <c:v>26994.630426488078</c:v>
                </c:pt>
                <c:pt idx="16">
                  <c:v>26960.62504149567</c:v>
                </c:pt>
                <c:pt idx="17">
                  <c:v>26927.937561842758</c:v>
                </c:pt>
                <c:pt idx="18">
                  <c:v>26910.23649578659</c:v>
                </c:pt>
                <c:pt idx="19">
                  <c:v>26863.628312150431</c:v>
                </c:pt>
                <c:pt idx="20">
                  <c:v>26817.020128514261</c:v>
                </c:pt>
                <c:pt idx="21">
                  <c:v>26770.411944878098</c:v>
                </c:pt>
                <c:pt idx="22">
                  <c:v>26723.803761241939</c:v>
                </c:pt>
                <c:pt idx="23">
                  <c:v>26677.195577605769</c:v>
                </c:pt>
                <c:pt idx="24">
                  <c:v>26630.58739396961</c:v>
                </c:pt>
                <c:pt idx="25">
                  <c:v>26598.713988404281</c:v>
                </c:pt>
                <c:pt idx="26">
                  <c:v>26565.257411019509</c:v>
                </c:pt>
                <c:pt idx="27">
                  <c:v>26545.552274702059</c:v>
                </c:pt>
                <c:pt idx="28">
                  <c:v>26514.99010628953</c:v>
                </c:pt>
                <c:pt idx="29">
                  <c:v>26482.106235155781</c:v>
                </c:pt>
                <c:pt idx="30">
                  <c:v>26451.094510222982</c:v>
                </c:pt>
                <c:pt idx="31">
                  <c:v>26416.911326586829</c:v>
                </c:pt>
                <c:pt idx="32">
                  <c:v>26370.303142950659</c:v>
                </c:pt>
                <c:pt idx="33">
                  <c:v>26323.694959314489</c:v>
                </c:pt>
                <c:pt idx="34">
                  <c:v>26277.08677567833</c:v>
                </c:pt>
                <c:pt idx="35">
                  <c:v>26230.478592042171</c:v>
                </c:pt>
                <c:pt idx="36">
                  <c:v>26183.870408406008</c:v>
                </c:pt>
                <c:pt idx="37">
                  <c:v>26137.262224769831</c:v>
                </c:pt>
                <c:pt idx="38">
                  <c:v>26104.975999232451</c:v>
                </c:pt>
                <c:pt idx="39">
                  <c:v>26073.3134446576</c:v>
                </c:pt>
                <c:pt idx="40">
                  <c:v>26026.705261021441</c:v>
                </c:pt>
                <c:pt idx="41">
                  <c:v>26006.402944935551</c:v>
                </c:pt>
                <c:pt idx="42">
                  <c:v>25959.794761299388</c:v>
                </c:pt>
                <c:pt idx="43">
                  <c:v>25913.186577663229</c:v>
                </c:pt>
                <c:pt idx="44">
                  <c:v>25866.578394027059</c:v>
                </c:pt>
                <c:pt idx="45">
                  <c:v>25819.9702103909</c:v>
                </c:pt>
                <c:pt idx="46">
                  <c:v>25801.78446552678</c:v>
                </c:pt>
                <c:pt idx="47">
                  <c:v>25755.176281890621</c:v>
                </c:pt>
                <c:pt idx="48">
                  <c:v>25708.568098254462</c:v>
                </c:pt>
                <c:pt idx="49">
                  <c:v>25678.23554430826</c:v>
                </c:pt>
                <c:pt idx="50">
                  <c:v>25631.62736067209</c:v>
                </c:pt>
                <c:pt idx="51">
                  <c:v>25598.549868722981</c:v>
                </c:pt>
                <c:pt idx="52">
                  <c:v>25567.1011823636</c:v>
                </c:pt>
                <c:pt idx="53">
                  <c:v>25548.94060444937</c:v>
                </c:pt>
                <c:pt idx="54">
                  <c:v>25502.3324208132</c:v>
                </c:pt>
                <c:pt idx="55">
                  <c:v>25455.724237177041</c:v>
                </c:pt>
                <c:pt idx="56">
                  <c:v>25409.116053540871</c:v>
                </c:pt>
                <c:pt idx="57">
                  <c:v>25388.44261769775</c:v>
                </c:pt>
                <c:pt idx="58">
                  <c:v>25341.834434061591</c:v>
                </c:pt>
                <c:pt idx="59">
                  <c:v>25307.651250425421</c:v>
                </c:pt>
                <c:pt idx="60">
                  <c:v>25261.043066789269</c:v>
                </c:pt>
                <c:pt idx="61">
                  <c:v>25214.434883153099</c:v>
                </c:pt>
                <c:pt idx="62">
                  <c:v>25183.20312540988</c:v>
                </c:pt>
                <c:pt idx="63">
                  <c:v>25136.594941773721</c:v>
                </c:pt>
                <c:pt idx="64">
                  <c:v>25117.830976417052</c:v>
                </c:pt>
                <c:pt idx="65">
                  <c:v>25085.957570851711</c:v>
                </c:pt>
                <c:pt idx="66">
                  <c:v>25039.349387215541</c:v>
                </c:pt>
                <c:pt idx="67">
                  <c:v>24992.741203579379</c:v>
                </c:pt>
                <c:pt idx="68">
                  <c:v>24946.13301994322</c:v>
                </c:pt>
                <c:pt idx="69">
                  <c:v>24899.52483630706</c:v>
                </c:pt>
                <c:pt idx="70">
                  <c:v>24852.91665267089</c:v>
                </c:pt>
                <c:pt idx="71">
                  <c:v>24806.308469034731</c:v>
                </c:pt>
                <c:pt idx="72">
                  <c:v>24772.66635049988</c:v>
                </c:pt>
                <c:pt idx="73">
                  <c:v>24739.397969312678</c:v>
                </c:pt>
                <c:pt idx="74">
                  <c:v>24692.789785676508</c:v>
                </c:pt>
                <c:pt idx="75">
                  <c:v>24658.784400684101</c:v>
                </c:pt>
                <c:pt idx="76">
                  <c:v>24658.140649073692</c:v>
                </c:pt>
                <c:pt idx="77">
                  <c:v>24611.532465437529</c:v>
                </c:pt>
                <c:pt idx="78">
                  <c:v>24564.924281801359</c:v>
                </c:pt>
                <c:pt idx="79">
                  <c:v>24518.3160981652</c:v>
                </c:pt>
                <c:pt idx="80">
                  <c:v>24486.653543590372</c:v>
                </c:pt>
                <c:pt idx="81">
                  <c:v>24440.045359954202</c:v>
                </c:pt>
                <c:pt idx="82">
                  <c:v>24393.437176318039</c:v>
                </c:pt>
                <c:pt idx="83">
                  <c:v>24346.828992681869</c:v>
                </c:pt>
                <c:pt idx="84">
                  <c:v>24300.22080904571</c:v>
                </c:pt>
                <c:pt idx="85">
                  <c:v>24267.143317096601</c:v>
                </c:pt>
                <c:pt idx="86">
                  <c:v>24220.535133460431</c:v>
                </c:pt>
                <c:pt idx="87">
                  <c:v>24199.135091365912</c:v>
                </c:pt>
                <c:pt idx="88">
                  <c:v>24152.526907729749</c:v>
                </c:pt>
                <c:pt idx="89">
                  <c:v>24132.991034328239</c:v>
                </c:pt>
                <c:pt idx="90">
                  <c:v>24086.382850692069</c:v>
                </c:pt>
                <c:pt idx="91">
                  <c:v>24039.77466705591</c:v>
                </c:pt>
                <c:pt idx="92">
                  <c:v>24007.693385158422</c:v>
                </c:pt>
                <c:pt idx="93">
                  <c:v>23976.90484165055</c:v>
                </c:pt>
                <c:pt idx="94">
                  <c:v>23945.456155291169</c:v>
                </c:pt>
                <c:pt idx="95">
                  <c:v>23898.847971655021</c:v>
                </c:pt>
                <c:pt idx="96">
                  <c:v>23852.239788018851</c:v>
                </c:pt>
                <c:pt idx="97">
                  <c:v>23805.631604382681</c:v>
                </c:pt>
                <c:pt idx="98">
                  <c:v>23772.74773324894</c:v>
                </c:pt>
              </c:numCache>
            </c:numRef>
          </c:xVal>
          <c:yVal>
            <c:numRef>
              <c:f>Anschaffung!#REF!</c:f>
            </c:numRef>
          </c:yVal>
          <c:smooth val="0"/>
          <c:extLst>
            <c:ext xmlns:c16="http://schemas.microsoft.com/office/drawing/2014/chart" uri="{C3380CC4-5D6E-409C-BE32-E72D297353CC}">
              <c16:uniqueId val="{00000001-3160-4636-A23B-033186D5F8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948224"/>
        <c:axId val="1311944896"/>
      </c:scatterChart>
      <c:valAx>
        <c:axId val="1311948224"/>
        <c:scaling>
          <c:orientation val="minMax"/>
          <c:max val="0.5"/>
          <c:min val="0.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800"/>
                  <a:t>Anschaffung der Batterie nach 10 Jahren</a:t>
                </a:r>
                <a:r>
                  <a:rPr lang="de-DE" sz="1800" baseline="0"/>
                  <a:t> in %</a:t>
                </a:r>
                <a:endParaRPr lang="de-DE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0.00%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4896"/>
        <c:crosses val="autoZero"/>
        <c:crossBetween val="midCat"/>
      </c:valAx>
      <c:valAx>
        <c:axId val="1311944896"/>
        <c:scaling>
          <c:orientation val="minMax"/>
          <c:min val="1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600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8224"/>
        <c:crosses val="autoZero"/>
        <c:crossBetween val="midCat"/>
        <c:majorUnit val="25"/>
        <c:minorUnit val="5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60149111672817"/>
          <c:y val="5.1704104380338164E-2"/>
          <c:w val="9.3366867289938524E-2"/>
          <c:h val="6.27296745804433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2400"/>
              <a:t>Variation des</a:t>
            </a:r>
            <a:r>
              <a:rPr lang="de-DE" sz="2400" baseline="0"/>
              <a:t> Batteriepreises in der Anschaffung</a:t>
            </a:r>
            <a:endParaRPr lang="de-DE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3250834947472466E-2"/>
          <c:y val="5.7475266429607853E-2"/>
          <c:w val="0.8778690028182794"/>
          <c:h val="0.86570580351271875"/>
        </c:manualLayout>
      </c:layout>
      <c:scatterChart>
        <c:scatterStyle val="lineMarker"/>
        <c:varyColors val="0"/>
        <c:ser>
          <c:idx val="0"/>
          <c:order val="0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1.5611488339083528E-2"/>
                  <c:y val="-3.9030299046112958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Laufende_Kosten!$C$2:$C$100</c:f>
              <c:numCache>
                <c:formatCode>General</c:formatCode>
                <c:ptCount val="99"/>
                <c:pt idx="0">
                  <c:v>27625.335914464809</c:v>
                </c:pt>
                <c:pt idx="1">
                  <c:v>27578.72773082865</c:v>
                </c:pt>
                <c:pt idx="2">
                  <c:v>27532.119547192469</c:v>
                </c:pt>
                <c:pt idx="3">
                  <c:v>27497.93636355631</c:v>
                </c:pt>
                <c:pt idx="4">
                  <c:v>27451.32817992015</c:v>
                </c:pt>
                <c:pt idx="5">
                  <c:v>27404.719996283991</c:v>
                </c:pt>
                <c:pt idx="6">
                  <c:v>27358.111812647821</c:v>
                </c:pt>
                <c:pt idx="7">
                  <c:v>27311.503629011659</c:v>
                </c:pt>
                <c:pt idx="8">
                  <c:v>27278.235247824461</c:v>
                </c:pt>
                <c:pt idx="9">
                  <c:v>27246.78656146508</c:v>
                </c:pt>
                <c:pt idx="10">
                  <c:v>27200.17837782891</c:v>
                </c:pt>
                <c:pt idx="11">
                  <c:v>27166.536259294069</c:v>
                </c:pt>
                <c:pt idx="12">
                  <c:v>27119.92807565791</c:v>
                </c:pt>
                <c:pt idx="13">
                  <c:v>27073.31989202174</c:v>
                </c:pt>
                <c:pt idx="14">
                  <c:v>27041.238610124259</c:v>
                </c:pt>
                <c:pt idx="15">
                  <c:v>26994.630426488078</c:v>
                </c:pt>
                <c:pt idx="16">
                  <c:v>26960.62504149567</c:v>
                </c:pt>
                <c:pt idx="17">
                  <c:v>26927.937561842758</c:v>
                </c:pt>
                <c:pt idx="18">
                  <c:v>26910.23649578659</c:v>
                </c:pt>
                <c:pt idx="19">
                  <c:v>26863.628312150431</c:v>
                </c:pt>
                <c:pt idx="20">
                  <c:v>26817.020128514261</c:v>
                </c:pt>
                <c:pt idx="21">
                  <c:v>26770.411944878098</c:v>
                </c:pt>
                <c:pt idx="22">
                  <c:v>26723.803761241939</c:v>
                </c:pt>
                <c:pt idx="23">
                  <c:v>26677.195577605769</c:v>
                </c:pt>
                <c:pt idx="24">
                  <c:v>26630.58739396961</c:v>
                </c:pt>
                <c:pt idx="25">
                  <c:v>26598.713988404281</c:v>
                </c:pt>
                <c:pt idx="26">
                  <c:v>26565.257411019509</c:v>
                </c:pt>
                <c:pt idx="27">
                  <c:v>26545.552274702059</c:v>
                </c:pt>
                <c:pt idx="28">
                  <c:v>26514.99010628953</c:v>
                </c:pt>
                <c:pt idx="29">
                  <c:v>26482.106235155781</c:v>
                </c:pt>
                <c:pt idx="30">
                  <c:v>26451.094510222982</c:v>
                </c:pt>
                <c:pt idx="31">
                  <c:v>26416.911326586829</c:v>
                </c:pt>
                <c:pt idx="32">
                  <c:v>26370.303142950659</c:v>
                </c:pt>
                <c:pt idx="33">
                  <c:v>26323.694959314489</c:v>
                </c:pt>
                <c:pt idx="34">
                  <c:v>26277.08677567833</c:v>
                </c:pt>
                <c:pt idx="35">
                  <c:v>26230.478592042171</c:v>
                </c:pt>
                <c:pt idx="36">
                  <c:v>26183.870408406008</c:v>
                </c:pt>
                <c:pt idx="37">
                  <c:v>26137.262224769831</c:v>
                </c:pt>
                <c:pt idx="38">
                  <c:v>26104.975999232451</c:v>
                </c:pt>
                <c:pt idx="39">
                  <c:v>26073.3134446576</c:v>
                </c:pt>
                <c:pt idx="40">
                  <c:v>26026.705261021441</c:v>
                </c:pt>
                <c:pt idx="41">
                  <c:v>26006.402944935551</c:v>
                </c:pt>
                <c:pt idx="42">
                  <c:v>25959.794761299388</c:v>
                </c:pt>
                <c:pt idx="43">
                  <c:v>25913.186577663229</c:v>
                </c:pt>
                <c:pt idx="44">
                  <c:v>25866.578394027059</c:v>
                </c:pt>
                <c:pt idx="45">
                  <c:v>25819.9702103909</c:v>
                </c:pt>
                <c:pt idx="46">
                  <c:v>25801.78446552678</c:v>
                </c:pt>
                <c:pt idx="47">
                  <c:v>25755.176281890621</c:v>
                </c:pt>
                <c:pt idx="48">
                  <c:v>25708.568098254462</c:v>
                </c:pt>
                <c:pt idx="49">
                  <c:v>25678.23554430826</c:v>
                </c:pt>
                <c:pt idx="50">
                  <c:v>25631.62736067209</c:v>
                </c:pt>
                <c:pt idx="51">
                  <c:v>25598.549868722981</c:v>
                </c:pt>
                <c:pt idx="52">
                  <c:v>25567.1011823636</c:v>
                </c:pt>
                <c:pt idx="53">
                  <c:v>25548.94060444937</c:v>
                </c:pt>
                <c:pt idx="54">
                  <c:v>25502.3324208132</c:v>
                </c:pt>
                <c:pt idx="55">
                  <c:v>25455.724237177041</c:v>
                </c:pt>
                <c:pt idx="56">
                  <c:v>25409.116053540871</c:v>
                </c:pt>
                <c:pt idx="57">
                  <c:v>25388.44261769775</c:v>
                </c:pt>
                <c:pt idx="58">
                  <c:v>25341.834434061591</c:v>
                </c:pt>
                <c:pt idx="59">
                  <c:v>25307.651250425421</c:v>
                </c:pt>
                <c:pt idx="60">
                  <c:v>25261.043066789269</c:v>
                </c:pt>
                <c:pt idx="61">
                  <c:v>25214.434883153099</c:v>
                </c:pt>
                <c:pt idx="62">
                  <c:v>25183.20312540988</c:v>
                </c:pt>
                <c:pt idx="63">
                  <c:v>25136.594941773721</c:v>
                </c:pt>
                <c:pt idx="64">
                  <c:v>25117.830976417052</c:v>
                </c:pt>
                <c:pt idx="65">
                  <c:v>25085.957570851711</c:v>
                </c:pt>
                <c:pt idx="66">
                  <c:v>25039.349387215541</c:v>
                </c:pt>
                <c:pt idx="67">
                  <c:v>24992.741203579379</c:v>
                </c:pt>
                <c:pt idx="68">
                  <c:v>24946.13301994322</c:v>
                </c:pt>
                <c:pt idx="69">
                  <c:v>24899.52483630706</c:v>
                </c:pt>
                <c:pt idx="70">
                  <c:v>24852.91665267089</c:v>
                </c:pt>
                <c:pt idx="71">
                  <c:v>24806.308469034731</c:v>
                </c:pt>
                <c:pt idx="72">
                  <c:v>24772.66635049988</c:v>
                </c:pt>
                <c:pt idx="73">
                  <c:v>24739.397969312678</c:v>
                </c:pt>
                <c:pt idx="74">
                  <c:v>24692.789785676508</c:v>
                </c:pt>
                <c:pt idx="75">
                  <c:v>24658.784400684101</c:v>
                </c:pt>
                <c:pt idx="76">
                  <c:v>24658.140649073692</c:v>
                </c:pt>
                <c:pt idx="77">
                  <c:v>24611.532465437529</c:v>
                </c:pt>
                <c:pt idx="78">
                  <c:v>24564.924281801359</c:v>
                </c:pt>
                <c:pt idx="79">
                  <c:v>24518.3160981652</c:v>
                </c:pt>
                <c:pt idx="80">
                  <c:v>24486.653543590372</c:v>
                </c:pt>
                <c:pt idx="81">
                  <c:v>24440.045359954202</c:v>
                </c:pt>
                <c:pt idx="82">
                  <c:v>24393.437176318039</c:v>
                </c:pt>
                <c:pt idx="83">
                  <c:v>24346.828992681869</c:v>
                </c:pt>
                <c:pt idx="84">
                  <c:v>24300.22080904571</c:v>
                </c:pt>
                <c:pt idx="85">
                  <c:v>24267.143317096601</c:v>
                </c:pt>
                <c:pt idx="86">
                  <c:v>24220.535133460431</c:v>
                </c:pt>
                <c:pt idx="87">
                  <c:v>24199.135091365912</c:v>
                </c:pt>
                <c:pt idx="88">
                  <c:v>24152.526907729749</c:v>
                </c:pt>
                <c:pt idx="89">
                  <c:v>24132.991034328239</c:v>
                </c:pt>
                <c:pt idx="90">
                  <c:v>24086.382850692069</c:v>
                </c:pt>
                <c:pt idx="91">
                  <c:v>24039.77466705591</c:v>
                </c:pt>
                <c:pt idx="92">
                  <c:v>24007.693385158422</c:v>
                </c:pt>
                <c:pt idx="93">
                  <c:v>23976.90484165055</c:v>
                </c:pt>
                <c:pt idx="94">
                  <c:v>23945.456155291169</c:v>
                </c:pt>
                <c:pt idx="95">
                  <c:v>23898.847971655021</c:v>
                </c:pt>
                <c:pt idx="96">
                  <c:v>23852.239788018851</c:v>
                </c:pt>
                <c:pt idx="97">
                  <c:v>23805.631604382681</c:v>
                </c:pt>
                <c:pt idx="98">
                  <c:v>23772.74773324894</c:v>
                </c:pt>
              </c:numCache>
            </c:numRef>
          </c:xVal>
          <c:yVal>
            <c:numRef>
              <c:f>Anschaffung!#REF!</c:f>
            </c:numRef>
          </c:yVal>
          <c:smooth val="0"/>
          <c:extLst>
            <c:ext xmlns:c16="http://schemas.microsoft.com/office/drawing/2014/chart" uri="{C3380CC4-5D6E-409C-BE32-E72D297353CC}">
              <c16:uniqueId val="{00000001-4917-4480-B2C6-4B4A1C18E073}"/>
            </c:ext>
          </c:extLst>
        </c:ser>
        <c:ser>
          <c:idx val="1"/>
          <c:order val="1"/>
          <c:tx>
            <c:v>Szenario II (2)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noFill/>
              </a:ln>
              <a:effectLst/>
            </c:spPr>
          </c:marker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0"/>
          </c:trendline>
          <c:trendline>
            <c:spPr>
              <a:ln w="19050" cap="rnd">
                <a:noFill/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4.7431111513873872E-2"/>
                  <c:y val="-0.17161467587216489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4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Times New Roman" panose="02020603050405020304" pitchFamily="18" charset="0"/>
                      <a:ea typeface="+mn-ea"/>
                      <a:cs typeface="Times New Roman" panose="02020603050405020304" pitchFamily="18" charset="0"/>
                    </a:defRPr>
                  </a:pPr>
                  <a:endParaRPr lang="de-DE"/>
                </a:p>
              </c:txPr>
            </c:trendlineLbl>
          </c:trendline>
          <c:xVal>
            <c:numRef>
              <c:f>Batteriepreis!$D$2:$D$101</c:f>
              <c:numCache>
                <c:formatCode>General</c:formatCode>
                <c:ptCount val="100"/>
                <c:pt idx="0">
                  <c:v>1200</c:v>
                </c:pt>
                <c:pt idx="1">
                  <c:v>1210.1010101010099</c:v>
                </c:pt>
                <c:pt idx="2">
                  <c:v>1220.2020202020201</c:v>
                </c:pt>
                <c:pt idx="3">
                  <c:v>1230.30303030303</c:v>
                </c:pt>
                <c:pt idx="4">
                  <c:v>1240.40404040404</c:v>
                </c:pt>
                <c:pt idx="5">
                  <c:v>1250.505050505051</c:v>
                </c:pt>
                <c:pt idx="6">
                  <c:v>1260.606060606061</c:v>
                </c:pt>
                <c:pt idx="7">
                  <c:v>1270.7070707070709</c:v>
                </c:pt>
                <c:pt idx="8">
                  <c:v>1280.8080808080811</c:v>
                </c:pt>
                <c:pt idx="9">
                  <c:v>1290.909090909091</c:v>
                </c:pt>
                <c:pt idx="10">
                  <c:v>1301.0101010101009</c:v>
                </c:pt>
                <c:pt idx="11">
                  <c:v>1311.1111111111111</c:v>
                </c:pt>
                <c:pt idx="12">
                  <c:v>1321.212121212121</c:v>
                </c:pt>
                <c:pt idx="13">
                  <c:v>1331.313131313131</c:v>
                </c:pt>
                <c:pt idx="14">
                  <c:v>1341.4141414141411</c:v>
                </c:pt>
                <c:pt idx="15">
                  <c:v>1351.515151515152</c:v>
                </c:pt>
                <c:pt idx="16">
                  <c:v>1361.6161616161619</c:v>
                </c:pt>
                <c:pt idx="17">
                  <c:v>1371.7171717171721</c:v>
                </c:pt>
                <c:pt idx="18">
                  <c:v>1381.818181818182</c:v>
                </c:pt>
                <c:pt idx="19">
                  <c:v>1391.9191919191919</c:v>
                </c:pt>
                <c:pt idx="20">
                  <c:v>1402.0202020202021</c:v>
                </c:pt>
                <c:pt idx="21">
                  <c:v>1412.121212121212</c:v>
                </c:pt>
                <c:pt idx="22">
                  <c:v>1422.2222222222219</c:v>
                </c:pt>
                <c:pt idx="23">
                  <c:v>1432.3232323232321</c:v>
                </c:pt>
                <c:pt idx="24">
                  <c:v>1442.424242424242</c:v>
                </c:pt>
                <c:pt idx="25">
                  <c:v>1452.525252525252</c:v>
                </c:pt>
                <c:pt idx="26">
                  <c:v>1462.626262626263</c:v>
                </c:pt>
                <c:pt idx="27">
                  <c:v>1472.727272727273</c:v>
                </c:pt>
                <c:pt idx="28">
                  <c:v>1482.8282828282829</c:v>
                </c:pt>
                <c:pt idx="29">
                  <c:v>1492.9292929292931</c:v>
                </c:pt>
                <c:pt idx="30">
                  <c:v>1503.030303030303</c:v>
                </c:pt>
                <c:pt idx="31">
                  <c:v>1513.1313131313129</c:v>
                </c:pt>
                <c:pt idx="32">
                  <c:v>1523.2323232323231</c:v>
                </c:pt>
                <c:pt idx="33">
                  <c:v>1533.333333333333</c:v>
                </c:pt>
                <c:pt idx="34">
                  <c:v>1543.434343434343</c:v>
                </c:pt>
                <c:pt idx="35">
                  <c:v>1553.535353535354</c:v>
                </c:pt>
                <c:pt idx="36">
                  <c:v>1563.636363636364</c:v>
                </c:pt>
                <c:pt idx="37">
                  <c:v>1573.7373737373739</c:v>
                </c:pt>
                <c:pt idx="38">
                  <c:v>1583.8383838383841</c:v>
                </c:pt>
                <c:pt idx="39">
                  <c:v>1593.939393939394</c:v>
                </c:pt>
                <c:pt idx="40">
                  <c:v>1604.0404040404039</c:v>
                </c:pt>
                <c:pt idx="41">
                  <c:v>1614.1414141414141</c:v>
                </c:pt>
                <c:pt idx="42">
                  <c:v>1624.242424242424</c:v>
                </c:pt>
                <c:pt idx="43">
                  <c:v>1634.343434343434</c:v>
                </c:pt>
                <c:pt idx="44">
                  <c:v>1644.4444444444439</c:v>
                </c:pt>
                <c:pt idx="45">
                  <c:v>1654.545454545455</c:v>
                </c:pt>
                <c:pt idx="46">
                  <c:v>1664.6464646464649</c:v>
                </c:pt>
                <c:pt idx="47">
                  <c:v>1674.7474747474751</c:v>
                </c:pt>
                <c:pt idx="48">
                  <c:v>1684.848484848485</c:v>
                </c:pt>
                <c:pt idx="49">
                  <c:v>1694.9494949494949</c:v>
                </c:pt>
                <c:pt idx="50">
                  <c:v>1705.0505050505051</c:v>
                </c:pt>
                <c:pt idx="51">
                  <c:v>1715.151515151515</c:v>
                </c:pt>
                <c:pt idx="52">
                  <c:v>1725.2525252525249</c:v>
                </c:pt>
                <c:pt idx="53">
                  <c:v>1735.3535353535351</c:v>
                </c:pt>
                <c:pt idx="54">
                  <c:v>1745.454545454545</c:v>
                </c:pt>
                <c:pt idx="55">
                  <c:v>1755.5555555555561</c:v>
                </c:pt>
                <c:pt idx="56">
                  <c:v>1765.656565656566</c:v>
                </c:pt>
                <c:pt idx="57">
                  <c:v>1775.757575757576</c:v>
                </c:pt>
                <c:pt idx="58">
                  <c:v>1785.8585858585859</c:v>
                </c:pt>
                <c:pt idx="59">
                  <c:v>1795.9595959595961</c:v>
                </c:pt>
                <c:pt idx="60">
                  <c:v>1806.060606060606</c:v>
                </c:pt>
                <c:pt idx="61">
                  <c:v>1816.1616161616159</c:v>
                </c:pt>
                <c:pt idx="62">
                  <c:v>1826.2626262626261</c:v>
                </c:pt>
                <c:pt idx="63">
                  <c:v>1836.363636363636</c:v>
                </c:pt>
                <c:pt idx="64">
                  <c:v>1846.464646464646</c:v>
                </c:pt>
                <c:pt idx="65">
                  <c:v>1856.5656565656559</c:v>
                </c:pt>
                <c:pt idx="66">
                  <c:v>1866.666666666667</c:v>
                </c:pt>
                <c:pt idx="67">
                  <c:v>1876.7676767676769</c:v>
                </c:pt>
                <c:pt idx="68">
                  <c:v>1886.8686868686871</c:v>
                </c:pt>
                <c:pt idx="69">
                  <c:v>1896.969696969697</c:v>
                </c:pt>
                <c:pt idx="70">
                  <c:v>1907.0707070707069</c:v>
                </c:pt>
                <c:pt idx="71">
                  <c:v>1917.1717171717171</c:v>
                </c:pt>
                <c:pt idx="72">
                  <c:v>1927.272727272727</c:v>
                </c:pt>
                <c:pt idx="73">
                  <c:v>1937.373737373737</c:v>
                </c:pt>
                <c:pt idx="74">
                  <c:v>1947.4747474747469</c:v>
                </c:pt>
                <c:pt idx="75">
                  <c:v>1957.575757575758</c:v>
                </c:pt>
                <c:pt idx="76">
                  <c:v>1967.6767676767679</c:v>
                </c:pt>
                <c:pt idx="77">
                  <c:v>1977.7777777777781</c:v>
                </c:pt>
                <c:pt idx="78">
                  <c:v>1987.878787878788</c:v>
                </c:pt>
                <c:pt idx="79">
                  <c:v>1997.9797979797979</c:v>
                </c:pt>
                <c:pt idx="80">
                  <c:v>2008.0808080808081</c:v>
                </c:pt>
                <c:pt idx="81">
                  <c:v>2018.181818181818</c:v>
                </c:pt>
                <c:pt idx="82">
                  <c:v>2028.2828282828279</c:v>
                </c:pt>
                <c:pt idx="83">
                  <c:v>2038.3838383838381</c:v>
                </c:pt>
                <c:pt idx="84">
                  <c:v>2048.484848484848</c:v>
                </c:pt>
                <c:pt idx="85">
                  <c:v>2058.5858585858591</c:v>
                </c:pt>
                <c:pt idx="86">
                  <c:v>2068.6868686868679</c:v>
                </c:pt>
                <c:pt idx="87">
                  <c:v>2078.787878787879</c:v>
                </c:pt>
                <c:pt idx="88">
                  <c:v>2088.8888888888891</c:v>
                </c:pt>
                <c:pt idx="89">
                  <c:v>2098.9898989898988</c:v>
                </c:pt>
                <c:pt idx="90">
                  <c:v>2109.090909090909</c:v>
                </c:pt>
                <c:pt idx="91">
                  <c:v>2119.1919191919192</c:v>
                </c:pt>
                <c:pt idx="92">
                  <c:v>2129.2929292929289</c:v>
                </c:pt>
                <c:pt idx="93">
                  <c:v>2139.393939393939</c:v>
                </c:pt>
                <c:pt idx="94">
                  <c:v>2149.4949494949501</c:v>
                </c:pt>
                <c:pt idx="95">
                  <c:v>2159.5959595959589</c:v>
                </c:pt>
                <c:pt idx="96">
                  <c:v>2169.69696969697</c:v>
                </c:pt>
                <c:pt idx="97">
                  <c:v>2179.7979797979801</c:v>
                </c:pt>
                <c:pt idx="98">
                  <c:v>2189.8989898989898</c:v>
                </c:pt>
                <c:pt idx="99">
                  <c:v>2200</c:v>
                </c:pt>
              </c:numCache>
            </c:numRef>
          </c:xVal>
          <c:yVal>
            <c:numRef>
              <c:f>Batteriepreis!$C$2:$C$101</c:f>
              <c:numCache>
                <c:formatCode>General</c:formatCode>
                <c:ptCount val="100"/>
                <c:pt idx="0">
                  <c:v>14147.71619508207</c:v>
                </c:pt>
                <c:pt idx="1">
                  <c:v>14069.978752889439</c:v>
                </c:pt>
                <c:pt idx="2">
                  <c:v>14006.56326879556</c:v>
                </c:pt>
                <c:pt idx="3">
                  <c:v>13928.82582660289</c:v>
                </c:pt>
                <c:pt idx="4">
                  <c:v>13851.088384410221</c:v>
                </c:pt>
                <c:pt idx="5">
                  <c:v>13800.42325245221</c:v>
                </c:pt>
                <c:pt idx="6">
                  <c:v>13738.731825483181</c:v>
                </c:pt>
                <c:pt idx="7">
                  <c:v>13690.261970450611</c:v>
                </c:pt>
                <c:pt idx="8">
                  <c:v>13612.524528257991</c:v>
                </c:pt>
                <c:pt idx="9">
                  <c:v>13534.787086065329</c:v>
                </c:pt>
                <c:pt idx="10">
                  <c:v>13457.04964387267</c:v>
                </c:pt>
                <c:pt idx="11">
                  <c:v>13379.312201680001</c:v>
                </c:pt>
                <c:pt idx="12">
                  <c:v>13315.8967175861</c:v>
                </c:pt>
                <c:pt idx="13">
                  <c:v>13238.159275393449</c:v>
                </c:pt>
                <c:pt idx="14">
                  <c:v>13160.42183320078</c:v>
                </c:pt>
                <c:pt idx="15">
                  <c:v>13082.684391008161</c:v>
                </c:pt>
                <c:pt idx="16">
                  <c:v>13004.94694881551</c:v>
                </c:pt>
                <c:pt idx="17">
                  <c:v>12927.209506622839</c:v>
                </c:pt>
                <c:pt idx="18">
                  <c:v>12863.794022528949</c:v>
                </c:pt>
                <c:pt idx="19">
                  <c:v>12786.056580336281</c:v>
                </c:pt>
                <c:pt idx="20">
                  <c:v>12708.319138143621</c:v>
                </c:pt>
                <c:pt idx="21">
                  <c:v>12630.58169595097</c:v>
                </c:pt>
                <c:pt idx="22">
                  <c:v>12552.84425375834</c:v>
                </c:pt>
                <c:pt idx="23">
                  <c:v>12489.428769664461</c:v>
                </c:pt>
                <c:pt idx="24">
                  <c:v>12425.41563997421</c:v>
                </c:pt>
                <c:pt idx="25">
                  <c:v>12363.49783790985</c:v>
                </c:pt>
                <c:pt idx="26">
                  <c:v>12299.88030149425</c:v>
                </c:pt>
                <c:pt idx="27">
                  <c:v>12222.14285930159</c:v>
                </c:pt>
                <c:pt idx="28">
                  <c:v>12173.25427694638</c:v>
                </c:pt>
                <c:pt idx="29">
                  <c:v>12095.516834753749</c:v>
                </c:pt>
                <c:pt idx="30">
                  <c:v>12032.93888983788</c:v>
                </c:pt>
                <c:pt idx="31">
                  <c:v>11955.20144764522</c:v>
                </c:pt>
                <c:pt idx="32">
                  <c:v>11877.46400545257</c:v>
                </c:pt>
                <c:pt idx="33">
                  <c:v>11799.726563259879</c:v>
                </c:pt>
                <c:pt idx="34">
                  <c:v>11736.311079166009</c:v>
                </c:pt>
                <c:pt idx="35">
                  <c:v>11658.57363697334</c:v>
                </c:pt>
                <c:pt idx="36">
                  <c:v>11580.836194780721</c:v>
                </c:pt>
                <c:pt idx="37">
                  <c:v>11503.098752588059</c:v>
                </c:pt>
                <c:pt idx="38">
                  <c:v>11425.36131039539</c:v>
                </c:pt>
                <c:pt idx="39">
                  <c:v>11391.18752109279</c:v>
                </c:pt>
                <c:pt idx="40">
                  <c:v>11313.45007890011</c:v>
                </c:pt>
                <c:pt idx="41">
                  <c:v>11235.712636707471</c:v>
                </c:pt>
                <c:pt idx="42">
                  <c:v>11157.975194514809</c:v>
                </c:pt>
                <c:pt idx="43">
                  <c:v>11093.577554771129</c:v>
                </c:pt>
                <c:pt idx="44">
                  <c:v>11030.16207067725</c:v>
                </c:pt>
                <c:pt idx="45">
                  <c:v>10967.801054377531</c:v>
                </c:pt>
                <c:pt idx="46">
                  <c:v>10902.66641082862</c:v>
                </c:pt>
                <c:pt idx="47">
                  <c:v>10824.928968635941</c:v>
                </c:pt>
                <c:pt idx="48">
                  <c:v>10747.191526443299</c:v>
                </c:pt>
                <c:pt idx="49">
                  <c:v>10669.45408425063</c:v>
                </c:pt>
                <c:pt idx="50">
                  <c:v>10606.038600156769</c:v>
                </c:pt>
                <c:pt idx="51">
                  <c:v>10543.035936034959</c:v>
                </c:pt>
                <c:pt idx="52">
                  <c:v>10465.298493842291</c:v>
                </c:pt>
                <c:pt idx="53">
                  <c:v>10387.561051649631</c:v>
                </c:pt>
                <c:pt idx="54">
                  <c:v>10309.82360945694</c:v>
                </c:pt>
                <c:pt idx="55">
                  <c:v>10246.408125363059</c:v>
                </c:pt>
                <c:pt idx="56">
                  <c:v>10168.67068317041</c:v>
                </c:pt>
                <c:pt idx="57">
                  <c:v>10090.93324097778</c:v>
                </c:pt>
                <c:pt idx="58">
                  <c:v>10013.195798785129</c:v>
                </c:pt>
                <c:pt idx="59">
                  <c:v>9935.4583565924604</c:v>
                </c:pt>
                <c:pt idx="60">
                  <c:v>9872.0428724985723</c:v>
                </c:pt>
                <c:pt idx="61">
                  <c:v>9794.3054303058889</c:v>
                </c:pt>
                <c:pt idx="62">
                  <c:v>9716.5679881132401</c:v>
                </c:pt>
                <c:pt idx="63">
                  <c:v>9638.8305459205767</c:v>
                </c:pt>
                <c:pt idx="64">
                  <c:v>9576.6895624313202</c:v>
                </c:pt>
                <c:pt idx="65">
                  <c:v>9498.9521202386786</c:v>
                </c:pt>
                <c:pt idx="66">
                  <c:v>9449.0673278318263</c:v>
                </c:pt>
                <c:pt idx="67">
                  <c:v>9371.3298856391721</c:v>
                </c:pt>
                <c:pt idx="68">
                  <c:v>9293.5924434464832</c:v>
                </c:pt>
                <c:pt idx="69">
                  <c:v>9231.9010164774536</c:v>
                </c:pt>
                <c:pt idx="70">
                  <c:v>9154.1635742847939</c:v>
                </c:pt>
                <c:pt idx="71">
                  <c:v>9104.668794174202</c:v>
                </c:pt>
                <c:pt idx="72">
                  <c:v>9026.931351981546</c:v>
                </c:pt>
                <c:pt idx="73">
                  <c:v>8949.193909788879</c:v>
                </c:pt>
                <c:pt idx="74">
                  <c:v>8871.456467596221</c:v>
                </c:pt>
                <c:pt idx="75">
                  <c:v>8808.6646544648574</c:v>
                </c:pt>
                <c:pt idx="76">
                  <c:v>8745.2491703709784</c:v>
                </c:pt>
                <c:pt idx="77">
                  <c:v>8680.294869719959</c:v>
                </c:pt>
                <c:pt idx="78">
                  <c:v>8615.7090337787358</c:v>
                </c:pt>
                <c:pt idx="79">
                  <c:v>8537.9715915860925</c:v>
                </c:pt>
                <c:pt idx="80">
                  <c:v>8460.23414939342</c:v>
                </c:pt>
                <c:pt idx="81">
                  <c:v>8396.8186652995355</c:v>
                </c:pt>
                <c:pt idx="82">
                  <c:v>8331.5062231068496</c:v>
                </c:pt>
                <c:pt idx="83">
                  <c:v>8253.7687809141971</c:v>
                </c:pt>
                <c:pt idx="84">
                  <c:v>8176.0313387215319</c:v>
                </c:pt>
                <c:pt idx="85">
                  <c:v>8098.293896528925</c:v>
                </c:pt>
                <c:pt idx="86">
                  <c:v>8020.5564543362734</c:v>
                </c:pt>
                <c:pt idx="87">
                  <c:v>7957.1409702423643</c:v>
                </c:pt>
                <c:pt idx="88">
                  <c:v>7895.2231681780086</c:v>
                </c:pt>
                <c:pt idx="89">
                  <c:v>7817.4857259853216</c:v>
                </c:pt>
                <c:pt idx="90">
                  <c:v>7753.8681895697428</c:v>
                </c:pt>
                <c:pt idx="91">
                  <c:v>7689.8550598795136</c:v>
                </c:pt>
                <c:pt idx="92">
                  <c:v>7626.4395757856619</c:v>
                </c:pt>
                <c:pt idx="93">
                  <c:v>7548.7021335930076</c:v>
                </c:pt>
                <c:pt idx="94">
                  <c:v>7470.964691400337</c:v>
                </c:pt>
                <c:pt idx="95">
                  <c:v>7393.2272492076827</c:v>
                </c:pt>
                <c:pt idx="96">
                  <c:v>7330.64930429178</c:v>
                </c:pt>
                <c:pt idx="97">
                  <c:v>7267.2338201978964</c:v>
                </c:pt>
                <c:pt idx="98">
                  <c:v>7189.4963780052458</c:v>
                </c:pt>
                <c:pt idx="99">
                  <c:v>7126.2858375512969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4917-4480-B2C6-4B4A1C18E07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948224"/>
        <c:axId val="1311944896"/>
      </c:scatterChart>
      <c:valAx>
        <c:axId val="1311948224"/>
        <c:scaling>
          <c:orientation val="minMax"/>
          <c:min val="12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800"/>
                  <a:t>Batteriepreis</a:t>
                </a:r>
                <a:r>
                  <a:rPr lang="de-DE" sz="1800" baseline="0"/>
                  <a:t> in €</a:t>
                </a:r>
                <a:endParaRPr lang="de-DE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4896"/>
        <c:crosses val="autoZero"/>
        <c:crossBetween val="midCat"/>
        <c:majorUnit val="100"/>
        <c:minorUnit val="50"/>
      </c:valAx>
      <c:valAx>
        <c:axId val="1311944896"/>
        <c:scaling>
          <c:orientation val="minMax"/>
          <c:max val="15000"/>
          <c:min val="6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600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8224"/>
        <c:crosses val="autoZero"/>
        <c:crossBetween val="midCat"/>
        <c:majorUnit val="500"/>
        <c:minorUnit val="200"/>
      </c:valAx>
      <c:spPr>
        <a:noFill/>
        <a:ln>
          <a:noFill/>
        </a:ln>
        <a:effectLst/>
      </c:spPr>
    </c:plotArea>
    <c:legend>
      <c:legendPos val="r"/>
      <c:legendEntry>
        <c:idx val="1"/>
        <c:delete val="1"/>
      </c:legendEntry>
      <c:legendEntry>
        <c:idx val="2"/>
        <c:delete val="1"/>
      </c:legendEntry>
      <c:layout>
        <c:manualLayout>
          <c:xMode val="edge"/>
          <c:yMode val="edge"/>
          <c:x val="0.87231550754284848"/>
          <c:y val="6.6412334739914564E-2"/>
          <c:w val="9.3366867289938524E-2"/>
          <c:h val="6.2729674580443359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2400"/>
              <a:t>Variation des</a:t>
            </a:r>
            <a:r>
              <a:rPr lang="de-DE" sz="2400" baseline="0"/>
              <a:t> Strompreises</a:t>
            </a:r>
            <a:endParaRPr lang="de-DE" sz="2400"/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9.3250834947472466E-2"/>
          <c:y val="5.7475266429607853E-2"/>
          <c:w val="0.8778690028182794"/>
          <c:h val="0.86570580351271875"/>
        </c:manualLayout>
      </c:layout>
      <c:scatterChart>
        <c:scatterStyle val="lineMarker"/>
        <c:varyColors val="0"/>
        <c:ser>
          <c:idx val="1"/>
          <c:order val="0"/>
          <c:tx>
            <c:v>Szenario II (2)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40000"/>
                  <a:lumOff val="60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Strompreis!$D$102:$D$201</c:f>
              <c:numCache>
                <c:formatCode>General</c:formatCode>
                <c:ptCount val="100"/>
                <c:pt idx="0">
                  <c:v>0.1031768325422337</c:v>
                </c:pt>
                <c:pt idx="1">
                  <c:v>0.12543022491432559</c:v>
                </c:pt>
                <c:pt idx="2">
                  <c:v>0.14768361728641741</c:v>
                </c:pt>
                <c:pt idx="3">
                  <c:v>0.16993700965850919</c:v>
                </c:pt>
                <c:pt idx="4">
                  <c:v>0.19219040203060109</c:v>
                </c:pt>
                <c:pt idx="5">
                  <c:v>0.2144437944026929</c:v>
                </c:pt>
                <c:pt idx="6">
                  <c:v>0.23669718677478471</c:v>
                </c:pt>
                <c:pt idx="7">
                  <c:v>0.25895057914687653</c:v>
                </c:pt>
                <c:pt idx="8">
                  <c:v>0.28120397151896842</c:v>
                </c:pt>
                <c:pt idx="9">
                  <c:v>0.30345736389106021</c:v>
                </c:pt>
                <c:pt idx="10">
                  <c:v>0.32571075626315199</c:v>
                </c:pt>
                <c:pt idx="11">
                  <c:v>0.34796414863524378</c:v>
                </c:pt>
                <c:pt idx="12">
                  <c:v>0.37021754100733573</c:v>
                </c:pt>
                <c:pt idx="13">
                  <c:v>0.39247093337942751</c:v>
                </c:pt>
                <c:pt idx="14">
                  <c:v>0.4147243257515193</c:v>
                </c:pt>
                <c:pt idx="15">
                  <c:v>0.43697771812361108</c:v>
                </c:pt>
                <c:pt idx="16">
                  <c:v>0.45923111049570298</c:v>
                </c:pt>
                <c:pt idx="17">
                  <c:v>0.48148450286779482</c:v>
                </c:pt>
                <c:pt idx="18">
                  <c:v>0.50373789523988666</c:v>
                </c:pt>
                <c:pt idx="19">
                  <c:v>0.52599128761197844</c:v>
                </c:pt>
                <c:pt idx="20">
                  <c:v>0.54824467998407023</c:v>
                </c:pt>
                <c:pt idx="21">
                  <c:v>0.57049807235616212</c:v>
                </c:pt>
                <c:pt idx="22">
                  <c:v>0.59275146472825391</c:v>
                </c:pt>
                <c:pt idx="23">
                  <c:v>0.6150048571003458</c:v>
                </c:pt>
                <c:pt idx="24">
                  <c:v>0.63725824947243759</c:v>
                </c:pt>
                <c:pt idx="25">
                  <c:v>0.65951164184452937</c:v>
                </c:pt>
                <c:pt idx="26">
                  <c:v>0.68176503421662127</c:v>
                </c:pt>
                <c:pt idx="27">
                  <c:v>0.70401842658871305</c:v>
                </c:pt>
                <c:pt idx="28">
                  <c:v>0.72627181896080484</c:v>
                </c:pt>
                <c:pt idx="29">
                  <c:v>0.74852521133289673</c:v>
                </c:pt>
                <c:pt idx="30">
                  <c:v>0.77077860370498852</c:v>
                </c:pt>
                <c:pt idx="31">
                  <c:v>0.79303199607708041</c:v>
                </c:pt>
                <c:pt idx="32">
                  <c:v>0.8152853884491722</c:v>
                </c:pt>
                <c:pt idx="33">
                  <c:v>0.83753878082126398</c:v>
                </c:pt>
                <c:pt idx="34">
                  <c:v>0.85979217319335588</c:v>
                </c:pt>
                <c:pt idx="35">
                  <c:v>0.88204556556544766</c:v>
                </c:pt>
                <c:pt idx="36">
                  <c:v>0.90429895793753956</c:v>
                </c:pt>
                <c:pt idx="37">
                  <c:v>0.92655235030963135</c:v>
                </c:pt>
                <c:pt idx="38">
                  <c:v>0.94880574268172313</c:v>
                </c:pt>
                <c:pt idx="39">
                  <c:v>0.97105913505381503</c:v>
                </c:pt>
                <c:pt idx="40">
                  <c:v>0.99331252742590681</c:v>
                </c:pt>
                <c:pt idx="41">
                  <c:v>1.015565919797998</c:v>
                </c:pt>
                <c:pt idx="42">
                  <c:v>1.03781931217009</c:v>
                </c:pt>
                <c:pt idx="43">
                  <c:v>1.0600727045421821</c:v>
                </c:pt>
                <c:pt idx="44">
                  <c:v>1.0823260969142741</c:v>
                </c:pt>
                <c:pt idx="45">
                  <c:v>1.1045794892863661</c:v>
                </c:pt>
                <c:pt idx="46">
                  <c:v>1.1268328816584581</c:v>
                </c:pt>
                <c:pt idx="47">
                  <c:v>1.1490862740305501</c:v>
                </c:pt>
                <c:pt idx="48">
                  <c:v>1.171339666402641</c:v>
                </c:pt>
                <c:pt idx="49">
                  <c:v>1.193593058774733</c:v>
                </c:pt>
                <c:pt idx="50">
                  <c:v>1.215846451146825</c:v>
                </c:pt>
                <c:pt idx="51">
                  <c:v>1.238099843518917</c:v>
                </c:pt>
                <c:pt idx="52">
                  <c:v>1.260353235891009</c:v>
                </c:pt>
                <c:pt idx="53">
                  <c:v>1.282606628263101</c:v>
                </c:pt>
                <c:pt idx="54">
                  <c:v>1.3048600206351919</c:v>
                </c:pt>
                <c:pt idx="55">
                  <c:v>1.3271134130072839</c:v>
                </c:pt>
                <c:pt idx="56">
                  <c:v>1.3493668053793759</c:v>
                </c:pt>
                <c:pt idx="57">
                  <c:v>1.3716201977514679</c:v>
                </c:pt>
                <c:pt idx="58">
                  <c:v>1.3938735901235599</c:v>
                </c:pt>
                <c:pt idx="59">
                  <c:v>1.4161269824956511</c:v>
                </c:pt>
                <c:pt idx="60">
                  <c:v>1.4383803748677431</c:v>
                </c:pt>
                <c:pt idx="61">
                  <c:v>1.4606337672398351</c:v>
                </c:pt>
                <c:pt idx="62">
                  <c:v>1.4828871596119271</c:v>
                </c:pt>
                <c:pt idx="63">
                  <c:v>1.5051405519840191</c:v>
                </c:pt>
                <c:pt idx="64">
                  <c:v>1.5273939443561111</c:v>
                </c:pt>
                <c:pt idx="65">
                  <c:v>1.549647336728202</c:v>
                </c:pt>
                <c:pt idx="66">
                  <c:v>1.571900729100294</c:v>
                </c:pt>
                <c:pt idx="67">
                  <c:v>1.594154121472386</c:v>
                </c:pt>
                <c:pt idx="68">
                  <c:v>1.616407513844478</c:v>
                </c:pt>
                <c:pt idx="69">
                  <c:v>1.63866090621657</c:v>
                </c:pt>
                <c:pt idx="70">
                  <c:v>1.660914298588662</c:v>
                </c:pt>
                <c:pt idx="71">
                  <c:v>1.6831676909607529</c:v>
                </c:pt>
                <c:pt idx="72">
                  <c:v>1.7054210833328449</c:v>
                </c:pt>
                <c:pt idx="73">
                  <c:v>1.7276744757049369</c:v>
                </c:pt>
                <c:pt idx="74">
                  <c:v>1.7499278680770289</c:v>
                </c:pt>
                <c:pt idx="75">
                  <c:v>1.7721812604491209</c:v>
                </c:pt>
                <c:pt idx="76">
                  <c:v>1.7944346528212129</c:v>
                </c:pt>
                <c:pt idx="77">
                  <c:v>1.8166880451933041</c:v>
                </c:pt>
                <c:pt idx="78">
                  <c:v>1.8389414375653961</c:v>
                </c:pt>
                <c:pt idx="79">
                  <c:v>1.8611948299374881</c:v>
                </c:pt>
                <c:pt idx="80">
                  <c:v>1.8834482223095801</c:v>
                </c:pt>
                <c:pt idx="81">
                  <c:v>1.9057016146816721</c:v>
                </c:pt>
                <c:pt idx="82">
                  <c:v>1.927955007053763</c:v>
                </c:pt>
                <c:pt idx="83">
                  <c:v>1.950208399425855</c:v>
                </c:pt>
                <c:pt idx="84">
                  <c:v>1.972461791797947</c:v>
                </c:pt>
                <c:pt idx="85">
                  <c:v>1.994715184170039</c:v>
                </c:pt>
                <c:pt idx="86">
                  <c:v>2.0169685765421308</c:v>
                </c:pt>
                <c:pt idx="87">
                  <c:v>2.039221968914223</c:v>
                </c:pt>
                <c:pt idx="88">
                  <c:v>2.0614753612863139</c:v>
                </c:pt>
                <c:pt idx="89">
                  <c:v>2.0837287536584062</c:v>
                </c:pt>
                <c:pt idx="90">
                  <c:v>2.1059821460304979</c:v>
                </c:pt>
                <c:pt idx="91">
                  <c:v>2.1282355384025902</c:v>
                </c:pt>
                <c:pt idx="92">
                  <c:v>2.150488930774682</c:v>
                </c:pt>
                <c:pt idx="93">
                  <c:v>2.1727423231467742</c:v>
                </c:pt>
                <c:pt idx="94">
                  <c:v>2.194995715518866</c:v>
                </c:pt>
                <c:pt idx="95">
                  <c:v>2.2172491078909569</c:v>
                </c:pt>
                <c:pt idx="96">
                  <c:v>2.2395025002630491</c:v>
                </c:pt>
                <c:pt idx="97">
                  <c:v>2.2617558926351409</c:v>
                </c:pt>
                <c:pt idx="98">
                  <c:v>2.2840092850072331</c:v>
                </c:pt>
                <c:pt idx="99">
                  <c:v>2.306262677379324</c:v>
                </c:pt>
              </c:numCache>
            </c:numRef>
          </c:xVal>
          <c:yVal>
            <c:numRef>
              <c:f>Strompreis!$C$102:$C$201</c:f>
              <c:numCache>
                <c:formatCode>General</c:formatCode>
                <c:ptCount val="100"/>
                <c:pt idx="0">
                  <c:v>-58465.387944957969</c:v>
                </c:pt>
                <c:pt idx="1">
                  <c:v>-54219.605551492947</c:v>
                </c:pt>
                <c:pt idx="2">
                  <c:v>-49913.426158927861</c:v>
                </c:pt>
                <c:pt idx="3">
                  <c:v>-45697.289559425473</c:v>
                </c:pt>
                <c:pt idx="4">
                  <c:v>-41476.93870516662</c:v>
                </c:pt>
                <c:pt idx="5">
                  <c:v>-37320.477997880902</c:v>
                </c:pt>
                <c:pt idx="6">
                  <c:v>-33115.616004918127</c:v>
                </c:pt>
                <c:pt idx="7">
                  <c:v>-29002.27604749248</c:v>
                </c:pt>
                <c:pt idx="8">
                  <c:v>-24911.642542639031</c:v>
                </c:pt>
                <c:pt idx="9">
                  <c:v>-20874.342437786148</c:v>
                </c:pt>
                <c:pt idx="10">
                  <c:v>-17000.147201701289</c:v>
                </c:pt>
                <c:pt idx="11">
                  <c:v>-13210.406315753769</c:v>
                </c:pt>
                <c:pt idx="12">
                  <c:v>-9508.813213229585</c:v>
                </c:pt>
                <c:pt idx="13">
                  <c:v>-5825.7787976856907</c:v>
                </c:pt>
                <c:pt idx="14">
                  <c:v>-2336.029738482172</c:v>
                </c:pt>
                <c:pt idx="15">
                  <c:v>557.40060728757908</c:v>
                </c:pt>
                <c:pt idx="16">
                  <c:v>3137.6405135355139</c:v>
                </c:pt>
                <c:pt idx="17">
                  <c:v>5714.7168698540381</c:v>
                </c:pt>
                <c:pt idx="18">
                  <c:v>8236.063536825277</c:v>
                </c:pt>
                <c:pt idx="19">
                  <c:v>10783.430212498281</c:v>
                </c:pt>
                <c:pt idx="20">
                  <c:v>13346.14321466303</c:v>
                </c:pt>
                <c:pt idx="21">
                  <c:v>15910.698540830461</c:v>
                </c:pt>
                <c:pt idx="22">
                  <c:v>18459.3952171321</c:v>
                </c:pt>
                <c:pt idx="23">
                  <c:v>21023.27034556081</c:v>
                </c:pt>
                <c:pt idx="24">
                  <c:v>23557.74645010359</c:v>
                </c:pt>
                <c:pt idx="25">
                  <c:v>26121.0940945334</c:v>
                </c:pt>
                <c:pt idx="26">
                  <c:v>28698.568686087881</c:v>
                </c:pt>
                <c:pt idx="27">
                  <c:v>31231.180621937641</c:v>
                </c:pt>
                <c:pt idx="28">
                  <c:v>33781.607490168914</c:v>
                </c:pt>
                <c:pt idx="29">
                  <c:v>36358.667989685571</c:v>
                </c:pt>
                <c:pt idx="30">
                  <c:v>38907.245565518322</c:v>
                </c:pt>
                <c:pt idx="31">
                  <c:v>41442.746595139193</c:v>
                </c:pt>
                <c:pt idx="32">
                  <c:v>43976.715463243978</c:v>
                </c:pt>
                <c:pt idx="33">
                  <c:v>46570.192431291784</c:v>
                </c:pt>
                <c:pt idx="34">
                  <c:v>49119.894557053551</c:v>
                </c:pt>
                <c:pt idx="35">
                  <c:v>51695.458136107423</c:v>
                </c:pt>
                <c:pt idx="36">
                  <c:v>54215.454182719113</c:v>
                </c:pt>
                <c:pt idx="37">
                  <c:v>56794.424057162549</c:v>
                </c:pt>
                <c:pt idx="38">
                  <c:v>59344.015364262093</c:v>
                </c:pt>
                <c:pt idx="39">
                  <c:v>61891.288270990262</c:v>
                </c:pt>
                <c:pt idx="40">
                  <c:v>64425.838752774893</c:v>
                </c:pt>
                <c:pt idx="41">
                  <c:v>67003.689434113156</c:v>
                </c:pt>
                <c:pt idx="42">
                  <c:v>69551.369336802949</c:v>
                </c:pt>
                <c:pt idx="43">
                  <c:v>72100.45262767683</c:v>
                </c:pt>
                <c:pt idx="44">
                  <c:v>74665.674297909267</c:v>
                </c:pt>
                <c:pt idx="45">
                  <c:v>77228.98763888258</c:v>
                </c:pt>
                <c:pt idx="46">
                  <c:v>79791.9736500336</c:v>
                </c:pt>
                <c:pt idx="47">
                  <c:v>82328.872954119128</c:v>
                </c:pt>
                <c:pt idx="48">
                  <c:v>84890.088733510391</c:v>
                </c:pt>
                <c:pt idx="49">
                  <c:v>87453.25603504233</c:v>
                </c:pt>
                <c:pt idx="50">
                  <c:v>89974.580533333705</c:v>
                </c:pt>
                <c:pt idx="51">
                  <c:v>92535.429029368956</c:v>
                </c:pt>
                <c:pt idx="52">
                  <c:v>95098.555216364155</c:v>
                </c:pt>
                <c:pt idx="53">
                  <c:v>97620.272537264726</c:v>
                </c:pt>
                <c:pt idx="54">
                  <c:v>100234.0249468199</c:v>
                </c:pt>
                <c:pt idx="55">
                  <c:v>102776.03933448291</c:v>
                </c:pt>
                <c:pt idx="56">
                  <c:v>105284.8580661653</c:v>
                </c:pt>
                <c:pt idx="57">
                  <c:v>107902.5702138113</c:v>
                </c:pt>
                <c:pt idx="58">
                  <c:v>110464.348395956</c:v>
                </c:pt>
                <c:pt idx="59">
                  <c:v>112973.59792447</c:v>
                </c:pt>
                <c:pt idx="60">
                  <c:v>115505.2819672765</c:v>
                </c:pt>
                <c:pt idx="61">
                  <c:v>118081.02704516549</c:v>
                </c:pt>
                <c:pt idx="62">
                  <c:v>120646.9431227778</c:v>
                </c:pt>
                <c:pt idx="63">
                  <c:v>123193.154067323</c:v>
                </c:pt>
                <c:pt idx="64">
                  <c:v>125728.96448142509</c:v>
                </c:pt>
                <c:pt idx="65">
                  <c:v>128323.7754943015</c:v>
                </c:pt>
                <c:pt idx="66">
                  <c:v>130886.4515727613</c:v>
                </c:pt>
                <c:pt idx="67">
                  <c:v>133422.7721958592</c:v>
                </c:pt>
                <c:pt idx="68">
                  <c:v>135999.76901605149</c:v>
                </c:pt>
                <c:pt idx="69">
                  <c:v>138546.28306304739</c:v>
                </c:pt>
                <c:pt idx="70">
                  <c:v>141053.1222307698</c:v>
                </c:pt>
                <c:pt idx="71">
                  <c:v>143600.61254940249</c:v>
                </c:pt>
                <c:pt idx="72">
                  <c:v>146192.48014327549</c:v>
                </c:pt>
                <c:pt idx="73">
                  <c:v>148755.37195113191</c:v>
                </c:pt>
                <c:pt idx="74">
                  <c:v>151335.88537828071</c:v>
                </c:pt>
                <c:pt idx="75">
                  <c:v>153883.92203465279</c:v>
                </c:pt>
                <c:pt idx="76">
                  <c:v>156420.0264586508</c:v>
                </c:pt>
                <c:pt idx="77">
                  <c:v>158967.5146956181</c:v>
                </c:pt>
                <c:pt idx="78">
                  <c:v>161487.32254603229</c:v>
                </c:pt>
                <c:pt idx="79">
                  <c:v>164050.14283489509</c:v>
                </c:pt>
                <c:pt idx="80">
                  <c:v>166658.31340965969</c:v>
                </c:pt>
                <c:pt idx="81">
                  <c:v>169220.09021270461</c:v>
                </c:pt>
                <c:pt idx="82">
                  <c:v>171741.62507587339</c:v>
                </c:pt>
                <c:pt idx="83">
                  <c:v>174274.98774622279</c:v>
                </c:pt>
                <c:pt idx="84">
                  <c:v>176865.44411106329</c:v>
                </c:pt>
                <c:pt idx="85">
                  <c:v>179387.7763042576</c:v>
                </c:pt>
                <c:pt idx="86">
                  <c:v>181949.82566023269</c:v>
                </c:pt>
                <c:pt idx="87">
                  <c:v>184513.8727230494</c:v>
                </c:pt>
                <c:pt idx="88">
                  <c:v>187065.79102050141</c:v>
                </c:pt>
                <c:pt idx="89">
                  <c:v>189640.94390933469</c:v>
                </c:pt>
                <c:pt idx="90">
                  <c:v>192190.57957169661</c:v>
                </c:pt>
                <c:pt idx="91">
                  <c:v>194738.0597289986</c:v>
                </c:pt>
                <c:pt idx="92">
                  <c:v>197286.19022976561</c:v>
                </c:pt>
                <c:pt idx="93">
                  <c:v>199835.07008615651</c:v>
                </c:pt>
                <c:pt idx="94">
                  <c:v>202399.39041641209</c:v>
                </c:pt>
                <c:pt idx="95">
                  <c:v>204934.59563661311</c:v>
                </c:pt>
                <c:pt idx="96">
                  <c:v>207526.13164718231</c:v>
                </c:pt>
                <c:pt idx="97">
                  <c:v>210046.33186094961</c:v>
                </c:pt>
                <c:pt idx="98">
                  <c:v>212611.12273435041</c:v>
                </c:pt>
                <c:pt idx="99">
                  <c:v>215174.62227716841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F17-40C0-9269-5DFF3F9D5A18}"/>
            </c:ext>
          </c:extLst>
        </c:ser>
        <c:ser>
          <c:idx val="2"/>
          <c:order val="1"/>
          <c:tx>
            <c:v>Szenario II (1)</c:v>
          </c:tx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2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Strompreis!$D$2:$D$101</c:f>
              <c:numCache>
                <c:formatCode>General</c:formatCode>
                <c:ptCount val="100"/>
                <c:pt idx="0">
                  <c:v>0.1031768325422337</c:v>
                </c:pt>
                <c:pt idx="1">
                  <c:v>0.12543022491432559</c:v>
                </c:pt>
                <c:pt idx="2">
                  <c:v>0.14768361728641741</c:v>
                </c:pt>
                <c:pt idx="3">
                  <c:v>0.16993700965850919</c:v>
                </c:pt>
                <c:pt idx="4">
                  <c:v>0.19219040203060109</c:v>
                </c:pt>
                <c:pt idx="5">
                  <c:v>0.2144437944026929</c:v>
                </c:pt>
                <c:pt idx="6">
                  <c:v>0.23669718677478471</c:v>
                </c:pt>
                <c:pt idx="7">
                  <c:v>0.25895057914687653</c:v>
                </c:pt>
                <c:pt idx="8">
                  <c:v>0.28120397151896842</c:v>
                </c:pt>
                <c:pt idx="9">
                  <c:v>0.30345736389106021</c:v>
                </c:pt>
                <c:pt idx="10">
                  <c:v>0.32571075626315199</c:v>
                </c:pt>
                <c:pt idx="11">
                  <c:v>0.34796414863524378</c:v>
                </c:pt>
                <c:pt idx="12">
                  <c:v>0.37021754100733573</c:v>
                </c:pt>
                <c:pt idx="13">
                  <c:v>0.39247093337942751</c:v>
                </c:pt>
                <c:pt idx="14">
                  <c:v>0.4147243257515193</c:v>
                </c:pt>
                <c:pt idx="15">
                  <c:v>0.43697771812361108</c:v>
                </c:pt>
                <c:pt idx="16">
                  <c:v>0.45923111049570298</c:v>
                </c:pt>
                <c:pt idx="17">
                  <c:v>0.48148450286779482</c:v>
                </c:pt>
                <c:pt idx="18">
                  <c:v>0.50373789523988666</c:v>
                </c:pt>
                <c:pt idx="19">
                  <c:v>0.52599128761197844</c:v>
                </c:pt>
                <c:pt idx="20">
                  <c:v>0.54824467998407023</c:v>
                </c:pt>
                <c:pt idx="21">
                  <c:v>0.57049807235616212</c:v>
                </c:pt>
                <c:pt idx="22">
                  <c:v>0.59275146472825391</c:v>
                </c:pt>
                <c:pt idx="23">
                  <c:v>0.6150048571003458</c:v>
                </c:pt>
                <c:pt idx="24">
                  <c:v>0.63725824947243759</c:v>
                </c:pt>
                <c:pt idx="25">
                  <c:v>0.65951164184452937</c:v>
                </c:pt>
                <c:pt idx="26">
                  <c:v>0.68176503421662127</c:v>
                </c:pt>
                <c:pt idx="27">
                  <c:v>0.70401842658871305</c:v>
                </c:pt>
                <c:pt idx="28">
                  <c:v>0.72627181896080484</c:v>
                </c:pt>
                <c:pt idx="29">
                  <c:v>0.74852521133289673</c:v>
                </c:pt>
                <c:pt idx="30">
                  <c:v>0.77077860370498852</c:v>
                </c:pt>
                <c:pt idx="31">
                  <c:v>0.79303199607708041</c:v>
                </c:pt>
                <c:pt idx="32">
                  <c:v>0.8152853884491722</c:v>
                </c:pt>
                <c:pt idx="33">
                  <c:v>0.83753878082126398</c:v>
                </c:pt>
                <c:pt idx="34">
                  <c:v>0.85979217319335588</c:v>
                </c:pt>
                <c:pt idx="35">
                  <c:v>0.88204556556544766</c:v>
                </c:pt>
                <c:pt idx="36">
                  <c:v>0.90429895793753956</c:v>
                </c:pt>
                <c:pt idx="37">
                  <c:v>0.92655235030963135</c:v>
                </c:pt>
                <c:pt idx="38">
                  <c:v>0.94880574268172313</c:v>
                </c:pt>
                <c:pt idx="39">
                  <c:v>0.97105913505381503</c:v>
                </c:pt>
                <c:pt idx="40">
                  <c:v>0.99331252742590681</c:v>
                </c:pt>
                <c:pt idx="41">
                  <c:v>1.015565919797998</c:v>
                </c:pt>
                <c:pt idx="42">
                  <c:v>1.03781931217009</c:v>
                </c:pt>
                <c:pt idx="43">
                  <c:v>1.0600727045421821</c:v>
                </c:pt>
                <c:pt idx="44">
                  <c:v>1.0823260969142741</c:v>
                </c:pt>
                <c:pt idx="45">
                  <c:v>1.1045794892863661</c:v>
                </c:pt>
                <c:pt idx="46">
                  <c:v>1.1268328816584581</c:v>
                </c:pt>
                <c:pt idx="47">
                  <c:v>1.1490862740305501</c:v>
                </c:pt>
                <c:pt idx="48">
                  <c:v>1.171339666402641</c:v>
                </c:pt>
                <c:pt idx="49">
                  <c:v>1.193593058774733</c:v>
                </c:pt>
                <c:pt idx="50">
                  <c:v>1.215846451146825</c:v>
                </c:pt>
                <c:pt idx="51">
                  <c:v>1.238099843518917</c:v>
                </c:pt>
                <c:pt idx="52">
                  <c:v>1.260353235891009</c:v>
                </c:pt>
                <c:pt idx="53">
                  <c:v>1.282606628263101</c:v>
                </c:pt>
                <c:pt idx="54">
                  <c:v>1.3048600206351919</c:v>
                </c:pt>
                <c:pt idx="55">
                  <c:v>1.3271134130072839</c:v>
                </c:pt>
                <c:pt idx="56">
                  <c:v>1.3493668053793759</c:v>
                </c:pt>
                <c:pt idx="57">
                  <c:v>1.3716201977514679</c:v>
                </c:pt>
                <c:pt idx="58">
                  <c:v>1.3938735901235599</c:v>
                </c:pt>
                <c:pt idx="59">
                  <c:v>1.4161269824956511</c:v>
                </c:pt>
                <c:pt idx="60">
                  <c:v>1.4383803748677431</c:v>
                </c:pt>
                <c:pt idx="61">
                  <c:v>1.4606337672398351</c:v>
                </c:pt>
                <c:pt idx="62">
                  <c:v>1.4828871596119271</c:v>
                </c:pt>
                <c:pt idx="63">
                  <c:v>1.5051405519840191</c:v>
                </c:pt>
                <c:pt idx="64">
                  <c:v>1.5273939443561111</c:v>
                </c:pt>
                <c:pt idx="65">
                  <c:v>1.549647336728202</c:v>
                </c:pt>
                <c:pt idx="66">
                  <c:v>1.571900729100294</c:v>
                </c:pt>
                <c:pt idx="67">
                  <c:v>1.594154121472386</c:v>
                </c:pt>
                <c:pt idx="68">
                  <c:v>1.616407513844478</c:v>
                </c:pt>
                <c:pt idx="69">
                  <c:v>1.63866090621657</c:v>
                </c:pt>
                <c:pt idx="70">
                  <c:v>1.660914298588662</c:v>
                </c:pt>
                <c:pt idx="71">
                  <c:v>1.6831676909607529</c:v>
                </c:pt>
                <c:pt idx="72">
                  <c:v>1.7054210833328449</c:v>
                </c:pt>
                <c:pt idx="73">
                  <c:v>1.7276744757049369</c:v>
                </c:pt>
                <c:pt idx="74">
                  <c:v>1.7499278680770289</c:v>
                </c:pt>
                <c:pt idx="75">
                  <c:v>1.7721812604491209</c:v>
                </c:pt>
                <c:pt idx="76">
                  <c:v>1.7944346528212129</c:v>
                </c:pt>
                <c:pt idx="77">
                  <c:v>1.8166880451933041</c:v>
                </c:pt>
                <c:pt idx="78">
                  <c:v>1.8389414375653961</c:v>
                </c:pt>
                <c:pt idx="79">
                  <c:v>1.8611948299374881</c:v>
                </c:pt>
                <c:pt idx="80">
                  <c:v>1.8834482223095801</c:v>
                </c:pt>
                <c:pt idx="81">
                  <c:v>1.9057016146816721</c:v>
                </c:pt>
                <c:pt idx="82">
                  <c:v>1.927955007053763</c:v>
                </c:pt>
                <c:pt idx="83">
                  <c:v>1.950208399425855</c:v>
                </c:pt>
                <c:pt idx="84">
                  <c:v>1.972461791797947</c:v>
                </c:pt>
                <c:pt idx="85">
                  <c:v>1.994715184170039</c:v>
                </c:pt>
                <c:pt idx="86">
                  <c:v>2.0169685765421308</c:v>
                </c:pt>
                <c:pt idx="87">
                  <c:v>2.039221968914223</c:v>
                </c:pt>
                <c:pt idx="88">
                  <c:v>2.0614753612863139</c:v>
                </c:pt>
                <c:pt idx="89">
                  <c:v>2.0837287536584062</c:v>
                </c:pt>
                <c:pt idx="90">
                  <c:v>2.1059821460304979</c:v>
                </c:pt>
                <c:pt idx="91">
                  <c:v>2.1282355384025902</c:v>
                </c:pt>
                <c:pt idx="92">
                  <c:v>2.150488930774682</c:v>
                </c:pt>
                <c:pt idx="93">
                  <c:v>2.1727423231467742</c:v>
                </c:pt>
                <c:pt idx="94">
                  <c:v>2.194995715518866</c:v>
                </c:pt>
                <c:pt idx="95">
                  <c:v>2.2172491078909569</c:v>
                </c:pt>
                <c:pt idx="96">
                  <c:v>2.2395025002630491</c:v>
                </c:pt>
                <c:pt idx="97">
                  <c:v>2.2617558926351409</c:v>
                </c:pt>
                <c:pt idx="98">
                  <c:v>2.2840092850072331</c:v>
                </c:pt>
                <c:pt idx="99">
                  <c:v>2.306262677379324</c:v>
                </c:pt>
              </c:numCache>
            </c:numRef>
          </c:xVal>
          <c:yVal>
            <c:numRef>
              <c:f>Strompreis!$C$2:$C$101</c:f>
              <c:numCache>
                <c:formatCode>General</c:formatCode>
                <c:ptCount val="100"/>
                <c:pt idx="0">
                  <c:v>-38567.444851079992</c:v>
                </c:pt>
                <c:pt idx="1">
                  <c:v>-34169.355034827058</c:v>
                </c:pt>
                <c:pt idx="2">
                  <c:v>-29867.633400725608</c:v>
                </c:pt>
                <c:pt idx="3">
                  <c:v>-25600.910826106669</c:v>
                </c:pt>
                <c:pt idx="4">
                  <c:v>-21403.82033472681</c:v>
                </c:pt>
                <c:pt idx="5">
                  <c:v>-17244.342079126189</c:v>
                </c:pt>
                <c:pt idx="6">
                  <c:v>-13135.592639803241</c:v>
                </c:pt>
                <c:pt idx="7">
                  <c:v>-9220.005845117641</c:v>
                </c:pt>
                <c:pt idx="8">
                  <c:v>-5521.3583356730542</c:v>
                </c:pt>
                <c:pt idx="9">
                  <c:v>-2016.7804706846559</c:v>
                </c:pt>
                <c:pt idx="10">
                  <c:v>823.03652562497507</c:v>
                </c:pt>
                <c:pt idx="11">
                  <c:v>3414.2996881663171</c:v>
                </c:pt>
                <c:pt idx="12">
                  <c:v>6018.9904131538296</c:v>
                </c:pt>
                <c:pt idx="13">
                  <c:v>8638.2200043520697</c:v>
                </c:pt>
                <c:pt idx="14">
                  <c:v>11258.37628988209</c:v>
                </c:pt>
                <c:pt idx="15">
                  <c:v>13835.39368846533</c:v>
                </c:pt>
                <c:pt idx="16">
                  <c:v>16426.230287133909</c:v>
                </c:pt>
                <c:pt idx="17">
                  <c:v>19043.689747230779</c:v>
                </c:pt>
                <c:pt idx="18">
                  <c:v>21622.13007831795</c:v>
                </c:pt>
                <c:pt idx="19">
                  <c:v>24239.829515152731</c:v>
                </c:pt>
                <c:pt idx="20">
                  <c:v>26832.093696869459</c:v>
                </c:pt>
                <c:pt idx="21">
                  <c:v>29439.472840319511</c:v>
                </c:pt>
                <c:pt idx="22">
                  <c:v>32055.196282725668</c:v>
                </c:pt>
                <c:pt idx="23">
                  <c:v>34633.359795909622</c:v>
                </c:pt>
                <c:pt idx="24">
                  <c:v>37251.460164100317</c:v>
                </c:pt>
                <c:pt idx="25">
                  <c:v>39813.797463043127</c:v>
                </c:pt>
                <c:pt idx="26">
                  <c:v>42448.051577763952</c:v>
                </c:pt>
                <c:pt idx="27">
                  <c:v>45052.829870328067</c:v>
                </c:pt>
                <c:pt idx="28">
                  <c:v>47658.506913912213</c:v>
                </c:pt>
                <c:pt idx="29">
                  <c:v>50264.794790973763</c:v>
                </c:pt>
                <c:pt idx="30">
                  <c:v>52853.992186498821</c:v>
                </c:pt>
                <c:pt idx="31">
                  <c:v>55444.892009246323</c:v>
                </c:pt>
                <c:pt idx="32">
                  <c:v>58079.064189609388</c:v>
                </c:pt>
                <c:pt idx="33">
                  <c:v>60668.455205949773</c:v>
                </c:pt>
                <c:pt idx="34">
                  <c:v>63260.369211803292</c:v>
                </c:pt>
                <c:pt idx="35">
                  <c:v>65851.894383363164</c:v>
                </c:pt>
                <c:pt idx="36">
                  <c:v>68458.251681250884</c:v>
                </c:pt>
                <c:pt idx="37">
                  <c:v>71089.80804170284</c:v>
                </c:pt>
                <c:pt idx="38">
                  <c:v>73667.008363845729</c:v>
                </c:pt>
                <c:pt idx="39">
                  <c:v>76257.969274088086</c:v>
                </c:pt>
                <c:pt idx="40">
                  <c:v>78860.369079900716</c:v>
                </c:pt>
                <c:pt idx="41">
                  <c:v>81454.188941075059</c:v>
                </c:pt>
                <c:pt idx="42">
                  <c:v>84072.022364885241</c:v>
                </c:pt>
                <c:pt idx="43">
                  <c:v>86660.493154158859</c:v>
                </c:pt>
                <c:pt idx="44">
                  <c:v>89269.288472400702</c:v>
                </c:pt>
                <c:pt idx="45">
                  <c:v>91859.438348473297</c:v>
                </c:pt>
                <c:pt idx="46">
                  <c:v>94490.997104067748</c:v>
                </c:pt>
                <c:pt idx="47">
                  <c:v>97084.406813904483</c:v>
                </c:pt>
                <c:pt idx="48">
                  <c:v>99662.185817034915</c:v>
                </c:pt>
                <c:pt idx="49">
                  <c:v>102321.3278230197</c:v>
                </c:pt>
                <c:pt idx="50">
                  <c:v>104885.3600277396</c:v>
                </c:pt>
                <c:pt idx="51">
                  <c:v>107463.9422682462</c:v>
                </c:pt>
                <c:pt idx="52">
                  <c:v>110108.7848953644</c:v>
                </c:pt>
                <c:pt idx="53">
                  <c:v>112698.81791256341</c:v>
                </c:pt>
                <c:pt idx="54">
                  <c:v>115263.25711324489</c:v>
                </c:pt>
                <c:pt idx="55">
                  <c:v>117855.29279617951</c:v>
                </c:pt>
                <c:pt idx="56">
                  <c:v>120511.4234190759</c:v>
                </c:pt>
                <c:pt idx="57">
                  <c:v>123090.41591927881</c:v>
                </c:pt>
                <c:pt idx="58">
                  <c:v>125667.6988472829</c:v>
                </c:pt>
                <c:pt idx="59">
                  <c:v>128242.9970864112</c:v>
                </c:pt>
                <c:pt idx="60">
                  <c:v>130937.0248281965</c:v>
                </c:pt>
                <c:pt idx="61">
                  <c:v>133515.3789910152</c:v>
                </c:pt>
                <c:pt idx="62">
                  <c:v>136119.83625128839</c:v>
                </c:pt>
                <c:pt idx="63">
                  <c:v>138695.49775687419</c:v>
                </c:pt>
                <c:pt idx="64">
                  <c:v>141287.2778904103</c:v>
                </c:pt>
                <c:pt idx="65">
                  <c:v>143904.63248946311</c:v>
                </c:pt>
                <c:pt idx="66">
                  <c:v>146525.04894684011</c:v>
                </c:pt>
                <c:pt idx="67">
                  <c:v>149129.92777697311</c:v>
                </c:pt>
                <c:pt idx="68">
                  <c:v>151718.20767700861</c:v>
                </c:pt>
                <c:pt idx="69">
                  <c:v>154308.15812168259</c:v>
                </c:pt>
                <c:pt idx="70">
                  <c:v>156871.03648572671</c:v>
                </c:pt>
                <c:pt idx="71">
                  <c:v>159460.44609490421</c:v>
                </c:pt>
                <c:pt idx="72">
                  <c:v>162096.15895764731</c:v>
                </c:pt>
                <c:pt idx="73">
                  <c:v>164747.1283218594</c:v>
                </c:pt>
                <c:pt idx="74">
                  <c:v>167352.20201362949</c:v>
                </c:pt>
                <c:pt idx="75">
                  <c:v>169944.14434715739</c:v>
                </c:pt>
                <c:pt idx="76">
                  <c:v>172534.10029407419</c:v>
                </c:pt>
                <c:pt idx="77">
                  <c:v>175137.05425558239</c:v>
                </c:pt>
                <c:pt idx="78">
                  <c:v>177713.8913112678</c:v>
                </c:pt>
                <c:pt idx="79">
                  <c:v>180305.20643070311</c:v>
                </c:pt>
                <c:pt idx="80">
                  <c:v>182908.40145170729</c:v>
                </c:pt>
                <c:pt idx="81">
                  <c:v>185512.7489474398</c:v>
                </c:pt>
                <c:pt idx="82">
                  <c:v>188136.44422571981</c:v>
                </c:pt>
                <c:pt idx="83">
                  <c:v>190738.44058495821</c:v>
                </c:pt>
                <c:pt idx="84">
                  <c:v>193344.43708322081</c:v>
                </c:pt>
                <c:pt idx="85">
                  <c:v>195921.84234900359</c:v>
                </c:pt>
                <c:pt idx="86">
                  <c:v>198537.56579140981</c:v>
                </c:pt>
                <c:pt idx="87">
                  <c:v>201118.25888364701</c:v>
                </c:pt>
                <c:pt idx="88">
                  <c:v>203749.86969612469</c:v>
                </c:pt>
                <c:pt idx="89">
                  <c:v>206312.20699506759</c:v>
                </c:pt>
                <c:pt idx="90">
                  <c:v>208931.06618886601</c:v>
                </c:pt>
                <c:pt idx="91">
                  <c:v>211553.6809477575</c:v>
                </c:pt>
                <c:pt idx="92">
                  <c:v>214142.32411425051</c:v>
                </c:pt>
                <c:pt idx="93">
                  <c:v>216763.1950097887</c:v>
                </c:pt>
                <c:pt idx="94">
                  <c:v>219338.86171362671</c:v>
                </c:pt>
                <c:pt idx="95">
                  <c:v>221957.8373675849</c:v>
                </c:pt>
                <c:pt idx="96">
                  <c:v>224562.7389435629</c:v>
                </c:pt>
                <c:pt idx="97">
                  <c:v>227138.978353652</c:v>
                </c:pt>
                <c:pt idx="98">
                  <c:v>229758.27356363871</c:v>
                </c:pt>
                <c:pt idx="99">
                  <c:v>232334.68261936991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F17-40C0-9269-5DFF3F9D5A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11948224"/>
        <c:axId val="1311944896"/>
      </c:scatterChart>
      <c:valAx>
        <c:axId val="1311948224"/>
        <c:scaling>
          <c:orientation val="minMax"/>
          <c:max val="2.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8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800"/>
                  <a:t>Strompreis</a:t>
                </a:r>
                <a:r>
                  <a:rPr lang="de-DE" sz="1800" baseline="0"/>
                  <a:t> in €/kWh unter Berücksichtigung der Inflation mit 2%</a:t>
                </a:r>
                <a:endParaRPr lang="de-DE" sz="1800"/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8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" sourceLinked="0"/>
        <c:majorTickMark val="in"/>
        <c:minorTickMark val="cross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4896"/>
        <c:crosses val="autoZero"/>
        <c:crossBetween val="midCat"/>
        <c:majorUnit val="5.000000000000001E-2"/>
        <c:minorUnit val="1.0000000000000002E-2"/>
      </c:valAx>
      <c:valAx>
        <c:axId val="1311944896"/>
        <c:scaling>
          <c:orientation val="minMax"/>
          <c:min val="-50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 sz="1600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6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in"/>
        <c:minorTickMark val="cross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311948224"/>
        <c:crosses val="autoZero"/>
        <c:crossBetween val="midCat"/>
        <c:majorUnit val="15000"/>
        <c:minorUnit val="10000"/>
      </c:valAx>
      <c:spPr>
        <a:noFill/>
        <a:ln>
          <a:noFill/>
        </a:ln>
        <a:effectLst/>
      </c:spPr>
    </c:plotArea>
    <c:legend>
      <c:legendPos val="r"/>
      <c:layout>
        <c:manualLayout>
          <c:xMode val="edge"/>
          <c:yMode val="edge"/>
          <c:x val="0.87790605732139448"/>
          <c:y val="0.85676733450425091"/>
          <c:w val="9.4184595961329054E-2"/>
          <c:h val="6.1412683794801221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1800"/>
              <a:t>Berücksichtigung einmal mit und ohne der Ertragsteuer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2873567904991504"/>
          <c:y val="0.10075795415124029"/>
          <c:w val="0.85526418717659713"/>
          <c:h val="0.75989046920762404"/>
        </c:manualLayout>
      </c:layout>
      <c:barChart>
        <c:barDir val="col"/>
        <c:grouping val="clustered"/>
        <c:varyColors val="0"/>
        <c:ser>
          <c:idx val="0"/>
          <c:order val="0"/>
          <c:tx>
            <c:v>Szenario II (1) ohne Ertragsteuer</c:v>
          </c:tx>
          <c:spPr>
            <a:solidFill>
              <a:srgbClr val="5B9BD5"/>
            </a:solidFill>
            <a:ln>
              <a:noFill/>
            </a:ln>
            <a:effectLst/>
          </c:spPr>
          <c:invertIfNegative val="0"/>
          <c:val>
            <c:numRef>
              <c:f>Ertragsteuer!$B$3:$B$22</c:f>
              <c:numCache>
                <c:formatCode>General</c:formatCode>
                <c:ptCount val="20"/>
                <c:pt idx="0">
                  <c:v>-17087.484793747968</c:v>
                </c:pt>
                <c:pt idx="1">
                  <c:v>-14789.147234764825</c:v>
                </c:pt>
                <c:pt idx="2">
                  <c:v>-12448.932148609521</c:v>
                </c:pt>
                <c:pt idx="3">
                  <c:v>-10034.924615453487</c:v>
                </c:pt>
                <c:pt idx="4">
                  <c:v>-7531.1795717855803</c:v>
                </c:pt>
                <c:pt idx="5">
                  <c:v>-4930.5086444956578</c:v>
                </c:pt>
                <c:pt idx="6">
                  <c:v>-2238.3401588890629</c:v>
                </c:pt>
                <c:pt idx="7">
                  <c:v>542.76400161499078</c:v>
                </c:pt>
                <c:pt idx="8">
                  <c:v>3417.2023046531467</c:v>
                </c:pt>
                <c:pt idx="9">
                  <c:v>6377.722580795682</c:v>
                </c:pt>
                <c:pt idx="10">
                  <c:v>9432.7686146876185</c:v>
                </c:pt>
                <c:pt idx="11">
                  <c:v>10783.308892227844</c:v>
                </c:pt>
                <c:pt idx="12">
                  <c:v>13982.545263725202</c:v>
                </c:pt>
                <c:pt idx="13">
                  <c:v>17272.04208948688</c:v>
                </c:pt>
                <c:pt idx="14">
                  <c:v>20656.199384249747</c:v>
                </c:pt>
                <c:pt idx="15">
                  <c:v>24118.136551355383</c:v>
                </c:pt>
                <c:pt idx="16">
                  <c:v>27656.569439502746</c:v>
                </c:pt>
                <c:pt idx="17">
                  <c:v>31273.789248395758</c:v>
                </c:pt>
                <c:pt idx="18">
                  <c:v>34981.741122778032</c:v>
                </c:pt>
                <c:pt idx="19">
                  <c:v>38765.638007506575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66F3-41FC-B4A7-C5E1446E1206}"/>
            </c:ext>
          </c:extLst>
        </c:ser>
        <c:ser>
          <c:idx val="1"/>
          <c:order val="1"/>
          <c:tx>
            <c:v>Szenario II (1) mit Ertragsteuer</c:v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val>
            <c:numRef>
              <c:f>Ertragsteuer!$C$3:$C$22</c:f>
              <c:numCache>
                <c:formatCode>General</c:formatCode>
                <c:ptCount val="20"/>
                <c:pt idx="0">
                  <c:v>-17464.691719182509</c:v>
                </c:pt>
                <c:pt idx="1">
                  <c:v>-15570.837029485436</c:v>
                </c:pt>
                <c:pt idx="2">
                  <c:v>-13647.519980029967</c:v>
                </c:pt>
                <c:pt idx="3">
                  <c:v>-11680.478844992298</c:v>
                </c:pt>
                <c:pt idx="4">
                  <c:v>-9656.7221378967351</c:v>
                </c:pt>
                <c:pt idx="5">
                  <c:v>-7721.3587509759727</c:v>
                </c:pt>
                <c:pt idx="6">
                  <c:v>-5730.9226789179502</c:v>
                </c:pt>
                <c:pt idx="7">
                  <c:v>-3688.0916179197684</c:v>
                </c:pt>
                <c:pt idx="8">
                  <c:v>-1577.2610459291609</c:v>
                </c:pt>
                <c:pt idx="9">
                  <c:v>582.67699119270219</c:v>
                </c:pt>
                <c:pt idx="10">
                  <c:v>2798.3009532052947</c:v>
                </c:pt>
                <c:pt idx="11">
                  <c:v>3790.7952748157622</c:v>
                </c:pt>
                <c:pt idx="12">
                  <c:v>6110.6559853967792</c:v>
                </c:pt>
                <c:pt idx="13">
                  <c:v>8481.4847874909883</c:v>
                </c:pt>
                <c:pt idx="14">
                  <c:v>10906.423129615272</c:v>
                </c:pt>
                <c:pt idx="15">
                  <c:v>13383.106495876564</c:v>
                </c:pt>
                <c:pt idx="16">
                  <c:v>15897.656399748095</c:v>
                </c:pt>
                <c:pt idx="17">
                  <c:v>18463.873684623035</c:v>
                </c:pt>
                <c:pt idx="18">
                  <c:v>21079.000102255497</c:v>
                </c:pt>
                <c:pt idx="19">
                  <c:v>23742.415173267203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66F3-41FC-B4A7-C5E1446E1206}"/>
            </c:ext>
          </c:extLst>
        </c:ser>
        <c:ser>
          <c:idx val="2"/>
          <c:order val="2"/>
          <c:tx>
            <c:v>Szenario II (2) mit Ertragsteuer</c:v>
          </c:tx>
          <c:spPr>
            <a:solidFill>
              <a:schemeClr val="bg1">
                <a:lumMod val="50000"/>
              </a:schemeClr>
            </a:solidFill>
            <a:ln>
              <a:noFill/>
            </a:ln>
            <a:effectLst/>
          </c:spPr>
          <c:invertIfNegative val="0"/>
          <c:val>
            <c:numRef>
              <c:f>Ertragsteuer!$B$24:$B$43</c:f>
              <c:numCache>
                <c:formatCode>General</c:formatCode>
                <c:ptCount val="20"/>
                <c:pt idx="0">
                  <c:v>-24221.752261392641</c:v>
                </c:pt>
                <c:pt idx="1">
                  <c:v>-22346.455637975108</c:v>
                </c:pt>
                <c:pt idx="2">
                  <c:v>-20438.004898467661</c:v>
                </c:pt>
                <c:pt idx="3">
                  <c:v>-18456.856735935005</c:v>
                </c:pt>
                <c:pt idx="4">
                  <c:v>-16380.530877241979</c:v>
                </c:pt>
                <c:pt idx="5">
                  <c:v>-14201.923348126231</c:v>
                </c:pt>
                <c:pt idx="6">
                  <c:v>-11926.351763664095</c:v>
                </c:pt>
                <c:pt idx="7">
                  <c:v>-9556.3128756564056</c:v>
                </c:pt>
                <c:pt idx="8">
                  <c:v>-7087.4651885720014</c:v>
                </c:pt>
                <c:pt idx="9">
                  <c:v>-7550.9208430720482</c:v>
                </c:pt>
                <c:pt idx="10">
                  <c:v>-4941.787820354406</c:v>
                </c:pt>
                <c:pt idx="11">
                  <c:v>-4032.4891872224925</c:v>
                </c:pt>
                <c:pt idx="12">
                  <c:v>-1269.7246631889029</c:v>
                </c:pt>
                <c:pt idx="13">
                  <c:v>1587.9168000930204</c:v>
                </c:pt>
                <c:pt idx="14">
                  <c:v>4544.7036858535184</c:v>
                </c:pt>
                <c:pt idx="15">
                  <c:v>7584.0614235491466</c:v>
                </c:pt>
                <c:pt idx="16">
                  <c:v>10704.689101452783</c:v>
                </c:pt>
                <c:pt idx="17">
                  <c:v>13908.769475451631</c:v>
                </c:pt>
                <c:pt idx="18">
                  <c:v>17207.88977848482</c:v>
                </c:pt>
                <c:pt idx="19">
                  <c:v>20587.517496833745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66F3-41FC-B4A7-C5E1446E1206}"/>
            </c:ext>
          </c:extLst>
        </c:ser>
        <c:ser>
          <c:idx val="3"/>
          <c:order val="3"/>
          <c:tx>
            <c:v>Szenario II (2) mit Ertragsteuer</c:v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val>
            <c:numRef>
              <c:f>Ertragsteuer!$C$24:$C$43</c:f>
              <c:numCache>
                <c:formatCode>General</c:formatCode>
                <c:ptCount val="20"/>
                <c:pt idx="0">
                  <c:v>-24400.41676007241</c:v>
                </c:pt>
                <c:pt idx="1">
                  <c:v>-22726.831085396436</c:v>
                </c:pt>
                <c:pt idx="2">
                  <c:v>-21028.224366750535</c:v>
                </c:pt>
                <c:pt idx="3">
                  <c:v>-19283.852407750685</c:v>
                </c:pt>
                <c:pt idx="4">
                  <c:v>-17462.752831286351</c:v>
                </c:pt>
                <c:pt idx="5">
                  <c:v>-15791.463852650177</c:v>
                </c:pt>
                <c:pt idx="6">
                  <c:v>-14058.239982053907</c:v>
                </c:pt>
                <c:pt idx="7">
                  <c:v>-12253.259118896658</c:v>
                </c:pt>
                <c:pt idx="8">
                  <c:v>-10385.61678818769</c:v>
                </c:pt>
                <c:pt idx="9">
                  <c:v>-10622.093893605826</c:v>
                </c:pt>
                <c:pt idx="10">
                  <c:v>-8654.1464736832477</c:v>
                </c:pt>
                <c:pt idx="11">
                  <c:v>-7914.9848568740545</c:v>
                </c:pt>
                <c:pt idx="12">
                  <c:v>-5841.7529445676992</c:v>
                </c:pt>
                <c:pt idx="13">
                  <c:v>-3710.9504079397229</c:v>
                </c:pt>
                <c:pt idx="14">
                  <c:v>-1507.0930952710924</c:v>
                </c:pt>
                <c:pt idx="15">
                  <c:v>743.06899805538251</c:v>
                </c:pt>
                <c:pt idx="16">
                  <c:v>3050.3468711799351</c:v>
                </c:pt>
                <c:pt idx="17">
                  <c:v>5403.8072188736969</c:v>
                </c:pt>
                <c:pt idx="18">
                  <c:v>7825.0952669106946</c:v>
                </c:pt>
                <c:pt idx="19">
                  <c:v>10289.163871678786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66F3-41FC-B4A7-C5E1446E120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83621376"/>
        <c:axId val="383618048"/>
      </c:barChart>
      <c:catAx>
        <c:axId val="3836213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Periode t</a:t>
                </a:r>
              </a:p>
            </c:rich>
          </c:tx>
          <c:layout>
            <c:manualLayout>
              <c:xMode val="edge"/>
              <c:yMode val="edge"/>
              <c:x val="0.50781592835909439"/>
              <c:y val="0.91494714269612587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383618048"/>
        <c:crosses val="autoZero"/>
        <c:auto val="1"/>
        <c:lblAlgn val="ctr"/>
        <c:lblOffset val="100"/>
        <c:noMultiLvlLbl val="0"/>
      </c:catAx>
      <c:valAx>
        <c:axId val="383618048"/>
        <c:scaling>
          <c:orientation val="minMax"/>
          <c:max val="40000"/>
          <c:min val="-250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r>
                  <a:rPr lang="de-DE"/>
                  <a:t>Endwert in €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2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Times New Roman" panose="02020603050405020304" pitchFamily="18" charset="0"/>
                  <a:ea typeface="+mn-ea"/>
                  <a:cs typeface="Times New Roman" panose="02020603050405020304" pitchFamily="18" charset="0"/>
                </a:defRPr>
              </a:pPr>
              <a:endParaRPr lang="de-DE"/>
            </a:p>
          </c:txPr>
        </c:title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383621376"/>
        <c:crosses val="autoZero"/>
        <c:crossBetween val="between"/>
        <c:majorUnit val="5000"/>
        <c:minorUnit val="5000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3131523263831102"/>
          <c:y val="0.95200876063253692"/>
          <c:w val="0.86868476736168898"/>
          <c:h val="4.638288072396147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1600"/>
              <a:t>Univariate Parametervariation von Szenario II (2)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0.17337833750065701"/>
          <c:y val="0.16712962962962963"/>
          <c:w val="0.77611744939194383"/>
          <c:h val="0.62890274132400115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Tornado!$K$623</c:f>
              <c:strCache>
                <c:ptCount val="1"/>
                <c:pt idx="0">
                  <c:v>Maximum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Tornado!$J$624:$J$633</c:f>
              <c:strCache>
                <c:ptCount val="10"/>
                <c:pt idx="0">
                  <c:v>Ertragsteuer</c:v>
                </c:pt>
                <c:pt idx="1">
                  <c:v>Strompreis</c:v>
                </c:pt>
                <c:pt idx="2">
                  <c:v>Batteriepreis</c:v>
                </c:pt>
                <c:pt idx="3">
                  <c:v>Laufende Zahlungen</c:v>
                </c:pt>
                <c:pt idx="4">
                  <c:v>Degradation</c:v>
                </c:pt>
                <c:pt idx="5">
                  <c:v>Sollzinssatz vom KfW</c:v>
                </c:pt>
                <c:pt idx="6">
                  <c:v>Anschaffung</c:v>
                </c:pt>
                <c:pt idx="7">
                  <c:v>Inflation</c:v>
                </c:pt>
                <c:pt idx="8">
                  <c:v>Habenzins</c:v>
                </c:pt>
                <c:pt idx="9">
                  <c:v>Batteriepreis nach 10 Jahren</c:v>
                </c:pt>
              </c:strCache>
            </c:strRef>
          </c:cat>
          <c:val>
            <c:numRef>
              <c:f>Tornado!$K$624:$K$633</c:f>
              <c:numCache>
                <c:formatCode>General</c:formatCode>
                <c:ptCount val="10"/>
                <c:pt idx="0">
                  <c:v>20587.517496833745</c:v>
                </c:pt>
                <c:pt idx="1">
                  <c:v>14616.02341643098</c:v>
                </c:pt>
                <c:pt idx="2">
                  <c:v>14147.71619508207</c:v>
                </c:pt>
                <c:pt idx="3">
                  <c:v>14115.5470194232</c:v>
                </c:pt>
                <c:pt idx="4">
                  <c:v>13123.42140417006</c:v>
                </c:pt>
                <c:pt idx="5">
                  <c:v>12226.653546413319</c:v>
                </c:pt>
                <c:pt idx="6">
                  <c:v>12207.79834805652</c:v>
                </c:pt>
                <c:pt idx="7">
                  <c:v>10889.489485220951</c:v>
                </c:pt>
                <c:pt idx="8">
                  <c:v>10871.11396175687</c:v>
                </c:pt>
                <c:pt idx="9">
                  <c:v>10557.88399604589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BDA-4075-BF8C-91C34A8C0452}"/>
            </c:ext>
          </c:extLst>
        </c:ser>
        <c:ser>
          <c:idx val="1"/>
          <c:order val="1"/>
          <c:tx>
            <c:strRef>
              <c:f>Tornado!$L$623</c:f>
              <c:strCache>
                <c:ptCount val="1"/>
                <c:pt idx="0">
                  <c:v>Minimum</c:v>
                </c:pt>
              </c:strCache>
            </c:strRef>
          </c:tx>
          <c:spPr>
            <a:solidFill>
              <a:schemeClr val="bg2">
                <a:lumMod val="7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9CD7-4E8D-9AA4-7491A2EDE91D}"/>
                </c:ext>
              </c:extLst>
            </c:dLbl>
            <c:dLbl>
              <c:idx val="1"/>
              <c:layout>
                <c:manualLayout>
                  <c:x val="-6.3176117840527624E-2"/>
                  <c:y val="-4.9445089816036403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9CD7-4E8D-9AA4-7491A2EDE91D}"/>
                </c:ext>
              </c:extLst>
            </c:dLbl>
            <c:dLbl>
              <c:idx val="3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9CD7-4E8D-9AA4-7491A2EDE91D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Tornado!$J$624:$J$633</c:f>
              <c:strCache>
                <c:ptCount val="10"/>
                <c:pt idx="0">
                  <c:v>Ertragsteuer</c:v>
                </c:pt>
                <c:pt idx="1">
                  <c:v>Strompreis</c:v>
                </c:pt>
                <c:pt idx="2">
                  <c:v>Batteriepreis</c:v>
                </c:pt>
                <c:pt idx="3">
                  <c:v>Laufende Zahlungen</c:v>
                </c:pt>
                <c:pt idx="4">
                  <c:v>Degradation</c:v>
                </c:pt>
                <c:pt idx="5">
                  <c:v>Sollzinssatz vom KfW</c:v>
                </c:pt>
                <c:pt idx="6">
                  <c:v>Anschaffung</c:v>
                </c:pt>
                <c:pt idx="7">
                  <c:v>Inflation</c:v>
                </c:pt>
                <c:pt idx="8">
                  <c:v>Habenzins</c:v>
                </c:pt>
                <c:pt idx="9">
                  <c:v>Batteriepreis nach 10 Jahren</c:v>
                </c:pt>
              </c:strCache>
            </c:strRef>
          </c:cat>
          <c:val>
            <c:numRef>
              <c:f>Tornado!$L$624:$L$633</c:f>
              <c:numCache>
                <c:formatCode>General</c:formatCode>
                <c:ptCount val="10"/>
                <c:pt idx="0">
                  <c:v>10289.163871678786</c:v>
                </c:pt>
                <c:pt idx="1">
                  <c:v>-20262.375437144659</c:v>
                </c:pt>
                <c:pt idx="2">
                  <c:v>7126.2858375512969</c:v>
                </c:pt>
                <c:pt idx="3">
                  <c:v>10289.163871678786</c:v>
                </c:pt>
                <c:pt idx="4">
                  <c:v>4498.6615195094801</c:v>
                </c:pt>
                <c:pt idx="5">
                  <c:v>-11270.26503451572</c:v>
                </c:pt>
                <c:pt idx="6">
                  <c:v>1118.7401535353531</c:v>
                </c:pt>
                <c:pt idx="7">
                  <c:v>817.18718558069861</c:v>
                </c:pt>
                <c:pt idx="8">
                  <c:v>9006.244289521801</c:v>
                </c:pt>
                <c:pt idx="9">
                  <c:v>10006.1214829934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BDA-4075-BF8C-91C34A8C0452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"/>
        <c:axId val="1790827503"/>
        <c:axId val="1790837487"/>
      </c:barChart>
      <c:catAx>
        <c:axId val="1790827503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790837487"/>
        <c:crossesAt val="10289.1638716788"/>
        <c:auto val="1"/>
        <c:lblAlgn val="ctr"/>
        <c:lblOffset val="100"/>
        <c:noMultiLvlLbl val="0"/>
      </c:catAx>
      <c:valAx>
        <c:axId val="1790837487"/>
        <c:scaling>
          <c:orientation val="minMax"/>
          <c:max val="25000"/>
          <c:min val="-220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790827503"/>
        <c:crosses val="autoZero"/>
        <c:crossBetween val="between"/>
        <c:maj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e-DE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 algn="ctr" rtl="0">
              <a:defRPr sz="16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r>
              <a:rPr lang="de-DE" sz="1600"/>
              <a:t>Univariate Parametervariation von Szenario II (I)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 algn="ctr" rtl="0">
            <a:defRPr sz="1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title>
    <c:autoTitleDeleted val="0"/>
    <c:plotArea>
      <c:layout>
        <c:manualLayout>
          <c:layoutTarget val="inner"/>
          <c:xMode val="edge"/>
          <c:yMode val="edge"/>
          <c:x val="8.5854709125637349E-2"/>
          <c:y val="0.14412629972648297"/>
          <c:w val="0.87983463857573052"/>
          <c:h val="0.62755331452064034"/>
        </c:manualLayout>
      </c:layout>
      <c:barChart>
        <c:barDir val="bar"/>
        <c:grouping val="clustered"/>
        <c:varyColors val="0"/>
        <c:ser>
          <c:idx val="0"/>
          <c:order val="0"/>
          <c:tx>
            <c:strRef>
              <c:f>Tornado!$K$611</c:f>
              <c:strCache>
                <c:ptCount val="1"/>
                <c:pt idx="0">
                  <c:v>Maximum</c:v>
                </c:pt>
              </c:strCache>
            </c:strRef>
          </c:tx>
          <c:spPr>
            <a:solidFill>
              <a:schemeClr val="accent1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Tornado!$J$612:$J$619</c:f>
              <c:strCache>
                <c:ptCount val="8"/>
                <c:pt idx="0">
                  <c:v>Ertragsteuer</c:v>
                </c:pt>
                <c:pt idx="1">
                  <c:v>Strompreis</c:v>
                </c:pt>
                <c:pt idx="2">
                  <c:v>Laufende Zahlungen</c:v>
                </c:pt>
                <c:pt idx="3">
                  <c:v>Degradation</c:v>
                </c:pt>
                <c:pt idx="4">
                  <c:v>Anschaffung</c:v>
                </c:pt>
                <c:pt idx="5">
                  <c:v>Sollzinssatz vom KfW</c:v>
                </c:pt>
                <c:pt idx="6">
                  <c:v>Habenzins</c:v>
                </c:pt>
                <c:pt idx="7">
                  <c:v>Inflation</c:v>
                </c:pt>
              </c:strCache>
            </c:strRef>
          </c:cat>
          <c:val>
            <c:numRef>
              <c:f>Tornado!$K$612:$K$619</c:f>
              <c:numCache>
                <c:formatCode>General</c:formatCode>
                <c:ptCount val="8"/>
                <c:pt idx="0">
                  <c:v>38765.638007506575</c:v>
                </c:pt>
                <c:pt idx="1">
                  <c:v>29189.413206649671</c:v>
                </c:pt>
                <c:pt idx="2">
                  <c:v>27625.335914464809</c:v>
                </c:pt>
                <c:pt idx="3">
                  <c:v>26601.550869983239</c:v>
                </c:pt>
                <c:pt idx="4">
                  <c:v>25671.126817098509</c:v>
                </c:pt>
                <c:pt idx="5">
                  <c:v>25174.90285761992</c:v>
                </c:pt>
                <c:pt idx="6">
                  <c:v>24978.678628939131</c:v>
                </c:pt>
                <c:pt idx="7">
                  <c:v>24342.383923228281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24E-4458-8A6F-791B4CD40233}"/>
            </c:ext>
          </c:extLst>
        </c:ser>
        <c:ser>
          <c:idx val="1"/>
          <c:order val="1"/>
          <c:tx>
            <c:strRef>
              <c:f>Tornado!$L$611</c:f>
              <c:strCache>
                <c:ptCount val="1"/>
                <c:pt idx="0">
                  <c:v>Minimum</c:v>
                </c:pt>
              </c:strCache>
            </c:strRef>
          </c:tx>
          <c:spPr>
            <a:solidFill>
              <a:schemeClr val="bg1">
                <a:lumMod val="65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9E2-410F-AABF-65E88B3577EA}"/>
                </c:ext>
              </c:extLst>
            </c:dLbl>
            <c:dLbl>
              <c:idx val="1"/>
              <c:layout>
                <c:manualLayout>
                  <c:x val="-3.5856027499849348E-2"/>
                  <c:y val="-4.8504311272397266E-2"/>
                </c:manualLayout>
              </c:layout>
              <c:dLblPos val="outEnd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A9E2-410F-AABF-65E88B3577EA}"/>
                </c:ext>
              </c:extLst>
            </c:dLbl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9E2-410F-AABF-65E88B3577EA}"/>
                </c:ext>
              </c:extLst>
            </c:dLbl>
            <c:numFmt formatCode="#,##0.00\ &quot;€&quot;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Times New Roman" panose="02020603050405020304" pitchFamily="18" charset="0"/>
                    <a:ea typeface="+mn-ea"/>
                    <a:cs typeface="Times New Roman" panose="02020603050405020304" pitchFamily="18" charset="0"/>
                  </a:defRPr>
                </a:pPr>
                <a:endParaRPr lang="de-DE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Tornado!$J$612:$J$619</c:f>
              <c:strCache>
                <c:ptCount val="8"/>
                <c:pt idx="0">
                  <c:v>Ertragsteuer</c:v>
                </c:pt>
                <c:pt idx="1">
                  <c:v>Strompreis</c:v>
                </c:pt>
                <c:pt idx="2">
                  <c:v>Laufende Zahlungen</c:v>
                </c:pt>
                <c:pt idx="3">
                  <c:v>Degradation</c:v>
                </c:pt>
                <c:pt idx="4">
                  <c:v>Anschaffung</c:v>
                </c:pt>
                <c:pt idx="5">
                  <c:v>Sollzinssatz vom KfW</c:v>
                </c:pt>
                <c:pt idx="6">
                  <c:v>Habenzins</c:v>
                </c:pt>
                <c:pt idx="7">
                  <c:v>Inflation</c:v>
                </c:pt>
              </c:strCache>
            </c:strRef>
          </c:cat>
          <c:val>
            <c:numRef>
              <c:f>Tornado!$L$612:$L$619</c:f>
              <c:numCache>
                <c:formatCode>General</c:formatCode>
                <c:ptCount val="8"/>
                <c:pt idx="0">
                  <c:v>23742.415173267203</c:v>
                </c:pt>
                <c:pt idx="1">
                  <c:v>22.645035123845449</c:v>
                </c:pt>
                <c:pt idx="2">
                  <c:v>23742.415173267203</c:v>
                </c:pt>
                <c:pt idx="3">
                  <c:v>17927.484572164471</c:v>
                </c:pt>
                <c:pt idx="4">
                  <c:v>12250.639072325759</c:v>
                </c:pt>
                <c:pt idx="5">
                  <c:v>11866.14304260367</c:v>
                </c:pt>
                <c:pt idx="6">
                  <c:v>20948.91809882304</c:v>
                </c:pt>
                <c:pt idx="7">
                  <c:v>14404.120093318619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24E-4458-8A6F-791B4CD40233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182"/>
        <c:overlap val="10"/>
        <c:axId val="1790827503"/>
        <c:axId val="1790837487"/>
      </c:barChart>
      <c:catAx>
        <c:axId val="1790827503"/>
        <c:scaling>
          <c:orientation val="minMax"/>
        </c:scaling>
        <c:delete val="0"/>
        <c:axPos val="l"/>
        <c:numFmt formatCode="#,##0.00\ &quot;€&quot;" sourceLinked="0"/>
        <c:majorTickMark val="out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790837487"/>
        <c:crossesAt val="23742.415173267203"/>
        <c:auto val="1"/>
        <c:lblAlgn val="ctr"/>
        <c:lblOffset val="100"/>
        <c:noMultiLvlLbl val="0"/>
      </c:catAx>
      <c:valAx>
        <c:axId val="1790837487"/>
        <c:scaling>
          <c:orientation val="minMax"/>
          <c:max val="40000"/>
          <c:min val="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\ &quot;€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Times New Roman" panose="02020603050405020304" pitchFamily="18" charset="0"/>
                <a:ea typeface="+mn-ea"/>
                <a:cs typeface="Times New Roman" panose="02020603050405020304" pitchFamily="18" charset="0"/>
              </a:defRPr>
            </a:pPr>
            <a:endParaRPr lang="de-DE"/>
          </a:p>
        </c:txPr>
        <c:crossAx val="1790827503"/>
        <c:crosses val="autoZero"/>
        <c:crossBetween val="between"/>
        <c:majorUnit val="5000"/>
        <c:minorUnit val="5000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Times New Roman" panose="02020603050405020304" pitchFamily="18" charset="0"/>
              <a:ea typeface="+mn-ea"/>
              <a:cs typeface="Times New Roman" panose="02020603050405020304" pitchFamily="18" charset="0"/>
            </a:defRPr>
          </a:pPr>
          <a:endParaRPr lang="de-DE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 sz="1200">
          <a:latin typeface="Times New Roman" panose="02020603050405020304" pitchFamily="18" charset="0"/>
          <a:cs typeface="Times New Roman" panose="02020603050405020304" pitchFamily="18" charset="0"/>
        </a:defRPr>
      </a:pPr>
      <a:endParaRPr lang="de-DE"/>
    </a:p>
  </c:txPr>
  <c:printSettings>
    <c:headerFooter/>
    <c:pageMargins b="0.78740157499999996" l="0.7" r="0.7" t="0.78740157499999996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1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image" Target="../media/image1.png"/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106680</xdr:colOff>
          <xdr:row>2</xdr:row>
          <xdr:rowOff>121920</xdr:rowOff>
        </xdr:from>
        <xdr:to>
          <xdr:col>2</xdr:col>
          <xdr:colOff>175260</xdr:colOff>
          <xdr:row>3</xdr:row>
          <xdr:rowOff>152400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  <a:ext uri="{FF2B5EF4-FFF2-40B4-BE49-F238E27FC236}">
                  <a16:creationId xmlns:a16="http://schemas.microsoft.com/office/drawing/2014/main" id="{00000000-0008-0000-0000-000001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de-DE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Laden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315555</xdr:colOff>
      <xdr:row>16</xdr:row>
      <xdr:rowOff>0</xdr:rowOff>
    </xdr:from>
    <xdr:to>
      <xdr:col>22</xdr:col>
      <xdr:colOff>628197</xdr:colOff>
      <xdr:row>63</xdr:row>
      <xdr:rowOff>57865</xdr:rowOff>
    </xdr:to>
    <xdr:grpSp>
      <xdr:nvGrpSpPr>
        <xdr:cNvPr id="26" name="Gruppieren 25">
          <a:extLst>
            <a:ext uri="{FF2B5EF4-FFF2-40B4-BE49-F238E27FC236}">
              <a16:creationId xmlns:a16="http://schemas.microsoft.com/office/drawing/2014/main" id="{00000000-0008-0000-0300-00001A000000}"/>
            </a:ext>
          </a:extLst>
        </xdr:cNvPr>
        <xdr:cNvGrpSpPr/>
      </xdr:nvGrpSpPr>
      <xdr:grpSpPr>
        <a:xfrm>
          <a:off x="8305669" y="2960914"/>
          <a:ext cx="14257242" cy="8755551"/>
          <a:chOff x="8605035" y="332903"/>
          <a:chExt cx="13979482" cy="8212380"/>
        </a:xfrm>
      </xdr:grpSpPr>
      <xdr:graphicFrame macro="">
        <xdr:nvGraphicFramePr>
          <xdr:cNvPr id="7" name="Diagramm 6">
            <a:extLst>
              <a:ext uri="{FF2B5EF4-FFF2-40B4-BE49-F238E27FC236}">
                <a16:creationId xmlns:a16="http://schemas.microsoft.com/office/drawing/2014/main" id="{00000000-0008-0000-0300-000007000000}"/>
              </a:ext>
            </a:extLst>
          </xdr:cNvPr>
          <xdr:cNvGraphicFramePr/>
        </xdr:nvGraphicFramePr>
        <xdr:xfrm>
          <a:off x="8605035" y="332903"/>
          <a:ext cx="13979482" cy="821238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4" name="Gerader Verbinder 3">
            <a:extLst>
              <a:ext uri="{FF2B5EF4-FFF2-40B4-BE49-F238E27FC236}">
                <a16:creationId xmlns:a16="http://schemas.microsoft.com/office/drawing/2014/main" id="{00000000-0008-0000-0300-000004000000}"/>
              </a:ext>
            </a:extLst>
          </xdr:cNvPr>
          <xdr:cNvCxnSpPr/>
        </xdr:nvCxnSpPr>
        <xdr:spPr>
          <a:xfrm flipH="1">
            <a:off x="15869357" y="1787925"/>
            <a:ext cx="18174" cy="6131571"/>
          </a:xfrm>
          <a:prstGeom prst="line">
            <a:avLst/>
          </a:prstGeom>
          <a:ln w="57150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8" name="Gerader Verbinder 7">
            <a:extLst>
              <a:ext uri="{FF2B5EF4-FFF2-40B4-BE49-F238E27FC236}">
                <a16:creationId xmlns:a16="http://schemas.microsoft.com/office/drawing/2014/main" id="{00000000-0008-0000-0300-000008000000}"/>
              </a:ext>
            </a:extLst>
          </xdr:cNvPr>
          <xdr:cNvCxnSpPr/>
        </xdr:nvCxnSpPr>
        <xdr:spPr>
          <a:xfrm flipH="1" flipV="1">
            <a:off x="9929957" y="7049207"/>
            <a:ext cx="6057249" cy="42098"/>
          </a:xfrm>
          <a:prstGeom prst="line">
            <a:avLst/>
          </a:prstGeom>
          <a:ln w="57150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2" name="Gerader Verbinder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CxnSpPr/>
        </xdr:nvCxnSpPr>
        <xdr:spPr>
          <a:xfrm flipH="1" flipV="1">
            <a:off x="9889741" y="2020211"/>
            <a:ext cx="6065531" cy="20979"/>
          </a:xfrm>
          <a:prstGeom prst="line">
            <a:avLst/>
          </a:prstGeom>
          <a:ln w="57150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22" name="Textfeld 21">
            <a:extLst>
              <a:ext uri="{FF2B5EF4-FFF2-40B4-BE49-F238E27FC236}">
                <a16:creationId xmlns:a16="http://schemas.microsoft.com/office/drawing/2014/main" id="{00000000-0008-0000-0300-000016000000}"/>
              </a:ext>
            </a:extLst>
          </xdr:cNvPr>
          <xdr:cNvSpPr txBox="1"/>
        </xdr:nvSpPr>
        <xdr:spPr>
          <a:xfrm>
            <a:off x="15922140" y="2234414"/>
            <a:ext cx="1590564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(1)</a:t>
            </a:r>
          </a:p>
        </xdr:txBody>
      </xdr:sp>
      <xdr:sp macro="" textlink="">
        <xdr:nvSpPr>
          <xdr:cNvPr id="23" name="Ellipse 22">
            <a:extLst>
              <a:ext uri="{FF2B5EF4-FFF2-40B4-BE49-F238E27FC236}">
                <a16:creationId xmlns:a16="http://schemas.microsoft.com/office/drawing/2014/main" id="{00000000-0008-0000-0300-000017000000}"/>
              </a:ext>
            </a:extLst>
          </xdr:cNvPr>
          <xdr:cNvSpPr>
            <a:spLocks noChangeAspect="1"/>
          </xdr:cNvSpPr>
        </xdr:nvSpPr>
        <xdr:spPr>
          <a:xfrm>
            <a:off x="15652436" y="1755954"/>
            <a:ext cx="475620" cy="440811"/>
          </a:xfrm>
          <a:prstGeom prst="ellipse">
            <a:avLst/>
          </a:prstGeom>
          <a:noFill/>
          <a:ln>
            <a:solidFill>
              <a:schemeClr val="bg2">
                <a:lumMod val="1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sp macro="" textlink="">
        <xdr:nvSpPr>
          <xdr:cNvPr id="24" name="Textfeld 23">
            <a:extLst>
              <a:ext uri="{FF2B5EF4-FFF2-40B4-BE49-F238E27FC236}">
                <a16:creationId xmlns:a16="http://schemas.microsoft.com/office/drawing/2014/main" id="{00000000-0008-0000-0300-000018000000}"/>
              </a:ext>
            </a:extLst>
          </xdr:cNvPr>
          <xdr:cNvSpPr txBox="1"/>
        </xdr:nvSpPr>
        <xdr:spPr>
          <a:xfrm>
            <a:off x="15935476" y="6594771"/>
            <a:ext cx="1590564" cy="29880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sp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(2)</a:t>
            </a:r>
          </a:p>
        </xdr:txBody>
      </xdr:sp>
      <xdr:sp macro="" textlink="">
        <xdr:nvSpPr>
          <xdr:cNvPr id="25" name="Ellipse 24">
            <a:extLst>
              <a:ext uri="{FF2B5EF4-FFF2-40B4-BE49-F238E27FC236}">
                <a16:creationId xmlns:a16="http://schemas.microsoft.com/office/drawing/2014/main" id="{00000000-0008-0000-0300-000019000000}"/>
              </a:ext>
            </a:extLst>
          </xdr:cNvPr>
          <xdr:cNvSpPr>
            <a:spLocks noChangeAspect="1"/>
          </xdr:cNvSpPr>
        </xdr:nvSpPr>
        <xdr:spPr>
          <a:xfrm>
            <a:off x="15611280" y="6782754"/>
            <a:ext cx="479430" cy="450509"/>
          </a:xfrm>
          <a:prstGeom prst="ellipse">
            <a:avLst/>
          </a:prstGeom>
          <a:noFill/>
          <a:ln>
            <a:solidFill>
              <a:schemeClr val="bg2">
                <a:lumMod val="1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</xdr:grp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694377</xdr:colOff>
      <xdr:row>8</xdr:row>
      <xdr:rowOff>144460</xdr:rowOff>
    </xdr:from>
    <xdr:to>
      <xdr:col>15</xdr:col>
      <xdr:colOff>690696</xdr:colOff>
      <xdr:row>10</xdr:row>
      <xdr:rowOff>120250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 txBox="1"/>
      </xdr:nvSpPr>
      <xdr:spPr>
        <a:xfrm>
          <a:off x="15594198" y="1559603"/>
          <a:ext cx="1574748" cy="32957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400">
              <a:latin typeface="Times New Roman" panose="02020603050405020304" pitchFamily="18" charset="0"/>
              <a:cs typeface="Times New Roman" panose="02020603050405020304" pitchFamily="18" charset="0"/>
            </a:rPr>
            <a:t>Basisszenario II (1)</a:t>
          </a:r>
        </a:p>
      </xdr:txBody>
    </xdr:sp>
    <xdr:clientData/>
  </xdr:twoCellAnchor>
  <xdr:twoCellAnchor>
    <xdr:from>
      <xdr:col>13</xdr:col>
      <xdr:colOff>689871</xdr:colOff>
      <xdr:row>38</xdr:row>
      <xdr:rowOff>225</xdr:rowOff>
    </xdr:from>
    <xdr:to>
      <xdr:col>15</xdr:col>
      <xdr:colOff>661425</xdr:colOff>
      <xdr:row>39</xdr:row>
      <xdr:rowOff>133859</xdr:rowOff>
    </xdr:to>
    <xdr:sp macro="" textlink="">
      <xdr:nvSpPr>
        <xdr:cNvPr id="10" name="Textfeld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SpPr txBox="1"/>
      </xdr:nvSpPr>
      <xdr:spPr>
        <a:xfrm>
          <a:off x="15589692" y="6722154"/>
          <a:ext cx="1549983" cy="310526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400">
              <a:latin typeface="Times New Roman" panose="02020603050405020304" pitchFamily="18" charset="0"/>
              <a:cs typeface="Times New Roman" panose="02020603050405020304" pitchFamily="18" charset="0"/>
            </a:rPr>
            <a:t>Basisszenario II (2)</a:t>
          </a:r>
        </a:p>
      </xdr:txBody>
    </xdr:sp>
    <xdr:clientData/>
  </xdr:twoCellAnchor>
  <xdr:twoCellAnchor>
    <xdr:from>
      <xdr:col>8</xdr:col>
      <xdr:colOff>1906</xdr:colOff>
      <xdr:row>5</xdr:row>
      <xdr:rowOff>33139</xdr:rowOff>
    </xdr:from>
    <xdr:to>
      <xdr:col>25</xdr:col>
      <xdr:colOff>266487</xdr:colOff>
      <xdr:row>55</xdr:row>
      <xdr:rowOff>33599</xdr:rowOff>
    </xdr:to>
    <xdr:grpSp>
      <xdr:nvGrpSpPr>
        <xdr:cNvPr id="20" name="Gruppieren 19">
          <a:extLst>
            <a:ext uri="{FF2B5EF4-FFF2-40B4-BE49-F238E27FC236}">
              <a16:creationId xmlns:a16="http://schemas.microsoft.com/office/drawing/2014/main" id="{00000000-0008-0000-0400-000014000000}"/>
            </a:ext>
          </a:extLst>
        </xdr:cNvPr>
        <xdr:cNvGrpSpPr/>
      </xdr:nvGrpSpPr>
      <xdr:grpSpPr>
        <a:xfrm>
          <a:off x="10963820" y="958425"/>
          <a:ext cx="13773753" cy="9253317"/>
          <a:chOff x="8141451" y="444557"/>
          <a:chExt cx="13820252" cy="8652453"/>
        </a:xfrm>
      </xdr:grpSpPr>
      <xdr:grpSp>
        <xdr:nvGrpSpPr>
          <xdr:cNvPr id="16" name="Gruppieren 15">
            <a:extLst>
              <a:ext uri="{FF2B5EF4-FFF2-40B4-BE49-F238E27FC236}">
                <a16:creationId xmlns:a16="http://schemas.microsoft.com/office/drawing/2014/main" id="{00000000-0008-0000-0400-000010000000}"/>
              </a:ext>
            </a:extLst>
          </xdr:cNvPr>
          <xdr:cNvGrpSpPr/>
        </xdr:nvGrpSpPr>
        <xdr:grpSpPr>
          <a:xfrm>
            <a:off x="8141451" y="444557"/>
            <a:ext cx="13820252" cy="8652453"/>
            <a:chOff x="8138977" y="451979"/>
            <a:chExt cx="13700262" cy="8832290"/>
          </a:xfrm>
        </xdr:grpSpPr>
        <xdr:graphicFrame macro="">
          <xdr:nvGraphicFramePr>
            <xdr:cNvPr id="4" name="Diagramm 3">
              <a:extLst>
                <a:ext uri="{FF2B5EF4-FFF2-40B4-BE49-F238E27FC236}">
                  <a16:creationId xmlns:a16="http://schemas.microsoft.com/office/drawing/2014/main" id="{00000000-0008-0000-0400-000004000000}"/>
                </a:ext>
              </a:extLst>
            </xdr:cNvPr>
            <xdr:cNvGraphicFramePr/>
          </xdr:nvGraphicFramePr>
          <xdr:xfrm>
            <a:off x="8138977" y="451979"/>
            <a:ext cx="13700262" cy="883229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cxnSp macro="">
          <xdr:nvCxnSpPr>
            <xdr:cNvPr id="5" name="Gerader Verbinder 4">
              <a:extLst>
                <a:ext uri="{FF2B5EF4-FFF2-40B4-BE49-F238E27FC236}">
                  <a16:creationId xmlns:a16="http://schemas.microsoft.com/office/drawing/2014/main" id="{00000000-0008-0000-0400-000005000000}"/>
                </a:ext>
              </a:extLst>
            </xdr:cNvPr>
            <xdr:cNvCxnSpPr/>
          </xdr:nvCxnSpPr>
          <xdr:spPr>
            <a:xfrm flipH="1">
              <a:off x="20721677" y="2320714"/>
              <a:ext cx="7588" cy="6319238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6" name="Gerader Verbinder 5">
              <a:extLst>
                <a:ext uri="{FF2B5EF4-FFF2-40B4-BE49-F238E27FC236}">
                  <a16:creationId xmlns:a16="http://schemas.microsoft.com/office/drawing/2014/main" id="{00000000-0008-0000-0400-000006000000}"/>
                </a:ext>
              </a:extLst>
            </xdr:cNvPr>
            <xdr:cNvCxnSpPr/>
          </xdr:nvCxnSpPr>
          <xdr:spPr>
            <a:xfrm flipH="1" flipV="1">
              <a:off x="9429749" y="7989804"/>
              <a:ext cx="11370509" cy="119716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7" name="Gerader Verbinder 6">
              <a:extLst>
                <a:ext uri="{FF2B5EF4-FFF2-40B4-BE49-F238E27FC236}">
                  <a16:creationId xmlns:a16="http://schemas.microsoft.com/office/drawing/2014/main" id="{00000000-0008-0000-0400-000007000000}"/>
                </a:ext>
              </a:extLst>
            </xdr:cNvPr>
            <xdr:cNvCxnSpPr/>
          </xdr:nvCxnSpPr>
          <xdr:spPr>
            <a:xfrm flipH="1" flipV="1">
              <a:off x="9342148" y="2591601"/>
              <a:ext cx="11432433" cy="89321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9" name="Ellipse 8">
              <a:extLst>
                <a:ext uri="{FF2B5EF4-FFF2-40B4-BE49-F238E27FC236}">
                  <a16:creationId xmlns:a16="http://schemas.microsoft.com/office/drawing/2014/main" id="{00000000-0008-0000-0400-000009000000}"/>
                </a:ext>
              </a:extLst>
            </xdr:cNvPr>
            <xdr:cNvSpPr>
              <a:spLocks noChangeAspect="1"/>
            </xdr:cNvSpPr>
          </xdr:nvSpPr>
          <xdr:spPr>
            <a:xfrm>
              <a:off x="20508751" y="7871599"/>
              <a:ext cx="466393" cy="473251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400-00000B000000}"/>
                </a:ext>
              </a:extLst>
            </xdr:cNvPr>
            <xdr:cNvSpPr>
              <a:spLocks noChangeAspect="1"/>
            </xdr:cNvSpPr>
          </xdr:nvSpPr>
          <xdr:spPr>
            <a:xfrm>
              <a:off x="20544492" y="2481215"/>
              <a:ext cx="473969" cy="494890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18" name="Textfeld 17">
            <a:extLst>
              <a:ext uri="{FF2B5EF4-FFF2-40B4-BE49-F238E27FC236}">
                <a16:creationId xmlns:a16="http://schemas.microsoft.com/office/drawing/2014/main" id="{00000000-0008-0000-0400-000012000000}"/>
              </a:ext>
            </a:extLst>
          </xdr:cNvPr>
          <xdr:cNvSpPr txBox="1"/>
        </xdr:nvSpPr>
        <xdr:spPr>
          <a:xfrm>
            <a:off x="19302560" y="2088838"/>
            <a:ext cx="1586971" cy="2967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(1)</a:t>
            </a:r>
          </a:p>
        </xdr:txBody>
      </xdr:sp>
      <xdr:sp macro="" textlink="">
        <xdr:nvSpPr>
          <xdr:cNvPr id="19" name="Textfeld 18">
            <a:extLst>
              <a:ext uri="{FF2B5EF4-FFF2-40B4-BE49-F238E27FC236}">
                <a16:creationId xmlns:a16="http://schemas.microsoft.com/office/drawing/2014/main" id="{00000000-0008-0000-0400-000013000000}"/>
              </a:ext>
            </a:extLst>
          </xdr:cNvPr>
          <xdr:cNvSpPr txBox="1"/>
        </xdr:nvSpPr>
        <xdr:spPr>
          <a:xfrm>
            <a:off x="19145793" y="7381743"/>
            <a:ext cx="1585066" cy="306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(2)</a:t>
            </a:r>
          </a:p>
        </xdr:txBody>
      </xdr:sp>
    </xdr:grp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97836</xdr:colOff>
      <xdr:row>6</xdr:row>
      <xdr:rowOff>90635</xdr:rowOff>
    </xdr:from>
    <xdr:to>
      <xdr:col>25</xdr:col>
      <xdr:colOff>418481</xdr:colOff>
      <xdr:row>52</xdr:row>
      <xdr:rowOff>127791</xdr:rowOff>
    </xdr:to>
    <xdr:grpSp>
      <xdr:nvGrpSpPr>
        <xdr:cNvPr id="4" name="Gruppieren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pSpPr/>
      </xdr:nvGrpSpPr>
      <xdr:grpSpPr>
        <a:xfrm>
          <a:off x="11059750" y="1200978"/>
          <a:ext cx="13829817" cy="8549784"/>
          <a:chOff x="8141451" y="444557"/>
          <a:chExt cx="13820252" cy="8652453"/>
        </a:xfrm>
      </xdr:grpSpPr>
      <xdr:grpSp>
        <xdr:nvGrpSpPr>
          <xdr:cNvPr id="5" name="Gruppieren 4">
            <a:extLst>
              <a:ext uri="{FF2B5EF4-FFF2-40B4-BE49-F238E27FC236}">
                <a16:creationId xmlns:a16="http://schemas.microsoft.com/office/drawing/2014/main" id="{00000000-0008-0000-0500-000005000000}"/>
              </a:ext>
            </a:extLst>
          </xdr:cNvPr>
          <xdr:cNvGrpSpPr/>
        </xdr:nvGrpSpPr>
        <xdr:grpSpPr>
          <a:xfrm>
            <a:off x="8141451" y="444557"/>
            <a:ext cx="13820252" cy="8652453"/>
            <a:chOff x="8138977" y="451979"/>
            <a:chExt cx="13700262" cy="8832290"/>
          </a:xfrm>
        </xdr:grpSpPr>
        <xdr:graphicFrame macro="">
          <xdr:nvGraphicFramePr>
            <xdr:cNvPr id="8" name="Diagramm 7">
              <a:extLst>
                <a:ext uri="{FF2B5EF4-FFF2-40B4-BE49-F238E27FC236}">
                  <a16:creationId xmlns:a16="http://schemas.microsoft.com/office/drawing/2014/main" id="{00000000-0008-0000-0500-000008000000}"/>
                </a:ext>
              </a:extLst>
            </xdr:cNvPr>
            <xdr:cNvGraphicFramePr/>
          </xdr:nvGraphicFramePr>
          <xdr:xfrm>
            <a:off x="8138977" y="451979"/>
            <a:ext cx="13700262" cy="883229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cxnSp macro="">
          <xdr:nvCxnSpPr>
            <xdr:cNvPr id="9" name="Gerader Verbinder 8">
              <a:extLst>
                <a:ext uri="{FF2B5EF4-FFF2-40B4-BE49-F238E27FC236}">
                  <a16:creationId xmlns:a16="http://schemas.microsoft.com/office/drawing/2014/main" id="{00000000-0008-0000-0500-000009000000}"/>
                </a:ext>
              </a:extLst>
            </xdr:cNvPr>
            <xdr:cNvCxnSpPr>
              <a:stCxn id="13" idx="0"/>
            </xdr:cNvCxnSpPr>
          </xdr:nvCxnSpPr>
          <xdr:spPr>
            <a:xfrm flipH="1">
              <a:off x="13893027" y="2023142"/>
              <a:ext cx="8015" cy="6613797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Gerader Verbinder 9">
              <a:extLst>
                <a:ext uri="{FF2B5EF4-FFF2-40B4-BE49-F238E27FC236}">
                  <a16:creationId xmlns:a16="http://schemas.microsoft.com/office/drawing/2014/main" id="{00000000-0008-0000-0500-00000A000000}"/>
                </a:ext>
              </a:extLst>
            </xdr:cNvPr>
            <xdr:cNvCxnSpPr/>
          </xdr:nvCxnSpPr>
          <xdr:spPr>
            <a:xfrm flipH="1" flipV="1">
              <a:off x="9334161" y="6573396"/>
              <a:ext cx="4648880" cy="9241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1" name="Gerader Verbinder 10">
              <a:extLst>
                <a:ext uri="{FF2B5EF4-FFF2-40B4-BE49-F238E27FC236}">
                  <a16:creationId xmlns:a16="http://schemas.microsoft.com/office/drawing/2014/main" id="{00000000-0008-0000-0500-00000B000000}"/>
                </a:ext>
              </a:extLst>
            </xdr:cNvPr>
            <xdr:cNvCxnSpPr/>
          </xdr:nvCxnSpPr>
          <xdr:spPr>
            <a:xfrm flipH="1">
              <a:off x="9410309" y="2294930"/>
              <a:ext cx="4531601" cy="16428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2" name="Ellipse 11">
              <a:extLst>
                <a:ext uri="{FF2B5EF4-FFF2-40B4-BE49-F238E27FC236}">
                  <a16:creationId xmlns:a16="http://schemas.microsoft.com/office/drawing/2014/main" id="{00000000-0008-0000-0500-00000C000000}"/>
                </a:ext>
              </a:extLst>
            </xdr:cNvPr>
            <xdr:cNvSpPr>
              <a:spLocks noChangeAspect="1"/>
            </xdr:cNvSpPr>
          </xdr:nvSpPr>
          <xdr:spPr>
            <a:xfrm>
              <a:off x="13680209" y="6328503"/>
              <a:ext cx="466393" cy="473251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3" name="Ellipse 12">
              <a:extLst>
                <a:ext uri="{FF2B5EF4-FFF2-40B4-BE49-F238E27FC236}">
                  <a16:creationId xmlns:a16="http://schemas.microsoft.com/office/drawing/2014/main" id="{00000000-0008-0000-0500-00000D000000}"/>
                </a:ext>
              </a:extLst>
            </xdr:cNvPr>
            <xdr:cNvSpPr>
              <a:spLocks noChangeAspect="1"/>
            </xdr:cNvSpPr>
          </xdr:nvSpPr>
          <xdr:spPr>
            <a:xfrm>
              <a:off x="13664057" y="2023142"/>
              <a:ext cx="473969" cy="494889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6" name="Textfeld 5">
            <a:extLst>
              <a:ext uri="{FF2B5EF4-FFF2-40B4-BE49-F238E27FC236}">
                <a16:creationId xmlns:a16="http://schemas.microsoft.com/office/drawing/2014/main" id="{00000000-0008-0000-0500-000006000000}"/>
              </a:ext>
            </a:extLst>
          </xdr:cNvPr>
          <xdr:cNvSpPr txBox="1"/>
        </xdr:nvSpPr>
        <xdr:spPr>
          <a:xfrm>
            <a:off x="14242823" y="1903909"/>
            <a:ext cx="1586971" cy="2967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(1)</a:t>
            </a:r>
          </a:p>
        </xdr:txBody>
      </xdr:sp>
      <xdr:sp macro="" textlink="">
        <xdr:nvSpPr>
          <xdr:cNvPr id="7" name="Textfeld 6">
            <a:extLst>
              <a:ext uri="{FF2B5EF4-FFF2-40B4-BE49-F238E27FC236}">
                <a16:creationId xmlns:a16="http://schemas.microsoft.com/office/drawing/2014/main" id="{00000000-0008-0000-0500-000007000000}"/>
              </a:ext>
            </a:extLst>
          </xdr:cNvPr>
          <xdr:cNvSpPr txBox="1"/>
        </xdr:nvSpPr>
        <xdr:spPr>
          <a:xfrm>
            <a:off x="14022213" y="5955521"/>
            <a:ext cx="1585066" cy="306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(2)</a:t>
            </a:r>
          </a:p>
        </xdr:txBody>
      </xdr:sp>
    </xdr:grp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267738</xdr:colOff>
      <xdr:row>4</xdr:row>
      <xdr:rowOff>171448</xdr:rowOff>
    </xdr:from>
    <xdr:to>
      <xdr:col>26</xdr:col>
      <xdr:colOff>594139</xdr:colOff>
      <xdr:row>52</xdr:row>
      <xdr:rowOff>157808</xdr:rowOff>
    </xdr:to>
    <xdr:grpSp>
      <xdr:nvGrpSpPr>
        <xdr:cNvPr id="39" name="Gruppieren 38">
          <a:extLst>
            <a:ext uri="{FF2B5EF4-FFF2-40B4-BE49-F238E27FC236}">
              <a16:creationId xmlns:a16="http://schemas.microsoft.com/office/drawing/2014/main" id="{00000000-0008-0000-0600-000027000000}"/>
            </a:ext>
          </a:extLst>
        </xdr:cNvPr>
        <xdr:cNvGrpSpPr/>
      </xdr:nvGrpSpPr>
      <xdr:grpSpPr>
        <a:xfrm>
          <a:off x="12024309" y="911677"/>
          <a:ext cx="13835573" cy="8869102"/>
          <a:chOff x="8143374" y="444040"/>
          <a:chExt cx="13820252" cy="8651087"/>
        </a:xfrm>
      </xdr:grpSpPr>
      <xdr:grpSp>
        <xdr:nvGrpSpPr>
          <xdr:cNvPr id="40" name="Gruppieren 39">
            <a:extLst>
              <a:ext uri="{FF2B5EF4-FFF2-40B4-BE49-F238E27FC236}">
                <a16:creationId xmlns:a16="http://schemas.microsoft.com/office/drawing/2014/main" id="{00000000-0008-0000-0600-000028000000}"/>
              </a:ext>
            </a:extLst>
          </xdr:cNvPr>
          <xdr:cNvGrpSpPr/>
        </xdr:nvGrpSpPr>
        <xdr:grpSpPr>
          <a:xfrm>
            <a:off x="8143374" y="444040"/>
            <a:ext cx="13820252" cy="8651087"/>
            <a:chOff x="8140883" y="451451"/>
            <a:chExt cx="13700262" cy="8830896"/>
          </a:xfrm>
        </xdr:grpSpPr>
        <xdr:graphicFrame macro="">
          <xdr:nvGraphicFramePr>
            <xdr:cNvPr id="43" name="Diagramm 42">
              <a:extLst>
                <a:ext uri="{FF2B5EF4-FFF2-40B4-BE49-F238E27FC236}">
                  <a16:creationId xmlns:a16="http://schemas.microsoft.com/office/drawing/2014/main" id="{00000000-0008-0000-0600-00002B000000}"/>
                </a:ext>
              </a:extLst>
            </xdr:cNvPr>
            <xdr:cNvGraphicFramePr/>
          </xdr:nvGraphicFramePr>
          <xdr:xfrm>
            <a:off x="8140883" y="451451"/>
            <a:ext cx="13700262" cy="88308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cxnSp macro="">
          <xdr:nvCxnSpPr>
            <xdr:cNvPr id="44" name="Gerader Verbinder 43">
              <a:extLst>
                <a:ext uri="{FF2B5EF4-FFF2-40B4-BE49-F238E27FC236}">
                  <a16:creationId xmlns:a16="http://schemas.microsoft.com/office/drawing/2014/main" id="{00000000-0008-0000-0600-00002C000000}"/>
                </a:ext>
              </a:extLst>
            </xdr:cNvPr>
            <xdr:cNvCxnSpPr/>
          </xdr:nvCxnSpPr>
          <xdr:spPr>
            <a:xfrm flipH="1">
              <a:off x="17575167" y="1455862"/>
              <a:ext cx="17335" cy="7134714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5" name="Gerader Verbinder 44">
              <a:extLst>
                <a:ext uri="{FF2B5EF4-FFF2-40B4-BE49-F238E27FC236}">
                  <a16:creationId xmlns:a16="http://schemas.microsoft.com/office/drawing/2014/main" id="{00000000-0008-0000-0600-00002D000000}"/>
                </a:ext>
              </a:extLst>
            </xdr:cNvPr>
            <xdr:cNvCxnSpPr/>
          </xdr:nvCxnSpPr>
          <xdr:spPr>
            <a:xfrm flipH="1">
              <a:off x="9398429" y="7636819"/>
              <a:ext cx="8287010" cy="29240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46" name="Gerader Verbinder 45">
              <a:extLst>
                <a:ext uri="{FF2B5EF4-FFF2-40B4-BE49-F238E27FC236}">
                  <a16:creationId xmlns:a16="http://schemas.microsoft.com/office/drawing/2014/main" id="{00000000-0008-0000-0600-00002E000000}"/>
                </a:ext>
              </a:extLst>
            </xdr:cNvPr>
            <xdr:cNvCxnSpPr/>
          </xdr:nvCxnSpPr>
          <xdr:spPr>
            <a:xfrm flipH="1">
              <a:off x="9538756" y="1908151"/>
              <a:ext cx="8188617" cy="24958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47" name="Ellipse 46">
              <a:extLst>
                <a:ext uri="{FF2B5EF4-FFF2-40B4-BE49-F238E27FC236}">
                  <a16:creationId xmlns:a16="http://schemas.microsoft.com/office/drawing/2014/main" id="{00000000-0008-0000-0600-00002F000000}"/>
                </a:ext>
              </a:extLst>
            </xdr:cNvPr>
            <xdr:cNvSpPr>
              <a:spLocks noChangeAspect="1"/>
            </xdr:cNvSpPr>
          </xdr:nvSpPr>
          <xdr:spPr>
            <a:xfrm>
              <a:off x="17333463" y="7399894"/>
              <a:ext cx="466393" cy="473251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48" name="Ellipse 47">
              <a:extLst>
                <a:ext uri="{FF2B5EF4-FFF2-40B4-BE49-F238E27FC236}">
                  <a16:creationId xmlns:a16="http://schemas.microsoft.com/office/drawing/2014/main" id="{00000000-0008-0000-0600-000030000000}"/>
                </a:ext>
              </a:extLst>
            </xdr:cNvPr>
            <xdr:cNvSpPr>
              <a:spLocks noChangeAspect="1"/>
            </xdr:cNvSpPr>
          </xdr:nvSpPr>
          <xdr:spPr>
            <a:xfrm>
              <a:off x="17339866" y="1653111"/>
              <a:ext cx="473969" cy="494891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41" name="Textfeld 40">
            <a:extLst>
              <a:ext uri="{FF2B5EF4-FFF2-40B4-BE49-F238E27FC236}">
                <a16:creationId xmlns:a16="http://schemas.microsoft.com/office/drawing/2014/main" id="{00000000-0008-0000-0600-000029000000}"/>
              </a:ext>
            </a:extLst>
          </xdr:cNvPr>
          <xdr:cNvSpPr txBox="1"/>
        </xdr:nvSpPr>
        <xdr:spPr>
          <a:xfrm>
            <a:off x="17825088" y="1314962"/>
            <a:ext cx="1586971" cy="2967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(1)</a:t>
            </a:r>
          </a:p>
        </xdr:txBody>
      </xdr:sp>
      <xdr:sp macro="" textlink="">
        <xdr:nvSpPr>
          <xdr:cNvPr id="42" name="Textfeld 41">
            <a:extLst>
              <a:ext uri="{FF2B5EF4-FFF2-40B4-BE49-F238E27FC236}">
                <a16:creationId xmlns:a16="http://schemas.microsoft.com/office/drawing/2014/main" id="{00000000-0008-0000-0600-00002A000000}"/>
              </a:ext>
            </a:extLst>
          </xdr:cNvPr>
          <xdr:cNvSpPr txBox="1"/>
        </xdr:nvSpPr>
        <xdr:spPr>
          <a:xfrm>
            <a:off x="17702626" y="6985014"/>
            <a:ext cx="1585066" cy="306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(2)</a:t>
            </a:r>
          </a:p>
        </xdr:txBody>
      </xdr:sp>
    </xdr:grp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508960</xdr:colOff>
      <xdr:row>4</xdr:row>
      <xdr:rowOff>180782</xdr:rowOff>
    </xdr:from>
    <xdr:to>
      <xdr:col>24</xdr:col>
      <xdr:colOff>631598</xdr:colOff>
      <xdr:row>57</xdr:row>
      <xdr:rowOff>139679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pSpPr/>
      </xdr:nvGrpSpPr>
      <xdr:grpSpPr>
        <a:xfrm>
          <a:off x="10680003" y="922904"/>
          <a:ext cx="13639856" cy="9792010"/>
          <a:chOff x="8143374" y="444040"/>
          <a:chExt cx="13820252" cy="8651087"/>
        </a:xfrm>
      </xdr:grpSpPr>
      <xdr:grpSp>
        <xdr:nvGrpSpPr>
          <xdr:cNvPr id="4" name="Gruppieren 3">
            <a:extLst>
              <a:ext uri="{FF2B5EF4-FFF2-40B4-BE49-F238E27FC236}">
                <a16:creationId xmlns:a16="http://schemas.microsoft.com/office/drawing/2014/main" id="{00000000-0008-0000-0700-000004000000}"/>
              </a:ext>
            </a:extLst>
          </xdr:cNvPr>
          <xdr:cNvGrpSpPr/>
        </xdr:nvGrpSpPr>
        <xdr:grpSpPr>
          <a:xfrm>
            <a:off x="8143374" y="444040"/>
            <a:ext cx="13820252" cy="8651087"/>
            <a:chOff x="8140883" y="451451"/>
            <a:chExt cx="13700262" cy="8830896"/>
          </a:xfrm>
        </xdr:grpSpPr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700-000007000000}"/>
                </a:ext>
              </a:extLst>
            </xdr:cNvPr>
            <xdr:cNvGraphicFramePr/>
          </xdr:nvGraphicFramePr>
          <xdr:xfrm>
            <a:off x="8140883" y="451451"/>
            <a:ext cx="13700262" cy="88308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cxnSp macro="">
          <xdr:nvCxnSpPr>
            <xdr:cNvPr id="8" name="Gerader Verbinder 7">
              <a:extLst>
                <a:ext uri="{FF2B5EF4-FFF2-40B4-BE49-F238E27FC236}">
                  <a16:creationId xmlns:a16="http://schemas.microsoft.com/office/drawing/2014/main" id="{00000000-0008-0000-0700-000008000000}"/>
                </a:ext>
              </a:extLst>
            </xdr:cNvPr>
            <xdr:cNvCxnSpPr/>
          </xdr:nvCxnSpPr>
          <xdr:spPr>
            <a:xfrm flipH="1">
              <a:off x="11810659" y="1146623"/>
              <a:ext cx="15235" cy="7443953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9" name="Gerader Verbinder 8">
              <a:extLst>
                <a:ext uri="{FF2B5EF4-FFF2-40B4-BE49-F238E27FC236}">
                  <a16:creationId xmlns:a16="http://schemas.microsoft.com/office/drawing/2014/main" id="{00000000-0008-0000-0700-000009000000}"/>
                </a:ext>
              </a:extLst>
            </xdr:cNvPr>
            <xdr:cNvCxnSpPr/>
          </xdr:nvCxnSpPr>
          <xdr:spPr>
            <a:xfrm flipH="1">
              <a:off x="9400419" y="5471044"/>
              <a:ext cx="2665188" cy="4694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0" name="Gerader Verbinder 9">
              <a:extLst>
                <a:ext uri="{FF2B5EF4-FFF2-40B4-BE49-F238E27FC236}">
                  <a16:creationId xmlns:a16="http://schemas.microsoft.com/office/drawing/2014/main" id="{00000000-0008-0000-0700-00000A000000}"/>
                </a:ext>
              </a:extLst>
            </xdr:cNvPr>
            <xdr:cNvCxnSpPr/>
          </xdr:nvCxnSpPr>
          <xdr:spPr>
            <a:xfrm flipH="1">
              <a:off x="9430811" y="1344847"/>
              <a:ext cx="2577879" cy="4487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700-00000B000000}"/>
                </a:ext>
              </a:extLst>
            </xdr:cNvPr>
            <xdr:cNvSpPr>
              <a:spLocks noChangeAspect="1"/>
            </xdr:cNvSpPr>
          </xdr:nvSpPr>
          <xdr:spPr>
            <a:xfrm>
              <a:off x="11600266" y="5232343"/>
              <a:ext cx="466393" cy="473251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12" name="Ellipse 11">
              <a:extLst>
                <a:ext uri="{FF2B5EF4-FFF2-40B4-BE49-F238E27FC236}">
                  <a16:creationId xmlns:a16="http://schemas.microsoft.com/office/drawing/2014/main" id="{00000000-0008-0000-0700-00000C000000}"/>
                </a:ext>
              </a:extLst>
            </xdr:cNvPr>
            <xdr:cNvSpPr>
              <a:spLocks noChangeAspect="1"/>
            </xdr:cNvSpPr>
          </xdr:nvSpPr>
          <xdr:spPr>
            <a:xfrm>
              <a:off x="11595891" y="1065844"/>
              <a:ext cx="473969" cy="494891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5" name="Textfeld 4">
            <a:extLst>
              <a:ext uri="{FF2B5EF4-FFF2-40B4-BE49-F238E27FC236}">
                <a16:creationId xmlns:a16="http://schemas.microsoft.com/office/drawing/2014/main" id="{00000000-0008-0000-0700-000005000000}"/>
              </a:ext>
            </a:extLst>
          </xdr:cNvPr>
          <xdr:cNvSpPr txBox="1"/>
        </xdr:nvSpPr>
        <xdr:spPr>
          <a:xfrm>
            <a:off x="11859914" y="1528618"/>
            <a:ext cx="1586970" cy="2967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(1)</a:t>
            </a:r>
          </a:p>
        </xdr:txBody>
      </xdr:sp>
      <xdr:sp macro="" textlink="">
        <xdr:nvSpPr>
          <xdr:cNvPr id="6" name="Textfeld 5">
            <a:extLst>
              <a:ext uri="{FF2B5EF4-FFF2-40B4-BE49-F238E27FC236}">
                <a16:creationId xmlns:a16="http://schemas.microsoft.com/office/drawing/2014/main" id="{00000000-0008-0000-0700-000006000000}"/>
              </a:ext>
            </a:extLst>
          </xdr:cNvPr>
          <xdr:cNvSpPr txBox="1"/>
        </xdr:nvSpPr>
        <xdr:spPr>
          <a:xfrm>
            <a:off x="11889365" y="5587599"/>
            <a:ext cx="1585066" cy="306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(2)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80652</xdr:colOff>
      <xdr:row>13</xdr:row>
      <xdr:rowOff>32090</xdr:rowOff>
    </xdr:from>
    <xdr:to>
      <xdr:col>24</xdr:col>
      <xdr:colOff>79901</xdr:colOff>
      <xdr:row>67</xdr:row>
      <xdr:rowOff>765</xdr:rowOff>
    </xdr:to>
    <xdr:grpSp>
      <xdr:nvGrpSpPr>
        <xdr:cNvPr id="13" name="Gruppieren 12">
          <a:extLst>
            <a:ext uri="{FF2B5EF4-FFF2-40B4-BE49-F238E27FC236}">
              <a16:creationId xmlns:a16="http://schemas.microsoft.com/office/drawing/2014/main" id="{00000000-0008-0000-0800-00000D000000}"/>
            </a:ext>
          </a:extLst>
        </xdr:cNvPr>
        <xdr:cNvGrpSpPr/>
      </xdr:nvGrpSpPr>
      <xdr:grpSpPr>
        <a:xfrm>
          <a:off x="9181109" y="2437833"/>
          <a:ext cx="13508421" cy="9961761"/>
          <a:chOff x="8143374" y="444040"/>
          <a:chExt cx="13820252" cy="8651087"/>
        </a:xfrm>
      </xdr:grpSpPr>
      <xdr:grpSp>
        <xdr:nvGrpSpPr>
          <xdr:cNvPr id="14" name="Gruppieren 13">
            <a:extLst>
              <a:ext uri="{FF2B5EF4-FFF2-40B4-BE49-F238E27FC236}">
                <a16:creationId xmlns:a16="http://schemas.microsoft.com/office/drawing/2014/main" id="{00000000-0008-0000-0800-00000E000000}"/>
              </a:ext>
            </a:extLst>
          </xdr:cNvPr>
          <xdr:cNvGrpSpPr/>
        </xdr:nvGrpSpPr>
        <xdr:grpSpPr>
          <a:xfrm>
            <a:off x="8143374" y="444040"/>
            <a:ext cx="13820252" cy="8651087"/>
            <a:chOff x="8140883" y="451451"/>
            <a:chExt cx="13700262" cy="8830896"/>
          </a:xfrm>
        </xdr:grpSpPr>
        <xdr:graphicFrame macro="">
          <xdr:nvGraphicFramePr>
            <xdr:cNvPr id="17" name="Diagramm 16">
              <a:extLst>
                <a:ext uri="{FF2B5EF4-FFF2-40B4-BE49-F238E27FC236}">
                  <a16:creationId xmlns:a16="http://schemas.microsoft.com/office/drawing/2014/main" id="{00000000-0008-0000-0800-000011000000}"/>
                </a:ext>
              </a:extLst>
            </xdr:cNvPr>
            <xdr:cNvGraphicFramePr/>
          </xdr:nvGraphicFramePr>
          <xdr:xfrm>
            <a:off x="8140883" y="451451"/>
            <a:ext cx="13700262" cy="883089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cxnSp macro="">
          <xdr:nvCxnSpPr>
            <xdr:cNvPr id="18" name="Gerader Verbinder 17">
              <a:extLst>
                <a:ext uri="{FF2B5EF4-FFF2-40B4-BE49-F238E27FC236}">
                  <a16:creationId xmlns:a16="http://schemas.microsoft.com/office/drawing/2014/main" id="{00000000-0008-0000-0800-000012000000}"/>
                </a:ext>
              </a:extLst>
            </xdr:cNvPr>
            <xdr:cNvCxnSpPr/>
          </xdr:nvCxnSpPr>
          <xdr:spPr>
            <a:xfrm flipH="1">
              <a:off x="12616160" y="1070407"/>
              <a:ext cx="53874" cy="7535353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19" name="Gerader Verbinder 18">
              <a:extLst>
                <a:ext uri="{FF2B5EF4-FFF2-40B4-BE49-F238E27FC236}">
                  <a16:creationId xmlns:a16="http://schemas.microsoft.com/office/drawing/2014/main" id="{00000000-0008-0000-0800-000013000000}"/>
                </a:ext>
              </a:extLst>
            </xdr:cNvPr>
            <xdr:cNvCxnSpPr/>
          </xdr:nvCxnSpPr>
          <xdr:spPr>
            <a:xfrm flipH="1">
              <a:off x="9428379" y="4111498"/>
              <a:ext cx="3465525" cy="6572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cxnSp macro="">
          <xdr:nvCxnSpPr>
            <xdr:cNvPr id="20" name="Gerader Verbinder 19">
              <a:extLst>
                <a:ext uri="{FF2B5EF4-FFF2-40B4-BE49-F238E27FC236}">
                  <a16:creationId xmlns:a16="http://schemas.microsoft.com/office/drawing/2014/main" id="{00000000-0008-0000-0800-000014000000}"/>
                </a:ext>
              </a:extLst>
            </xdr:cNvPr>
            <xdr:cNvCxnSpPr/>
          </xdr:nvCxnSpPr>
          <xdr:spPr>
            <a:xfrm flipH="1" flipV="1">
              <a:off x="9433082" y="1431852"/>
              <a:ext cx="3413330" cy="647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21" name="Ellipse 20">
              <a:extLst>
                <a:ext uri="{FF2B5EF4-FFF2-40B4-BE49-F238E27FC236}">
                  <a16:creationId xmlns:a16="http://schemas.microsoft.com/office/drawing/2014/main" id="{00000000-0008-0000-0800-000015000000}"/>
                </a:ext>
              </a:extLst>
            </xdr:cNvPr>
            <xdr:cNvSpPr>
              <a:spLocks noChangeAspect="1"/>
            </xdr:cNvSpPr>
          </xdr:nvSpPr>
          <xdr:spPr>
            <a:xfrm>
              <a:off x="12380791" y="3854248"/>
              <a:ext cx="466393" cy="429841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sp macro="" textlink="">
          <xdr:nvSpPr>
            <xdr:cNvPr id="22" name="Ellipse 21">
              <a:extLst>
                <a:ext uri="{FF2B5EF4-FFF2-40B4-BE49-F238E27FC236}">
                  <a16:creationId xmlns:a16="http://schemas.microsoft.com/office/drawing/2014/main" id="{00000000-0008-0000-0800-000016000000}"/>
                </a:ext>
              </a:extLst>
            </xdr:cNvPr>
            <xdr:cNvSpPr>
              <a:spLocks noChangeAspect="1"/>
            </xdr:cNvSpPr>
          </xdr:nvSpPr>
          <xdr:spPr>
            <a:xfrm>
              <a:off x="12431788" y="1201188"/>
              <a:ext cx="473969" cy="431282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</xdr:grpSp>
      <xdr:sp macro="" textlink="">
        <xdr:nvSpPr>
          <xdr:cNvPr id="15" name="Textfeld 14">
            <a:extLst>
              <a:ext uri="{FF2B5EF4-FFF2-40B4-BE49-F238E27FC236}">
                <a16:creationId xmlns:a16="http://schemas.microsoft.com/office/drawing/2014/main" id="{00000000-0008-0000-0800-00000F000000}"/>
              </a:ext>
            </a:extLst>
          </xdr:cNvPr>
          <xdr:cNvSpPr txBox="1"/>
        </xdr:nvSpPr>
        <xdr:spPr>
          <a:xfrm>
            <a:off x="11034012" y="1559701"/>
            <a:ext cx="1586971" cy="2967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(1)</a:t>
            </a:r>
          </a:p>
        </xdr:txBody>
      </xdr:sp>
      <xdr:sp macro="" textlink="">
        <xdr:nvSpPr>
          <xdr:cNvPr id="16" name="Textfeld 15">
            <a:extLst>
              <a:ext uri="{FF2B5EF4-FFF2-40B4-BE49-F238E27FC236}">
                <a16:creationId xmlns:a16="http://schemas.microsoft.com/office/drawing/2014/main" id="{00000000-0008-0000-0800-000010000000}"/>
              </a:ext>
            </a:extLst>
          </xdr:cNvPr>
          <xdr:cNvSpPr txBox="1"/>
        </xdr:nvSpPr>
        <xdr:spPr>
          <a:xfrm>
            <a:off x="10940071" y="4164266"/>
            <a:ext cx="1585066" cy="30627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(2)</a:t>
            </a:r>
          </a:p>
        </xdr:txBody>
      </xdr:sp>
    </xdr:grpSp>
    <xdr:clientData/>
  </xdr:twoCellAnchor>
  <xdr:twoCellAnchor>
    <xdr:from>
      <xdr:col>15</xdr:col>
      <xdr:colOff>189140</xdr:colOff>
      <xdr:row>45</xdr:row>
      <xdr:rowOff>133895</xdr:rowOff>
    </xdr:from>
    <xdr:to>
      <xdr:col>15</xdr:col>
      <xdr:colOff>619125</xdr:colOff>
      <xdr:row>48</xdr:row>
      <xdr:rowOff>62865</xdr:rowOff>
    </xdr:to>
    <xdr:sp macro="" textlink="">
      <xdr:nvSpPr>
        <xdr:cNvPr id="3" name="Multiplikationszeichen 2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SpPr/>
      </xdr:nvSpPr>
      <xdr:spPr>
        <a:xfrm>
          <a:off x="15610115" y="8277770"/>
          <a:ext cx="429985" cy="471895"/>
        </a:xfrm>
        <a:prstGeom prst="mathMultiply">
          <a:avLst>
            <a:gd name="adj1" fmla="val 10092"/>
          </a:avLst>
        </a:prstGeom>
        <a:solidFill>
          <a:srgbClr val="00B050"/>
        </a:solidFill>
        <a:ln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15</xdr:col>
      <xdr:colOff>363680</xdr:colOff>
      <xdr:row>44</xdr:row>
      <xdr:rowOff>88498</xdr:rowOff>
    </xdr:from>
    <xdr:to>
      <xdr:col>17</xdr:col>
      <xdr:colOff>325526</xdr:colOff>
      <xdr:row>46</xdr:row>
      <xdr:rowOff>69393</xdr:rowOff>
    </xdr:to>
    <xdr:sp macro="" textlink="">
      <xdr:nvSpPr>
        <xdr:cNvPr id="4" name="Textfeld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15863453" y="7708498"/>
          <a:ext cx="1555118" cy="32725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400">
              <a:latin typeface="Times New Roman" panose="02020603050405020304" pitchFamily="18" charset="0"/>
              <a:cs typeface="Times New Roman" panose="02020603050405020304" pitchFamily="18" charset="0"/>
            </a:rPr>
            <a:t>Kritische Wert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280492</xdr:colOff>
      <xdr:row>11</xdr:row>
      <xdr:rowOff>83127</xdr:rowOff>
    </xdr:from>
    <xdr:to>
      <xdr:col>24</xdr:col>
      <xdr:colOff>587428</xdr:colOff>
      <xdr:row>59</xdr:row>
      <xdr:rowOff>72544</xdr:rowOff>
    </xdr:to>
    <xdr:grpSp>
      <xdr:nvGrpSpPr>
        <xdr:cNvPr id="17" name="Gruppieren 16">
          <a:extLst>
            <a:ext uri="{FF2B5EF4-FFF2-40B4-BE49-F238E27FC236}">
              <a16:creationId xmlns:a16="http://schemas.microsoft.com/office/drawing/2014/main" id="{00000000-0008-0000-0900-000011000000}"/>
            </a:ext>
          </a:extLst>
        </xdr:cNvPr>
        <xdr:cNvGrpSpPr/>
      </xdr:nvGrpSpPr>
      <xdr:grpSpPr>
        <a:xfrm>
          <a:off x="10435874" y="2064327"/>
          <a:ext cx="13731990" cy="8634653"/>
          <a:chOff x="8673860" y="680749"/>
          <a:chExt cx="13742602" cy="8685870"/>
        </a:xfrm>
      </xdr:grpSpPr>
      <xdr:grpSp>
        <xdr:nvGrpSpPr>
          <xdr:cNvPr id="4" name="Gruppieren 3">
            <a:extLst>
              <a:ext uri="{FF2B5EF4-FFF2-40B4-BE49-F238E27FC236}">
                <a16:creationId xmlns:a16="http://schemas.microsoft.com/office/drawing/2014/main" id="{00000000-0008-0000-0900-000004000000}"/>
              </a:ext>
            </a:extLst>
          </xdr:cNvPr>
          <xdr:cNvGrpSpPr/>
        </xdr:nvGrpSpPr>
        <xdr:grpSpPr>
          <a:xfrm>
            <a:off x="8673860" y="680749"/>
            <a:ext cx="13742602" cy="8685870"/>
            <a:chOff x="8138977" y="451979"/>
            <a:chExt cx="13700262" cy="8832290"/>
          </a:xfrm>
        </xdr:grpSpPr>
        <xdr:graphicFrame macro="">
          <xdr:nvGraphicFramePr>
            <xdr:cNvPr id="7" name="Diagramm 6">
              <a:extLst>
                <a:ext uri="{FF2B5EF4-FFF2-40B4-BE49-F238E27FC236}">
                  <a16:creationId xmlns:a16="http://schemas.microsoft.com/office/drawing/2014/main" id="{00000000-0008-0000-0900-000007000000}"/>
                </a:ext>
              </a:extLst>
            </xdr:cNvPr>
            <xdr:cNvGraphicFramePr/>
          </xdr:nvGraphicFramePr>
          <xdr:xfrm>
            <a:off x="8138977" y="451979"/>
            <a:ext cx="13700262" cy="8832290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1"/>
            </a:graphicData>
          </a:graphic>
        </xdr:graphicFrame>
        <xdr:cxnSp macro="">
          <xdr:nvCxnSpPr>
            <xdr:cNvPr id="9" name="Gerader Verbinder 8">
              <a:extLst>
                <a:ext uri="{FF2B5EF4-FFF2-40B4-BE49-F238E27FC236}">
                  <a16:creationId xmlns:a16="http://schemas.microsoft.com/office/drawing/2014/main" id="{00000000-0008-0000-0900-000009000000}"/>
                </a:ext>
              </a:extLst>
            </xdr:cNvPr>
            <xdr:cNvCxnSpPr/>
          </xdr:nvCxnSpPr>
          <xdr:spPr>
            <a:xfrm flipH="1" flipV="1">
              <a:off x="9314267" y="4924211"/>
              <a:ext cx="5915785" cy="27034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  <xdr:sp macro="" textlink="">
          <xdr:nvSpPr>
            <xdr:cNvPr id="11" name="Ellipse 10">
              <a:extLst>
                <a:ext uri="{FF2B5EF4-FFF2-40B4-BE49-F238E27FC236}">
                  <a16:creationId xmlns:a16="http://schemas.microsoft.com/office/drawing/2014/main" id="{00000000-0008-0000-0900-00000B000000}"/>
                </a:ext>
              </a:extLst>
            </xdr:cNvPr>
            <xdr:cNvSpPr>
              <a:spLocks noChangeAspect="1"/>
            </xdr:cNvSpPr>
          </xdr:nvSpPr>
          <xdr:spPr>
            <a:xfrm>
              <a:off x="15077157" y="4764316"/>
              <a:ext cx="464767" cy="476685"/>
            </a:xfrm>
            <a:prstGeom prst="ellipse">
              <a:avLst/>
            </a:prstGeom>
            <a:noFill/>
            <a:ln>
              <a:solidFill>
                <a:schemeClr val="bg2">
                  <a:lumMod val="10000"/>
                </a:schemeClr>
              </a:solidFill>
            </a:ln>
          </xdr:spPr>
          <xdr:style>
            <a:lnRef idx="2">
              <a:schemeClr val="accent1">
                <a:shade val="50000"/>
              </a:schemeClr>
            </a:lnRef>
            <a:fillRef idx="1">
              <a:schemeClr val="accent1"/>
            </a:fillRef>
            <a:effectRef idx="0">
              <a:schemeClr val="accent1"/>
            </a:effectRef>
            <a:fontRef idx="minor">
              <a:schemeClr val="lt1"/>
            </a:fontRef>
          </xdr:style>
          <xdr:txBody>
            <a:bodyPr vertOverflow="clip" horzOverflow="clip" rtlCol="0" anchor="t"/>
            <a:lstStyle/>
            <a:p>
              <a:pPr algn="l"/>
              <a:endParaRPr lang="de-DE" sz="1100"/>
            </a:p>
          </xdr:txBody>
        </xdr:sp>
        <xdr:cxnSp macro="">
          <xdr:nvCxnSpPr>
            <xdr:cNvPr id="16" name="Gerader Verbinder 15">
              <a:extLst>
                <a:ext uri="{FF2B5EF4-FFF2-40B4-BE49-F238E27FC236}">
                  <a16:creationId xmlns:a16="http://schemas.microsoft.com/office/drawing/2014/main" id="{00000000-0008-0000-0900-000010000000}"/>
                </a:ext>
              </a:extLst>
            </xdr:cNvPr>
            <xdr:cNvCxnSpPr/>
          </xdr:nvCxnSpPr>
          <xdr:spPr>
            <a:xfrm flipV="1">
              <a:off x="15328964" y="4910727"/>
              <a:ext cx="6640" cy="3704909"/>
            </a:xfrm>
            <a:prstGeom prst="line">
              <a:avLst/>
            </a:prstGeom>
            <a:ln w="57150">
              <a:solidFill>
                <a:srgbClr val="FF0000"/>
              </a:solidFill>
              <a:prstDash val="dash"/>
            </a:ln>
          </xdr:spPr>
          <xdr:style>
            <a:lnRef idx="1">
              <a:schemeClr val="accent1"/>
            </a:lnRef>
            <a:fillRef idx="0">
              <a:schemeClr val="accent1"/>
            </a:fillRef>
            <a:effectRef idx="0">
              <a:schemeClr val="accent1"/>
            </a:effectRef>
            <a:fontRef idx="minor">
              <a:schemeClr val="tx1"/>
            </a:fontRef>
          </xdr:style>
        </xdr:cxnSp>
      </xdr:grpSp>
      <xdr:sp macro="" textlink="">
        <xdr:nvSpPr>
          <xdr:cNvPr id="6" name="Textfeld 5">
            <a:extLst>
              <a:ext uri="{FF2B5EF4-FFF2-40B4-BE49-F238E27FC236}">
                <a16:creationId xmlns:a16="http://schemas.microsoft.com/office/drawing/2014/main" id="{00000000-0008-0000-0900-000006000000}"/>
              </a:ext>
            </a:extLst>
          </xdr:cNvPr>
          <xdr:cNvSpPr txBox="1"/>
        </xdr:nvSpPr>
        <xdr:spPr>
          <a:xfrm>
            <a:off x="15946934" y="4550926"/>
            <a:ext cx="1563430" cy="312515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Basisszenario II (2)</a:t>
            </a:r>
          </a:p>
        </xdr:txBody>
      </xdr:sp>
    </xdr:grp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1124930</xdr:colOff>
      <xdr:row>8</xdr:row>
      <xdr:rowOff>60379</xdr:rowOff>
    </xdr:from>
    <xdr:to>
      <xdr:col>24</xdr:col>
      <xdr:colOff>183512</xdr:colOff>
      <xdr:row>58</xdr:row>
      <xdr:rowOff>63280</xdr:rowOff>
    </xdr:to>
    <xdr:grpSp>
      <xdr:nvGrpSpPr>
        <xdr:cNvPr id="3" name="Gruppieren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pSpPr/>
      </xdr:nvGrpSpPr>
      <xdr:grpSpPr>
        <a:xfrm>
          <a:off x="10047257" y="1501252"/>
          <a:ext cx="13716691" cy="9008355"/>
          <a:chOff x="8138977" y="451979"/>
          <a:chExt cx="13700262" cy="8832290"/>
        </a:xfrm>
      </xdr:grpSpPr>
      <xdr:graphicFrame macro="">
        <xdr:nvGraphicFramePr>
          <xdr:cNvPr id="4" name="Diagramm 3">
            <a:extLst>
              <a:ext uri="{FF2B5EF4-FFF2-40B4-BE49-F238E27FC236}">
                <a16:creationId xmlns:a16="http://schemas.microsoft.com/office/drawing/2014/main" id="{00000000-0008-0000-0A00-000004000000}"/>
              </a:ext>
            </a:extLst>
          </xdr:cNvPr>
          <xdr:cNvGraphicFramePr/>
        </xdr:nvGraphicFramePr>
        <xdr:xfrm>
          <a:off x="8138977" y="451979"/>
          <a:ext cx="13700262" cy="883229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cxnSp macro="">
        <xdr:nvCxnSpPr>
          <xdr:cNvPr id="5" name="Gerader Verbinder 4">
            <a:extLst>
              <a:ext uri="{FF2B5EF4-FFF2-40B4-BE49-F238E27FC236}">
                <a16:creationId xmlns:a16="http://schemas.microsoft.com/office/drawing/2014/main" id="{00000000-0008-0000-0A00-000005000000}"/>
              </a:ext>
            </a:extLst>
          </xdr:cNvPr>
          <xdr:cNvCxnSpPr/>
        </xdr:nvCxnSpPr>
        <xdr:spPr>
          <a:xfrm flipH="1" flipV="1">
            <a:off x="9422065" y="4992340"/>
            <a:ext cx="6177164" cy="33260"/>
          </a:xfrm>
          <a:prstGeom prst="line">
            <a:avLst/>
          </a:prstGeom>
          <a:ln w="57150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sp macro="" textlink="">
        <xdr:nvSpPr>
          <xdr:cNvPr id="6" name="Ellipse 5">
            <a:extLst>
              <a:ext uri="{FF2B5EF4-FFF2-40B4-BE49-F238E27FC236}">
                <a16:creationId xmlns:a16="http://schemas.microsoft.com/office/drawing/2014/main" id="{00000000-0008-0000-0A00-000006000000}"/>
              </a:ext>
            </a:extLst>
          </xdr:cNvPr>
          <xdr:cNvSpPr>
            <a:spLocks noChangeAspect="1"/>
          </xdr:cNvSpPr>
        </xdr:nvSpPr>
        <xdr:spPr>
          <a:xfrm>
            <a:off x="15221377" y="4742797"/>
            <a:ext cx="466393" cy="473251"/>
          </a:xfrm>
          <a:prstGeom prst="ellipse">
            <a:avLst/>
          </a:prstGeom>
          <a:noFill/>
          <a:ln>
            <a:solidFill>
              <a:schemeClr val="bg2">
                <a:lumMod val="10000"/>
              </a:schemeClr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xdr:cxnSp macro="">
        <xdr:nvCxnSpPr>
          <xdr:cNvPr id="7" name="Gerader Verbinder 6">
            <a:extLst>
              <a:ext uri="{FF2B5EF4-FFF2-40B4-BE49-F238E27FC236}">
                <a16:creationId xmlns:a16="http://schemas.microsoft.com/office/drawing/2014/main" id="{00000000-0008-0000-0A00-000007000000}"/>
              </a:ext>
            </a:extLst>
          </xdr:cNvPr>
          <xdr:cNvCxnSpPr/>
        </xdr:nvCxnSpPr>
        <xdr:spPr>
          <a:xfrm flipV="1">
            <a:off x="15435955" y="4887417"/>
            <a:ext cx="20506" cy="3708868"/>
          </a:xfrm>
          <a:prstGeom prst="line">
            <a:avLst/>
          </a:prstGeom>
          <a:ln w="57150">
            <a:solidFill>
              <a:srgbClr val="FF0000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230357</xdr:colOff>
      <xdr:row>25</xdr:row>
      <xdr:rowOff>6161</xdr:rowOff>
    </xdr:from>
    <xdr:to>
      <xdr:col>15</xdr:col>
      <xdr:colOff>220579</xdr:colOff>
      <xdr:row>26</xdr:row>
      <xdr:rowOff>148277</xdr:rowOff>
    </xdr:to>
    <xdr:sp macro="" textlink="">
      <xdr:nvSpPr>
        <xdr:cNvPr id="8" name="Textfeld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SpPr txBox="1"/>
      </xdr:nvSpPr>
      <xdr:spPr>
        <a:xfrm>
          <a:off x="15193266" y="4335706"/>
          <a:ext cx="1583495" cy="31529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r>
            <a:rPr lang="de-DE" sz="1400">
              <a:latin typeface="Times New Roman" panose="02020603050405020304" pitchFamily="18" charset="0"/>
              <a:cs typeface="Times New Roman" panose="02020603050405020304" pitchFamily="18" charset="0"/>
            </a:rPr>
            <a:t>Basisszenario II (2)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533127</xdr:colOff>
      <xdr:row>17</xdr:row>
      <xdr:rowOff>149679</xdr:rowOff>
    </xdr:from>
    <xdr:to>
      <xdr:col>21</xdr:col>
      <xdr:colOff>604824</xdr:colOff>
      <xdr:row>72</xdr:row>
      <xdr:rowOff>57516</xdr:rowOff>
    </xdr:to>
    <xdr:grpSp>
      <xdr:nvGrpSpPr>
        <xdr:cNvPr id="12" name="Gruppieren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pSpPr/>
      </xdr:nvGrpSpPr>
      <xdr:grpSpPr>
        <a:xfrm>
          <a:off x="16608869" y="3283711"/>
          <a:ext cx="17634568" cy="10047353"/>
          <a:chOff x="5077170" y="0"/>
          <a:chExt cx="17698143" cy="9450154"/>
        </a:xfrm>
      </xdr:grpSpPr>
      <xdr:graphicFrame macro="">
        <xdr:nvGraphicFramePr>
          <xdr:cNvPr id="8" name="Diagramm 7">
            <a:extLst>
              <a:ext uri="{FF2B5EF4-FFF2-40B4-BE49-F238E27FC236}">
                <a16:creationId xmlns:a16="http://schemas.microsoft.com/office/drawing/2014/main" id="{00000000-0008-0000-0B00-000008000000}"/>
              </a:ext>
            </a:extLst>
          </xdr:cNvPr>
          <xdr:cNvGraphicFramePr/>
        </xdr:nvGraphicFramePr>
        <xdr:xfrm>
          <a:off x="5077170" y="0"/>
          <a:ext cx="17698143" cy="94501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1"/>
          </a:graphicData>
        </a:graphic>
      </xdr:graphicFrame>
      <xdr:sp macro="" textlink="">
        <xdr:nvSpPr>
          <xdr:cNvPr id="3" name="Textfeld 2">
            <a:extLst>
              <a:ext uri="{FF2B5EF4-FFF2-40B4-BE49-F238E27FC236}">
                <a16:creationId xmlns:a16="http://schemas.microsoft.com/office/drawing/2014/main" id="{00000000-0008-0000-0B00-000003000000}"/>
              </a:ext>
            </a:extLst>
          </xdr:cNvPr>
          <xdr:cNvSpPr txBox="1"/>
        </xdr:nvSpPr>
        <xdr:spPr>
          <a:xfrm>
            <a:off x="7488727" y="6981639"/>
            <a:ext cx="1550764" cy="313650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Kritische Wert</a:t>
            </a:r>
          </a:p>
        </xdr:txBody>
      </xdr:sp>
      <xdr:sp macro="" textlink="">
        <xdr:nvSpPr>
          <xdr:cNvPr id="4" name="Textfeld 3">
            <a:extLst>
              <a:ext uri="{FF2B5EF4-FFF2-40B4-BE49-F238E27FC236}">
                <a16:creationId xmlns:a16="http://schemas.microsoft.com/office/drawing/2014/main" id="{00000000-0008-0000-0B00-000004000000}"/>
              </a:ext>
            </a:extLst>
          </xdr:cNvPr>
          <xdr:cNvSpPr txBox="1"/>
        </xdr:nvSpPr>
        <xdr:spPr>
          <a:xfrm>
            <a:off x="9400634" y="7390366"/>
            <a:ext cx="1565178" cy="33460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r>
              <a:rPr lang="de-DE" sz="1400">
                <a:latin typeface="Times New Roman" panose="02020603050405020304" pitchFamily="18" charset="0"/>
                <a:cs typeface="Times New Roman" panose="02020603050405020304" pitchFamily="18" charset="0"/>
              </a:rPr>
              <a:t>Kritische Wert</a:t>
            </a:r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0" name="Textfeld 9">
                <a:extLst>
                  <a:ext uri="{FF2B5EF4-FFF2-40B4-BE49-F238E27FC236}">
                    <a16:creationId xmlns:a16="http://schemas.microsoft.com/office/drawing/2014/main" id="{00000000-0008-0000-0B00-00000A000000}"/>
                  </a:ext>
                </a:extLst>
              </xdr:cNvPr>
              <xdr:cNvSpPr txBox="1"/>
            </xdr:nvSpPr>
            <xdr:spPr>
              <a:xfrm>
                <a:off x="7783549" y="7202006"/>
                <a:ext cx="556627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de-DE" sz="1100" b="0" i="1">
                          <a:latin typeface="Cambria Math" panose="02040503050406030204" pitchFamily="18" charset="0"/>
                        </a:rPr>
                        <m:t>𝑥</m:t>
                      </m:r>
                      <m:r>
                        <a:rPr lang="de-DE" sz="1100" b="0" i="1">
                          <a:latin typeface="Cambria Math" panose="02040503050406030204" pitchFamily="18" charset="0"/>
                        </a:rPr>
                        <m:t>≈0,33</m:t>
                      </m:r>
                    </m:oMath>
                  </m:oMathPara>
                </a14:m>
                <a:endParaRPr lang="de-DE" sz="1100"/>
              </a:p>
            </xdr:txBody>
          </xdr:sp>
        </mc:Choice>
        <mc:Fallback xmlns="">
          <xdr:sp macro="" textlink="">
            <xdr:nvSpPr>
              <xdr:cNvPr id="10" name="Textfeld 9">
                <a:extLst>
                  <a:ext uri="{FF2B5EF4-FFF2-40B4-BE49-F238E27FC236}">
                    <a16:creationId xmlns:a16="http://schemas.microsoft.com/office/drawing/2014/main" id="{00000000-0008-0000-0B00-00000A000000}"/>
                  </a:ext>
                </a:extLst>
              </xdr:cNvPr>
              <xdr:cNvSpPr txBox="1"/>
            </xdr:nvSpPr>
            <xdr:spPr>
              <a:xfrm>
                <a:off x="7783549" y="7202006"/>
                <a:ext cx="556627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de-DE" sz="1100" b="0" i="0">
                    <a:latin typeface="Cambria Math" panose="02040503050406030204" pitchFamily="18" charset="0"/>
                  </a:rPr>
                  <a:t>𝑥≈0,33</a:t>
                </a:r>
                <a:endParaRPr lang="de-DE" sz="1100"/>
              </a:p>
            </xdr:txBody>
          </xdr:sp>
        </mc:Fallback>
      </mc:AlternateContent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11" name="Textfeld 10">
                <a:extLst>
                  <a:ext uri="{FF2B5EF4-FFF2-40B4-BE49-F238E27FC236}">
                    <a16:creationId xmlns:a16="http://schemas.microsoft.com/office/drawing/2014/main" id="{00000000-0008-0000-0B00-00000B000000}"/>
                  </a:ext>
                </a:extLst>
              </xdr:cNvPr>
              <xdr:cNvSpPr txBox="1"/>
            </xdr:nvSpPr>
            <xdr:spPr>
              <a:xfrm>
                <a:off x="9600147" y="7623078"/>
                <a:ext cx="556627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de-DE" sz="1100" b="0" i="1">
                          <a:latin typeface="Cambria Math" panose="02040503050406030204" pitchFamily="18" charset="0"/>
                        </a:rPr>
                        <m:t>𝑥</m:t>
                      </m:r>
                      <m:r>
                        <a:rPr lang="de-DE" sz="1100" b="0" i="1">
                          <a:latin typeface="Cambria Math" panose="02040503050406030204" pitchFamily="18" charset="0"/>
                        </a:rPr>
                        <m:t>≈0,44</m:t>
                      </m:r>
                    </m:oMath>
                  </m:oMathPara>
                </a14:m>
                <a:endParaRPr lang="de-DE" sz="1100"/>
              </a:p>
            </xdr:txBody>
          </xdr:sp>
        </mc:Choice>
        <mc:Fallback xmlns="">
          <xdr:sp macro="" textlink="">
            <xdr:nvSpPr>
              <xdr:cNvPr id="11" name="Textfeld 10">
                <a:extLst>
                  <a:ext uri="{FF2B5EF4-FFF2-40B4-BE49-F238E27FC236}">
                    <a16:creationId xmlns:a16="http://schemas.microsoft.com/office/drawing/2014/main" id="{00000000-0008-0000-0B00-00000B000000}"/>
                  </a:ext>
                </a:extLst>
              </xdr:cNvPr>
              <xdr:cNvSpPr txBox="1"/>
            </xdr:nvSpPr>
            <xdr:spPr>
              <a:xfrm>
                <a:off x="9600147" y="7623078"/>
                <a:ext cx="556627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:r>
                  <a:rPr lang="de-DE" sz="1100" b="0" i="0">
                    <a:latin typeface="Cambria Math" panose="02040503050406030204" pitchFamily="18" charset="0"/>
                  </a:rPr>
                  <a:t>𝑥≈0,44</a:t>
                </a:r>
                <a:endParaRPr lang="de-DE" sz="1100"/>
              </a:p>
            </xdr:txBody>
          </xdr:sp>
        </mc:Fallback>
      </mc:AlternateContent>
    </xdr:grp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415401</xdr:colOff>
      <xdr:row>3</xdr:row>
      <xdr:rowOff>47960</xdr:rowOff>
    </xdr:from>
    <xdr:to>
      <xdr:col>20</xdr:col>
      <xdr:colOff>10981</xdr:colOff>
      <xdr:row>32</xdr:row>
      <xdr:rowOff>99507</xdr:rowOff>
    </xdr:to>
    <xdr:graphicFrame macro="">
      <xdr:nvGraphicFramePr>
        <xdr:cNvPr id="12" name="Diagramm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14</xdr:col>
      <xdr:colOff>1574147</xdr:colOff>
      <xdr:row>623</xdr:row>
      <xdr:rowOff>23659</xdr:rowOff>
    </xdr:from>
    <xdr:to>
      <xdr:col>22</xdr:col>
      <xdr:colOff>263283</xdr:colOff>
      <xdr:row>644</xdr:row>
      <xdr:rowOff>118184</xdr:rowOff>
    </xdr:to>
    <xdr:graphicFrame macro="">
      <xdr:nvGraphicFramePr>
        <xdr:cNvPr id="3" name="Diagramm 2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1102396</xdr:colOff>
      <xdr:row>0</xdr:row>
      <xdr:rowOff>129689</xdr:rowOff>
    </xdr:from>
    <xdr:to>
      <xdr:col>26</xdr:col>
      <xdr:colOff>173948</xdr:colOff>
      <xdr:row>621</xdr:row>
      <xdr:rowOff>123702</xdr:rowOff>
    </xdr:to>
    <xdr:graphicFrame macro="">
      <xdr:nvGraphicFramePr>
        <xdr:cNvPr id="4" name="Diagramm 3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22</xdr:col>
      <xdr:colOff>427690</xdr:colOff>
      <xdr:row>624</xdr:row>
      <xdr:rowOff>55558</xdr:rowOff>
    </xdr:from>
    <xdr:to>
      <xdr:col>39</xdr:col>
      <xdr:colOff>475422</xdr:colOff>
      <xdr:row>646</xdr:row>
      <xdr:rowOff>56550</xdr:rowOff>
    </xdr:to>
    <xdr:grpSp>
      <xdr:nvGrpSpPr>
        <xdr:cNvPr id="23" name="Gruppieren 22">
          <a:extLst>
            <a:ext uri="{FF2B5EF4-FFF2-40B4-BE49-F238E27FC236}">
              <a16:creationId xmlns:a16="http://schemas.microsoft.com/office/drawing/2014/main" id="{00000000-0008-0000-0E00-000017000000}"/>
            </a:ext>
          </a:extLst>
        </xdr:cNvPr>
        <xdr:cNvGrpSpPr/>
      </xdr:nvGrpSpPr>
      <xdr:grpSpPr>
        <a:xfrm>
          <a:off x="32756368" y="4693819"/>
          <a:ext cx="13564950" cy="4082661"/>
          <a:chOff x="16675435" y="2773993"/>
          <a:chExt cx="13569422" cy="3982442"/>
        </a:xfrm>
      </xdr:grpSpPr>
      <xdr:grpSp>
        <xdr:nvGrpSpPr>
          <xdr:cNvPr id="21" name="Gruppieren 20">
            <a:extLst>
              <a:ext uri="{FF2B5EF4-FFF2-40B4-BE49-F238E27FC236}">
                <a16:creationId xmlns:a16="http://schemas.microsoft.com/office/drawing/2014/main" id="{00000000-0008-0000-0E00-000015000000}"/>
              </a:ext>
            </a:extLst>
          </xdr:cNvPr>
          <xdr:cNvGrpSpPr/>
        </xdr:nvGrpSpPr>
        <xdr:grpSpPr>
          <a:xfrm>
            <a:off x="16675435" y="2773993"/>
            <a:ext cx="13569422" cy="3982442"/>
            <a:chOff x="14768530" y="4098785"/>
            <a:chExt cx="13604801" cy="3898350"/>
          </a:xfrm>
        </xdr:grpSpPr>
        <xdr:grpSp>
          <xdr:nvGrpSpPr>
            <xdr:cNvPr id="20" name="Gruppieren 19">
              <a:extLst>
                <a:ext uri="{FF2B5EF4-FFF2-40B4-BE49-F238E27FC236}">
                  <a16:creationId xmlns:a16="http://schemas.microsoft.com/office/drawing/2014/main" id="{00000000-0008-0000-0E00-000014000000}"/>
                </a:ext>
              </a:extLst>
            </xdr:cNvPr>
            <xdr:cNvGrpSpPr/>
          </xdr:nvGrpSpPr>
          <xdr:grpSpPr>
            <a:xfrm>
              <a:off x="14772340" y="4096880"/>
              <a:ext cx="13604801" cy="3900255"/>
              <a:chOff x="14721314" y="4413654"/>
              <a:chExt cx="13603984" cy="4195802"/>
            </a:xfrm>
          </xdr:grpSpPr>
          <xdr:pic>
            <xdr:nvPicPr>
              <xdr:cNvPr id="6" name="Grafik 5">
                <a:extLst>
                  <a:ext uri="{FF2B5EF4-FFF2-40B4-BE49-F238E27FC236}">
                    <a16:creationId xmlns:a16="http://schemas.microsoft.com/office/drawing/2014/main" id="{00000000-0008-0000-0E00-000006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3"/>
              <a:srcRect l="30357"/>
              <a:stretch/>
            </xdr:blipFill>
            <xdr:spPr>
              <a:xfrm>
                <a:off x="17438797" y="4413654"/>
                <a:ext cx="10886501" cy="4195802"/>
              </a:xfrm>
              <a:prstGeom prst="rect">
                <a:avLst/>
              </a:prstGeom>
            </xdr:spPr>
          </xdr:pic>
          <xdr:pic>
            <xdr:nvPicPr>
              <xdr:cNvPr id="7" name="Grafik 6">
                <a:extLst>
                  <a:ext uri="{FF2B5EF4-FFF2-40B4-BE49-F238E27FC236}">
                    <a16:creationId xmlns:a16="http://schemas.microsoft.com/office/drawing/2014/main" id="{00000000-0008-0000-0E00-000007000000}"/>
                  </a:ext>
                </a:extLst>
              </xdr:cNvPr>
              <xdr:cNvPicPr>
                <a:picLocks noChangeAspect="1"/>
              </xdr:cNvPicPr>
            </xdr:nvPicPr>
            <xdr:blipFill rotWithShape="1">
              <a:blip xmlns:r="http://schemas.openxmlformats.org/officeDocument/2006/relationships" r:embed="rId3"/>
              <a:srcRect l="-1226" r="83494"/>
              <a:stretch/>
            </xdr:blipFill>
            <xdr:spPr>
              <a:xfrm>
                <a:off x="14721314" y="4431180"/>
                <a:ext cx="2736355" cy="4174847"/>
              </a:xfrm>
              <a:prstGeom prst="rect">
                <a:avLst/>
              </a:prstGeom>
            </xdr:spPr>
          </xdr:pic>
          <xdr:sp macro="" textlink="">
            <xdr:nvSpPr>
              <xdr:cNvPr id="8" name="Rechteck 7">
                <a:extLst>
                  <a:ext uri="{FF2B5EF4-FFF2-40B4-BE49-F238E27FC236}">
                    <a16:creationId xmlns:a16="http://schemas.microsoft.com/office/drawing/2014/main" id="{00000000-0008-0000-0E00-000008000000}"/>
                  </a:ext>
                </a:extLst>
              </xdr:cNvPr>
              <xdr:cNvSpPr/>
            </xdr:nvSpPr>
            <xdr:spPr>
              <a:xfrm>
                <a:off x="17342496" y="7695430"/>
                <a:ext cx="914121" cy="532584"/>
              </a:xfrm>
              <a:prstGeom prst="rect">
                <a:avLst/>
              </a:prstGeom>
              <a:solidFill>
                <a:sysClr val="window" lastClr="FFFFFF"/>
              </a:solidFill>
              <a:ln>
                <a:solidFill>
                  <a:schemeClr val="bg1"/>
                </a:solidFill>
              </a:ln>
            </xdr:spPr>
            <xdr:style>
              <a:lnRef idx="2">
                <a:schemeClr val="accent1">
                  <a:shade val="50000"/>
                </a:schemeClr>
              </a:lnRef>
              <a:fillRef idx="1">
                <a:schemeClr val="accent1"/>
              </a:fillRef>
              <a:effectRef idx="0">
                <a:schemeClr val="accent1"/>
              </a:effectRef>
              <a:fontRef idx="minor">
                <a:schemeClr val="lt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de-DE" sz="1100"/>
              </a:p>
            </xdr:txBody>
          </xdr:sp>
          <xdr:sp macro="" textlink="">
            <xdr:nvSpPr>
              <xdr:cNvPr id="15" name="Freihandform: Form 14">
                <a:extLst>
                  <a:ext uri="{FF2B5EF4-FFF2-40B4-BE49-F238E27FC236}">
                    <a16:creationId xmlns:a16="http://schemas.microsoft.com/office/drawing/2014/main" id="{00000000-0008-0000-0E00-00000F000000}"/>
                  </a:ext>
                </a:extLst>
              </xdr:cNvPr>
              <xdr:cNvSpPr/>
            </xdr:nvSpPr>
            <xdr:spPr>
              <a:xfrm>
                <a:off x="17656367" y="7560959"/>
                <a:ext cx="38099" cy="267342"/>
              </a:xfrm>
              <a:custGeom>
                <a:avLst/>
                <a:gdLst>
                  <a:gd name="connsiteX0" fmla="*/ 0 w 154094"/>
                  <a:gd name="connsiteY0" fmla="*/ 0 h 344365"/>
                  <a:gd name="connsiteX1" fmla="*/ 153866 w 154094"/>
                  <a:gd name="connsiteY1" fmla="*/ 124558 h 344365"/>
                  <a:gd name="connsiteX2" fmla="*/ 36635 w 154094"/>
                  <a:gd name="connsiteY2" fmla="*/ 249115 h 344365"/>
                  <a:gd name="connsiteX3" fmla="*/ 124558 w 154094"/>
                  <a:gd name="connsiteY3" fmla="*/ 344365 h 344365"/>
                </a:gdLst>
                <a:ahLst/>
                <a:cxnLst>
                  <a:cxn ang="0">
                    <a:pos x="connsiteX0" y="connsiteY0"/>
                  </a:cxn>
                  <a:cxn ang="0">
                    <a:pos x="connsiteX1" y="connsiteY1"/>
                  </a:cxn>
                  <a:cxn ang="0">
                    <a:pos x="connsiteX2" y="connsiteY2"/>
                  </a:cxn>
                  <a:cxn ang="0">
                    <a:pos x="connsiteX3" y="connsiteY3"/>
                  </a:cxn>
                </a:cxnLst>
                <a:rect l="l" t="t" r="r" b="b"/>
                <a:pathLst>
                  <a:path w="154094" h="344365">
                    <a:moveTo>
                      <a:pt x="0" y="0"/>
                    </a:moveTo>
                    <a:cubicBezTo>
                      <a:pt x="73880" y="41519"/>
                      <a:pt x="147760" y="83039"/>
                      <a:pt x="153866" y="124558"/>
                    </a:cubicBezTo>
                    <a:cubicBezTo>
                      <a:pt x="159972" y="166077"/>
                      <a:pt x="41520" y="212481"/>
                      <a:pt x="36635" y="249115"/>
                    </a:cubicBezTo>
                    <a:cubicBezTo>
                      <a:pt x="31750" y="285749"/>
                      <a:pt x="100135" y="326048"/>
                      <a:pt x="124558" y="344365"/>
                    </a:cubicBezTo>
                  </a:path>
                </a:pathLst>
              </a:custGeom>
            </xdr:spPr>
            <xdr:style>
              <a:lnRef idx="1">
                <a:schemeClr val="dk1"/>
              </a:lnRef>
              <a:fillRef idx="0">
                <a:schemeClr val="dk1"/>
              </a:fillRef>
              <a:effectRef idx="0">
                <a:schemeClr val="dk1"/>
              </a:effectRef>
              <a:fontRef idx="minor">
                <a:schemeClr val="tx1"/>
              </a:fontRef>
            </xdr:style>
            <xdr:txBody>
              <a:bodyPr vertOverflow="clip" horzOverflow="clip" rtlCol="0" anchor="t"/>
              <a:lstStyle/>
              <a:p>
                <a:pPr algn="l"/>
                <a:endParaRPr lang="de-DE" sz="1100"/>
              </a:p>
            </xdr:txBody>
          </xdr:sp>
        </xdr:grpSp>
        <xdr:cxnSp macro="">
          <xdr:nvCxnSpPr>
            <xdr:cNvPr id="17" name="Gerader Verbinder 16">
              <a:extLst>
                <a:ext uri="{FF2B5EF4-FFF2-40B4-BE49-F238E27FC236}">
                  <a16:creationId xmlns:a16="http://schemas.microsoft.com/office/drawing/2014/main" id="{00000000-0008-0000-0E00-000011000000}"/>
                </a:ext>
              </a:extLst>
            </xdr:cNvPr>
            <xdr:cNvCxnSpPr/>
          </xdr:nvCxnSpPr>
          <xdr:spPr>
            <a:xfrm>
              <a:off x="16840200" y="7123339"/>
              <a:ext cx="11490416" cy="43815"/>
            </a:xfrm>
            <a:prstGeom prst="line">
              <a:avLst/>
            </a:prstGeom>
          </xdr:spPr>
          <xdr:style>
            <a:lnRef idx="1">
              <a:schemeClr val="dk1"/>
            </a:lnRef>
            <a:fillRef idx="0">
              <a:schemeClr val="dk1"/>
            </a:fillRef>
            <a:effectRef idx="0">
              <a:schemeClr val="dk1"/>
            </a:effectRef>
            <a:fontRef idx="minor">
              <a:schemeClr val="tx1"/>
            </a:fontRef>
          </xdr:style>
        </xdr:cxnSp>
      </xdr:grpSp>
      <xdr:sp macro="" textlink="">
        <xdr:nvSpPr>
          <xdr:cNvPr id="14" name="Freihandform: Form 13">
            <a:extLst>
              <a:ext uri="{FF2B5EF4-FFF2-40B4-BE49-F238E27FC236}">
                <a16:creationId xmlns:a16="http://schemas.microsoft.com/office/drawing/2014/main" id="{00000000-0008-0000-0E00-00000E000000}"/>
              </a:ext>
            </a:extLst>
          </xdr:cNvPr>
          <xdr:cNvSpPr/>
        </xdr:nvSpPr>
        <xdr:spPr>
          <a:xfrm>
            <a:off x="18895857" y="5760769"/>
            <a:ext cx="41909" cy="254008"/>
          </a:xfrm>
          <a:custGeom>
            <a:avLst/>
            <a:gdLst>
              <a:gd name="connsiteX0" fmla="*/ 0 w 154094"/>
              <a:gd name="connsiteY0" fmla="*/ 0 h 344365"/>
              <a:gd name="connsiteX1" fmla="*/ 153866 w 154094"/>
              <a:gd name="connsiteY1" fmla="*/ 124558 h 344365"/>
              <a:gd name="connsiteX2" fmla="*/ 36635 w 154094"/>
              <a:gd name="connsiteY2" fmla="*/ 249115 h 344365"/>
              <a:gd name="connsiteX3" fmla="*/ 124558 w 154094"/>
              <a:gd name="connsiteY3" fmla="*/ 344365 h 344365"/>
            </a:gdLst>
            <a:ahLst/>
            <a:cxnLst>
              <a:cxn ang="0">
                <a:pos x="connsiteX0" y="connsiteY0"/>
              </a:cxn>
              <a:cxn ang="0">
                <a:pos x="connsiteX1" y="connsiteY1"/>
              </a:cxn>
              <a:cxn ang="0">
                <a:pos x="connsiteX2" y="connsiteY2"/>
              </a:cxn>
              <a:cxn ang="0">
                <a:pos x="connsiteX3" y="connsiteY3"/>
              </a:cxn>
            </a:cxnLst>
            <a:rect l="l" t="t" r="r" b="b"/>
            <a:pathLst>
              <a:path w="154094" h="344365">
                <a:moveTo>
                  <a:pt x="0" y="0"/>
                </a:moveTo>
                <a:cubicBezTo>
                  <a:pt x="73880" y="41519"/>
                  <a:pt x="147760" y="83039"/>
                  <a:pt x="153866" y="124558"/>
                </a:cubicBezTo>
                <a:cubicBezTo>
                  <a:pt x="159972" y="166077"/>
                  <a:pt x="41520" y="212481"/>
                  <a:pt x="36635" y="249115"/>
                </a:cubicBezTo>
                <a:cubicBezTo>
                  <a:pt x="31750" y="285749"/>
                  <a:pt x="100135" y="326048"/>
                  <a:pt x="124558" y="344365"/>
                </a:cubicBezTo>
              </a:path>
            </a:pathLst>
          </a:custGeom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de-DE" sz="1100"/>
          </a:p>
        </xdr:txBody>
      </xdr:sp>
      <mc:AlternateContent xmlns:mc="http://schemas.openxmlformats.org/markup-compatibility/2006" xmlns:a14="http://schemas.microsoft.com/office/drawing/2010/main">
        <mc:Choice Requires="a14">
          <xdr:sp macro="" textlink="">
            <xdr:nvSpPr>
              <xdr:cNvPr id="22" name="Textfeld 21">
                <a:extLst>
                  <a:ext uri="{FF2B5EF4-FFF2-40B4-BE49-F238E27FC236}">
                    <a16:creationId xmlns:a16="http://schemas.microsoft.com/office/drawing/2014/main" id="{00000000-0008-0000-0E00-000016000000}"/>
                  </a:ext>
                </a:extLst>
              </xdr:cNvPr>
              <xdr:cNvSpPr txBox="1"/>
            </xdr:nvSpPr>
            <xdr:spPr>
              <a:xfrm>
                <a:off x="19173825" y="5809297"/>
                <a:ext cx="137923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pPr/>
                <a14:m>
                  <m:oMathPara xmlns:m="http://schemas.openxmlformats.org/officeDocument/2006/math">
                    <m:oMathParaPr>
                      <m:jc m:val="centerGroup"/>
                    </m:oMathParaPr>
                    <m:oMath xmlns:m="http://schemas.openxmlformats.org/officeDocument/2006/math">
                      <m:r>
                        <a:rPr lang="de-DE" sz="1100" b="0" i="1">
                          <a:latin typeface="Cambria Math" panose="02040503050406030204" pitchFamily="18" charset="0"/>
                        </a:rPr>
                        <m:t>…</m:t>
                      </m:r>
                    </m:oMath>
                  </m:oMathPara>
                </a14:m>
                <a:endParaRPr lang="de-DE" sz="1100"/>
              </a:p>
            </xdr:txBody>
          </xdr:sp>
        </mc:Choice>
        <mc:Fallback xmlns="">
          <xdr:sp macro="" textlink="">
            <xdr:nvSpPr>
              <xdr:cNvPr id="22" name="Textfeld 21">
                <a:extLst>
                  <a:ext uri="{FF2B5EF4-FFF2-40B4-BE49-F238E27FC236}">
                    <a16:creationId xmlns:a16="http://schemas.microsoft.com/office/drawing/2014/main" id="{F2829EE7-8753-5209-EEC3-738BAF3A108F}"/>
                  </a:ext>
                </a:extLst>
              </xdr:cNvPr>
              <xdr:cNvSpPr txBox="1"/>
            </xdr:nvSpPr>
            <xdr:spPr>
              <a:xfrm>
                <a:off x="19173825" y="5809297"/>
                <a:ext cx="137923" cy="172227"/>
              </a:xfrm>
              <a:prstGeom prst="rect">
                <a:avLst/>
              </a:prstGeom>
              <a:noFill/>
            </xdr:spPr>
            <xdr:style>
              <a:lnRef idx="0">
                <a:scrgbClr r="0" g="0" b="0"/>
              </a:lnRef>
              <a:fillRef idx="0">
                <a:scrgbClr r="0" g="0" b="0"/>
              </a:fillRef>
              <a:effectRef idx="0">
                <a:scrgbClr r="0" g="0" b="0"/>
              </a:effectRef>
              <a:fontRef idx="minor">
                <a:schemeClr val="tx1"/>
              </a:fontRef>
            </xdr:style>
            <xdr:txBody>
              <a:bodyPr vertOverflow="clip" horzOverflow="clip" wrap="none" lIns="0" tIns="0" rIns="0" bIns="0" rtlCol="0" anchor="t">
                <a:spAutoFit/>
              </a:bodyPr>
              <a:lstStyle/>
              <a:p>
                <a:r>
                  <a:rPr lang="de-DE" sz="1100" b="0" i="0">
                    <a:latin typeface="Cambria Math" panose="02040503050406030204" pitchFamily="18" charset="0"/>
                  </a:rPr>
                  <a:t>…</a:t>
                </a:r>
                <a:endParaRPr lang="de-DE" sz="1100"/>
              </a:p>
            </xdr:txBody>
          </xdr:sp>
        </mc:Fallback>
      </mc:AlternateContent>
    </xdr:grp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9" xr16:uid="{27093E37-09E4-4AB8-88A5-16DFA6640B8F}" autoFormatId="16" applyNumberFormats="0" applyBorderFormats="0" applyFontFormats="0" applyPatternFormats="0" applyAlignmentFormats="0" applyWidthHeightFormats="0">
  <queryTableRefresh nextId="51">
    <queryTableFields count="2">
      <queryTableField id="7" name="Source.Name" tableColumnId="7"/>
      <queryTableField id="49" name="20" tableColumnId="22"/>
    </queryTableFields>
    <queryTableDeletedFields count="20">
      <deletedField name="0"/>
      <deletedField name="1"/>
      <deletedField name="2"/>
      <deletedField name="3"/>
      <deletedField name="4"/>
      <deletedField name="5"/>
      <deletedField name="6"/>
      <deletedField name="7"/>
      <deletedField name="8"/>
      <deletedField name="9"/>
      <deletedField name="10"/>
      <deletedField name="11"/>
      <deletedField name="12"/>
      <deletedField name="13"/>
      <deletedField name="14"/>
      <deletedField name="15"/>
      <deletedField name="16"/>
      <deletedField name="17"/>
      <deletedField name="18"/>
      <deletedField name="19"/>
    </queryTableDeleted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eDaten_1" connectionId="10" xr16:uid="{FC673BEE-E293-42EB-BE51-AB30AC680CD2}" autoFormatId="16" applyNumberFormats="0" applyBorderFormats="0" applyFontFormats="0" applyPatternFormats="0" applyAlignmentFormats="0" applyWidthHeightFormats="0">
  <queryTableRefresh nextId="3">
    <queryTableFields count="2">
      <queryTableField id="1" name="Source.Name" tableColumnId="1"/>
      <queryTableField id="2" name="Column1" tableColumnId="2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5EB2BD9-5BE1-4C89-A5F1-A31C638DA0E3}" name="Sensitivität_bzw_Monte_Carlo_bei_Strom" displayName="Sensitivität_bzw_Monte_Carlo_bei_Strom" ref="A1:B1600" tableType="queryTable" totalsRowShown="0">
  <autoFilter ref="A1:B1600" xr:uid="{B5EB2BD9-5BE1-4C89-A5F1-A31C638DA0E3}">
    <filterColumn colId="0">
      <filters>
        <filter val="Batteriepreis_II_2.xlsx"/>
        <filter val="Strompreis_II_1.xlsx"/>
        <filter val="Strompreis_II_2.xlsx"/>
      </filters>
    </filterColumn>
  </autoFilter>
  <tableColumns count="2">
    <tableColumn id="7" xr3:uid="{35C9690B-D509-4A2C-828F-95B41E7AC044}" uniqueName="7" name="Source.Name" queryTableFieldId="7" dataDxfId="64"/>
    <tableColumn id="22" xr3:uid="{D6398AF8-DD34-4F3B-A47D-60C824881570}" uniqueName="22" name="20" queryTableFieldId="49"/>
  </tableColumns>
  <tableStyleInfo name="TableStyleMedium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3417CD0B-2030-46A3-8EAF-4A43BD1C109E}" name="Variation_Singulär" displayName="Variation_Singulär" ref="A1:B1014" tableType="queryTable" totalsRowShown="0">
  <autoFilter ref="A1:B1014" xr:uid="{3417CD0B-2030-46A3-8EAF-4A43BD1C109E}">
    <filterColumn colId="0">
      <filters>
        <filter val="Batteriepreis_Range.xlsx"/>
        <filter val="Strompreis_Range.xlsx"/>
        <filter val="Strompreis_Range_Quantile_Range.xlsx"/>
      </filters>
    </filterColumn>
  </autoFilter>
  <tableColumns count="2">
    <tableColumn id="1" xr3:uid="{36BA0BA7-C5A4-4F72-9FC6-DAAFFE6F3DB8}" uniqueName="1" name="Source.Name" queryTableFieldId="1" dataDxfId="63"/>
    <tableColumn id="2" xr3:uid="{C946B082-2F09-4DBD-A9E2-544E9A5A2EA0}" uniqueName="2" name="Column1" queryTableFieldId="2"/>
  </tableColumns>
  <tableStyleInfo name="TableStyleMedium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F58C3D6-2CB0-4A9A-A474-CBD008D8C55F}" name="Tabelle2" displayName="Tabelle2" ref="A1:C200" totalsRowShown="0">
  <autoFilter ref="A1:C200" xr:uid="{9F58C3D6-2CB0-4A9A-A474-CBD008D8C55F}"/>
  <tableColumns count="3">
    <tableColumn id="1" xr3:uid="{921D1F4E-5D0F-497C-8175-BCC3831FFF98}" name="Auszahlung_aus_der_Szenario_Range" dataDxfId="62">
      <calculatedColumnFormula>IFERROR(IF(LEFT(Sensitivität_bzw_Monte_Carlo_bei_Strom[[#This Row],[Source.Name]],SEARCH("aus_der",Sensitivität_bzw_Monte_Carlo_bei_Strom[[#This Row],[Source.Name]],1))="Auszahlung_a","Auszahlung",""),"")</calculatedColumnFormula>
    </tableColumn>
    <tableColumn id="22" xr3:uid="{57502D06-D0F3-47A9-B7D8-7A8B0F377731}" name="20" dataDxfId="61">
      <calculatedColumnFormula>IF(Tabelle2[[#This Row],[Auszahlung_aus_der_Szenario_Range]]&lt;&gt;"",Sensitivität_bzw_Monte_Carlo_bei_Strom[[#This Row],[20]]," ")</calculatedColumnFormula>
    </tableColumn>
    <tableColumn id="24" xr3:uid="{A8BE9C2A-BDAF-4EC0-A0B4-4D3D27B120A8}" name="Teilschritte" dataDxfId="60">
      <calculatedColumnFormula>IF(Tabelle2[[#This Row],[Auszahlung_aus_der_Szenario_Range]]&lt;&gt;"",Variation_Singulär[[#This Row],[Column1]]," ")</calculatedColumnFormula>
    </tableColumn>
  </tableColumns>
  <tableStyleInfo name="TableStyleMedium1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19CCCAF3-BCFB-423F-9AD8-B6008F57FD4A}" name="Tabelle25" displayName="Tabelle25" ref="A1:D201" totalsRowShown="0">
  <autoFilter ref="A1:D201" xr:uid="{9F58C3D6-2CB0-4A9A-A474-CBD008D8C55F}"/>
  <tableColumns count="4">
    <tableColumn id="23" xr3:uid="{6855C450-F3D7-412B-8A22-F25EDD9AB2C2}" name="Typ" dataDxfId="59">
      <calculatedColumnFormula>IF(Tabelle25[[#This Row],[Auszahlung_aus_der_Szenario_Range]]="","",IFERROR(MID(Sensitivität_bzw_Monte_Carlo_bei_Strom[[#This Row],[Source.Name]],FIND("1",Sensitivität_bzw_Monte_Carlo_bei_Strom[[#This Row],[Source.Name]],1),1),2))</calculatedColumnFormula>
    </tableColumn>
    <tableColumn id="1" xr3:uid="{1CB0A10F-8156-4DCE-BAA5-AE9C9A05938B}" name="Auszahlung_aus_der_Szenario_Range" dataDxfId="58"/>
    <tableColumn id="22" xr3:uid="{7C0AD5AB-AFE0-4FC6-B498-C12C62D78AAF}" name="20" dataDxfId="57"/>
    <tableColumn id="24" xr3:uid="{3A163CFC-CDDD-4C80-8014-162050281178}" name="Teilschritte" dataDxfId="56">
      <calculatedColumnFormula>IF(Tabelle25[[#This Row],[Auszahlung_aus_der_Szenario_Range]]&lt;&gt;"",#REF!," ")</calculatedColumnFormula>
    </tableColumn>
  </tableColumns>
  <tableStyleInfo name="TableStyleMedium1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8D0BB2B-C7EF-4108-B41C-0C8DF7EFF280}" name="Tabelle25678" displayName="Tabelle25678" ref="A1:D201" totalsRowShown="0">
  <autoFilter ref="A1:D201" xr:uid="{9F58C3D6-2CB0-4A9A-A474-CBD008D8C55F}"/>
  <tableColumns count="4">
    <tableColumn id="23" xr3:uid="{1A074214-EA72-4BEB-821D-18AB4C188C3B}" name="Typ" dataDxfId="55">
      <calculatedColumnFormula>IF(Tabelle25678[[#This Row],[Auszahlung_aus_der_Szenario_Range]]="","",IFERROR(MID(Sensitivität_bzw_Monte_Carlo_bei_Strom[[#This Row],[Source.Name]],FIND("1",Sensitivität_bzw_Monte_Carlo_bei_Strom[[#This Row],[Source.Name]],1),1),2))</calculatedColumnFormula>
    </tableColumn>
    <tableColumn id="1" xr3:uid="{2F7E8B11-36D4-4F4F-9D53-F5DBC5CEBAE3}" name="Auszahlung_aus_der_Szenario_Range" dataDxfId="54"/>
    <tableColumn id="22" xr3:uid="{85260035-CA11-4BBA-AE9C-919CCE53012B}" name="20" dataDxfId="53"/>
    <tableColumn id="24" xr3:uid="{8D4FE809-8694-44C5-B17B-E3FE6EA5E06F}" name="Teilschritte" dataDxfId="52"/>
  </tableColumns>
  <tableStyleInfo name="TableStyleMedium1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8D48AD6-7E39-4C4F-B294-5D1412DE34B4}" name="Tabelle25678910" displayName="Tabelle25678910" ref="A1:D201" totalsRowShown="0">
  <autoFilter ref="A1:D201" xr:uid="{9F58C3D6-2CB0-4A9A-A474-CBD008D8C55F}"/>
  <tableColumns count="4">
    <tableColumn id="23" xr3:uid="{81953551-06D8-4A58-951A-678D81411AC4}" name="Typ" dataDxfId="51">
      <calculatedColumnFormula>IF(Tabelle25678910[[#This Row],[Auszahlung_aus_der_Szenario_Range]]="","",IFERROR(MID(Sensitivität_bzw_Monte_Carlo_bei_Strom[[#This Row],[Source.Name]],FIND("1",Sensitivität_bzw_Monte_Carlo_bei_Strom[[#This Row],[Source.Name]],1),1),2))</calculatedColumnFormula>
    </tableColumn>
    <tableColumn id="1" xr3:uid="{BD105BF1-FEE3-4C35-8A0B-9B590F97715B}" name="Auszahlung_aus_der_Szenario_Range" dataDxfId="50"/>
    <tableColumn id="22" xr3:uid="{8A985B4D-B3DB-4AB8-BCF9-7304C9DE663C}" name="20" dataDxfId="49"/>
    <tableColumn id="24" xr3:uid="{A6B36C3B-B9E2-4AEC-A191-F72C1B65F803}" name="Teilschritte" dataDxfId="48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CB059C30-F103-44B7-B9C2-E6E1A82FE1EB}" name="Tabelle2567891011" displayName="Tabelle2567891011" ref="A1:D201" totalsRowShown="0">
  <autoFilter ref="A1:D201" xr:uid="{9F58C3D6-2CB0-4A9A-A474-CBD008D8C55F}"/>
  <tableColumns count="4">
    <tableColumn id="23" xr3:uid="{C92C3FE2-DF4B-4FFF-B35D-A4474EA593DE}" name="Typ" dataDxfId="47">
      <calculatedColumnFormula>IF(Tabelle2567891011[[#This Row],[Auszahlung_aus_der_Szenario_Range]]="","",IFERROR(MID(Sensitivität_bzw_Monte_Carlo_bei_Strom[[#This Row],[Source.Name]],FIND("1",Sensitivität_bzw_Monte_Carlo_bei_Strom[[#This Row],[Source.Name]],1),1),2))</calculatedColumnFormula>
    </tableColumn>
    <tableColumn id="1" xr3:uid="{1B244AA5-AC13-444C-98E5-62828C7C17C8}" name="Auszahlung_aus_der_Szenario_Range" dataDxfId="46"/>
    <tableColumn id="22" xr3:uid="{EA1F6C58-D64A-482C-8AAE-0F32CD0C5621}" name="20" dataDxfId="45"/>
    <tableColumn id="24" xr3:uid="{72F0322D-B43E-4491-9779-49E1FF1A22D7}" name="Teilschritte" dataDxfId="44"/>
  </tableColumns>
  <tableStyleInfo name="TableStyleMedium1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7FA01EA-A5A6-41CC-AC30-FB50BD7DBF7E}" name="Tabelle256789101112" displayName="Tabelle256789101112" ref="A1:D201" totalsRowShown="0">
  <autoFilter ref="A1:D201" xr:uid="{9F58C3D6-2CB0-4A9A-A474-CBD008D8C55F}"/>
  <tableColumns count="4">
    <tableColumn id="23" xr3:uid="{0AB0424C-8366-43D1-858A-2A5E47287AA4}" name="Typ" dataDxfId="43">
      <calculatedColumnFormula>IF(Tabelle256789101112[[#This Row],[Auszahlung_aus_der_Szenario_Range]]="","",IFERROR(MID(Sensitivität_bzw_Monte_Carlo_bei_Strom[[#This Row],[Source.Name]],FIND("1",Sensitivität_bzw_Monte_Carlo_bei_Strom[[#This Row],[Source.Name]],1),1),2))</calculatedColumnFormula>
    </tableColumn>
    <tableColumn id="1" xr3:uid="{CC5E71DE-9C13-435B-A1DF-AA912CAAF288}" name="Auszahlung_aus_der_Szenario_Range" dataDxfId="42"/>
    <tableColumn id="22" xr3:uid="{119900B2-3495-429F-97D7-B05F70C3676B}" name="20" dataDxfId="41"/>
    <tableColumn id="24" xr3:uid="{9B9566B4-A435-4E0A-BB54-AAA42F3D524C}" name="Teilschritte" dataDxfId="40"/>
  </tableColumns>
  <tableStyleInfo name="TableStyleMedium1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A0D070D-30A7-43F3-B3E8-2AE36F4711B9}" name="Tabelle256" displayName="Tabelle256" ref="A1:D101" totalsRowShown="0">
  <autoFilter ref="A1:D101" xr:uid="{9F58C3D6-2CB0-4A9A-A474-CBD008D8C55F}"/>
  <tableColumns count="4">
    <tableColumn id="23" xr3:uid="{D657C86E-DCBA-4D82-A70B-C1DE18B382B6}" name="Typ" dataDxfId="39">
      <calculatedColumnFormula>IF(Tabelle256[[#This Row],[Auszahlung_aus_der_Szenario_Range]]="","",IFERROR(MID(Sensitivität_bzw_Monte_Carlo_bei_Strom[[#This Row],[Source.Name]],FIND("1",Sensitivität_bzw_Monte_Carlo_bei_Strom[[#This Row],[Source.Name]],1),1),2))</calculatedColumnFormula>
    </tableColumn>
    <tableColumn id="1" xr3:uid="{A42548F3-8B9E-47F4-965A-42D46C0BB159}" name="Auszahlung_aus_der_Szenario_Range" dataDxfId="38"/>
    <tableColumn id="22" xr3:uid="{228F44A0-49F2-4C38-A7FF-7F1908025D87}" name="20" dataDxfId="37"/>
    <tableColumn id="24" xr3:uid="{05DF1AFE-10F1-42FE-A0B8-7D9307528DE9}" name="Teilschritte" dataDxfId="36"/>
  </tableColumns>
  <tableStyleInfo name="TableStyleMedium1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D54655A5-0E31-4109-A5EF-9E367726EF4E}" name="Tabelle2567" displayName="Tabelle2567" ref="A1:D101" totalsRowShown="0">
  <autoFilter ref="A1:D101" xr:uid="{9F58C3D6-2CB0-4A9A-A474-CBD008D8C55F}"/>
  <tableColumns count="4">
    <tableColumn id="23" xr3:uid="{B321BFA9-43B0-428C-89BA-ED5704D7FF59}" name="Typ" dataDxfId="35">
      <calculatedColumnFormula>IF(Tabelle2567[[#This Row],[Auszahlung_aus_der_Szenario_Range]]="","",IFERROR(MID(Sensitivität_bzw_Monte_Carlo_bei_Strom[[#This Row],[Source.Name]],FIND("1",Sensitivität_bzw_Monte_Carlo_bei_Strom[[#This Row],[Source.Name]],1),1),2))</calculatedColumnFormula>
    </tableColumn>
    <tableColumn id="1" xr3:uid="{8EAAC297-E4FF-4326-95C3-D6658E0FEF52}" name="Auszahlung_aus_der_Szenario_Range" dataDxfId="34">
      <calculatedColumnFormula>IFERROR(IF(LEFT(Sensitivität_bzw_Monte_Carlo_bei_Strom[[#This Row],[Source.Name]],SEARCH("_BoS",Sensitivität_bzw_Monte_Carlo_bei_Strom[[#This Row],[Source.Name]],1))="Auszahlung_BoS","Auszahlung",""),"")</calculatedColumnFormula>
    </tableColumn>
    <tableColumn id="22" xr3:uid="{5AC167ED-4164-455D-B633-5366EFFA739A}" name="20" dataDxfId="33">
      <calculatedColumnFormula>IF(Tabelle2567[[#This Row],[Auszahlung_aus_der_Szenario_Range]]&lt;&gt;"",Sensitivität_bzw_Monte_Carlo_bei_Strom[[#This Row],[20]]," ")</calculatedColumnFormula>
    </tableColumn>
    <tableColumn id="24" xr3:uid="{F681E747-D025-4BF8-87C2-06894F0CF06D}" name="Teilschritte" dataDxfId="32">
      <calculatedColumnFormula>IF(Tabelle2567[[#This Row],[Auszahlung_aus_der_Szenario_Range]]&lt;&gt;"",#REF!," ")</calculatedColumnFormula>
    </tableColumn>
  </tableColumns>
  <tableStyleInfo name="TableStyleMedium1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EDED2E0C-ED48-4402-BEFF-F6E40742DF2B}" name="Tabelle256789101113" displayName="Tabelle256789101113" ref="A1:D201" totalsRowShown="0">
  <autoFilter ref="A1:D201" xr:uid="{9F58C3D6-2CB0-4A9A-A474-CBD008D8C55F}"/>
  <tableColumns count="4">
    <tableColumn id="23" xr3:uid="{280BF674-408B-4927-8CE8-F12C2703C10A}" name="Typ" dataDxfId="31">
      <calculatedColumnFormula>IF(Tabelle256789101113[[#This Row],[Auszahlung_aus_der_Szenario_Range]]="","",IFERROR(MID(Sensitivität_bzw_Monte_Carlo_bei_Strom[[#This Row],[Source.Name]],FIND("1",Sensitivität_bzw_Monte_Carlo_bei_Strom[[#This Row],[Source.Name]],1),1),2))</calculatedColumnFormula>
    </tableColumn>
    <tableColumn id="1" xr3:uid="{523B98DD-8CD3-475D-B5FA-D9A799D8E009}" name="Auszahlung_aus_der_Szenario_Range" dataDxfId="30"/>
    <tableColumn id="22" xr3:uid="{08C01D42-D311-44FE-B130-D1657B0169D7}" name="20" dataDxfId="29"/>
    <tableColumn id="24" xr3:uid="{9B912360-DD4E-4EC5-86FB-446F65055F30}" name="Teilschritte" dataDxfId="28"/>
  </tableColumns>
  <tableStyleInfo name="TableStyleMedium1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C33B5852-E726-4225-B681-502A68B4AAEF}" name="Tabelle217" displayName="Tabelle217" ref="A1:C43" totalsRowShown="0">
  <autoFilter ref="A1:C43" xr:uid="{9F58C3D6-2CB0-4A9A-A474-CBD008D8C55F}"/>
  <tableColumns count="3">
    <tableColumn id="1" xr3:uid="{49EFCC09-424A-4375-9B89-E01346C87606}" name="Auszahlung_aus_der_Szenario_Range" dataDxfId="27"/>
    <tableColumn id="2" xr3:uid="{234FEC57-2881-4ECC-9E4D-C98794606624}" name="0" dataDxfId="26"/>
    <tableColumn id="3" xr3:uid="{93869977-5ED1-424D-A6D3-FE081FF83249}" name="1" dataDxfId="25"/>
  </tableColumns>
  <tableStyleInfo name="TableStyleMedium1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6AD132C-FF44-4F1C-B227-2EBFE11C11CA}" name="Tabelle1318" displayName="Tabelle1318" ref="A1:F1880" totalsRowShown="0">
  <autoFilter ref="A1:F1880" xr:uid="{36AD132C-FF44-4F1C-B227-2EBFE11C11CA}"/>
  <tableColumns count="6">
    <tableColumn id="1" xr3:uid="{E4AAAC51-F056-4A4C-AAE6-F8062DBB2CAB}" name="Szenario" dataDxfId="24"/>
    <tableColumn id="2" xr3:uid="{5ABBE5E3-4967-4719-896B-052CED06F583}" name="Max" dataDxfId="23"/>
    <tableColumn id="6" xr3:uid="{04297943-898C-4F2E-A5A5-4CD3C9D985DA}" name="Min" dataDxfId="22"/>
    <tableColumn id="3" xr3:uid="{9AFE1C39-1249-4CB3-8B61-E92EAC4D44C8}" name="Endwert aus dem Basisszenario" dataDxfId="21"/>
    <tableColumn id="4" xr3:uid="{182F19DE-E06E-4A6D-8F7E-0FE793036EB3}" name="Variation"/>
    <tableColumn id="5" xr3:uid="{48027811-2927-4FC8-A1EC-7F9EDE832D97}" name="Median"/>
  </tableColumns>
  <tableStyleInfo name="TableStyleMedium1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DE131019-D368-4167-AF54-FD6BA1223DA2}" name="Tabelle1519" displayName="Tabelle1519" ref="H611:J617" totalsRowShown="0">
  <autoFilter ref="H611:J617" xr:uid="{DE131019-D368-4167-AF54-FD6BA1223DA2}"/>
  <sortState xmlns:xlrd2="http://schemas.microsoft.com/office/spreadsheetml/2017/richdata2" ref="H612:J617">
    <sortCondition descending="1" ref="I611:I617"/>
  </sortState>
  <tableColumns count="3">
    <tableColumn id="1" xr3:uid="{D348A6A1-4238-4AA7-96C6-3F69D245E306}" name="Spalte1"/>
    <tableColumn id="2" xr3:uid="{9357DEF5-7200-48FE-BC11-FAF7F2817679}" name="Maximum"/>
    <tableColumn id="3" xr3:uid="{492E2276-0A74-46A1-9009-4971A344EEDE}" name="Minimum"/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8BE8296-BE34-4C68-8D34-47F7DA00642E}" name="Tabelle13" displayName="Tabelle13" ref="C1:H1860" totalsRowShown="0">
  <autoFilter ref="C1:H1860" xr:uid="{C8BE8296-BE34-4C68-8D34-47F7DA00642E}">
    <filterColumn colId="1">
      <customFilters>
        <customFilter operator="notEqual" val=" "/>
      </customFilters>
    </filterColumn>
  </autoFilter>
  <tableColumns count="6">
    <tableColumn id="1" xr3:uid="{9BAC7874-920B-4A0C-A3A2-E1EE394678DC}" name="Szenario" dataDxfId="20"/>
    <tableColumn id="2" xr3:uid="{7D746FF6-FB65-4FE9-9A19-415DD516254C}" name="Max" dataDxfId="19"/>
    <tableColumn id="6" xr3:uid="{DA927878-8134-4AA1-BC18-972FF34B5315}" name="Min" dataDxfId="18"/>
    <tableColumn id="3" xr3:uid="{8197E400-A1BC-439B-9431-2A18F5A3AD31}" name="Endwert aus dem Basisszenario" dataDxfId="17"/>
    <tableColumn id="4" xr3:uid="{40239ADE-7AF0-43F7-B804-33E96216F4DF}" name="Variation"/>
    <tableColumn id="5" xr3:uid="{FFF17ED3-1122-45BF-B5A3-91222B64510F}" name="Median"/>
  </tableColumns>
  <tableStyleInfo name="TableStyleMedium1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00EBA742-AB48-43BC-B239-F11236F0D58B}" name="Tabelle15" displayName="Tabelle15" ref="J611:N619" totalsRowShown="0">
  <autoFilter ref="J611:N619" xr:uid="{00EBA742-AB48-43BC-B239-F11236F0D58B}"/>
  <sortState xmlns:xlrd2="http://schemas.microsoft.com/office/spreadsheetml/2017/richdata2" ref="J612:L619">
    <sortCondition descending="1" ref="K611:K619"/>
  </sortState>
  <tableColumns count="5">
    <tableColumn id="1" xr3:uid="{2FEDFEAF-C726-45C6-9A19-0A85D5363F3A}" name="Spalte1"/>
    <tableColumn id="2" xr3:uid="{B1BADC06-C53C-4D3D-A52C-DB19ABA4049D}" name="Maximum"/>
    <tableColumn id="3" xr3:uid="{BE6C845C-E779-4DBD-9F77-D95728BB60A0}" name="Minimum"/>
    <tableColumn id="4" xr3:uid="{DAC3C9ED-EA41-4D91-B3B0-79219A96FF5F}" name="Maximum_Norm" dataDxfId="16"/>
    <tableColumn id="5" xr3:uid="{11DF87A9-528F-4870-9FD2-D2FB456CEEF8}" name="Minium_Norm"/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71550107-DBAB-4396-BEAF-434A385B542D}" name="Tabelle8" displayName="Tabelle8" ref="J623:N633" totalsRowShown="0">
  <autoFilter ref="J623:N633" xr:uid="{71550107-DBAB-4396-BEAF-434A385B542D}"/>
  <sortState xmlns:xlrd2="http://schemas.microsoft.com/office/spreadsheetml/2017/richdata2" ref="J624:L633">
    <sortCondition descending="1" ref="K623:K633"/>
  </sortState>
  <tableColumns count="5">
    <tableColumn id="1" xr3:uid="{832D170C-10A2-4F4B-931A-214C35C63E8A}" name="Parameter" dataDxfId="15"/>
    <tableColumn id="2" xr3:uid="{A4CCCC4A-625E-47C9-9DE6-DB7E46D6A404}" name="Maximum"/>
    <tableColumn id="3" xr3:uid="{35AA8B05-4171-493C-8EE5-D3243A2A6932}" name="Minimum"/>
    <tableColumn id="4" xr3:uid="{D63B1D25-7763-4F44-B58D-615BB05E39F0}" name="Maximum_Norm" dataDxfId="14"/>
    <tableColumn id="5" xr3:uid="{D9BEB1AB-142D-4EDA-ABBF-4FE0BAA5E152}" name="Minium_Norm" dataDxfId="13"/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5201A69A-822F-4897-B686-E363C9E45B8B}" name="Tabelle19" displayName="Tabelle19" ref="O649:S659" totalsRowShown="0" headerRowDxfId="12" dataDxfId="11">
  <autoFilter ref="O649:S659" xr:uid="{5201A69A-822F-4897-B686-E363C9E45B8B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ECA9E6C0-EEBC-41FB-AECC-63AA023ABE91}" name="Maximum" dataDxfId="10"/>
    <tableColumn id="2" xr3:uid="{EAD338C4-FB63-4066-B341-AF461B198172}" name="Minimum" dataDxfId="9"/>
    <tableColumn id="3" xr3:uid="{A2C95AE3-C2EB-4FB6-932B-368716D8BE59}" name="Maximum " dataDxfId="8">
      <calculatedColumnFormula>M650/$N$647-1</calculatedColumnFormula>
    </tableColumn>
    <tableColumn id="4" xr3:uid="{61EC4F4E-1697-42D5-BC5D-C6A010736251}" name="Minimum " dataDxfId="7">
      <calculatedColumnFormula>N650/$N$647-1</calculatedColumnFormula>
    </tableColumn>
    <tableColumn id="5" xr3:uid="{40807D36-2960-404B-A3CF-C96A89FF30FE}" name="Parameter" dataDxfId="6"/>
  </tableColumns>
  <tableStyleInfo name="TableStyleMedium1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107F5A5D-43E4-49BC-BEEA-10F6C91C6446}" name="Tabelle14" displayName="Tabelle14" ref="A1:D15" totalsRowShown="0" dataDxfId="5" tableBorderDxfId="4">
  <autoFilter ref="A1:D15" xr:uid="{107F5A5D-43E4-49BC-BEEA-10F6C91C6446}"/>
  <sortState xmlns:xlrd2="http://schemas.microsoft.com/office/spreadsheetml/2017/richdata2" ref="A2:D15">
    <sortCondition ref="B1:B15"/>
  </sortState>
  <tableColumns count="4">
    <tableColumn id="1" xr3:uid="{77253DE8-EDA9-4DA1-A9A8-DEC756E6136C}" name="Quelle Tagesschau" dataDxfId="3"/>
    <tableColumn id="2" xr3:uid="{463674BE-D847-46AB-AD6F-53B1E5DADC4D}" name="Datum der Vorhersage" dataDxfId="2"/>
    <tableColumn id="3" xr3:uid="{7DD41A66-A17F-475D-8B2D-1BF63F65EA4A}" name="2022" dataDxfId="1"/>
    <tableColumn id="4" xr3:uid="{250D2727-1DA4-4F76-ADB9-7A4EFEC0DC92}" name="2023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6.xml"/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9.xml"/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0.xml"/><Relationship Id="rId1" Type="http://schemas.openxmlformats.org/officeDocument/2006/relationships/drawing" Target="../drawings/drawing9.xm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1.xml"/><Relationship Id="rId1" Type="http://schemas.openxmlformats.org/officeDocument/2006/relationships/drawing" Target="../drawings/drawing10.x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2.xml"/><Relationship Id="rId1" Type="http://schemas.openxmlformats.org/officeDocument/2006/relationships/drawing" Target="../drawings/drawing11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4.xml"/><Relationship Id="rId1" Type="http://schemas.openxmlformats.org/officeDocument/2006/relationships/table" Target="../tables/table13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6.xml"/><Relationship Id="rId2" Type="http://schemas.openxmlformats.org/officeDocument/2006/relationships/table" Target="../tables/table15.xml"/><Relationship Id="rId1" Type="http://schemas.openxmlformats.org/officeDocument/2006/relationships/drawing" Target="../drawings/drawing12.xml"/><Relationship Id="rId5" Type="http://schemas.openxmlformats.org/officeDocument/2006/relationships/table" Target="../tables/table18.xml"/><Relationship Id="rId4" Type="http://schemas.openxmlformats.org/officeDocument/2006/relationships/table" Target="../tables/table17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9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0F2856-0396-4274-914A-DA9B60772427}">
  <sheetPr codeName="Tabelle1"/>
  <dimension ref="E1:H24"/>
  <sheetViews>
    <sheetView zoomScale="130" zoomScaleNormal="130" workbookViewId="0">
      <selection activeCell="E15" sqref="E15"/>
    </sheetView>
  </sheetViews>
  <sheetFormatPr baseColWidth="10" defaultRowHeight="14.4" x14ac:dyDescent="0.3"/>
  <cols>
    <col min="5" max="5" width="34.33203125" bestFit="1" customWidth="1"/>
  </cols>
  <sheetData>
    <row r="1" spans="5:8" ht="15.6" x14ac:dyDescent="0.3">
      <c r="E1" s="6" t="s">
        <v>53</v>
      </c>
    </row>
    <row r="2" spans="5:8" ht="15.6" x14ac:dyDescent="0.3">
      <c r="E2" s="7" t="s">
        <v>41</v>
      </c>
    </row>
    <row r="3" spans="5:8" ht="15.6" x14ac:dyDescent="0.3">
      <c r="E3" s="7" t="s">
        <v>42</v>
      </c>
    </row>
    <row r="4" spans="5:8" ht="15.6" x14ac:dyDescent="0.3">
      <c r="E4" s="7" t="s">
        <v>43</v>
      </c>
    </row>
    <row r="5" spans="5:8" ht="15.6" x14ac:dyDescent="0.3">
      <c r="E5" s="7" t="s">
        <v>44</v>
      </c>
    </row>
    <row r="6" spans="5:8" ht="15.6" x14ac:dyDescent="0.3">
      <c r="E6" s="7" t="s">
        <v>45</v>
      </c>
    </row>
    <row r="7" spans="5:8" ht="15.6" x14ac:dyDescent="0.3">
      <c r="E7" s="7" t="s">
        <v>46</v>
      </c>
    </row>
    <row r="8" spans="5:8" ht="15.6" x14ac:dyDescent="0.3">
      <c r="E8" s="7" t="s">
        <v>47</v>
      </c>
    </row>
    <row r="9" spans="5:8" ht="15.6" x14ac:dyDescent="0.3">
      <c r="E9" s="7" t="s">
        <v>48</v>
      </c>
    </row>
    <row r="10" spans="5:8" ht="15.6" x14ac:dyDescent="0.3">
      <c r="E10" s="7" t="s">
        <v>49</v>
      </c>
      <c r="H10" t="s">
        <v>92</v>
      </c>
    </row>
    <row r="11" spans="5:8" ht="15.6" x14ac:dyDescent="0.3">
      <c r="E11" s="7" t="s">
        <v>50</v>
      </c>
    </row>
    <row r="12" spans="5:8" ht="15.6" x14ac:dyDescent="0.3">
      <c r="E12" s="7" t="s">
        <v>51</v>
      </c>
    </row>
    <row r="13" spans="5:8" ht="15.6" x14ac:dyDescent="0.3">
      <c r="E13" s="7" t="s">
        <v>91</v>
      </c>
    </row>
    <row r="14" spans="5:8" ht="15.6" x14ac:dyDescent="0.3">
      <c r="E14" s="7" t="s">
        <v>52</v>
      </c>
    </row>
    <row r="15" spans="5:8" ht="15.6" x14ac:dyDescent="0.3">
      <c r="E15" s="7" t="s">
        <v>100</v>
      </c>
    </row>
    <row r="16" spans="5:8" ht="15.6" x14ac:dyDescent="0.3">
      <c r="E16" s="7" t="s">
        <v>54</v>
      </c>
    </row>
    <row r="17" spans="5:5" ht="15.6" x14ac:dyDescent="0.3">
      <c r="E17" s="7" t="s">
        <v>83</v>
      </c>
    </row>
    <row r="18" spans="5:5" ht="15.6" x14ac:dyDescent="0.3">
      <c r="E18" s="6"/>
    </row>
    <row r="19" spans="5:5" ht="15.6" x14ac:dyDescent="0.3">
      <c r="E19" s="6"/>
    </row>
    <row r="20" spans="5:5" ht="15.6" x14ac:dyDescent="0.3">
      <c r="E20" s="6"/>
    </row>
    <row r="21" spans="5:5" ht="15.6" x14ac:dyDescent="0.3">
      <c r="E21" s="6"/>
    </row>
    <row r="22" spans="5:5" ht="15.6" x14ac:dyDescent="0.3">
      <c r="E22" s="6"/>
    </row>
    <row r="23" spans="5:5" ht="15.6" x14ac:dyDescent="0.3">
      <c r="E23" s="6"/>
    </row>
    <row r="24" spans="5:5" ht="15.6" x14ac:dyDescent="0.3">
      <c r="E24" s="6"/>
    </row>
  </sheetData>
  <hyperlinks>
    <hyperlink ref="E2" location="Sensitivität_bzw_Monte_Carlo_be!A1" display="Sensitivität_bzw_Monte_Carlo_be" xr:uid="{52631D2A-1D16-4A34-8FE5-1A51F5A773D9}"/>
    <hyperlink ref="E3" location="Variation_Singulär!A1" display="Variation_Singulär" xr:uid="{6D356070-A981-4251-AD51-EC879D23912C}"/>
    <hyperlink ref="E4" location="Anschaffung!A1" display="Anschaffung" xr:uid="{24B6A9FF-29D0-4E78-8D9C-0BD8578F008E}"/>
    <hyperlink ref="E5" location="Laufende_Kosten!A1" display="Laufende_Kosten" xr:uid="{06E5DAB0-B40F-4550-B230-80820BFBC122}"/>
    <hyperlink ref="E6" location="Batteriepreissenkung!A1" display="Batteriepreissenkung" xr:uid="{8886933E-45F0-4517-9431-ECCA89BE0BEE}"/>
    <hyperlink ref="E7" location="Batteriepreis!A1" display="Batteriepreis" xr:uid="{5EAE1E8C-C6D5-43CF-919B-6FFF125A6EF7}"/>
    <hyperlink ref="E8" location="Degradation!A1" display="Degradation" xr:uid="{26723152-4C39-4A2A-9FCF-5206066E8740}"/>
    <hyperlink ref="E9" location="Einspeisevergütung!A1" display="Einspeisevergütung" xr:uid="{DB88480C-344D-4061-B093-019F4F23C2E0}"/>
    <hyperlink ref="E10" location="Habenzins!A1" display="Habenzins" xr:uid="{E1F85A60-3E27-4A76-BC09-8EA6B6321235}"/>
    <hyperlink ref="E11" location="Inflation!A1" display="Inflation" xr:uid="{4032B266-8652-4AFD-85D4-C652A7375C35}"/>
    <hyperlink ref="E12" location="Sollzins_KfW!A1" display="Sollzins_KfW" xr:uid="{D444AD2C-719F-42F2-AA08-7507628C30EE}"/>
    <hyperlink ref="E13" location="Ertragsteuer!A1" display="Ertragsteuer" xr:uid="{45D7FB4A-0E22-43D0-AA53-2254A8E83D48}"/>
    <hyperlink ref="E14" location="Strompreis!A1" display="Strompreis" xr:uid="{4F12B851-3EC5-40DF-A97B-50D79D80C3D0}"/>
    <hyperlink ref="E15" location="FuzzyLookup_AddIn_Undo_Sheet!A1" display="FuzzyLookup_AddIn_Undo_Sheet" xr:uid="{88A825CA-6CDA-4399-B840-8790D9940952}"/>
    <hyperlink ref="E16" location="Tornado!A1" display="Tornado" xr:uid="{CF7B62C7-D1E3-4558-B55B-6C6E0B232A2A}"/>
    <hyperlink ref="E17" location="notes!A1" display="notes" xr:uid="{CEDD4B4F-E95A-4C17-B663-F0920D2D8686}"/>
  </hyperlinks>
  <pageMargins left="0.7" right="0.7" top="0.78740157499999996" bottom="0.78740157499999996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3" name="Button 1">
              <controlPr defaultSize="0" print="0" autoFill="0" autoPict="0" macro="[0]!DieseArbeitsmappe.Sheets_mit_Link">
                <anchor moveWithCells="1">
                  <from>
                    <xdr:col>1</xdr:col>
                    <xdr:colOff>106680</xdr:colOff>
                    <xdr:row>2</xdr:row>
                    <xdr:rowOff>121920</xdr:rowOff>
                  </from>
                  <to>
                    <xdr:col>2</xdr:col>
                    <xdr:colOff>175260</xdr:colOff>
                    <xdr:row>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FE73E6-CF95-4807-B8E7-F05296D192AC}">
  <sheetPr codeName="Tabelle2"/>
  <dimension ref="A1:D1600"/>
  <sheetViews>
    <sheetView topLeftCell="A1579" zoomScaleNormal="100" workbookViewId="0">
      <pane xSplit="1" topLeftCell="B1" activePane="topRight" state="frozen"/>
      <selection pane="topRight" activeCell="A1401" sqref="A1401:B1600"/>
    </sheetView>
  </sheetViews>
  <sheetFormatPr baseColWidth="10" defaultRowHeight="14.4" x14ac:dyDescent="0.3"/>
  <cols>
    <col min="1" max="1" width="29.5546875" bestFit="1" customWidth="1"/>
    <col min="2" max="2" width="13.33203125" bestFit="1" customWidth="1"/>
    <col min="3" max="22" width="12.6640625" bestFit="1" customWidth="1"/>
    <col min="23" max="23" width="49.88671875" bestFit="1" customWidth="1"/>
    <col min="24" max="24" width="11.33203125" bestFit="1" customWidth="1"/>
    <col min="25" max="27" width="15.109375" bestFit="1" customWidth="1"/>
    <col min="28" max="28" width="80.88671875" bestFit="1" customWidth="1"/>
  </cols>
  <sheetData>
    <row r="1" spans="1:4" x14ac:dyDescent="0.3">
      <c r="A1" t="s">
        <v>12</v>
      </c>
      <c r="B1" t="s">
        <v>15</v>
      </c>
    </row>
    <row r="2" spans="1:4" hidden="1" x14ac:dyDescent="0.3">
      <c r="A2" s="1" t="s">
        <v>101</v>
      </c>
      <c r="B2">
        <v>25671.126817098509</v>
      </c>
      <c r="D2" s="3" t="s">
        <v>29</v>
      </c>
    </row>
    <row r="3" spans="1:4" hidden="1" x14ac:dyDescent="0.3">
      <c r="A3" s="1" t="s">
        <v>101</v>
      </c>
      <c r="B3">
        <v>25628.286092829261</v>
      </c>
      <c r="D3" s="3" t="s">
        <v>30</v>
      </c>
    </row>
    <row r="4" spans="1:4" hidden="1" x14ac:dyDescent="0.3">
      <c r="A4" s="1" t="s">
        <v>101</v>
      </c>
      <c r="B4">
        <v>25601.041827263369</v>
      </c>
    </row>
    <row r="5" spans="1:4" hidden="1" x14ac:dyDescent="0.3">
      <c r="A5" s="1" t="s">
        <v>101</v>
      </c>
      <c r="B5">
        <v>25558.201102994131</v>
      </c>
    </row>
    <row r="6" spans="1:4" hidden="1" x14ac:dyDescent="0.3">
      <c r="A6" s="1" t="s">
        <v>101</v>
      </c>
      <c r="B6">
        <v>25530.306007786221</v>
      </c>
    </row>
    <row r="7" spans="1:4" hidden="1" x14ac:dyDescent="0.3">
      <c r="A7" s="1" t="s">
        <v>101</v>
      </c>
      <c r="B7">
        <v>25487.465283516962</v>
      </c>
    </row>
    <row r="8" spans="1:4" hidden="1" x14ac:dyDescent="0.3">
      <c r="A8" s="1" t="s">
        <v>101</v>
      </c>
      <c r="B8">
        <v>25460.670574471351</v>
      </c>
    </row>
    <row r="9" spans="1:4" hidden="1" x14ac:dyDescent="0.3">
      <c r="A9" s="1" t="s">
        <v>101</v>
      </c>
      <c r="B9">
        <v>25417.829850202099</v>
      </c>
    </row>
    <row r="10" spans="1:4" hidden="1" x14ac:dyDescent="0.3">
      <c r="A10" s="1" t="s">
        <v>101</v>
      </c>
      <c r="B10">
        <v>25388.140732184242</v>
      </c>
    </row>
    <row r="11" spans="1:4" hidden="1" x14ac:dyDescent="0.3">
      <c r="A11" s="1" t="s">
        <v>101</v>
      </c>
      <c r="B11">
        <v>25345.300007915001</v>
      </c>
    </row>
    <row r="12" spans="1:4" hidden="1" x14ac:dyDescent="0.3">
      <c r="A12" s="1" t="s">
        <v>101</v>
      </c>
      <c r="B12">
        <v>25302.45928364577</v>
      </c>
    </row>
    <row r="13" spans="1:4" hidden="1" x14ac:dyDescent="0.3">
      <c r="A13" s="1" t="s">
        <v>101</v>
      </c>
      <c r="B13">
        <v>25259.618559376519</v>
      </c>
    </row>
    <row r="14" spans="1:4" hidden="1" x14ac:dyDescent="0.3">
      <c r="A14" s="1" t="s">
        <v>101</v>
      </c>
      <c r="B14">
        <v>25216.77783510727</v>
      </c>
    </row>
    <row r="15" spans="1:4" hidden="1" x14ac:dyDescent="0.3">
      <c r="A15" s="1" t="s">
        <v>101</v>
      </c>
      <c r="B15">
        <v>25173.937110838011</v>
      </c>
    </row>
    <row r="16" spans="1:4" hidden="1" x14ac:dyDescent="0.3">
      <c r="A16" s="1" t="s">
        <v>101</v>
      </c>
      <c r="B16">
        <v>25131.096386568781</v>
      </c>
    </row>
    <row r="17" spans="1:2" hidden="1" x14ac:dyDescent="0.3">
      <c r="A17" s="1" t="s">
        <v>101</v>
      </c>
      <c r="B17">
        <v>25088.255662299511</v>
      </c>
    </row>
    <row r="18" spans="1:2" hidden="1" x14ac:dyDescent="0.3">
      <c r="A18" s="1" t="s">
        <v>101</v>
      </c>
      <c r="B18">
        <v>25059.335642013521</v>
      </c>
    </row>
    <row r="19" spans="1:2" hidden="1" x14ac:dyDescent="0.3">
      <c r="A19" s="1" t="s">
        <v>101</v>
      </c>
      <c r="B19">
        <v>25016.49491774429</v>
      </c>
    </row>
    <row r="20" spans="1:2" hidden="1" x14ac:dyDescent="0.3">
      <c r="A20" s="1" t="s">
        <v>101</v>
      </c>
      <c r="B20">
        <v>24973.654193475038</v>
      </c>
    </row>
    <row r="21" spans="1:2" hidden="1" x14ac:dyDescent="0.3">
      <c r="A21" s="1" t="s">
        <v>101</v>
      </c>
      <c r="B21">
        <v>24930.81346920579</v>
      </c>
    </row>
    <row r="22" spans="1:2" hidden="1" x14ac:dyDescent="0.3">
      <c r="A22" s="1" t="s">
        <v>101</v>
      </c>
      <c r="B22">
        <v>24887.972744936549</v>
      </c>
    </row>
    <row r="23" spans="1:2" hidden="1" x14ac:dyDescent="0.3">
      <c r="A23" s="1" t="s">
        <v>101</v>
      </c>
      <c r="B23">
        <v>24845.132020667301</v>
      </c>
    </row>
    <row r="24" spans="1:2" hidden="1" x14ac:dyDescent="0.3">
      <c r="A24" s="1" t="s">
        <v>101</v>
      </c>
      <c r="B24">
        <v>24802.291296398031</v>
      </c>
    </row>
    <row r="25" spans="1:2" hidden="1" x14ac:dyDescent="0.3">
      <c r="A25" s="1" t="s">
        <v>101</v>
      </c>
      <c r="B25">
        <v>24759.450572128819</v>
      </c>
    </row>
    <row r="26" spans="1:2" hidden="1" x14ac:dyDescent="0.3">
      <c r="A26" s="1" t="s">
        <v>101</v>
      </c>
      <c r="B26">
        <v>24716.60984785957</v>
      </c>
    </row>
    <row r="27" spans="1:2" hidden="1" x14ac:dyDescent="0.3">
      <c r="A27" s="1" t="s">
        <v>101</v>
      </c>
      <c r="B27">
        <v>24673.7691235903</v>
      </c>
    </row>
    <row r="28" spans="1:2" hidden="1" x14ac:dyDescent="0.3">
      <c r="A28" s="1" t="s">
        <v>101</v>
      </c>
      <c r="B28">
        <v>24630.928399321059</v>
      </c>
    </row>
    <row r="29" spans="1:2" hidden="1" x14ac:dyDescent="0.3">
      <c r="A29" s="1" t="s">
        <v>101</v>
      </c>
      <c r="B29">
        <v>24588.087675051811</v>
      </c>
    </row>
    <row r="30" spans="1:2" hidden="1" x14ac:dyDescent="0.3">
      <c r="A30" s="1" t="s">
        <v>101</v>
      </c>
      <c r="B30">
        <v>24545.246950782559</v>
      </c>
    </row>
    <row r="31" spans="1:2" hidden="1" x14ac:dyDescent="0.3">
      <c r="A31" s="1" t="s">
        <v>101</v>
      </c>
      <c r="B31">
        <v>24516.933128251989</v>
      </c>
    </row>
    <row r="32" spans="1:2" hidden="1" x14ac:dyDescent="0.3">
      <c r="A32" s="1" t="s">
        <v>101</v>
      </c>
      <c r="B32">
        <v>24474.092403982759</v>
      </c>
    </row>
    <row r="33" spans="1:2" hidden="1" x14ac:dyDescent="0.3">
      <c r="A33" s="1" t="s">
        <v>101</v>
      </c>
      <c r="B33">
        <v>24431.251679713521</v>
      </c>
    </row>
    <row r="34" spans="1:2" hidden="1" x14ac:dyDescent="0.3">
      <c r="A34" s="1" t="s">
        <v>101</v>
      </c>
      <c r="B34">
        <v>24388.410955444251</v>
      </c>
    </row>
    <row r="35" spans="1:2" hidden="1" x14ac:dyDescent="0.3">
      <c r="A35" s="1" t="s">
        <v>101</v>
      </c>
      <c r="B35">
        <v>24345.57023117501</v>
      </c>
    </row>
    <row r="36" spans="1:2" hidden="1" x14ac:dyDescent="0.3">
      <c r="A36" s="1" t="s">
        <v>101</v>
      </c>
      <c r="B36">
        <v>24302.729506905762</v>
      </c>
    </row>
    <row r="37" spans="1:2" hidden="1" x14ac:dyDescent="0.3">
      <c r="A37" s="1" t="s">
        <v>101</v>
      </c>
      <c r="B37">
        <v>24259.888782636499</v>
      </c>
    </row>
    <row r="38" spans="1:2" hidden="1" x14ac:dyDescent="0.3">
      <c r="A38" s="1" t="s">
        <v>101</v>
      </c>
      <c r="B38">
        <v>24217.048058367262</v>
      </c>
    </row>
    <row r="39" spans="1:2" hidden="1" x14ac:dyDescent="0.3">
      <c r="A39" s="1" t="s">
        <v>101</v>
      </c>
      <c r="B39">
        <v>24190.02697422633</v>
      </c>
    </row>
    <row r="40" spans="1:2" hidden="1" x14ac:dyDescent="0.3">
      <c r="A40" s="1" t="s">
        <v>101</v>
      </c>
      <c r="B40">
        <v>24162.34574723386</v>
      </c>
    </row>
    <row r="41" spans="1:2" hidden="1" x14ac:dyDescent="0.3">
      <c r="A41" s="1" t="s">
        <v>101</v>
      </c>
      <c r="B41">
        <v>24119.505022964611</v>
      </c>
    </row>
    <row r="42" spans="1:2" hidden="1" x14ac:dyDescent="0.3">
      <c r="A42" s="1" t="s">
        <v>101</v>
      </c>
      <c r="B42">
        <v>24076.664298695348</v>
      </c>
    </row>
    <row r="43" spans="1:2" hidden="1" x14ac:dyDescent="0.3">
      <c r="A43" s="1" t="s">
        <v>101</v>
      </c>
      <c r="B43">
        <v>24033.8235744261</v>
      </c>
    </row>
    <row r="44" spans="1:2" hidden="1" x14ac:dyDescent="0.3">
      <c r="A44" s="1" t="s">
        <v>101</v>
      </c>
      <c r="B44">
        <v>23990.982850156859</v>
      </c>
    </row>
    <row r="45" spans="1:2" hidden="1" x14ac:dyDescent="0.3">
      <c r="A45" s="1" t="s">
        <v>101</v>
      </c>
      <c r="B45">
        <v>23948.142125887629</v>
      </c>
    </row>
    <row r="46" spans="1:2" hidden="1" x14ac:dyDescent="0.3">
      <c r="A46" s="1" t="s">
        <v>101</v>
      </c>
      <c r="B46">
        <v>23905.301401618381</v>
      </c>
    </row>
    <row r="47" spans="1:2" hidden="1" x14ac:dyDescent="0.3">
      <c r="A47" s="1" t="s">
        <v>101</v>
      </c>
      <c r="B47">
        <v>23876.184989851561</v>
      </c>
    </row>
    <row r="48" spans="1:2" hidden="1" x14ac:dyDescent="0.3">
      <c r="A48" s="1" t="s">
        <v>101</v>
      </c>
      <c r="B48">
        <v>23833.344265582331</v>
      </c>
    </row>
    <row r="49" spans="1:2" hidden="1" x14ac:dyDescent="0.3">
      <c r="A49" s="1" t="s">
        <v>101</v>
      </c>
      <c r="B49">
        <v>23790.503541313072</v>
      </c>
    </row>
    <row r="50" spans="1:2" hidden="1" x14ac:dyDescent="0.3">
      <c r="A50" s="1" t="s">
        <v>101</v>
      </c>
      <c r="B50">
        <v>23763.93844673377</v>
      </c>
    </row>
    <row r="51" spans="1:2" hidden="1" x14ac:dyDescent="0.3">
      <c r="A51" s="1" t="s">
        <v>101</v>
      </c>
      <c r="B51">
        <v>23721.097722464539</v>
      </c>
    </row>
    <row r="52" spans="1:2" hidden="1" x14ac:dyDescent="0.3">
      <c r="A52" s="1" t="s">
        <v>101</v>
      </c>
      <c r="B52">
        <v>23678.256998195298</v>
      </c>
    </row>
    <row r="53" spans="1:2" hidden="1" x14ac:dyDescent="0.3">
      <c r="A53" s="1" t="s">
        <v>101</v>
      </c>
      <c r="B53">
        <v>23635.41627392605</v>
      </c>
    </row>
    <row r="54" spans="1:2" hidden="1" x14ac:dyDescent="0.3">
      <c r="A54" s="1" t="s">
        <v>101</v>
      </c>
      <c r="B54">
        <v>23592.575549656802</v>
      </c>
    </row>
    <row r="55" spans="1:2" hidden="1" x14ac:dyDescent="0.3">
      <c r="A55" s="1" t="s">
        <v>101</v>
      </c>
      <c r="B55">
        <v>23563.854731164629</v>
      </c>
    </row>
    <row r="56" spans="1:2" hidden="1" x14ac:dyDescent="0.3">
      <c r="A56" s="1" t="s">
        <v>101</v>
      </c>
      <c r="B56">
        <v>23521.014006895381</v>
      </c>
    </row>
    <row r="57" spans="1:2" hidden="1" x14ac:dyDescent="0.3">
      <c r="A57" s="1" t="s">
        <v>101</v>
      </c>
      <c r="B57">
        <v>23478.173282626129</v>
      </c>
    </row>
    <row r="58" spans="1:2" hidden="1" x14ac:dyDescent="0.3">
      <c r="A58" s="1" t="s">
        <v>101</v>
      </c>
      <c r="B58">
        <v>23435.332558356909</v>
      </c>
    </row>
    <row r="59" spans="1:2" hidden="1" x14ac:dyDescent="0.3">
      <c r="A59" s="1" t="s">
        <v>101</v>
      </c>
      <c r="B59">
        <v>23392.491834087661</v>
      </c>
    </row>
    <row r="60" spans="1:2" hidden="1" x14ac:dyDescent="0.3">
      <c r="A60" s="1" t="s">
        <v>101</v>
      </c>
      <c r="B60">
        <v>23349.651109818398</v>
      </c>
    </row>
    <row r="61" spans="1:2" hidden="1" x14ac:dyDescent="0.3">
      <c r="A61" s="1" t="s">
        <v>101</v>
      </c>
      <c r="B61">
        <v>23306.81038554915</v>
      </c>
    </row>
    <row r="62" spans="1:2" hidden="1" x14ac:dyDescent="0.3">
      <c r="A62" s="1" t="s">
        <v>101</v>
      </c>
      <c r="B62">
        <v>23263.969661279909</v>
      </c>
    </row>
    <row r="63" spans="1:2" hidden="1" x14ac:dyDescent="0.3">
      <c r="A63" s="1" t="s">
        <v>101</v>
      </c>
      <c r="B63">
        <v>23221.12893701065</v>
      </c>
    </row>
    <row r="64" spans="1:2" hidden="1" x14ac:dyDescent="0.3">
      <c r="A64" s="1" t="s">
        <v>101</v>
      </c>
      <c r="B64">
        <v>23193.664638634349</v>
      </c>
    </row>
    <row r="65" spans="1:2" hidden="1" x14ac:dyDescent="0.3">
      <c r="A65" s="1" t="s">
        <v>101</v>
      </c>
      <c r="B65">
        <v>23165.558692435941</v>
      </c>
    </row>
    <row r="66" spans="1:2" hidden="1" x14ac:dyDescent="0.3">
      <c r="A66" s="1" t="s">
        <v>101</v>
      </c>
      <c r="B66">
        <v>23135.684033268019</v>
      </c>
    </row>
    <row r="67" spans="1:2" hidden="1" x14ac:dyDescent="0.3">
      <c r="A67" s="1" t="s">
        <v>101</v>
      </c>
      <c r="B67">
        <v>23092.84330899877</v>
      </c>
    </row>
    <row r="68" spans="1:2" hidden="1" x14ac:dyDescent="0.3">
      <c r="A68" s="1" t="s">
        <v>101</v>
      </c>
      <c r="B68">
        <v>23050.002584729511</v>
      </c>
    </row>
    <row r="69" spans="1:2" hidden="1" x14ac:dyDescent="0.3">
      <c r="A69" s="1" t="s">
        <v>101</v>
      </c>
      <c r="B69">
        <v>23007.16186046027</v>
      </c>
    </row>
    <row r="70" spans="1:2" hidden="1" x14ac:dyDescent="0.3">
      <c r="A70" s="1" t="s">
        <v>101</v>
      </c>
      <c r="B70">
        <v>22964.321136191022</v>
      </c>
    </row>
    <row r="71" spans="1:2" hidden="1" x14ac:dyDescent="0.3">
      <c r="A71" s="1" t="s">
        <v>101</v>
      </c>
      <c r="B71">
        <v>22921.48041192177</v>
      </c>
    </row>
    <row r="72" spans="1:2" hidden="1" x14ac:dyDescent="0.3">
      <c r="A72" s="1" t="s">
        <v>101</v>
      </c>
      <c r="B72">
        <v>22891.242486296291</v>
      </c>
    </row>
    <row r="73" spans="1:2" hidden="1" x14ac:dyDescent="0.3">
      <c r="A73" s="1" t="s">
        <v>101</v>
      </c>
      <c r="B73">
        <v>22848.401762027039</v>
      </c>
    </row>
    <row r="74" spans="1:2" hidden="1" x14ac:dyDescent="0.3">
      <c r="A74" s="1" t="s">
        <v>101</v>
      </c>
      <c r="B74">
        <v>22805.56103775778</v>
      </c>
    </row>
    <row r="75" spans="1:2" hidden="1" x14ac:dyDescent="0.3">
      <c r="A75" s="1" t="s">
        <v>101</v>
      </c>
      <c r="B75">
        <v>22762.720313488531</v>
      </c>
    </row>
    <row r="76" spans="1:2" hidden="1" x14ac:dyDescent="0.3">
      <c r="A76" s="1" t="s">
        <v>101</v>
      </c>
      <c r="B76">
        <v>22733.21939166823</v>
      </c>
    </row>
    <row r="77" spans="1:2" hidden="1" x14ac:dyDescent="0.3">
      <c r="A77" s="1" t="s">
        <v>101</v>
      </c>
      <c r="B77">
        <v>22690.378667398989</v>
      </c>
    </row>
    <row r="78" spans="1:2" hidden="1" x14ac:dyDescent="0.3">
      <c r="A78" s="1" t="s">
        <v>101</v>
      </c>
      <c r="B78">
        <v>22647.53794312977</v>
      </c>
    </row>
    <row r="79" spans="1:2" hidden="1" x14ac:dyDescent="0.3">
      <c r="A79" s="1" t="s">
        <v>101</v>
      </c>
      <c r="B79">
        <v>22604.697218860521</v>
      </c>
    </row>
    <row r="80" spans="1:2" hidden="1" x14ac:dyDescent="0.3">
      <c r="A80" s="1" t="s">
        <v>101</v>
      </c>
      <c r="B80">
        <v>22561.85649459128</v>
      </c>
    </row>
    <row r="81" spans="1:2" hidden="1" x14ac:dyDescent="0.3">
      <c r="A81" s="1" t="s">
        <v>101</v>
      </c>
      <c r="B81">
        <v>22519.01577032201</v>
      </c>
    </row>
    <row r="82" spans="1:2" hidden="1" x14ac:dyDescent="0.3">
      <c r="A82" s="1" t="s">
        <v>101</v>
      </c>
      <c r="B82">
        <v>22476.175046052758</v>
      </c>
    </row>
    <row r="83" spans="1:2" hidden="1" x14ac:dyDescent="0.3">
      <c r="A83" s="1" t="s">
        <v>101</v>
      </c>
      <c r="B83">
        <v>22433.334321783499</v>
      </c>
    </row>
    <row r="84" spans="1:2" hidden="1" x14ac:dyDescent="0.3">
      <c r="A84" s="1" t="s">
        <v>101</v>
      </c>
      <c r="B84">
        <v>22390.493597514269</v>
      </c>
    </row>
    <row r="85" spans="1:2" hidden="1" x14ac:dyDescent="0.3">
      <c r="A85" s="1" t="s">
        <v>101</v>
      </c>
      <c r="B85">
        <v>22347.65287324505</v>
      </c>
    </row>
    <row r="86" spans="1:2" hidden="1" x14ac:dyDescent="0.3">
      <c r="A86" s="1" t="s">
        <v>101</v>
      </c>
      <c r="B86">
        <v>22304.812148975809</v>
      </c>
    </row>
    <row r="87" spans="1:2" hidden="1" x14ac:dyDescent="0.3">
      <c r="A87" s="1" t="s">
        <v>101</v>
      </c>
      <c r="B87">
        <v>22261.971424706549</v>
      </c>
    </row>
    <row r="88" spans="1:2" hidden="1" x14ac:dyDescent="0.3">
      <c r="A88" s="1" t="s">
        <v>101</v>
      </c>
      <c r="B88">
        <v>22219.13070043729</v>
      </c>
    </row>
    <row r="89" spans="1:2" hidden="1" x14ac:dyDescent="0.3">
      <c r="A89" s="1" t="s">
        <v>101</v>
      </c>
      <c r="B89">
        <v>22176.289976168031</v>
      </c>
    </row>
    <row r="90" spans="1:2" hidden="1" x14ac:dyDescent="0.3">
      <c r="A90" s="1" t="s">
        <v>101</v>
      </c>
      <c r="B90">
        <v>22147.771209997562</v>
      </c>
    </row>
    <row r="91" spans="1:2" hidden="1" x14ac:dyDescent="0.3">
      <c r="A91" s="1" t="s">
        <v>101</v>
      </c>
      <c r="B91">
        <v>22104.930485728331</v>
      </c>
    </row>
    <row r="92" spans="1:2" hidden="1" x14ac:dyDescent="0.3">
      <c r="A92" s="1" t="s">
        <v>101</v>
      </c>
      <c r="B92">
        <v>22062.08976145909</v>
      </c>
    </row>
    <row r="93" spans="1:2" hidden="1" x14ac:dyDescent="0.3">
      <c r="A93" s="1" t="s">
        <v>101</v>
      </c>
      <c r="B93">
        <v>22019.249037189831</v>
      </c>
    </row>
    <row r="94" spans="1:2" hidden="1" x14ac:dyDescent="0.3">
      <c r="A94" s="1" t="s">
        <v>101</v>
      </c>
      <c r="B94">
        <v>21992.00477162395</v>
      </c>
    </row>
    <row r="95" spans="1:2" hidden="1" x14ac:dyDescent="0.3">
      <c r="A95" s="1" t="s">
        <v>101</v>
      </c>
      <c r="B95">
        <v>21949.16404735469</v>
      </c>
    </row>
    <row r="96" spans="1:2" hidden="1" x14ac:dyDescent="0.3">
      <c r="A96" s="1" t="s">
        <v>101</v>
      </c>
      <c r="B96">
        <v>21906.323323085431</v>
      </c>
    </row>
    <row r="97" spans="1:2" hidden="1" x14ac:dyDescent="0.3">
      <c r="A97" s="1" t="s">
        <v>101</v>
      </c>
      <c r="B97">
        <v>21879.52861403982</v>
      </c>
    </row>
    <row r="98" spans="1:2" hidden="1" x14ac:dyDescent="0.3">
      <c r="A98" s="1" t="s">
        <v>101</v>
      </c>
      <c r="B98">
        <v>21836.68788977059</v>
      </c>
    </row>
    <row r="99" spans="1:2" hidden="1" x14ac:dyDescent="0.3">
      <c r="A99" s="1" t="s">
        <v>101</v>
      </c>
      <c r="B99">
        <v>21793.84716550136</v>
      </c>
    </row>
    <row r="100" spans="1:2" hidden="1" x14ac:dyDescent="0.3">
      <c r="A100" s="1" t="s">
        <v>101</v>
      </c>
      <c r="B100">
        <v>21751.00644123209</v>
      </c>
    </row>
    <row r="101" spans="1:2" hidden="1" x14ac:dyDescent="0.3">
      <c r="A101" s="1" t="s">
        <v>102</v>
      </c>
      <c r="B101">
        <v>12250.639072325759</v>
      </c>
    </row>
    <row r="102" spans="1:2" hidden="1" x14ac:dyDescent="0.3">
      <c r="A102" s="1" t="s">
        <v>102</v>
      </c>
      <c r="B102">
        <v>12207.79834805652</v>
      </c>
    </row>
    <row r="103" spans="1:2" hidden="1" x14ac:dyDescent="0.3">
      <c r="A103" s="1" t="s">
        <v>102</v>
      </c>
      <c r="B103">
        <v>12179.077529564371</v>
      </c>
    </row>
    <row r="104" spans="1:2" hidden="1" x14ac:dyDescent="0.3">
      <c r="A104" s="1" t="s">
        <v>102</v>
      </c>
      <c r="B104">
        <v>12136.23680529513</v>
      </c>
    </row>
    <row r="105" spans="1:2" hidden="1" x14ac:dyDescent="0.3">
      <c r="A105" s="1" t="s">
        <v>102</v>
      </c>
      <c r="B105">
        <v>12093.39608102589</v>
      </c>
    </row>
    <row r="106" spans="1:2" hidden="1" x14ac:dyDescent="0.3">
      <c r="A106" s="1" t="s">
        <v>102</v>
      </c>
      <c r="B106">
        <v>12050.55535675664</v>
      </c>
    </row>
    <row r="107" spans="1:2" hidden="1" x14ac:dyDescent="0.3">
      <c r="A107" s="1" t="s">
        <v>102</v>
      </c>
      <c r="B107">
        <v>12007.71463248737</v>
      </c>
    </row>
    <row r="108" spans="1:2" hidden="1" x14ac:dyDescent="0.3">
      <c r="A108" s="1" t="s">
        <v>102</v>
      </c>
      <c r="B108">
        <v>11964.873908218109</v>
      </c>
    </row>
    <row r="109" spans="1:2" hidden="1" x14ac:dyDescent="0.3">
      <c r="A109" s="1" t="s">
        <v>102</v>
      </c>
      <c r="B109">
        <v>11937.852824077159</v>
      </c>
    </row>
    <row r="110" spans="1:2" hidden="1" x14ac:dyDescent="0.3">
      <c r="A110" s="1" t="s">
        <v>102</v>
      </c>
      <c r="B110">
        <v>11895.012099807949</v>
      </c>
    </row>
    <row r="111" spans="1:2" hidden="1" x14ac:dyDescent="0.3">
      <c r="A111" s="1" t="s">
        <v>102</v>
      </c>
      <c r="B111">
        <v>11852.171375538701</v>
      </c>
    </row>
    <row r="112" spans="1:2" hidden="1" x14ac:dyDescent="0.3">
      <c r="A112" s="1" t="s">
        <v>102</v>
      </c>
      <c r="B112">
        <v>11809.33065126946</v>
      </c>
    </row>
    <row r="113" spans="1:2" hidden="1" x14ac:dyDescent="0.3">
      <c r="A113" s="1" t="s">
        <v>102</v>
      </c>
      <c r="B113">
        <v>11781.016828738901</v>
      </c>
    </row>
    <row r="114" spans="1:2" hidden="1" x14ac:dyDescent="0.3">
      <c r="A114" s="1" t="s">
        <v>102</v>
      </c>
      <c r="B114">
        <v>11738.1761044696</v>
      </c>
    </row>
    <row r="115" spans="1:2" hidden="1" x14ac:dyDescent="0.3">
      <c r="A115" s="1" t="s">
        <v>102</v>
      </c>
      <c r="B115">
        <v>11710.49487747716</v>
      </c>
    </row>
    <row r="116" spans="1:2" hidden="1" x14ac:dyDescent="0.3">
      <c r="A116" s="1" t="s">
        <v>102</v>
      </c>
      <c r="B116">
        <v>11667.654153207901</v>
      </c>
    </row>
    <row r="117" spans="1:2" hidden="1" x14ac:dyDescent="0.3">
      <c r="A117" s="1" t="s">
        <v>102</v>
      </c>
      <c r="B117">
        <v>11624.813428938691</v>
      </c>
    </row>
    <row r="118" spans="1:2" hidden="1" x14ac:dyDescent="0.3">
      <c r="A118" s="1" t="s">
        <v>102</v>
      </c>
      <c r="B118">
        <v>11581.972704669441</v>
      </c>
    </row>
    <row r="119" spans="1:2" hidden="1" x14ac:dyDescent="0.3">
      <c r="A119" s="1" t="s">
        <v>102</v>
      </c>
      <c r="B119">
        <v>11539.131980400191</v>
      </c>
    </row>
    <row r="120" spans="1:2" hidden="1" x14ac:dyDescent="0.3">
      <c r="A120" s="1" t="s">
        <v>102</v>
      </c>
      <c r="B120">
        <v>11496.29125613092</v>
      </c>
    </row>
    <row r="121" spans="1:2" hidden="1" x14ac:dyDescent="0.3">
      <c r="A121" s="1" t="s">
        <v>102</v>
      </c>
      <c r="B121">
        <v>11453.45053186167</v>
      </c>
    </row>
    <row r="122" spans="1:2" hidden="1" x14ac:dyDescent="0.3">
      <c r="A122" s="1" t="s">
        <v>102</v>
      </c>
      <c r="B122">
        <v>11410.60980759242</v>
      </c>
    </row>
    <row r="123" spans="1:2" hidden="1" x14ac:dyDescent="0.3">
      <c r="A123" s="1" t="s">
        <v>102</v>
      </c>
      <c r="B123">
        <v>11367.76908332319</v>
      </c>
    </row>
    <row r="124" spans="1:2" hidden="1" x14ac:dyDescent="0.3">
      <c r="A124" s="1" t="s">
        <v>102</v>
      </c>
      <c r="B124">
        <v>11337.894424155271</v>
      </c>
    </row>
    <row r="125" spans="1:2" hidden="1" x14ac:dyDescent="0.3">
      <c r="A125" s="1" t="s">
        <v>102</v>
      </c>
      <c r="B125">
        <v>11295.05369988603</v>
      </c>
    </row>
    <row r="126" spans="1:2" hidden="1" x14ac:dyDescent="0.3">
      <c r="A126" s="1" t="s">
        <v>102</v>
      </c>
      <c r="B126">
        <v>11252.212975616791</v>
      </c>
    </row>
    <row r="127" spans="1:2" hidden="1" x14ac:dyDescent="0.3">
      <c r="A127" s="1" t="s">
        <v>102</v>
      </c>
      <c r="B127">
        <v>11209.37225134751</v>
      </c>
    </row>
    <row r="128" spans="1:2" hidden="1" x14ac:dyDescent="0.3">
      <c r="A128" s="1" t="s">
        <v>102</v>
      </c>
      <c r="B128">
        <v>11182.807156768229</v>
      </c>
    </row>
    <row r="129" spans="1:2" hidden="1" x14ac:dyDescent="0.3">
      <c r="A129" s="1" t="s">
        <v>102</v>
      </c>
      <c r="B129">
        <v>11139.966432498981</v>
      </c>
    </row>
    <row r="130" spans="1:2" hidden="1" x14ac:dyDescent="0.3">
      <c r="A130" s="1" t="s">
        <v>102</v>
      </c>
      <c r="B130">
        <v>11110.46551067872</v>
      </c>
    </row>
    <row r="131" spans="1:2" hidden="1" x14ac:dyDescent="0.3">
      <c r="A131" s="1" t="s">
        <v>102</v>
      </c>
      <c r="B131">
        <v>11067.624786409469</v>
      </c>
    </row>
    <row r="132" spans="1:2" hidden="1" x14ac:dyDescent="0.3">
      <c r="A132" s="1" t="s">
        <v>102</v>
      </c>
      <c r="B132">
        <v>11024.784062140219</v>
      </c>
    </row>
    <row r="133" spans="1:2" hidden="1" x14ac:dyDescent="0.3">
      <c r="A133" s="1" t="s">
        <v>102</v>
      </c>
      <c r="B133">
        <v>10981.943337870949</v>
      </c>
    </row>
    <row r="134" spans="1:2" hidden="1" x14ac:dyDescent="0.3">
      <c r="A134" s="1" t="s">
        <v>102</v>
      </c>
      <c r="B134">
        <v>10951.70541224545</v>
      </c>
    </row>
    <row r="135" spans="1:2" hidden="1" x14ac:dyDescent="0.3">
      <c r="A135" s="1" t="s">
        <v>102</v>
      </c>
      <c r="B135">
        <v>10908.864687976209</v>
      </c>
    </row>
    <row r="136" spans="1:2" hidden="1" x14ac:dyDescent="0.3">
      <c r="A136" s="1" t="s">
        <v>102</v>
      </c>
      <c r="B136">
        <v>10866.023963706981</v>
      </c>
    </row>
    <row r="137" spans="1:2" hidden="1" x14ac:dyDescent="0.3">
      <c r="A137" s="1" t="s">
        <v>102</v>
      </c>
      <c r="B137">
        <v>10838.5596653307</v>
      </c>
    </row>
    <row r="138" spans="1:2" hidden="1" x14ac:dyDescent="0.3">
      <c r="A138" s="1" t="s">
        <v>102</v>
      </c>
      <c r="B138">
        <v>10795.718941061439</v>
      </c>
    </row>
    <row r="139" spans="1:2" hidden="1" x14ac:dyDescent="0.3">
      <c r="A139" s="1" t="s">
        <v>102</v>
      </c>
      <c r="B139">
        <v>10752.8782167922</v>
      </c>
    </row>
    <row r="140" spans="1:2" hidden="1" x14ac:dyDescent="0.3">
      <c r="A140" s="1" t="s">
        <v>102</v>
      </c>
      <c r="B140">
        <v>10710.037492522921</v>
      </c>
    </row>
    <row r="141" spans="1:2" hidden="1" x14ac:dyDescent="0.3">
      <c r="A141" s="1" t="s">
        <v>102</v>
      </c>
      <c r="B141">
        <v>10667.196768253671</v>
      </c>
    </row>
    <row r="142" spans="1:2" hidden="1" x14ac:dyDescent="0.3">
      <c r="A142" s="1" t="s">
        <v>102</v>
      </c>
      <c r="B142">
        <v>10624.35604398442</v>
      </c>
    </row>
    <row r="143" spans="1:2" hidden="1" x14ac:dyDescent="0.3">
      <c r="A143" s="1" t="s">
        <v>102</v>
      </c>
      <c r="B143">
        <v>10581.51531971521</v>
      </c>
    </row>
    <row r="144" spans="1:2" hidden="1" x14ac:dyDescent="0.3">
      <c r="A144" s="1" t="s">
        <v>102</v>
      </c>
      <c r="B144">
        <v>10538.67459544596</v>
      </c>
    </row>
    <row r="145" spans="1:2" hidden="1" x14ac:dyDescent="0.3">
      <c r="A145" s="1" t="s">
        <v>102</v>
      </c>
      <c r="B145">
        <v>10510.568649247551</v>
      </c>
    </row>
    <row r="146" spans="1:2" hidden="1" x14ac:dyDescent="0.3">
      <c r="A146" s="1" t="s">
        <v>102</v>
      </c>
      <c r="B146">
        <v>10467.72792497831</v>
      </c>
    </row>
    <row r="147" spans="1:2" hidden="1" x14ac:dyDescent="0.3">
      <c r="A147" s="1" t="s">
        <v>102</v>
      </c>
      <c r="B147">
        <v>10424.88720070901</v>
      </c>
    </row>
    <row r="148" spans="1:2" hidden="1" x14ac:dyDescent="0.3">
      <c r="A148" s="1" t="s">
        <v>102</v>
      </c>
      <c r="B148">
        <v>10382.04647643978</v>
      </c>
    </row>
    <row r="149" spans="1:2" hidden="1" x14ac:dyDescent="0.3">
      <c r="A149" s="1" t="s">
        <v>102</v>
      </c>
      <c r="B149">
        <v>10339.205752170539</v>
      </c>
    </row>
    <row r="150" spans="1:2" hidden="1" x14ac:dyDescent="0.3">
      <c r="A150" s="1" t="s">
        <v>102</v>
      </c>
      <c r="B150">
        <v>10310.686986000081</v>
      </c>
    </row>
    <row r="151" spans="1:2" hidden="1" x14ac:dyDescent="0.3">
      <c r="A151" s="1" t="s">
        <v>102</v>
      </c>
      <c r="B151">
        <v>10267.84626173084</v>
      </c>
    </row>
    <row r="152" spans="1:2" hidden="1" x14ac:dyDescent="0.3">
      <c r="A152" s="1" t="s">
        <v>102</v>
      </c>
      <c r="B152">
        <v>10225.005537461589</v>
      </c>
    </row>
    <row r="153" spans="1:2" hidden="1" x14ac:dyDescent="0.3">
      <c r="A153" s="1" t="s">
        <v>102</v>
      </c>
      <c r="B153">
        <v>10182.164813192319</v>
      </c>
    </row>
    <row r="154" spans="1:2" hidden="1" x14ac:dyDescent="0.3">
      <c r="A154" s="1" t="s">
        <v>102</v>
      </c>
      <c r="B154">
        <v>10139.32408892306</v>
      </c>
    </row>
    <row r="155" spans="1:2" hidden="1" x14ac:dyDescent="0.3">
      <c r="A155" s="1" t="s">
        <v>102</v>
      </c>
      <c r="B155">
        <v>10096.483364653821</v>
      </c>
    </row>
    <row r="156" spans="1:2" hidden="1" x14ac:dyDescent="0.3">
      <c r="A156" s="1" t="s">
        <v>102</v>
      </c>
      <c r="B156">
        <v>10053.6426403846</v>
      </c>
    </row>
    <row r="157" spans="1:2" hidden="1" x14ac:dyDescent="0.3">
      <c r="A157" s="1" t="s">
        <v>102</v>
      </c>
      <c r="B157">
        <v>10010.801916115361</v>
      </c>
    </row>
    <row r="158" spans="1:2" hidden="1" x14ac:dyDescent="0.3">
      <c r="A158" s="1" t="s">
        <v>102</v>
      </c>
      <c r="B158">
        <v>9967.9611918461214</v>
      </c>
    </row>
    <row r="159" spans="1:2" hidden="1" x14ac:dyDescent="0.3">
      <c r="A159" s="1" t="s">
        <v>102</v>
      </c>
      <c r="B159">
        <v>9925.1204675768731</v>
      </c>
    </row>
    <row r="160" spans="1:2" hidden="1" x14ac:dyDescent="0.3">
      <c r="A160" s="1" t="s">
        <v>102</v>
      </c>
      <c r="B160">
        <v>9882.2797433075939</v>
      </c>
    </row>
    <row r="161" spans="1:2" hidden="1" x14ac:dyDescent="0.3">
      <c r="A161" s="1" t="s">
        <v>102</v>
      </c>
      <c r="B161">
        <v>9839.4390190383419</v>
      </c>
    </row>
    <row r="162" spans="1:2" hidden="1" x14ac:dyDescent="0.3">
      <c r="A162" s="1" t="s">
        <v>102</v>
      </c>
      <c r="B162">
        <v>9796.5982947691027</v>
      </c>
    </row>
    <row r="163" spans="1:2" hidden="1" x14ac:dyDescent="0.3">
      <c r="A163" s="1" t="s">
        <v>102</v>
      </c>
      <c r="B163">
        <v>9769.3540292032485</v>
      </c>
    </row>
    <row r="164" spans="1:2" hidden="1" x14ac:dyDescent="0.3">
      <c r="A164" s="1" t="s">
        <v>102</v>
      </c>
      <c r="B164">
        <v>9726.5133049340002</v>
      </c>
    </row>
    <row r="165" spans="1:2" hidden="1" x14ac:dyDescent="0.3">
      <c r="A165" s="1" t="s">
        <v>102</v>
      </c>
      <c r="B165">
        <v>9683.6725806647501</v>
      </c>
    </row>
    <row r="166" spans="1:2" hidden="1" x14ac:dyDescent="0.3">
      <c r="A166" s="1" t="s">
        <v>102</v>
      </c>
      <c r="B166">
        <v>9640.8318563954708</v>
      </c>
    </row>
    <row r="167" spans="1:2" hidden="1" x14ac:dyDescent="0.3">
      <c r="A167" s="1" t="s">
        <v>102</v>
      </c>
      <c r="B167">
        <v>9597.9911321262261</v>
      </c>
    </row>
    <row r="168" spans="1:2" hidden="1" x14ac:dyDescent="0.3">
      <c r="A168" s="1" t="s">
        <v>102</v>
      </c>
      <c r="B168">
        <v>9555.1504078569869</v>
      </c>
    </row>
    <row r="169" spans="1:2" hidden="1" x14ac:dyDescent="0.3">
      <c r="A169" s="1" t="s">
        <v>102</v>
      </c>
      <c r="B169">
        <v>9512.3096835877477</v>
      </c>
    </row>
    <row r="170" spans="1:2" hidden="1" x14ac:dyDescent="0.3">
      <c r="A170" s="1" t="s">
        <v>102</v>
      </c>
      <c r="B170">
        <v>9482.9996510055771</v>
      </c>
    </row>
    <row r="171" spans="1:2" hidden="1" x14ac:dyDescent="0.3">
      <c r="A171" s="1" t="s">
        <v>102</v>
      </c>
      <c r="B171">
        <v>9456.2049419599534</v>
      </c>
    </row>
    <row r="172" spans="1:2" hidden="1" x14ac:dyDescent="0.3">
      <c r="A172" s="1" t="s">
        <v>102</v>
      </c>
      <c r="B172">
        <v>9413.3642176907051</v>
      </c>
    </row>
    <row r="173" spans="1:2" hidden="1" x14ac:dyDescent="0.3">
      <c r="A173" s="1" t="s">
        <v>102</v>
      </c>
      <c r="B173">
        <v>9370.5234934214241</v>
      </c>
    </row>
    <row r="174" spans="1:2" hidden="1" x14ac:dyDescent="0.3">
      <c r="A174" s="1" t="s">
        <v>102</v>
      </c>
      <c r="B174">
        <v>9327.6827691521776</v>
      </c>
    </row>
    <row r="175" spans="1:2" hidden="1" x14ac:dyDescent="0.3">
      <c r="A175" s="1" t="s">
        <v>102</v>
      </c>
      <c r="B175">
        <v>9284.8420448829238</v>
      </c>
    </row>
    <row r="176" spans="1:2" hidden="1" x14ac:dyDescent="0.3">
      <c r="A176" s="1" t="s">
        <v>102</v>
      </c>
      <c r="B176">
        <v>9242.0013206137137</v>
      </c>
    </row>
    <row r="177" spans="1:2" hidden="1" x14ac:dyDescent="0.3">
      <c r="A177" s="1" t="s">
        <v>102</v>
      </c>
      <c r="B177">
        <v>9213.0813003277126</v>
      </c>
    </row>
    <row r="178" spans="1:2" hidden="1" x14ac:dyDescent="0.3">
      <c r="A178" s="1" t="s">
        <v>102</v>
      </c>
      <c r="B178">
        <v>9170.2405760584807</v>
      </c>
    </row>
    <row r="179" spans="1:2" hidden="1" x14ac:dyDescent="0.3">
      <c r="A179" s="1" t="s">
        <v>102</v>
      </c>
      <c r="B179">
        <v>9142.3454808505667</v>
      </c>
    </row>
    <row r="180" spans="1:2" hidden="1" x14ac:dyDescent="0.3">
      <c r="A180" s="1" t="s">
        <v>102</v>
      </c>
      <c r="B180">
        <v>9099.5047565812656</v>
      </c>
    </row>
    <row r="181" spans="1:2" hidden="1" x14ac:dyDescent="0.3">
      <c r="A181" s="1" t="s">
        <v>102</v>
      </c>
      <c r="B181">
        <v>9056.6640323120318</v>
      </c>
    </row>
    <row r="182" spans="1:2" hidden="1" x14ac:dyDescent="0.3">
      <c r="A182" s="1" t="s">
        <v>102</v>
      </c>
      <c r="B182">
        <v>9013.8233080427835</v>
      </c>
    </row>
    <row r="183" spans="1:2" hidden="1" x14ac:dyDescent="0.3">
      <c r="A183" s="1" t="s">
        <v>102</v>
      </c>
      <c r="B183">
        <v>8970.9825837735643</v>
      </c>
    </row>
    <row r="184" spans="1:2" hidden="1" x14ac:dyDescent="0.3">
      <c r="A184" s="1" t="s">
        <v>102</v>
      </c>
      <c r="B184">
        <v>8928.1418595043306</v>
      </c>
    </row>
    <row r="185" spans="1:2" hidden="1" x14ac:dyDescent="0.3">
      <c r="A185" s="1" t="s">
        <v>102</v>
      </c>
      <c r="B185">
        <v>8885.301135235075</v>
      </c>
    </row>
    <row r="186" spans="1:2" hidden="1" x14ac:dyDescent="0.3">
      <c r="A186" s="1" t="s">
        <v>102</v>
      </c>
      <c r="B186">
        <v>8842.4604109657903</v>
      </c>
    </row>
    <row r="187" spans="1:2" hidden="1" x14ac:dyDescent="0.3">
      <c r="A187" s="1" t="s">
        <v>102</v>
      </c>
      <c r="B187">
        <v>8799.6196866965529</v>
      </c>
    </row>
    <row r="188" spans="1:2" hidden="1" x14ac:dyDescent="0.3">
      <c r="A188" s="1" t="s">
        <v>102</v>
      </c>
      <c r="B188">
        <v>8769.5621039689577</v>
      </c>
    </row>
    <row r="189" spans="1:2" hidden="1" x14ac:dyDescent="0.3">
      <c r="A189" s="1" t="s">
        <v>102</v>
      </c>
      <c r="B189">
        <v>8726.7213796997148</v>
      </c>
    </row>
    <row r="190" spans="1:2" hidden="1" x14ac:dyDescent="0.3">
      <c r="A190" s="1" t="s">
        <v>102</v>
      </c>
      <c r="B190">
        <v>8697.0322616818721</v>
      </c>
    </row>
    <row r="191" spans="1:2" hidden="1" x14ac:dyDescent="0.3">
      <c r="A191" s="1" t="s">
        <v>102</v>
      </c>
      <c r="B191">
        <v>8654.1915374126511</v>
      </c>
    </row>
    <row r="192" spans="1:2" hidden="1" x14ac:dyDescent="0.3">
      <c r="A192" s="1" t="s">
        <v>102</v>
      </c>
      <c r="B192">
        <v>8611.3508131434028</v>
      </c>
    </row>
    <row r="193" spans="1:2" hidden="1" x14ac:dyDescent="0.3">
      <c r="A193" s="1" t="s">
        <v>102</v>
      </c>
      <c r="B193">
        <v>8568.5100888741108</v>
      </c>
    </row>
    <row r="194" spans="1:2" hidden="1" x14ac:dyDescent="0.3">
      <c r="A194" s="1" t="s">
        <v>102</v>
      </c>
      <c r="B194">
        <v>8525.669364604857</v>
      </c>
    </row>
    <row r="195" spans="1:2" hidden="1" x14ac:dyDescent="0.3">
      <c r="A195" s="1" t="s">
        <v>102</v>
      </c>
      <c r="B195">
        <v>8482.8286403356251</v>
      </c>
    </row>
    <row r="196" spans="1:2" hidden="1" x14ac:dyDescent="0.3">
      <c r="A196" s="1" t="s">
        <v>102</v>
      </c>
      <c r="B196">
        <v>8439.9879160664059</v>
      </c>
    </row>
    <row r="197" spans="1:2" hidden="1" x14ac:dyDescent="0.3">
      <c r="A197" s="1" t="s">
        <v>102</v>
      </c>
      <c r="B197">
        <v>8412.9668319254488</v>
      </c>
    </row>
    <row r="198" spans="1:2" hidden="1" x14ac:dyDescent="0.3">
      <c r="A198" s="1" t="s">
        <v>102</v>
      </c>
      <c r="B198">
        <v>8370.1261076562059</v>
      </c>
    </row>
    <row r="199" spans="1:2" hidden="1" x14ac:dyDescent="0.3">
      <c r="A199" s="1" t="s">
        <v>102</v>
      </c>
      <c r="B199">
        <v>8339.7103833869241</v>
      </c>
    </row>
    <row r="200" spans="1:2" hidden="1" x14ac:dyDescent="0.3">
      <c r="A200" s="1" t="s">
        <v>102</v>
      </c>
      <c r="B200">
        <v>8296.869659117674</v>
      </c>
    </row>
    <row r="201" spans="1:2" hidden="1" x14ac:dyDescent="0.3">
      <c r="A201" s="1" t="s">
        <v>84</v>
      </c>
      <c r="B201">
        <v>10557.88399604589</v>
      </c>
    </row>
    <row r="202" spans="1:2" hidden="1" x14ac:dyDescent="0.3">
      <c r="A202" s="1" t="s">
        <v>84</v>
      </c>
      <c r="B202">
        <v>10551.29797362424</v>
      </c>
    </row>
    <row r="203" spans="1:2" hidden="1" x14ac:dyDescent="0.3">
      <c r="A203" s="1" t="s">
        <v>84</v>
      </c>
      <c r="B203">
        <v>10544.71195120258</v>
      </c>
    </row>
    <row r="204" spans="1:2" hidden="1" x14ac:dyDescent="0.3">
      <c r="A204" s="1" t="s">
        <v>84</v>
      </c>
      <c r="B204">
        <v>10538.125928780921</v>
      </c>
    </row>
    <row r="205" spans="1:2" hidden="1" x14ac:dyDescent="0.3">
      <c r="A205" s="1" t="s">
        <v>84</v>
      </c>
      <c r="B205">
        <v>10531.53990635927</v>
      </c>
    </row>
    <row r="206" spans="1:2" hidden="1" x14ac:dyDescent="0.3">
      <c r="A206" s="1" t="s">
        <v>84</v>
      </c>
      <c r="B206">
        <v>10524.953883937609</v>
      </c>
    </row>
    <row r="207" spans="1:2" hidden="1" x14ac:dyDescent="0.3">
      <c r="A207" s="1" t="s">
        <v>84</v>
      </c>
      <c r="B207">
        <v>10532.68981961473</v>
      </c>
    </row>
    <row r="208" spans="1:2" hidden="1" x14ac:dyDescent="0.3">
      <c r="A208" s="1" t="s">
        <v>84</v>
      </c>
      <c r="B208">
        <v>10526.103797193069</v>
      </c>
    </row>
    <row r="209" spans="1:2" hidden="1" x14ac:dyDescent="0.3">
      <c r="A209" s="1" t="s">
        <v>84</v>
      </c>
      <c r="B209">
        <v>10519.517774771421</v>
      </c>
    </row>
    <row r="210" spans="1:2" hidden="1" x14ac:dyDescent="0.3">
      <c r="A210" s="1" t="s">
        <v>84</v>
      </c>
      <c r="B210">
        <v>10512.931752349759</v>
      </c>
    </row>
    <row r="211" spans="1:2" hidden="1" x14ac:dyDescent="0.3">
      <c r="A211" s="1" t="s">
        <v>84</v>
      </c>
      <c r="B211">
        <v>10506.345729928111</v>
      </c>
    </row>
    <row r="212" spans="1:2" hidden="1" x14ac:dyDescent="0.3">
      <c r="A212" s="1" t="s">
        <v>84</v>
      </c>
      <c r="B212">
        <v>10499.75970750645</v>
      </c>
    </row>
    <row r="213" spans="1:2" hidden="1" x14ac:dyDescent="0.3">
      <c r="A213" s="1" t="s">
        <v>84</v>
      </c>
      <c r="B213">
        <v>10493.173685084799</v>
      </c>
    </row>
    <row r="214" spans="1:2" hidden="1" x14ac:dyDescent="0.3">
      <c r="A214" s="1" t="s">
        <v>84</v>
      </c>
      <c r="B214">
        <v>10486.58766266314</v>
      </c>
    </row>
    <row r="215" spans="1:2" hidden="1" x14ac:dyDescent="0.3">
      <c r="A215" s="1" t="s">
        <v>84</v>
      </c>
      <c r="B215">
        <v>10480.001640241489</v>
      </c>
    </row>
    <row r="216" spans="1:2" hidden="1" x14ac:dyDescent="0.3">
      <c r="A216" s="1" t="s">
        <v>84</v>
      </c>
      <c r="B216">
        <v>10473.41561781983</v>
      </c>
    </row>
    <row r="217" spans="1:2" hidden="1" x14ac:dyDescent="0.3">
      <c r="A217" s="1" t="s">
        <v>84</v>
      </c>
      <c r="B217">
        <v>10466.829595398171</v>
      </c>
    </row>
    <row r="218" spans="1:2" hidden="1" x14ac:dyDescent="0.3">
      <c r="A218" s="1" t="s">
        <v>84</v>
      </c>
      <c r="B218">
        <v>10460.24357297652</v>
      </c>
    </row>
    <row r="219" spans="1:2" hidden="1" x14ac:dyDescent="0.3">
      <c r="A219" s="1" t="s">
        <v>84</v>
      </c>
      <c r="B219">
        <v>10453.657550554861</v>
      </c>
    </row>
    <row r="220" spans="1:2" hidden="1" x14ac:dyDescent="0.3">
      <c r="A220" s="1" t="s">
        <v>84</v>
      </c>
      <c r="B220">
        <v>10447.07152813321</v>
      </c>
    </row>
    <row r="221" spans="1:2" hidden="1" x14ac:dyDescent="0.3">
      <c r="A221" s="1" t="s">
        <v>84</v>
      </c>
      <c r="B221">
        <v>10454.807463810321</v>
      </c>
    </row>
    <row r="222" spans="1:2" hidden="1" x14ac:dyDescent="0.3">
      <c r="A222" s="1" t="s">
        <v>84</v>
      </c>
      <c r="B222">
        <v>10448.22144138867</v>
      </c>
    </row>
    <row r="223" spans="1:2" hidden="1" x14ac:dyDescent="0.3">
      <c r="A223" s="1" t="s">
        <v>84</v>
      </c>
      <c r="B223">
        <v>10441.635418967009</v>
      </c>
    </row>
    <row r="224" spans="1:2" hidden="1" x14ac:dyDescent="0.3">
      <c r="A224" s="1" t="s">
        <v>84</v>
      </c>
      <c r="B224">
        <v>10435.049396545361</v>
      </c>
    </row>
    <row r="225" spans="1:2" hidden="1" x14ac:dyDescent="0.3">
      <c r="A225" s="1" t="s">
        <v>84</v>
      </c>
      <c r="B225">
        <v>10428.463374123699</v>
      </c>
    </row>
    <row r="226" spans="1:2" hidden="1" x14ac:dyDescent="0.3">
      <c r="A226" s="1" t="s">
        <v>84</v>
      </c>
      <c r="B226">
        <v>10421.877351702051</v>
      </c>
    </row>
    <row r="227" spans="1:2" hidden="1" x14ac:dyDescent="0.3">
      <c r="A227" s="1" t="s">
        <v>84</v>
      </c>
      <c r="B227">
        <v>10415.29132928039</v>
      </c>
    </row>
    <row r="228" spans="1:2" hidden="1" x14ac:dyDescent="0.3">
      <c r="A228" s="1" t="s">
        <v>84</v>
      </c>
      <c r="B228">
        <v>10408.705306858739</v>
      </c>
    </row>
    <row r="229" spans="1:2" hidden="1" x14ac:dyDescent="0.3">
      <c r="A229" s="1" t="s">
        <v>84</v>
      </c>
      <c r="B229">
        <v>10402.11928443708</v>
      </c>
    </row>
    <row r="230" spans="1:2" hidden="1" x14ac:dyDescent="0.3">
      <c r="A230" s="1" t="s">
        <v>84</v>
      </c>
      <c r="B230">
        <v>10395.53326201543</v>
      </c>
    </row>
    <row r="231" spans="1:2" hidden="1" x14ac:dyDescent="0.3">
      <c r="A231" s="1" t="s">
        <v>84</v>
      </c>
      <c r="B231">
        <v>10388.94723959377</v>
      </c>
    </row>
    <row r="232" spans="1:2" hidden="1" x14ac:dyDescent="0.3">
      <c r="A232" s="1" t="s">
        <v>84</v>
      </c>
      <c r="B232">
        <v>10382.36121717212</v>
      </c>
    </row>
    <row r="233" spans="1:2" hidden="1" x14ac:dyDescent="0.3">
      <c r="A233" s="1" t="s">
        <v>84</v>
      </c>
      <c r="B233">
        <v>10375.77519475046</v>
      </c>
    </row>
    <row r="234" spans="1:2" hidden="1" x14ac:dyDescent="0.3">
      <c r="A234" s="1" t="s">
        <v>84</v>
      </c>
      <c r="B234">
        <v>10369.189172328801</v>
      </c>
    </row>
    <row r="235" spans="1:2" hidden="1" x14ac:dyDescent="0.3">
      <c r="A235" s="1" t="s">
        <v>84</v>
      </c>
      <c r="B235">
        <v>10362.603149907151</v>
      </c>
    </row>
    <row r="236" spans="1:2" hidden="1" x14ac:dyDescent="0.3">
      <c r="A236" s="1" t="s">
        <v>84</v>
      </c>
      <c r="B236">
        <v>10370.339085584261</v>
      </c>
    </row>
    <row r="237" spans="1:2" hidden="1" x14ac:dyDescent="0.3">
      <c r="A237" s="1" t="s">
        <v>84</v>
      </c>
      <c r="B237">
        <v>10363.75306316261</v>
      </c>
    </row>
    <row r="238" spans="1:2" hidden="1" x14ac:dyDescent="0.3">
      <c r="A238" s="1" t="s">
        <v>84</v>
      </c>
      <c r="B238">
        <v>10357.167040740949</v>
      </c>
    </row>
    <row r="239" spans="1:2" hidden="1" x14ac:dyDescent="0.3">
      <c r="A239" s="1" t="s">
        <v>84</v>
      </c>
      <c r="B239">
        <v>10350.581018319301</v>
      </c>
    </row>
    <row r="240" spans="1:2" hidden="1" x14ac:dyDescent="0.3">
      <c r="A240" s="1" t="s">
        <v>84</v>
      </c>
      <c r="B240">
        <v>10343.994995897639</v>
      </c>
    </row>
    <row r="241" spans="1:2" hidden="1" x14ac:dyDescent="0.3">
      <c r="A241" s="1" t="s">
        <v>84</v>
      </c>
      <c r="B241">
        <v>10337.408973475989</v>
      </c>
    </row>
    <row r="242" spans="1:2" hidden="1" x14ac:dyDescent="0.3">
      <c r="A242" s="1" t="s">
        <v>84</v>
      </c>
      <c r="B242">
        <v>10330.82295105433</v>
      </c>
    </row>
    <row r="243" spans="1:2" hidden="1" x14ac:dyDescent="0.3">
      <c r="A243" s="1" t="s">
        <v>84</v>
      </c>
      <c r="B243">
        <v>10324.236928632679</v>
      </c>
    </row>
    <row r="244" spans="1:2" hidden="1" x14ac:dyDescent="0.3">
      <c r="A244" s="1" t="s">
        <v>84</v>
      </c>
      <c r="B244">
        <v>10317.65090621102</v>
      </c>
    </row>
    <row r="245" spans="1:2" hidden="1" x14ac:dyDescent="0.3">
      <c r="A245" s="1" t="s">
        <v>84</v>
      </c>
      <c r="B245">
        <v>10311.06488378936</v>
      </c>
    </row>
    <row r="246" spans="1:2" hidden="1" x14ac:dyDescent="0.3">
      <c r="A246" s="1" t="s">
        <v>84</v>
      </c>
      <c r="B246">
        <v>10304.47886136771</v>
      </c>
    </row>
    <row r="247" spans="1:2" hidden="1" x14ac:dyDescent="0.3">
      <c r="A247" s="1" t="s">
        <v>84</v>
      </c>
      <c r="B247">
        <v>10297.892838946051</v>
      </c>
    </row>
    <row r="248" spans="1:2" hidden="1" x14ac:dyDescent="0.3">
      <c r="A248" s="1" t="s">
        <v>84</v>
      </c>
      <c r="B248">
        <v>10291.3068165244</v>
      </c>
    </row>
    <row r="249" spans="1:2" hidden="1" x14ac:dyDescent="0.3">
      <c r="A249" s="1" t="s">
        <v>84</v>
      </c>
      <c r="B249">
        <v>10284.72079410275</v>
      </c>
    </row>
    <row r="250" spans="1:2" hidden="1" x14ac:dyDescent="0.3">
      <c r="A250" s="1" t="s">
        <v>84</v>
      </c>
      <c r="B250">
        <v>10278.134771681091</v>
      </c>
    </row>
    <row r="251" spans="1:2" hidden="1" x14ac:dyDescent="0.3">
      <c r="A251" s="1" t="s">
        <v>84</v>
      </c>
      <c r="B251">
        <v>10285.870707358201</v>
      </c>
    </row>
    <row r="252" spans="1:2" hidden="1" x14ac:dyDescent="0.3">
      <c r="A252" s="1" t="s">
        <v>84</v>
      </c>
      <c r="B252">
        <v>10279.284684936551</v>
      </c>
    </row>
    <row r="253" spans="1:2" hidden="1" x14ac:dyDescent="0.3">
      <c r="A253" s="1" t="s">
        <v>84</v>
      </c>
      <c r="B253">
        <v>10272.698662514889</v>
      </c>
    </row>
    <row r="254" spans="1:2" hidden="1" x14ac:dyDescent="0.3">
      <c r="A254" s="1" t="s">
        <v>84</v>
      </c>
      <c r="B254">
        <v>10266.112640093241</v>
      </c>
    </row>
    <row r="255" spans="1:2" hidden="1" x14ac:dyDescent="0.3">
      <c r="A255" s="1" t="s">
        <v>84</v>
      </c>
      <c r="B255">
        <v>10259.52661767158</v>
      </c>
    </row>
    <row r="256" spans="1:2" hidden="1" x14ac:dyDescent="0.3">
      <c r="A256" s="1" t="s">
        <v>84</v>
      </c>
      <c r="B256">
        <v>10252.940595249929</v>
      </c>
    </row>
    <row r="257" spans="1:2" hidden="1" x14ac:dyDescent="0.3">
      <c r="A257" s="1" t="s">
        <v>84</v>
      </c>
      <c r="B257">
        <v>10246.35457282827</v>
      </c>
    </row>
    <row r="258" spans="1:2" hidden="1" x14ac:dyDescent="0.3">
      <c r="A258" s="1" t="s">
        <v>84</v>
      </c>
      <c r="B258">
        <v>10239.768550406619</v>
      </c>
    </row>
    <row r="259" spans="1:2" hidden="1" x14ac:dyDescent="0.3">
      <c r="A259" s="1" t="s">
        <v>84</v>
      </c>
      <c r="B259">
        <v>10233.18252798496</v>
      </c>
    </row>
    <row r="260" spans="1:2" hidden="1" x14ac:dyDescent="0.3">
      <c r="A260" s="1" t="s">
        <v>84</v>
      </c>
      <c r="B260">
        <v>10226.59650556331</v>
      </c>
    </row>
    <row r="261" spans="1:2" hidden="1" x14ac:dyDescent="0.3">
      <c r="A261" s="1" t="s">
        <v>84</v>
      </c>
      <c r="B261">
        <v>10220.01048314165</v>
      </c>
    </row>
    <row r="262" spans="1:2" hidden="1" x14ac:dyDescent="0.3">
      <c r="A262" s="1" t="s">
        <v>84</v>
      </c>
      <c r="B262">
        <v>10213.42446072</v>
      </c>
    </row>
    <row r="263" spans="1:2" hidden="1" x14ac:dyDescent="0.3">
      <c r="A263" s="1" t="s">
        <v>84</v>
      </c>
      <c r="B263">
        <v>10206.83843829834</v>
      </c>
    </row>
    <row r="264" spans="1:2" hidden="1" x14ac:dyDescent="0.3">
      <c r="A264" s="1" t="s">
        <v>84</v>
      </c>
      <c r="B264">
        <v>10200.252415876679</v>
      </c>
    </row>
    <row r="265" spans="1:2" hidden="1" x14ac:dyDescent="0.3">
      <c r="A265" s="1" t="s">
        <v>84</v>
      </c>
      <c r="B265">
        <v>10193.666393455031</v>
      </c>
    </row>
    <row r="266" spans="1:2" hidden="1" x14ac:dyDescent="0.3">
      <c r="A266" s="1" t="s">
        <v>84</v>
      </c>
      <c r="B266">
        <v>10201.402329132139</v>
      </c>
    </row>
    <row r="267" spans="1:2" hidden="1" x14ac:dyDescent="0.3">
      <c r="A267" s="1" t="s">
        <v>84</v>
      </c>
      <c r="B267">
        <v>10194.816306710491</v>
      </c>
    </row>
    <row r="268" spans="1:2" hidden="1" x14ac:dyDescent="0.3">
      <c r="A268" s="1" t="s">
        <v>84</v>
      </c>
      <c r="B268">
        <v>10188.230284288829</v>
      </c>
    </row>
    <row r="269" spans="1:2" hidden="1" x14ac:dyDescent="0.3">
      <c r="A269" s="1" t="s">
        <v>84</v>
      </c>
      <c r="B269">
        <v>10181.644261867181</v>
      </c>
    </row>
    <row r="270" spans="1:2" hidden="1" x14ac:dyDescent="0.3">
      <c r="A270" s="1" t="s">
        <v>84</v>
      </c>
      <c r="B270">
        <v>10175.05823944552</v>
      </c>
    </row>
    <row r="271" spans="1:2" hidden="1" x14ac:dyDescent="0.3">
      <c r="A271" s="1" t="s">
        <v>84</v>
      </c>
      <c r="B271">
        <v>10168.472217023869</v>
      </c>
    </row>
    <row r="272" spans="1:2" hidden="1" x14ac:dyDescent="0.3">
      <c r="A272" s="1" t="s">
        <v>84</v>
      </c>
      <c r="B272">
        <v>10161.886194602221</v>
      </c>
    </row>
    <row r="273" spans="1:2" hidden="1" x14ac:dyDescent="0.3">
      <c r="A273" s="1" t="s">
        <v>84</v>
      </c>
      <c r="B273">
        <v>10155.300172180559</v>
      </c>
    </row>
    <row r="274" spans="1:2" hidden="1" x14ac:dyDescent="0.3">
      <c r="A274" s="1" t="s">
        <v>84</v>
      </c>
      <c r="B274">
        <v>10148.714149758909</v>
      </c>
    </row>
    <row r="275" spans="1:2" hidden="1" x14ac:dyDescent="0.3">
      <c r="A275" s="1" t="s">
        <v>84</v>
      </c>
      <c r="B275">
        <v>10142.12812733725</v>
      </c>
    </row>
    <row r="276" spans="1:2" hidden="1" x14ac:dyDescent="0.3">
      <c r="A276" s="1" t="s">
        <v>84</v>
      </c>
      <c r="B276">
        <v>10135.54210491559</v>
      </c>
    </row>
    <row r="277" spans="1:2" hidden="1" x14ac:dyDescent="0.3">
      <c r="A277" s="1" t="s">
        <v>84</v>
      </c>
      <c r="B277">
        <v>10128.95608249394</v>
      </c>
    </row>
    <row r="278" spans="1:2" hidden="1" x14ac:dyDescent="0.3">
      <c r="A278" s="1" t="s">
        <v>84</v>
      </c>
      <c r="B278">
        <v>10122.37006007228</v>
      </c>
    </row>
    <row r="279" spans="1:2" hidden="1" x14ac:dyDescent="0.3">
      <c r="A279" s="1" t="s">
        <v>84</v>
      </c>
      <c r="B279">
        <v>10115.784037650619</v>
      </c>
    </row>
    <row r="280" spans="1:2" hidden="1" x14ac:dyDescent="0.3">
      <c r="A280" s="1" t="s">
        <v>84</v>
      </c>
      <c r="B280">
        <v>10123.51997332774</v>
      </c>
    </row>
    <row r="281" spans="1:2" hidden="1" x14ac:dyDescent="0.3">
      <c r="A281" s="1" t="s">
        <v>84</v>
      </c>
      <c r="B281">
        <v>10116.933950906079</v>
      </c>
    </row>
    <row r="282" spans="1:2" hidden="1" x14ac:dyDescent="0.3">
      <c r="A282" s="1" t="s">
        <v>84</v>
      </c>
      <c r="B282">
        <v>10110.347928484431</v>
      </c>
    </row>
    <row r="283" spans="1:2" hidden="1" x14ac:dyDescent="0.3">
      <c r="A283" s="1" t="s">
        <v>84</v>
      </c>
      <c r="B283">
        <v>10103.761906062769</v>
      </c>
    </row>
    <row r="284" spans="1:2" hidden="1" x14ac:dyDescent="0.3">
      <c r="A284" s="1" t="s">
        <v>84</v>
      </c>
      <c r="B284">
        <v>10097.175883641121</v>
      </c>
    </row>
    <row r="285" spans="1:2" hidden="1" x14ac:dyDescent="0.3">
      <c r="A285" s="1" t="s">
        <v>84</v>
      </c>
      <c r="B285">
        <v>10090.58986121946</v>
      </c>
    </row>
    <row r="286" spans="1:2" hidden="1" x14ac:dyDescent="0.3">
      <c r="A286" s="1" t="s">
        <v>84</v>
      </c>
      <c r="B286">
        <v>10084.003838797809</v>
      </c>
    </row>
    <row r="287" spans="1:2" hidden="1" x14ac:dyDescent="0.3">
      <c r="A287" s="1" t="s">
        <v>84</v>
      </c>
      <c r="B287">
        <v>10077.41781637615</v>
      </c>
    </row>
    <row r="288" spans="1:2" hidden="1" x14ac:dyDescent="0.3">
      <c r="A288" s="1" t="s">
        <v>84</v>
      </c>
      <c r="B288">
        <v>10070.8317939545</v>
      </c>
    </row>
    <row r="289" spans="1:2" hidden="1" x14ac:dyDescent="0.3">
      <c r="A289" s="1" t="s">
        <v>84</v>
      </c>
      <c r="B289">
        <v>10064.24577153284</v>
      </c>
    </row>
    <row r="290" spans="1:2" hidden="1" x14ac:dyDescent="0.3">
      <c r="A290" s="1" t="s">
        <v>84</v>
      </c>
      <c r="B290">
        <v>10057.65974911119</v>
      </c>
    </row>
    <row r="291" spans="1:2" hidden="1" x14ac:dyDescent="0.3">
      <c r="A291" s="1" t="s">
        <v>84</v>
      </c>
      <c r="B291">
        <v>10051.07372668953</v>
      </c>
    </row>
    <row r="292" spans="1:2" hidden="1" x14ac:dyDescent="0.3">
      <c r="A292" s="1" t="s">
        <v>84</v>
      </c>
      <c r="B292">
        <v>10044.48770426788</v>
      </c>
    </row>
    <row r="293" spans="1:2" hidden="1" x14ac:dyDescent="0.3">
      <c r="A293" s="1" t="s">
        <v>84</v>
      </c>
      <c r="B293">
        <v>10037.901681846221</v>
      </c>
    </row>
    <row r="294" spans="1:2" hidden="1" x14ac:dyDescent="0.3">
      <c r="A294" s="1" t="s">
        <v>84</v>
      </c>
      <c r="B294">
        <v>10031.31565942457</v>
      </c>
    </row>
    <row r="295" spans="1:2" hidden="1" x14ac:dyDescent="0.3">
      <c r="A295" s="1" t="s">
        <v>84</v>
      </c>
      <c r="B295">
        <v>10039.051595101681</v>
      </c>
    </row>
    <row r="296" spans="1:2" hidden="1" x14ac:dyDescent="0.3">
      <c r="A296" s="1" t="s">
        <v>84</v>
      </c>
      <c r="B296">
        <v>10032.465572680019</v>
      </c>
    </row>
    <row r="297" spans="1:2" hidden="1" x14ac:dyDescent="0.3">
      <c r="A297" s="1" t="s">
        <v>84</v>
      </c>
      <c r="B297">
        <v>10025.879550258371</v>
      </c>
    </row>
    <row r="298" spans="1:2" hidden="1" x14ac:dyDescent="0.3">
      <c r="A298" s="1" t="s">
        <v>84</v>
      </c>
      <c r="B298">
        <v>10019.29352783672</v>
      </c>
    </row>
    <row r="299" spans="1:2" hidden="1" x14ac:dyDescent="0.3">
      <c r="A299" s="1" t="s">
        <v>84</v>
      </c>
      <c r="B299">
        <v>10012.707505415059</v>
      </c>
    </row>
    <row r="300" spans="1:2" hidden="1" x14ac:dyDescent="0.3">
      <c r="A300" s="1" t="s">
        <v>84</v>
      </c>
      <c r="B300">
        <v>10006.1214829934</v>
      </c>
    </row>
    <row r="301" spans="1:2" x14ac:dyDescent="0.3">
      <c r="A301" s="1" t="s">
        <v>103</v>
      </c>
      <c r="B301">
        <v>14147.71619508207</v>
      </c>
    </row>
    <row r="302" spans="1:2" x14ac:dyDescent="0.3">
      <c r="A302" s="1" t="s">
        <v>103</v>
      </c>
      <c r="B302">
        <v>14069.978752889439</v>
      </c>
    </row>
    <row r="303" spans="1:2" x14ac:dyDescent="0.3">
      <c r="A303" s="1" t="s">
        <v>103</v>
      </c>
      <c r="B303">
        <v>14006.56326879556</v>
      </c>
    </row>
    <row r="304" spans="1:2" x14ac:dyDescent="0.3">
      <c r="A304" s="1" t="s">
        <v>103</v>
      </c>
      <c r="B304">
        <v>13928.82582660289</v>
      </c>
    </row>
    <row r="305" spans="1:2" x14ac:dyDescent="0.3">
      <c r="A305" s="1" t="s">
        <v>103</v>
      </c>
      <c r="B305">
        <v>13851.088384410221</v>
      </c>
    </row>
    <row r="306" spans="1:2" x14ac:dyDescent="0.3">
      <c r="A306" s="1" t="s">
        <v>103</v>
      </c>
      <c r="B306">
        <v>13800.42325245221</v>
      </c>
    </row>
    <row r="307" spans="1:2" x14ac:dyDescent="0.3">
      <c r="A307" s="1" t="s">
        <v>103</v>
      </c>
      <c r="B307">
        <v>13738.731825483181</v>
      </c>
    </row>
    <row r="308" spans="1:2" x14ac:dyDescent="0.3">
      <c r="A308" s="1" t="s">
        <v>103</v>
      </c>
      <c r="B308">
        <v>13690.261970450611</v>
      </c>
    </row>
    <row r="309" spans="1:2" x14ac:dyDescent="0.3">
      <c r="A309" s="1" t="s">
        <v>103</v>
      </c>
      <c r="B309">
        <v>13612.524528257991</v>
      </c>
    </row>
    <row r="310" spans="1:2" x14ac:dyDescent="0.3">
      <c r="A310" s="1" t="s">
        <v>103</v>
      </c>
      <c r="B310">
        <v>13534.787086065329</v>
      </c>
    </row>
    <row r="311" spans="1:2" x14ac:dyDescent="0.3">
      <c r="A311" s="1" t="s">
        <v>103</v>
      </c>
      <c r="B311">
        <v>13457.04964387267</v>
      </c>
    </row>
    <row r="312" spans="1:2" x14ac:dyDescent="0.3">
      <c r="A312" s="1" t="s">
        <v>103</v>
      </c>
      <c r="B312">
        <v>13379.312201680001</v>
      </c>
    </row>
    <row r="313" spans="1:2" x14ac:dyDescent="0.3">
      <c r="A313" s="1" t="s">
        <v>103</v>
      </c>
      <c r="B313">
        <v>13315.8967175861</v>
      </c>
    </row>
    <row r="314" spans="1:2" x14ac:dyDescent="0.3">
      <c r="A314" s="1" t="s">
        <v>103</v>
      </c>
      <c r="B314">
        <v>13238.159275393449</v>
      </c>
    </row>
    <row r="315" spans="1:2" x14ac:dyDescent="0.3">
      <c r="A315" s="1" t="s">
        <v>103</v>
      </c>
      <c r="B315">
        <v>13160.42183320078</v>
      </c>
    </row>
    <row r="316" spans="1:2" x14ac:dyDescent="0.3">
      <c r="A316" s="1" t="s">
        <v>103</v>
      </c>
      <c r="B316">
        <v>13082.684391008161</v>
      </c>
    </row>
    <row r="317" spans="1:2" x14ac:dyDescent="0.3">
      <c r="A317" s="1" t="s">
        <v>103</v>
      </c>
      <c r="B317">
        <v>13004.94694881551</v>
      </c>
    </row>
    <row r="318" spans="1:2" x14ac:dyDescent="0.3">
      <c r="A318" s="1" t="s">
        <v>103</v>
      </c>
      <c r="B318">
        <v>12927.209506622839</v>
      </c>
    </row>
    <row r="319" spans="1:2" x14ac:dyDescent="0.3">
      <c r="A319" s="1" t="s">
        <v>103</v>
      </c>
      <c r="B319">
        <v>12863.794022528949</v>
      </c>
    </row>
    <row r="320" spans="1:2" x14ac:dyDescent="0.3">
      <c r="A320" s="1" t="s">
        <v>103</v>
      </c>
      <c r="B320">
        <v>12786.056580336281</v>
      </c>
    </row>
    <row r="321" spans="1:2" x14ac:dyDescent="0.3">
      <c r="A321" s="1" t="s">
        <v>103</v>
      </c>
      <c r="B321">
        <v>12708.319138143621</v>
      </c>
    </row>
    <row r="322" spans="1:2" x14ac:dyDescent="0.3">
      <c r="A322" s="1" t="s">
        <v>103</v>
      </c>
      <c r="B322">
        <v>12630.58169595097</v>
      </c>
    </row>
    <row r="323" spans="1:2" x14ac:dyDescent="0.3">
      <c r="A323" s="1" t="s">
        <v>103</v>
      </c>
      <c r="B323">
        <v>12552.84425375834</v>
      </c>
    </row>
    <row r="324" spans="1:2" x14ac:dyDescent="0.3">
      <c r="A324" s="1" t="s">
        <v>103</v>
      </c>
      <c r="B324">
        <v>12489.428769664461</v>
      </c>
    </row>
    <row r="325" spans="1:2" x14ac:dyDescent="0.3">
      <c r="A325" s="1" t="s">
        <v>103</v>
      </c>
      <c r="B325">
        <v>12425.41563997421</v>
      </c>
    </row>
    <row r="326" spans="1:2" x14ac:dyDescent="0.3">
      <c r="A326" s="1" t="s">
        <v>103</v>
      </c>
      <c r="B326">
        <v>12363.49783790985</v>
      </c>
    </row>
    <row r="327" spans="1:2" x14ac:dyDescent="0.3">
      <c r="A327" s="1" t="s">
        <v>103</v>
      </c>
      <c r="B327">
        <v>12299.88030149425</v>
      </c>
    </row>
    <row r="328" spans="1:2" x14ac:dyDescent="0.3">
      <c r="A328" s="1" t="s">
        <v>103</v>
      </c>
      <c r="B328">
        <v>12222.14285930159</v>
      </c>
    </row>
    <row r="329" spans="1:2" x14ac:dyDescent="0.3">
      <c r="A329" s="1" t="s">
        <v>103</v>
      </c>
      <c r="B329">
        <v>12173.25427694638</v>
      </c>
    </row>
    <row r="330" spans="1:2" x14ac:dyDescent="0.3">
      <c r="A330" s="1" t="s">
        <v>103</v>
      </c>
      <c r="B330">
        <v>12095.516834753749</v>
      </c>
    </row>
    <row r="331" spans="1:2" x14ac:dyDescent="0.3">
      <c r="A331" s="1" t="s">
        <v>103</v>
      </c>
      <c r="B331">
        <v>12032.93888983788</v>
      </c>
    </row>
    <row r="332" spans="1:2" x14ac:dyDescent="0.3">
      <c r="A332" s="1" t="s">
        <v>103</v>
      </c>
      <c r="B332">
        <v>11955.20144764522</v>
      </c>
    </row>
    <row r="333" spans="1:2" x14ac:dyDescent="0.3">
      <c r="A333" s="1" t="s">
        <v>103</v>
      </c>
      <c r="B333">
        <v>11877.46400545257</v>
      </c>
    </row>
    <row r="334" spans="1:2" x14ac:dyDescent="0.3">
      <c r="A334" s="1" t="s">
        <v>103</v>
      </c>
      <c r="B334">
        <v>11799.726563259879</v>
      </c>
    </row>
    <row r="335" spans="1:2" x14ac:dyDescent="0.3">
      <c r="A335" s="1" t="s">
        <v>103</v>
      </c>
      <c r="B335">
        <v>11736.311079166009</v>
      </c>
    </row>
    <row r="336" spans="1:2" x14ac:dyDescent="0.3">
      <c r="A336" s="1" t="s">
        <v>103</v>
      </c>
      <c r="B336">
        <v>11658.57363697334</v>
      </c>
    </row>
    <row r="337" spans="1:2" x14ac:dyDescent="0.3">
      <c r="A337" s="1" t="s">
        <v>103</v>
      </c>
      <c r="B337">
        <v>11580.836194780721</v>
      </c>
    </row>
    <row r="338" spans="1:2" x14ac:dyDescent="0.3">
      <c r="A338" s="1" t="s">
        <v>103</v>
      </c>
      <c r="B338">
        <v>11503.098752588059</v>
      </c>
    </row>
    <row r="339" spans="1:2" x14ac:dyDescent="0.3">
      <c r="A339" s="1" t="s">
        <v>103</v>
      </c>
      <c r="B339">
        <v>11425.36131039539</v>
      </c>
    </row>
    <row r="340" spans="1:2" x14ac:dyDescent="0.3">
      <c r="A340" s="1" t="s">
        <v>103</v>
      </c>
      <c r="B340">
        <v>11391.18752109279</v>
      </c>
    </row>
    <row r="341" spans="1:2" x14ac:dyDescent="0.3">
      <c r="A341" s="1" t="s">
        <v>103</v>
      </c>
      <c r="B341">
        <v>11313.45007890011</v>
      </c>
    </row>
    <row r="342" spans="1:2" x14ac:dyDescent="0.3">
      <c r="A342" s="1" t="s">
        <v>103</v>
      </c>
      <c r="B342">
        <v>11235.712636707471</v>
      </c>
    </row>
    <row r="343" spans="1:2" x14ac:dyDescent="0.3">
      <c r="A343" s="1" t="s">
        <v>103</v>
      </c>
      <c r="B343">
        <v>11157.975194514809</v>
      </c>
    </row>
    <row r="344" spans="1:2" x14ac:dyDescent="0.3">
      <c r="A344" s="1" t="s">
        <v>103</v>
      </c>
      <c r="B344">
        <v>11093.577554771129</v>
      </c>
    </row>
    <row r="345" spans="1:2" x14ac:dyDescent="0.3">
      <c r="A345" s="1" t="s">
        <v>103</v>
      </c>
      <c r="B345">
        <v>11030.16207067725</v>
      </c>
    </row>
    <row r="346" spans="1:2" x14ac:dyDescent="0.3">
      <c r="A346" s="1" t="s">
        <v>103</v>
      </c>
      <c r="B346">
        <v>10967.801054377531</v>
      </c>
    </row>
    <row r="347" spans="1:2" x14ac:dyDescent="0.3">
      <c r="A347" s="1" t="s">
        <v>103</v>
      </c>
      <c r="B347">
        <v>10902.66641082862</v>
      </c>
    </row>
    <row r="348" spans="1:2" x14ac:dyDescent="0.3">
      <c r="A348" s="1" t="s">
        <v>103</v>
      </c>
      <c r="B348">
        <v>10824.928968635941</v>
      </c>
    </row>
    <row r="349" spans="1:2" x14ac:dyDescent="0.3">
      <c r="A349" s="1" t="s">
        <v>103</v>
      </c>
      <c r="B349">
        <v>10747.191526443299</v>
      </c>
    </row>
    <row r="350" spans="1:2" x14ac:dyDescent="0.3">
      <c r="A350" s="1" t="s">
        <v>103</v>
      </c>
      <c r="B350">
        <v>10669.45408425063</v>
      </c>
    </row>
    <row r="351" spans="1:2" x14ac:dyDescent="0.3">
      <c r="A351" s="1" t="s">
        <v>103</v>
      </c>
      <c r="B351">
        <v>10606.038600156769</v>
      </c>
    </row>
    <row r="352" spans="1:2" x14ac:dyDescent="0.3">
      <c r="A352" s="1" t="s">
        <v>103</v>
      </c>
      <c r="B352">
        <v>10543.035936034959</v>
      </c>
    </row>
    <row r="353" spans="1:2" x14ac:dyDescent="0.3">
      <c r="A353" s="1" t="s">
        <v>103</v>
      </c>
      <c r="B353">
        <v>10465.298493842291</v>
      </c>
    </row>
    <row r="354" spans="1:2" x14ac:dyDescent="0.3">
      <c r="A354" s="1" t="s">
        <v>103</v>
      </c>
      <c r="B354">
        <v>10387.561051649631</v>
      </c>
    </row>
    <row r="355" spans="1:2" x14ac:dyDescent="0.3">
      <c r="A355" s="1" t="s">
        <v>103</v>
      </c>
      <c r="B355">
        <v>10309.82360945694</v>
      </c>
    </row>
    <row r="356" spans="1:2" x14ac:dyDescent="0.3">
      <c r="A356" s="1" t="s">
        <v>103</v>
      </c>
      <c r="B356">
        <v>10246.408125363059</v>
      </c>
    </row>
    <row r="357" spans="1:2" x14ac:dyDescent="0.3">
      <c r="A357" s="1" t="s">
        <v>103</v>
      </c>
      <c r="B357">
        <v>10168.67068317041</v>
      </c>
    </row>
    <row r="358" spans="1:2" x14ac:dyDescent="0.3">
      <c r="A358" s="1" t="s">
        <v>103</v>
      </c>
      <c r="B358">
        <v>10090.93324097778</v>
      </c>
    </row>
    <row r="359" spans="1:2" x14ac:dyDescent="0.3">
      <c r="A359" s="1" t="s">
        <v>103</v>
      </c>
      <c r="B359">
        <v>10013.195798785129</v>
      </c>
    </row>
    <row r="360" spans="1:2" x14ac:dyDescent="0.3">
      <c r="A360" s="1" t="s">
        <v>103</v>
      </c>
      <c r="B360">
        <v>9935.4583565924604</v>
      </c>
    </row>
    <row r="361" spans="1:2" x14ac:dyDescent="0.3">
      <c r="A361" s="1" t="s">
        <v>103</v>
      </c>
      <c r="B361">
        <v>9872.0428724985723</v>
      </c>
    </row>
    <row r="362" spans="1:2" x14ac:dyDescent="0.3">
      <c r="A362" s="1" t="s">
        <v>103</v>
      </c>
      <c r="B362">
        <v>9794.3054303058889</v>
      </c>
    </row>
    <row r="363" spans="1:2" x14ac:dyDescent="0.3">
      <c r="A363" s="1" t="s">
        <v>103</v>
      </c>
      <c r="B363">
        <v>9716.5679881132401</v>
      </c>
    </row>
    <row r="364" spans="1:2" x14ac:dyDescent="0.3">
      <c r="A364" s="1" t="s">
        <v>103</v>
      </c>
      <c r="B364">
        <v>9638.8305459205767</v>
      </c>
    </row>
    <row r="365" spans="1:2" x14ac:dyDescent="0.3">
      <c r="A365" s="1" t="s">
        <v>103</v>
      </c>
      <c r="B365">
        <v>9576.6895624313202</v>
      </c>
    </row>
    <row r="366" spans="1:2" x14ac:dyDescent="0.3">
      <c r="A366" s="1" t="s">
        <v>103</v>
      </c>
      <c r="B366">
        <v>9498.9521202386786</v>
      </c>
    </row>
    <row r="367" spans="1:2" x14ac:dyDescent="0.3">
      <c r="A367" s="1" t="s">
        <v>103</v>
      </c>
      <c r="B367">
        <v>9449.0673278318263</v>
      </c>
    </row>
    <row r="368" spans="1:2" x14ac:dyDescent="0.3">
      <c r="A368" s="1" t="s">
        <v>103</v>
      </c>
      <c r="B368">
        <v>9371.3298856391721</v>
      </c>
    </row>
    <row r="369" spans="1:2" x14ac:dyDescent="0.3">
      <c r="A369" s="1" t="s">
        <v>103</v>
      </c>
      <c r="B369">
        <v>9293.5924434464832</v>
      </c>
    </row>
    <row r="370" spans="1:2" x14ac:dyDescent="0.3">
      <c r="A370" s="1" t="s">
        <v>103</v>
      </c>
      <c r="B370">
        <v>9231.9010164774536</v>
      </c>
    </row>
    <row r="371" spans="1:2" x14ac:dyDescent="0.3">
      <c r="A371" s="1" t="s">
        <v>103</v>
      </c>
      <c r="B371">
        <v>9154.1635742847939</v>
      </c>
    </row>
    <row r="372" spans="1:2" x14ac:dyDescent="0.3">
      <c r="A372" s="1" t="s">
        <v>103</v>
      </c>
      <c r="B372">
        <v>9104.668794174202</v>
      </c>
    </row>
    <row r="373" spans="1:2" x14ac:dyDescent="0.3">
      <c r="A373" s="1" t="s">
        <v>103</v>
      </c>
      <c r="B373">
        <v>9026.931351981546</v>
      </c>
    </row>
    <row r="374" spans="1:2" x14ac:dyDescent="0.3">
      <c r="A374" s="1" t="s">
        <v>103</v>
      </c>
      <c r="B374">
        <v>8949.193909788879</v>
      </c>
    </row>
    <row r="375" spans="1:2" x14ac:dyDescent="0.3">
      <c r="A375" s="1" t="s">
        <v>103</v>
      </c>
      <c r="B375">
        <v>8871.456467596221</v>
      </c>
    </row>
    <row r="376" spans="1:2" x14ac:dyDescent="0.3">
      <c r="A376" s="1" t="s">
        <v>103</v>
      </c>
      <c r="B376">
        <v>8808.6646544648574</v>
      </c>
    </row>
    <row r="377" spans="1:2" x14ac:dyDescent="0.3">
      <c r="A377" s="1" t="s">
        <v>103</v>
      </c>
      <c r="B377">
        <v>8745.2491703709784</v>
      </c>
    </row>
    <row r="378" spans="1:2" x14ac:dyDescent="0.3">
      <c r="A378" s="1" t="s">
        <v>103</v>
      </c>
      <c r="B378">
        <v>8680.294869719959</v>
      </c>
    </row>
    <row r="379" spans="1:2" x14ac:dyDescent="0.3">
      <c r="A379" s="1" t="s">
        <v>103</v>
      </c>
      <c r="B379">
        <v>8615.7090337787358</v>
      </c>
    </row>
    <row r="380" spans="1:2" x14ac:dyDescent="0.3">
      <c r="A380" s="1" t="s">
        <v>103</v>
      </c>
      <c r="B380">
        <v>8537.9715915860925</v>
      </c>
    </row>
    <row r="381" spans="1:2" x14ac:dyDescent="0.3">
      <c r="A381" s="1" t="s">
        <v>103</v>
      </c>
      <c r="B381">
        <v>8460.23414939342</v>
      </c>
    </row>
    <row r="382" spans="1:2" x14ac:dyDescent="0.3">
      <c r="A382" s="1" t="s">
        <v>103</v>
      </c>
      <c r="B382">
        <v>8396.8186652995355</v>
      </c>
    </row>
    <row r="383" spans="1:2" x14ac:dyDescent="0.3">
      <c r="A383" s="1" t="s">
        <v>103</v>
      </c>
      <c r="B383">
        <v>8331.5062231068496</v>
      </c>
    </row>
    <row r="384" spans="1:2" x14ac:dyDescent="0.3">
      <c r="A384" s="1" t="s">
        <v>103</v>
      </c>
      <c r="B384">
        <v>8253.7687809141971</v>
      </c>
    </row>
    <row r="385" spans="1:2" x14ac:dyDescent="0.3">
      <c r="A385" s="1" t="s">
        <v>103</v>
      </c>
      <c r="B385">
        <v>8176.0313387215319</v>
      </c>
    </row>
    <row r="386" spans="1:2" x14ac:dyDescent="0.3">
      <c r="A386" s="1" t="s">
        <v>103</v>
      </c>
      <c r="B386">
        <v>8098.293896528925</v>
      </c>
    </row>
    <row r="387" spans="1:2" x14ac:dyDescent="0.3">
      <c r="A387" s="1" t="s">
        <v>103</v>
      </c>
      <c r="B387">
        <v>8020.5564543362734</v>
      </c>
    </row>
    <row r="388" spans="1:2" x14ac:dyDescent="0.3">
      <c r="A388" s="1" t="s">
        <v>103</v>
      </c>
      <c r="B388">
        <v>7957.1409702423643</v>
      </c>
    </row>
    <row r="389" spans="1:2" x14ac:dyDescent="0.3">
      <c r="A389" s="1" t="s">
        <v>103</v>
      </c>
      <c r="B389">
        <v>7895.2231681780086</v>
      </c>
    </row>
    <row r="390" spans="1:2" x14ac:dyDescent="0.3">
      <c r="A390" s="1" t="s">
        <v>103</v>
      </c>
      <c r="B390">
        <v>7817.4857259853216</v>
      </c>
    </row>
    <row r="391" spans="1:2" x14ac:dyDescent="0.3">
      <c r="A391" s="1" t="s">
        <v>103</v>
      </c>
      <c r="B391">
        <v>7753.8681895697428</v>
      </c>
    </row>
    <row r="392" spans="1:2" x14ac:dyDescent="0.3">
      <c r="A392" s="1" t="s">
        <v>103</v>
      </c>
      <c r="B392">
        <v>7689.8550598795136</v>
      </c>
    </row>
    <row r="393" spans="1:2" x14ac:dyDescent="0.3">
      <c r="A393" s="1" t="s">
        <v>103</v>
      </c>
      <c r="B393">
        <v>7626.4395757856619</v>
      </c>
    </row>
    <row r="394" spans="1:2" x14ac:dyDescent="0.3">
      <c r="A394" s="1" t="s">
        <v>103</v>
      </c>
      <c r="B394">
        <v>7548.7021335930076</v>
      </c>
    </row>
    <row r="395" spans="1:2" x14ac:dyDescent="0.3">
      <c r="A395" s="1" t="s">
        <v>103</v>
      </c>
      <c r="B395">
        <v>7470.964691400337</v>
      </c>
    </row>
    <row r="396" spans="1:2" x14ac:dyDescent="0.3">
      <c r="A396" s="1" t="s">
        <v>103</v>
      </c>
      <c r="B396">
        <v>7393.2272492076827</v>
      </c>
    </row>
    <row r="397" spans="1:2" x14ac:dyDescent="0.3">
      <c r="A397" s="1" t="s">
        <v>103</v>
      </c>
      <c r="B397">
        <v>7330.64930429178</v>
      </c>
    </row>
    <row r="398" spans="1:2" x14ac:dyDescent="0.3">
      <c r="A398" s="1" t="s">
        <v>103</v>
      </c>
      <c r="B398">
        <v>7267.2338201978964</v>
      </c>
    </row>
    <row r="399" spans="1:2" x14ac:dyDescent="0.3">
      <c r="A399" s="1" t="s">
        <v>103</v>
      </c>
      <c r="B399">
        <v>7189.4963780052458</v>
      </c>
    </row>
    <row r="400" spans="1:2" x14ac:dyDescent="0.3">
      <c r="A400" s="1" t="s">
        <v>103</v>
      </c>
      <c r="B400">
        <v>7126.2858375512969</v>
      </c>
    </row>
    <row r="401" spans="1:2" hidden="1" x14ac:dyDescent="0.3">
      <c r="A401" s="1" t="s">
        <v>104</v>
      </c>
      <c r="B401">
        <v>26601.550869983239</v>
      </c>
    </row>
    <row r="402" spans="1:2" hidden="1" x14ac:dyDescent="0.3">
      <c r="A402" s="1" t="s">
        <v>104</v>
      </c>
      <c r="B402">
        <v>26500.1159403073</v>
      </c>
    </row>
    <row r="403" spans="1:2" hidden="1" x14ac:dyDescent="0.3">
      <c r="A403" s="1" t="s">
        <v>104</v>
      </c>
      <c r="B403">
        <v>26398.640281480271</v>
      </c>
    </row>
    <row r="404" spans="1:2" hidden="1" x14ac:dyDescent="0.3">
      <c r="A404" s="1" t="s">
        <v>104</v>
      </c>
      <c r="B404">
        <v>26336.419372869281</v>
      </c>
    </row>
    <row r="405" spans="1:2" hidden="1" x14ac:dyDescent="0.3">
      <c r="A405" s="1" t="s">
        <v>104</v>
      </c>
      <c r="B405">
        <v>26234.86221142756</v>
      </c>
    </row>
    <row r="406" spans="1:2" hidden="1" x14ac:dyDescent="0.3">
      <c r="A406" s="1" t="s">
        <v>104</v>
      </c>
      <c r="B406">
        <v>26186.901430935992</v>
      </c>
    </row>
    <row r="407" spans="1:2" hidden="1" x14ac:dyDescent="0.3">
      <c r="A407" s="1" t="s">
        <v>104</v>
      </c>
      <c r="B407">
        <v>26085.26270775394</v>
      </c>
    </row>
    <row r="408" spans="1:2" hidden="1" x14ac:dyDescent="0.3">
      <c r="A408" s="1" t="s">
        <v>104</v>
      </c>
      <c r="B408">
        <v>25996.549246616589</v>
      </c>
    </row>
    <row r="409" spans="1:2" hidden="1" x14ac:dyDescent="0.3">
      <c r="A409" s="1" t="s">
        <v>104</v>
      </c>
      <c r="B409">
        <v>25894.82890251965</v>
      </c>
    </row>
    <row r="410" spans="1:2" hidden="1" x14ac:dyDescent="0.3">
      <c r="A410" s="1" t="s">
        <v>104</v>
      </c>
      <c r="B410">
        <v>25807.802503829778</v>
      </c>
    </row>
    <row r="411" spans="1:2" hidden="1" x14ac:dyDescent="0.3">
      <c r="A411" s="1" t="s">
        <v>104</v>
      </c>
      <c r="B411">
        <v>25731.57708584415</v>
      </c>
    </row>
    <row r="412" spans="1:2" hidden="1" x14ac:dyDescent="0.3">
      <c r="A412" s="1" t="s">
        <v>104</v>
      </c>
      <c r="B412">
        <v>25629.734199312239</v>
      </c>
    </row>
    <row r="413" spans="1:2" hidden="1" x14ac:dyDescent="0.3">
      <c r="A413" s="1" t="s">
        <v>104</v>
      </c>
      <c r="B413">
        <v>25540.453234304201</v>
      </c>
    </row>
    <row r="414" spans="1:2" hidden="1" x14ac:dyDescent="0.3">
      <c r="A414" s="1" t="s">
        <v>104</v>
      </c>
      <c r="B414">
        <v>25452.449282684331</v>
      </c>
    </row>
    <row r="415" spans="1:2" hidden="1" x14ac:dyDescent="0.3">
      <c r="A415" s="1" t="s">
        <v>104</v>
      </c>
      <c r="B415">
        <v>25376.606664283041</v>
      </c>
    </row>
    <row r="416" spans="1:2" hidden="1" x14ac:dyDescent="0.3">
      <c r="A416" s="1" t="s">
        <v>104</v>
      </c>
      <c r="B416">
        <v>25274.600180259029</v>
      </c>
    </row>
    <row r="417" spans="1:2" hidden="1" x14ac:dyDescent="0.3">
      <c r="A417" s="1" t="s">
        <v>104</v>
      </c>
      <c r="B417">
        <v>25200.203357216571</v>
      </c>
    </row>
    <row r="418" spans="1:2" hidden="1" x14ac:dyDescent="0.3">
      <c r="A418" s="1" t="s">
        <v>104</v>
      </c>
      <c r="B418">
        <v>25138.451679533959</v>
      </c>
    </row>
    <row r="419" spans="1:2" hidden="1" x14ac:dyDescent="0.3">
      <c r="A419" s="1" t="s">
        <v>104</v>
      </c>
      <c r="B419">
        <v>25052.141981615969</v>
      </c>
    </row>
    <row r="420" spans="1:2" hidden="1" x14ac:dyDescent="0.3">
      <c r="A420" s="1" t="s">
        <v>104</v>
      </c>
      <c r="B420">
        <v>24963.695975002091</v>
      </c>
    </row>
    <row r="421" spans="1:2" hidden="1" x14ac:dyDescent="0.3">
      <c r="A421" s="1" t="s">
        <v>104</v>
      </c>
      <c r="B421">
        <v>24887.239064836791</v>
      </c>
    </row>
    <row r="422" spans="1:2" hidden="1" x14ac:dyDescent="0.3">
      <c r="A422" s="1" t="s">
        <v>104</v>
      </c>
      <c r="B422">
        <v>24799.308697048069</v>
      </c>
    </row>
    <row r="423" spans="1:2" hidden="1" x14ac:dyDescent="0.3">
      <c r="A423" s="1" t="s">
        <v>104</v>
      </c>
      <c r="B423">
        <v>24709.79848698822</v>
      </c>
    </row>
    <row r="424" spans="1:2" hidden="1" x14ac:dyDescent="0.3">
      <c r="A424" s="1" t="s">
        <v>104</v>
      </c>
      <c r="B424">
        <v>24607.464094779061</v>
      </c>
    </row>
    <row r="425" spans="1:2" hidden="1" x14ac:dyDescent="0.3">
      <c r="A425" s="1" t="s">
        <v>104</v>
      </c>
      <c r="B425">
        <v>24517.513647062191</v>
      </c>
    </row>
    <row r="426" spans="1:2" hidden="1" x14ac:dyDescent="0.3">
      <c r="A426" s="1" t="s">
        <v>104</v>
      </c>
      <c r="B426">
        <v>24428.43693137986</v>
      </c>
    </row>
    <row r="427" spans="1:2" hidden="1" x14ac:dyDescent="0.3">
      <c r="A427" s="1" t="s">
        <v>104</v>
      </c>
      <c r="B427">
        <v>24338.945393023099</v>
      </c>
    </row>
    <row r="428" spans="1:2" hidden="1" x14ac:dyDescent="0.3">
      <c r="A428" s="1" t="s">
        <v>104</v>
      </c>
      <c r="B428">
        <v>24249.049487962879</v>
      </c>
    </row>
    <row r="429" spans="1:2" hidden="1" x14ac:dyDescent="0.3">
      <c r="A429" s="1" t="s">
        <v>104</v>
      </c>
      <c r="B429">
        <v>24175.199858051499</v>
      </c>
    </row>
    <row r="430" spans="1:2" hidden="1" x14ac:dyDescent="0.3">
      <c r="A430" s="1" t="s">
        <v>104</v>
      </c>
      <c r="B430">
        <v>24101.06651479557</v>
      </c>
    </row>
    <row r="431" spans="1:2" hidden="1" x14ac:dyDescent="0.3">
      <c r="A431" s="1" t="s">
        <v>104</v>
      </c>
      <c r="B431">
        <v>24024.37916857026</v>
      </c>
    </row>
    <row r="432" spans="1:2" hidden="1" x14ac:dyDescent="0.3">
      <c r="A432" s="1" t="s">
        <v>104</v>
      </c>
      <c r="B432">
        <v>23934.14091456735</v>
      </c>
    </row>
    <row r="433" spans="1:2" hidden="1" x14ac:dyDescent="0.3">
      <c r="A433" s="1" t="s">
        <v>104</v>
      </c>
      <c r="B433">
        <v>23831.436485629329</v>
      </c>
    </row>
    <row r="434" spans="1:2" hidden="1" x14ac:dyDescent="0.3">
      <c r="A434" s="1" t="s">
        <v>104</v>
      </c>
      <c r="B434">
        <v>23742.415179302749</v>
      </c>
    </row>
    <row r="435" spans="1:2" hidden="1" x14ac:dyDescent="0.3">
      <c r="A435" s="1" t="s">
        <v>104</v>
      </c>
      <c r="B435">
        <v>23653.748261395511</v>
      </c>
    </row>
    <row r="436" spans="1:2" hidden="1" x14ac:dyDescent="0.3">
      <c r="A436" s="1" t="s">
        <v>104</v>
      </c>
      <c r="B436">
        <v>23576.489081632179</v>
      </c>
    </row>
    <row r="437" spans="1:2" hidden="1" x14ac:dyDescent="0.3">
      <c r="A437" s="1" t="s">
        <v>104</v>
      </c>
      <c r="B437">
        <v>23486.959605773121</v>
      </c>
    </row>
    <row r="438" spans="1:2" hidden="1" x14ac:dyDescent="0.3">
      <c r="A438" s="1" t="s">
        <v>104</v>
      </c>
      <c r="B438">
        <v>23396.474077683601</v>
      </c>
    </row>
    <row r="439" spans="1:2" hidden="1" x14ac:dyDescent="0.3">
      <c r="A439" s="1" t="s">
        <v>104</v>
      </c>
      <c r="B439">
        <v>23321.040204436831</v>
      </c>
    </row>
    <row r="440" spans="1:2" hidden="1" x14ac:dyDescent="0.3">
      <c r="A440" s="1" t="s">
        <v>104</v>
      </c>
      <c r="B440">
        <v>23218.047131813499</v>
      </c>
    </row>
    <row r="441" spans="1:2" hidden="1" x14ac:dyDescent="0.3">
      <c r="A441" s="1" t="s">
        <v>104</v>
      </c>
      <c r="B441">
        <v>23141.695062363418</v>
      </c>
    </row>
    <row r="442" spans="1:2" hidden="1" x14ac:dyDescent="0.3">
      <c r="A442" s="1" t="s">
        <v>104</v>
      </c>
      <c r="B442">
        <v>23052.941343301511</v>
      </c>
    </row>
    <row r="443" spans="1:2" hidden="1" x14ac:dyDescent="0.3">
      <c r="A443" s="1" t="s">
        <v>104</v>
      </c>
      <c r="B443">
        <v>22977.80356589198</v>
      </c>
    </row>
    <row r="444" spans="1:2" hidden="1" x14ac:dyDescent="0.3">
      <c r="A444" s="1" t="s">
        <v>104</v>
      </c>
      <c r="B444">
        <v>22887.611289241609</v>
      </c>
    </row>
    <row r="445" spans="1:2" hidden="1" x14ac:dyDescent="0.3">
      <c r="A445" s="1" t="s">
        <v>104</v>
      </c>
      <c r="B445">
        <v>22810.757296641779</v>
      </c>
    </row>
    <row r="446" spans="1:2" hidden="1" x14ac:dyDescent="0.3">
      <c r="A446" s="1" t="s">
        <v>104</v>
      </c>
      <c r="B446">
        <v>22707.51623019476</v>
      </c>
    </row>
    <row r="447" spans="1:2" hidden="1" x14ac:dyDescent="0.3">
      <c r="A447" s="1" t="s">
        <v>104</v>
      </c>
      <c r="B447">
        <v>22617.01692038753</v>
      </c>
    </row>
    <row r="448" spans="1:2" hidden="1" x14ac:dyDescent="0.3">
      <c r="A448" s="1" t="s">
        <v>104</v>
      </c>
      <c r="B448">
        <v>22540.757184041609</v>
      </c>
    </row>
    <row r="449" spans="1:2" hidden="1" x14ac:dyDescent="0.3">
      <c r="A449" s="1" t="s">
        <v>104</v>
      </c>
      <c r="B449">
        <v>22437.391917745241</v>
      </c>
    </row>
    <row r="450" spans="1:2" hidden="1" x14ac:dyDescent="0.3">
      <c r="A450" s="1" t="s">
        <v>104</v>
      </c>
      <c r="B450">
        <v>22346.588020035801</v>
      </c>
    </row>
    <row r="451" spans="1:2" hidden="1" x14ac:dyDescent="0.3">
      <c r="A451" s="1" t="s">
        <v>104</v>
      </c>
      <c r="B451">
        <v>22256.291484813239</v>
      </c>
    </row>
    <row r="452" spans="1:2" hidden="1" x14ac:dyDescent="0.3">
      <c r="A452" s="1" t="s">
        <v>104</v>
      </c>
      <c r="B452">
        <v>22165.22688314812</v>
      </c>
    </row>
    <row r="453" spans="1:2" hidden="1" x14ac:dyDescent="0.3">
      <c r="A453" s="1" t="s">
        <v>104</v>
      </c>
      <c r="B453">
        <v>22103.727406154831</v>
      </c>
    </row>
    <row r="454" spans="1:2" hidden="1" x14ac:dyDescent="0.3">
      <c r="A454" s="1" t="s">
        <v>104</v>
      </c>
      <c r="B454">
        <v>22028.21243229647</v>
      </c>
    </row>
    <row r="455" spans="1:2" hidden="1" x14ac:dyDescent="0.3">
      <c r="A455" s="1" t="s">
        <v>104</v>
      </c>
      <c r="B455">
        <v>21937.38150111369</v>
      </c>
    </row>
    <row r="456" spans="1:2" hidden="1" x14ac:dyDescent="0.3">
      <c r="A456" s="1" t="s">
        <v>104</v>
      </c>
      <c r="B456">
        <v>21833.72590785315</v>
      </c>
    </row>
    <row r="457" spans="1:2" hidden="1" x14ac:dyDescent="0.3">
      <c r="A457" s="1" t="s">
        <v>104</v>
      </c>
      <c r="B457">
        <v>21730.028778954329</v>
      </c>
    </row>
    <row r="458" spans="1:2" hidden="1" x14ac:dyDescent="0.3">
      <c r="A458" s="1" t="s">
        <v>104</v>
      </c>
      <c r="B458">
        <v>21651.31789795278</v>
      </c>
    </row>
    <row r="459" spans="1:2" hidden="1" x14ac:dyDescent="0.3">
      <c r="A459" s="1" t="s">
        <v>104</v>
      </c>
      <c r="B459">
        <v>21560.877454894919</v>
      </c>
    </row>
    <row r="460" spans="1:2" hidden="1" x14ac:dyDescent="0.3">
      <c r="A460" s="1" t="s">
        <v>104</v>
      </c>
      <c r="B460">
        <v>21457.0556284056</v>
      </c>
    </row>
    <row r="461" spans="1:2" hidden="1" x14ac:dyDescent="0.3">
      <c r="A461" s="1" t="s">
        <v>104</v>
      </c>
      <c r="B461">
        <v>21380.26451604165</v>
      </c>
    </row>
    <row r="462" spans="1:2" hidden="1" x14ac:dyDescent="0.3">
      <c r="A462" s="1" t="s">
        <v>104</v>
      </c>
      <c r="B462">
        <v>21303.049859801999</v>
      </c>
    </row>
    <row r="463" spans="1:2" hidden="1" x14ac:dyDescent="0.3">
      <c r="A463" s="1" t="s">
        <v>104</v>
      </c>
      <c r="B463">
        <v>21226.208299214992</v>
      </c>
    </row>
    <row r="464" spans="1:2" hidden="1" x14ac:dyDescent="0.3">
      <c r="A464" s="1" t="s">
        <v>104</v>
      </c>
      <c r="B464">
        <v>21122.21999745673</v>
      </c>
    </row>
    <row r="465" spans="1:2" hidden="1" x14ac:dyDescent="0.3">
      <c r="A465" s="1" t="s">
        <v>104</v>
      </c>
      <c r="B465">
        <v>21043.217837658689</v>
      </c>
    </row>
    <row r="466" spans="1:2" hidden="1" x14ac:dyDescent="0.3">
      <c r="A466" s="1" t="s">
        <v>104</v>
      </c>
      <c r="B466">
        <v>20952.67689906104</v>
      </c>
    </row>
    <row r="467" spans="1:2" hidden="1" x14ac:dyDescent="0.3">
      <c r="A467" s="1" t="s">
        <v>104</v>
      </c>
      <c r="B467">
        <v>20863.2983598387</v>
      </c>
    </row>
    <row r="468" spans="1:2" hidden="1" x14ac:dyDescent="0.3">
      <c r="A468" s="1" t="s">
        <v>104</v>
      </c>
      <c r="B468">
        <v>20759.143340364739</v>
      </c>
    </row>
    <row r="469" spans="1:2" hidden="1" x14ac:dyDescent="0.3">
      <c r="A469" s="1" t="s">
        <v>104</v>
      </c>
      <c r="B469">
        <v>20668.28640598066</v>
      </c>
    </row>
    <row r="470" spans="1:2" hidden="1" x14ac:dyDescent="0.3">
      <c r="A470" s="1" t="s">
        <v>104</v>
      </c>
      <c r="B470">
        <v>20577.199542855331</v>
      </c>
    </row>
    <row r="471" spans="1:2" hidden="1" x14ac:dyDescent="0.3">
      <c r="A471" s="1" t="s">
        <v>104</v>
      </c>
      <c r="B471">
        <v>20528.384896866621</v>
      </c>
    </row>
    <row r="472" spans="1:2" hidden="1" x14ac:dyDescent="0.3">
      <c r="A472" s="1" t="s">
        <v>104</v>
      </c>
      <c r="B472">
        <v>20464.250212742911</v>
      </c>
    </row>
    <row r="473" spans="1:2" hidden="1" x14ac:dyDescent="0.3">
      <c r="A473" s="1" t="s">
        <v>104</v>
      </c>
      <c r="B473">
        <v>20359.886454561929</v>
      </c>
    </row>
    <row r="474" spans="1:2" hidden="1" x14ac:dyDescent="0.3">
      <c r="A474" s="1" t="s">
        <v>104</v>
      </c>
      <c r="B474">
        <v>20255.480903035059</v>
      </c>
    </row>
    <row r="475" spans="1:2" hidden="1" x14ac:dyDescent="0.3">
      <c r="A475" s="1" t="s">
        <v>104</v>
      </c>
      <c r="B475">
        <v>20164.757855446402</v>
      </c>
    </row>
    <row r="476" spans="1:2" hidden="1" x14ac:dyDescent="0.3">
      <c r="A476" s="1" t="s">
        <v>104</v>
      </c>
      <c r="B476">
        <v>20074.189375551941</v>
      </c>
    </row>
    <row r="477" spans="1:2" hidden="1" x14ac:dyDescent="0.3">
      <c r="A477" s="1" t="s">
        <v>104</v>
      </c>
      <c r="B477">
        <v>19984.185254396831</v>
      </c>
    </row>
    <row r="478" spans="1:2" hidden="1" x14ac:dyDescent="0.3">
      <c r="A478" s="1" t="s">
        <v>104</v>
      </c>
      <c r="B478">
        <v>19905.568068938181</v>
      </c>
    </row>
    <row r="479" spans="1:2" hidden="1" x14ac:dyDescent="0.3">
      <c r="A479" s="1" t="s">
        <v>104</v>
      </c>
      <c r="B479">
        <v>19826.33926248374</v>
      </c>
    </row>
    <row r="480" spans="1:2" hidden="1" x14ac:dyDescent="0.3">
      <c r="A480" s="1" t="s">
        <v>104</v>
      </c>
      <c r="B480">
        <v>19761.140104902661</v>
      </c>
    </row>
    <row r="481" spans="1:2" hidden="1" x14ac:dyDescent="0.3">
      <c r="A481" s="1" t="s">
        <v>104</v>
      </c>
      <c r="B481">
        <v>19656.441573521912</v>
      </c>
    </row>
    <row r="482" spans="1:2" hidden="1" x14ac:dyDescent="0.3">
      <c r="A482" s="1" t="s">
        <v>104</v>
      </c>
      <c r="B482">
        <v>19551.701126882021</v>
      </c>
    </row>
    <row r="483" spans="1:2" hidden="1" x14ac:dyDescent="0.3">
      <c r="A483" s="1" t="s">
        <v>104</v>
      </c>
      <c r="B483">
        <v>19461.24070781346</v>
      </c>
    </row>
    <row r="484" spans="1:2" hidden="1" x14ac:dyDescent="0.3">
      <c r="A484" s="1" t="s">
        <v>104</v>
      </c>
      <c r="B484">
        <v>19356.416384844681</v>
      </c>
    </row>
    <row r="485" spans="1:2" hidden="1" x14ac:dyDescent="0.3">
      <c r="A485" s="1" t="s">
        <v>104</v>
      </c>
      <c r="B485">
        <v>19263.975100793861</v>
      </c>
    </row>
    <row r="486" spans="1:2" hidden="1" x14ac:dyDescent="0.3">
      <c r="A486" s="1" t="s">
        <v>104</v>
      </c>
      <c r="B486">
        <v>19159.066840373489</v>
      </c>
    </row>
    <row r="487" spans="1:2" hidden="1" x14ac:dyDescent="0.3">
      <c r="A487" s="1" t="s">
        <v>104</v>
      </c>
      <c r="B487">
        <v>19094.44815753794</v>
      </c>
    </row>
    <row r="488" spans="1:2" hidden="1" x14ac:dyDescent="0.3">
      <c r="A488" s="1" t="s">
        <v>104</v>
      </c>
      <c r="B488">
        <v>19003.575804269269</v>
      </c>
    </row>
    <row r="489" spans="1:2" hidden="1" x14ac:dyDescent="0.3">
      <c r="A489" s="1" t="s">
        <v>104</v>
      </c>
      <c r="B489">
        <v>18925.231900558101</v>
      </c>
    </row>
    <row r="490" spans="1:2" hidden="1" x14ac:dyDescent="0.3">
      <c r="A490" s="1" t="s">
        <v>104</v>
      </c>
      <c r="B490">
        <v>18846.837879599901</v>
      </c>
    </row>
    <row r="491" spans="1:2" hidden="1" x14ac:dyDescent="0.3">
      <c r="A491" s="1" t="s">
        <v>104</v>
      </c>
      <c r="B491">
        <v>18767.48431025113</v>
      </c>
    </row>
    <row r="492" spans="1:2" hidden="1" x14ac:dyDescent="0.3">
      <c r="A492" s="1" t="s">
        <v>104</v>
      </c>
      <c r="B492">
        <v>18676.244574210032</v>
      </c>
    </row>
    <row r="493" spans="1:2" hidden="1" x14ac:dyDescent="0.3">
      <c r="A493" s="1" t="s">
        <v>104</v>
      </c>
      <c r="B493">
        <v>18571.04205062702</v>
      </c>
    </row>
    <row r="494" spans="1:2" hidden="1" x14ac:dyDescent="0.3">
      <c r="A494" s="1" t="s">
        <v>104</v>
      </c>
      <c r="B494">
        <v>18478.400226790771</v>
      </c>
    </row>
    <row r="495" spans="1:2" hidden="1" x14ac:dyDescent="0.3">
      <c r="A495" s="1" t="s">
        <v>104</v>
      </c>
      <c r="B495">
        <v>18400.631409681129</v>
      </c>
    </row>
    <row r="496" spans="1:2" hidden="1" x14ac:dyDescent="0.3">
      <c r="A496" s="1" t="s">
        <v>104</v>
      </c>
      <c r="B496">
        <v>18295.302543365549</v>
      </c>
    </row>
    <row r="497" spans="1:2" hidden="1" x14ac:dyDescent="0.3">
      <c r="A497" s="1" t="s">
        <v>104</v>
      </c>
      <c r="B497">
        <v>18202.897597200219</v>
      </c>
    </row>
    <row r="498" spans="1:2" hidden="1" x14ac:dyDescent="0.3">
      <c r="A498" s="1" t="s">
        <v>104</v>
      </c>
      <c r="B498">
        <v>18125.285851511311</v>
      </c>
    </row>
    <row r="499" spans="1:2" hidden="1" x14ac:dyDescent="0.3">
      <c r="A499" s="1" t="s">
        <v>104</v>
      </c>
      <c r="B499">
        <v>18019.830504243331</v>
      </c>
    </row>
    <row r="500" spans="1:2" hidden="1" x14ac:dyDescent="0.3">
      <c r="A500" s="1" t="s">
        <v>104</v>
      </c>
      <c r="B500">
        <v>17927.484572164471</v>
      </c>
    </row>
    <row r="501" spans="1:2" hidden="1" x14ac:dyDescent="0.3">
      <c r="A501" s="1" t="s">
        <v>105</v>
      </c>
      <c r="B501">
        <v>13123.42140417006</v>
      </c>
    </row>
    <row r="502" spans="1:2" hidden="1" x14ac:dyDescent="0.3">
      <c r="A502" s="1" t="s">
        <v>105</v>
      </c>
      <c r="B502">
        <v>13036.02584425496</v>
      </c>
    </row>
    <row r="503" spans="1:2" hidden="1" x14ac:dyDescent="0.3">
      <c r="A503" s="1" t="s">
        <v>105</v>
      </c>
      <c r="B503">
        <v>12946.48750129484</v>
      </c>
    </row>
    <row r="504" spans="1:2" hidden="1" x14ac:dyDescent="0.3">
      <c r="A504" s="1" t="s">
        <v>105</v>
      </c>
      <c r="B504">
        <v>12884.603980444441</v>
      </c>
    </row>
    <row r="505" spans="1:2" hidden="1" x14ac:dyDescent="0.3">
      <c r="A505" s="1" t="s">
        <v>105</v>
      </c>
      <c r="B505">
        <v>12782.558830345321</v>
      </c>
    </row>
    <row r="506" spans="1:2" hidden="1" x14ac:dyDescent="0.3">
      <c r="A506" s="1" t="s">
        <v>105</v>
      </c>
      <c r="B506">
        <v>12693.438819502409</v>
      </c>
    </row>
    <row r="507" spans="1:2" hidden="1" x14ac:dyDescent="0.3">
      <c r="A507" s="1" t="s">
        <v>105</v>
      </c>
      <c r="B507">
        <v>12605.23250683773</v>
      </c>
    </row>
    <row r="508" spans="1:2" hidden="1" x14ac:dyDescent="0.3">
      <c r="A508" s="1" t="s">
        <v>105</v>
      </c>
      <c r="B508">
        <v>12516.21614087343</v>
      </c>
    </row>
    <row r="509" spans="1:2" hidden="1" x14ac:dyDescent="0.3">
      <c r="A509" s="1" t="s">
        <v>105</v>
      </c>
      <c r="B509">
        <v>12428.127103994209</v>
      </c>
    </row>
    <row r="510" spans="1:2" hidden="1" x14ac:dyDescent="0.3">
      <c r="A510" s="1" t="s">
        <v>105</v>
      </c>
      <c r="B510">
        <v>12353.247805081781</v>
      </c>
    </row>
    <row r="511" spans="1:2" hidden="1" x14ac:dyDescent="0.3">
      <c r="A511" s="1" t="s">
        <v>105</v>
      </c>
      <c r="B511">
        <v>12276.899477999699</v>
      </c>
    </row>
    <row r="512" spans="1:2" hidden="1" x14ac:dyDescent="0.3">
      <c r="A512" s="1" t="s">
        <v>105</v>
      </c>
      <c r="B512">
        <v>12200.88136796244</v>
      </c>
    </row>
    <row r="513" spans="1:2" hidden="1" x14ac:dyDescent="0.3">
      <c r="A513" s="1" t="s">
        <v>105</v>
      </c>
      <c r="B513">
        <v>12098.50839470921</v>
      </c>
    </row>
    <row r="514" spans="1:2" hidden="1" x14ac:dyDescent="0.3">
      <c r="A514" s="1" t="s">
        <v>105</v>
      </c>
      <c r="B514">
        <v>12024.14064716706</v>
      </c>
    </row>
    <row r="515" spans="1:2" hidden="1" x14ac:dyDescent="0.3">
      <c r="A515" s="1" t="s">
        <v>105</v>
      </c>
      <c r="B515">
        <v>11934.65163432639</v>
      </c>
    </row>
    <row r="516" spans="1:2" hidden="1" x14ac:dyDescent="0.3">
      <c r="A516" s="1" t="s">
        <v>105</v>
      </c>
      <c r="B516">
        <v>11844.580481670469</v>
      </c>
    </row>
    <row r="517" spans="1:2" hidden="1" x14ac:dyDescent="0.3">
      <c r="A517" s="1" t="s">
        <v>105</v>
      </c>
      <c r="B517">
        <v>11742.04323937928</v>
      </c>
    </row>
    <row r="518" spans="1:2" hidden="1" x14ac:dyDescent="0.3">
      <c r="A518" s="1" t="s">
        <v>105</v>
      </c>
      <c r="B518">
        <v>11667.77599605326</v>
      </c>
    </row>
    <row r="519" spans="1:2" hidden="1" x14ac:dyDescent="0.3">
      <c r="A519" s="1" t="s">
        <v>105</v>
      </c>
      <c r="B519">
        <v>11577.759328345781</v>
      </c>
    </row>
    <row r="520" spans="1:2" hidden="1" x14ac:dyDescent="0.3">
      <c r="A520" s="1" t="s">
        <v>105</v>
      </c>
      <c r="B520">
        <v>11487.881869099059</v>
      </c>
    </row>
    <row r="521" spans="1:2" hidden="1" x14ac:dyDescent="0.3">
      <c r="A521" s="1" t="s">
        <v>105</v>
      </c>
      <c r="B521">
        <v>11385.18011892787</v>
      </c>
    </row>
    <row r="522" spans="1:2" hidden="1" x14ac:dyDescent="0.3">
      <c r="A522" s="1" t="s">
        <v>105</v>
      </c>
      <c r="B522">
        <v>11295.777006868209</v>
      </c>
    </row>
    <row r="523" spans="1:2" hidden="1" x14ac:dyDescent="0.3">
      <c r="A523" s="1" t="s">
        <v>105</v>
      </c>
      <c r="B523">
        <v>11219.338617047069</v>
      </c>
    </row>
    <row r="524" spans="1:2" hidden="1" x14ac:dyDescent="0.3">
      <c r="A524" s="1" t="s">
        <v>105</v>
      </c>
      <c r="B524">
        <v>11143.010085770111</v>
      </c>
    </row>
    <row r="525" spans="1:2" hidden="1" x14ac:dyDescent="0.3">
      <c r="A525" s="1" t="s">
        <v>105</v>
      </c>
      <c r="B525">
        <v>11040.143588471879</v>
      </c>
    </row>
    <row r="526" spans="1:2" hidden="1" x14ac:dyDescent="0.3">
      <c r="A526" s="1" t="s">
        <v>105</v>
      </c>
      <c r="B526">
        <v>10979.741993238111</v>
      </c>
    </row>
    <row r="527" spans="1:2" hidden="1" x14ac:dyDescent="0.3">
      <c r="A527" s="1" t="s">
        <v>105</v>
      </c>
      <c r="B527">
        <v>10890.912938310939</v>
      </c>
    </row>
    <row r="528" spans="1:2" hidden="1" x14ac:dyDescent="0.3">
      <c r="A528" s="1" t="s">
        <v>105</v>
      </c>
      <c r="B528">
        <v>10814.798642174839</v>
      </c>
    </row>
    <row r="529" spans="1:2" hidden="1" x14ac:dyDescent="0.3">
      <c r="A529" s="1" t="s">
        <v>105</v>
      </c>
      <c r="B529">
        <v>10724.550299643581</v>
      </c>
    </row>
    <row r="530" spans="1:2" hidden="1" x14ac:dyDescent="0.3">
      <c r="A530" s="1" t="s">
        <v>105</v>
      </c>
      <c r="B530">
        <v>10633.90253138492</v>
      </c>
    </row>
    <row r="531" spans="1:2" hidden="1" x14ac:dyDescent="0.3">
      <c r="A531" s="1" t="s">
        <v>105</v>
      </c>
      <c r="B531">
        <v>10530.788463930759</v>
      </c>
    </row>
    <row r="532" spans="1:2" hidden="1" x14ac:dyDescent="0.3">
      <c r="A532" s="1" t="s">
        <v>105</v>
      </c>
      <c r="B532">
        <v>10427.63308226506</v>
      </c>
    </row>
    <row r="533" spans="1:2" hidden="1" x14ac:dyDescent="0.3">
      <c r="A533" s="1" t="s">
        <v>105</v>
      </c>
      <c r="B533">
        <v>10365.477016986961</v>
      </c>
    </row>
    <row r="534" spans="1:2" hidden="1" x14ac:dyDescent="0.3">
      <c r="A534" s="1" t="s">
        <v>105</v>
      </c>
      <c r="B534">
        <v>10289.163718569031</v>
      </c>
    </row>
    <row r="535" spans="1:2" hidden="1" x14ac:dyDescent="0.3">
      <c r="A535" s="1" t="s">
        <v>105</v>
      </c>
      <c r="B535">
        <v>10185.884304110899</v>
      </c>
    </row>
    <row r="536" spans="1:2" hidden="1" x14ac:dyDescent="0.3">
      <c r="A536" s="1" t="s">
        <v>105</v>
      </c>
      <c r="B536">
        <v>10096.09420700171</v>
      </c>
    </row>
    <row r="537" spans="1:2" hidden="1" x14ac:dyDescent="0.3">
      <c r="A537" s="1" t="s">
        <v>105</v>
      </c>
      <c r="B537">
        <v>10017.94017036175</v>
      </c>
    </row>
    <row r="538" spans="1:2" hidden="1" x14ac:dyDescent="0.3">
      <c r="A538" s="1" t="s">
        <v>105</v>
      </c>
      <c r="B538">
        <v>9941.6088979753877</v>
      </c>
    </row>
    <row r="539" spans="1:2" hidden="1" x14ac:dyDescent="0.3">
      <c r="A539" s="1" t="s">
        <v>105</v>
      </c>
      <c r="B539">
        <v>9838.1638958550266</v>
      </c>
    </row>
    <row r="540" spans="1:2" hidden="1" x14ac:dyDescent="0.3">
      <c r="A540" s="1" t="s">
        <v>105</v>
      </c>
      <c r="B540">
        <v>9734.6774591687845</v>
      </c>
    </row>
    <row r="541" spans="1:2" hidden="1" x14ac:dyDescent="0.3">
      <c r="A541" s="1" t="s">
        <v>105</v>
      </c>
      <c r="B541">
        <v>9656.7184365888206</v>
      </c>
    </row>
    <row r="542" spans="1:2" hidden="1" x14ac:dyDescent="0.3">
      <c r="A542" s="1" t="s">
        <v>105</v>
      </c>
      <c r="B542">
        <v>9566.8733980485376</v>
      </c>
    </row>
    <row r="543" spans="1:2" hidden="1" x14ac:dyDescent="0.3">
      <c r="A543" s="1" t="s">
        <v>105</v>
      </c>
      <c r="B543">
        <v>9489.0273696516215</v>
      </c>
    </row>
    <row r="544" spans="1:2" hidden="1" x14ac:dyDescent="0.3">
      <c r="A544" s="1" t="s">
        <v>105</v>
      </c>
      <c r="B544">
        <v>9414.4405787489395</v>
      </c>
    </row>
    <row r="545" spans="1:2" hidden="1" x14ac:dyDescent="0.3">
      <c r="A545" s="1" t="s">
        <v>105</v>
      </c>
      <c r="B545">
        <v>9339.1263432595497</v>
      </c>
    </row>
    <row r="546" spans="1:2" hidden="1" x14ac:dyDescent="0.3">
      <c r="A546" s="1" t="s">
        <v>105</v>
      </c>
      <c r="B546">
        <v>9235.3909824277216</v>
      </c>
    </row>
    <row r="547" spans="1:2" hidden="1" x14ac:dyDescent="0.3">
      <c r="A547" s="1" t="s">
        <v>105</v>
      </c>
      <c r="B547">
        <v>9144.7656876393194</v>
      </c>
    </row>
    <row r="548" spans="1:2" hidden="1" x14ac:dyDescent="0.3">
      <c r="A548" s="1" t="s">
        <v>105</v>
      </c>
      <c r="B548">
        <v>9053.5500299168452</v>
      </c>
    </row>
    <row r="549" spans="1:2" hidden="1" x14ac:dyDescent="0.3">
      <c r="A549" s="1" t="s">
        <v>105</v>
      </c>
      <c r="B549">
        <v>8977.7475965269296</v>
      </c>
    </row>
    <row r="550" spans="1:2" hidden="1" x14ac:dyDescent="0.3">
      <c r="A550" s="1" t="s">
        <v>105</v>
      </c>
      <c r="B550">
        <v>8899.2370492336177</v>
      </c>
    </row>
    <row r="551" spans="1:2" hidden="1" x14ac:dyDescent="0.3">
      <c r="A551" s="1" t="s">
        <v>105</v>
      </c>
      <c r="B551">
        <v>8795.2938361235447</v>
      </c>
    </row>
    <row r="552" spans="1:2" hidden="1" x14ac:dyDescent="0.3">
      <c r="A552" s="1" t="s">
        <v>105</v>
      </c>
      <c r="B552">
        <v>8691.3090071553215</v>
      </c>
    </row>
    <row r="553" spans="1:2" hidden="1" x14ac:dyDescent="0.3">
      <c r="A553" s="1" t="s">
        <v>105</v>
      </c>
      <c r="B553">
        <v>8600.0656887217592</v>
      </c>
    </row>
    <row r="554" spans="1:2" hidden="1" x14ac:dyDescent="0.3">
      <c r="A554" s="1" t="s">
        <v>105</v>
      </c>
      <c r="B554">
        <v>8523.2580890163845</v>
      </c>
    </row>
    <row r="555" spans="1:2" hidden="1" x14ac:dyDescent="0.3">
      <c r="A555" s="1" t="s">
        <v>105</v>
      </c>
      <c r="B555">
        <v>8433.470279653644</v>
      </c>
    </row>
    <row r="556" spans="1:2" hidden="1" x14ac:dyDescent="0.3">
      <c r="A556" s="1" t="s">
        <v>105</v>
      </c>
      <c r="B556">
        <v>8355.6459468462745</v>
      </c>
    </row>
    <row r="557" spans="1:2" hidden="1" x14ac:dyDescent="0.3">
      <c r="A557" s="1" t="s">
        <v>105</v>
      </c>
      <c r="B557">
        <v>8277.0294174775318</v>
      </c>
    </row>
    <row r="558" spans="1:2" hidden="1" x14ac:dyDescent="0.3">
      <c r="A558" s="1" t="s">
        <v>105</v>
      </c>
      <c r="B558">
        <v>8172.7945750100298</v>
      </c>
    </row>
    <row r="559" spans="1:2" hidden="1" x14ac:dyDescent="0.3">
      <c r="A559" s="1" t="s">
        <v>105</v>
      </c>
      <c r="B559">
        <v>8081.4840756093099</v>
      </c>
    </row>
    <row r="560" spans="1:2" hidden="1" x14ac:dyDescent="0.3">
      <c r="A560" s="1" t="s">
        <v>105</v>
      </c>
      <c r="B560">
        <v>7977.1657738791446</v>
      </c>
    </row>
    <row r="561" spans="1:2" hidden="1" x14ac:dyDescent="0.3">
      <c r="A561" s="1" t="s">
        <v>105</v>
      </c>
      <c r="B561">
        <v>7929.0138282981679</v>
      </c>
    </row>
    <row r="562" spans="1:2" hidden="1" x14ac:dyDescent="0.3">
      <c r="A562" s="1" t="s">
        <v>105</v>
      </c>
      <c r="B562">
        <v>7838.7319122828076</v>
      </c>
    </row>
    <row r="563" spans="1:2" hidden="1" x14ac:dyDescent="0.3">
      <c r="A563" s="1" t="s">
        <v>105</v>
      </c>
      <c r="B563">
        <v>7759.3161062870768</v>
      </c>
    </row>
    <row r="564" spans="1:2" hidden="1" x14ac:dyDescent="0.3">
      <c r="A564" s="1" t="s">
        <v>105</v>
      </c>
      <c r="B564">
        <v>7654.8307035815633</v>
      </c>
    </row>
    <row r="565" spans="1:2" hidden="1" x14ac:dyDescent="0.3">
      <c r="A565" s="1" t="s">
        <v>105</v>
      </c>
      <c r="B565">
        <v>7563.6432900333384</v>
      </c>
    </row>
    <row r="566" spans="1:2" hidden="1" x14ac:dyDescent="0.3">
      <c r="A566" s="1" t="s">
        <v>105</v>
      </c>
      <c r="B566">
        <v>7459.074245512682</v>
      </c>
    </row>
    <row r="567" spans="1:2" hidden="1" x14ac:dyDescent="0.3">
      <c r="A567" s="1" t="s">
        <v>105</v>
      </c>
      <c r="B567">
        <v>7367.6149634817812</v>
      </c>
    </row>
    <row r="568" spans="1:2" hidden="1" x14ac:dyDescent="0.3">
      <c r="A568" s="1" t="s">
        <v>105</v>
      </c>
      <c r="B568">
        <v>7275.9282812943566</v>
      </c>
    </row>
    <row r="569" spans="1:2" hidden="1" x14ac:dyDescent="0.3">
      <c r="A569" s="1" t="s">
        <v>105</v>
      </c>
      <c r="B569">
        <v>7211.6618177756454</v>
      </c>
    </row>
    <row r="570" spans="1:2" hidden="1" x14ac:dyDescent="0.3">
      <c r="A570" s="1" t="s">
        <v>105</v>
      </c>
      <c r="B570">
        <v>7131.9531053584669</v>
      </c>
    </row>
    <row r="571" spans="1:2" hidden="1" x14ac:dyDescent="0.3">
      <c r="A571" s="1" t="s">
        <v>105</v>
      </c>
      <c r="B571">
        <v>7027.1746895187271</v>
      </c>
    </row>
    <row r="572" spans="1:2" hidden="1" x14ac:dyDescent="0.3">
      <c r="A572" s="1" t="s">
        <v>105</v>
      </c>
      <c r="B572">
        <v>6922.3543536301368</v>
      </c>
    </row>
    <row r="573" spans="1:2" hidden="1" x14ac:dyDescent="0.3">
      <c r="A573" s="1" t="s">
        <v>105</v>
      </c>
      <c r="B573">
        <v>6845.5496758417112</v>
      </c>
    </row>
    <row r="574" spans="1:2" hidden="1" x14ac:dyDescent="0.3">
      <c r="A574" s="1" t="s">
        <v>105</v>
      </c>
      <c r="B574">
        <v>6740.6454540196664</v>
      </c>
    </row>
    <row r="575" spans="1:2" hidden="1" x14ac:dyDescent="0.3">
      <c r="A575" s="1" t="s">
        <v>105</v>
      </c>
      <c r="B575">
        <v>6650.0212243973292</v>
      </c>
    </row>
    <row r="576" spans="1:2" hidden="1" x14ac:dyDescent="0.3">
      <c r="A576" s="1" t="s">
        <v>105</v>
      </c>
      <c r="B576">
        <v>6570.7978579312739</v>
      </c>
    </row>
    <row r="577" spans="1:2" hidden="1" x14ac:dyDescent="0.3">
      <c r="A577" s="1" t="s">
        <v>105</v>
      </c>
      <c r="B577">
        <v>6517.2713040580766</v>
      </c>
    </row>
    <row r="578" spans="1:2" hidden="1" x14ac:dyDescent="0.3">
      <c r="A578" s="1" t="s">
        <v>105</v>
      </c>
      <c r="B578">
        <v>6427.1447559031794</v>
      </c>
    </row>
    <row r="579" spans="1:2" hidden="1" x14ac:dyDescent="0.3">
      <c r="A579" s="1" t="s">
        <v>105</v>
      </c>
      <c r="B579">
        <v>6336.1504573435004</v>
      </c>
    </row>
    <row r="580" spans="1:2" hidden="1" x14ac:dyDescent="0.3">
      <c r="A580" s="1" t="s">
        <v>105</v>
      </c>
      <c r="B580">
        <v>6230.994210565359</v>
      </c>
    </row>
    <row r="581" spans="1:2" hidden="1" x14ac:dyDescent="0.3">
      <c r="A581" s="1" t="s">
        <v>105</v>
      </c>
      <c r="B581">
        <v>6141.1723319101957</v>
      </c>
    </row>
    <row r="582" spans="1:2" hidden="1" x14ac:dyDescent="0.3">
      <c r="A582" s="1" t="s">
        <v>105</v>
      </c>
      <c r="B582">
        <v>6035.9319542580124</v>
      </c>
    </row>
    <row r="583" spans="1:2" hidden="1" x14ac:dyDescent="0.3">
      <c r="A583" s="1" t="s">
        <v>105</v>
      </c>
      <c r="B583">
        <v>5956.7988006633104</v>
      </c>
    </row>
    <row r="584" spans="1:2" hidden="1" x14ac:dyDescent="0.3">
      <c r="A584" s="1" t="s">
        <v>105</v>
      </c>
      <c r="B584">
        <v>5877.9977334010109</v>
      </c>
    </row>
    <row r="585" spans="1:2" hidden="1" x14ac:dyDescent="0.3">
      <c r="A585" s="1" t="s">
        <v>105</v>
      </c>
      <c r="B585">
        <v>5811.9109426956757</v>
      </c>
    </row>
    <row r="586" spans="1:2" hidden="1" x14ac:dyDescent="0.3">
      <c r="A586" s="1" t="s">
        <v>105</v>
      </c>
      <c r="B586">
        <v>5719.6537254056593</v>
      </c>
    </row>
    <row r="587" spans="1:2" hidden="1" x14ac:dyDescent="0.3">
      <c r="A587" s="1" t="s">
        <v>105</v>
      </c>
      <c r="B587">
        <v>5627.5425544413738</v>
      </c>
    </row>
    <row r="588" spans="1:2" hidden="1" x14ac:dyDescent="0.3">
      <c r="A588" s="1" t="s">
        <v>105</v>
      </c>
      <c r="B588">
        <v>5522.049415781571</v>
      </c>
    </row>
    <row r="589" spans="1:2" hidden="1" x14ac:dyDescent="0.3">
      <c r="A589" s="1" t="s">
        <v>105</v>
      </c>
      <c r="B589">
        <v>5431.2488745676092</v>
      </c>
    </row>
    <row r="590" spans="1:2" hidden="1" x14ac:dyDescent="0.3">
      <c r="A590" s="1" t="s">
        <v>105</v>
      </c>
      <c r="B590">
        <v>5354.1423744955491</v>
      </c>
    </row>
    <row r="591" spans="1:2" hidden="1" x14ac:dyDescent="0.3">
      <c r="A591" s="1" t="s">
        <v>105</v>
      </c>
      <c r="B591">
        <v>5248.522647796216</v>
      </c>
    </row>
    <row r="592" spans="1:2" hidden="1" x14ac:dyDescent="0.3">
      <c r="A592" s="1" t="s">
        <v>105</v>
      </c>
      <c r="B592">
        <v>5155.4634929387394</v>
      </c>
    </row>
    <row r="593" spans="1:2" hidden="1" x14ac:dyDescent="0.3">
      <c r="A593" s="1" t="s">
        <v>105</v>
      </c>
      <c r="B593">
        <v>5062.5424387714866</v>
      </c>
    </row>
    <row r="594" spans="1:2" hidden="1" x14ac:dyDescent="0.3">
      <c r="A594" s="1" t="s">
        <v>105</v>
      </c>
      <c r="B594">
        <v>4969.762050544924</v>
      </c>
    </row>
    <row r="595" spans="1:2" hidden="1" x14ac:dyDescent="0.3">
      <c r="A595" s="1" t="s">
        <v>105</v>
      </c>
      <c r="B595">
        <v>4878.2952822784973</v>
      </c>
    </row>
    <row r="596" spans="1:2" hidden="1" x14ac:dyDescent="0.3">
      <c r="A596" s="1" t="s">
        <v>105</v>
      </c>
      <c r="B596">
        <v>4811.7651862052389</v>
      </c>
    </row>
    <row r="597" spans="1:2" hidden="1" x14ac:dyDescent="0.3">
      <c r="A597" s="1" t="s">
        <v>105</v>
      </c>
      <c r="B597">
        <v>4777.2288092653371</v>
      </c>
    </row>
    <row r="598" spans="1:2" hidden="1" x14ac:dyDescent="0.3">
      <c r="A598" s="1" t="s">
        <v>105</v>
      </c>
      <c r="B598">
        <v>4671.3131712149934</v>
      </c>
    </row>
    <row r="599" spans="1:2" hidden="1" x14ac:dyDescent="0.3">
      <c r="A599" s="1" t="s">
        <v>105</v>
      </c>
      <c r="B599">
        <v>4577.9579970337691</v>
      </c>
    </row>
    <row r="600" spans="1:2" hidden="1" x14ac:dyDescent="0.3">
      <c r="A600" s="1" t="s">
        <v>105</v>
      </c>
      <c r="B600">
        <v>4498.6615195094801</v>
      </c>
    </row>
    <row r="601" spans="1:2" hidden="1" x14ac:dyDescent="0.3">
      <c r="A601" s="1" t="s">
        <v>106</v>
      </c>
      <c r="B601">
        <v>12226.653546413319</v>
      </c>
    </row>
    <row r="602" spans="1:2" hidden="1" x14ac:dyDescent="0.3">
      <c r="A602" s="1" t="s">
        <v>106</v>
      </c>
      <c r="B602">
        <v>12031.611211412041</v>
      </c>
    </row>
    <row r="603" spans="1:2" hidden="1" x14ac:dyDescent="0.3">
      <c r="A603" s="1" t="s">
        <v>106</v>
      </c>
      <c r="B603">
        <v>11868.633751965721</v>
      </c>
    </row>
    <row r="604" spans="1:2" hidden="1" x14ac:dyDescent="0.3">
      <c r="A604" s="1" t="s">
        <v>106</v>
      </c>
      <c r="B604">
        <v>11673.19016284893</v>
      </c>
    </row>
    <row r="605" spans="1:2" hidden="1" x14ac:dyDescent="0.3">
      <c r="A605" s="1" t="s">
        <v>106</v>
      </c>
      <c r="B605">
        <v>11463.825869748871</v>
      </c>
    </row>
    <row r="606" spans="1:2" hidden="1" x14ac:dyDescent="0.3">
      <c r="A606" s="1" t="s">
        <v>106</v>
      </c>
      <c r="B606">
        <v>11301.049679637141</v>
      </c>
    </row>
    <row r="607" spans="1:2" hidden="1" x14ac:dyDescent="0.3">
      <c r="A607" s="1" t="s">
        <v>106</v>
      </c>
      <c r="B607">
        <v>11119.529604816589</v>
      </c>
    </row>
    <row r="608" spans="1:2" hidden="1" x14ac:dyDescent="0.3">
      <c r="A608" s="1" t="s">
        <v>106</v>
      </c>
      <c r="B608">
        <v>10923.131376817861</v>
      </c>
    </row>
    <row r="609" spans="1:2" hidden="1" x14ac:dyDescent="0.3">
      <c r="A609" s="1" t="s">
        <v>106</v>
      </c>
      <c r="B609">
        <v>10771.875921505311</v>
      </c>
    </row>
    <row r="610" spans="1:2" hidden="1" x14ac:dyDescent="0.3">
      <c r="A610" s="1" t="s">
        <v>106</v>
      </c>
      <c r="B610">
        <v>10592.12706054419</v>
      </c>
    </row>
    <row r="611" spans="1:2" hidden="1" x14ac:dyDescent="0.3">
      <c r="A611" s="1" t="s">
        <v>106</v>
      </c>
      <c r="B611">
        <v>10398.13919333708</v>
      </c>
    </row>
    <row r="612" spans="1:2" hidden="1" x14ac:dyDescent="0.3">
      <c r="A612" s="1" t="s">
        <v>106</v>
      </c>
      <c r="B612">
        <v>10217.83163640662</v>
      </c>
    </row>
    <row r="613" spans="1:2" hidden="1" x14ac:dyDescent="0.3">
      <c r="A613" s="1" t="s">
        <v>106</v>
      </c>
      <c r="B613">
        <v>10024.06380200994</v>
      </c>
    </row>
    <row r="614" spans="1:2" hidden="1" x14ac:dyDescent="0.3">
      <c r="A614" s="1" t="s">
        <v>106</v>
      </c>
      <c r="B614">
        <v>9844.2762158205642</v>
      </c>
    </row>
    <row r="615" spans="1:2" hidden="1" x14ac:dyDescent="0.3">
      <c r="A615" s="1" t="s">
        <v>106</v>
      </c>
      <c r="B615">
        <v>9663.7782557650935</v>
      </c>
    </row>
    <row r="616" spans="1:2" hidden="1" x14ac:dyDescent="0.3">
      <c r="A616" s="1" t="s">
        <v>106</v>
      </c>
      <c r="B616">
        <v>9470.2336027933361</v>
      </c>
    </row>
    <row r="617" spans="1:2" hidden="1" x14ac:dyDescent="0.3">
      <c r="A617" s="1" t="s">
        <v>106</v>
      </c>
      <c r="B617">
        <v>9289.1804132214766</v>
      </c>
    </row>
    <row r="618" spans="1:2" hidden="1" x14ac:dyDescent="0.3">
      <c r="A618" s="1" t="s">
        <v>106</v>
      </c>
      <c r="B618">
        <v>9137.5216988687826</v>
      </c>
    </row>
    <row r="619" spans="1:2" hidden="1" x14ac:dyDescent="0.3">
      <c r="A619" s="1" t="s">
        <v>106</v>
      </c>
      <c r="B619">
        <v>8957.2581441640996</v>
      </c>
    </row>
    <row r="620" spans="1:2" hidden="1" x14ac:dyDescent="0.3">
      <c r="A620" s="1" t="s">
        <v>106</v>
      </c>
      <c r="B620">
        <v>8778.2250878382438</v>
      </c>
    </row>
    <row r="621" spans="1:2" hidden="1" x14ac:dyDescent="0.3">
      <c r="A621" s="1" t="s">
        <v>106</v>
      </c>
      <c r="B621">
        <v>8597.3318099618136</v>
      </c>
    </row>
    <row r="622" spans="1:2" hidden="1" x14ac:dyDescent="0.3">
      <c r="A622" s="1" t="s">
        <v>106</v>
      </c>
      <c r="B622">
        <v>8402.2894749605312</v>
      </c>
    </row>
    <row r="623" spans="1:2" hidden="1" x14ac:dyDescent="0.3">
      <c r="A623" s="1" t="s">
        <v>106</v>
      </c>
      <c r="B623">
        <v>8223.6904510501063</v>
      </c>
    </row>
    <row r="624" spans="1:2" hidden="1" x14ac:dyDescent="0.3">
      <c r="A624" s="1" t="s">
        <v>106</v>
      </c>
      <c r="B624">
        <v>8027.6659603990101</v>
      </c>
    </row>
    <row r="625" spans="1:2" hidden="1" x14ac:dyDescent="0.3">
      <c r="A625" s="1" t="s">
        <v>106</v>
      </c>
      <c r="B625">
        <v>7849.7367942657183</v>
      </c>
    </row>
    <row r="626" spans="1:2" hidden="1" x14ac:dyDescent="0.3">
      <c r="A626" s="1" t="s">
        <v>106</v>
      </c>
      <c r="B626">
        <v>7682.6356961431802</v>
      </c>
    </row>
    <row r="627" spans="1:2" hidden="1" x14ac:dyDescent="0.3">
      <c r="A627" s="1" t="s">
        <v>106</v>
      </c>
      <c r="B627">
        <v>7501.3289964688556</v>
      </c>
    </row>
    <row r="628" spans="1:2" hidden="1" x14ac:dyDescent="0.3">
      <c r="A628" s="1" t="s">
        <v>106</v>
      </c>
      <c r="B628">
        <v>7321.6810678492429</v>
      </c>
    </row>
    <row r="629" spans="1:2" hidden="1" x14ac:dyDescent="0.3">
      <c r="A629" s="1" t="s">
        <v>106</v>
      </c>
      <c r="B629">
        <v>7143.0975680436441</v>
      </c>
    </row>
    <row r="630" spans="1:2" hidden="1" x14ac:dyDescent="0.3">
      <c r="A630" s="1" t="s">
        <v>106</v>
      </c>
      <c r="B630">
        <v>6949.5529150718876</v>
      </c>
    </row>
    <row r="631" spans="1:2" hidden="1" x14ac:dyDescent="0.3">
      <c r="A631" s="1" t="s">
        <v>106</v>
      </c>
      <c r="B631">
        <v>6768.8585635355876</v>
      </c>
    </row>
    <row r="632" spans="1:2" hidden="1" x14ac:dyDescent="0.3">
      <c r="A632" s="1" t="s">
        <v>106</v>
      </c>
      <c r="B632">
        <v>6573.8162285343087</v>
      </c>
    </row>
    <row r="633" spans="1:2" hidden="1" x14ac:dyDescent="0.3">
      <c r="A633" s="1" t="s">
        <v>106</v>
      </c>
      <c r="B633">
        <v>6421.6414672961664</v>
      </c>
    </row>
    <row r="634" spans="1:2" hidden="1" x14ac:dyDescent="0.3">
      <c r="A634" s="1" t="s">
        <v>106</v>
      </c>
      <c r="B634">
        <v>6227.6536000890592</v>
      </c>
    </row>
    <row r="635" spans="1:2" hidden="1" x14ac:dyDescent="0.3">
      <c r="A635" s="1" t="s">
        <v>106</v>
      </c>
      <c r="B635">
        <v>6033.8857656923756</v>
      </c>
    </row>
    <row r="636" spans="1:2" hidden="1" x14ac:dyDescent="0.3">
      <c r="A636" s="1" t="s">
        <v>106</v>
      </c>
      <c r="B636">
        <v>5855.0943895546161</v>
      </c>
    </row>
    <row r="637" spans="1:2" hidden="1" x14ac:dyDescent="0.3">
      <c r="A637" s="1" t="s">
        <v>106</v>
      </c>
      <c r="B637">
        <v>5659.6508004378193</v>
      </c>
    </row>
    <row r="638" spans="1:2" hidden="1" x14ac:dyDescent="0.3">
      <c r="A638" s="1" t="s">
        <v>106</v>
      </c>
      <c r="B638">
        <v>5506.9638695274934</v>
      </c>
    </row>
    <row r="639" spans="1:2" hidden="1" x14ac:dyDescent="0.3">
      <c r="A639" s="1" t="s">
        <v>106</v>
      </c>
      <c r="B639">
        <v>5326.6651112658456</v>
      </c>
    </row>
    <row r="640" spans="1:2" hidden="1" x14ac:dyDescent="0.3">
      <c r="A640" s="1" t="s">
        <v>106</v>
      </c>
      <c r="B640">
        <v>5147.1071395428125</v>
      </c>
    </row>
    <row r="641" spans="1:2" hidden="1" x14ac:dyDescent="0.3">
      <c r="A641" s="1" t="s">
        <v>106</v>
      </c>
      <c r="B641">
        <v>4982.6007277112631</v>
      </c>
    </row>
    <row r="642" spans="1:2" hidden="1" x14ac:dyDescent="0.3">
      <c r="A642" s="1" t="s">
        <v>106</v>
      </c>
      <c r="B642">
        <v>4802.5572058170001</v>
      </c>
    </row>
    <row r="643" spans="1:2" hidden="1" x14ac:dyDescent="0.3">
      <c r="A643" s="1" t="s">
        <v>106</v>
      </c>
      <c r="B643">
        <v>4608.0390365003377</v>
      </c>
    </row>
    <row r="644" spans="1:2" hidden="1" x14ac:dyDescent="0.3">
      <c r="A644" s="1" t="s">
        <v>106</v>
      </c>
      <c r="B644">
        <v>4327.8475639645621</v>
      </c>
    </row>
    <row r="645" spans="1:2" hidden="1" x14ac:dyDescent="0.3">
      <c r="A645" s="1" t="s">
        <v>106</v>
      </c>
      <c r="B645">
        <v>4102.4917459534863</v>
      </c>
    </row>
    <row r="646" spans="1:2" hidden="1" x14ac:dyDescent="0.3">
      <c r="A646" s="1" t="s">
        <v>106</v>
      </c>
      <c r="B646">
        <v>3856.044393471816</v>
      </c>
    </row>
    <row r="647" spans="1:2" hidden="1" x14ac:dyDescent="0.3">
      <c r="A647" s="1" t="s">
        <v>106</v>
      </c>
      <c r="B647">
        <v>3575.852920936034</v>
      </c>
    </row>
    <row r="648" spans="1:2" hidden="1" x14ac:dyDescent="0.3">
      <c r="A648" s="1" t="s">
        <v>106</v>
      </c>
      <c r="B648">
        <v>3384.691968851107</v>
      </c>
    </row>
    <row r="649" spans="1:2" hidden="1" x14ac:dyDescent="0.3">
      <c r="A649" s="1" t="s">
        <v>106</v>
      </c>
      <c r="B649">
        <v>3202.2364647372401</v>
      </c>
    </row>
    <row r="650" spans="1:2" hidden="1" x14ac:dyDescent="0.3">
      <c r="A650" s="1" t="s">
        <v>106</v>
      </c>
      <c r="B650">
        <v>2948.5524462455269</v>
      </c>
    </row>
    <row r="651" spans="1:2" hidden="1" x14ac:dyDescent="0.3">
      <c r="A651" s="1" t="s">
        <v>106</v>
      </c>
      <c r="B651">
        <v>2692.7595268066402</v>
      </c>
    </row>
    <row r="652" spans="1:2" hidden="1" x14ac:dyDescent="0.3">
      <c r="A652" s="1" t="s">
        <v>106</v>
      </c>
      <c r="B652">
        <v>2426.7600047414189</v>
      </c>
    </row>
    <row r="653" spans="1:2" hidden="1" x14ac:dyDescent="0.3">
      <c r="A653" s="1" t="s">
        <v>106</v>
      </c>
      <c r="B653">
        <v>2136.545542975744</v>
      </c>
    </row>
    <row r="654" spans="1:2" hidden="1" x14ac:dyDescent="0.3">
      <c r="A654" s="1" t="s">
        <v>106</v>
      </c>
      <c r="B654">
        <v>1833.179474958665</v>
      </c>
    </row>
    <row r="655" spans="1:2" hidden="1" x14ac:dyDescent="0.3">
      <c r="A655" s="1" t="s">
        <v>106</v>
      </c>
      <c r="B655">
        <v>1625.815726768692</v>
      </c>
    </row>
    <row r="656" spans="1:2" hidden="1" x14ac:dyDescent="0.3">
      <c r="A656" s="1" t="s">
        <v>106</v>
      </c>
      <c r="B656">
        <v>1435.6619249194159</v>
      </c>
    </row>
    <row r="657" spans="1:2" hidden="1" x14ac:dyDescent="0.3">
      <c r="A657" s="1" t="s">
        <v>106</v>
      </c>
      <c r="B657">
        <v>1191.4367338216809</v>
      </c>
    </row>
    <row r="658" spans="1:2" hidden="1" x14ac:dyDescent="0.3">
      <c r="A658" s="1" t="s">
        <v>106</v>
      </c>
      <c r="B658">
        <v>924.202540831222</v>
      </c>
    </row>
    <row r="659" spans="1:2" hidden="1" x14ac:dyDescent="0.3">
      <c r="A659" s="1" t="s">
        <v>106</v>
      </c>
      <c r="B659">
        <v>656.80101161262019</v>
      </c>
    </row>
    <row r="660" spans="1:2" hidden="1" x14ac:dyDescent="0.3">
      <c r="A660" s="1" t="s">
        <v>106</v>
      </c>
      <c r="B660">
        <v>351.9564147013898</v>
      </c>
    </row>
    <row r="661" spans="1:2" hidden="1" x14ac:dyDescent="0.3">
      <c r="A661" s="1" t="s">
        <v>106</v>
      </c>
      <c r="B661">
        <v>82.423132015514966</v>
      </c>
    </row>
    <row r="662" spans="1:2" hidden="1" x14ac:dyDescent="0.3">
      <c r="A662" s="1" t="s">
        <v>106</v>
      </c>
      <c r="B662">
        <v>-176.09616203841961</v>
      </c>
    </row>
    <row r="663" spans="1:2" hidden="1" x14ac:dyDescent="0.3">
      <c r="A663" s="1" t="s">
        <v>106</v>
      </c>
      <c r="B663">
        <v>-421.27065421821322</v>
      </c>
    </row>
    <row r="664" spans="1:2" hidden="1" x14ac:dyDescent="0.3">
      <c r="A664" s="1" t="s">
        <v>106</v>
      </c>
      <c r="B664">
        <v>-576.76148099743523</v>
      </c>
    </row>
    <row r="665" spans="1:2" hidden="1" x14ac:dyDescent="0.3">
      <c r="A665" s="1" t="s">
        <v>106</v>
      </c>
      <c r="B665">
        <v>-863.5197246623693</v>
      </c>
    </row>
    <row r="666" spans="1:2" hidden="1" x14ac:dyDescent="0.3">
      <c r="A666" s="1" t="s">
        <v>106</v>
      </c>
      <c r="B666">
        <v>-1150.131907518653</v>
      </c>
    </row>
    <row r="667" spans="1:2" hidden="1" x14ac:dyDescent="0.3">
      <c r="A667" s="1" t="s">
        <v>106</v>
      </c>
      <c r="B667">
        <v>-1424.280167017027</v>
      </c>
    </row>
    <row r="668" spans="1:2" hidden="1" x14ac:dyDescent="0.3">
      <c r="A668" s="1" t="s">
        <v>106</v>
      </c>
      <c r="B668">
        <v>-1723.1266838073011</v>
      </c>
    </row>
    <row r="669" spans="1:2" hidden="1" x14ac:dyDescent="0.3">
      <c r="A669" s="1" t="s">
        <v>106</v>
      </c>
      <c r="B669">
        <v>-1988.7125966217329</v>
      </c>
    </row>
    <row r="670" spans="1:2" hidden="1" x14ac:dyDescent="0.3">
      <c r="A670" s="1" t="s">
        <v>106</v>
      </c>
      <c r="B670">
        <v>-2225.782388103054</v>
      </c>
    </row>
    <row r="671" spans="1:2" hidden="1" x14ac:dyDescent="0.3">
      <c r="A671" s="1" t="s">
        <v>106</v>
      </c>
      <c r="B671">
        <v>-2530.2181422081098</v>
      </c>
    </row>
    <row r="672" spans="1:2" hidden="1" x14ac:dyDescent="0.3">
      <c r="A672" s="1" t="s">
        <v>106</v>
      </c>
      <c r="B672">
        <v>-2800.6787217356659</v>
      </c>
    </row>
    <row r="673" spans="1:2" hidden="1" x14ac:dyDescent="0.3">
      <c r="A673" s="1" t="s">
        <v>106</v>
      </c>
      <c r="B673">
        <v>-3012.7358419271031</v>
      </c>
    </row>
    <row r="674" spans="1:2" hidden="1" x14ac:dyDescent="0.3">
      <c r="A674" s="1" t="s">
        <v>106</v>
      </c>
      <c r="B674">
        <v>-3314.467977318297</v>
      </c>
    </row>
    <row r="675" spans="1:2" hidden="1" x14ac:dyDescent="0.3">
      <c r="A675" s="1" t="s">
        <v>106</v>
      </c>
      <c r="B675">
        <v>-3626.3512816682919</v>
      </c>
    </row>
    <row r="676" spans="1:2" hidden="1" x14ac:dyDescent="0.3">
      <c r="A676" s="1" t="s">
        <v>106</v>
      </c>
      <c r="B676">
        <v>-3895.7291159481142</v>
      </c>
    </row>
    <row r="677" spans="1:2" hidden="1" x14ac:dyDescent="0.3">
      <c r="A677" s="1" t="s">
        <v>106</v>
      </c>
      <c r="B677">
        <v>-4231.8070897990001</v>
      </c>
    </row>
    <row r="678" spans="1:2" hidden="1" x14ac:dyDescent="0.3">
      <c r="A678" s="1" t="s">
        <v>106</v>
      </c>
      <c r="B678">
        <v>-4560.9420072925041</v>
      </c>
    </row>
    <row r="679" spans="1:2" hidden="1" x14ac:dyDescent="0.3">
      <c r="A679" s="1" t="s">
        <v>106</v>
      </c>
      <c r="B679">
        <v>-4825.2528326158344</v>
      </c>
    </row>
    <row r="680" spans="1:2" hidden="1" x14ac:dyDescent="0.3">
      <c r="A680" s="1" t="s">
        <v>106</v>
      </c>
      <c r="B680">
        <v>-5061.5362252368705</v>
      </c>
    </row>
    <row r="681" spans="1:2" hidden="1" x14ac:dyDescent="0.3">
      <c r="A681" s="1" t="s">
        <v>106</v>
      </c>
      <c r="B681">
        <v>-5350.2268270436361</v>
      </c>
    </row>
    <row r="682" spans="1:2" hidden="1" x14ac:dyDescent="0.3">
      <c r="A682" s="1" t="s">
        <v>106</v>
      </c>
      <c r="B682">
        <v>-5636.7020905562686</v>
      </c>
    </row>
    <row r="683" spans="1:2" hidden="1" x14ac:dyDescent="0.3">
      <c r="A683" s="1" t="s">
        <v>106</v>
      </c>
      <c r="B683">
        <v>-5956.6393156785598</v>
      </c>
    </row>
    <row r="684" spans="1:2" hidden="1" x14ac:dyDescent="0.3">
      <c r="A684" s="1" t="s">
        <v>106</v>
      </c>
      <c r="B684">
        <v>-6331.9516406434404</v>
      </c>
    </row>
    <row r="685" spans="1:2" hidden="1" x14ac:dyDescent="0.3">
      <c r="A685" s="1" t="s">
        <v>106</v>
      </c>
      <c r="B685">
        <v>-6674.6581648695992</v>
      </c>
    </row>
    <row r="686" spans="1:2" hidden="1" x14ac:dyDescent="0.3">
      <c r="A686" s="1" t="s">
        <v>106</v>
      </c>
      <c r="B686">
        <v>-6942.9657803634236</v>
      </c>
    </row>
    <row r="687" spans="1:2" hidden="1" x14ac:dyDescent="0.3">
      <c r="A687" s="1" t="s">
        <v>106</v>
      </c>
      <c r="B687">
        <v>-7212.8251323059849</v>
      </c>
    </row>
    <row r="688" spans="1:2" hidden="1" x14ac:dyDescent="0.3">
      <c r="A688" s="1" t="s">
        <v>106</v>
      </c>
      <c r="B688">
        <v>-7424.1302039493676</v>
      </c>
    </row>
    <row r="689" spans="1:2" hidden="1" x14ac:dyDescent="0.3">
      <c r="A689" s="1" t="s">
        <v>106</v>
      </c>
      <c r="B689">
        <v>-7757.3561976462179</v>
      </c>
    </row>
    <row r="690" spans="1:2" hidden="1" x14ac:dyDescent="0.3">
      <c r="A690" s="1" t="s">
        <v>106</v>
      </c>
      <c r="B690">
        <v>-8136.3088402570474</v>
      </c>
    </row>
    <row r="691" spans="1:2" hidden="1" x14ac:dyDescent="0.3">
      <c r="A691" s="1" t="s">
        <v>106</v>
      </c>
      <c r="B691">
        <v>-8502.4783413262321</v>
      </c>
    </row>
    <row r="692" spans="1:2" hidden="1" x14ac:dyDescent="0.3">
      <c r="A692" s="1" t="s">
        <v>106</v>
      </c>
      <c r="B692">
        <v>-8783.3573500292405</v>
      </c>
    </row>
    <row r="693" spans="1:2" hidden="1" x14ac:dyDescent="0.3">
      <c r="A693" s="1" t="s">
        <v>106</v>
      </c>
      <c r="B693">
        <v>-9070.8860703647497</v>
      </c>
    </row>
    <row r="694" spans="1:2" hidden="1" x14ac:dyDescent="0.3">
      <c r="A694" s="1" t="s">
        <v>106</v>
      </c>
      <c r="B694">
        <v>-9333.2792178917207</v>
      </c>
    </row>
    <row r="695" spans="1:2" hidden="1" x14ac:dyDescent="0.3">
      <c r="A695" s="1" t="s">
        <v>106</v>
      </c>
      <c r="B695">
        <v>-9634.0627812183848</v>
      </c>
    </row>
    <row r="696" spans="1:2" hidden="1" x14ac:dyDescent="0.3">
      <c r="A696" s="1" t="s">
        <v>106</v>
      </c>
      <c r="B696">
        <v>-9970.8739810745828</v>
      </c>
    </row>
    <row r="697" spans="1:2" hidden="1" x14ac:dyDescent="0.3">
      <c r="A697" s="1" t="s">
        <v>106</v>
      </c>
      <c r="B697">
        <v>-10348.13494062374</v>
      </c>
    </row>
    <row r="698" spans="1:2" hidden="1" x14ac:dyDescent="0.3">
      <c r="A698" s="1" t="s">
        <v>106</v>
      </c>
      <c r="B698">
        <v>-10658.004540084719</v>
      </c>
    </row>
    <row r="699" spans="1:2" hidden="1" x14ac:dyDescent="0.3">
      <c r="A699" s="1" t="s">
        <v>106</v>
      </c>
      <c r="B699">
        <v>-11005.173686743819</v>
      </c>
    </row>
    <row r="700" spans="1:2" hidden="1" x14ac:dyDescent="0.3">
      <c r="A700" s="1" t="s">
        <v>106</v>
      </c>
      <c r="B700">
        <v>-11270.26503451572</v>
      </c>
    </row>
    <row r="701" spans="1:2" hidden="1" x14ac:dyDescent="0.3">
      <c r="A701" s="1" t="s">
        <v>107</v>
      </c>
      <c r="B701">
        <v>20948.91809882304</v>
      </c>
    </row>
    <row r="702" spans="1:2" hidden="1" x14ac:dyDescent="0.3">
      <c r="A702" s="1" t="s">
        <v>107</v>
      </c>
      <c r="B702">
        <v>20991.108085863489</v>
      </c>
    </row>
    <row r="703" spans="1:2" hidden="1" x14ac:dyDescent="0.3">
      <c r="A703" s="1" t="s">
        <v>107</v>
      </c>
      <c r="B703">
        <v>21033.410559212829</v>
      </c>
    </row>
    <row r="704" spans="1:2" hidden="1" x14ac:dyDescent="0.3">
      <c r="A704" s="1" t="s">
        <v>107</v>
      </c>
      <c r="B704">
        <v>21075.825835388321</v>
      </c>
    </row>
    <row r="705" spans="1:2" hidden="1" x14ac:dyDescent="0.3">
      <c r="A705" s="1" t="s">
        <v>107</v>
      </c>
      <c r="B705">
        <v>21118.35423178734</v>
      </c>
    </row>
    <row r="706" spans="1:2" hidden="1" x14ac:dyDescent="0.3">
      <c r="A706" s="1" t="s">
        <v>107</v>
      </c>
      <c r="B706">
        <v>21136.095915761722</v>
      </c>
    </row>
    <row r="707" spans="1:2" hidden="1" x14ac:dyDescent="0.3">
      <c r="A707" s="1" t="s">
        <v>107</v>
      </c>
      <c r="B707">
        <v>21178.841459956649</v>
      </c>
    </row>
    <row r="708" spans="1:2" hidden="1" x14ac:dyDescent="0.3">
      <c r="A708" s="1" t="s">
        <v>107</v>
      </c>
      <c r="B708">
        <v>21221.701075802612</v>
      </c>
    </row>
    <row r="709" spans="1:2" hidden="1" x14ac:dyDescent="0.3">
      <c r="A709" s="1" t="s">
        <v>107</v>
      </c>
      <c r="B709">
        <v>21252.109193769931</v>
      </c>
    </row>
    <row r="710" spans="1:2" hidden="1" x14ac:dyDescent="0.3">
      <c r="A710" s="1" t="s">
        <v>107</v>
      </c>
      <c r="B710">
        <v>21282.732675577419</v>
      </c>
    </row>
    <row r="711" spans="1:2" hidden="1" x14ac:dyDescent="0.3">
      <c r="A711" s="1" t="s">
        <v>107</v>
      </c>
      <c r="B711">
        <v>21325.916203227309</v>
      </c>
    </row>
    <row r="712" spans="1:2" hidden="1" x14ac:dyDescent="0.3">
      <c r="A712" s="1" t="s">
        <v>107</v>
      </c>
      <c r="B712">
        <v>21369.21507024132</v>
      </c>
    </row>
    <row r="713" spans="1:2" hidden="1" x14ac:dyDescent="0.3">
      <c r="A713" s="1" t="s">
        <v>107</v>
      </c>
      <c r="B713">
        <v>21400.053647241821</v>
      </c>
    </row>
    <row r="714" spans="1:2" hidden="1" x14ac:dyDescent="0.3">
      <c r="A714" s="1" t="s">
        <v>107</v>
      </c>
      <c r="B714">
        <v>21443.57152197506</v>
      </c>
    </row>
    <row r="715" spans="1:2" hidden="1" x14ac:dyDescent="0.3">
      <c r="A715" s="1" t="s">
        <v>107</v>
      </c>
      <c r="B715">
        <v>21487.205702108731</v>
      </c>
    </row>
    <row r="716" spans="1:2" hidden="1" x14ac:dyDescent="0.3">
      <c r="A716" s="1" t="s">
        <v>107</v>
      </c>
      <c r="B716">
        <v>21530.956514848389</v>
      </c>
    </row>
    <row r="717" spans="1:2" hidden="1" x14ac:dyDescent="0.3">
      <c r="A717" s="1" t="s">
        <v>107</v>
      </c>
      <c r="B717">
        <v>21574.82428830834</v>
      </c>
    </row>
    <row r="718" spans="1:2" hidden="1" x14ac:dyDescent="0.3">
      <c r="A718" s="1" t="s">
        <v>107</v>
      </c>
      <c r="B718">
        <v>21606.299077868789</v>
      </c>
    </row>
    <row r="719" spans="1:2" hidden="1" x14ac:dyDescent="0.3">
      <c r="A719" s="1" t="s">
        <v>107</v>
      </c>
      <c r="B719">
        <v>21637.60658368851</v>
      </c>
    </row>
    <row r="720" spans="1:2" hidden="1" x14ac:dyDescent="0.3">
      <c r="A720" s="1" t="s">
        <v>107</v>
      </c>
      <c r="B720">
        <v>21668.7935992934</v>
      </c>
    </row>
    <row r="721" spans="1:2" hidden="1" x14ac:dyDescent="0.3">
      <c r="A721" s="1" t="s">
        <v>107</v>
      </c>
      <c r="B721">
        <v>21700.140598818762</v>
      </c>
    </row>
    <row r="722" spans="1:2" hidden="1" x14ac:dyDescent="0.3">
      <c r="A722" s="1" t="s">
        <v>107</v>
      </c>
      <c r="B722">
        <v>21744.5150619216</v>
      </c>
    </row>
    <row r="723" spans="1:2" hidden="1" x14ac:dyDescent="0.3">
      <c r="A723" s="1" t="s">
        <v>107</v>
      </c>
      <c r="B723">
        <v>21775.7895486663</v>
      </c>
    </row>
    <row r="724" spans="1:2" hidden="1" x14ac:dyDescent="0.3">
      <c r="A724" s="1" t="s">
        <v>107</v>
      </c>
      <c r="B724">
        <v>21820.364774606751</v>
      </c>
    </row>
    <row r="725" spans="1:2" hidden="1" x14ac:dyDescent="0.3">
      <c r="A725" s="1" t="s">
        <v>107</v>
      </c>
      <c r="B725">
        <v>21852.453231252279</v>
      </c>
    </row>
    <row r="726" spans="1:2" hidden="1" x14ac:dyDescent="0.3">
      <c r="A726" s="1" t="s">
        <v>107</v>
      </c>
      <c r="B726">
        <v>21884.83495678812</v>
      </c>
    </row>
    <row r="727" spans="1:2" hidden="1" x14ac:dyDescent="0.3">
      <c r="A727" s="1" t="s">
        <v>107</v>
      </c>
      <c r="B727">
        <v>21916.940988328701</v>
      </c>
    </row>
    <row r="728" spans="1:2" hidden="1" x14ac:dyDescent="0.3">
      <c r="A728" s="1" t="s">
        <v>107</v>
      </c>
      <c r="B728">
        <v>21961.972712441409</v>
      </c>
    </row>
    <row r="729" spans="1:2" hidden="1" x14ac:dyDescent="0.3">
      <c r="A729" s="1" t="s">
        <v>107</v>
      </c>
      <c r="B729">
        <v>22007.125141975121</v>
      </c>
    </row>
    <row r="730" spans="1:2" hidden="1" x14ac:dyDescent="0.3">
      <c r="A730" s="1" t="s">
        <v>107</v>
      </c>
      <c r="B730">
        <v>22052.39861658038</v>
      </c>
    </row>
    <row r="731" spans="1:2" hidden="1" x14ac:dyDescent="0.3">
      <c r="A731" s="1" t="s">
        <v>107</v>
      </c>
      <c r="B731">
        <v>22085.293364054149</v>
      </c>
    </row>
    <row r="732" spans="1:2" hidden="1" x14ac:dyDescent="0.3">
      <c r="A732" s="1" t="s">
        <v>107</v>
      </c>
      <c r="B732">
        <v>22118.069060275771</v>
      </c>
    </row>
    <row r="733" spans="1:2" hidden="1" x14ac:dyDescent="0.3">
      <c r="A733" s="1" t="s">
        <v>107</v>
      </c>
      <c r="B733">
        <v>22163.69500671007</v>
      </c>
    </row>
    <row r="734" spans="1:2" hidden="1" x14ac:dyDescent="0.3">
      <c r="A734" s="1" t="s">
        <v>107</v>
      </c>
      <c r="B734">
        <v>22209.443360134839</v>
      </c>
    </row>
    <row r="735" spans="1:2" hidden="1" x14ac:dyDescent="0.3">
      <c r="A735" s="1" t="s">
        <v>107</v>
      </c>
      <c r="B735">
        <v>22255.314464935509</v>
      </c>
    </row>
    <row r="736" spans="1:2" hidden="1" x14ac:dyDescent="0.3">
      <c r="A736" s="1" t="s">
        <v>107</v>
      </c>
      <c r="B736">
        <v>22301.30866645258</v>
      </c>
    </row>
    <row r="737" spans="1:2" hidden="1" x14ac:dyDescent="0.3">
      <c r="A737" s="1" t="s">
        <v>107</v>
      </c>
      <c r="B737">
        <v>22334.166150513782</v>
      </c>
    </row>
    <row r="738" spans="1:2" hidden="1" x14ac:dyDescent="0.3">
      <c r="A738" s="1" t="s">
        <v>107</v>
      </c>
      <c r="B738">
        <v>22366.390625486601</v>
      </c>
    </row>
    <row r="739" spans="1:2" hidden="1" x14ac:dyDescent="0.3">
      <c r="A739" s="1" t="s">
        <v>107</v>
      </c>
      <c r="B739">
        <v>22412.687416926521</v>
      </c>
    </row>
    <row r="740" spans="1:2" hidden="1" x14ac:dyDescent="0.3">
      <c r="A740" s="1" t="s">
        <v>107</v>
      </c>
      <c r="B740">
        <v>22432.945131793502</v>
      </c>
    </row>
    <row r="741" spans="1:2" hidden="1" x14ac:dyDescent="0.3">
      <c r="A741" s="1" t="s">
        <v>107</v>
      </c>
      <c r="B741">
        <v>22466.522151243829</v>
      </c>
    </row>
    <row r="742" spans="1:2" hidden="1" x14ac:dyDescent="0.3">
      <c r="A742" s="1" t="s">
        <v>107</v>
      </c>
      <c r="B742">
        <v>22513.14508238847</v>
      </c>
    </row>
    <row r="743" spans="1:2" hidden="1" x14ac:dyDescent="0.3">
      <c r="A743" s="1" t="s">
        <v>107</v>
      </c>
      <c r="B743">
        <v>22546.713247951091</v>
      </c>
    </row>
    <row r="744" spans="1:2" hidden="1" x14ac:dyDescent="0.3">
      <c r="A744" s="1" t="s">
        <v>107</v>
      </c>
      <c r="B744">
        <v>22593.568676384712</v>
      </c>
    </row>
    <row r="745" spans="1:2" hidden="1" x14ac:dyDescent="0.3">
      <c r="A745" s="1" t="s">
        <v>107</v>
      </c>
      <c r="B745">
        <v>22628.125084309511</v>
      </c>
    </row>
    <row r="746" spans="1:2" hidden="1" x14ac:dyDescent="0.3">
      <c r="A746" s="1" t="s">
        <v>107</v>
      </c>
      <c r="B746">
        <v>22661.260725078711</v>
      </c>
    </row>
    <row r="747" spans="1:2" hidden="1" x14ac:dyDescent="0.3">
      <c r="A747" s="1" t="s">
        <v>107</v>
      </c>
      <c r="B747">
        <v>22708.458840064312</v>
      </c>
    </row>
    <row r="748" spans="1:2" hidden="1" x14ac:dyDescent="0.3">
      <c r="A748" s="1" t="s">
        <v>107</v>
      </c>
      <c r="B748">
        <v>22743.00252952128</v>
      </c>
    </row>
    <row r="749" spans="1:2" hidden="1" x14ac:dyDescent="0.3">
      <c r="A749" s="1" t="s">
        <v>107</v>
      </c>
      <c r="B749">
        <v>22790.447263376671</v>
      </c>
    </row>
    <row r="750" spans="1:2" hidden="1" x14ac:dyDescent="0.3">
      <c r="A750" s="1" t="s">
        <v>107</v>
      </c>
      <c r="B750">
        <v>22838.01966831322</v>
      </c>
    </row>
    <row r="751" spans="1:2" hidden="1" x14ac:dyDescent="0.3">
      <c r="A751" s="1" t="s">
        <v>107</v>
      </c>
      <c r="B751">
        <v>22859.707373621841</v>
      </c>
    </row>
    <row r="752" spans="1:2" hidden="1" x14ac:dyDescent="0.3">
      <c r="A752" s="1" t="s">
        <v>107</v>
      </c>
      <c r="B752">
        <v>22907.512194363459</v>
      </c>
    </row>
    <row r="753" spans="1:2" hidden="1" x14ac:dyDescent="0.3">
      <c r="A753" s="1" t="s">
        <v>107</v>
      </c>
      <c r="B753">
        <v>22955.445736743011</v>
      </c>
    </row>
    <row r="754" spans="1:2" hidden="1" x14ac:dyDescent="0.3">
      <c r="A754" s="1" t="s">
        <v>107</v>
      </c>
      <c r="B754">
        <v>23003.50836292082</v>
      </c>
    </row>
    <row r="755" spans="1:2" hidden="1" x14ac:dyDescent="0.3">
      <c r="A755" s="1" t="s">
        <v>107</v>
      </c>
      <c r="B755">
        <v>23051.700436060109</v>
      </c>
    </row>
    <row r="756" spans="1:2" hidden="1" x14ac:dyDescent="0.3">
      <c r="A756" s="1" t="s">
        <v>107</v>
      </c>
      <c r="B756">
        <v>23100.022320329648</v>
      </c>
    </row>
    <row r="757" spans="1:2" hidden="1" x14ac:dyDescent="0.3">
      <c r="A757" s="1" t="s">
        <v>107</v>
      </c>
      <c r="B757">
        <v>23122.188617156378</v>
      </c>
    </row>
    <row r="758" spans="1:2" hidden="1" x14ac:dyDescent="0.3">
      <c r="A758" s="1" t="s">
        <v>107</v>
      </c>
      <c r="B758">
        <v>23170.744961768371</v>
      </c>
    </row>
    <row r="759" spans="1:2" hidden="1" x14ac:dyDescent="0.3">
      <c r="A759" s="1" t="s">
        <v>107</v>
      </c>
      <c r="B759">
        <v>23205.476207441399</v>
      </c>
    </row>
    <row r="760" spans="1:2" hidden="1" x14ac:dyDescent="0.3">
      <c r="A760" s="1" t="s">
        <v>107</v>
      </c>
      <c r="B760">
        <v>23254.266872845819</v>
      </c>
    </row>
    <row r="761" spans="1:2" hidden="1" x14ac:dyDescent="0.3">
      <c r="A761" s="1" t="s">
        <v>107</v>
      </c>
      <c r="B761">
        <v>23290.461845922029</v>
      </c>
    </row>
    <row r="762" spans="1:2" hidden="1" x14ac:dyDescent="0.3">
      <c r="A762" s="1" t="s">
        <v>107</v>
      </c>
      <c r="B762">
        <v>23339.510963266079</v>
      </c>
    </row>
    <row r="763" spans="1:2" hidden="1" x14ac:dyDescent="0.3">
      <c r="A763" s="1" t="s">
        <v>107</v>
      </c>
      <c r="B763">
        <v>23361.29881049024</v>
      </c>
    </row>
    <row r="764" spans="1:2" hidden="1" x14ac:dyDescent="0.3">
      <c r="A764" s="1" t="s">
        <v>107</v>
      </c>
      <c r="B764">
        <v>23410.568182303108</v>
      </c>
    </row>
    <row r="765" spans="1:2" hidden="1" x14ac:dyDescent="0.3">
      <c r="A765" s="1" t="s">
        <v>107</v>
      </c>
      <c r="B765">
        <v>23459.970490256521</v>
      </c>
    </row>
    <row r="766" spans="1:2" hidden="1" x14ac:dyDescent="0.3">
      <c r="A766" s="1" t="s">
        <v>107</v>
      </c>
      <c r="B766">
        <v>23494.981159365951</v>
      </c>
    </row>
    <row r="767" spans="1:2" hidden="1" x14ac:dyDescent="0.3">
      <c r="A767" s="1" t="s">
        <v>107</v>
      </c>
      <c r="B767">
        <v>23531.342243176859</v>
      </c>
    </row>
    <row r="768" spans="1:2" hidden="1" x14ac:dyDescent="0.3">
      <c r="A768" s="1" t="s">
        <v>107</v>
      </c>
      <c r="B768">
        <v>23581.097621077352</v>
      </c>
    </row>
    <row r="769" spans="1:2" hidden="1" x14ac:dyDescent="0.3">
      <c r="A769" s="1" t="s">
        <v>107</v>
      </c>
      <c r="B769">
        <v>23630.98735049017</v>
      </c>
    </row>
    <row r="770" spans="1:2" hidden="1" x14ac:dyDescent="0.3">
      <c r="A770" s="1" t="s">
        <v>107</v>
      </c>
      <c r="B770">
        <v>23655.46353200882</v>
      </c>
    </row>
    <row r="771" spans="1:2" hidden="1" x14ac:dyDescent="0.3">
      <c r="A771" s="1" t="s">
        <v>107</v>
      </c>
      <c r="B771">
        <v>23691.518512104161</v>
      </c>
    </row>
    <row r="772" spans="1:2" hidden="1" x14ac:dyDescent="0.3">
      <c r="A772" s="1" t="s">
        <v>107</v>
      </c>
      <c r="B772">
        <v>23741.77811209681</v>
      </c>
    </row>
    <row r="773" spans="1:2" hidden="1" x14ac:dyDescent="0.3">
      <c r="A773" s="1" t="s">
        <v>107</v>
      </c>
      <c r="B773">
        <v>23778.430370516311</v>
      </c>
    </row>
    <row r="774" spans="1:2" hidden="1" x14ac:dyDescent="0.3">
      <c r="A774" s="1" t="s">
        <v>107</v>
      </c>
      <c r="B774">
        <v>23828.942885564749</v>
      </c>
    </row>
    <row r="775" spans="1:2" hidden="1" x14ac:dyDescent="0.3">
      <c r="A775" s="1" t="s">
        <v>107</v>
      </c>
      <c r="B775">
        <v>23879.591969457389</v>
      </c>
    </row>
    <row r="776" spans="1:2" hidden="1" x14ac:dyDescent="0.3">
      <c r="A776" s="1" t="s">
        <v>107</v>
      </c>
      <c r="B776">
        <v>23930.378006378251</v>
      </c>
    </row>
    <row r="777" spans="1:2" hidden="1" x14ac:dyDescent="0.3">
      <c r="A777" s="1" t="s">
        <v>107</v>
      </c>
      <c r="B777">
        <v>23981.301381573161</v>
      </c>
    </row>
    <row r="778" spans="1:2" hidden="1" x14ac:dyDescent="0.3">
      <c r="A778" s="1" t="s">
        <v>107</v>
      </c>
      <c r="B778">
        <v>24032.36248135268</v>
      </c>
    </row>
    <row r="779" spans="1:2" hidden="1" x14ac:dyDescent="0.3">
      <c r="A779" s="1" t="s">
        <v>107</v>
      </c>
      <c r="B779">
        <v>24068.10491067186</v>
      </c>
    </row>
    <row r="780" spans="1:2" hidden="1" x14ac:dyDescent="0.3">
      <c r="A780" s="1" t="s">
        <v>107</v>
      </c>
      <c r="B780">
        <v>24078.956863645879</v>
      </c>
    </row>
    <row r="781" spans="1:2" hidden="1" x14ac:dyDescent="0.3">
      <c r="A781" s="1" t="s">
        <v>107</v>
      </c>
      <c r="B781">
        <v>24117.518748157199</v>
      </c>
    </row>
    <row r="782" spans="1:2" hidden="1" x14ac:dyDescent="0.3">
      <c r="A782" s="1" t="s">
        <v>107</v>
      </c>
      <c r="B782">
        <v>24154.900262170671</v>
      </c>
    </row>
    <row r="783" spans="1:2" hidden="1" x14ac:dyDescent="0.3">
      <c r="A783" s="1" t="s">
        <v>107</v>
      </c>
      <c r="B783">
        <v>24206.542027305179</v>
      </c>
    </row>
    <row r="784" spans="1:2" hidden="1" x14ac:dyDescent="0.3">
      <c r="A784" s="1" t="s">
        <v>107</v>
      </c>
      <c r="B784">
        <v>24244.59845727549</v>
      </c>
    </row>
    <row r="785" spans="1:2" hidden="1" x14ac:dyDescent="0.3">
      <c r="A785" s="1" t="s">
        <v>107</v>
      </c>
      <c r="B785">
        <v>24296.503987017109</v>
      </c>
    </row>
    <row r="786" spans="1:2" hidden="1" x14ac:dyDescent="0.3">
      <c r="A786" s="1" t="s">
        <v>107</v>
      </c>
      <c r="B786">
        <v>24348.550138928229</v>
      </c>
    </row>
    <row r="787" spans="1:2" hidden="1" x14ac:dyDescent="0.3">
      <c r="A787" s="1" t="s">
        <v>107</v>
      </c>
      <c r="B787">
        <v>24384.09755987419</v>
      </c>
    </row>
    <row r="788" spans="1:2" hidden="1" x14ac:dyDescent="0.3">
      <c r="A788" s="1" t="s">
        <v>107</v>
      </c>
      <c r="B788">
        <v>24423.727196756521</v>
      </c>
    </row>
    <row r="789" spans="1:2" hidden="1" x14ac:dyDescent="0.3">
      <c r="A789" s="1" t="s">
        <v>107</v>
      </c>
      <c r="B789">
        <v>24476.138791089321</v>
      </c>
    </row>
    <row r="790" spans="1:2" hidden="1" x14ac:dyDescent="0.3">
      <c r="A790" s="1" t="s">
        <v>107</v>
      </c>
      <c r="B790">
        <v>24528.692417865801</v>
      </c>
    </row>
    <row r="791" spans="1:2" hidden="1" x14ac:dyDescent="0.3">
      <c r="A791" s="1" t="s">
        <v>107</v>
      </c>
      <c r="B791">
        <v>24568.275127112891</v>
      </c>
    </row>
    <row r="792" spans="1:2" hidden="1" x14ac:dyDescent="0.3">
      <c r="A792" s="1" t="s">
        <v>107</v>
      </c>
      <c r="B792">
        <v>24607.499466215409</v>
      </c>
    </row>
    <row r="793" spans="1:2" hidden="1" x14ac:dyDescent="0.3">
      <c r="A793" s="1" t="s">
        <v>107</v>
      </c>
      <c r="B793">
        <v>24660.460332618852</v>
      </c>
    </row>
    <row r="794" spans="1:2" hidden="1" x14ac:dyDescent="0.3">
      <c r="A794" s="1" t="s">
        <v>107</v>
      </c>
      <c r="B794">
        <v>24698.604816462179</v>
      </c>
    </row>
    <row r="795" spans="1:2" hidden="1" x14ac:dyDescent="0.3">
      <c r="A795" s="1" t="s">
        <v>107</v>
      </c>
      <c r="B795">
        <v>24735.966058343762</v>
      </c>
    </row>
    <row r="796" spans="1:2" hidden="1" x14ac:dyDescent="0.3">
      <c r="A796" s="1" t="s">
        <v>107</v>
      </c>
      <c r="B796">
        <v>24776.86351894369</v>
      </c>
    </row>
    <row r="797" spans="1:2" hidden="1" x14ac:dyDescent="0.3">
      <c r="A797" s="1" t="s">
        <v>107</v>
      </c>
      <c r="B797">
        <v>24830.330667759568</v>
      </c>
    </row>
    <row r="798" spans="1:2" hidden="1" x14ac:dyDescent="0.3">
      <c r="A798" s="1" t="s">
        <v>107</v>
      </c>
      <c r="B798">
        <v>24883.942911710859</v>
      </c>
    </row>
    <row r="799" spans="1:2" hidden="1" x14ac:dyDescent="0.3">
      <c r="A799" s="1" t="s">
        <v>107</v>
      </c>
      <c r="B799">
        <v>24924.78007637769</v>
      </c>
    </row>
    <row r="800" spans="1:2" hidden="1" x14ac:dyDescent="0.3">
      <c r="A800" s="1" t="s">
        <v>107</v>
      </c>
      <c r="B800">
        <v>24978.678628939131</v>
      </c>
    </row>
    <row r="801" spans="1:2" hidden="1" x14ac:dyDescent="0.3">
      <c r="A801" s="1" t="s">
        <v>85</v>
      </c>
      <c r="B801">
        <v>9006.244289521801</v>
      </c>
    </row>
    <row r="802" spans="1:2" hidden="1" x14ac:dyDescent="0.3">
      <c r="A802" s="1" t="s">
        <v>85</v>
      </c>
      <c r="B802">
        <v>9026.034788826144</v>
      </c>
    </row>
    <row r="803" spans="1:2" hidden="1" x14ac:dyDescent="0.3">
      <c r="A803" s="1" t="s">
        <v>85</v>
      </c>
      <c r="B803">
        <v>9033.4543489142907</v>
      </c>
    </row>
    <row r="804" spans="1:2" hidden="1" x14ac:dyDescent="0.3">
      <c r="A804" s="1" t="s">
        <v>85</v>
      </c>
      <c r="B804">
        <v>9053.3682021098739</v>
      </c>
    </row>
    <row r="805" spans="1:2" hidden="1" x14ac:dyDescent="0.3">
      <c r="A805" s="1" t="s">
        <v>85</v>
      </c>
      <c r="B805">
        <v>9060.770473101993</v>
      </c>
    </row>
    <row r="806" spans="1:2" hidden="1" x14ac:dyDescent="0.3">
      <c r="A806" s="1" t="s">
        <v>85</v>
      </c>
      <c r="B806">
        <v>9068.1994268787494</v>
      </c>
    </row>
    <row r="807" spans="1:2" hidden="1" x14ac:dyDescent="0.3">
      <c r="A807" s="1" t="s">
        <v>85</v>
      </c>
      <c r="B807">
        <v>9075.5559656982823</v>
      </c>
    </row>
    <row r="808" spans="1:2" hidden="1" x14ac:dyDescent="0.3">
      <c r="A808" s="1" t="s">
        <v>85</v>
      </c>
      <c r="B808">
        <v>9095.6168578787401</v>
      </c>
    </row>
    <row r="809" spans="1:2" hidden="1" x14ac:dyDescent="0.3">
      <c r="A809" s="1" t="s">
        <v>85</v>
      </c>
      <c r="B809">
        <v>9103.1160102543945</v>
      </c>
    </row>
    <row r="810" spans="1:2" hidden="1" x14ac:dyDescent="0.3">
      <c r="A810" s="1" t="s">
        <v>85</v>
      </c>
      <c r="B810">
        <v>9123.2817280693926</v>
      </c>
    </row>
    <row r="811" spans="1:2" hidden="1" x14ac:dyDescent="0.3">
      <c r="A811" s="1" t="s">
        <v>85</v>
      </c>
      <c r="B811">
        <v>9130.9621497274202</v>
      </c>
    </row>
    <row r="812" spans="1:2" hidden="1" x14ac:dyDescent="0.3">
      <c r="A812" s="1" t="s">
        <v>85</v>
      </c>
      <c r="B812">
        <v>9151.246249700589</v>
      </c>
    </row>
    <row r="813" spans="1:2" hidden="1" x14ac:dyDescent="0.3">
      <c r="A813" s="1" t="s">
        <v>85</v>
      </c>
      <c r="B813">
        <v>9171.5961624982374</v>
      </c>
    </row>
    <row r="814" spans="1:2" hidden="1" x14ac:dyDescent="0.3">
      <c r="A814" s="1" t="s">
        <v>85</v>
      </c>
      <c r="B814">
        <v>9192.0121018875361</v>
      </c>
    </row>
    <row r="815" spans="1:2" hidden="1" x14ac:dyDescent="0.3">
      <c r="A815" s="1" t="s">
        <v>85</v>
      </c>
      <c r="B815">
        <v>9186.9979748147434</v>
      </c>
    </row>
    <row r="816" spans="1:2" hidden="1" x14ac:dyDescent="0.3">
      <c r="A816" s="1" t="s">
        <v>85</v>
      </c>
      <c r="B816">
        <v>9207.4992518920935</v>
      </c>
    </row>
    <row r="817" spans="1:2" hidden="1" x14ac:dyDescent="0.3">
      <c r="A817" s="1" t="s">
        <v>85</v>
      </c>
      <c r="B817">
        <v>9228.0670387606897</v>
      </c>
    </row>
    <row r="818" spans="1:2" hidden="1" x14ac:dyDescent="0.3">
      <c r="A818" s="1" t="s">
        <v>85</v>
      </c>
      <c r="B818">
        <v>9248.7015512878315</v>
      </c>
    </row>
    <row r="819" spans="1:2" hidden="1" x14ac:dyDescent="0.3">
      <c r="A819" s="1" t="s">
        <v>85</v>
      </c>
      <c r="B819">
        <v>9269.4030059993584</v>
      </c>
    </row>
    <row r="820" spans="1:2" hidden="1" x14ac:dyDescent="0.3">
      <c r="A820" s="1" t="s">
        <v>85</v>
      </c>
      <c r="B820">
        <v>9290.1716200815026</v>
      </c>
    </row>
    <row r="821" spans="1:2" hidden="1" x14ac:dyDescent="0.3">
      <c r="A821" s="1" t="s">
        <v>85</v>
      </c>
      <c r="B821">
        <v>9311.0076113827836</v>
      </c>
    </row>
    <row r="822" spans="1:2" hidden="1" x14ac:dyDescent="0.3">
      <c r="A822" s="1" t="s">
        <v>85</v>
      </c>
      <c r="B822">
        <v>9331.9111984158735</v>
      </c>
    </row>
    <row r="823" spans="1:2" hidden="1" x14ac:dyDescent="0.3">
      <c r="A823" s="1" t="s">
        <v>85</v>
      </c>
      <c r="B823">
        <v>9340.0668552157713</v>
      </c>
    </row>
    <row r="824" spans="1:2" hidden="1" x14ac:dyDescent="0.3">
      <c r="A824" s="1" t="s">
        <v>85</v>
      </c>
      <c r="B824">
        <v>9361.088283376519</v>
      </c>
    </row>
    <row r="825" spans="1:2" hidden="1" x14ac:dyDescent="0.3">
      <c r="A825" s="1" t="s">
        <v>85</v>
      </c>
      <c r="B825">
        <v>9369.201552093049</v>
      </c>
    </row>
    <row r="826" spans="1:2" hidden="1" x14ac:dyDescent="0.3">
      <c r="A826" s="1" t="s">
        <v>85</v>
      </c>
      <c r="B826">
        <v>9377.0056316716036</v>
      </c>
    </row>
    <row r="827" spans="1:2" hidden="1" x14ac:dyDescent="0.3">
      <c r="A827" s="1" t="s">
        <v>85</v>
      </c>
      <c r="B827">
        <v>9385.5501617742902</v>
      </c>
    </row>
    <row r="828" spans="1:2" hidden="1" x14ac:dyDescent="0.3">
      <c r="A828" s="1" t="s">
        <v>85</v>
      </c>
      <c r="B828">
        <v>9406.7771820733669</v>
      </c>
    </row>
    <row r="829" spans="1:2" hidden="1" x14ac:dyDescent="0.3">
      <c r="A829" s="1" t="s">
        <v>85</v>
      </c>
      <c r="B829">
        <v>9428.07318589631</v>
      </c>
    </row>
    <row r="830" spans="1:2" hidden="1" x14ac:dyDescent="0.3">
      <c r="A830" s="1" t="s">
        <v>85</v>
      </c>
      <c r="B830">
        <v>9449.4383968260299</v>
      </c>
    </row>
    <row r="831" spans="1:2" hidden="1" x14ac:dyDescent="0.3">
      <c r="A831" s="1" t="s">
        <v>85</v>
      </c>
      <c r="B831">
        <v>9457.5963655676824</v>
      </c>
    </row>
    <row r="832" spans="1:2" hidden="1" x14ac:dyDescent="0.3">
      <c r="A832" s="1" t="s">
        <v>85</v>
      </c>
      <c r="B832">
        <v>9466.5687659687064</v>
      </c>
    </row>
    <row r="833" spans="1:2" hidden="1" x14ac:dyDescent="0.3">
      <c r="A833" s="1" t="s">
        <v>85</v>
      </c>
      <c r="B833">
        <v>9488.1111024153834</v>
      </c>
    </row>
    <row r="834" spans="1:2" hidden="1" x14ac:dyDescent="0.3">
      <c r="A834" s="1" t="s">
        <v>85</v>
      </c>
      <c r="B834">
        <v>9509.723488323174</v>
      </c>
    </row>
    <row r="835" spans="1:2" hidden="1" x14ac:dyDescent="0.3">
      <c r="A835" s="1" t="s">
        <v>85</v>
      </c>
      <c r="B835">
        <v>9531.4061505918598</v>
      </c>
    </row>
    <row r="836" spans="1:2" hidden="1" x14ac:dyDescent="0.3">
      <c r="A836" s="1" t="s">
        <v>85</v>
      </c>
      <c r="B836">
        <v>9553.159316811465</v>
      </c>
    </row>
    <row r="837" spans="1:2" hidden="1" x14ac:dyDescent="0.3">
      <c r="A837" s="1" t="s">
        <v>85</v>
      </c>
      <c r="B837">
        <v>9574.9832152642321</v>
      </c>
    </row>
    <row r="838" spans="1:2" hidden="1" x14ac:dyDescent="0.3">
      <c r="A838" s="1" t="s">
        <v>85</v>
      </c>
      <c r="B838">
        <v>9596.8780749265479</v>
      </c>
    </row>
    <row r="839" spans="1:2" hidden="1" x14ac:dyDescent="0.3">
      <c r="A839" s="1" t="s">
        <v>85</v>
      </c>
      <c r="B839">
        <v>9618.8441254709414</v>
      </c>
    </row>
    <row r="840" spans="1:2" hidden="1" x14ac:dyDescent="0.3">
      <c r="A840" s="1" t="s">
        <v>85</v>
      </c>
      <c r="B840">
        <v>9640.8815972680295</v>
      </c>
    </row>
    <row r="841" spans="1:2" hidden="1" x14ac:dyDescent="0.3">
      <c r="A841" s="1" t="s">
        <v>85</v>
      </c>
      <c r="B841">
        <v>9662.9907213885144</v>
      </c>
    </row>
    <row r="842" spans="1:2" hidden="1" x14ac:dyDescent="0.3">
      <c r="A842" s="1" t="s">
        <v>85</v>
      </c>
      <c r="B842">
        <v>9685.1717296051647</v>
      </c>
    </row>
    <row r="843" spans="1:2" hidden="1" x14ac:dyDescent="0.3">
      <c r="A843" s="1" t="s">
        <v>85</v>
      </c>
      <c r="B843">
        <v>9707.4248543947779</v>
      </c>
    </row>
    <row r="844" spans="1:2" hidden="1" x14ac:dyDescent="0.3">
      <c r="A844" s="1" t="s">
        <v>85</v>
      </c>
      <c r="B844">
        <v>9729.7503289401957</v>
      </c>
    </row>
    <row r="845" spans="1:2" hidden="1" x14ac:dyDescent="0.3">
      <c r="A845" s="1" t="s">
        <v>85</v>
      </c>
      <c r="B845">
        <v>9752.1483871322998</v>
      </c>
    </row>
    <row r="846" spans="1:2" hidden="1" x14ac:dyDescent="0.3">
      <c r="A846" s="1" t="s">
        <v>85</v>
      </c>
      <c r="B846">
        <v>9774.6192635720072</v>
      </c>
    </row>
    <row r="847" spans="1:2" hidden="1" x14ac:dyDescent="0.3">
      <c r="A847" s="1" t="s">
        <v>85</v>
      </c>
      <c r="B847">
        <v>9797.1631935722744</v>
      </c>
    </row>
    <row r="848" spans="1:2" hidden="1" x14ac:dyDescent="0.3">
      <c r="A848" s="1" t="s">
        <v>85</v>
      </c>
      <c r="B848">
        <v>9819.7804131601188</v>
      </c>
    </row>
    <row r="849" spans="1:2" hidden="1" x14ac:dyDescent="0.3">
      <c r="A849" s="1" t="s">
        <v>85</v>
      </c>
      <c r="B849">
        <v>9842.4711590786392</v>
      </c>
    </row>
    <row r="850" spans="1:2" hidden="1" x14ac:dyDescent="0.3">
      <c r="A850" s="1" t="s">
        <v>85</v>
      </c>
      <c r="B850">
        <v>9865.2356687890242</v>
      </c>
    </row>
    <row r="851" spans="1:2" hidden="1" x14ac:dyDescent="0.3">
      <c r="A851" s="1" t="s">
        <v>85</v>
      </c>
      <c r="B851">
        <v>9888.0741804726076</v>
      </c>
    </row>
    <row r="852" spans="1:2" hidden="1" x14ac:dyDescent="0.3">
      <c r="A852" s="1" t="s">
        <v>85</v>
      </c>
      <c r="B852">
        <v>9896.795623677348</v>
      </c>
    </row>
    <row r="853" spans="1:2" hidden="1" x14ac:dyDescent="0.3">
      <c r="A853" s="1" t="s">
        <v>85</v>
      </c>
      <c r="B853">
        <v>9906.7919899754961</v>
      </c>
    </row>
    <row r="854" spans="1:2" hidden="1" x14ac:dyDescent="0.3">
      <c r="A854" s="1" t="s">
        <v>85</v>
      </c>
      <c r="B854">
        <v>9929.806677508077</v>
      </c>
    </row>
    <row r="855" spans="1:2" hidden="1" x14ac:dyDescent="0.3">
      <c r="A855" s="1" t="s">
        <v>85</v>
      </c>
      <c r="B855">
        <v>9939.3475052099402</v>
      </c>
    </row>
    <row r="856" spans="1:2" hidden="1" x14ac:dyDescent="0.3">
      <c r="A856" s="1" t="s">
        <v>85</v>
      </c>
      <c r="B856">
        <v>9962.4905473592571</v>
      </c>
    </row>
    <row r="857" spans="1:2" hidden="1" x14ac:dyDescent="0.3">
      <c r="A857" s="1" t="s">
        <v>85</v>
      </c>
      <c r="B857">
        <v>9985.7089105795985</v>
      </c>
    </row>
    <row r="858" spans="1:2" hidden="1" x14ac:dyDescent="0.3">
      <c r="A858" s="1" t="s">
        <v>85</v>
      </c>
      <c r="B858">
        <v>10009.00283791688</v>
      </c>
    </row>
    <row r="859" spans="1:2" hidden="1" x14ac:dyDescent="0.3">
      <c r="A859" s="1" t="s">
        <v>85</v>
      </c>
      <c r="B859">
        <v>10007.23043976197</v>
      </c>
    </row>
    <row r="860" spans="1:2" hidden="1" x14ac:dyDescent="0.3">
      <c r="A860" s="1" t="s">
        <v>85</v>
      </c>
      <c r="B860">
        <v>10017.33306437001</v>
      </c>
    </row>
    <row r="861" spans="1:2" hidden="1" x14ac:dyDescent="0.3">
      <c r="A861" s="1" t="s">
        <v>85</v>
      </c>
      <c r="B861">
        <v>10025.774774365051</v>
      </c>
    </row>
    <row r="862" spans="1:2" hidden="1" x14ac:dyDescent="0.3">
      <c r="A862" s="1" t="s">
        <v>85</v>
      </c>
      <c r="B862">
        <v>10049.304328495249</v>
      </c>
    </row>
    <row r="863" spans="1:2" hidden="1" x14ac:dyDescent="0.3">
      <c r="A863" s="1" t="s">
        <v>85</v>
      </c>
      <c r="B863">
        <v>10072.91051247711</v>
      </c>
    </row>
    <row r="864" spans="1:2" hidden="1" x14ac:dyDescent="0.3">
      <c r="A864" s="1" t="s">
        <v>85</v>
      </c>
      <c r="B864">
        <v>10096.59357339101</v>
      </c>
    </row>
    <row r="865" spans="1:2" hidden="1" x14ac:dyDescent="0.3">
      <c r="A865" s="1" t="s">
        <v>85</v>
      </c>
      <c r="B865">
        <v>10120.35375906493</v>
      </c>
    </row>
    <row r="866" spans="1:2" hidden="1" x14ac:dyDescent="0.3">
      <c r="A866" s="1" t="s">
        <v>85</v>
      </c>
      <c r="B866">
        <v>10144.191318076601</v>
      </c>
    </row>
    <row r="867" spans="1:2" hidden="1" x14ac:dyDescent="0.3">
      <c r="A867" s="1" t="s">
        <v>85</v>
      </c>
      <c r="B867">
        <v>10168.10649975561</v>
      </c>
    </row>
    <row r="868" spans="1:2" hidden="1" x14ac:dyDescent="0.3">
      <c r="A868" s="1" t="s">
        <v>85</v>
      </c>
      <c r="B868">
        <v>10192.099554185481</v>
      </c>
    </row>
    <row r="869" spans="1:2" hidden="1" x14ac:dyDescent="0.3">
      <c r="A869" s="1" t="s">
        <v>85</v>
      </c>
      <c r="B869">
        <v>10216.17073220583</v>
      </c>
    </row>
    <row r="870" spans="1:2" hidden="1" x14ac:dyDescent="0.3">
      <c r="A870" s="1" t="s">
        <v>85</v>
      </c>
      <c r="B870">
        <v>10240.320285414509</v>
      </c>
    </row>
    <row r="871" spans="1:2" hidden="1" x14ac:dyDescent="0.3">
      <c r="A871" s="1" t="s">
        <v>85</v>
      </c>
      <c r="B871">
        <v>10264.548466169699</v>
      </c>
    </row>
    <row r="872" spans="1:2" hidden="1" x14ac:dyDescent="0.3">
      <c r="A872" s="1" t="s">
        <v>85</v>
      </c>
      <c r="B872">
        <v>10288.85552759209</v>
      </c>
    </row>
    <row r="873" spans="1:2" hidden="1" x14ac:dyDescent="0.3">
      <c r="A873" s="1" t="s">
        <v>85</v>
      </c>
      <c r="B873">
        <v>10298.891647821951</v>
      </c>
    </row>
    <row r="874" spans="1:2" hidden="1" x14ac:dyDescent="0.3">
      <c r="A874" s="1" t="s">
        <v>85</v>
      </c>
      <c r="B874">
        <v>10323.328704240759</v>
      </c>
    </row>
    <row r="875" spans="1:2" hidden="1" x14ac:dyDescent="0.3">
      <c r="A875" s="1" t="s">
        <v>85</v>
      </c>
      <c r="B875">
        <v>10347.845354250279</v>
      </c>
    </row>
    <row r="876" spans="1:2" hidden="1" x14ac:dyDescent="0.3">
      <c r="A876" s="1" t="s">
        <v>85</v>
      </c>
      <c r="B876">
        <v>10372.44185396152</v>
      </c>
    </row>
    <row r="877" spans="1:2" hidden="1" x14ac:dyDescent="0.3">
      <c r="A877" s="1" t="s">
        <v>85</v>
      </c>
      <c r="B877">
        <v>10382.207530134299</v>
      </c>
    </row>
    <row r="878" spans="1:2" hidden="1" x14ac:dyDescent="0.3">
      <c r="A878" s="1" t="s">
        <v>85</v>
      </c>
      <c r="B878">
        <v>10394.311159850609</v>
      </c>
    </row>
    <row r="879" spans="1:2" hidden="1" x14ac:dyDescent="0.3">
      <c r="A879" s="1" t="s">
        <v>85</v>
      </c>
      <c r="B879">
        <v>10419.11062031529</v>
      </c>
    </row>
    <row r="880" spans="1:2" hidden="1" x14ac:dyDescent="0.3">
      <c r="A880" s="1" t="s">
        <v>85</v>
      </c>
      <c r="B880">
        <v>10443.99088484088</v>
      </c>
    </row>
    <row r="881" spans="1:2" hidden="1" x14ac:dyDescent="0.3">
      <c r="A881" s="1" t="s">
        <v>85</v>
      </c>
      <c r="B881">
        <v>10468.952213271479</v>
      </c>
    </row>
    <row r="882" spans="1:2" hidden="1" x14ac:dyDescent="0.3">
      <c r="A882" s="1" t="s">
        <v>85</v>
      </c>
      <c r="B882">
        <v>10493.99486623496</v>
      </c>
    </row>
    <row r="883" spans="1:2" hidden="1" x14ac:dyDescent="0.3">
      <c r="A883" s="1" t="s">
        <v>85</v>
      </c>
      <c r="B883">
        <v>10506.06794673629</v>
      </c>
    </row>
    <row r="884" spans="1:2" hidden="1" x14ac:dyDescent="0.3">
      <c r="A884" s="1" t="s">
        <v>85</v>
      </c>
      <c r="B884">
        <v>10517.76686691997</v>
      </c>
    </row>
    <row r="885" spans="1:2" hidden="1" x14ac:dyDescent="0.3">
      <c r="A885" s="1" t="s">
        <v>85</v>
      </c>
      <c r="B885">
        <v>10527.051517211459</v>
      </c>
    </row>
    <row r="886" spans="1:2" hidden="1" x14ac:dyDescent="0.3">
      <c r="A886" s="1" t="s">
        <v>85</v>
      </c>
      <c r="B886">
        <v>10552.353356596061</v>
      </c>
    </row>
    <row r="887" spans="1:2" hidden="1" x14ac:dyDescent="0.3">
      <c r="A887" s="1" t="s">
        <v>85</v>
      </c>
      <c r="B887">
        <v>10577.73768966293</v>
      </c>
    </row>
    <row r="888" spans="1:2" hidden="1" x14ac:dyDescent="0.3">
      <c r="A888" s="1" t="s">
        <v>85</v>
      </c>
      <c r="B888">
        <v>10603.20478144168</v>
      </c>
    </row>
    <row r="889" spans="1:2" hidden="1" x14ac:dyDescent="0.3">
      <c r="A889" s="1" t="s">
        <v>85</v>
      </c>
      <c r="B889">
        <v>10628.754897760489</v>
      </c>
    </row>
    <row r="890" spans="1:2" hidden="1" x14ac:dyDescent="0.3">
      <c r="A890" s="1" t="s">
        <v>85</v>
      </c>
      <c r="B890">
        <v>10654.38830524828</v>
      </c>
    </row>
    <row r="891" spans="1:2" hidden="1" x14ac:dyDescent="0.3">
      <c r="A891" s="1" t="s">
        <v>85</v>
      </c>
      <c r="B891">
        <v>10680.10527133703</v>
      </c>
    </row>
    <row r="892" spans="1:2" hidden="1" x14ac:dyDescent="0.3">
      <c r="A892" s="1" t="s">
        <v>85</v>
      </c>
      <c r="B892">
        <v>10705.906064264</v>
      </c>
    </row>
    <row r="893" spans="1:2" hidden="1" x14ac:dyDescent="0.3">
      <c r="A893" s="1" t="s">
        <v>85</v>
      </c>
      <c r="B893">
        <v>10731.79095307396</v>
      </c>
    </row>
    <row r="894" spans="1:2" hidden="1" x14ac:dyDescent="0.3">
      <c r="A894" s="1" t="s">
        <v>85</v>
      </c>
      <c r="B894">
        <v>10757.760207621521</v>
      </c>
    </row>
    <row r="895" spans="1:2" hidden="1" x14ac:dyDescent="0.3">
      <c r="A895" s="1" t="s">
        <v>85</v>
      </c>
      <c r="B895">
        <v>10783.814098573341</v>
      </c>
    </row>
    <row r="896" spans="1:2" hidden="1" x14ac:dyDescent="0.3">
      <c r="A896" s="1" t="s">
        <v>85</v>
      </c>
      <c r="B896">
        <v>10794.646082744301</v>
      </c>
    </row>
    <row r="897" spans="1:2" hidden="1" x14ac:dyDescent="0.3">
      <c r="A897" s="1" t="s">
        <v>85</v>
      </c>
      <c r="B897">
        <v>10820.83673693988</v>
      </c>
    </row>
    <row r="898" spans="1:2" hidden="1" x14ac:dyDescent="0.3">
      <c r="A898" s="1" t="s">
        <v>85</v>
      </c>
      <c r="B898">
        <v>10834.68777849141</v>
      </c>
    </row>
    <row r="899" spans="1:2" hidden="1" x14ac:dyDescent="0.3">
      <c r="A899" s="1" t="s">
        <v>85</v>
      </c>
      <c r="B899">
        <v>10861.049481219259</v>
      </c>
    </row>
    <row r="900" spans="1:2" hidden="1" x14ac:dyDescent="0.3">
      <c r="A900" s="1" t="s">
        <v>85</v>
      </c>
      <c r="B900">
        <v>10871.11396175687</v>
      </c>
    </row>
    <row r="901" spans="1:2" hidden="1" x14ac:dyDescent="0.3">
      <c r="A901" s="1" t="s">
        <v>108</v>
      </c>
      <c r="B901">
        <v>24342.383923228281</v>
      </c>
    </row>
    <row r="902" spans="1:2" hidden="1" x14ac:dyDescent="0.3">
      <c r="A902" s="1" t="s">
        <v>108</v>
      </c>
      <c r="B902">
        <v>24303.224287695681</v>
      </c>
    </row>
    <row r="903" spans="1:2" hidden="1" x14ac:dyDescent="0.3">
      <c r="A903" s="1" t="s">
        <v>108</v>
      </c>
      <c r="B903">
        <v>24278.913429587799</v>
      </c>
    </row>
    <row r="904" spans="1:2" hidden="1" x14ac:dyDescent="0.3">
      <c r="A904" s="1" t="s">
        <v>108</v>
      </c>
      <c r="B904">
        <v>24253.389156544079</v>
      </c>
    </row>
    <row r="905" spans="1:2" hidden="1" x14ac:dyDescent="0.3">
      <c r="A905" s="1" t="s">
        <v>108</v>
      </c>
      <c r="B905">
        <v>24252.39987261737</v>
      </c>
    </row>
    <row r="906" spans="1:2" hidden="1" x14ac:dyDescent="0.3">
      <c r="A906" s="1" t="s">
        <v>108</v>
      </c>
      <c r="B906">
        <v>24224.399350280812</v>
      </c>
    </row>
    <row r="907" spans="1:2" hidden="1" x14ac:dyDescent="0.3">
      <c r="A907" s="1" t="s">
        <v>108</v>
      </c>
      <c r="B907">
        <v>24195.135542109329</v>
      </c>
    </row>
    <row r="908" spans="1:2" hidden="1" x14ac:dyDescent="0.3">
      <c r="A908" s="1" t="s">
        <v>108</v>
      </c>
      <c r="B908">
        <v>24177.55743303381</v>
      </c>
    </row>
    <row r="909" spans="1:2" hidden="1" x14ac:dyDescent="0.3">
      <c r="A909" s="1" t="s">
        <v>108</v>
      </c>
      <c r="B909">
        <v>24130.33915340095</v>
      </c>
    </row>
    <row r="910" spans="1:2" hidden="1" x14ac:dyDescent="0.3">
      <c r="A910" s="1" t="s">
        <v>108</v>
      </c>
      <c r="B910">
        <v>24097.182070022129</v>
      </c>
    </row>
    <row r="911" spans="1:2" hidden="1" x14ac:dyDescent="0.3">
      <c r="A911" s="1" t="s">
        <v>108</v>
      </c>
      <c r="B911">
        <v>24076.61267122229</v>
      </c>
    </row>
    <row r="912" spans="1:2" hidden="1" x14ac:dyDescent="0.3">
      <c r="A912" s="1" t="s">
        <v>108</v>
      </c>
      <c r="B912">
        <v>24066.905006698449</v>
      </c>
    </row>
    <row r="913" spans="1:2" hidden="1" x14ac:dyDescent="0.3">
      <c r="A913" s="1" t="s">
        <v>108</v>
      </c>
      <c r="B913">
        <v>24029.69452094899</v>
      </c>
    </row>
    <row r="914" spans="1:2" hidden="1" x14ac:dyDescent="0.3">
      <c r="A914" s="1" t="s">
        <v>108</v>
      </c>
      <c r="B914">
        <v>23991.096176029689</v>
      </c>
    </row>
    <row r="915" spans="1:2" hidden="1" x14ac:dyDescent="0.3">
      <c r="A915" s="1" t="s">
        <v>108</v>
      </c>
      <c r="B915">
        <v>23951.091190875031</v>
      </c>
    </row>
    <row r="916" spans="1:2" hidden="1" x14ac:dyDescent="0.3">
      <c r="A916" s="1" t="s">
        <v>108</v>
      </c>
      <c r="B916">
        <v>23935.595276040589</v>
      </c>
    </row>
    <row r="917" spans="1:2" hidden="1" x14ac:dyDescent="0.3">
      <c r="A917" s="1" t="s">
        <v>108</v>
      </c>
      <c r="B917">
        <v>23905.144639105521</v>
      </c>
    </row>
    <row r="918" spans="1:2" hidden="1" x14ac:dyDescent="0.3">
      <c r="A918" s="1" t="s">
        <v>108</v>
      </c>
      <c r="B918">
        <v>23860.80446796156</v>
      </c>
    </row>
    <row r="919" spans="1:2" hidden="1" x14ac:dyDescent="0.3">
      <c r="A919" s="1" t="s">
        <v>108</v>
      </c>
      <c r="B919">
        <v>23814.979936126751</v>
      </c>
    </row>
    <row r="920" spans="1:2" hidden="1" x14ac:dyDescent="0.3">
      <c r="A920" s="1" t="s">
        <v>108</v>
      </c>
      <c r="B920">
        <v>23767.6509469792</v>
      </c>
    </row>
    <row r="921" spans="1:2" hidden="1" x14ac:dyDescent="0.3">
      <c r="A921" s="1" t="s">
        <v>108</v>
      </c>
      <c r="B921">
        <v>23732.521442654521</v>
      </c>
    </row>
    <row r="922" spans="1:2" hidden="1" x14ac:dyDescent="0.3">
      <c r="A922" s="1" t="s">
        <v>108</v>
      </c>
      <c r="B922">
        <v>23665.846520694649</v>
      </c>
    </row>
    <row r="923" spans="1:2" hidden="1" x14ac:dyDescent="0.3">
      <c r="A923" s="1" t="s">
        <v>108</v>
      </c>
      <c r="B923">
        <v>23653.569593646189</v>
      </c>
    </row>
    <row r="924" spans="1:2" hidden="1" x14ac:dyDescent="0.3">
      <c r="A924" s="1" t="s">
        <v>108</v>
      </c>
      <c r="B924">
        <v>23600.016279076441</v>
      </c>
    </row>
    <row r="925" spans="1:2" hidden="1" x14ac:dyDescent="0.3">
      <c r="A925" s="1" t="s">
        <v>108</v>
      </c>
      <c r="B925">
        <v>23558.193646623709</v>
      </c>
    </row>
    <row r="926" spans="1:2" hidden="1" x14ac:dyDescent="0.3">
      <c r="A926" s="1" t="s">
        <v>108</v>
      </c>
      <c r="B926">
        <v>23513.825296580329</v>
      </c>
    </row>
    <row r="927" spans="1:2" hidden="1" x14ac:dyDescent="0.3">
      <c r="A927" s="1" t="s">
        <v>108</v>
      </c>
      <c r="B927">
        <v>23452.3424416302</v>
      </c>
    </row>
    <row r="928" spans="1:2" hidden="1" x14ac:dyDescent="0.3">
      <c r="A928" s="1" t="s">
        <v>108</v>
      </c>
      <c r="B928">
        <v>23392.220687457851</v>
      </c>
    </row>
    <row r="929" spans="1:2" hidden="1" x14ac:dyDescent="0.3">
      <c r="A929" s="1" t="s">
        <v>108</v>
      </c>
      <c r="B929">
        <v>23330.400839685521</v>
      </c>
    </row>
    <row r="930" spans="1:2" hidden="1" x14ac:dyDescent="0.3">
      <c r="A930" s="1" t="s">
        <v>108</v>
      </c>
      <c r="B930">
        <v>23280.01150042783</v>
      </c>
    </row>
    <row r="931" spans="1:2" hidden="1" x14ac:dyDescent="0.3">
      <c r="A931" s="1" t="s">
        <v>108</v>
      </c>
      <c r="B931">
        <v>23240.859630935691</v>
      </c>
    </row>
    <row r="932" spans="1:2" hidden="1" x14ac:dyDescent="0.3">
      <c r="A932" s="1" t="s">
        <v>108</v>
      </c>
      <c r="B932">
        <v>23173.806223634179</v>
      </c>
    </row>
    <row r="933" spans="1:2" hidden="1" x14ac:dyDescent="0.3">
      <c r="A933" s="1" t="s">
        <v>108</v>
      </c>
      <c r="B933">
        <v>23117.385814901689</v>
      </c>
    </row>
    <row r="934" spans="1:2" hidden="1" x14ac:dyDescent="0.3">
      <c r="A934" s="1" t="s">
        <v>108</v>
      </c>
      <c r="B934">
        <v>23059.69019084566</v>
      </c>
    </row>
    <row r="935" spans="1:2" hidden="1" x14ac:dyDescent="0.3">
      <c r="A935" s="1" t="s">
        <v>108</v>
      </c>
      <c r="B935">
        <v>22987.18761292025</v>
      </c>
    </row>
    <row r="936" spans="1:2" hidden="1" x14ac:dyDescent="0.3">
      <c r="A936" s="1" t="s">
        <v>108</v>
      </c>
      <c r="B936">
        <v>22925.602345712861</v>
      </c>
    </row>
    <row r="937" spans="1:2" hidden="1" x14ac:dyDescent="0.3">
      <c r="A937" s="1" t="s">
        <v>108</v>
      </c>
      <c r="B937">
        <v>22863.664784052671</v>
      </c>
    </row>
    <row r="938" spans="1:2" hidden="1" x14ac:dyDescent="0.3">
      <c r="A938" s="1" t="s">
        <v>108</v>
      </c>
      <c r="B938">
        <v>22827.483814995128</v>
      </c>
    </row>
    <row r="939" spans="1:2" hidden="1" x14ac:dyDescent="0.3">
      <c r="A939" s="1" t="s">
        <v>108</v>
      </c>
      <c r="B939">
        <v>22759.967656347832</v>
      </c>
    </row>
    <row r="940" spans="1:2" hidden="1" x14ac:dyDescent="0.3">
      <c r="A940" s="1" t="s">
        <v>108</v>
      </c>
      <c r="B940">
        <v>22687.982970950019</v>
      </c>
    </row>
    <row r="941" spans="1:2" hidden="1" x14ac:dyDescent="0.3">
      <c r="A941" s="1" t="s">
        <v>108</v>
      </c>
      <c r="B941">
        <v>22617.050891110212</v>
      </c>
    </row>
    <row r="942" spans="1:2" hidden="1" x14ac:dyDescent="0.3">
      <c r="A942" s="1" t="s">
        <v>108</v>
      </c>
      <c r="B942">
        <v>22543.910527596268</v>
      </c>
    </row>
    <row r="943" spans="1:2" hidden="1" x14ac:dyDescent="0.3">
      <c r="A943" s="1" t="s">
        <v>108</v>
      </c>
      <c r="B943">
        <v>22468.537093042371</v>
      </c>
    </row>
    <row r="944" spans="1:2" hidden="1" x14ac:dyDescent="0.3">
      <c r="A944" s="1" t="s">
        <v>108</v>
      </c>
      <c r="B944">
        <v>22378.30259383687</v>
      </c>
    </row>
    <row r="945" spans="1:2" hidden="1" x14ac:dyDescent="0.3">
      <c r="A945" s="1" t="s">
        <v>108</v>
      </c>
      <c r="B945">
        <v>22324.520510661019</v>
      </c>
    </row>
    <row r="946" spans="1:2" hidden="1" x14ac:dyDescent="0.3">
      <c r="A946" s="1" t="s">
        <v>108</v>
      </c>
      <c r="B946">
        <v>22230.045331150839</v>
      </c>
    </row>
    <row r="947" spans="1:2" hidden="1" x14ac:dyDescent="0.3">
      <c r="A947" s="1" t="s">
        <v>108</v>
      </c>
      <c r="B947">
        <v>22133.406628410939</v>
      </c>
    </row>
    <row r="948" spans="1:2" hidden="1" x14ac:dyDescent="0.3">
      <c r="A948" s="1" t="s">
        <v>108</v>
      </c>
      <c r="B948">
        <v>22047.9148970645</v>
      </c>
    </row>
    <row r="949" spans="1:2" hidden="1" x14ac:dyDescent="0.3">
      <c r="A949" s="1" t="s">
        <v>108</v>
      </c>
      <c r="B949">
        <v>21974.13234067642</v>
      </c>
    </row>
    <row r="950" spans="1:2" hidden="1" x14ac:dyDescent="0.3">
      <c r="A950" s="1" t="s">
        <v>108</v>
      </c>
      <c r="B950">
        <v>21921.60263841513</v>
      </c>
    </row>
    <row r="951" spans="1:2" hidden="1" x14ac:dyDescent="0.3">
      <c r="A951" s="1" t="s">
        <v>108</v>
      </c>
      <c r="B951">
        <v>21816.012781009711</v>
      </c>
    </row>
    <row r="952" spans="1:2" hidden="1" x14ac:dyDescent="0.3">
      <c r="A952" s="1" t="s">
        <v>108</v>
      </c>
      <c r="B952">
        <v>21708.108851468289</v>
      </c>
    </row>
    <row r="953" spans="1:2" hidden="1" x14ac:dyDescent="0.3">
      <c r="A953" s="1" t="s">
        <v>108</v>
      </c>
      <c r="B953">
        <v>21597.859510554779</v>
      </c>
    </row>
    <row r="954" spans="1:2" hidden="1" x14ac:dyDescent="0.3">
      <c r="A954" s="1" t="s">
        <v>108</v>
      </c>
      <c r="B954">
        <v>21495.106679415541</v>
      </c>
    </row>
    <row r="955" spans="1:2" hidden="1" x14ac:dyDescent="0.3">
      <c r="A955" s="1" t="s">
        <v>108</v>
      </c>
      <c r="B955">
        <v>21403.780988253271</v>
      </c>
    </row>
    <row r="956" spans="1:2" hidden="1" x14ac:dyDescent="0.3">
      <c r="A956" s="1" t="s">
        <v>108</v>
      </c>
      <c r="B956">
        <v>21312.799882517411</v>
      </c>
    </row>
    <row r="957" spans="1:2" hidden="1" x14ac:dyDescent="0.3">
      <c r="A957" s="1" t="s">
        <v>108</v>
      </c>
      <c r="B957">
        <v>21219.338380311201</v>
      </c>
    </row>
    <row r="958" spans="1:2" hidden="1" x14ac:dyDescent="0.3">
      <c r="A958" s="1" t="s">
        <v>108</v>
      </c>
      <c r="B958">
        <v>21109.301913518091</v>
      </c>
    </row>
    <row r="959" spans="1:2" hidden="1" x14ac:dyDescent="0.3">
      <c r="A959" s="1" t="s">
        <v>108</v>
      </c>
      <c r="B959">
        <v>20998.82483422905</v>
      </c>
    </row>
    <row r="960" spans="1:2" hidden="1" x14ac:dyDescent="0.3">
      <c r="A960" s="1" t="s">
        <v>108</v>
      </c>
      <c r="B960">
        <v>20896.629864061069</v>
      </c>
    </row>
    <row r="961" spans="1:2" hidden="1" x14ac:dyDescent="0.3">
      <c r="A961" s="1" t="s">
        <v>108</v>
      </c>
      <c r="B961">
        <v>20766.43714657543</v>
      </c>
    </row>
    <row r="962" spans="1:2" hidden="1" x14ac:dyDescent="0.3">
      <c r="A962" s="1" t="s">
        <v>108</v>
      </c>
      <c r="B962">
        <v>20658.988340488679</v>
      </c>
    </row>
    <row r="963" spans="1:2" hidden="1" x14ac:dyDescent="0.3">
      <c r="A963" s="1" t="s">
        <v>108</v>
      </c>
      <c r="B963">
        <v>20536.617100392628</v>
      </c>
    </row>
    <row r="964" spans="1:2" hidden="1" x14ac:dyDescent="0.3">
      <c r="A964" s="1" t="s">
        <v>108</v>
      </c>
      <c r="B964">
        <v>20425.29973308415</v>
      </c>
    </row>
    <row r="965" spans="1:2" hidden="1" x14ac:dyDescent="0.3">
      <c r="A965" s="1" t="s">
        <v>108</v>
      </c>
      <c r="B965">
        <v>20337.67948960061</v>
      </c>
    </row>
    <row r="966" spans="1:2" hidden="1" x14ac:dyDescent="0.3">
      <c r="A966" s="1" t="s">
        <v>108</v>
      </c>
      <c r="B966">
        <v>20206.312946694001</v>
      </c>
    </row>
    <row r="967" spans="1:2" hidden="1" x14ac:dyDescent="0.3">
      <c r="A967" s="1" t="s">
        <v>108</v>
      </c>
      <c r="B967">
        <v>20086.776239635441</v>
      </c>
    </row>
    <row r="968" spans="1:2" hidden="1" x14ac:dyDescent="0.3">
      <c r="A968" s="1" t="s">
        <v>108</v>
      </c>
      <c r="B968">
        <v>19963.807638834431</v>
      </c>
    </row>
    <row r="969" spans="1:2" hidden="1" x14ac:dyDescent="0.3">
      <c r="A969" s="1" t="s">
        <v>108</v>
      </c>
      <c r="B969">
        <v>19849.767053977081</v>
      </c>
    </row>
    <row r="970" spans="1:2" hidden="1" x14ac:dyDescent="0.3">
      <c r="A970" s="1" t="s">
        <v>108</v>
      </c>
      <c r="B970">
        <v>19694.419168422221</v>
      </c>
    </row>
    <row r="971" spans="1:2" hidden="1" x14ac:dyDescent="0.3">
      <c r="A971" s="1" t="s">
        <v>108</v>
      </c>
      <c r="B971">
        <v>19548.686678210928</v>
      </c>
    </row>
    <row r="972" spans="1:2" hidden="1" x14ac:dyDescent="0.3">
      <c r="A972" s="1" t="s">
        <v>108</v>
      </c>
      <c r="B972">
        <v>19426.05446964908</v>
      </c>
    </row>
    <row r="973" spans="1:2" hidden="1" x14ac:dyDescent="0.3">
      <c r="A973" s="1" t="s">
        <v>108</v>
      </c>
      <c r="B973">
        <v>19287.936515057841</v>
      </c>
    </row>
    <row r="974" spans="1:2" hidden="1" x14ac:dyDescent="0.3">
      <c r="A974" s="1" t="s">
        <v>108</v>
      </c>
      <c r="B974">
        <v>19147.27046232051</v>
      </c>
    </row>
    <row r="975" spans="1:2" hidden="1" x14ac:dyDescent="0.3">
      <c r="A975" s="1" t="s">
        <v>108</v>
      </c>
      <c r="B975">
        <v>18985.784439091109</v>
      </c>
    </row>
    <row r="976" spans="1:2" hidden="1" x14ac:dyDescent="0.3">
      <c r="A976" s="1" t="s">
        <v>108</v>
      </c>
      <c r="B976">
        <v>18824.861523797979</v>
      </c>
    </row>
    <row r="977" spans="1:2" hidden="1" x14ac:dyDescent="0.3">
      <c r="A977" s="1" t="s">
        <v>108</v>
      </c>
      <c r="B977">
        <v>18672.942728802071</v>
      </c>
    </row>
    <row r="978" spans="1:2" hidden="1" x14ac:dyDescent="0.3">
      <c r="A978" s="1" t="s">
        <v>108</v>
      </c>
      <c r="B978">
        <v>18502.430688025401</v>
      </c>
    </row>
    <row r="979" spans="1:2" hidden="1" x14ac:dyDescent="0.3">
      <c r="A979" s="1" t="s">
        <v>108</v>
      </c>
      <c r="B979">
        <v>18345.768363603231</v>
      </c>
    </row>
    <row r="980" spans="1:2" hidden="1" x14ac:dyDescent="0.3">
      <c r="A980" s="1" t="s">
        <v>108</v>
      </c>
      <c r="B980">
        <v>18210.367709866699</v>
      </c>
    </row>
    <row r="981" spans="1:2" hidden="1" x14ac:dyDescent="0.3">
      <c r="A981" s="1" t="s">
        <v>108</v>
      </c>
      <c r="B981">
        <v>18046.568436264479</v>
      </c>
    </row>
    <row r="982" spans="1:2" hidden="1" x14ac:dyDescent="0.3">
      <c r="A982" s="1" t="s">
        <v>108</v>
      </c>
      <c r="B982">
        <v>17879.33087494244</v>
      </c>
    </row>
    <row r="983" spans="1:2" hidden="1" x14ac:dyDescent="0.3">
      <c r="A983" s="1" t="s">
        <v>108</v>
      </c>
      <c r="B983">
        <v>17721.50399754024</v>
      </c>
    </row>
    <row r="984" spans="1:2" hidden="1" x14ac:dyDescent="0.3">
      <c r="A984" s="1" t="s">
        <v>108</v>
      </c>
      <c r="B984">
        <v>17559.35439500535</v>
      </c>
    </row>
    <row r="985" spans="1:2" hidden="1" x14ac:dyDescent="0.3">
      <c r="A985" s="1" t="s">
        <v>108</v>
      </c>
      <c r="B985">
        <v>17396.59690237404</v>
      </c>
    </row>
    <row r="986" spans="1:2" hidden="1" x14ac:dyDescent="0.3">
      <c r="A986" s="1" t="s">
        <v>108</v>
      </c>
      <c r="B986">
        <v>17212.881287230921</v>
      </c>
    </row>
    <row r="987" spans="1:2" hidden="1" x14ac:dyDescent="0.3">
      <c r="A987" s="1" t="s">
        <v>108</v>
      </c>
      <c r="B987">
        <v>17039.044740085232</v>
      </c>
    </row>
    <row r="988" spans="1:2" hidden="1" x14ac:dyDescent="0.3">
      <c r="A988" s="1" t="s">
        <v>108</v>
      </c>
      <c r="B988">
        <v>16862.375768768619</v>
      </c>
    </row>
    <row r="989" spans="1:2" hidden="1" x14ac:dyDescent="0.3">
      <c r="A989" s="1" t="s">
        <v>108</v>
      </c>
      <c r="B989">
        <v>16669.15528041152</v>
      </c>
    </row>
    <row r="990" spans="1:2" hidden="1" x14ac:dyDescent="0.3">
      <c r="A990" s="1" t="s">
        <v>108</v>
      </c>
      <c r="B990">
        <v>16472.242267212521</v>
      </c>
    </row>
    <row r="991" spans="1:2" hidden="1" x14ac:dyDescent="0.3">
      <c r="A991" s="1" t="s">
        <v>108</v>
      </c>
      <c r="B991">
        <v>16282.909446522781</v>
      </c>
    </row>
    <row r="992" spans="1:2" hidden="1" x14ac:dyDescent="0.3">
      <c r="A992" s="1" t="s">
        <v>108</v>
      </c>
      <c r="B992">
        <v>16091.089352263571</v>
      </c>
    </row>
    <row r="993" spans="1:2" hidden="1" x14ac:dyDescent="0.3">
      <c r="A993" s="1" t="s">
        <v>108</v>
      </c>
      <c r="B993">
        <v>15908.27914528845</v>
      </c>
    </row>
    <row r="994" spans="1:2" hidden="1" x14ac:dyDescent="0.3">
      <c r="A994" s="1" t="s">
        <v>108</v>
      </c>
      <c r="B994">
        <v>15681.881277975421</v>
      </c>
    </row>
    <row r="995" spans="1:2" hidden="1" x14ac:dyDescent="0.3">
      <c r="A995" s="1" t="s">
        <v>108</v>
      </c>
      <c r="B995">
        <v>15476.2073119669</v>
      </c>
    </row>
    <row r="996" spans="1:2" hidden="1" x14ac:dyDescent="0.3">
      <c r="A996" s="1" t="s">
        <v>108</v>
      </c>
      <c r="B996">
        <v>15241.6975570923</v>
      </c>
    </row>
    <row r="997" spans="1:2" hidden="1" x14ac:dyDescent="0.3">
      <c r="A997" s="1" t="s">
        <v>108</v>
      </c>
      <c r="B997">
        <v>15096.81519999486</v>
      </c>
    </row>
    <row r="998" spans="1:2" hidden="1" x14ac:dyDescent="0.3">
      <c r="A998" s="1" t="s">
        <v>108</v>
      </c>
      <c r="B998">
        <v>14853.23433376697</v>
      </c>
    </row>
    <row r="999" spans="1:2" hidden="1" x14ac:dyDescent="0.3">
      <c r="A999" s="1" t="s">
        <v>108</v>
      </c>
      <c r="B999">
        <v>14618.279927449599</v>
      </c>
    </row>
    <row r="1000" spans="1:2" hidden="1" x14ac:dyDescent="0.3">
      <c r="A1000" s="1" t="s">
        <v>108</v>
      </c>
      <c r="B1000">
        <v>14404.120093318619</v>
      </c>
    </row>
    <row r="1001" spans="1:2" hidden="1" x14ac:dyDescent="0.3">
      <c r="A1001" s="1" t="s">
        <v>86</v>
      </c>
      <c r="B1001">
        <v>10888.543622841809</v>
      </c>
    </row>
    <row r="1002" spans="1:2" hidden="1" x14ac:dyDescent="0.3">
      <c r="A1002" s="1" t="s">
        <v>86</v>
      </c>
      <c r="B1002">
        <v>10889.489485220951</v>
      </c>
    </row>
    <row r="1003" spans="1:2" hidden="1" x14ac:dyDescent="0.3">
      <c r="A1003" s="1" t="s">
        <v>86</v>
      </c>
      <c r="B1003">
        <v>10863.84704469988</v>
      </c>
    </row>
    <row r="1004" spans="1:2" hidden="1" x14ac:dyDescent="0.3">
      <c r="A1004" s="1" t="s">
        <v>86</v>
      </c>
      <c r="B1004">
        <v>10836.99118924297</v>
      </c>
    </row>
    <row r="1005" spans="1:2" hidden="1" x14ac:dyDescent="0.3">
      <c r="A1005" s="1" t="s">
        <v>86</v>
      </c>
      <c r="B1005">
        <v>10808.905520454109</v>
      </c>
    </row>
    <row r="1006" spans="1:2" hidden="1" x14ac:dyDescent="0.3">
      <c r="A1006" s="1" t="s">
        <v>86</v>
      </c>
      <c r="B1006">
        <v>10779.57341570437</v>
      </c>
    </row>
    <row r="1007" spans="1:2" hidden="1" x14ac:dyDescent="0.3">
      <c r="A1007" s="1" t="s">
        <v>86</v>
      </c>
      <c r="B1007">
        <v>10748.978025119701</v>
      </c>
    </row>
    <row r="1008" spans="1:2" hidden="1" x14ac:dyDescent="0.3">
      <c r="A1008" s="1" t="s">
        <v>86</v>
      </c>
      <c r="B1008">
        <v>10729.70506717341</v>
      </c>
    </row>
    <row r="1009" spans="1:2" hidden="1" x14ac:dyDescent="0.3">
      <c r="A1009" s="1" t="s">
        <v>86</v>
      </c>
      <c r="B1009">
        <v>10710.255943522719</v>
      </c>
    </row>
    <row r="1010" spans="1:2" hidden="1" x14ac:dyDescent="0.3">
      <c r="A1010" s="1" t="s">
        <v>86</v>
      </c>
      <c r="B1010">
        <v>10703.65366205294</v>
      </c>
    </row>
    <row r="1011" spans="1:2" hidden="1" x14ac:dyDescent="0.3">
      <c r="A1011" s="1" t="s">
        <v>86</v>
      </c>
      <c r="B1011">
        <v>10667.831976856671</v>
      </c>
    </row>
    <row r="1012" spans="1:2" hidden="1" x14ac:dyDescent="0.3">
      <c r="A1012" s="1" t="s">
        <v>86</v>
      </c>
      <c r="B1012">
        <v>10643.44238113046</v>
      </c>
    </row>
    <row r="1013" spans="1:2" hidden="1" x14ac:dyDescent="0.3">
      <c r="A1013" s="1" t="s">
        <v>86</v>
      </c>
      <c r="B1013">
        <v>10573.25783904084</v>
      </c>
    </row>
    <row r="1014" spans="1:2" hidden="1" x14ac:dyDescent="0.3">
      <c r="A1014" s="1" t="s">
        <v>86</v>
      </c>
      <c r="B1014">
        <v>10533.327911708349</v>
      </c>
    </row>
    <row r="1015" spans="1:2" hidden="1" x14ac:dyDescent="0.3">
      <c r="A1015" s="1" t="s">
        <v>86</v>
      </c>
      <c r="B1015">
        <v>10504.416344140491</v>
      </c>
    </row>
    <row r="1016" spans="1:2" hidden="1" x14ac:dyDescent="0.3">
      <c r="A1016" s="1" t="s">
        <v>86</v>
      </c>
      <c r="B1016">
        <v>10461.65409909982</v>
      </c>
    </row>
    <row r="1017" spans="1:2" hidden="1" x14ac:dyDescent="0.3">
      <c r="A1017" s="1" t="s">
        <v>86</v>
      </c>
      <c r="B1017">
        <v>10417.446879751549</v>
      </c>
    </row>
    <row r="1018" spans="1:2" hidden="1" x14ac:dyDescent="0.3">
      <c r="A1018" s="1" t="s">
        <v>86</v>
      </c>
      <c r="B1018">
        <v>10385.114928643359</v>
      </c>
    </row>
    <row r="1019" spans="1:2" hidden="1" x14ac:dyDescent="0.3">
      <c r="A1019" s="1" t="s">
        <v>86</v>
      </c>
      <c r="B1019">
        <v>10350.924879496681</v>
      </c>
    </row>
    <row r="1020" spans="1:2" hidden="1" x14ac:dyDescent="0.3">
      <c r="A1020" s="1" t="s">
        <v>86</v>
      </c>
      <c r="B1020">
        <v>10314.86710657969</v>
      </c>
    </row>
    <row r="1021" spans="1:2" hidden="1" x14ac:dyDescent="0.3">
      <c r="A1021" s="1" t="s">
        <v>86</v>
      </c>
      <c r="B1021">
        <v>10279.003665438169</v>
      </c>
    </row>
    <row r="1022" spans="1:2" hidden="1" x14ac:dyDescent="0.3">
      <c r="A1022" s="1" t="s">
        <v>86</v>
      </c>
      <c r="B1022">
        <v>10227.272790755071</v>
      </c>
    </row>
    <row r="1023" spans="1:2" hidden="1" x14ac:dyDescent="0.3">
      <c r="A1023" s="1" t="s">
        <v>86</v>
      </c>
      <c r="B1023">
        <v>10173.975511771279</v>
      </c>
    </row>
    <row r="1024" spans="1:2" hidden="1" x14ac:dyDescent="0.3">
      <c r="A1024" s="1" t="s">
        <v>86</v>
      </c>
      <c r="B1024">
        <v>10157.82944801703</v>
      </c>
    </row>
    <row r="1025" spans="1:2" hidden="1" x14ac:dyDescent="0.3">
      <c r="A1025" s="1" t="s">
        <v>86</v>
      </c>
      <c r="B1025">
        <v>10101.335430702149</v>
      </c>
    </row>
    <row r="1026" spans="1:2" hidden="1" x14ac:dyDescent="0.3">
      <c r="A1026" s="1" t="s">
        <v>86</v>
      </c>
      <c r="B1026">
        <v>10056.36210449698</v>
      </c>
    </row>
    <row r="1027" spans="1:2" hidden="1" x14ac:dyDescent="0.3">
      <c r="A1027" s="1" t="s">
        <v>86</v>
      </c>
      <c r="B1027">
        <v>9996.5841657203055</v>
      </c>
    </row>
    <row r="1028" spans="1:2" hidden="1" x14ac:dyDescent="0.3">
      <c r="A1028" s="1" t="s">
        <v>86</v>
      </c>
      <c r="B1028">
        <v>9949.0515331180268</v>
      </c>
    </row>
    <row r="1029" spans="1:2" hidden="1" x14ac:dyDescent="0.3">
      <c r="A1029" s="1" t="s">
        <v>86</v>
      </c>
      <c r="B1029">
        <v>9898.5029015762502</v>
      </c>
    </row>
    <row r="1030" spans="1:2" hidden="1" x14ac:dyDescent="0.3">
      <c r="A1030" s="1" t="s">
        <v>86</v>
      </c>
      <c r="B1030">
        <v>9830.3208090653134</v>
      </c>
    </row>
    <row r="1031" spans="1:2" hidden="1" x14ac:dyDescent="0.3">
      <c r="A1031" s="1" t="s">
        <v>86</v>
      </c>
      <c r="B1031">
        <v>9763.7038668291934</v>
      </c>
    </row>
    <row r="1032" spans="1:2" hidden="1" x14ac:dyDescent="0.3">
      <c r="A1032" s="1" t="s">
        <v>86</v>
      </c>
      <c r="B1032">
        <v>9721.4681896169022</v>
      </c>
    </row>
    <row r="1033" spans="1:2" hidden="1" x14ac:dyDescent="0.3">
      <c r="A1033" s="1" t="s">
        <v>86</v>
      </c>
      <c r="B1033">
        <v>9664.6310009201752</v>
      </c>
    </row>
    <row r="1034" spans="1:2" hidden="1" x14ac:dyDescent="0.3">
      <c r="A1034" s="1" t="s">
        <v>86</v>
      </c>
      <c r="B1034">
        <v>9605.4208708912811</v>
      </c>
    </row>
    <row r="1035" spans="1:2" hidden="1" x14ac:dyDescent="0.3">
      <c r="A1035" s="1" t="s">
        <v>86</v>
      </c>
      <c r="B1035">
        <v>9531.5867105526831</v>
      </c>
    </row>
    <row r="1036" spans="1:2" hidden="1" x14ac:dyDescent="0.3">
      <c r="A1036" s="1" t="s">
        <v>86</v>
      </c>
      <c r="B1036">
        <v>9455.8867193904607</v>
      </c>
    </row>
    <row r="1037" spans="1:2" hidden="1" x14ac:dyDescent="0.3">
      <c r="A1037" s="1" t="s">
        <v>86</v>
      </c>
      <c r="B1037">
        <v>9388.6735962205166</v>
      </c>
    </row>
    <row r="1038" spans="1:2" hidden="1" x14ac:dyDescent="0.3">
      <c r="A1038" s="1" t="s">
        <v>86</v>
      </c>
      <c r="B1038">
        <v>9335.7106660238223</v>
      </c>
    </row>
    <row r="1039" spans="1:2" hidden="1" x14ac:dyDescent="0.3">
      <c r="A1039" s="1" t="s">
        <v>86</v>
      </c>
      <c r="B1039">
        <v>9267.226191420903</v>
      </c>
    </row>
    <row r="1040" spans="1:2" hidden="1" x14ac:dyDescent="0.3">
      <c r="A1040" s="1" t="s">
        <v>86</v>
      </c>
      <c r="B1040">
        <v>9197.3373180181534</v>
      </c>
    </row>
    <row r="1041" spans="1:2" hidden="1" x14ac:dyDescent="0.3">
      <c r="A1041" s="1" t="s">
        <v>86</v>
      </c>
      <c r="B1041">
        <v>9124.705191055391</v>
      </c>
    </row>
    <row r="1042" spans="1:2" hidden="1" x14ac:dyDescent="0.3">
      <c r="A1042" s="1" t="s">
        <v>86</v>
      </c>
      <c r="B1042">
        <v>9037.2671800269472</v>
      </c>
    </row>
    <row r="1043" spans="1:2" hidden="1" x14ac:dyDescent="0.3">
      <c r="A1043" s="1" t="s">
        <v>86</v>
      </c>
      <c r="B1043">
        <v>8960.3818201619724</v>
      </c>
    </row>
    <row r="1044" spans="1:2" hidden="1" x14ac:dyDescent="0.3">
      <c r="A1044" s="1" t="s">
        <v>86</v>
      </c>
      <c r="B1044">
        <v>8865.4210984149668</v>
      </c>
    </row>
    <row r="1045" spans="1:2" hidden="1" x14ac:dyDescent="0.3">
      <c r="A1045" s="1" t="s">
        <v>86</v>
      </c>
      <c r="B1045">
        <v>8785.0887449440761</v>
      </c>
    </row>
    <row r="1046" spans="1:2" hidden="1" x14ac:dyDescent="0.3">
      <c r="A1046" s="1" t="s">
        <v>86</v>
      </c>
      <c r="B1046">
        <v>8702.4335892721137</v>
      </c>
    </row>
    <row r="1047" spans="1:2" hidden="1" x14ac:dyDescent="0.3">
      <c r="A1047" s="1" t="s">
        <v>86</v>
      </c>
      <c r="B1047">
        <v>8617.4293692203501</v>
      </c>
    </row>
    <row r="1048" spans="1:2" hidden="1" x14ac:dyDescent="0.3">
      <c r="A1048" s="1" t="s">
        <v>86</v>
      </c>
      <c r="B1048">
        <v>8557.6944110390632</v>
      </c>
    </row>
    <row r="1049" spans="1:2" hidden="1" x14ac:dyDescent="0.3">
      <c r="A1049" s="1" t="s">
        <v>86</v>
      </c>
      <c r="B1049">
        <v>8480.3365588530742</v>
      </c>
    </row>
    <row r="1050" spans="1:2" hidden="1" x14ac:dyDescent="0.3">
      <c r="A1050" s="1" t="s">
        <v>86</v>
      </c>
      <c r="B1050">
        <v>8375.6982688918688</v>
      </c>
    </row>
    <row r="1051" spans="1:2" hidden="1" x14ac:dyDescent="0.3">
      <c r="A1051" s="1" t="s">
        <v>86</v>
      </c>
      <c r="B1051">
        <v>8266.261505536706</v>
      </c>
    </row>
    <row r="1052" spans="1:2" hidden="1" x14ac:dyDescent="0.3">
      <c r="A1052" s="1" t="s">
        <v>86</v>
      </c>
      <c r="B1052">
        <v>8171.5528953207586</v>
      </c>
    </row>
    <row r="1053" spans="1:2" hidden="1" x14ac:dyDescent="0.3">
      <c r="A1053" s="1" t="s">
        <v>86</v>
      </c>
      <c r="B1053">
        <v>8072.396971994056</v>
      </c>
    </row>
    <row r="1054" spans="1:2" hidden="1" x14ac:dyDescent="0.3">
      <c r="A1054" s="1" t="s">
        <v>86</v>
      </c>
      <c r="B1054">
        <v>8037.6042477150186</v>
      </c>
    </row>
    <row r="1055" spans="1:2" hidden="1" x14ac:dyDescent="0.3">
      <c r="A1055" s="1" t="s">
        <v>86</v>
      </c>
      <c r="B1055">
        <v>7921.2367886742704</v>
      </c>
    </row>
    <row r="1056" spans="1:2" hidden="1" x14ac:dyDescent="0.3">
      <c r="A1056" s="1" t="s">
        <v>86</v>
      </c>
      <c r="B1056">
        <v>7802.4273437368574</v>
      </c>
    </row>
    <row r="1057" spans="1:2" hidden="1" x14ac:dyDescent="0.3">
      <c r="A1057" s="1" t="s">
        <v>86</v>
      </c>
      <c r="B1057">
        <v>7693.5678504170883</v>
      </c>
    </row>
    <row r="1058" spans="1:2" hidden="1" x14ac:dyDescent="0.3">
      <c r="A1058" s="1" t="s">
        <v>86</v>
      </c>
      <c r="B1058">
        <v>7582.3775998545452</v>
      </c>
    </row>
    <row r="1059" spans="1:2" hidden="1" x14ac:dyDescent="0.3">
      <c r="A1059" s="1" t="s">
        <v>86</v>
      </c>
      <c r="B1059">
        <v>7482.9450837323611</v>
      </c>
    </row>
    <row r="1060" spans="1:2" hidden="1" x14ac:dyDescent="0.3">
      <c r="A1060" s="1" t="s">
        <v>86</v>
      </c>
      <c r="B1060">
        <v>7380.7229685695329</v>
      </c>
    </row>
    <row r="1061" spans="1:2" hidden="1" x14ac:dyDescent="0.3">
      <c r="A1061" s="1" t="s">
        <v>86</v>
      </c>
      <c r="B1061">
        <v>7288.3059666091567</v>
      </c>
    </row>
    <row r="1062" spans="1:2" hidden="1" x14ac:dyDescent="0.3">
      <c r="A1062" s="1" t="s">
        <v>86</v>
      </c>
      <c r="B1062">
        <v>7165.1193897501362</v>
      </c>
    </row>
    <row r="1063" spans="1:2" hidden="1" x14ac:dyDescent="0.3">
      <c r="A1063" s="1" t="s">
        <v>86</v>
      </c>
      <c r="B1063">
        <v>7040.8677596332427</v>
      </c>
    </row>
    <row r="1064" spans="1:2" hidden="1" x14ac:dyDescent="0.3">
      <c r="A1064" s="1" t="s">
        <v>86</v>
      </c>
      <c r="B1064">
        <v>6914.0771947106932</v>
      </c>
    </row>
    <row r="1065" spans="1:2" hidden="1" x14ac:dyDescent="0.3">
      <c r="A1065" s="1" t="s">
        <v>86</v>
      </c>
      <c r="B1065">
        <v>6797.1384857352041</v>
      </c>
    </row>
    <row r="1066" spans="1:2" hidden="1" x14ac:dyDescent="0.3">
      <c r="A1066" s="1" t="s">
        <v>86</v>
      </c>
      <c r="B1066">
        <v>6664.6181590591568</v>
      </c>
    </row>
    <row r="1067" spans="1:2" hidden="1" x14ac:dyDescent="0.3">
      <c r="A1067" s="1" t="s">
        <v>86</v>
      </c>
      <c r="B1067">
        <v>6544.7611340217409</v>
      </c>
    </row>
    <row r="1068" spans="1:2" hidden="1" x14ac:dyDescent="0.3">
      <c r="A1068" s="1" t="s">
        <v>86</v>
      </c>
      <c r="B1068">
        <v>6419.1455897221886</v>
      </c>
    </row>
    <row r="1069" spans="1:2" hidden="1" x14ac:dyDescent="0.3">
      <c r="A1069" s="1" t="s">
        <v>86</v>
      </c>
      <c r="B1069">
        <v>6292.2841687946056</v>
      </c>
    </row>
    <row r="1070" spans="1:2" hidden="1" x14ac:dyDescent="0.3">
      <c r="A1070" s="1" t="s">
        <v>86</v>
      </c>
      <c r="B1070">
        <v>6174.8978770740378</v>
      </c>
    </row>
    <row r="1071" spans="1:2" hidden="1" x14ac:dyDescent="0.3">
      <c r="A1071" s="1" t="s">
        <v>86</v>
      </c>
      <c r="B1071">
        <v>6027.656005805813</v>
      </c>
    </row>
    <row r="1072" spans="1:2" hidden="1" x14ac:dyDescent="0.3">
      <c r="A1072" s="1" t="s">
        <v>86</v>
      </c>
      <c r="B1072">
        <v>5890.8960950735391</v>
      </c>
    </row>
    <row r="1073" spans="1:2" hidden="1" x14ac:dyDescent="0.3">
      <c r="A1073" s="1" t="s">
        <v>86</v>
      </c>
      <c r="B1073">
        <v>5737.7355234841634</v>
      </c>
    </row>
    <row r="1074" spans="1:2" hidden="1" x14ac:dyDescent="0.3">
      <c r="A1074" s="1" t="s">
        <v>86</v>
      </c>
      <c r="B1074">
        <v>5622.2936444414618</v>
      </c>
    </row>
    <row r="1075" spans="1:2" hidden="1" x14ac:dyDescent="0.3">
      <c r="A1075" s="1" t="s">
        <v>86</v>
      </c>
      <c r="B1075">
        <v>5477.9296408311429</v>
      </c>
    </row>
    <row r="1076" spans="1:2" hidden="1" x14ac:dyDescent="0.3">
      <c r="A1076" s="1" t="s">
        <v>86</v>
      </c>
      <c r="B1076">
        <v>5315.492219565147</v>
      </c>
    </row>
    <row r="1077" spans="1:2" hidden="1" x14ac:dyDescent="0.3">
      <c r="A1077" s="1" t="s">
        <v>86</v>
      </c>
      <c r="B1077">
        <v>5203.4785752674406</v>
      </c>
    </row>
    <row r="1078" spans="1:2" hidden="1" x14ac:dyDescent="0.3">
      <c r="A1078" s="1" t="s">
        <v>86</v>
      </c>
      <c r="B1078">
        <v>5021.7383662084931</v>
      </c>
    </row>
    <row r="1079" spans="1:2" hidden="1" x14ac:dyDescent="0.3">
      <c r="A1079" s="1" t="s">
        <v>86</v>
      </c>
      <c r="B1079">
        <v>4888.5706682838636</v>
      </c>
    </row>
    <row r="1080" spans="1:2" hidden="1" x14ac:dyDescent="0.3">
      <c r="A1080" s="1" t="s">
        <v>86</v>
      </c>
      <c r="B1080">
        <v>4727.2632341865419</v>
      </c>
    </row>
    <row r="1081" spans="1:2" hidden="1" x14ac:dyDescent="0.3">
      <c r="A1081" s="1" t="s">
        <v>86</v>
      </c>
      <c r="B1081">
        <v>4548.7494761992693</v>
      </c>
    </row>
    <row r="1082" spans="1:2" hidden="1" x14ac:dyDescent="0.3">
      <c r="A1082" s="1" t="s">
        <v>86</v>
      </c>
      <c r="B1082">
        <v>4388.7994620986956</v>
      </c>
    </row>
    <row r="1083" spans="1:2" hidden="1" x14ac:dyDescent="0.3">
      <c r="A1083" s="1" t="s">
        <v>86</v>
      </c>
      <c r="B1083">
        <v>4216.4708454765496</v>
      </c>
    </row>
    <row r="1084" spans="1:2" hidden="1" x14ac:dyDescent="0.3">
      <c r="A1084" s="1" t="s">
        <v>86</v>
      </c>
      <c r="B1084">
        <v>4040.4345516173512</v>
      </c>
    </row>
    <row r="1085" spans="1:2" hidden="1" x14ac:dyDescent="0.3">
      <c r="A1085" s="1" t="s">
        <v>86</v>
      </c>
      <c r="B1085">
        <v>3847.0507444166028</v>
      </c>
    </row>
    <row r="1086" spans="1:2" hidden="1" x14ac:dyDescent="0.3">
      <c r="A1086" s="1" t="s">
        <v>86</v>
      </c>
      <c r="B1086">
        <v>3702.07652349195</v>
      </c>
    </row>
    <row r="1087" spans="1:2" hidden="1" x14ac:dyDescent="0.3">
      <c r="A1087" s="1" t="s">
        <v>86</v>
      </c>
      <c r="B1087">
        <v>3516.578405569604</v>
      </c>
    </row>
    <row r="1088" spans="1:2" hidden="1" x14ac:dyDescent="0.3">
      <c r="A1088" s="1" t="s">
        <v>86</v>
      </c>
      <c r="B1088">
        <v>3324.51144313944</v>
      </c>
    </row>
    <row r="1089" spans="1:2" hidden="1" x14ac:dyDescent="0.3">
      <c r="A1089" s="1" t="s">
        <v>86</v>
      </c>
      <c r="B1089">
        <v>3129.9275016145889</v>
      </c>
    </row>
    <row r="1090" spans="1:2" hidden="1" x14ac:dyDescent="0.3">
      <c r="A1090" s="1" t="s">
        <v>86</v>
      </c>
      <c r="B1090">
        <v>2940.274906731182</v>
      </c>
    </row>
    <row r="1091" spans="1:2" hidden="1" x14ac:dyDescent="0.3">
      <c r="A1091" s="1" t="s">
        <v>86</v>
      </c>
      <c r="B1091">
        <v>2752.0615419725568</v>
      </c>
    </row>
    <row r="1092" spans="1:2" hidden="1" x14ac:dyDescent="0.3">
      <c r="A1092" s="1" t="s">
        <v>86</v>
      </c>
      <c r="B1092">
        <v>2544.4722244638128</v>
      </c>
    </row>
    <row r="1093" spans="1:2" hidden="1" x14ac:dyDescent="0.3">
      <c r="A1093" s="1" t="s">
        <v>86</v>
      </c>
      <c r="B1093">
        <v>2348.4540097927029</v>
      </c>
    </row>
    <row r="1094" spans="1:2" hidden="1" x14ac:dyDescent="0.3">
      <c r="A1094" s="1" t="s">
        <v>86</v>
      </c>
      <c r="B1094">
        <v>2146.1182427582048</v>
      </c>
    </row>
    <row r="1095" spans="1:2" hidden="1" x14ac:dyDescent="0.3">
      <c r="A1095" s="1" t="s">
        <v>86</v>
      </c>
      <c r="B1095">
        <v>1908.679777112601</v>
      </c>
    </row>
    <row r="1096" spans="1:2" hidden="1" x14ac:dyDescent="0.3">
      <c r="A1096" s="1" t="s">
        <v>86</v>
      </c>
      <c r="B1096">
        <v>1685.0778986747309</v>
      </c>
    </row>
    <row r="1097" spans="1:2" hidden="1" x14ac:dyDescent="0.3">
      <c r="A1097" s="1" t="s">
        <v>86</v>
      </c>
      <c r="B1097">
        <v>1471.358129763154</v>
      </c>
    </row>
    <row r="1098" spans="1:2" hidden="1" x14ac:dyDescent="0.3">
      <c r="A1098" s="1" t="s">
        <v>86</v>
      </c>
      <c r="B1098">
        <v>1239.4194887297249</v>
      </c>
    </row>
    <row r="1099" spans="1:2" hidden="1" x14ac:dyDescent="0.3">
      <c r="A1099" s="1" t="s">
        <v>86</v>
      </c>
      <c r="B1099">
        <v>1029.2487014834239</v>
      </c>
    </row>
    <row r="1100" spans="1:2" hidden="1" x14ac:dyDescent="0.3">
      <c r="A1100" s="1" t="s">
        <v>86</v>
      </c>
      <c r="B1100">
        <v>817.18718558069861</v>
      </c>
    </row>
    <row r="1101" spans="1:2" hidden="1" x14ac:dyDescent="0.3">
      <c r="A1101" s="1" t="s">
        <v>109</v>
      </c>
      <c r="B1101">
        <v>27625.335914464809</v>
      </c>
    </row>
    <row r="1102" spans="1:2" hidden="1" x14ac:dyDescent="0.3">
      <c r="A1102" s="1" t="s">
        <v>109</v>
      </c>
      <c r="B1102">
        <v>27578.72773082865</v>
      </c>
    </row>
    <row r="1103" spans="1:2" hidden="1" x14ac:dyDescent="0.3">
      <c r="A1103" s="1" t="s">
        <v>109</v>
      </c>
      <c r="B1103">
        <v>27532.119547192469</v>
      </c>
    </row>
    <row r="1104" spans="1:2" hidden="1" x14ac:dyDescent="0.3">
      <c r="A1104" s="1" t="s">
        <v>109</v>
      </c>
      <c r="B1104">
        <v>27497.93636355631</v>
      </c>
    </row>
    <row r="1105" spans="1:2" hidden="1" x14ac:dyDescent="0.3">
      <c r="A1105" s="1" t="s">
        <v>109</v>
      </c>
      <c r="B1105">
        <v>27451.32817992015</v>
      </c>
    </row>
    <row r="1106" spans="1:2" hidden="1" x14ac:dyDescent="0.3">
      <c r="A1106" s="1" t="s">
        <v>109</v>
      </c>
      <c r="B1106">
        <v>27404.719996283991</v>
      </c>
    </row>
    <row r="1107" spans="1:2" hidden="1" x14ac:dyDescent="0.3">
      <c r="A1107" s="1" t="s">
        <v>109</v>
      </c>
      <c r="B1107">
        <v>27358.111812647821</v>
      </c>
    </row>
    <row r="1108" spans="1:2" hidden="1" x14ac:dyDescent="0.3">
      <c r="A1108" s="1" t="s">
        <v>109</v>
      </c>
      <c r="B1108">
        <v>27311.503629011659</v>
      </c>
    </row>
    <row r="1109" spans="1:2" hidden="1" x14ac:dyDescent="0.3">
      <c r="A1109" s="1" t="s">
        <v>109</v>
      </c>
      <c r="B1109">
        <v>27278.235247824461</v>
      </c>
    </row>
    <row r="1110" spans="1:2" hidden="1" x14ac:dyDescent="0.3">
      <c r="A1110" s="1" t="s">
        <v>109</v>
      </c>
      <c r="B1110">
        <v>27246.78656146508</v>
      </c>
    </row>
    <row r="1111" spans="1:2" hidden="1" x14ac:dyDescent="0.3">
      <c r="A1111" s="1" t="s">
        <v>109</v>
      </c>
      <c r="B1111">
        <v>27200.17837782891</v>
      </c>
    </row>
    <row r="1112" spans="1:2" hidden="1" x14ac:dyDescent="0.3">
      <c r="A1112" s="1" t="s">
        <v>109</v>
      </c>
      <c r="B1112">
        <v>27166.536259294069</v>
      </c>
    </row>
    <row r="1113" spans="1:2" hidden="1" x14ac:dyDescent="0.3">
      <c r="A1113" s="1" t="s">
        <v>109</v>
      </c>
      <c r="B1113">
        <v>27119.92807565791</v>
      </c>
    </row>
    <row r="1114" spans="1:2" hidden="1" x14ac:dyDescent="0.3">
      <c r="A1114" s="1" t="s">
        <v>109</v>
      </c>
      <c r="B1114">
        <v>27073.31989202174</v>
      </c>
    </row>
    <row r="1115" spans="1:2" hidden="1" x14ac:dyDescent="0.3">
      <c r="A1115" s="1" t="s">
        <v>109</v>
      </c>
      <c r="B1115">
        <v>27041.238610124259</v>
      </c>
    </row>
    <row r="1116" spans="1:2" hidden="1" x14ac:dyDescent="0.3">
      <c r="A1116" s="1" t="s">
        <v>109</v>
      </c>
      <c r="B1116">
        <v>26994.630426488078</v>
      </c>
    </row>
    <row r="1117" spans="1:2" hidden="1" x14ac:dyDescent="0.3">
      <c r="A1117" s="1" t="s">
        <v>109</v>
      </c>
      <c r="B1117">
        <v>26960.62504149567</v>
      </c>
    </row>
    <row r="1118" spans="1:2" hidden="1" x14ac:dyDescent="0.3">
      <c r="A1118" s="1" t="s">
        <v>109</v>
      </c>
      <c r="B1118">
        <v>26927.937561842758</v>
      </c>
    </row>
    <row r="1119" spans="1:2" hidden="1" x14ac:dyDescent="0.3">
      <c r="A1119" s="1" t="s">
        <v>109</v>
      </c>
      <c r="B1119">
        <v>26910.23649578659</v>
      </c>
    </row>
    <row r="1120" spans="1:2" hidden="1" x14ac:dyDescent="0.3">
      <c r="A1120" s="1" t="s">
        <v>109</v>
      </c>
      <c r="B1120">
        <v>26863.628312150431</v>
      </c>
    </row>
    <row r="1121" spans="1:2" hidden="1" x14ac:dyDescent="0.3">
      <c r="A1121" s="1" t="s">
        <v>109</v>
      </c>
      <c r="B1121">
        <v>26817.020128514261</v>
      </c>
    </row>
    <row r="1122" spans="1:2" hidden="1" x14ac:dyDescent="0.3">
      <c r="A1122" s="1" t="s">
        <v>109</v>
      </c>
      <c r="B1122">
        <v>26770.411944878098</v>
      </c>
    </row>
    <row r="1123" spans="1:2" hidden="1" x14ac:dyDescent="0.3">
      <c r="A1123" s="1" t="s">
        <v>109</v>
      </c>
      <c r="B1123">
        <v>26723.803761241939</v>
      </c>
    </row>
    <row r="1124" spans="1:2" hidden="1" x14ac:dyDescent="0.3">
      <c r="A1124" s="1" t="s">
        <v>109</v>
      </c>
      <c r="B1124">
        <v>26677.195577605769</v>
      </c>
    </row>
    <row r="1125" spans="1:2" hidden="1" x14ac:dyDescent="0.3">
      <c r="A1125" s="1" t="s">
        <v>109</v>
      </c>
      <c r="B1125">
        <v>26630.58739396961</v>
      </c>
    </row>
    <row r="1126" spans="1:2" hidden="1" x14ac:dyDescent="0.3">
      <c r="A1126" s="1" t="s">
        <v>109</v>
      </c>
      <c r="B1126">
        <v>26598.713988404281</v>
      </c>
    </row>
    <row r="1127" spans="1:2" hidden="1" x14ac:dyDescent="0.3">
      <c r="A1127" s="1" t="s">
        <v>109</v>
      </c>
      <c r="B1127">
        <v>26565.257411019509</v>
      </c>
    </row>
    <row r="1128" spans="1:2" hidden="1" x14ac:dyDescent="0.3">
      <c r="A1128" s="1" t="s">
        <v>109</v>
      </c>
      <c r="B1128">
        <v>26545.552274702059</v>
      </c>
    </row>
    <row r="1129" spans="1:2" hidden="1" x14ac:dyDescent="0.3">
      <c r="A1129" s="1" t="s">
        <v>109</v>
      </c>
      <c r="B1129">
        <v>26514.99010628953</v>
      </c>
    </row>
    <row r="1130" spans="1:2" hidden="1" x14ac:dyDescent="0.3">
      <c r="A1130" s="1" t="s">
        <v>109</v>
      </c>
      <c r="B1130">
        <v>26482.106235155781</v>
      </c>
    </row>
    <row r="1131" spans="1:2" hidden="1" x14ac:dyDescent="0.3">
      <c r="A1131" s="1" t="s">
        <v>109</v>
      </c>
      <c r="B1131">
        <v>26451.094510222982</v>
      </c>
    </row>
    <row r="1132" spans="1:2" hidden="1" x14ac:dyDescent="0.3">
      <c r="A1132" s="1" t="s">
        <v>109</v>
      </c>
      <c r="B1132">
        <v>26416.911326586829</v>
      </c>
    </row>
    <row r="1133" spans="1:2" hidden="1" x14ac:dyDescent="0.3">
      <c r="A1133" s="1" t="s">
        <v>109</v>
      </c>
      <c r="B1133">
        <v>26370.303142950659</v>
      </c>
    </row>
    <row r="1134" spans="1:2" hidden="1" x14ac:dyDescent="0.3">
      <c r="A1134" s="1" t="s">
        <v>109</v>
      </c>
      <c r="B1134">
        <v>26323.694959314489</v>
      </c>
    </row>
    <row r="1135" spans="1:2" hidden="1" x14ac:dyDescent="0.3">
      <c r="A1135" s="1" t="s">
        <v>109</v>
      </c>
      <c r="B1135">
        <v>26277.08677567833</v>
      </c>
    </row>
    <row r="1136" spans="1:2" hidden="1" x14ac:dyDescent="0.3">
      <c r="A1136" s="1" t="s">
        <v>109</v>
      </c>
      <c r="B1136">
        <v>26230.478592042171</v>
      </c>
    </row>
    <row r="1137" spans="1:2" hidden="1" x14ac:dyDescent="0.3">
      <c r="A1137" s="1" t="s">
        <v>109</v>
      </c>
      <c r="B1137">
        <v>26183.870408406008</v>
      </c>
    </row>
    <row r="1138" spans="1:2" hidden="1" x14ac:dyDescent="0.3">
      <c r="A1138" s="1" t="s">
        <v>109</v>
      </c>
      <c r="B1138">
        <v>26137.262224769831</v>
      </c>
    </row>
    <row r="1139" spans="1:2" hidden="1" x14ac:dyDescent="0.3">
      <c r="A1139" s="1" t="s">
        <v>109</v>
      </c>
      <c r="B1139">
        <v>26104.975999232451</v>
      </c>
    </row>
    <row r="1140" spans="1:2" hidden="1" x14ac:dyDescent="0.3">
      <c r="A1140" s="1" t="s">
        <v>109</v>
      </c>
      <c r="B1140">
        <v>26073.3134446576</v>
      </c>
    </row>
    <row r="1141" spans="1:2" hidden="1" x14ac:dyDescent="0.3">
      <c r="A1141" s="1" t="s">
        <v>109</v>
      </c>
      <c r="B1141">
        <v>26026.705261021441</v>
      </c>
    </row>
    <row r="1142" spans="1:2" hidden="1" x14ac:dyDescent="0.3">
      <c r="A1142" s="1" t="s">
        <v>109</v>
      </c>
      <c r="B1142">
        <v>26006.402944935551</v>
      </c>
    </row>
    <row r="1143" spans="1:2" hidden="1" x14ac:dyDescent="0.3">
      <c r="A1143" s="1" t="s">
        <v>109</v>
      </c>
      <c r="B1143">
        <v>25959.794761299388</v>
      </c>
    </row>
    <row r="1144" spans="1:2" hidden="1" x14ac:dyDescent="0.3">
      <c r="A1144" s="1" t="s">
        <v>109</v>
      </c>
      <c r="B1144">
        <v>25913.186577663229</v>
      </c>
    </row>
    <row r="1145" spans="1:2" hidden="1" x14ac:dyDescent="0.3">
      <c r="A1145" s="1" t="s">
        <v>109</v>
      </c>
      <c r="B1145">
        <v>25866.578394027059</v>
      </c>
    </row>
    <row r="1146" spans="1:2" hidden="1" x14ac:dyDescent="0.3">
      <c r="A1146" s="1" t="s">
        <v>109</v>
      </c>
      <c r="B1146">
        <v>25819.9702103909</v>
      </c>
    </row>
    <row r="1147" spans="1:2" hidden="1" x14ac:dyDescent="0.3">
      <c r="A1147" s="1" t="s">
        <v>109</v>
      </c>
      <c r="B1147">
        <v>25801.78446552678</v>
      </c>
    </row>
    <row r="1148" spans="1:2" hidden="1" x14ac:dyDescent="0.3">
      <c r="A1148" s="1" t="s">
        <v>109</v>
      </c>
      <c r="B1148">
        <v>25755.176281890621</v>
      </c>
    </row>
    <row r="1149" spans="1:2" hidden="1" x14ac:dyDescent="0.3">
      <c r="A1149" s="1" t="s">
        <v>109</v>
      </c>
      <c r="B1149">
        <v>25708.568098254462</v>
      </c>
    </row>
    <row r="1150" spans="1:2" hidden="1" x14ac:dyDescent="0.3">
      <c r="A1150" s="1" t="s">
        <v>109</v>
      </c>
      <c r="B1150">
        <v>25678.23554430826</v>
      </c>
    </row>
    <row r="1151" spans="1:2" hidden="1" x14ac:dyDescent="0.3">
      <c r="A1151" s="1" t="s">
        <v>109</v>
      </c>
      <c r="B1151">
        <v>25631.62736067209</v>
      </c>
    </row>
    <row r="1152" spans="1:2" hidden="1" x14ac:dyDescent="0.3">
      <c r="A1152" s="1" t="s">
        <v>109</v>
      </c>
      <c r="B1152">
        <v>25598.549868722981</v>
      </c>
    </row>
    <row r="1153" spans="1:2" hidden="1" x14ac:dyDescent="0.3">
      <c r="A1153" s="1" t="s">
        <v>109</v>
      </c>
      <c r="B1153">
        <v>25567.1011823636</v>
      </c>
    </row>
    <row r="1154" spans="1:2" hidden="1" x14ac:dyDescent="0.3">
      <c r="A1154" s="1" t="s">
        <v>109</v>
      </c>
      <c r="B1154">
        <v>25548.94060444937</v>
      </c>
    </row>
    <row r="1155" spans="1:2" hidden="1" x14ac:dyDescent="0.3">
      <c r="A1155" s="1" t="s">
        <v>109</v>
      </c>
      <c r="B1155">
        <v>25502.3324208132</v>
      </c>
    </row>
    <row r="1156" spans="1:2" hidden="1" x14ac:dyDescent="0.3">
      <c r="A1156" s="1" t="s">
        <v>109</v>
      </c>
      <c r="B1156">
        <v>25455.724237177041</v>
      </c>
    </row>
    <row r="1157" spans="1:2" hidden="1" x14ac:dyDescent="0.3">
      <c r="A1157" s="1" t="s">
        <v>109</v>
      </c>
      <c r="B1157">
        <v>25409.116053540871</v>
      </c>
    </row>
    <row r="1158" spans="1:2" hidden="1" x14ac:dyDescent="0.3">
      <c r="A1158" s="1" t="s">
        <v>109</v>
      </c>
      <c r="B1158">
        <v>25388.44261769775</v>
      </c>
    </row>
    <row r="1159" spans="1:2" hidden="1" x14ac:dyDescent="0.3">
      <c r="A1159" s="1" t="s">
        <v>109</v>
      </c>
      <c r="B1159">
        <v>25341.834434061591</v>
      </c>
    </row>
    <row r="1160" spans="1:2" hidden="1" x14ac:dyDescent="0.3">
      <c r="A1160" s="1" t="s">
        <v>109</v>
      </c>
      <c r="B1160">
        <v>25307.651250425421</v>
      </c>
    </row>
    <row r="1161" spans="1:2" hidden="1" x14ac:dyDescent="0.3">
      <c r="A1161" s="1" t="s">
        <v>109</v>
      </c>
      <c r="B1161">
        <v>25261.043066789269</v>
      </c>
    </row>
    <row r="1162" spans="1:2" hidden="1" x14ac:dyDescent="0.3">
      <c r="A1162" s="1" t="s">
        <v>109</v>
      </c>
      <c r="B1162">
        <v>25214.434883153099</v>
      </c>
    </row>
    <row r="1163" spans="1:2" hidden="1" x14ac:dyDescent="0.3">
      <c r="A1163" s="1" t="s">
        <v>109</v>
      </c>
      <c r="B1163">
        <v>25183.20312540988</v>
      </c>
    </row>
    <row r="1164" spans="1:2" hidden="1" x14ac:dyDescent="0.3">
      <c r="A1164" s="1" t="s">
        <v>109</v>
      </c>
      <c r="B1164">
        <v>25136.594941773721</v>
      </c>
    </row>
    <row r="1165" spans="1:2" hidden="1" x14ac:dyDescent="0.3">
      <c r="A1165" s="1" t="s">
        <v>109</v>
      </c>
      <c r="B1165">
        <v>25117.830976417052</v>
      </c>
    </row>
    <row r="1166" spans="1:2" hidden="1" x14ac:dyDescent="0.3">
      <c r="A1166" s="1" t="s">
        <v>109</v>
      </c>
      <c r="B1166">
        <v>25085.957570851711</v>
      </c>
    </row>
    <row r="1167" spans="1:2" hidden="1" x14ac:dyDescent="0.3">
      <c r="A1167" s="1" t="s">
        <v>109</v>
      </c>
      <c r="B1167">
        <v>25039.349387215541</v>
      </c>
    </row>
    <row r="1168" spans="1:2" hidden="1" x14ac:dyDescent="0.3">
      <c r="A1168" s="1" t="s">
        <v>109</v>
      </c>
      <c r="B1168">
        <v>24992.741203579379</v>
      </c>
    </row>
    <row r="1169" spans="1:2" hidden="1" x14ac:dyDescent="0.3">
      <c r="A1169" s="1" t="s">
        <v>109</v>
      </c>
      <c r="B1169">
        <v>24946.13301994322</v>
      </c>
    </row>
    <row r="1170" spans="1:2" hidden="1" x14ac:dyDescent="0.3">
      <c r="A1170" s="1" t="s">
        <v>109</v>
      </c>
      <c r="B1170">
        <v>24899.52483630706</v>
      </c>
    </row>
    <row r="1171" spans="1:2" hidden="1" x14ac:dyDescent="0.3">
      <c r="A1171" s="1" t="s">
        <v>109</v>
      </c>
      <c r="B1171">
        <v>24852.91665267089</v>
      </c>
    </row>
    <row r="1172" spans="1:2" hidden="1" x14ac:dyDescent="0.3">
      <c r="A1172" s="1" t="s">
        <v>109</v>
      </c>
      <c r="B1172">
        <v>24806.308469034731</v>
      </c>
    </row>
    <row r="1173" spans="1:2" hidden="1" x14ac:dyDescent="0.3">
      <c r="A1173" s="1" t="s">
        <v>109</v>
      </c>
      <c r="B1173">
        <v>24772.66635049988</v>
      </c>
    </row>
    <row r="1174" spans="1:2" hidden="1" x14ac:dyDescent="0.3">
      <c r="A1174" s="1" t="s">
        <v>109</v>
      </c>
      <c r="B1174">
        <v>24739.397969312678</v>
      </c>
    </row>
    <row r="1175" spans="1:2" hidden="1" x14ac:dyDescent="0.3">
      <c r="A1175" s="1" t="s">
        <v>109</v>
      </c>
      <c r="B1175">
        <v>24692.789785676508</v>
      </c>
    </row>
    <row r="1176" spans="1:2" hidden="1" x14ac:dyDescent="0.3">
      <c r="A1176" s="1" t="s">
        <v>109</v>
      </c>
      <c r="B1176">
        <v>24658.784400684101</v>
      </c>
    </row>
    <row r="1177" spans="1:2" hidden="1" x14ac:dyDescent="0.3">
      <c r="A1177" s="1" t="s">
        <v>109</v>
      </c>
      <c r="B1177">
        <v>24658.140649073692</v>
      </c>
    </row>
    <row r="1178" spans="1:2" hidden="1" x14ac:dyDescent="0.3">
      <c r="A1178" s="1" t="s">
        <v>109</v>
      </c>
      <c r="B1178">
        <v>24611.532465437529</v>
      </c>
    </row>
    <row r="1179" spans="1:2" hidden="1" x14ac:dyDescent="0.3">
      <c r="A1179" s="1" t="s">
        <v>109</v>
      </c>
      <c r="B1179">
        <v>24564.924281801359</v>
      </c>
    </row>
    <row r="1180" spans="1:2" hidden="1" x14ac:dyDescent="0.3">
      <c r="A1180" s="1" t="s">
        <v>109</v>
      </c>
      <c r="B1180">
        <v>24518.3160981652</v>
      </c>
    </row>
    <row r="1181" spans="1:2" hidden="1" x14ac:dyDescent="0.3">
      <c r="A1181" s="1" t="s">
        <v>109</v>
      </c>
      <c r="B1181">
        <v>24486.653543590372</v>
      </c>
    </row>
    <row r="1182" spans="1:2" hidden="1" x14ac:dyDescent="0.3">
      <c r="A1182" s="1" t="s">
        <v>109</v>
      </c>
      <c r="B1182">
        <v>24440.045359954202</v>
      </c>
    </row>
    <row r="1183" spans="1:2" hidden="1" x14ac:dyDescent="0.3">
      <c r="A1183" s="1" t="s">
        <v>109</v>
      </c>
      <c r="B1183">
        <v>24393.437176318039</v>
      </c>
    </row>
    <row r="1184" spans="1:2" hidden="1" x14ac:dyDescent="0.3">
      <c r="A1184" s="1" t="s">
        <v>109</v>
      </c>
      <c r="B1184">
        <v>24346.828992681869</v>
      </c>
    </row>
    <row r="1185" spans="1:2" hidden="1" x14ac:dyDescent="0.3">
      <c r="A1185" s="1" t="s">
        <v>109</v>
      </c>
      <c r="B1185">
        <v>24300.22080904571</v>
      </c>
    </row>
    <row r="1186" spans="1:2" hidden="1" x14ac:dyDescent="0.3">
      <c r="A1186" s="1" t="s">
        <v>109</v>
      </c>
      <c r="B1186">
        <v>24267.143317096601</v>
      </c>
    </row>
    <row r="1187" spans="1:2" hidden="1" x14ac:dyDescent="0.3">
      <c r="A1187" s="1" t="s">
        <v>109</v>
      </c>
      <c r="B1187">
        <v>24220.535133460431</v>
      </c>
    </row>
    <row r="1188" spans="1:2" hidden="1" x14ac:dyDescent="0.3">
      <c r="A1188" s="1" t="s">
        <v>109</v>
      </c>
      <c r="B1188">
        <v>24199.135091365912</v>
      </c>
    </row>
    <row r="1189" spans="1:2" hidden="1" x14ac:dyDescent="0.3">
      <c r="A1189" s="1" t="s">
        <v>109</v>
      </c>
      <c r="B1189">
        <v>24152.526907729749</v>
      </c>
    </row>
    <row r="1190" spans="1:2" hidden="1" x14ac:dyDescent="0.3">
      <c r="A1190" s="1" t="s">
        <v>109</v>
      </c>
      <c r="B1190">
        <v>24132.991034328239</v>
      </c>
    </row>
    <row r="1191" spans="1:2" hidden="1" x14ac:dyDescent="0.3">
      <c r="A1191" s="1" t="s">
        <v>109</v>
      </c>
      <c r="B1191">
        <v>24086.382850692069</v>
      </c>
    </row>
    <row r="1192" spans="1:2" hidden="1" x14ac:dyDescent="0.3">
      <c r="A1192" s="1" t="s">
        <v>109</v>
      </c>
      <c r="B1192">
        <v>24039.77466705591</v>
      </c>
    </row>
    <row r="1193" spans="1:2" hidden="1" x14ac:dyDescent="0.3">
      <c r="A1193" s="1" t="s">
        <v>109</v>
      </c>
      <c r="B1193">
        <v>24007.693385158422</v>
      </c>
    </row>
    <row r="1194" spans="1:2" hidden="1" x14ac:dyDescent="0.3">
      <c r="A1194" s="1" t="s">
        <v>109</v>
      </c>
      <c r="B1194">
        <v>23976.90484165055</v>
      </c>
    </row>
    <row r="1195" spans="1:2" hidden="1" x14ac:dyDescent="0.3">
      <c r="A1195" s="1" t="s">
        <v>109</v>
      </c>
      <c r="B1195">
        <v>23945.456155291169</v>
      </c>
    </row>
    <row r="1196" spans="1:2" hidden="1" x14ac:dyDescent="0.3">
      <c r="A1196" s="1" t="s">
        <v>109</v>
      </c>
      <c r="B1196">
        <v>23898.847971655021</v>
      </c>
    </row>
    <row r="1197" spans="1:2" hidden="1" x14ac:dyDescent="0.3">
      <c r="A1197" s="1" t="s">
        <v>109</v>
      </c>
      <c r="B1197">
        <v>23852.239788018851</v>
      </c>
    </row>
    <row r="1198" spans="1:2" hidden="1" x14ac:dyDescent="0.3">
      <c r="A1198" s="1" t="s">
        <v>109</v>
      </c>
      <c r="B1198">
        <v>23805.631604382681</v>
      </c>
    </row>
    <row r="1199" spans="1:2" hidden="1" x14ac:dyDescent="0.3">
      <c r="A1199" s="1" t="s">
        <v>109</v>
      </c>
      <c r="B1199">
        <v>23772.74773324894</v>
      </c>
    </row>
    <row r="1200" spans="1:2" hidden="1" x14ac:dyDescent="0.3">
      <c r="A1200" s="1" t="s">
        <v>109</v>
      </c>
      <c r="B1200">
        <v>23742.415179302749</v>
      </c>
    </row>
    <row r="1201" spans="1:2" hidden="1" x14ac:dyDescent="0.3">
      <c r="A1201" s="1" t="s">
        <v>110</v>
      </c>
      <c r="B1201">
        <v>14115.5470194232</v>
      </c>
    </row>
    <row r="1202" spans="1:2" hidden="1" x14ac:dyDescent="0.3">
      <c r="A1202" s="1" t="s">
        <v>110</v>
      </c>
      <c r="B1202">
        <v>14095.825604871599</v>
      </c>
    </row>
    <row r="1203" spans="1:2" hidden="1" x14ac:dyDescent="0.3">
      <c r="A1203" s="1" t="s">
        <v>110</v>
      </c>
      <c r="B1203">
        <v>14049.21742123544</v>
      </c>
    </row>
    <row r="1204" spans="1:2" hidden="1" x14ac:dyDescent="0.3">
      <c r="A1204" s="1" t="s">
        <v>110</v>
      </c>
      <c r="B1204">
        <v>14002.60923759927</v>
      </c>
    </row>
    <row r="1205" spans="1:2" hidden="1" x14ac:dyDescent="0.3">
      <c r="A1205" s="1" t="s">
        <v>110</v>
      </c>
      <c r="B1205">
        <v>13984.908171543109</v>
      </c>
    </row>
    <row r="1206" spans="1:2" hidden="1" x14ac:dyDescent="0.3">
      <c r="A1206" s="1" t="s">
        <v>110</v>
      </c>
      <c r="B1206">
        <v>13938.299987906939</v>
      </c>
    </row>
    <row r="1207" spans="1:2" hidden="1" x14ac:dyDescent="0.3">
      <c r="A1207" s="1" t="s">
        <v>110</v>
      </c>
      <c r="B1207">
        <v>13891.691804270769</v>
      </c>
    </row>
    <row r="1208" spans="1:2" hidden="1" x14ac:dyDescent="0.3">
      <c r="A1208" s="1" t="s">
        <v>110</v>
      </c>
      <c r="B1208">
        <v>13859.61052237329</v>
      </c>
    </row>
    <row r="1209" spans="1:2" hidden="1" x14ac:dyDescent="0.3">
      <c r="A1209" s="1" t="s">
        <v>110</v>
      </c>
      <c r="B1209">
        <v>13813.002338737129</v>
      </c>
    </row>
    <row r="1210" spans="1:2" hidden="1" x14ac:dyDescent="0.3">
      <c r="A1210" s="1" t="s">
        <v>110</v>
      </c>
      <c r="B1210">
        <v>13778.99695374471</v>
      </c>
    </row>
    <row r="1211" spans="1:2" hidden="1" x14ac:dyDescent="0.3">
      <c r="A1211" s="1" t="s">
        <v>110</v>
      </c>
      <c r="B1211">
        <v>13746.50867588562</v>
      </c>
    </row>
    <row r="1212" spans="1:2" hidden="1" x14ac:dyDescent="0.3">
      <c r="A1212" s="1" t="s">
        <v>110</v>
      </c>
      <c r="B1212">
        <v>13699.900492249461</v>
      </c>
    </row>
    <row r="1213" spans="1:2" hidden="1" x14ac:dyDescent="0.3">
      <c r="A1213" s="1" t="s">
        <v>110</v>
      </c>
      <c r="B1213">
        <v>13653.2923086133</v>
      </c>
    </row>
    <row r="1214" spans="1:2" hidden="1" x14ac:dyDescent="0.3">
      <c r="A1214" s="1" t="s">
        <v>110</v>
      </c>
      <c r="B1214">
        <v>13606.68412497713</v>
      </c>
    </row>
    <row r="1215" spans="1:2" hidden="1" x14ac:dyDescent="0.3">
      <c r="A1215" s="1" t="s">
        <v>110</v>
      </c>
      <c r="B1215">
        <v>13602.99787531841</v>
      </c>
    </row>
    <row r="1216" spans="1:2" hidden="1" x14ac:dyDescent="0.3">
      <c r="A1216" s="1" t="s">
        <v>110</v>
      </c>
      <c r="B1216">
        <v>13571.98615038561</v>
      </c>
    </row>
    <row r="1217" spans="1:2" hidden="1" x14ac:dyDescent="0.3">
      <c r="A1217" s="1" t="s">
        <v>110</v>
      </c>
      <c r="B1217">
        <v>13525.377966749449</v>
      </c>
    </row>
    <row r="1218" spans="1:2" hidden="1" x14ac:dyDescent="0.3">
      <c r="A1218" s="1" t="s">
        <v>110</v>
      </c>
      <c r="B1218">
        <v>13493.504561184111</v>
      </c>
    </row>
    <row r="1219" spans="1:2" hidden="1" x14ac:dyDescent="0.3">
      <c r="A1219" s="1" t="s">
        <v>110</v>
      </c>
      <c r="B1219">
        <v>13459.67951908959</v>
      </c>
    </row>
    <row r="1220" spans="1:2" hidden="1" x14ac:dyDescent="0.3">
      <c r="A1220" s="1" t="s">
        <v>110</v>
      </c>
      <c r="B1220">
        <v>13413.071335453429</v>
      </c>
    </row>
    <row r="1221" spans="1:2" hidden="1" x14ac:dyDescent="0.3">
      <c r="A1221" s="1" t="s">
        <v>110</v>
      </c>
      <c r="B1221">
        <v>13366.463151817259</v>
      </c>
    </row>
    <row r="1222" spans="1:2" hidden="1" x14ac:dyDescent="0.3">
      <c r="A1222" s="1" t="s">
        <v>110</v>
      </c>
      <c r="B1222">
        <v>13319.8549681811</v>
      </c>
    </row>
    <row r="1223" spans="1:2" hidden="1" x14ac:dyDescent="0.3">
      <c r="A1223" s="1" t="s">
        <v>110</v>
      </c>
      <c r="B1223">
        <v>13273.24678454493</v>
      </c>
    </row>
    <row r="1224" spans="1:2" hidden="1" x14ac:dyDescent="0.3">
      <c r="A1224" s="1" t="s">
        <v>110</v>
      </c>
      <c r="B1224">
        <v>13226.638600908769</v>
      </c>
    </row>
    <row r="1225" spans="1:2" hidden="1" x14ac:dyDescent="0.3">
      <c r="A1225" s="1" t="s">
        <v>110</v>
      </c>
      <c r="B1225">
        <v>13206.777375371379</v>
      </c>
    </row>
    <row r="1226" spans="1:2" hidden="1" x14ac:dyDescent="0.3">
      <c r="A1226" s="1" t="s">
        <v>110</v>
      </c>
      <c r="B1226">
        <v>13160.169191735209</v>
      </c>
    </row>
    <row r="1227" spans="1:2" hidden="1" x14ac:dyDescent="0.3">
      <c r="A1227" s="1" t="s">
        <v>110</v>
      </c>
      <c r="B1227">
        <v>13113.56100809905</v>
      </c>
    </row>
    <row r="1228" spans="1:2" hidden="1" x14ac:dyDescent="0.3">
      <c r="A1228" s="1" t="s">
        <v>110</v>
      </c>
      <c r="B1228">
        <v>13066.95282446288</v>
      </c>
    </row>
    <row r="1229" spans="1:2" hidden="1" x14ac:dyDescent="0.3">
      <c r="A1229" s="1" t="s">
        <v>110</v>
      </c>
      <c r="B1229">
        <v>13033.684443275681</v>
      </c>
    </row>
    <row r="1230" spans="1:2" hidden="1" x14ac:dyDescent="0.3">
      <c r="A1230" s="1" t="s">
        <v>110</v>
      </c>
      <c r="B1230">
        <v>13002.02188870085</v>
      </c>
    </row>
    <row r="1231" spans="1:2" hidden="1" x14ac:dyDescent="0.3">
      <c r="A1231" s="1" t="s">
        <v>110</v>
      </c>
      <c r="B1231">
        <v>12971.23334519297</v>
      </c>
    </row>
    <row r="1232" spans="1:2" hidden="1" x14ac:dyDescent="0.3">
      <c r="A1232" s="1" t="s">
        <v>110</v>
      </c>
      <c r="B1232">
        <v>12937.591226658131</v>
      </c>
    </row>
    <row r="1233" spans="1:2" hidden="1" x14ac:dyDescent="0.3">
      <c r="A1233" s="1" t="s">
        <v>110</v>
      </c>
      <c r="B1233">
        <v>12890.98304302197</v>
      </c>
    </row>
    <row r="1234" spans="1:2" hidden="1" x14ac:dyDescent="0.3">
      <c r="A1234" s="1" t="s">
        <v>110</v>
      </c>
      <c r="B1234">
        <v>12844.374859385811</v>
      </c>
    </row>
    <row r="1235" spans="1:2" hidden="1" x14ac:dyDescent="0.3">
      <c r="A1235" s="1" t="s">
        <v>110</v>
      </c>
      <c r="B1235">
        <v>12797.766675749641</v>
      </c>
    </row>
    <row r="1236" spans="1:2" hidden="1" x14ac:dyDescent="0.3">
      <c r="A1236" s="1" t="s">
        <v>110</v>
      </c>
      <c r="B1236">
        <v>12751.15849211348</v>
      </c>
    </row>
    <row r="1237" spans="1:2" hidden="1" x14ac:dyDescent="0.3">
      <c r="A1237" s="1" t="s">
        <v>110</v>
      </c>
      <c r="B1237">
        <v>12704.55030847731</v>
      </c>
    </row>
    <row r="1238" spans="1:2" hidden="1" x14ac:dyDescent="0.3">
      <c r="A1238" s="1" t="s">
        <v>110</v>
      </c>
      <c r="B1238">
        <v>12688.138458514361</v>
      </c>
    </row>
    <row r="1239" spans="1:2" hidden="1" x14ac:dyDescent="0.3">
      <c r="A1239" s="1" t="s">
        <v>110</v>
      </c>
      <c r="B1239">
        <v>12667.663765208999</v>
      </c>
    </row>
    <row r="1240" spans="1:2" hidden="1" x14ac:dyDescent="0.3">
      <c r="A1240" s="1" t="s">
        <v>110</v>
      </c>
      <c r="B1240">
        <v>12621.05558157284</v>
      </c>
    </row>
    <row r="1241" spans="1:2" hidden="1" x14ac:dyDescent="0.3">
      <c r="A1241" s="1" t="s">
        <v>110</v>
      </c>
      <c r="B1241">
        <v>12589.606895213459</v>
      </c>
    </row>
    <row r="1242" spans="1:2" hidden="1" x14ac:dyDescent="0.3">
      <c r="A1242" s="1" t="s">
        <v>110</v>
      </c>
      <c r="B1242">
        <v>12542.9987115773</v>
      </c>
    </row>
    <row r="1243" spans="1:2" hidden="1" x14ac:dyDescent="0.3">
      <c r="A1243" s="1" t="s">
        <v>110</v>
      </c>
      <c r="B1243">
        <v>12496.390527941139</v>
      </c>
    </row>
    <row r="1244" spans="1:2" hidden="1" x14ac:dyDescent="0.3">
      <c r="A1244" s="1" t="s">
        <v>110</v>
      </c>
      <c r="B1244">
        <v>12449.78234430498</v>
      </c>
    </row>
    <row r="1245" spans="1:2" hidden="1" x14ac:dyDescent="0.3">
      <c r="A1245" s="1" t="s">
        <v>110</v>
      </c>
      <c r="B1245">
        <v>12403.17416066881</v>
      </c>
    </row>
    <row r="1246" spans="1:2" hidden="1" x14ac:dyDescent="0.3">
      <c r="A1246" s="1" t="s">
        <v>110</v>
      </c>
      <c r="B1246">
        <v>12356.56597703264</v>
      </c>
    </row>
    <row r="1247" spans="1:2" hidden="1" x14ac:dyDescent="0.3">
      <c r="A1247" s="1" t="s">
        <v>110</v>
      </c>
      <c r="B1247">
        <v>12351.75620716364</v>
      </c>
    </row>
    <row r="1248" spans="1:2" hidden="1" x14ac:dyDescent="0.3">
      <c r="A1248" s="1" t="s">
        <v>110</v>
      </c>
      <c r="B1248">
        <v>12305.14802352747</v>
      </c>
    </row>
    <row r="1249" spans="1:2" hidden="1" x14ac:dyDescent="0.3">
      <c r="A1249" s="1" t="s">
        <v>110</v>
      </c>
      <c r="B1249">
        <v>12271.32298143295</v>
      </c>
    </row>
    <row r="1250" spans="1:2" hidden="1" x14ac:dyDescent="0.3">
      <c r="A1250" s="1" t="s">
        <v>110</v>
      </c>
      <c r="B1250">
        <v>12253.815536192151</v>
      </c>
    </row>
    <row r="1251" spans="1:2" hidden="1" x14ac:dyDescent="0.3">
      <c r="A1251" s="1" t="s">
        <v>110</v>
      </c>
      <c r="B1251">
        <v>12207.207352555981</v>
      </c>
    </row>
    <row r="1252" spans="1:2" hidden="1" x14ac:dyDescent="0.3">
      <c r="A1252" s="1" t="s">
        <v>110</v>
      </c>
      <c r="B1252">
        <v>12160.59916891982</v>
      </c>
    </row>
    <row r="1253" spans="1:2" hidden="1" x14ac:dyDescent="0.3">
      <c r="A1253" s="1" t="s">
        <v>110</v>
      </c>
      <c r="B1253">
        <v>12126.41598528366</v>
      </c>
    </row>
    <row r="1254" spans="1:2" hidden="1" x14ac:dyDescent="0.3">
      <c r="A1254" s="1" t="s">
        <v>110</v>
      </c>
      <c r="B1254">
        <v>12079.80780164749</v>
      </c>
    </row>
    <row r="1255" spans="1:2" hidden="1" x14ac:dyDescent="0.3">
      <c r="A1255" s="1" t="s">
        <v>110</v>
      </c>
      <c r="B1255">
        <v>12033.199618011329</v>
      </c>
    </row>
    <row r="1256" spans="1:2" hidden="1" x14ac:dyDescent="0.3">
      <c r="A1256" s="1" t="s">
        <v>110</v>
      </c>
      <c r="B1256">
        <v>11986.591434375159</v>
      </c>
    </row>
    <row r="1257" spans="1:2" hidden="1" x14ac:dyDescent="0.3">
      <c r="A1257" s="1" t="s">
        <v>110</v>
      </c>
      <c r="B1257">
        <v>11939.983250739</v>
      </c>
    </row>
    <row r="1258" spans="1:2" hidden="1" x14ac:dyDescent="0.3">
      <c r="A1258" s="1" t="s">
        <v>110</v>
      </c>
      <c r="B1258">
        <v>11908.109845173671</v>
      </c>
    </row>
    <row r="1259" spans="1:2" hidden="1" x14ac:dyDescent="0.3">
      <c r="A1259" s="1" t="s">
        <v>110</v>
      </c>
      <c r="B1259">
        <v>11861.501661537501</v>
      </c>
    </row>
    <row r="1260" spans="1:2" hidden="1" x14ac:dyDescent="0.3">
      <c r="A1260" s="1" t="s">
        <v>110</v>
      </c>
      <c r="B1260">
        <v>11814.89347790134</v>
      </c>
    </row>
    <row r="1261" spans="1:2" hidden="1" x14ac:dyDescent="0.3">
      <c r="A1261" s="1" t="s">
        <v>110</v>
      </c>
      <c r="B1261">
        <v>11783.88175296854</v>
      </c>
    </row>
    <row r="1262" spans="1:2" hidden="1" x14ac:dyDescent="0.3">
      <c r="A1262" s="1" t="s">
        <v>110</v>
      </c>
      <c r="B1262">
        <v>11764.9353298801</v>
      </c>
    </row>
    <row r="1263" spans="1:2" hidden="1" x14ac:dyDescent="0.3">
      <c r="A1263" s="1" t="s">
        <v>110</v>
      </c>
      <c r="B1263">
        <v>11747.33922656888</v>
      </c>
    </row>
    <row r="1264" spans="1:2" hidden="1" x14ac:dyDescent="0.3">
      <c r="A1264" s="1" t="s">
        <v>110</v>
      </c>
      <c r="B1264">
        <v>11700.73104293271</v>
      </c>
    </row>
    <row r="1265" spans="1:2" hidden="1" x14ac:dyDescent="0.3">
      <c r="A1265" s="1" t="s">
        <v>110</v>
      </c>
      <c r="B1265">
        <v>11654.12285929656</v>
      </c>
    </row>
    <row r="1266" spans="1:2" hidden="1" x14ac:dyDescent="0.3">
      <c r="A1266" s="1" t="s">
        <v>110</v>
      </c>
      <c r="B1266">
        <v>11607.51467566039</v>
      </c>
    </row>
    <row r="1267" spans="1:2" hidden="1" x14ac:dyDescent="0.3">
      <c r="A1267" s="1" t="s">
        <v>110</v>
      </c>
      <c r="B1267">
        <v>11560.906492024231</v>
      </c>
    </row>
    <row r="1268" spans="1:2" hidden="1" x14ac:dyDescent="0.3">
      <c r="A1268" s="1" t="s">
        <v>110</v>
      </c>
      <c r="B1268">
        <v>11526.90110703181</v>
      </c>
    </row>
    <row r="1269" spans="1:2" hidden="1" x14ac:dyDescent="0.3">
      <c r="A1269" s="1" t="s">
        <v>110</v>
      </c>
      <c r="B1269">
        <v>11480.292923395649</v>
      </c>
    </row>
    <row r="1270" spans="1:2" hidden="1" x14ac:dyDescent="0.3">
      <c r="A1270" s="1" t="s">
        <v>110</v>
      </c>
      <c r="B1270">
        <v>11433.684739759479</v>
      </c>
    </row>
    <row r="1271" spans="1:2" hidden="1" x14ac:dyDescent="0.3">
      <c r="A1271" s="1" t="s">
        <v>110</v>
      </c>
      <c r="B1271">
        <v>11402.02218518464</v>
      </c>
    </row>
    <row r="1272" spans="1:2" hidden="1" x14ac:dyDescent="0.3">
      <c r="A1272" s="1" t="s">
        <v>110</v>
      </c>
      <c r="B1272">
        <v>11368.944693235529</v>
      </c>
    </row>
    <row r="1273" spans="1:2" hidden="1" x14ac:dyDescent="0.3">
      <c r="A1273" s="1" t="s">
        <v>110</v>
      </c>
      <c r="B1273">
        <v>11336.257213582619</v>
      </c>
    </row>
    <row r="1274" spans="1:2" hidden="1" x14ac:dyDescent="0.3">
      <c r="A1274" s="1" t="s">
        <v>110</v>
      </c>
      <c r="B1274">
        <v>11289.64902994646</v>
      </c>
    </row>
    <row r="1275" spans="1:2" hidden="1" x14ac:dyDescent="0.3">
      <c r="A1275" s="1" t="s">
        <v>110</v>
      </c>
      <c r="B1275">
        <v>11243.04084631029</v>
      </c>
    </row>
    <row r="1276" spans="1:2" hidden="1" x14ac:dyDescent="0.3">
      <c r="A1276" s="1" t="s">
        <v>110</v>
      </c>
      <c r="B1276">
        <v>11196.432662674129</v>
      </c>
    </row>
    <row r="1277" spans="1:2" hidden="1" x14ac:dyDescent="0.3">
      <c r="A1277" s="1" t="s">
        <v>110</v>
      </c>
      <c r="B1277">
        <v>11149.82447903797</v>
      </c>
    </row>
    <row r="1278" spans="1:2" hidden="1" x14ac:dyDescent="0.3">
      <c r="A1278" s="1" t="s">
        <v>110</v>
      </c>
      <c r="B1278">
        <v>11119.035935530101</v>
      </c>
    </row>
    <row r="1279" spans="1:2" hidden="1" x14ac:dyDescent="0.3">
      <c r="A1279" s="1" t="s">
        <v>110</v>
      </c>
      <c r="B1279">
        <v>11098.36249968698</v>
      </c>
    </row>
    <row r="1280" spans="1:2" hidden="1" x14ac:dyDescent="0.3">
      <c r="A1280" s="1" t="s">
        <v>110</v>
      </c>
      <c r="B1280">
        <v>11051.75431605081</v>
      </c>
    </row>
    <row r="1281" spans="1:2" hidden="1" x14ac:dyDescent="0.3">
      <c r="A1281" s="1" t="s">
        <v>110</v>
      </c>
      <c r="B1281">
        <v>11017.57113241465</v>
      </c>
    </row>
    <row r="1282" spans="1:2" hidden="1" x14ac:dyDescent="0.3">
      <c r="A1282" s="1" t="s">
        <v>110</v>
      </c>
      <c r="B1282">
        <v>10970.96294877849</v>
      </c>
    </row>
    <row r="1283" spans="1:2" hidden="1" x14ac:dyDescent="0.3">
      <c r="A1283" s="1" t="s">
        <v>110</v>
      </c>
      <c r="B1283">
        <v>10924.35476514232</v>
      </c>
    </row>
    <row r="1284" spans="1:2" hidden="1" x14ac:dyDescent="0.3">
      <c r="A1284" s="1" t="s">
        <v>110</v>
      </c>
      <c r="B1284">
        <v>10907.025984560019</v>
      </c>
    </row>
    <row r="1285" spans="1:2" hidden="1" x14ac:dyDescent="0.3">
      <c r="A1285" s="1" t="s">
        <v>110</v>
      </c>
      <c r="B1285">
        <v>10874.14211342628</v>
      </c>
    </row>
    <row r="1286" spans="1:2" hidden="1" x14ac:dyDescent="0.3">
      <c r="A1286" s="1" t="s">
        <v>110</v>
      </c>
      <c r="B1286">
        <v>10842.06083152879</v>
      </c>
    </row>
    <row r="1287" spans="1:2" hidden="1" x14ac:dyDescent="0.3">
      <c r="A1287" s="1" t="s">
        <v>110</v>
      </c>
      <c r="B1287">
        <v>10795.452647892629</v>
      </c>
    </row>
    <row r="1288" spans="1:2" hidden="1" x14ac:dyDescent="0.3">
      <c r="A1288" s="1" t="s">
        <v>110</v>
      </c>
      <c r="B1288">
        <v>10765.120093946431</v>
      </c>
    </row>
    <row r="1289" spans="1:2" hidden="1" x14ac:dyDescent="0.3">
      <c r="A1289" s="1" t="s">
        <v>110</v>
      </c>
      <c r="B1289">
        <v>10718.51191031027</v>
      </c>
    </row>
    <row r="1290" spans="1:2" hidden="1" x14ac:dyDescent="0.3">
      <c r="A1290" s="1" t="s">
        <v>110</v>
      </c>
      <c r="B1290">
        <v>10671.9037266741</v>
      </c>
    </row>
    <row r="1291" spans="1:2" hidden="1" x14ac:dyDescent="0.3">
      <c r="A1291" s="1" t="s">
        <v>110</v>
      </c>
      <c r="B1291">
        <v>10625.295543037941</v>
      </c>
    </row>
    <row r="1292" spans="1:2" hidden="1" x14ac:dyDescent="0.3">
      <c r="A1292" s="1" t="s">
        <v>110</v>
      </c>
      <c r="B1292">
        <v>10578.68735940178</v>
      </c>
    </row>
    <row r="1293" spans="1:2" hidden="1" x14ac:dyDescent="0.3">
      <c r="A1293" s="1" t="s">
        <v>110</v>
      </c>
      <c r="B1293">
        <v>10532.07917576561</v>
      </c>
    </row>
    <row r="1294" spans="1:2" hidden="1" x14ac:dyDescent="0.3">
      <c r="A1294" s="1" t="s">
        <v>110</v>
      </c>
      <c r="B1294">
        <v>10513.813483123709</v>
      </c>
    </row>
    <row r="1295" spans="1:2" hidden="1" x14ac:dyDescent="0.3">
      <c r="A1295" s="1" t="s">
        <v>110</v>
      </c>
      <c r="B1295">
        <v>10480.545101936499</v>
      </c>
    </row>
    <row r="1296" spans="1:2" hidden="1" x14ac:dyDescent="0.3">
      <c r="A1296" s="1" t="s">
        <v>110</v>
      </c>
      <c r="B1296">
        <v>10433.93691830034</v>
      </c>
    </row>
    <row r="1297" spans="1:2" hidden="1" x14ac:dyDescent="0.3">
      <c r="A1297" s="1" t="s">
        <v>110</v>
      </c>
      <c r="B1297">
        <v>10399.93153330793</v>
      </c>
    </row>
    <row r="1298" spans="1:2" hidden="1" x14ac:dyDescent="0.3">
      <c r="A1298" s="1" t="s">
        <v>110</v>
      </c>
      <c r="B1298">
        <v>10368.05812774259</v>
      </c>
    </row>
    <row r="1299" spans="1:2" hidden="1" x14ac:dyDescent="0.3">
      <c r="A1299" s="1" t="s">
        <v>110</v>
      </c>
      <c r="B1299">
        <v>10321.449944106431</v>
      </c>
    </row>
    <row r="1300" spans="1:2" hidden="1" x14ac:dyDescent="0.3">
      <c r="A1300" s="1" t="s">
        <v>110</v>
      </c>
      <c r="B1300">
        <v>10289.163718569031</v>
      </c>
    </row>
    <row r="1301" spans="1:2" hidden="1" x14ac:dyDescent="0.3">
      <c r="A1301" s="1" t="s">
        <v>111</v>
      </c>
      <c r="B1301">
        <v>25174.90285761992</v>
      </c>
    </row>
    <row r="1302" spans="1:2" hidden="1" x14ac:dyDescent="0.3">
      <c r="A1302" s="1" t="s">
        <v>111</v>
      </c>
      <c r="B1302">
        <v>25050.565841666561</v>
      </c>
    </row>
    <row r="1303" spans="1:2" hidden="1" x14ac:dyDescent="0.3">
      <c r="A1303" s="1" t="s">
        <v>111</v>
      </c>
      <c r="B1303">
        <v>24910.594843845371</v>
      </c>
    </row>
    <row r="1304" spans="1:2" hidden="1" x14ac:dyDescent="0.3">
      <c r="A1304" s="1" t="s">
        <v>111</v>
      </c>
      <c r="B1304">
        <v>24769.56937822999</v>
      </c>
    </row>
    <row r="1305" spans="1:2" hidden="1" x14ac:dyDescent="0.3">
      <c r="A1305" s="1" t="s">
        <v>111</v>
      </c>
      <c r="B1305">
        <v>24640.904252454289</v>
      </c>
    </row>
    <row r="1306" spans="1:2" hidden="1" x14ac:dyDescent="0.3">
      <c r="A1306" s="1" t="s">
        <v>111</v>
      </c>
      <c r="B1306">
        <v>24485.55682874014</v>
      </c>
    </row>
    <row r="1307" spans="1:2" hidden="1" x14ac:dyDescent="0.3">
      <c r="A1307" s="1" t="s">
        <v>111</v>
      </c>
      <c r="B1307">
        <v>24376.797508014311</v>
      </c>
    </row>
    <row r="1308" spans="1:2" hidden="1" x14ac:dyDescent="0.3">
      <c r="A1308" s="1" t="s">
        <v>111</v>
      </c>
      <c r="B1308">
        <v>24235.370788283421</v>
      </c>
    </row>
    <row r="1309" spans="1:2" hidden="1" x14ac:dyDescent="0.3">
      <c r="A1309" s="1" t="s">
        <v>111</v>
      </c>
      <c r="B1309">
        <v>24080.023364569272</v>
      </c>
    </row>
    <row r="1310" spans="1:2" hidden="1" x14ac:dyDescent="0.3">
      <c r="A1310" s="1" t="s">
        <v>111</v>
      </c>
      <c r="B1310">
        <v>23939.20284259379</v>
      </c>
    </row>
    <row r="1311" spans="1:2" hidden="1" x14ac:dyDescent="0.3">
      <c r="A1311" s="1" t="s">
        <v>111</v>
      </c>
      <c r="B1311">
        <v>23814.834556284732</v>
      </c>
    </row>
    <row r="1312" spans="1:2" hidden="1" x14ac:dyDescent="0.3">
      <c r="A1312" s="1" t="s">
        <v>111</v>
      </c>
      <c r="B1312">
        <v>23689.487074762968</v>
      </c>
    </row>
    <row r="1313" spans="1:2" hidden="1" x14ac:dyDescent="0.3">
      <c r="A1313" s="1" t="s">
        <v>111</v>
      </c>
      <c r="B1313">
        <v>23548.259556825891</v>
      </c>
    </row>
    <row r="1314" spans="1:2" hidden="1" x14ac:dyDescent="0.3">
      <c r="A1314" s="1" t="s">
        <v>111</v>
      </c>
      <c r="B1314">
        <v>23423.02333707552</v>
      </c>
    </row>
    <row r="1315" spans="1:2" hidden="1" x14ac:dyDescent="0.3">
      <c r="A1315" s="1" t="s">
        <v>111</v>
      </c>
      <c r="B1315">
        <v>23280.641978462689</v>
      </c>
    </row>
    <row r="1316" spans="1:2" hidden="1" x14ac:dyDescent="0.3">
      <c r="A1316" s="1" t="s">
        <v>111</v>
      </c>
      <c r="B1316">
        <v>23138.634357197501</v>
      </c>
    </row>
    <row r="1317" spans="1:2" hidden="1" x14ac:dyDescent="0.3">
      <c r="A1317" s="1" t="s">
        <v>111</v>
      </c>
      <c r="B1317">
        <v>23041.854164152861</v>
      </c>
    </row>
    <row r="1318" spans="1:2" hidden="1" x14ac:dyDescent="0.3">
      <c r="A1318" s="1" t="s">
        <v>111</v>
      </c>
      <c r="B1318">
        <v>22901.452369500039</v>
      </c>
    </row>
    <row r="1319" spans="1:2" hidden="1" x14ac:dyDescent="0.3">
      <c r="A1319" s="1" t="s">
        <v>111</v>
      </c>
      <c r="B1319">
        <v>22746.104945785901</v>
      </c>
    </row>
    <row r="1320" spans="1:2" hidden="1" x14ac:dyDescent="0.3">
      <c r="A1320" s="1" t="s">
        <v>111</v>
      </c>
      <c r="B1320">
        <v>22590.757522071741</v>
      </c>
    </row>
    <row r="1321" spans="1:2" hidden="1" x14ac:dyDescent="0.3">
      <c r="A1321" s="1" t="s">
        <v>111</v>
      </c>
      <c r="B1321">
        <v>22451.22973848589</v>
      </c>
    </row>
    <row r="1322" spans="1:2" hidden="1" x14ac:dyDescent="0.3">
      <c r="A1322" s="1" t="s">
        <v>111</v>
      </c>
      <c r="B1322">
        <v>22355.37503516423</v>
      </c>
    </row>
    <row r="1323" spans="1:2" hidden="1" x14ac:dyDescent="0.3">
      <c r="A1323" s="1" t="s">
        <v>111</v>
      </c>
      <c r="B1323">
        <v>22213.948315433328</v>
      </c>
    </row>
    <row r="1324" spans="1:2" hidden="1" x14ac:dyDescent="0.3">
      <c r="A1324" s="1" t="s">
        <v>111</v>
      </c>
      <c r="B1324">
        <v>22073.977317612131</v>
      </c>
    </row>
    <row r="1325" spans="1:2" hidden="1" x14ac:dyDescent="0.3">
      <c r="A1325" s="1" t="s">
        <v>111</v>
      </c>
      <c r="B1325">
        <v>21918.629893897982</v>
      </c>
    </row>
    <row r="1326" spans="1:2" hidden="1" x14ac:dyDescent="0.3">
      <c r="A1326" s="1" t="s">
        <v>111</v>
      </c>
      <c r="B1326">
        <v>21791.168854506061</v>
      </c>
    </row>
    <row r="1327" spans="1:2" hidden="1" x14ac:dyDescent="0.3">
      <c r="A1327" s="1" t="s">
        <v>111</v>
      </c>
      <c r="B1327">
        <v>21681.58381049598</v>
      </c>
    </row>
    <row r="1328" spans="1:2" hidden="1" x14ac:dyDescent="0.3">
      <c r="A1328" s="1" t="s">
        <v>111</v>
      </c>
      <c r="B1328">
        <v>21552.743840825889</v>
      </c>
    </row>
    <row r="1329" spans="1:2" hidden="1" x14ac:dyDescent="0.3">
      <c r="A1329" s="1" t="s">
        <v>111</v>
      </c>
      <c r="B1329">
        <v>21412.342046173071</v>
      </c>
    </row>
    <row r="1330" spans="1:2" hidden="1" x14ac:dyDescent="0.3">
      <c r="A1330" s="1" t="s">
        <v>111</v>
      </c>
      <c r="B1330">
        <v>21287.136220685989</v>
      </c>
    </row>
    <row r="1331" spans="1:2" hidden="1" x14ac:dyDescent="0.3">
      <c r="A1331" s="1" t="s">
        <v>111</v>
      </c>
      <c r="B1331">
        <v>21131.788796971839</v>
      </c>
    </row>
    <row r="1332" spans="1:2" hidden="1" x14ac:dyDescent="0.3">
      <c r="A1332" s="1" t="s">
        <v>111</v>
      </c>
      <c r="B1332">
        <v>21007.876500224451</v>
      </c>
    </row>
    <row r="1333" spans="1:2" hidden="1" x14ac:dyDescent="0.3">
      <c r="A1333" s="1" t="s">
        <v>111</v>
      </c>
      <c r="B1333">
        <v>20852.529076510309</v>
      </c>
    </row>
    <row r="1334" spans="1:2" hidden="1" x14ac:dyDescent="0.3">
      <c r="A1334" s="1" t="s">
        <v>111</v>
      </c>
      <c r="B1334">
        <v>20739.509980427771</v>
      </c>
    </row>
    <row r="1335" spans="1:2" hidden="1" x14ac:dyDescent="0.3">
      <c r="A1335" s="1" t="s">
        <v>111</v>
      </c>
      <c r="B1335">
        <v>20597.50235916259</v>
      </c>
    </row>
    <row r="1336" spans="1:2" hidden="1" x14ac:dyDescent="0.3">
      <c r="A1336" s="1" t="s">
        <v>111</v>
      </c>
      <c r="B1336">
        <v>20457.751394151801</v>
      </c>
    </row>
    <row r="1337" spans="1:2" hidden="1" x14ac:dyDescent="0.3">
      <c r="A1337" s="1" t="s">
        <v>111</v>
      </c>
      <c r="B1337">
        <v>20333.184763732101</v>
      </c>
    </row>
    <row r="1338" spans="1:2" hidden="1" x14ac:dyDescent="0.3">
      <c r="A1338" s="1" t="s">
        <v>111</v>
      </c>
      <c r="B1338">
        <v>20191.75804400121</v>
      </c>
    </row>
    <row r="1339" spans="1:2" hidden="1" x14ac:dyDescent="0.3">
      <c r="A1339" s="1" t="s">
        <v>111</v>
      </c>
      <c r="B1339">
        <v>20062.907377075429</v>
      </c>
    </row>
    <row r="1340" spans="1:2" hidden="1" x14ac:dyDescent="0.3">
      <c r="A1340" s="1" t="s">
        <v>111</v>
      </c>
      <c r="B1340">
        <v>19938.325222550899</v>
      </c>
    </row>
    <row r="1341" spans="1:2" hidden="1" x14ac:dyDescent="0.3">
      <c r="A1341" s="1" t="s">
        <v>111</v>
      </c>
      <c r="B1341">
        <v>19797.097704613829</v>
      </c>
    </row>
    <row r="1342" spans="1:2" hidden="1" x14ac:dyDescent="0.3">
      <c r="A1342" s="1" t="s">
        <v>111</v>
      </c>
      <c r="B1342">
        <v>19658.025910589651</v>
      </c>
    </row>
    <row r="1343" spans="1:2" hidden="1" x14ac:dyDescent="0.3">
      <c r="A1343" s="1" t="s">
        <v>111</v>
      </c>
      <c r="B1343">
        <v>19532.159942251059</v>
      </c>
    </row>
    <row r="1344" spans="1:2" hidden="1" x14ac:dyDescent="0.3">
      <c r="A1344" s="1" t="s">
        <v>111</v>
      </c>
      <c r="B1344">
        <v>19405.913256932279</v>
      </c>
    </row>
    <row r="1345" spans="1:2" hidden="1" x14ac:dyDescent="0.3">
      <c r="A1345" s="1" t="s">
        <v>111</v>
      </c>
      <c r="B1345">
        <v>19250.56583321813</v>
      </c>
    </row>
    <row r="1346" spans="1:2" hidden="1" x14ac:dyDescent="0.3">
      <c r="A1346" s="1" t="s">
        <v>111</v>
      </c>
      <c r="B1346">
        <v>19110.814868207359</v>
      </c>
    </row>
    <row r="1347" spans="1:2" hidden="1" x14ac:dyDescent="0.3">
      <c r="A1347" s="1" t="s">
        <v>111</v>
      </c>
      <c r="B1347">
        <v>18999.191967706902</v>
      </c>
    </row>
    <row r="1348" spans="1:2" hidden="1" x14ac:dyDescent="0.3">
      <c r="A1348" s="1" t="s">
        <v>111</v>
      </c>
      <c r="B1348">
        <v>18843.84454399276</v>
      </c>
    </row>
    <row r="1349" spans="1:2" hidden="1" x14ac:dyDescent="0.3">
      <c r="A1349" s="1" t="s">
        <v>111</v>
      </c>
      <c r="B1349">
        <v>18715.834696993181</v>
      </c>
    </row>
    <row r="1350" spans="1:2" hidden="1" x14ac:dyDescent="0.3">
      <c r="A1350" s="1" t="s">
        <v>111</v>
      </c>
      <c r="B1350">
        <v>18576.306913407341</v>
      </c>
    </row>
    <row r="1351" spans="1:2" hidden="1" x14ac:dyDescent="0.3">
      <c r="A1351" s="1" t="s">
        <v>111</v>
      </c>
      <c r="B1351">
        <v>18420.959489693189</v>
      </c>
    </row>
    <row r="1352" spans="1:2" hidden="1" x14ac:dyDescent="0.3">
      <c r="A1352" s="1" t="s">
        <v>111</v>
      </c>
      <c r="B1352">
        <v>18310.754028713589</v>
      </c>
    </row>
    <row r="1353" spans="1:2" hidden="1" x14ac:dyDescent="0.3">
      <c r="A1353" s="1" t="s">
        <v>111</v>
      </c>
      <c r="B1353">
        <v>18170.566102276229</v>
      </c>
    </row>
    <row r="1354" spans="1:2" hidden="1" x14ac:dyDescent="0.3">
      <c r="A1354" s="1" t="s">
        <v>111</v>
      </c>
      <c r="B1354">
        <v>18043.934906903982</v>
      </c>
    </row>
    <row r="1355" spans="1:2" hidden="1" x14ac:dyDescent="0.3">
      <c r="A1355" s="1" t="s">
        <v>111</v>
      </c>
      <c r="B1355">
        <v>17915.490530508549</v>
      </c>
    </row>
    <row r="1356" spans="1:2" hidden="1" x14ac:dyDescent="0.3">
      <c r="A1356" s="1" t="s">
        <v>111</v>
      </c>
      <c r="B1356">
        <v>17790.061523596542</v>
      </c>
    </row>
    <row r="1357" spans="1:2" hidden="1" x14ac:dyDescent="0.3">
      <c r="A1357" s="1" t="s">
        <v>111</v>
      </c>
      <c r="B1357">
        <v>17664.290806793069</v>
      </c>
    </row>
    <row r="1358" spans="1:2" hidden="1" x14ac:dyDescent="0.3">
      <c r="A1358" s="1" t="s">
        <v>111</v>
      </c>
      <c r="B1358">
        <v>17508.94338307892</v>
      </c>
    </row>
    <row r="1359" spans="1:2" hidden="1" x14ac:dyDescent="0.3">
      <c r="A1359" s="1" t="s">
        <v>111</v>
      </c>
      <c r="B1359">
        <v>17368.122861103438</v>
      </c>
    </row>
    <row r="1360" spans="1:2" hidden="1" x14ac:dyDescent="0.3">
      <c r="A1360" s="1" t="s">
        <v>111</v>
      </c>
      <c r="B1360">
        <v>17242.319390020009</v>
      </c>
    </row>
    <row r="1361" spans="1:2" hidden="1" x14ac:dyDescent="0.3">
      <c r="A1361" s="1" t="s">
        <v>111</v>
      </c>
      <c r="B1361">
        <v>17101.70674437669</v>
      </c>
    </row>
    <row r="1362" spans="1:2" hidden="1" x14ac:dyDescent="0.3">
      <c r="A1362" s="1" t="s">
        <v>111</v>
      </c>
      <c r="B1362">
        <v>16975.601015453831</v>
      </c>
    </row>
    <row r="1363" spans="1:2" hidden="1" x14ac:dyDescent="0.3">
      <c r="A1363" s="1" t="s">
        <v>111</v>
      </c>
      <c r="B1363">
        <v>16835.199220801009</v>
      </c>
    </row>
    <row r="1364" spans="1:2" hidden="1" x14ac:dyDescent="0.3">
      <c r="A1364" s="1" t="s">
        <v>111</v>
      </c>
      <c r="B1364">
        <v>16695.011294363649</v>
      </c>
    </row>
    <row r="1365" spans="1:2" hidden="1" x14ac:dyDescent="0.3">
      <c r="A1365" s="1" t="s">
        <v>111</v>
      </c>
      <c r="B1365">
        <v>16555.04029654244</v>
      </c>
    </row>
    <row r="1366" spans="1:2" hidden="1" x14ac:dyDescent="0.3">
      <c r="A1366" s="1" t="s">
        <v>111</v>
      </c>
      <c r="B1366">
        <v>16415.289331531661</v>
      </c>
    </row>
    <row r="1367" spans="1:2" hidden="1" x14ac:dyDescent="0.3">
      <c r="A1367" s="1" t="s">
        <v>111</v>
      </c>
      <c r="B1367">
        <v>16289.90862702439</v>
      </c>
    </row>
    <row r="1368" spans="1:2" hidden="1" x14ac:dyDescent="0.3">
      <c r="A1368" s="1" t="s">
        <v>111</v>
      </c>
      <c r="B1368">
        <v>16148.68110908732</v>
      </c>
    </row>
    <row r="1369" spans="1:2" hidden="1" x14ac:dyDescent="0.3">
      <c r="A1369" s="1" t="s">
        <v>111</v>
      </c>
      <c r="B1369">
        <v>16022.304931752869</v>
      </c>
    </row>
    <row r="1370" spans="1:2" hidden="1" x14ac:dyDescent="0.3">
      <c r="A1370" s="1" t="s">
        <v>111</v>
      </c>
      <c r="B1370">
        <v>15881.27946613749</v>
      </c>
    </row>
    <row r="1371" spans="1:2" hidden="1" x14ac:dyDescent="0.3">
      <c r="A1371" s="1" t="s">
        <v>111</v>
      </c>
      <c r="B1371">
        <v>15725.932042423339</v>
      </c>
    </row>
    <row r="1372" spans="1:2" hidden="1" x14ac:dyDescent="0.3">
      <c r="A1372" s="1" t="s">
        <v>111</v>
      </c>
      <c r="B1372">
        <v>15613.812150137839</v>
      </c>
    </row>
    <row r="1373" spans="1:2" hidden="1" x14ac:dyDescent="0.3">
      <c r="A1373" s="1" t="s">
        <v>111</v>
      </c>
      <c r="B1373">
        <v>15486.53930694347</v>
      </c>
    </row>
    <row r="1374" spans="1:2" hidden="1" x14ac:dyDescent="0.3">
      <c r="A1374" s="1" t="s">
        <v>111</v>
      </c>
      <c r="B1374">
        <v>15359.66820397771</v>
      </c>
    </row>
    <row r="1375" spans="1:2" hidden="1" x14ac:dyDescent="0.3">
      <c r="A1375" s="1" t="s">
        <v>111</v>
      </c>
      <c r="B1375">
        <v>15234.85670343329</v>
      </c>
    </row>
    <row r="1376" spans="1:2" hidden="1" x14ac:dyDescent="0.3">
      <c r="A1376" s="1" t="s">
        <v>111</v>
      </c>
      <c r="B1376">
        <v>15108.830050924929</v>
      </c>
    </row>
    <row r="1377" spans="1:2" hidden="1" x14ac:dyDescent="0.3">
      <c r="A1377" s="1" t="s">
        <v>111</v>
      </c>
      <c r="B1377">
        <v>14969.528642434399</v>
      </c>
    </row>
    <row r="1378" spans="1:2" hidden="1" x14ac:dyDescent="0.3">
      <c r="A1378" s="1" t="s">
        <v>111</v>
      </c>
      <c r="B1378">
        <v>14814.18121872025</v>
      </c>
    </row>
    <row r="1379" spans="1:2" hidden="1" x14ac:dyDescent="0.3">
      <c r="A1379" s="1" t="s">
        <v>111</v>
      </c>
      <c r="B1379">
        <v>14674.653435134411</v>
      </c>
    </row>
    <row r="1380" spans="1:2" hidden="1" x14ac:dyDescent="0.3">
      <c r="A1380" s="1" t="s">
        <v>111</v>
      </c>
      <c r="B1380">
        <v>14531.908810064</v>
      </c>
    </row>
    <row r="1381" spans="1:2" hidden="1" x14ac:dyDescent="0.3">
      <c r="A1381" s="1" t="s">
        <v>111</v>
      </c>
      <c r="B1381">
        <v>14376.56138634986</v>
      </c>
    </row>
    <row r="1382" spans="1:2" hidden="1" x14ac:dyDescent="0.3">
      <c r="A1382" s="1" t="s">
        <v>111</v>
      </c>
      <c r="B1382">
        <v>14262.03771393768</v>
      </c>
    </row>
    <row r="1383" spans="1:2" hidden="1" x14ac:dyDescent="0.3">
      <c r="A1383" s="1" t="s">
        <v>111</v>
      </c>
      <c r="B1383">
        <v>14137.28787801227</v>
      </c>
    </row>
    <row r="1384" spans="1:2" hidden="1" x14ac:dyDescent="0.3">
      <c r="A1384" s="1" t="s">
        <v>111</v>
      </c>
      <c r="B1384">
        <v>14011.202134107631</v>
      </c>
    </row>
    <row r="1385" spans="1:2" hidden="1" x14ac:dyDescent="0.3">
      <c r="A1385" s="1" t="s">
        <v>111</v>
      </c>
      <c r="B1385">
        <v>13916.932721327899</v>
      </c>
    </row>
    <row r="1386" spans="1:2" hidden="1" x14ac:dyDescent="0.3">
      <c r="A1386" s="1" t="s">
        <v>111</v>
      </c>
      <c r="B1386">
        <v>13774.55136271507</v>
      </c>
    </row>
    <row r="1387" spans="1:2" hidden="1" x14ac:dyDescent="0.3">
      <c r="A1387" s="1" t="s">
        <v>111</v>
      </c>
      <c r="B1387">
        <v>13635.24995422455</v>
      </c>
    </row>
    <row r="1388" spans="1:2" hidden="1" x14ac:dyDescent="0.3">
      <c r="A1388" s="1" t="s">
        <v>111</v>
      </c>
      <c r="B1388">
        <v>13479.902530510401</v>
      </c>
    </row>
    <row r="1389" spans="1:2" hidden="1" x14ac:dyDescent="0.3">
      <c r="A1389" s="1" t="s">
        <v>111</v>
      </c>
      <c r="B1389">
        <v>13340.37474692455</v>
      </c>
    </row>
    <row r="1390" spans="1:2" hidden="1" x14ac:dyDescent="0.3">
      <c r="A1390" s="1" t="s">
        <v>111</v>
      </c>
      <c r="B1390">
        <v>13198.178929461799</v>
      </c>
    </row>
    <row r="1391" spans="1:2" hidden="1" x14ac:dyDescent="0.3">
      <c r="A1391" s="1" t="s">
        <v>111</v>
      </c>
      <c r="B1391">
        <v>13042.83150574765</v>
      </c>
    </row>
    <row r="1392" spans="1:2" hidden="1" x14ac:dyDescent="0.3">
      <c r="A1392" s="1" t="s">
        <v>111</v>
      </c>
      <c r="B1392">
        <v>12928.078888671929</v>
      </c>
    </row>
    <row r="1393" spans="1:2" hidden="1" x14ac:dyDescent="0.3">
      <c r="A1393" s="1" t="s">
        <v>111</v>
      </c>
      <c r="B1393">
        <v>12789.007094647761</v>
      </c>
    </row>
    <row r="1394" spans="1:2" hidden="1" x14ac:dyDescent="0.3">
      <c r="A1394" s="1" t="s">
        <v>111</v>
      </c>
      <c r="B1394">
        <v>12633.65967093361</v>
      </c>
    </row>
    <row r="1395" spans="1:2" hidden="1" x14ac:dyDescent="0.3">
      <c r="A1395" s="1" t="s">
        <v>111</v>
      </c>
      <c r="B1395">
        <v>12509.28513181577</v>
      </c>
    </row>
    <row r="1396" spans="1:2" hidden="1" x14ac:dyDescent="0.3">
      <c r="A1396" s="1" t="s">
        <v>111</v>
      </c>
      <c r="B1396">
        <v>12427.626472348011</v>
      </c>
    </row>
    <row r="1397" spans="1:2" hidden="1" x14ac:dyDescent="0.3">
      <c r="A1397" s="1" t="s">
        <v>111</v>
      </c>
      <c r="B1397">
        <v>12316.365673617811</v>
      </c>
    </row>
    <row r="1398" spans="1:2" hidden="1" x14ac:dyDescent="0.3">
      <c r="A1398" s="1" t="s">
        <v>111</v>
      </c>
      <c r="B1398">
        <v>12161.01824990366</v>
      </c>
    </row>
    <row r="1399" spans="1:2" hidden="1" x14ac:dyDescent="0.3">
      <c r="A1399" s="1" t="s">
        <v>111</v>
      </c>
      <c r="B1399">
        <v>12021.490466317809</v>
      </c>
    </row>
    <row r="1400" spans="1:2" hidden="1" x14ac:dyDescent="0.3">
      <c r="A1400" s="1" t="s">
        <v>111</v>
      </c>
      <c r="B1400">
        <v>11866.14304260367</v>
      </c>
    </row>
    <row r="1401" spans="1:2" x14ac:dyDescent="0.3">
      <c r="A1401" s="1" t="s">
        <v>87</v>
      </c>
      <c r="B1401">
        <v>-38567.444851079992</v>
      </c>
    </row>
    <row r="1402" spans="1:2" x14ac:dyDescent="0.3">
      <c r="A1402" s="1" t="s">
        <v>87</v>
      </c>
      <c r="B1402">
        <v>-34169.355034827058</v>
      </c>
    </row>
    <row r="1403" spans="1:2" x14ac:dyDescent="0.3">
      <c r="A1403" s="1" t="s">
        <v>87</v>
      </c>
      <c r="B1403">
        <v>-29867.633400725608</v>
      </c>
    </row>
    <row r="1404" spans="1:2" x14ac:dyDescent="0.3">
      <c r="A1404" s="1" t="s">
        <v>87</v>
      </c>
      <c r="B1404">
        <v>-25600.910826106669</v>
      </c>
    </row>
    <row r="1405" spans="1:2" x14ac:dyDescent="0.3">
      <c r="A1405" s="1" t="s">
        <v>87</v>
      </c>
      <c r="B1405">
        <v>-21403.82033472681</v>
      </c>
    </row>
    <row r="1406" spans="1:2" x14ac:dyDescent="0.3">
      <c r="A1406" s="1" t="s">
        <v>87</v>
      </c>
      <c r="B1406">
        <v>-17244.342079126189</v>
      </c>
    </row>
    <row r="1407" spans="1:2" x14ac:dyDescent="0.3">
      <c r="A1407" s="1" t="s">
        <v>87</v>
      </c>
      <c r="B1407">
        <v>-13135.592639803241</v>
      </c>
    </row>
    <row r="1408" spans="1:2" x14ac:dyDescent="0.3">
      <c r="A1408" s="1" t="s">
        <v>87</v>
      </c>
      <c r="B1408">
        <v>-9220.005845117641</v>
      </c>
    </row>
    <row r="1409" spans="1:2" x14ac:dyDescent="0.3">
      <c r="A1409" s="1" t="s">
        <v>87</v>
      </c>
      <c r="B1409">
        <v>-5521.3583356730542</v>
      </c>
    </row>
    <row r="1410" spans="1:2" x14ac:dyDescent="0.3">
      <c r="A1410" s="1" t="s">
        <v>87</v>
      </c>
      <c r="B1410">
        <v>-2016.7804706846559</v>
      </c>
    </row>
    <row r="1411" spans="1:2" x14ac:dyDescent="0.3">
      <c r="A1411" s="1" t="s">
        <v>87</v>
      </c>
      <c r="B1411">
        <v>823.03652562497507</v>
      </c>
    </row>
    <row r="1412" spans="1:2" x14ac:dyDescent="0.3">
      <c r="A1412" s="1" t="s">
        <v>87</v>
      </c>
      <c r="B1412">
        <v>3414.2996881663171</v>
      </c>
    </row>
    <row r="1413" spans="1:2" x14ac:dyDescent="0.3">
      <c r="A1413" s="1" t="s">
        <v>87</v>
      </c>
      <c r="B1413">
        <v>6018.9904131538296</v>
      </c>
    </row>
    <row r="1414" spans="1:2" x14ac:dyDescent="0.3">
      <c r="A1414" s="1" t="s">
        <v>87</v>
      </c>
      <c r="B1414">
        <v>8638.2200043520697</v>
      </c>
    </row>
    <row r="1415" spans="1:2" x14ac:dyDescent="0.3">
      <c r="A1415" s="1" t="s">
        <v>87</v>
      </c>
      <c r="B1415">
        <v>11258.37628988209</v>
      </c>
    </row>
    <row r="1416" spans="1:2" x14ac:dyDescent="0.3">
      <c r="A1416" s="1" t="s">
        <v>87</v>
      </c>
      <c r="B1416">
        <v>13835.39368846533</v>
      </c>
    </row>
    <row r="1417" spans="1:2" x14ac:dyDescent="0.3">
      <c r="A1417" s="1" t="s">
        <v>87</v>
      </c>
      <c r="B1417">
        <v>16426.230287133909</v>
      </c>
    </row>
    <row r="1418" spans="1:2" x14ac:dyDescent="0.3">
      <c r="A1418" s="1" t="s">
        <v>87</v>
      </c>
      <c r="B1418">
        <v>19043.689747230779</v>
      </c>
    </row>
    <row r="1419" spans="1:2" x14ac:dyDescent="0.3">
      <c r="A1419" s="1" t="s">
        <v>87</v>
      </c>
      <c r="B1419">
        <v>21622.13007831795</v>
      </c>
    </row>
    <row r="1420" spans="1:2" x14ac:dyDescent="0.3">
      <c r="A1420" s="1" t="s">
        <v>87</v>
      </c>
      <c r="B1420">
        <v>24239.829515152731</v>
      </c>
    </row>
    <row r="1421" spans="1:2" x14ac:dyDescent="0.3">
      <c r="A1421" s="1" t="s">
        <v>87</v>
      </c>
      <c r="B1421">
        <v>26832.093696869459</v>
      </c>
    </row>
    <row r="1422" spans="1:2" x14ac:dyDescent="0.3">
      <c r="A1422" s="1" t="s">
        <v>87</v>
      </c>
      <c r="B1422">
        <v>29439.472840319511</v>
      </c>
    </row>
    <row r="1423" spans="1:2" x14ac:dyDescent="0.3">
      <c r="A1423" s="1" t="s">
        <v>87</v>
      </c>
      <c r="B1423">
        <v>32055.196282725668</v>
      </c>
    </row>
    <row r="1424" spans="1:2" x14ac:dyDescent="0.3">
      <c r="A1424" s="1" t="s">
        <v>87</v>
      </c>
      <c r="B1424">
        <v>34633.359795909622</v>
      </c>
    </row>
    <row r="1425" spans="1:2" x14ac:dyDescent="0.3">
      <c r="A1425" s="1" t="s">
        <v>87</v>
      </c>
      <c r="B1425">
        <v>37251.460164100317</v>
      </c>
    </row>
    <row r="1426" spans="1:2" x14ac:dyDescent="0.3">
      <c r="A1426" s="1" t="s">
        <v>87</v>
      </c>
      <c r="B1426">
        <v>39813.797463043127</v>
      </c>
    </row>
    <row r="1427" spans="1:2" x14ac:dyDescent="0.3">
      <c r="A1427" s="1" t="s">
        <v>87</v>
      </c>
      <c r="B1427">
        <v>42448.051577763952</v>
      </c>
    </row>
    <row r="1428" spans="1:2" x14ac:dyDescent="0.3">
      <c r="A1428" s="1" t="s">
        <v>87</v>
      </c>
      <c r="B1428">
        <v>45052.829870328067</v>
      </c>
    </row>
    <row r="1429" spans="1:2" x14ac:dyDescent="0.3">
      <c r="A1429" s="1" t="s">
        <v>87</v>
      </c>
      <c r="B1429">
        <v>47658.506913912213</v>
      </c>
    </row>
    <row r="1430" spans="1:2" x14ac:dyDescent="0.3">
      <c r="A1430" s="1" t="s">
        <v>87</v>
      </c>
      <c r="B1430">
        <v>50264.794790973763</v>
      </c>
    </row>
    <row r="1431" spans="1:2" x14ac:dyDescent="0.3">
      <c r="A1431" s="1" t="s">
        <v>87</v>
      </c>
      <c r="B1431">
        <v>52853.992186498821</v>
      </c>
    </row>
    <row r="1432" spans="1:2" x14ac:dyDescent="0.3">
      <c r="A1432" s="1" t="s">
        <v>87</v>
      </c>
      <c r="B1432">
        <v>55444.892009246323</v>
      </c>
    </row>
    <row r="1433" spans="1:2" x14ac:dyDescent="0.3">
      <c r="A1433" s="1" t="s">
        <v>87</v>
      </c>
      <c r="B1433">
        <v>58079.064189609388</v>
      </c>
    </row>
    <row r="1434" spans="1:2" x14ac:dyDescent="0.3">
      <c r="A1434" s="1" t="s">
        <v>87</v>
      </c>
      <c r="B1434">
        <v>60668.455205949773</v>
      </c>
    </row>
    <row r="1435" spans="1:2" x14ac:dyDescent="0.3">
      <c r="A1435" s="1" t="s">
        <v>87</v>
      </c>
      <c r="B1435">
        <v>63260.369211803292</v>
      </c>
    </row>
    <row r="1436" spans="1:2" x14ac:dyDescent="0.3">
      <c r="A1436" s="1" t="s">
        <v>87</v>
      </c>
      <c r="B1436">
        <v>65851.894383363164</v>
      </c>
    </row>
    <row r="1437" spans="1:2" x14ac:dyDescent="0.3">
      <c r="A1437" s="1" t="s">
        <v>87</v>
      </c>
      <c r="B1437">
        <v>68458.251681250884</v>
      </c>
    </row>
    <row r="1438" spans="1:2" x14ac:dyDescent="0.3">
      <c r="A1438" s="1" t="s">
        <v>87</v>
      </c>
      <c r="B1438">
        <v>71089.80804170284</v>
      </c>
    </row>
    <row r="1439" spans="1:2" x14ac:dyDescent="0.3">
      <c r="A1439" s="1" t="s">
        <v>87</v>
      </c>
      <c r="B1439">
        <v>73667.008363845729</v>
      </c>
    </row>
    <row r="1440" spans="1:2" x14ac:dyDescent="0.3">
      <c r="A1440" s="1" t="s">
        <v>87</v>
      </c>
      <c r="B1440">
        <v>76257.969274088086</v>
      </c>
    </row>
    <row r="1441" spans="1:2" x14ac:dyDescent="0.3">
      <c r="A1441" s="1" t="s">
        <v>87</v>
      </c>
      <c r="B1441">
        <v>78860.369079900716</v>
      </c>
    </row>
    <row r="1442" spans="1:2" x14ac:dyDescent="0.3">
      <c r="A1442" s="1" t="s">
        <v>87</v>
      </c>
      <c r="B1442">
        <v>81454.188941075059</v>
      </c>
    </row>
    <row r="1443" spans="1:2" x14ac:dyDescent="0.3">
      <c r="A1443" s="1" t="s">
        <v>87</v>
      </c>
      <c r="B1443">
        <v>84072.022364885241</v>
      </c>
    </row>
    <row r="1444" spans="1:2" x14ac:dyDescent="0.3">
      <c r="A1444" s="1" t="s">
        <v>87</v>
      </c>
      <c r="B1444">
        <v>86660.493154158859</v>
      </c>
    </row>
    <row r="1445" spans="1:2" x14ac:dyDescent="0.3">
      <c r="A1445" s="1" t="s">
        <v>87</v>
      </c>
      <c r="B1445">
        <v>89269.288472400702</v>
      </c>
    </row>
    <row r="1446" spans="1:2" x14ac:dyDescent="0.3">
      <c r="A1446" s="1" t="s">
        <v>87</v>
      </c>
      <c r="B1446">
        <v>91859.438348473297</v>
      </c>
    </row>
    <row r="1447" spans="1:2" x14ac:dyDescent="0.3">
      <c r="A1447" s="1" t="s">
        <v>87</v>
      </c>
      <c r="B1447">
        <v>94490.997104067748</v>
      </c>
    </row>
    <row r="1448" spans="1:2" x14ac:dyDescent="0.3">
      <c r="A1448" s="1" t="s">
        <v>87</v>
      </c>
      <c r="B1448">
        <v>97084.406813904483</v>
      </c>
    </row>
    <row r="1449" spans="1:2" x14ac:dyDescent="0.3">
      <c r="A1449" s="1" t="s">
        <v>87</v>
      </c>
      <c r="B1449">
        <v>99662.185817034915</v>
      </c>
    </row>
    <row r="1450" spans="1:2" x14ac:dyDescent="0.3">
      <c r="A1450" s="1" t="s">
        <v>87</v>
      </c>
      <c r="B1450">
        <v>102321.3278230197</v>
      </c>
    </row>
    <row r="1451" spans="1:2" x14ac:dyDescent="0.3">
      <c r="A1451" s="1" t="s">
        <v>87</v>
      </c>
      <c r="B1451">
        <v>104885.3600277396</v>
      </c>
    </row>
    <row r="1452" spans="1:2" x14ac:dyDescent="0.3">
      <c r="A1452" s="1" t="s">
        <v>87</v>
      </c>
      <c r="B1452">
        <v>107463.9422682462</v>
      </c>
    </row>
    <row r="1453" spans="1:2" x14ac:dyDescent="0.3">
      <c r="A1453" s="1" t="s">
        <v>87</v>
      </c>
      <c r="B1453">
        <v>110108.7848953644</v>
      </c>
    </row>
    <row r="1454" spans="1:2" x14ac:dyDescent="0.3">
      <c r="A1454" s="1" t="s">
        <v>87</v>
      </c>
      <c r="B1454">
        <v>112698.81791256341</v>
      </c>
    </row>
    <row r="1455" spans="1:2" x14ac:dyDescent="0.3">
      <c r="A1455" s="1" t="s">
        <v>87</v>
      </c>
      <c r="B1455">
        <v>115263.25711324489</v>
      </c>
    </row>
    <row r="1456" spans="1:2" x14ac:dyDescent="0.3">
      <c r="A1456" s="1" t="s">
        <v>87</v>
      </c>
      <c r="B1456">
        <v>117855.29279617951</v>
      </c>
    </row>
    <row r="1457" spans="1:2" x14ac:dyDescent="0.3">
      <c r="A1457" s="1" t="s">
        <v>87</v>
      </c>
      <c r="B1457">
        <v>120511.4234190759</v>
      </c>
    </row>
    <row r="1458" spans="1:2" x14ac:dyDescent="0.3">
      <c r="A1458" s="1" t="s">
        <v>87</v>
      </c>
      <c r="B1458">
        <v>123090.41591927881</v>
      </c>
    </row>
    <row r="1459" spans="1:2" x14ac:dyDescent="0.3">
      <c r="A1459" s="1" t="s">
        <v>87</v>
      </c>
      <c r="B1459">
        <v>125667.6988472829</v>
      </c>
    </row>
    <row r="1460" spans="1:2" x14ac:dyDescent="0.3">
      <c r="A1460" s="1" t="s">
        <v>87</v>
      </c>
      <c r="B1460">
        <v>128242.9970864112</v>
      </c>
    </row>
    <row r="1461" spans="1:2" x14ac:dyDescent="0.3">
      <c r="A1461" s="1" t="s">
        <v>87</v>
      </c>
      <c r="B1461">
        <v>130937.0248281965</v>
      </c>
    </row>
    <row r="1462" spans="1:2" x14ac:dyDescent="0.3">
      <c r="A1462" s="1" t="s">
        <v>87</v>
      </c>
      <c r="B1462">
        <v>133515.3789910152</v>
      </c>
    </row>
    <row r="1463" spans="1:2" x14ac:dyDescent="0.3">
      <c r="A1463" s="1" t="s">
        <v>87</v>
      </c>
      <c r="B1463">
        <v>136119.83625128839</v>
      </c>
    </row>
    <row r="1464" spans="1:2" x14ac:dyDescent="0.3">
      <c r="A1464" s="1" t="s">
        <v>87</v>
      </c>
      <c r="B1464">
        <v>138695.49775687419</v>
      </c>
    </row>
    <row r="1465" spans="1:2" x14ac:dyDescent="0.3">
      <c r="A1465" s="1" t="s">
        <v>87</v>
      </c>
      <c r="B1465">
        <v>141287.2778904103</v>
      </c>
    </row>
    <row r="1466" spans="1:2" x14ac:dyDescent="0.3">
      <c r="A1466" s="1" t="s">
        <v>87</v>
      </c>
      <c r="B1466">
        <v>143904.63248946311</v>
      </c>
    </row>
    <row r="1467" spans="1:2" x14ac:dyDescent="0.3">
      <c r="A1467" s="1" t="s">
        <v>87</v>
      </c>
      <c r="B1467">
        <v>146525.04894684011</v>
      </c>
    </row>
    <row r="1468" spans="1:2" x14ac:dyDescent="0.3">
      <c r="A1468" s="1" t="s">
        <v>87</v>
      </c>
      <c r="B1468">
        <v>149129.92777697311</v>
      </c>
    </row>
    <row r="1469" spans="1:2" x14ac:dyDescent="0.3">
      <c r="A1469" s="1" t="s">
        <v>87</v>
      </c>
      <c r="B1469">
        <v>151718.20767700861</v>
      </c>
    </row>
    <row r="1470" spans="1:2" x14ac:dyDescent="0.3">
      <c r="A1470" s="1" t="s">
        <v>87</v>
      </c>
      <c r="B1470">
        <v>154308.15812168259</v>
      </c>
    </row>
    <row r="1471" spans="1:2" x14ac:dyDescent="0.3">
      <c r="A1471" s="1" t="s">
        <v>87</v>
      </c>
      <c r="B1471">
        <v>156871.03648572671</v>
      </c>
    </row>
    <row r="1472" spans="1:2" x14ac:dyDescent="0.3">
      <c r="A1472" s="1" t="s">
        <v>87</v>
      </c>
      <c r="B1472">
        <v>159460.44609490421</v>
      </c>
    </row>
    <row r="1473" spans="1:2" x14ac:dyDescent="0.3">
      <c r="A1473" s="1" t="s">
        <v>87</v>
      </c>
      <c r="B1473">
        <v>162096.15895764731</v>
      </c>
    </row>
    <row r="1474" spans="1:2" x14ac:dyDescent="0.3">
      <c r="A1474" s="1" t="s">
        <v>87</v>
      </c>
      <c r="B1474">
        <v>164747.1283218594</v>
      </c>
    </row>
    <row r="1475" spans="1:2" x14ac:dyDescent="0.3">
      <c r="A1475" s="1" t="s">
        <v>87</v>
      </c>
      <c r="B1475">
        <v>167352.20201362949</v>
      </c>
    </row>
    <row r="1476" spans="1:2" x14ac:dyDescent="0.3">
      <c r="A1476" s="1" t="s">
        <v>87</v>
      </c>
      <c r="B1476">
        <v>169944.14434715739</v>
      </c>
    </row>
    <row r="1477" spans="1:2" x14ac:dyDescent="0.3">
      <c r="A1477" s="1" t="s">
        <v>87</v>
      </c>
      <c r="B1477">
        <v>172534.10029407419</v>
      </c>
    </row>
    <row r="1478" spans="1:2" x14ac:dyDescent="0.3">
      <c r="A1478" s="1" t="s">
        <v>87</v>
      </c>
      <c r="B1478">
        <v>175137.05425558239</v>
      </c>
    </row>
    <row r="1479" spans="1:2" x14ac:dyDescent="0.3">
      <c r="A1479" s="1" t="s">
        <v>87</v>
      </c>
      <c r="B1479">
        <v>177713.8913112678</v>
      </c>
    </row>
    <row r="1480" spans="1:2" x14ac:dyDescent="0.3">
      <c r="A1480" s="1" t="s">
        <v>87</v>
      </c>
      <c r="B1480">
        <v>180305.20643070311</v>
      </c>
    </row>
    <row r="1481" spans="1:2" x14ac:dyDescent="0.3">
      <c r="A1481" s="1" t="s">
        <v>87</v>
      </c>
      <c r="B1481">
        <v>182908.40145170729</v>
      </c>
    </row>
    <row r="1482" spans="1:2" x14ac:dyDescent="0.3">
      <c r="A1482" s="1" t="s">
        <v>87</v>
      </c>
      <c r="B1482">
        <v>185512.7489474398</v>
      </c>
    </row>
    <row r="1483" spans="1:2" x14ac:dyDescent="0.3">
      <c r="A1483" s="1" t="s">
        <v>87</v>
      </c>
      <c r="B1483">
        <v>188136.44422571981</v>
      </c>
    </row>
    <row r="1484" spans="1:2" x14ac:dyDescent="0.3">
      <c r="A1484" s="1" t="s">
        <v>87</v>
      </c>
      <c r="B1484">
        <v>190738.44058495821</v>
      </c>
    </row>
    <row r="1485" spans="1:2" x14ac:dyDescent="0.3">
      <c r="A1485" s="1" t="s">
        <v>87</v>
      </c>
      <c r="B1485">
        <v>193344.43708322081</v>
      </c>
    </row>
    <row r="1486" spans="1:2" x14ac:dyDescent="0.3">
      <c r="A1486" s="1" t="s">
        <v>87</v>
      </c>
      <c r="B1486">
        <v>195921.84234900359</v>
      </c>
    </row>
    <row r="1487" spans="1:2" x14ac:dyDescent="0.3">
      <c r="A1487" s="1" t="s">
        <v>87</v>
      </c>
      <c r="B1487">
        <v>198537.56579140981</v>
      </c>
    </row>
    <row r="1488" spans="1:2" x14ac:dyDescent="0.3">
      <c r="A1488" s="1" t="s">
        <v>87</v>
      </c>
      <c r="B1488">
        <v>201118.25888364701</v>
      </c>
    </row>
    <row r="1489" spans="1:2" x14ac:dyDescent="0.3">
      <c r="A1489" s="1" t="s">
        <v>87</v>
      </c>
      <c r="B1489">
        <v>203749.86969612469</v>
      </c>
    </row>
    <row r="1490" spans="1:2" x14ac:dyDescent="0.3">
      <c r="A1490" s="1" t="s">
        <v>87</v>
      </c>
      <c r="B1490">
        <v>206312.20699506759</v>
      </c>
    </row>
    <row r="1491" spans="1:2" x14ac:dyDescent="0.3">
      <c r="A1491" s="1" t="s">
        <v>87</v>
      </c>
      <c r="B1491">
        <v>208931.06618886601</v>
      </c>
    </row>
    <row r="1492" spans="1:2" x14ac:dyDescent="0.3">
      <c r="A1492" s="1" t="s">
        <v>87</v>
      </c>
      <c r="B1492">
        <v>211553.6809477575</v>
      </c>
    </row>
    <row r="1493" spans="1:2" x14ac:dyDescent="0.3">
      <c r="A1493" s="1" t="s">
        <v>87</v>
      </c>
      <c r="B1493">
        <v>214142.32411425051</v>
      </c>
    </row>
    <row r="1494" spans="1:2" x14ac:dyDescent="0.3">
      <c r="A1494" s="1" t="s">
        <v>87</v>
      </c>
      <c r="B1494">
        <v>216763.1950097887</v>
      </c>
    </row>
    <row r="1495" spans="1:2" x14ac:dyDescent="0.3">
      <c r="A1495" s="1" t="s">
        <v>87</v>
      </c>
      <c r="B1495">
        <v>219338.86171362671</v>
      </c>
    </row>
    <row r="1496" spans="1:2" x14ac:dyDescent="0.3">
      <c r="A1496" s="1" t="s">
        <v>87</v>
      </c>
      <c r="B1496">
        <v>221957.8373675849</v>
      </c>
    </row>
    <row r="1497" spans="1:2" x14ac:dyDescent="0.3">
      <c r="A1497" s="1" t="s">
        <v>87</v>
      </c>
      <c r="B1497">
        <v>224562.7389435629</v>
      </c>
    </row>
    <row r="1498" spans="1:2" x14ac:dyDescent="0.3">
      <c r="A1498" s="1" t="s">
        <v>87</v>
      </c>
      <c r="B1498">
        <v>227138.978353652</v>
      </c>
    </row>
    <row r="1499" spans="1:2" x14ac:dyDescent="0.3">
      <c r="A1499" s="1" t="s">
        <v>87</v>
      </c>
      <c r="B1499">
        <v>229758.27356363871</v>
      </c>
    </row>
    <row r="1500" spans="1:2" x14ac:dyDescent="0.3">
      <c r="A1500" s="1" t="s">
        <v>87</v>
      </c>
      <c r="B1500">
        <v>232334.68261936991</v>
      </c>
    </row>
    <row r="1501" spans="1:2" x14ac:dyDescent="0.3">
      <c r="A1501" s="1" t="s">
        <v>88</v>
      </c>
      <c r="B1501">
        <v>-58465.387944957969</v>
      </c>
    </row>
    <row r="1502" spans="1:2" x14ac:dyDescent="0.3">
      <c r="A1502" s="1" t="s">
        <v>88</v>
      </c>
      <c r="B1502">
        <v>-54219.605551492947</v>
      </c>
    </row>
    <row r="1503" spans="1:2" x14ac:dyDescent="0.3">
      <c r="A1503" s="1" t="s">
        <v>88</v>
      </c>
      <c r="B1503">
        <v>-49913.426158927861</v>
      </c>
    </row>
    <row r="1504" spans="1:2" x14ac:dyDescent="0.3">
      <c r="A1504" s="1" t="s">
        <v>88</v>
      </c>
      <c r="B1504">
        <v>-45697.289559425473</v>
      </c>
    </row>
    <row r="1505" spans="1:2" x14ac:dyDescent="0.3">
      <c r="A1505" s="1" t="s">
        <v>88</v>
      </c>
      <c r="B1505">
        <v>-41476.93870516662</v>
      </c>
    </row>
    <row r="1506" spans="1:2" x14ac:dyDescent="0.3">
      <c r="A1506" s="1" t="s">
        <v>88</v>
      </c>
      <c r="B1506">
        <v>-37320.477997880902</v>
      </c>
    </row>
    <row r="1507" spans="1:2" x14ac:dyDescent="0.3">
      <c r="A1507" s="1" t="s">
        <v>88</v>
      </c>
      <c r="B1507">
        <v>-33115.616004918127</v>
      </c>
    </row>
    <row r="1508" spans="1:2" x14ac:dyDescent="0.3">
      <c r="A1508" s="1" t="s">
        <v>88</v>
      </c>
      <c r="B1508">
        <v>-29002.27604749248</v>
      </c>
    </row>
    <row r="1509" spans="1:2" x14ac:dyDescent="0.3">
      <c r="A1509" s="1" t="s">
        <v>88</v>
      </c>
      <c r="B1509">
        <v>-24911.642542639031</v>
      </c>
    </row>
    <row r="1510" spans="1:2" x14ac:dyDescent="0.3">
      <c r="A1510" s="1" t="s">
        <v>88</v>
      </c>
      <c r="B1510">
        <v>-20874.342437786148</v>
      </c>
    </row>
    <row r="1511" spans="1:2" x14ac:dyDescent="0.3">
      <c r="A1511" s="1" t="s">
        <v>88</v>
      </c>
      <c r="B1511">
        <v>-17000.147201701289</v>
      </c>
    </row>
    <row r="1512" spans="1:2" x14ac:dyDescent="0.3">
      <c r="A1512" s="1" t="s">
        <v>88</v>
      </c>
      <c r="B1512">
        <v>-13210.406315753769</v>
      </c>
    </row>
    <row r="1513" spans="1:2" x14ac:dyDescent="0.3">
      <c r="A1513" s="1" t="s">
        <v>88</v>
      </c>
      <c r="B1513">
        <v>-9508.813213229585</v>
      </c>
    </row>
    <row r="1514" spans="1:2" x14ac:dyDescent="0.3">
      <c r="A1514" s="1" t="s">
        <v>88</v>
      </c>
      <c r="B1514">
        <v>-5825.7787976856907</v>
      </c>
    </row>
    <row r="1515" spans="1:2" x14ac:dyDescent="0.3">
      <c r="A1515" s="1" t="s">
        <v>88</v>
      </c>
      <c r="B1515">
        <v>-2336.029738482172</v>
      </c>
    </row>
    <row r="1516" spans="1:2" x14ac:dyDescent="0.3">
      <c r="A1516" s="1" t="s">
        <v>88</v>
      </c>
      <c r="B1516">
        <v>557.40060728757908</v>
      </c>
    </row>
    <row r="1517" spans="1:2" x14ac:dyDescent="0.3">
      <c r="A1517" s="1" t="s">
        <v>88</v>
      </c>
      <c r="B1517">
        <v>3137.6405135355139</v>
      </c>
    </row>
    <row r="1518" spans="1:2" x14ac:dyDescent="0.3">
      <c r="A1518" s="1" t="s">
        <v>88</v>
      </c>
      <c r="B1518">
        <v>5714.7168698540381</v>
      </c>
    </row>
    <row r="1519" spans="1:2" x14ac:dyDescent="0.3">
      <c r="A1519" s="1" t="s">
        <v>88</v>
      </c>
      <c r="B1519">
        <v>8236.063536825277</v>
      </c>
    </row>
    <row r="1520" spans="1:2" x14ac:dyDescent="0.3">
      <c r="A1520" s="1" t="s">
        <v>88</v>
      </c>
      <c r="B1520">
        <v>10783.430212498281</v>
      </c>
    </row>
    <row r="1521" spans="1:2" x14ac:dyDescent="0.3">
      <c r="A1521" s="1" t="s">
        <v>88</v>
      </c>
      <c r="B1521">
        <v>13346.14321466303</v>
      </c>
    </row>
    <row r="1522" spans="1:2" x14ac:dyDescent="0.3">
      <c r="A1522" s="1" t="s">
        <v>88</v>
      </c>
      <c r="B1522">
        <v>15910.698540830461</v>
      </c>
    </row>
    <row r="1523" spans="1:2" x14ac:dyDescent="0.3">
      <c r="A1523" s="1" t="s">
        <v>88</v>
      </c>
      <c r="B1523">
        <v>18459.3952171321</v>
      </c>
    </row>
    <row r="1524" spans="1:2" x14ac:dyDescent="0.3">
      <c r="A1524" s="1" t="s">
        <v>88</v>
      </c>
      <c r="B1524">
        <v>21023.27034556081</v>
      </c>
    </row>
    <row r="1525" spans="1:2" x14ac:dyDescent="0.3">
      <c r="A1525" s="1" t="s">
        <v>88</v>
      </c>
      <c r="B1525">
        <v>23557.74645010359</v>
      </c>
    </row>
    <row r="1526" spans="1:2" x14ac:dyDescent="0.3">
      <c r="A1526" s="1" t="s">
        <v>88</v>
      </c>
      <c r="B1526">
        <v>26121.0940945334</v>
      </c>
    </row>
    <row r="1527" spans="1:2" x14ac:dyDescent="0.3">
      <c r="A1527" s="1" t="s">
        <v>88</v>
      </c>
      <c r="B1527">
        <v>28698.568686087881</v>
      </c>
    </row>
    <row r="1528" spans="1:2" x14ac:dyDescent="0.3">
      <c r="A1528" s="1" t="s">
        <v>88</v>
      </c>
      <c r="B1528">
        <v>31231.180621937641</v>
      </c>
    </row>
    <row r="1529" spans="1:2" x14ac:dyDescent="0.3">
      <c r="A1529" s="1" t="s">
        <v>88</v>
      </c>
      <c r="B1529">
        <v>33781.607490168914</v>
      </c>
    </row>
    <row r="1530" spans="1:2" x14ac:dyDescent="0.3">
      <c r="A1530" s="1" t="s">
        <v>88</v>
      </c>
      <c r="B1530">
        <v>36358.667989685571</v>
      </c>
    </row>
    <row r="1531" spans="1:2" x14ac:dyDescent="0.3">
      <c r="A1531" s="1" t="s">
        <v>88</v>
      </c>
      <c r="B1531">
        <v>38907.245565518322</v>
      </c>
    </row>
    <row r="1532" spans="1:2" x14ac:dyDescent="0.3">
      <c r="A1532" s="1" t="s">
        <v>88</v>
      </c>
      <c r="B1532">
        <v>41442.746595139193</v>
      </c>
    </row>
    <row r="1533" spans="1:2" x14ac:dyDescent="0.3">
      <c r="A1533" s="1" t="s">
        <v>88</v>
      </c>
      <c r="B1533">
        <v>43976.715463243978</v>
      </c>
    </row>
    <row r="1534" spans="1:2" x14ac:dyDescent="0.3">
      <c r="A1534" s="1" t="s">
        <v>88</v>
      </c>
      <c r="B1534">
        <v>46570.192431291784</v>
      </c>
    </row>
    <row r="1535" spans="1:2" x14ac:dyDescent="0.3">
      <c r="A1535" s="1" t="s">
        <v>88</v>
      </c>
      <c r="B1535">
        <v>49119.894557053551</v>
      </c>
    </row>
    <row r="1536" spans="1:2" x14ac:dyDescent="0.3">
      <c r="A1536" s="1" t="s">
        <v>88</v>
      </c>
      <c r="B1536">
        <v>51695.458136107423</v>
      </c>
    </row>
    <row r="1537" spans="1:2" x14ac:dyDescent="0.3">
      <c r="A1537" s="1" t="s">
        <v>88</v>
      </c>
      <c r="B1537">
        <v>54215.454182719113</v>
      </c>
    </row>
    <row r="1538" spans="1:2" x14ac:dyDescent="0.3">
      <c r="A1538" s="1" t="s">
        <v>88</v>
      </c>
      <c r="B1538">
        <v>56794.424057162549</v>
      </c>
    </row>
    <row r="1539" spans="1:2" x14ac:dyDescent="0.3">
      <c r="A1539" s="1" t="s">
        <v>88</v>
      </c>
      <c r="B1539">
        <v>59344.015364262093</v>
      </c>
    </row>
    <row r="1540" spans="1:2" x14ac:dyDescent="0.3">
      <c r="A1540" s="1" t="s">
        <v>88</v>
      </c>
      <c r="B1540">
        <v>61891.288270990262</v>
      </c>
    </row>
    <row r="1541" spans="1:2" x14ac:dyDescent="0.3">
      <c r="A1541" s="1" t="s">
        <v>88</v>
      </c>
      <c r="B1541">
        <v>64425.838752774893</v>
      </c>
    </row>
    <row r="1542" spans="1:2" x14ac:dyDescent="0.3">
      <c r="A1542" s="1" t="s">
        <v>88</v>
      </c>
      <c r="B1542">
        <v>67003.689434113156</v>
      </c>
    </row>
    <row r="1543" spans="1:2" x14ac:dyDescent="0.3">
      <c r="A1543" s="1" t="s">
        <v>88</v>
      </c>
      <c r="B1543">
        <v>69551.369336802949</v>
      </c>
    </row>
    <row r="1544" spans="1:2" x14ac:dyDescent="0.3">
      <c r="A1544" s="1" t="s">
        <v>88</v>
      </c>
      <c r="B1544">
        <v>72100.45262767683</v>
      </c>
    </row>
    <row r="1545" spans="1:2" x14ac:dyDescent="0.3">
      <c r="A1545" s="1" t="s">
        <v>88</v>
      </c>
      <c r="B1545">
        <v>74665.674297909267</v>
      </c>
    </row>
    <row r="1546" spans="1:2" x14ac:dyDescent="0.3">
      <c r="A1546" s="1" t="s">
        <v>88</v>
      </c>
      <c r="B1546">
        <v>77228.98763888258</v>
      </c>
    </row>
    <row r="1547" spans="1:2" x14ac:dyDescent="0.3">
      <c r="A1547" s="1" t="s">
        <v>88</v>
      </c>
      <c r="B1547">
        <v>79791.9736500336</v>
      </c>
    </row>
    <row r="1548" spans="1:2" x14ac:dyDescent="0.3">
      <c r="A1548" s="1" t="s">
        <v>88</v>
      </c>
      <c r="B1548">
        <v>82328.872954119128</v>
      </c>
    </row>
    <row r="1549" spans="1:2" x14ac:dyDescent="0.3">
      <c r="A1549" s="1" t="s">
        <v>88</v>
      </c>
      <c r="B1549">
        <v>84890.088733510391</v>
      </c>
    </row>
    <row r="1550" spans="1:2" x14ac:dyDescent="0.3">
      <c r="A1550" s="1" t="s">
        <v>88</v>
      </c>
      <c r="B1550">
        <v>87453.25603504233</v>
      </c>
    </row>
    <row r="1551" spans="1:2" x14ac:dyDescent="0.3">
      <c r="A1551" s="1" t="s">
        <v>88</v>
      </c>
      <c r="B1551">
        <v>89974.580533333705</v>
      </c>
    </row>
    <row r="1552" spans="1:2" x14ac:dyDescent="0.3">
      <c r="A1552" s="1" t="s">
        <v>88</v>
      </c>
      <c r="B1552">
        <v>92535.429029368956</v>
      </c>
    </row>
    <row r="1553" spans="1:2" x14ac:dyDescent="0.3">
      <c r="A1553" s="1" t="s">
        <v>88</v>
      </c>
      <c r="B1553">
        <v>95098.555216364155</v>
      </c>
    </row>
    <row r="1554" spans="1:2" x14ac:dyDescent="0.3">
      <c r="A1554" s="1" t="s">
        <v>88</v>
      </c>
      <c r="B1554">
        <v>97620.272537264726</v>
      </c>
    </row>
    <row r="1555" spans="1:2" x14ac:dyDescent="0.3">
      <c r="A1555" s="1" t="s">
        <v>88</v>
      </c>
      <c r="B1555">
        <v>100234.0249468199</v>
      </c>
    </row>
    <row r="1556" spans="1:2" x14ac:dyDescent="0.3">
      <c r="A1556" s="1" t="s">
        <v>88</v>
      </c>
      <c r="B1556">
        <v>102776.03933448291</v>
      </c>
    </row>
    <row r="1557" spans="1:2" x14ac:dyDescent="0.3">
      <c r="A1557" s="1" t="s">
        <v>88</v>
      </c>
      <c r="B1557">
        <v>105284.8580661653</v>
      </c>
    </row>
    <row r="1558" spans="1:2" x14ac:dyDescent="0.3">
      <c r="A1558" s="1" t="s">
        <v>88</v>
      </c>
      <c r="B1558">
        <v>107902.5702138113</v>
      </c>
    </row>
    <row r="1559" spans="1:2" x14ac:dyDescent="0.3">
      <c r="A1559" s="1" t="s">
        <v>88</v>
      </c>
      <c r="B1559">
        <v>110464.348395956</v>
      </c>
    </row>
    <row r="1560" spans="1:2" x14ac:dyDescent="0.3">
      <c r="A1560" s="1" t="s">
        <v>88</v>
      </c>
      <c r="B1560">
        <v>112973.59792447</v>
      </c>
    </row>
    <row r="1561" spans="1:2" x14ac:dyDescent="0.3">
      <c r="A1561" s="1" t="s">
        <v>88</v>
      </c>
      <c r="B1561">
        <v>115505.2819672765</v>
      </c>
    </row>
    <row r="1562" spans="1:2" x14ac:dyDescent="0.3">
      <c r="A1562" s="1" t="s">
        <v>88</v>
      </c>
      <c r="B1562">
        <v>118081.02704516549</v>
      </c>
    </row>
    <row r="1563" spans="1:2" x14ac:dyDescent="0.3">
      <c r="A1563" s="1" t="s">
        <v>88</v>
      </c>
      <c r="B1563">
        <v>120646.9431227778</v>
      </c>
    </row>
    <row r="1564" spans="1:2" x14ac:dyDescent="0.3">
      <c r="A1564" s="1" t="s">
        <v>88</v>
      </c>
      <c r="B1564">
        <v>123193.154067323</v>
      </c>
    </row>
    <row r="1565" spans="1:2" x14ac:dyDescent="0.3">
      <c r="A1565" s="1" t="s">
        <v>88</v>
      </c>
      <c r="B1565">
        <v>125728.96448142509</v>
      </c>
    </row>
    <row r="1566" spans="1:2" x14ac:dyDescent="0.3">
      <c r="A1566" s="1" t="s">
        <v>88</v>
      </c>
      <c r="B1566">
        <v>128323.7754943015</v>
      </c>
    </row>
    <row r="1567" spans="1:2" x14ac:dyDescent="0.3">
      <c r="A1567" s="1" t="s">
        <v>88</v>
      </c>
      <c r="B1567">
        <v>130886.4515727613</v>
      </c>
    </row>
    <row r="1568" spans="1:2" x14ac:dyDescent="0.3">
      <c r="A1568" s="1" t="s">
        <v>88</v>
      </c>
      <c r="B1568">
        <v>133422.7721958592</v>
      </c>
    </row>
    <row r="1569" spans="1:2" x14ac:dyDescent="0.3">
      <c r="A1569" s="1" t="s">
        <v>88</v>
      </c>
      <c r="B1569">
        <v>135999.76901605149</v>
      </c>
    </row>
    <row r="1570" spans="1:2" x14ac:dyDescent="0.3">
      <c r="A1570" s="1" t="s">
        <v>88</v>
      </c>
      <c r="B1570">
        <v>138546.28306304739</v>
      </c>
    </row>
    <row r="1571" spans="1:2" x14ac:dyDescent="0.3">
      <c r="A1571" s="1" t="s">
        <v>88</v>
      </c>
      <c r="B1571">
        <v>141053.1222307698</v>
      </c>
    </row>
    <row r="1572" spans="1:2" x14ac:dyDescent="0.3">
      <c r="A1572" s="1" t="s">
        <v>88</v>
      </c>
      <c r="B1572">
        <v>143600.61254940249</v>
      </c>
    </row>
    <row r="1573" spans="1:2" x14ac:dyDescent="0.3">
      <c r="A1573" s="1" t="s">
        <v>88</v>
      </c>
      <c r="B1573">
        <v>146192.48014327549</v>
      </c>
    </row>
    <row r="1574" spans="1:2" x14ac:dyDescent="0.3">
      <c r="A1574" s="1" t="s">
        <v>88</v>
      </c>
      <c r="B1574">
        <v>148755.37195113191</v>
      </c>
    </row>
    <row r="1575" spans="1:2" x14ac:dyDescent="0.3">
      <c r="A1575" s="1" t="s">
        <v>88</v>
      </c>
      <c r="B1575">
        <v>151335.88537828071</v>
      </c>
    </row>
    <row r="1576" spans="1:2" x14ac:dyDescent="0.3">
      <c r="A1576" s="1" t="s">
        <v>88</v>
      </c>
      <c r="B1576">
        <v>153883.92203465279</v>
      </c>
    </row>
    <row r="1577" spans="1:2" x14ac:dyDescent="0.3">
      <c r="A1577" s="1" t="s">
        <v>88</v>
      </c>
      <c r="B1577">
        <v>156420.0264586508</v>
      </c>
    </row>
    <row r="1578" spans="1:2" x14ac:dyDescent="0.3">
      <c r="A1578" s="1" t="s">
        <v>88</v>
      </c>
      <c r="B1578">
        <v>158967.5146956181</v>
      </c>
    </row>
    <row r="1579" spans="1:2" x14ac:dyDescent="0.3">
      <c r="A1579" s="1" t="s">
        <v>88</v>
      </c>
      <c r="B1579">
        <v>161487.32254603229</v>
      </c>
    </row>
    <row r="1580" spans="1:2" x14ac:dyDescent="0.3">
      <c r="A1580" s="1" t="s">
        <v>88</v>
      </c>
      <c r="B1580">
        <v>164050.14283489509</v>
      </c>
    </row>
    <row r="1581" spans="1:2" x14ac:dyDescent="0.3">
      <c r="A1581" s="1" t="s">
        <v>88</v>
      </c>
      <c r="B1581">
        <v>166658.31340965969</v>
      </c>
    </row>
    <row r="1582" spans="1:2" x14ac:dyDescent="0.3">
      <c r="A1582" s="1" t="s">
        <v>88</v>
      </c>
      <c r="B1582">
        <v>169220.09021270461</v>
      </c>
    </row>
    <row r="1583" spans="1:2" x14ac:dyDescent="0.3">
      <c r="A1583" s="1" t="s">
        <v>88</v>
      </c>
      <c r="B1583">
        <v>171741.62507587339</v>
      </c>
    </row>
    <row r="1584" spans="1:2" x14ac:dyDescent="0.3">
      <c r="A1584" s="1" t="s">
        <v>88</v>
      </c>
      <c r="B1584">
        <v>174274.98774622279</v>
      </c>
    </row>
    <row r="1585" spans="1:2" x14ac:dyDescent="0.3">
      <c r="A1585" s="1" t="s">
        <v>88</v>
      </c>
      <c r="B1585">
        <v>176865.44411106329</v>
      </c>
    </row>
    <row r="1586" spans="1:2" x14ac:dyDescent="0.3">
      <c r="A1586" s="1" t="s">
        <v>88</v>
      </c>
      <c r="B1586">
        <v>179387.7763042576</v>
      </c>
    </row>
    <row r="1587" spans="1:2" x14ac:dyDescent="0.3">
      <c r="A1587" s="1" t="s">
        <v>88</v>
      </c>
      <c r="B1587">
        <v>181949.82566023269</v>
      </c>
    </row>
    <row r="1588" spans="1:2" x14ac:dyDescent="0.3">
      <c r="A1588" s="1" t="s">
        <v>88</v>
      </c>
      <c r="B1588">
        <v>184513.8727230494</v>
      </c>
    </row>
    <row r="1589" spans="1:2" x14ac:dyDescent="0.3">
      <c r="A1589" s="1" t="s">
        <v>88</v>
      </c>
      <c r="B1589">
        <v>187065.79102050141</v>
      </c>
    </row>
    <row r="1590" spans="1:2" x14ac:dyDescent="0.3">
      <c r="A1590" s="1" t="s">
        <v>88</v>
      </c>
      <c r="B1590">
        <v>189640.94390933469</v>
      </c>
    </row>
    <row r="1591" spans="1:2" x14ac:dyDescent="0.3">
      <c r="A1591" s="1" t="s">
        <v>88</v>
      </c>
      <c r="B1591">
        <v>192190.57957169661</v>
      </c>
    </row>
    <row r="1592" spans="1:2" x14ac:dyDescent="0.3">
      <c r="A1592" s="1" t="s">
        <v>88</v>
      </c>
      <c r="B1592">
        <v>194738.0597289986</v>
      </c>
    </row>
    <row r="1593" spans="1:2" x14ac:dyDescent="0.3">
      <c r="A1593" s="1" t="s">
        <v>88</v>
      </c>
      <c r="B1593">
        <v>197286.19022976561</v>
      </c>
    </row>
    <row r="1594" spans="1:2" x14ac:dyDescent="0.3">
      <c r="A1594" s="1" t="s">
        <v>88</v>
      </c>
      <c r="B1594">
        <v>199835.07008615651</v>
      </c>
    </row>
    <row r="1595" spans="1:2" x14ac:dyDescent="0.3">
      <c r="A1595" s="1" t="s">
        <v>88</v>
      </c>
      <c r="B1595">
        <v>202399.39041641209</v>
      </c>
    </row>
    <row r="1596" spans="1:2" x14ac:dyDescent="0.3">
      <c r="A1596" s="1" t="s">
        <v>88</v>
      </c>
      <c r="B1596">
        <v>204934.59563661311</v>
      </c>
    </row>
    <row r="1597" spans="1:2" x14ac:dyDescent="0.3">
      <c r="A1597" s="1" t="s">
        <v>88</v>
      </c>
      <c r="B1597">
        <v>207526.13164718231</v>
      </c>
    </row>
    <row r="1598" spans="1:2" x14ac:dyDescent="0.3">
      <c r="A1598" s="1" t="s">
        <v>88</v>
      </c>
      <c r="B1598">
        <v>210046.33186094961</v>
      </c>
    </row>
    <row r="1599" spans="1:2" x14ac:dyDescent="0.3">
      <c r="A1599" s="1" t="s">
        <v>88</v>
      </c>
      <c r="B1599">
        <v>212611.12273435041</v>
      </c>
    </row>
    <row r="1600" spans="1:2" x14ac:dyDescent="0.3">
      <c r="A1600" s="1" t="s">
        <v>88</v>
      </c>
      <c r="B1600">
        <v>215174.62227716841</v>
      </c>
    </row>
  </sheetData>
  <phoneticPr fontId="1" type="noConversion"/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56CA4C-F4BE-4766-83FF-F6D7BB77614F}">
  <sheetPr codeName="Tabelle3"/>
  <dimension ref="A1:B1014"/>
  <sheetViews>
    <sheetView topLeftCell="A974" zoomScale="85" zoomScaleNormal="85" workbookViewId="0">
      <selection activeCell="B912" sqref="B912:B1011"/>
    </sheetView>
  </sheetViews>
  <sheetFormatPr baseColWidth="10" defaultRowHeight="14.4" x14ac:dyDescent="0.3"/>
  <cols>
    <col min="1" max="1" width="48.21875" bestFit="1" customWidth="1"/>
    <col min="2" max="2" width="12" bestFit="1" customWidth="1"/>
  </cols>
  <sheetData>
    <row r="1" spans="1:2" x14ac:dyDescent="0.3">
      <c r="A1" t="s">
        <v>12</v>
      </c>
      <c r="B1" t="s">
        <v>89</v>
      </c>
    </row>
    <row r="2" spans="1:2" hidden="1" x14ac:dyDescent="0.3">
      <c r="A2" s="1" t="s">
        <v>19</v>
      </c>
      <c r="B2">
        <v>0</v>
      </c>
    </row>
    <row r="3" spans="1:2" hidden="1" x14ac:dyDescent="0.3">
      <c r="A3" s="1" t="s">
        <v>19</v>
      </c>
      <c r="B3">
        <v>1117.0416</v>
      </c>
    </row>
    <row r="4" spans="1:2" hidden="1" x14ac:dyDescent="0.3">
      <c r="A4" s="1" t="s">
        <v>19</v>
      </c>
      <c r="B4">
        <v>1118.7401535353531</v>
      </c>
    </row>
    <row r="5" spans="1:2" hidden="1" x14ac:dyDescent="0.3">
      <c r="A5" s="1" t="s">
        <v>19</v>
      </c>
      <c r="B5">
        <v>1120.4387070707071</v>
      </c>
    </row>
    <row r="6" spans="1:2" hidden="1" x14ac:dyDescent="0.3">
      <c r="A6" s="1" t="s">
        <v>19</v>
      </c>
      <c r="B6">
        <v>1122.13726060606</v>
      </c>
    </row>
    <row r="7" spans="1:2" hidden="1" x14ac:dyDescent="0.3">
      <c r="A7" s="1" t="s">
        <v>19</v>
      </c>
      <c r="B7">
        <v>1123.8358141414139</v>
      </c>
    </row>
    <row r="8" spans="1:2" hidden="1" x14ac:dyDescent="0.3">
      <c r="A8" s="1" t="s">
        <v>19</v>
      </c>
      <c r="B8">
        <v>1125.534367676767</v>
      </c>
    </row>
    <row r="9" spans="1:2" hidden="1" x14ac:dyDescent="0.3">
      <c r="A9" s="1" t="s">
        <v>19</v>
      </c>
      <c r="B9">
        <v>1127.232921212121</v>
      </c>
    </row>
    <row r="10" spans="1:2" hidden="1" x14ac:dyDescent="0.3">
      <c r="A10" s="1" t="s">
        <v>19</v>
      </c>
      <c r="B10">
        <v>1128.931474747475</v>
      </c>
    </row>
    <row r="11" spans="1:2" hidden="1" x14ac:dyDescent="0.3">
      <c r="A11" s="1" t="s">
        <v>19</v>
      </c>
      <c r="B11">
        <v>1130.6300282828281</v>
      </c>
    </row>
    <row r="12" spans="1:2" hidden="1" x14ac:dyDescent="0.3">
      <c r="A12" s="1" t="s">
        <v>19</v>
      </c>
      <c r="B12">
        <v>1132.3285818181821</v>
      </c>
    </row>
    <row r="13" spans="1:2" hidden="1" x14ac:dyDescent="0.3">
      <c r="A13" s="1" t="s">
        <v>19</v>
      </c>
      <c r="B13">
        <v>1134.027135353535</v>
      </c>
    </row>
    <row r="14" spans="1:2" hidden="1" x14ac:dyDescent="0.3">
      <c r="A14" s="1" t="s">
        <v>19</v>
      </c>
      <c r="B14">
        <v>1135.725688888889</v>
      </c>
    </row>
    <row r="15" spans="1:2" hidden="1" x14ac:dyDescent="0.3">
      <c r="A15" s="1" t="s">
        <v>19</v>
      </c>
      <c r="B15">
        <v>1137.424242424242</v>
      </c>
    </row>
    <row r="16" spans="1:2" hidden="1" x14ac:dyDescent="0.3">
      <c r="A16" s="1" t="s">
        <v>19</v>
      </c>
      <c r="B16">
        <v>1139.122795959596</v>
      </c>
    </row>
    <row r="17" spans="1:2" hidden="1" x14ac:dyDescent="0.3">
      <c r="A17" s="1" t="s">
        <v>19</v>
      </c>
      <c r="B17">
        <v>1140.8213494949489</v>
      </c>
    </row>
    <row r="18" spans="1:2" hidden="1" x14ac:dyDescent="0.3">
      <c r="A18" s="1" t="s">
        <v>19</v>
      </c>
      <c r="B18">
        <v>1142.5199030303031</v>
      </c>
    </row>
    <row r="19" spans="1:2" hidden="1" x14ac:dyDescent="0.3">
      <c r="A19" s="1" t="s">
        <v>19</v>
      </c>
      <c r="B19">
        <v>1144.218456565656</v>
      </c>
    </row>
    <row r="20" spans="1:2" hidden="1" x14ac:dyDescent="0.3">
      <c r="A20" s="1" t="s">
        <v>19</v>
      </c>
      <c r="B20">
        <v>1145.91701010101</v>
      </c>
    </row>
    <row r="21" spans="1:2" hidden="1" x14ac:dyDescent="0.3">
      <c r="A21" s="1" t="s">
        <v>19</v>
      </c>
      <c r="B21">
        <v>1147.615563636364</v>
      </c>
    </row>
    <row r="22" spans="1:2" hidden="1" x14ac:dyDescent="0.3">
      <c r="A22" s="1" t="s">
        <v>19</v>
      </c>
      <c r="B22">
        <v>1149.314117171717</v>
      </c>
    </row>
    <row r="23" spans="1:2" hidden="1" x14ac:dyDescent="0.3">
      <c r="A23" s="1" t="s">
        <v>19</v>
      </c>
      <c r="B23">
        <v>1151.012670707071</v>
      </c>
    </row>
    <row r="24" spans="1:2" hidden="1" x14ac:dyDescent="0.3">
      <c r="A24" s="1" t="s">
        <v>19</v>
      </c>
      <c r="B24">
        <v>1152.7112242424239</v>
      </c>
    </row>
    <row r="25" spans="1:2" hidden="1" x14ac:dyDescent="0.3">
      <c r="A25" s="1" t="s">
        <v>19</v>
      </c>
      <c r="B25">
        <v>1154.4097777777779</v>
      </c>
    </row>
    <row r="26" spans="1:2" hidden="1" x14ac:dyDescent="0.3">
      <c r="A26" s="1" t="s">
        <v>19</v>
      </c>
      <c r="B26">
        <v>1156.108331313131</v>
      </c>
    </row>
    <row r="27" spans="1:2" hidden="1" x14ac:dyDescent="0.3">
      <c r="A27" s="1" t="s">
        <v>19</v>
      </c>
      <c r="B27">
        <v>1157.806884848485</v>
      </c>
    </row>
    <row r="28" spans="1:2" hidden="1" x14ac:dyDescent="0.3">
      <c r="A28" s="1" t="s">
        <v>19</v>
      </c>
      <c r="B28">
        <v>1159.5054383838381</v>
      </c>
    </row>
    <row r="29" spans="1:2" hidden="1" x14ac:dyDescent="0.3">
      <c r="A29" s="1" t="s">
        <v>19</v>
      </c>
      <c r="B29">
        <v>1161.203991919192</v>
      </c>
    </row>
    <row r="30" spans="1:2" hidden="1" x14ac:dyDescent="0.3">
      <c r="A30" s="1" t="s">
        <v>19</v>
      </c>
      <c r="B30">
        <v>1162.9025454545449</v>
      </c>
    </row>
    <row r="31" spans="1:2" hidden="1" x14ac:dyDescent="0.3">
      <c r="A31" s="1" t="s">
        <v>19</v>
      </c>
      <c r="B31">
        <v>1164.6010989898989</v>
      </c>
    </row>
    <row r="32" spans="1:2" hidden="1" x14ac:dyDescent="0.3">
      <c r="A32" s="1" t="s">
        <v>19</v>
      </c>
      <c r="B32">
        <v>1166.299652525252</v>
      </c>
    </row>
    <row r="33" spans="1:2" hidden="1" x14ac:dyDescent="0.3">
      <c r="A33" s="1" t="s">
        <v>19</v>
      </c>
      <c r="B33">
        <v>1167.998206060606</v>
      </c>
    </row>
    <row r="34" spans="1:2" hidden="1" x14ac:dyDescent="0.3">
      <c r="A34" s="1" t="s">
        <v>19</v>
      </c>
      <c r="B34">
        <v>1169.69675959596</v>
      </c>
    </row>
    <row r="35" spans="1:2" hidden="1" x14ac:dyDescent="0.3">
      <c r="A35" s="1" t="s">
        <v>19</v>
      </c>
      <c r="B35">
        <v>1171.3953131313131</v>
      </c>
    </row>
    <row r="36" spans="1:2" hidden="1" x14ac:dyDescent="0.3">
      <c r="A36" s="1" t="s">
        <v>19</v>
      </c>
      <c r="B36">
        <v>1173.0938666666671</v>
      </c>
    </row>
    <row r="37" spans="1:2" hidden="1" x14ac:dyDescent="0.3">
      <c r="A37" s="1" t="s">
        <v>19</v>
      </c>
      <c r="B37">
        <v>1174.7924202020199</v>
      </c>
    </row>
    <row r="38" spans="1:2" hidden="1" x14ac:dyDescent="0.3">
      <c r="A38" s="1" t="s">
        <v>19</v>
      </c>
      <c r="B38">
        <v>1176.4909737373739</v>
      </c>
    </row>
    <row r="39" spans="1:2" hidden="1" x14ac:dyDescent="0.3">
      <c r="A39" s="1" t="s">
        <v>19</v>
      </c>
      <c r="B39">
        <v>1178.189527272727</v>
      </c>
    </row>
    <row r="40" spans="1:2" hidden="1" x14ac:dyDescent="0.3">
      <c r="A40" s="1" t="s">
        <v>19</v>
      </c>
      <c r="B40">
        <v>1179.888080808081</v>
      </c>
    </row>
    <row r="41" spans="1:2" hidden="1" x14ac:dyDescent="0.3">
      <c r="A41" s="1" t="s">
        <v>19</v>
      </c>
      <c r="B41">
        <v>1181.5866343434341</v>
      </c>
    </row>
    <row r="42" spans="1:2" hidden="1" x14ac:dyDescent="0.3">
      <c r="A42" s="1" t="s">
        <v>19</v>
      </c>
      <c r="B42">
        <v>1183.2851878787881</v>
      </c>
    </row>
    <row r="43" spans="1:2" hidden="1" x14ac:dyDescent="0.3">
      <c r="A43" s="1" t="s">
        <v>19</v>
      </c>
      <c r="B43">
        <v>1184.9837414141409</v>
      </c>
    </row>
    <row r="44" spans="1:2" hidden="1" x14ac:dyDescent="0.3">
      <c r="A44" s="1" t="s">
        <v>19</v>
      </c>
      <c r="B44">
        <v>1186.6822949494949</v>
      </c>
    </row>
    <row r="45" spans="1:2" hidden="1" x14ac:dyDescent="0.3">
      <c r="A45" s="1" t="s">
        <v>19</v>
      </c>
      <c r="B45">
        <v>1188.380848484848</v>
      </c>
    </row>
    <row r="46" spans="1:2" hidden="1" x14ac:dyDescent="0.3">
      <c r="A46" s="1" t="s">
        <v>19</v>
      </c>
      <c r="B46">
        <v>1190.079402020202</v>
      </c>
    </row>
    <row r="47" spans="1:2" hidden="1" x14ac:dyDescent="0.3">
      <c r="A47" s="1" t="s">
        <v>19</v>
      </c>
      <c r="B47">
        <v>1191.777955555556</v>
      </c>
    </row>
    <row r="48" spans="1:2" hidden="1" x14ac:dyDescent="0.3">
      <c r="A48" s="1" t="s">
        <v>19</v>
      </c>
      <c r="B48">
        <v>1193.4765090909091</v>
      </c>
    </row>
    <row r="49" spans="1:2" hidden="1" x14ac:dyDescent="0.3">
      <c r="A49" s="1" t="s">
        <v>19</v>
      </c>
      <c r="B49">
        <v>1195.1750626262631</v>
      </c>
    </row>
    <row r="50" spans="1:2" hidden="1" x14ac:dyDescent="0.3">
      <c r="A50" s="1" t="s">
        <v>19</v>
      </c>
      <c r="B50">
        <v>1196.8736161616159</v>
      </c>
    </row>
    <row r="51" spans="1:2" hidden="1" x14ac:dyDescent="0.3">
      <c r="A51" s="1" t="s">
        <v>19</v>
      </c>
      <c r="B51">
        <v>1198.572169696969</v>
      </c>
    </row>
    <row r="52" spans="1:2" hidden="1" x14ac:dyDescent="0.3">
      <c r="A52" s="1" t="s">
        <v>19</v>
      </c>
      <c r="B52">
        <v>1200.270723232323</v>
      </c>
    </row>
    <row r="53" spans="1:2" hidden="1" x14ac:dyDescent="0.3">
      <c r="A53" s="1" t="s">
        <v>19</v>
      </c>
      <c r="B53">
        <v>1201.969276767677</v>
      </c>
    </row>
    <row r="54" spans="1:2" hidden="1" x14ac:dyDescent="0.3">
      <c r="A54" s="1" t="s">
        <v>19</v>
      </c>
      <c r="B54">
        <v>1203.6678303030301</v>
      </c>
    </row>
    <row r="55" spans="1:2" hidden="1" x14ac:dyDescent="0.3">
      <c r="A55" s="1" t="s">
        <v>19</v>
      </c>
      <c r="B55">
        <v>1205.3663838383841</v>
      </c>
    </row>
    <row r="56" spans="1:2" hidden="1" x14ac:dyDescent="0.3">
      <c r="A56" s="1" t="s">
        <v>19</v>
      </c>
      <c r="B56">
        <v>1207.0649373737369</v>
      </c>
    </row>
    <row r="57" spans="1:2" hidden="1" x14ac:dyDescent="0.3">
      <c r="A57" s="1" t="s">
        <v>19</v>
      </c>
      <c r="B57">
        <v>1208.7634909090909</v>
      </c>
    </row>
    <row r="58" spans="1:2" hidden="1" x14ac:dyDescent="0.3">
      <c r="A58" s="1" t="s">
        <v>19</v>
      </c>
      <c r="B58">
        <v>1210.462044444444</v>
      </c>
    </row>
    <row r="59" spans="1:2" hidden="1" x14ac:dyDescent="0.3">
      <c r="A59" s="1" t="s">
        <v>19</v>
      </c>
      <c r="B59">
        <v>1212.160597979798</v>
      </c>
    </row>
    <row r="60" spans="1:2" hidden="1" x14ac:dyDescent="0.3">
      <c r="A60" s="1" t="s">
        <v>19</v>
      </c>
      <c r="B60">
        <v>1213.8591515151511</v>
      </c>
    </row>
    <row r="61" spans="1:2" hidden="1" x14ac:dyDescent="0.3">
      <c r="A61" s="1" t="s">
        <v>19</v>
      </c>
      <c r="B61">
        <v>1215.5577050505051</v>
      </c>
    </row>
    <row r="62" spans="1:2" hidden="1" x14ac:dyDescent="0.3">
      <c r="A62" s="1" t="s">
        <v>19</v>
      </c>
      <c r="B62">
        <v>1217.2562585858579</v>
      </c>
    </row>
    <row r="63" spans="1:2" hidden="1" x14ac:dyDescent="0.3">
      <c r="A63" s="1" t="s">
        <v>19</v>
      </c>
      <c r="B63">
        <v>1218.9548121212119</v>
      </c>
    </row>
    <row r="64" spans="1:2" hidden="1" x14ac:dyDescent="0.3">
      <c r="A64" s="1" t="s">
        <v>19</v>
      </c>
      <c r="B64">
        <v>1220.653365656565</v>
      </c>
    </row>
    <row r="65" spans="1:2" hidden="1" x14ac:dyDescent="0.3">
      <c r="A65" s="1" t="s">
        <v>19</v>
      </c>
      <c r="B65">
        <v>1222.351919191919</v>
      </c>
    </row>
    <row r="66" spans="1:2" hidden="1" x14ac:dyDescent="0.3">
      <c r="A66" s="1" t="s">
        <v>19</v>
      </c>
      <c r="B66">
        <v>1224.050472727273</v>
      </c>
    </row>
    <row r="67" spans="1:2" hidden="1" x14ac:dyDescent="0.3">
      <c r="A67" s="1" t="s">
        <v>19</v>
      </c>
      <c r="B67">
        <v>1225.7490262626261</v>
      </c>
    </row>
    <row r="68" spans="1:2" hidden="1" x14ac:dyDescent="0.3">
      <c r="A68" s="1" t="s">
        <v>19</v>
      </c>
      <c r="B68">
        <v>1227.4475797979801</v>
      </c>
    </row>
    <row r="69" spans="1:2" hidden="1" x14ac:dyDescent="0.3">
      <c r="A69" s="1" t="s">
        <v>19</v>
      </c>
      <c r="B69">
        <v>1229.146133333333</v>
      </c>
    </row>
    <row r="70" spans="1:2" hidden="1" x14ac:dyDescent="0.3">
      <c r="A70" s="1" t="s">
        <v>19</v>
      </c>
      <c r="B70">
        <v>1230.8446868686869</v>
      </c>
    </row>
    <row r="71" spans="1:2" hidden="1" x14ac:dyDescent="0.3">
      <c r="A71" s="1" t="s">
        <v>19</v>
      </c>
      <c r="B71">
        <v>1232.54324040404</v>
      </c>
    </row>
    <row r="72" spans="1:2" hidden="1" x14ac:dyDescent="0.3">
      <c r="A72" s="1" t="s">
        <v>19</v>
      </c>
      <c r="B72">
        <v>1234.241793939394</v>
      </c>
    </row>
    <row r="73" spans="1:2" hidden="1" x14ac:dyDescent="0.3">
      <c r="A73" s="1" t="s">
        <v>19</v>
      </c>
      <c r="B73">
        <v>1235.9403474747469</v>
      </c>
    </row>
    <row r="74" spans="1:2" hidden="1" x14ac:dyDescent="0.3">
      <c r="A74" s="1" t="s">
        <v>19</v>
      </c>
      <c r="B74">
        <v>1237.6389010101011</v>
      </c>
    </row>
    <row r="75" spans="1:2" hidden="1" x14ac:dyDescent="0.3">
      <c r="A75" s="1" t="s">
        <v>19</v>
      </c>
      <c r="B75">
        <v>1239.337454545454</v>
      </c>
    </row>
    <row r="76" spans="1:2" hidden="1" x14ac:dyDescent="0.3">
      <c r="A76" s="1" t="s">
        <v>19</v>
      </c>
      <c r="B76">
        <v>1241.036008080808</v>
      </c>
    </row>
    <row r="77" spans="1:2" hidden="1" x14ac:dyDescent="0.3">
      <c r="A77" s="1" t="s">
        <v>19</v>
      </c>
      <c r="B77">
        <v>1242.734561616161</v>
      </c>
    </row>
    <row r="78" spans="1:2" hidden="1" x14ac:dyDescent="0.3">
      <c r="A78" s="1" t="s">
        <v>19</v>
      </c>
      <c r="B78">
        <v>1244.433115151515</v>
      </c>
    </row>
    <row r="79" spans="1:2" hidden="1" x14ac:dyDescent="0.3">
      <c r="A79" s="1" t="s">
        <v>19</v>
      </c>
      <c r="B79">
        <v>1246.131668686869</v>
      </c>
    </row>
    <row r="80" spans="1:2" hidden="1" x14ac:dyDescent="0.3">
      <c r="A80" s="1" t="s">
        <v>19</v>
      </c>
      <c r="B80">
        <v>1247.8302222222219</v>
      </c>
    </row>
    <row r="81" spans="1:2" hidden="1" x14ac:dyDescent="0.3">
      <c r="A81" s="1" t="s">
        <v>19</v>
      </c>
      <c r="B81">
        <v>1249.5287757575761</v>
      </c>
    </row>
    <row r="82" spans="1:2" hidden="1" x14ac:dyDescent="0.3">
      <c r="A82" s="1" t="s">
        <v>19</v>
      </c>
      <c r="B82">
        <v>1251.227329292929</v>
      </c>
    </row>
    <row r="83" spans="1:2" hidden="1" x14ac:dyDescent="0.3">
      <c r="A83" s="1" t="s">
        <v>19</v>
      </c>
      <c r="B83">
        <v>1252.925882828283</v>
      </c>
    </row>
    <row r="84" spans="1:2" hidden="1" x14ac:dyDescent="0.3">
      <c r="A84" s="1" t="s">
        <v>19</v>
      </c>
      <c r="B84">
        <v>1254.6244363636361</v>
      </c>
    </row>
    <row r="85" spans="1:2" hidden="1" x14ac:dyDescent="0.3">
      <c r="A85" s="1" t="s">
        <v>19</v>
      </c>
      <c r="B85">
        <v>1256.32298989899</v>
      </c>
    </row>
    <row r="86" spans="1:2" hidden="1" x14ac:dyDescent="0.3">
      <c r="A86" s="1" t="s">
        <v>19</v>
      </c>
      <c r="B86">
        <v>1258.0215434343429</v>
      </c>
    </row>
    <row r="87" spans="1:2" hidden="1" x14ac:dyDescent="0.3">
      <c r="A87" s="1" t="s">
        <v>19</v>
      </c>
      <c r="B87">
        <v>1259.7200969696969</v>
      </c>
    </row>
    <row r="88" spans="1:2" hidden="1" x14ac:dyDescent="0.3">
      <c r="A88" s="1" t="s">
        <v>19</v>
      </c>
      <c r="B88">
        <v>1261.41865050505</v>
      </c>
    </row>
    <row r="89" spans="1:2" hidden="1" x14ac:dyDescent="0.3">
      <c r="A89" s="1" t="s">
        <v>19</v>
      </c>
      <c r="B89">
        <v>1263.117204040404</v>
      </c>
    </row>
    <row r="90" spans="1:2" hidden="1" x14ac:dyDescent="0.3">
      <c r="A90" s="1" t="s">
        <v>19</v>
      </c>
      <c r="B90">
        <v>1264.815757575758</v>
      </c>
    </row>
    <row r="91" spans="1:2" hidden="1" x14ac:dyDescent="0.3">
      <c r="A91" s="1" t="s">
        <v>19</v>
      </c>
      <c r="B91">
        <v>1266.5143111111111</v>
      </c>
    </row>
    <row r="92" spans="1:2" hidden="1" x14ac:dyDescent="0.3">
      <c r="A92" s="1" t="s">
        <v>19</v>
      </c>
      <c r="B92">
        <v>1268.2128646464651</v>
      </c>
    </row>
    <row r="93" spans="1:2" hidden="1" x14ac:dyDescent="0.3">
      <c r="A93" s="1" t="s">
        <v>19</v>
      </c>
      <c r="B93">
        <v>1269.9114181818179</v>
      </c>
    </row>
    <row r="94" spans="1:2" hidden="1" x14ac:dyDescent="0.3">
      <c r="A94" s="1" t="s">
        <v>19</v>
      </c>
      <c r="B94">
        <v>1271.6099717171719</v>
      </c>
    </row>
    <row r="95" spans="1:2" hidden="1" x14ac:dyDescent="0.3">
      <c r="A95" s="1" t="s">
        <v>19</v>
      </c>
      <c r="B95">
        <v>1273.308525252525</v>
      </c>
    </row>
    <row r="96" spans="1:2" hidden="1" x14ac:dyDescent="0.3">
      <c r="A96" s="1" t="s">
        <v>19</v>
      </c>
      <c r="B96">
        <v>1275.007078787879</v>
      </c>
    </row>
    <row r="97" spans="1:2" hidden="1" x14ac:dyDescent="0.3">
      <c r="A97" s="1" t="s">
        <v>19</v>
      </c>
      <c r="B97">
        <v>1276.7056323232321</v>
      </c>
    </row>
    <row r="98" spans="1:2" hidden="1" x14ac:dyDescent="0.3">
      <c r="A98" s="1" t="s">
        <v>19</v>
      </c>
      <c r="B98">
        <v>1278.4041858585861</v>
      </c>
    </row>
    <row r="99" spans="1:2" hidden="1" x14ac:dyDescent="0.3">
      <c r="A99" s="1" t="s">
        <v>19</v>
      </c>
      <c r="B99">
        <v>1280.1027393939389</v>
      </c>
    </row>
    <row r="100" spans="1:2" hidden="1" x14ac:dyDescent="0.3">
      <c r="A100" s="1" t="s">
        <v>19</v>
      </c>
      <c r="B100">
        <v>1281.8012929292929</v>
      </c>
    </row>
    <row r="101" spans="1:2" hidden="1" x14ac:dyDescent="0.3">
      <c r="A101" s="1" t="s">
        <v>19</v>
      </c>
      <c r="B101">
        <v>1283.499846464646</v>
      </c>
    </row>
    <row r="102" spans="1:2" hidden="1" x14ac:dyDescent="0.3">
      <c r="A102" s="1" t="s">
        <v>19</v>
      </c>
      <c r="B102">
        <v>1285.1984</v>
      </c>
    </row>
    <row r="103" spans="1:2" hidden="1" x14ac:dyDescent="0.3">
      <c r="A103" s="1" t="s">
        <v>20</v>
      </c>
      <c r="B103">
        <v>0</v>
      </c>
    </row>
    <row r="104" spans="1:2" hidden="1" x14ac:dyDescent="0.3">
      <c r="A104" s="1" t="s">
        <v>20</v>
      </c>
      <c r="B104">
        <v>18.016861200000001</v>
      </c>
    </row>
    <row r="105" spans="1:2" hidden="1" x14ac:dyDescent="0.3">
      <c r="A105" s="1" t="s">
        <v>20</v>
      </c>
      <c r="B105">
        <v>18.13891310707071</v>
      </c>
    </row>
    <row r="106" spans="1:2" hidden="1" x14ac:dyDescent="0.3">
      <c r="A106" s="1" t="s">
        <v>20</v>
      </c>
      <c r="B106">
        <v>18.260965014141419</v>
      </c>
    </row>
    <row r="107" spans="1:2" hidden="1" x14ac:dyDescent="0.3">
      <c r="A107" s="1" t="s">
        <v>20</v>
      </c>
      <c r="B107">
        <v>18.383016921212121</v>
      </c>
    </row>
    <row r="108" spans="1:2" hidden="1" x14ac:dyDescent="0.3">
      <c r="A108" s="1" t="s">
        <v>20</v>
      </c>
      <c r="B108">
        <v>18.50506882828283</v>
      </c>
    </row>
    <row r="109" spans="1:2" hidden="1" x14ac:dyDescent="0.3">
      <c r="A109" s="1" t="s">
        <v>20</v>
      </c>
      <c r="B109">
        <v>18.62712073535354</v>
      </c>
    </row>
    <row r="110" spans="1:2" hidden="1" x14ac:dyDescent="0.3">
      <c r="A110" s="1" t="s">
        <v>20</v>
      </c>
      <c r="B110">
        <v>18.749172642424249</v>
      </c>
    </row>
    <row r="111" spans="1:2" hidden="1" x14ac:dyDescent="0.3">
      <c r="A111" s="1" t="s">
        <v>20</v>
      </c>
      <c r="B111">
        <v>18.871224549494951</v>
      </c>
    </row>
    <row r="112" spans="1:2" hidden="1" x14ac:dyDescent="0.3">
      <c r="A112" s="1" t="s">
        <v>20</v>
      </c>
      <c r="B112">
        <v>18.99327645656566</v>
      </c>
    </row>
    <row r="113" spans="1:2" hidden="1" x14ac:dyDescent="0.3">
      <c r="A113" s="1" t="s">
        <v>20</v>
      </c>
      <c r="B113">
        <v>19.115328363636369</v>
      </c>
    </row>
    <row r="114" spans="1:2" hidden="1" x14ac:dyDescent="0.3">
      <c r="A114" s="1" t="s">
        <v>20</v>
      </c>
      <c r="B114">
        <v>19.237380270707071</v>
      </c>
    </row>
    <row r="115" spans="1:2" hidden="1" x14ac:dyDescent="0.3">
      <c r="A115" s="1" t="s">
        <v>20</v>
      </c>
      <c r="B115">
        <v>19.35943217777778</v>
      </c>
    </row>
    <row r="116" spans="1:2" hidden="1" x14ac:dyDescent="0.3">
      <c r="A116" s="1" t="s">
        <v>20</v>
      </c>
      <c r="B116">
        <v>19.481484084848489</v>
      </c>
    </row>
    <row r="117" spans="1:2" hidden="1" x14ac:dyDescent="0.3">
      <c r="A117" s="1" t="s">
        <v>20</v>
      </c>
      <c r="B117">
        <v>19.603535991919191</v>
      </c>
    </row>
    <row r="118" spans="1:2" hidden="1" x14ac:dyDescent="0.3">
      <c r="A118" s="1" t="s">
        <v>20</v>
      </c>
      <c r="B118">
        <v>19.7255878989899</v>
      </c>
    </row>
    <row r="119" spans="1:2" hidden="1" x14ac:dyDescent="0.3">
      <c r="A119" s="1" t="s">
        <v>20</v>
      </c>
      <c r="B119">
        <v>19.847639806060609</v>
      </c>
    </row>
    <row r="120" spans="1:2" hidden="1" x14ac:dyDescent="0.3">
      <c r="A120" s="1" t="s">
        <v>20</v>
      </c>
      <c r="B120">
        <v>19.969691713131311</v>
      </c>
    </row>
    <row r="121" spans="1:2" hidden="1" x14ac:dyDescent="0.3">
      <c r="A121" s="1" t="s">
        <v>20</v>
      </c>
      <c r="B121">
        <v>20.091743620202021</v>
      </c>
    </row>
    <row r="122" spans="1:2" hidden="1" x14ac:dyDescent="0.3">
      <c r="A122" s="1" t="s">
        <v>20</v>
      </c>
      <c r="B122">
        <v>20.21379552727273</v>
      </c>
    </row>
    <row r="123" spans="1:2" hidden="1" x14ac:dyDescent="0.3">
      <c r="A123" s="1" t="s">
        <v>20</v>
      </c>
      <c r="B123">
        <v>20.335847434343439</v>
      </c>
    </row>
    <row r="124" spans="1:2" hidden="1" x14ac:dyDescent="0.3">
      <c r="A124" s="1" t="s">
        <v>20</v>
      </c>
      <c r="B124">
        <v>20.457899341414141</v>
      </c>
    </row>
    <row r="125" spans="1:2" hidden="1" x14ac:dyDescent="0.3">
      <c r="A125" s="1" t="s">
        <v>20</v>
      </c>
      <c r="B125">
        <v>20.57995124848485</v>
      </c>
    </row>
    <row r="126" spans="1:2" hidden="1" x14ac:dyDescent="0.3">
      <c r="A126" s="1" t="s">
        <v>20</v>
      </c>
      <c r="B126">
        <v>20.702003155555559</v>
      </c>
    </row>
    <row r="127" spans="1:2" hidden="1" x14ac:dyDescent="0.3">
      <c r="A127" s="1" t="s">
        <v>20</v>
      </c>
      <c r="B127">
        <v>20.824055062626261</v>
      </c>
    </row>
    <row r="128" spans="1:2" hidden="1" x14ac:dyDescent="0.3">
      <c r="A128" s="1" t="s">
        <v>20</v>
      </c>
      <c r="B128">
        <v>20.94610696969697</v>
      </c>
    </row>
    <row r="129" spans="1:2" hidden="1" x14ac:dyDescent="0.3">
      <c r="A129" s="1" t="s">
        <v>20</v>
      </c>
      <c r="B129">
        <v>21.068158876767679</v>
      </c>
    </row>
    <row r="130" spans="1:2" hidden="1" x14ac:dyDescent="0.3">
      <c r="A130" s="1" t="s">
        <v>20</v>
      </c>
      <c r="B130">
        <v>21.190210783838381</v>
      </c>
    </row>
    <row r="131" spans="1:2" hidden="1" x14ac:dyDescent="0.3">
      <c r="A131" s="1" t="s">
        <v>20</v>
      </c>
      <c r="B131">
        <v>21.31226269090909</v>
      </c>
    </row>
    <row r="132" spans="1:2" hidden="1" x14ac:dyDescent="0.3">
      <c r="A132" s="1" t="s">
        <v>20</v>
      </c>
      <c r="B132">
        <v>21.4343145979798</v>
      </c>
    </row>
    <row r="133" spans="1:2" hidden="1" x14ac:dyDescent="0.3">
      <c r="A133" s="1" t="s">
        <v>20</v>
      </c>
      <c r="B133">
        <v>21.556366505050509</v>
      </c>
    </row>
    <row r="134" spans="1:2" hidden="1" x14ac:dyDescent="0.3">
      <c r="A134" s="1" t="s">
        <v>20</v>
      </c>
      <c r="B134">
        <v>21.678418412121211</v>
      </c>
    </row>
    <row r="135" spans="1:2" hidden="1" x14ac:dyDescent="0.3">
      <c r="A135" s="1" t="s">
        <v>20</v>
      </c>
      <c r="B135">
        <v>21.80047031919192</v>
      </c>
    </row>
    <row r="136" spans="1:2" hidden="1" x14ac:dyDescent="0.3">
      <c r="A136" s="1" t="s">
        <v>20</v>
      </c>
      <c r="B136">
        <v>21.922522226262629</v>
      </c>
    </row>
    <row r="137" spans="1:2" hidden="1" x14ac:dyDescent="0.3">
      <c r="A137" s="1" t="s">
        <v>20</v>
      </c>
      <c r="B137">
        <v>22.044574133333331</v>
      </c>
    </row>
    <row r="138" spans="1:2" hidden="1" x14ac:dyDescent="0.3">
      <c r="A138" s="1" t="s">
        <v>20</v>
      </c>
      <c r="B138">
        <v>22.16662604040404</v>
      </c>
    </row>
    <row r="139" spans="1:2" hidden="1" x14ac:dyDescent="0.3">
      <c r="A139" s="1" t="s">
        <v>20</v>
      </c>
      <c r="B139">
        <v>22.288677947474749</v>
      </c>
    </row>
    <row r="140" spans="1:2" hidden="1" x14ac:dyDescent="0.3">
      <c r="A140" s="1" t="s">
        <v>20</v>
      </c>
      <c r="B140">
        <v>22.410729854545451</v>
      </c>
    </row>
    <row r="141" spans="1:2" hidden="1" x14ac:dyDescent="0.3">
      <c r="A141" s="1" t="s">
        <v>20</v>
      </c>
      <c r="B141">
        <v>22.53278176161616</v>
      </c>
    </row>
    <row r="142" spans="1:2" hidden="1" x14ac:dyDescent="0.3">
      <c r="A142" s="1" t="s">
        <v>20</v>
      </c>
      <c r="B142">
        <v>22.654833668686869</v>
      </c>
    </row>
    <row r="143" spans="1:2" hidden="1" x14ac:dyDescent="0.3">
      <c r="A143" s="1" t="s">
        <v>20</v>
      </c>
      <c r="B143">
        <v>22.776885575757571</v>
      </c>
    </row>
    <row r="144" spans="1:2" hidden="1" x14ac:dyDescent="0.3">
      <c r="A144" s="1" t="s">
        <v>20</v>
      </c>
      <c r="B144">
        <v>22.898937482828281</v>
      </c>
    </row>
    <row r="145" spans="1:2" hidden="1" x14ac:dyDescent="0.3">
      <c r="A145" s="1" t="s">
        <v>20</v>
      </c>
      <c r="B145">
        <v>23.02098938989899</v>
      </c>
    </row>
    <row r="146" spans="1:2" hidden="1" x14ac:dyDescent="0.3">
      <c r="A146" s="1" t="s">
        <v>20</v>
      </c>
      <c r="B146">
        <v>23.143041296969699</v>
      </c>
    </row>
    <row r="147" spans="1:2" hidden="1" x14ac:dyDescent="0.3">
      <c r="A147" s="1" t="s">
        <v>20</v>
      </c>
      <c r="B147">
        <v>23.265093204040401</v>
      </c>
    </row>
    <row r="148" spans="1:2" hidden="1" x14ac:dyDescent="0.3">
      <c r="A148" s="1" t="s">
        <v>20</v>
      </c>
      <c r="B148">
        <v>23.38714511111111</v>
      </c>
    </row>
    <row r="149" spans="1:2" hidden="1" x14ac:dyDescent="0.3">
      <c r="A149" s="1" t="s">
        <v>20</v>
      </c>
      <c r="B149">
        <v>23.509197018181819</v>
      </c>
    </row>
    <row r="150" spans="1:2" hidden="1" x14ac:dyDescent="0.3">
      <c r="A150" s="1" t="s">
        <v>20</v>
      </c>
      <c r="B150">
        <v>23.631248925252532</v>
      </c>
    </row>
    <row r="151" spans="1:2" hidden="1" x14ac:dyDescent="0.3">
      <c r="A151" s="1" t="s">
        <v>20</v>
      </c>
      <c r="B151">
        <v>23.75330083232323</v>
      </c>
    </row>
    <row r="152" spans="1:2" hidden="1" x14ac:dyDescent="0.3">
      <c r="A152" s="1" t="s">
        <v>20</v>
      </c>
      <c r="B152">
        <v>23.875352739393939</v>
      </c>
    </row>
    <row r="153" spans="1:2" hidden="1" x14ac:dyDescent="0.3">
      <c r="A153" s="1" t="s">
        <v>20</v>
      </c>
      <c r="B153">
        <v>23.997404646464648</v>
      </c>
    </row>
    <row r="154" spans="1:2" hidden="1" x14ac:dyDescent="0.3">
      <c r="A154" s="1" t="s">
        <v>20</v>
      </c>
      <c r="B154">
        <v>24.11945655353535</v>
      </c>
    </row>
    <row r="155" spans="1:2" hidden="1" x14ac:dyDescent="0.3">
      <c r="A155" s="1" t="s">
        <v>20</v>
      </c>
      <c r="B155">
        <v>24.24150846060606</v>
      </c>
    </row>
    <row r="156" spans="1:2" hidden="1" x14ac:dyDescent="0.3">
      <c r="A156" s="1" t="s">
        <v>20</v>
      </c>
      <c r="B156">
        <v>24.363560367676769</v>
      </c>
    </row>
    <row r="157" spans="1:2" hidden="1" x14ac:dyDescent="0.3">
      <c r="A157" s="1" t="s">
        <v>20</v>
      </c>
      <c r="B157">
        <v>24.485612274747471</v>
      </c>
    </row>
    <row r="158" spans="1:2" hidden="1" x14ac:dyDescent="0.3">
      <c r="A158" s="1" t="s">
        <v>20</v>
      </c>
      <c r="B158">
        <v>24.60766418181818</v>
      </c>
    </row>
    <row r="159" spans="1:2" hidden="1" x14ac:dyDescent="0.3">
      <c r="A159" s="1" t="s">
        <v>20</v>
      </c>
      <c r="B159">
        <v>24.729716088888889</v>
      </c>
    </row>
    <row r="160" spans="1:2" hidden="1" x14ac:dyDescent="0.3">
      <c r="A160" s="1" t="s">
        <v>20</v>
      </c>
      <c r="B160">
        <v>24.851767995959602</v>
      </c>
    </row>
    <row r="161" spans="1:2" hidden="1" x14ac:dyDescent="0.3">
      <c r="A161" s="1" t="s">
        <v>20</v>
      </c>
      <c r="B161">
        <v>24.9738199030303</v>
      </c>
    </row>
    <row r="162" spans="1:2" hidden="1" x14ac:dyDescent="0.3">
      <c r="A162" s="1" t="s">
        <v>20</v>
      </c>
      <c r="B162">
        <v>25.095871810101009</v>
      </c>
    </row>
    <row r="163" spans="1:2" hidden="1" x14ac:dyDescent="0.3">
      <c r="A163" s="1" t="s">
        <v>20</v>
      </c>
      <c r="B163">
        <v>25.217923717171718</v>
      </c>
    </row>
    <row r="164" spans="1:2" hidden="1" x14ac:dyDescent="0.3">
      <c r="A164" s="1" t="s">
        <v>20</v>
      </c>
      <c r="B164">
        <v>25.339975624242431</v>
      </c>
    </row>
    <row r="165" spans="1:2" hidden="1" x14ac:dyDescent="0.3">
      <c r="A165" s="1" t="s">
        <v>20</v>
      </c>
      <c r="B165">
        <v>25.462027531313129</v>
      </c>
    </row>
    <row r="166" spans="1:2" hidden="1" x14ac:dyDescent="0.3">
      <c r="A166" s="1" t="s">
        <v>20</v>
      </c>
      <c r="B166">
        <v>25.584079438383839</v>
      </c>
    </row>
    <row r="167" spans="1:2" hidden="1" x14ac:dyDescent="0.3">
      <c r="A167" s="1" t="s">
        <v>20</v>
      </c>
      <c r="B167">
        <v>25.706131345454551</v>
      </c>
    </row>
    <row r="168" spans="1:2" hidden="1" x14ac:dyDescent="0.3">
      <c r="A168" s="1" t="s">
        <v>20</v>
      </c>
      <c r="B168">
        <v>25.82818325252525</v>
      </c>
    </row>
    <row r="169" spans="1:2" hidden="1" x14ac:dyDescent="0.3">
      <c r="A169" s="1" t="s">
        <v>20</v>
      </c>
      <c r="B169">
        <v>25.950235159595959</v>
      </c>
    </row>
    <row r="170" spans="1:2" hidden="1" x14ac:dyDescent="0.3">
      <c r="A170" s="1" t="s">
        <v>20</v>
      </c>
      <c r="B170">
        <v>26.072287066666672</v>
      </c>
    </row>
    <row r="171" spans="1:2" hidden="1" x14ac:dyDescent="0.3">
      <c r="A171" s="1" t="s">
        <v>20</v>
      </c>
      <c r="B171">
        <v>26.19433897373737</v>
      </c>
    </row>
    <row r="172" spans="1:2" hidden="1" x14ac:dyDescent="0.3">
      <c r="A172" s="1" t="s">
        <v>20</v>
      </c>
      <c r="B172">
        <v>26.316390880808079</v>
      </c>
    </row>
    <row r="173" spans="1:2" hidden="1" x14ac:dyDescent="0.3">
      <c r="A173" s="1" t="s">
        <v>20</v>
      </c>
      <c r="B173">
        <v>26.438442787878792</v>
      </c>
    </row>
    <row r="174" spans="1:2" hidden="1" x14ac:dyDescent="0.3">
      <c r="A174" s="1" t="s">
        <v>20</v>
      </c>
      <c r="B174">
        <v>26.560494694949501</v>
      </c>
    </row>
    <row r="175" spans="1:2" hidden="1" x14ac:dyDescent="0.3">
      <c r="A175" s="1" t="s">
        <v>20</v>
      </c>
      <c r="B175">
        <v>26.682546602020199</v>
      </c>
    </row>
    <row r="176" spans="1:2" hidden="1" x14ac:dyDescent="0.3">
      <c r="A176" s="1" t="s">
        <v>20</v>
      </c>
      <c r="B176">
        <v>26.804598509090908</v>
      </c>
    </row>
    <row r="177" spans="1:2" hidden="1" x14ac:dyDescent="0.3">
      <c r="A177" s="1" t="s">
        <v>20</v>
      </c>
      <c r="B177">
        <v>26.926650416161621</v>
      </c>
    </row>
    <row r="178" spans="1:2" hidden="1" x14ac:dyDescent="0.3">
      <c r="A178" s="1" t="s">
        <v>20</v>
      </c>
      <c r="B178">
        <v>27.04870232323233</v>
      </c>
    </row>
    <row r="179" spans="1:2" hidden="1" x14ac:dyDescent="0.3">
      <c r="A179" s="1" t="s">
        <v>20</v>
      </c>
      <c r="B179">
        <v>27.170754230303029</v>
      </c>
    </row>
    <row r="180" spans="1:2" hidden="1" x14ac:dyDescent="0.3">
      <c r="A180" s="1" t="s">
        <v>20</v>
      </c>
      <c r="B180">
        <v>27.292806137373741</v>
      </c>
    </row>
    <row r="181" spans="1:2" hidden="1" x14ac:dyDescent="0.3">
      <c r="A181" s="1" t="s">
        <v>20</v>
      </c>
      <c r="B181">
        <v>27.414858044444451</v>
      </c>
    </row>
    <row r="182" spans="1:2" hidden="1" x14ac:dyDescent="0.3">
      <c r="A182" s="1" t="s">
        <v>20</v>
      </c>
      <c r="B182">
        <v>27.536909951515149</v>
      </c>
    </row>
    <row r="183" spans="1:2" hidden="1" x14ac:dyDescent="0.3">
      <c r="A183" s="1" t="s">
        <v>20</v>
      </c>
      <c r="B183">
        <v>27.658961858585862</v>
      </c>
    </row>
    <row r="184" spans="1:2" hidden="1" x14ac:dyDescent="0.3">
      <c r="A184" s="1" t="s">
        <v>20</v>
      </c>
      <c r="B184">
        <v>27.781013765656571</v>
      </c>
    </row>
    <row r="185" spans="1:2" hidden="1" x14ac:dyDescent="0.3">
      <c r="A185" s="1" t="s">
        <v>20</v>
      </c>
      <c r="B185">
        <v>27.903065672727269</v>
      </c>
    </row>
    <row r="186" spans="1:2" hidden="1" x14ac:dyDescent="0.3">
      <c r="A186" s="1" t="s">
        <v>20</v>
      </c>
      <c r="B186">
        <v>28.025117579797978</v>
      </c>
    </row>
    <row r="187" spans="1:2" hidden="1" x14ac:dyDescent="0.3">
      <c r="A187" s="1" t="s">
        <v>20</v>
      </c>
      <c r="B187">
        <v>28.147169486868691</v>
      </c>
    </row>
    <row r="188" spans="1:2" hidden="1" x14ac:dyDescent="0.3">
      <c r="A188" s="1" t="s">
        <v>20</v>
      </c>
      <c r="B188">
        <v>28.2692213939394</v>
      </c>
    </row>
    <row r="189" spans="1:2" hidden="1" x14ac:dyDescent="0.3">
      <c r="A189" s="1" t="s">
        <v>20</v>
      </c>
      <c r="B189">
        <v>28.391273301010099</v>
      </c>
    </row>
    <row r="190" spans="1:2" hidden="1" x14ac:dyDescent="0.3">
      <c r="A190" s="1" t="s">
        <v>20</v>
      </c>
      <c r="B190">
        <v>28.513325208080811</v>
      </c>
    </row>
    <row r="191" spans="1:2" hidden="1" x14ac:dyDescent="0.3">
      <c r="A191" s="1" t="s">
        <v>20</v>
      </c>
      <c r="B191">
        <v>28.63537711515152</v>
      </c>
    </row>
    <row r="192" spans="1:2" hidden="1" x14ac:dyDescent="0.3">
      <c r="A192" s="1" t="s">
        <v>20</v>
      </c>
      <c r="B192">
        <v>28.75742902222223</v>
      </c>
    </row>
    <row r="193" spans="1:2" hidden="1" x14ac:dyDescent="0.3">
      <c r="A193" s="1" t="s">
        <v>20</v>
      </c>
      <c r="B193">
        <v>28.879480929292932</v>
      </c>
    </row>
    <row r="194" spans="1:2" hidden="1" x14ac:dyDescent="0.3">
      <c r="A194" s="1" t="s">
        <v>20</v>
      </c>
      <c r="B194">
        <v>29.001532836363641</v>
      </c>
    </row>
    <row r="195" spans="1:2" hidden="1" x14ac:dyDescent="0.3">
      <c r="A195" s="1" t="s">
        <v>20</v>
      </c>
      <c r="B195">
        <v>29.123584743434339</v>
      </c>
    </row>
    <row r="196" spans="1:2" hidden="1" x14ac:dyDescent="0.3">
      <c r="A196" s="1" t="s">
        <v>20</v>
      </c>
      <c r="B196">
        <v>29.245636650505048</v>
      </c>
    </row>
    <row r="197" spans="1:2" hidden="1" x14ac:dyDescent="0.3">
      <c r="A197" s="1" t="s">
        <v>20</v>
      </c>
      <c r="B197">
        <v>29.367688557575761</v>
      </c>
    </row>
    <row r="198" spans="1:2" hidden="1" x14ac:dyDescent="0.3">
      <c r="A198" s="1" t="s">
        <v>20</v>
      </c>
      <c r="B198">
        <v>29.48974046464647</v>
      </c>
    </row>
    <row r="199" spans="1:2" hidden="1" x14ac:dyDescent="0.3">
      <c r="A199" s="1" t="s">
        <v>20</v>
      </c>
      <c r="B199">
        <v>29.611792371717168</v>
      </c>
    </row>
    <row r="200" spans="1:2" hidden="1" x14ac:dyDescent="0.3">
      <c r="A200" s="1" t="s">
        <v>20</v>
      </c>
      <c r="B200">
        <v>29.733844278787881</v>
      </c>
    </row>
    <row r="201" spans="1:2" hidden="1" x14ac:dyDescent="0.3">
      <c r="A201" s="1" t="s">
        <v>20</v>
      </c>
      <c r="B201">
        <v>29.85589618585859</v>
      </c>
    </row>
    <row r="202" spans="1:2" hidden="1" x14ac:dyDescent="0.3">
      <c r="A202" s="1" t="s">
        <v>20</v>
      </c>
      <c r="B202">
        <v>29.977948092929299</v>
      </c>
    </row>
    <row r="203" spans="1:2" hidden="1" x14ac:dyDescent="0.3">
      <c r="A203" s="1" t="s">
        <v>20</v>
      </c>
      <c r="B203">
        <v>30.1</v>
      </c>
    </row>
    <row r="204" spans="1:2" hidden="1" x14ac:dyDescent="0.3">
      <c r="A204" s="1" t="s">
        <v>21</v>
      </c>
      <c r="B204">
        <v>0</v>
      </c>
    </row>
    <row r="205" spans="1:2" hidden="1" x14ac:dyDescent="0.3">
      <c r="A205" s="1" t="s">
        <v>21</v>
      </c>
      <c r="B205">
        <v>0.4</v>
      </c>
    </row>
    <row r="206" spans="1:2" hidden="1" x14ac:dyDescent="0.3">
      <c r="A206" s="1" t="s">
        <v>21</v>
      </c>
      <c r="B206">
        <v>0.40101010101010098</v>
      </c>
    </row>
    <row r="207" spans="1:2" hidden="1" x14ac:dyDescent="0.3">
      <c r="A207" s="1" t="s">
        <v>21</v>
      </c>
      <c r="B207">
        <v>0.40202020202020211</v>
      </c>
    </row>
    <row r="208" spans="1:2" hidden="1" x14ac:dyDescent="0.3">
      <c r="A208" s="1" t="s">
        <v>21</v>
      </c>
      <c r="B208">
        <v>0.40303030303030313</v>
      </c>
    </row>
    <row r="209" spans="1:2" hidden="1" x14ac:dyDescent="0.3">
      <c r="A209" s="1" t="s">
        <v>21</v>
      </c>
      <c r="B209">
        <v>0.40404040404040409</v>
      </c>
    </row>
    <row r="210" spans="1:2" hidden="1" x14ac:dyDescent="0.3">
      <c r="A210" s="1" t="s">
        <v>21</v>
      </c>
      <c r="B210">
        <v>0.40505050505050499</v>
      </c>
    </row>
    <row r="211" spans="1:2" hidden="1" x14ac:dyDescent="0.3">
      <c r="A211" s="1" t="s">
        <v>21</v>
      </c>
      <c r="B211">
        <v>0.40606060606060612</v>
      </c>
    </row>
    <row r="212" spans="1:2" hidden="1" x14ac:dyDescent="0.3">
      <c r="A212" s="1" t="s">
        <v>21</v>
      </c>
      <c r="B212">
        <v>0.40707070707070708</v>
      </c>
    </row>
    <row r="213" spans="1:2" hidden="1" x14ac:dyDescent="0.3">
      <c r="A213" s="1" t="s">
        <v>21</v>
      </c>
      <c r="B213">
        <v>0.4080808080808081</v>
      </c>
    </row>
    <row r="214" spans="1:2" hidden="1" x14ac:dyDescent="0.3">
      <c r="A214" s="1" t="s">
        <v>21</v>
      </c>
      <c r="B214">
        <v>0.40909090909090912</v>
      </c>
    </row>
    <row r="215" spans="1:2" hidden="1" x14ac:dyDescent="0.3">
      <c r="A215" s="1" t="s">
        <v>21</v>
      </c>
      <c r="B215">
        <v>0.41010101010101008</v>
      </c>
    </row>
    <row r="216" spans="1:2" hidden="1" x14ac:dyDescent="0.3">
      <c r="A216" s="1" t="s">
        <v>21</v>
      </c>
      <c r="B216">
        <v>0.41111111111111109</v>
      </c>
    </row>
    <row r="217" spans="1:2" hidden="1" x14ac:dyDescent="0.3">
      <c r="A217" s="1" t="s">
        <v>21</v>
      </c>
      <c r="B217">
        <v>0.41212121212121222</v>
      </c>
    </row>
    <row r="218" spans="1:2" hidden="1" x14ac:dyDescent="0.3">
      <c r="A218" s="1" t="s">
        <v>21</v>
      </c>
      <c r="B218">
        <v>0.41313131313131313</v>
      </c>
    </row>
    <row r="219" spans="1:2" hidden="1" x14ac:dyDescent="0.3">
      <c r="A219" s="1" t="s">
        <v>21</v>
      </c>
      <c r="B219">
        <v>0.41414141414141409</v>
      </c>
    </row>
    <row r="220" spans="1:2" hidden="1" x14ac:dyDescent="0.3">
      <c r="A220" s="1" t="s">
        <v>21</v>
      </c>
      <c r="B220">
        <v>0.41515151515151522</v>
      </c>
    </row>
    <row r="221" spans="1:2" hidden="1" x14ac:dyDescent="0.3">
      <c r="A221" s="1" t="s">
        <v>21</v>
      </c>
      <c r="B221">
        <v>0.41616161616161618</v>
      </c>
    </row>
    <row r="222" spans="1:2" hidden="1" x14ac:dyDescent="0.3">
      <c r="A222" s="1" t="s">
        <v>21</v>
      </c>
      <c r="B222">
        <v>0.41717171717171719</v>
      </c>
    </row>
    <row r="223" spans="1:2" hidden="1" x14ac:dyDescent="0.3">
      <c r="A223" s="1" t="s">
        <v>21</v>
      </c>
      <c r="B223">
        <v>0.41818181818181821</v>
      </c>
    </row>
    <row r="224" spans="1:2" hidden="1" x14ac:dyDescent="0.3">
      <c r="A224" s="1" t="s">
        <v>21</v>
      </c>
      <c r="B224">
        <v>0.41919191919191923</v>
      </c>
    </row>
    <row r="225" spans="1:2" hidden="1" x14ac:dyDescent="0.3">
      <c r="A225" s="1" t="s">
        <v>21</v>
      </c>
      <c r="B225">
        <v>0.42020202020202019</v>
      </c>
    </row>
    <row r="226" spans="1:2" hidden="1" x14ac:dyDescent="0.3">
      <c r="A226" s="1" t="s">
        <v>21</v>
      </c>
      <c r="B226">
        <v>0.4212121212121212</v>
      </c>
    </row>
    <row r="227" spans="1:2" hidden="1" x14ac:dyDescent="0.3">
      <c r="A227" s="1" t="s">
        <v>21</v>
      </c>
      <c r="B227">
        <v>0.42222222222222222</v>
      </c>
    </row>
    <row r="228" spans="1:2" hidden="1" x14ac:dyDescent="0.3">
      <c r="A228" s="1" t="s">
        <v>21</v>
      </c>
      <c r="B228">
        <v>0.42323232323232318</v>
      </c>
    </row>
    <row r="229" spans="1:2" hidden="1" x14ac:dyDescent="0.3">
      <c r="A229" s="1" t="s">
        <v>21</v>
      </c>
      <c r="B229">
        <v>0.42424242424242431</v>
      </c>
    </row>
    <row r="230" spans="1:2" hidden="1" x14ac:dyDescent="0.3">
      <c r="A230" s="1" t="s">
        <v>21</v>
      </c>
      <c r="B230">
        <v>0.42525252525252533</v>
      </c>
    </row>
    <row r="231" spans="1:2" hidden="1" x14ac:dyDescent="0.3">
      <c r="A231" s="1" t="s">
        <v>21</v>
      </c>
      <c r="B231">
        <v>0.42626262626262629</v>
      </c>
    </row>
    <row r="232" spans="1:2" hidden="1" x14ac:dyDescent="0.3">
      <c r="A232" s="1" t="s">
        <v>21</v>
      </c>
      <c r="B232">
        <v>0.4272727272727273</v>
      </c>
    </row>
    <row r="233" spans="1:2" hidden="1" x14ac:dyDescent="0.3">
      <c r="A233" s="1" t="s">
        <v>21</v>
      </c>
      <c r="B233">
        <v>0.42828282828282832</v>
      </c>
    </row>
    <row r="234" spans="1:2" hidden="1" x14ac:dyDescent="0.3">
      <c r="A234" s="1" t="s">
        <v>21</v>
      </c>
      <c r="B234">
        <v>0.42929292929292928</v>
      </c>
    </row>
    <row r="235" spans="1:2" hidden="1" x14ac:dyDescent="0.3">
      <c r="A235" s="1" t="s">
        <v>21</v>
      </c>
      <c r="B235">
        <v>0.4303030303030303</v>
      </c>
    </row>
    <row r="236" spans="1:2" hidden="1" x14ac:dyDescent="0.3">
      <c r="A236" s="1" t="s">
        <v>21</v>
      </c>
      <c r="B236">
        <v>0.43131313131313131</v>
      </c>
    </row>
    <row r="237" spans="1:2" hidden="1" x14ac:dyDescent="0.3">
      <c r="A237" s="1" t="s">
        <v>21</v>
      </c>
      <c r="B237">
        <v>0.43232323232323228</v>
      </c>
    </row>
    <row r="238" spans="1:2" hidden="1" x14ac:dyDescent="0.3">
      <c r="A238" s="1" t="s">
        <v>21</v>
      </c>
      <c r="B238">
        <v>0.43333333333333329</v>
      </c>
    </row>
    <row r="239" spans="1:2" hidden="1" x14ac:dyDescent="0.3">
      <c r="A239" s="1" t="s">
        <v>21</v>
      </c>
      <c r="B239">
        <v>0.43434343434343442</v>
      </c>
    </row>
    <row r="240" spans="1:2" hidden="1" x14ac:dyDescent="0.3">
      <c r="A240" s="1" t="s">
        <v>21</v>
      </c>
      <c r="B240">
        <v>0.43535353535353538</v>
      </c>
    </row>
    <row r="241" spans="1:2" hidden="1" x14ac:dyDescent="0.3">
      <c r="A241" s="1" t="s">
        <v>21</v>
      </c>
      <c r="B241">
        <v>0.4363636363636364</v>
      </c>
    </row>
    <row r="242" spans="1:2" hidden="1" x14ac:dyDescent="0.3">
      <c r="A242" s="1" t="s">
        <v>21</v>
      </c>
      <c r="B242">
        <v>0.43737373737373741</v>
      </c>
    </row>
    <row r="243" spans="1:2" hidden="1" x14ac:dyDescent="0.3">
      <c r="A243" s="1" t="s">
        <v>21</v>
      </c>
      <c r="B243">
        <v>0.43838383838383838</v>
      </c>
    </row>
    <row r="244" spans="1:2" hidden="1" x14ac:dyDescent="0.3">
      <c r="A244" s="1" t="s">
        <v>21</v>
      </c>
      <c r="B244">
        <v>0.43939393939393939</v>
      </c>
    </row>
    <row r="245" spans="1:2" hidden="1" x14ac:dyDescent="0.3">
      <c r="A245" s="1" t="s">
        <v>21</v>
      </c>
      <c r="B245">
        <v>0.44040404040404041</v>
      </c>
    </row>
    <row r="246" spans="1:2" hidden="1" x14ac:dyDescent="0.3">
      <c r="A246" s="1" t="s">
        <v>21</v>
      </c>
      <c r="B246">
        <v>0.44141414141414143</v>
      </c>
    </row>
    <row r="247" spans="1:2" hidden="1" x14ac:dyDescent="0.3">
      <c r="A247" s="1" t="s">
        <v>21</v>
      </c>
      <c r="B247">
        <v>0.44242424242424239</v>
      </c>
    </row>
    <row r="248" spans="1:2" hidden="1" x14ac:dyDescent="0.3">
      <c r="A248" s="1" t="s">
        <v>21</v>
      </c>
      <c r="B248">
        <v>0.44343434343434351</v>
      </c>
    </row>
    <row r="249" spans="1:2" hidden="1" x14ac:dyDescent="0.3">
      <c r="A249" s="1" t="s">
        <v>21</v>
      </c>
      <c r="B249">
        <v>0.44444444444444448</v>
      </c>
    </row>
    <row r="250" spans="1:2" hidden="1" x14ac:dyDescent="0.3">
      <c r="A250" s="1" t="s">
        <v>21</v>
      </c>
      <c r="B250">
        <v>0.44545454545454538</v>
      </c>
    </row>
    <row r="251" spans="1:2" hidden="1" x14ac:dyDescent="0.3">
      <c r="A251" s="1" t="s">
        <v>21</v>
      </c>
      <c r="B251">
        <v>0.44646464646464651</v>
      </c>
    </row>
    <row r="252" spans="1:2" hidden="1" x14ac:dyDescent="0.3">
      <c r="A252" s="1" t="s">
        <v>21</v>
      </c>
      <c r="B252">
        <v>0.44747474747474753</v>
      </c>
    </row>
    <row r="253" spans="1:2" hidden="1" x14ac:dyDescent="0.3">
      <c r="A253" s="1" t="s">
        <v>21</v>
      </c>
      <c r="B253">
        <v>0.44848484848484849</v>
      </c>
    </row>
    <row r="254" spans="1:2" hidden="1" x14ac:dyDescent="0.3">
      <c r="A254" s="1" t="s">
        <v>21</v>
      </c>
      <c r="B254">
        <v>0.4494949494949495</v>
      </c>
    </row>
    <row r="255" spans="1:2" hidden="1" x14ac:dyDescent="0.3">
      <c r="A255" s="1" t="s">
        <v>21</v>
      </c>
      <c r="B255">
        <v>0.45050505050505052</v>
      </c>
    </row>
    <row r="256" spans="1:2" hidden="1" x14ac:dyDescent="0.3">
      <c r="A256" s="1" t="s">
        <v>21</v>
      </c>
      <c r="B256">
        <v>0.45151515151515148</v>
      </c>
    </row>
    <row r="257" spans="1:2" hidden="1" x14ac:dyDescent="0.3">
      <c r="A257" s="1" t="s">
        <v>21</v>
      </c>
      <c r="B257">
        <v>0.45252525252525261</v>
      </c>
    </row>
    <row r="258" spans="1:2" hidden="1" x14ac:dyDescent="0.3">
      <c r="A258" s="1" t="s">
        <v>21</v>
      </c>
      <c r="B258">
        <v>0.45353535353535362</v>
      </c>
    </row>
    <row r="259" spans="1:2" hidden="1" x14ac:dyDescent="0.3">
      <c r="A259" s="1" t="s">
        <v>21</v>
      </c>
      <c r="B259">
        <v>0.45454545454545459</v>
      </c>
    </row>
    <row r="260" spans="1:2" hidden="1" x14ac:dyDescent="0.3">
      <c r="A260" s="1" t="s">
        <v>21</v>
      </c>
      <c r="B260">
        <v>0.45555555555555549</v>
      </c>
    </row>
    <row r="261" spans="1:2" hidden="1" x14ac:dyDescent="0.3">
      <c r="A261" s="1" t="s">
        <v>21</v>
      </c>
      <c r="B261">
        <v>0.45656565656565662</v>
      </c>
    </row>
    <row r="262" spans="1:2" hidden="1" x14ac:dyDescent="0.3">
      <c r="A262" s="1" t="s">
        <v>21</v>
      </c>
      <c r="B262">
        <v>0.45757575757575758</v>
      </c>
    </row>
    <row r="263" spans="1:2" hidden="1" x14ac:dyDescent="0.3">
      <c r="A263" s="1" t="s">
        <v>21</v>
      </c>
      <c r="B263">
        <v>0.4585858585858586</v>
      </c>
    </row>
    <row r="264" spans="1:2" hidden="1" x14ac:dyDescent="0.3">
      <c r="A264" s="1" t="s">
        <v>21</v>
      </c>
      <c r="B264">
        <v>0.45959595959595961</v>
      </c>
    </row>
    <row r="265" spans="1:2" hidden="1" x14ac:dyDescent="0.3">
      <c r="A265" s="1" t="s">
        <v>21</v>
      </c>
      <c r="B265">
        <v>0.46060606060606057</v>
      </c>
    </row>
    <row r="266" spans="1:2" hidden="1" x14ac:dyDescent="0.3">
      <c r="A266" s="1" t="s">
        <v>21</v>
      </c>
      <c r="B266">
        <v>0.46161616161616159</v>
      </c>
    </row>
    <row r="267" spans="1:2" hidden="1" x14ac:dyDescent="0.3">
      <c r="A267" s="1" t="s">
        <v>21</v>
      </c>
      <c r="B267">
        <v>0.46262626262626261</v>
      </c>
    </row>
    <row r="268" spans="1:2" hidden="1" x14ac:dyDescent="0.3">
      <c r="A268" s="1" t="s">
        <v>21</v>
      </c>
      <c r="B268">
        <v>0.46363636363636362</v>
      </c>
    </row>
    <row r="269" spans="1:2" hidden="1" x14ac:dyDescent="0.3">
      <c r="A269" s="1" t="s">
        <v>21</v>
      </c>
      <c r="B269">
        <v>0.46464646464646459</v>
      </c>
    </row>
    <row r="270" spans="1:2" hidden="1" x14ac:dyDescent="0.3">
      <c r="A270" s="1" t="s">
        <v>21</v>
      </c>
      <c r="B270">
        <v>0.46565656565656571</v>
      </c>
    </row>
    <row r="271" spans="1:2" hidden="1" x14ac:dyDescent="0.3">
      <c r="A271" s="1" t="s">
        <v>21</v>
      </c>
      <c r="B271">
        <v>0.46666666666666667</v>
      </c>
    </row>
    <row r="272" spans="1:2" hidden="1" x14ac:dyDescent="0.3">
      <c r="A272" s="1" t="s">
        <v>21</v>
      </c>
      <c r="B272">
        <v>0.46767676767676769</v>
      </c>
    </row>
    <row r="273" spans="1:2" hidden="1" x14ac:dyDescent="0.3">
      <c r="A273" s="1" t="s">
        <v>21</v>
      </c>
      <c r="B273">
        <v>0.46868686868686871</v>
      </c>
    </row>
    <row r="274" spans="1:2" hidden="1" x14ac:dyDescent="0.3">
      <c r="A274" s="1" t="s">
        <v>21</v>
      </c>
      <c r="B274">
        <v>0.46969696969696972</v>
      </c>
    </row>
    <row r="275" spans="1:2" hidden="1" x14ac:dyDescent="0.3">
      <c r="A275" s="1" t="s">
        <v>21</v>
      </c>
      <c r="B275">
        <v>0.47070707070707068</v>
      </c>
    </row>
    <row r="276" spans="1:2" hidden="1" x14ac:dyDescent="0.3">
      <c r="A276" s="1" t="s">
        <v>21</v>
      </c>
      <c r="B276">
        <v>0.47171717171717181</v>
      </c>
    </row>
    <row r="277" spans="1:2" hidden="1" x14ac:dyDescent="0.3">
      <c r="A277" s="1" t="s">
        <v>21</v>
      </c>
      <c r="B277">
        <v>0.47272727272727272</v>
      </c>
    </row>
    <row r="278" spans="1:2" hidden="1" x14ac:dyDescent="0.3">
      <c r="A278" s="1" t="s">
        <v>21</v>
      </c>
      <c r="B278">
        <v>0.47373737373737368</v>
      </c>
    </row>
    <row r="279" spans="1:2" hidden="1" x14ac:dyDescent="0.3">
      <c r="A279" s="1" t="s">
        <v>21</v>
      </c>
      <c r="B279">
        <v>0.47474747474747481</v>
      </c>
    </row>
    <row r="280" spans="1:2" hidden="1" x14ac:dyDescent="0.3">
      <c r="A280" s="1" t="s">
        <v>21</v>
      </c>
      <c r="B280">
        <v>0.47575757575757582</v>
      </c>
    </row>
    <row r="281" spans="1:2" hidden="1" x14ac:dyDescent="0.3">
      <c r="A281" s="1" t="s">
        <v>21</v>
      </c>
      <c r="B281">
        <v>0.47676767676767678</v>
      </c>
    </row>
    <row r="282" spans="1:2" hidden="1" x14ac:dyDescent="0.3">
      <c r="A282" s="1" t="s">
        <v>21</v>
      </c>
      <c r="B282">
        <v>0.4777777777777778</v>
      </c>
    </row>
    <row r="283" spans="1:2" hidden="1" x14ac:dyDescent="0.3">
      <c r="A283" s="1" t="s">
        <v>21</v>
      </c>
      <c r="B283">
        <v>0.47878787878787882</v>
      </c>
    </row>
    <row r="284" spans="1:2" hidden="1" x14ac:dyDescent="0.3">
      <c r="A284" s="1" t="s">
        <v>21</v>
      </c>
      <c r="B284">
        <v>0.47979797979797978</v>
      </c>
    </row>
    <row r="285" spans="1:2" hidden="1" x14ac:dyDescent="0.3">
      <c r="A285" s="1" t="s">
        <v>21</v>
      </c>
      <c r="B285">
        <v>0.4808080808080808</v>
      </c>
    </row>
    <row r="286" spans="1:2" hidden="1" x14ac:dyDescent="0.3">
      <c r="A286" s="1" t="s">
        <v>21</v>
      </c>
      <c r="B286">
        <v>0.48181818181818181</v>
      </c>
    </row>
    <row r="287" spans="1:2" hidden="1" x14ac:dyDescent="0.3">
      <c r="A287" s="1" t="s">
        <v>21</v>
      </c>
      <c r="B287">
        <v>0.48282828282828277</v>
      </c>
    </row>
    <row r="288" spans="1:2" hidden="1" x14ac:dyDescent="0.3">
      <c r="A288" s="1" t="s">
        <v>21</v>
      </c>
      <c r="B288">
        <v>0.48383838383838379</v>
      </c>
    </row>
    <row r="289" spans="1:2" hidden="1" x14ac:dyDescent="0.3">
      <c r="A289" s="1" t="s">
        <v>21</v>
      </c>
      <c r="B289">
        <v>0.48484848484848492</v>
      </c>
    </row>
    <row r="290" spans="1:2" hidden="1" x14ac:dyDescent="0.3">
      <c r="A290" s="1" t="s">
        <v>21</v>
      </c>
      <c r="B290">
        <v>0.48585858585858588</v>
      </c>
    </row>
    <row r="291" spans="1:2" hidden="1" x14ac:dyDescent="0.3">
      <c r="A291" s="1" t="s">
        <v>21</v>
      </c>
      <c r="B291">
        <v>0.4868686868686869</v>
      </c>
    </row>
    <row r="292" spans="1:2" hidden="1" x14ac:dyDescent="0.3">
      <c r="A292" s="1" t="s">
        <v>21</v>
      </c>
      <c r="B292">
        <v>0.48787878787878791</v>
      </c>
    </row>
    <row r="293" spans="1:2" hidden="1" x14ac:dyDescent="0.3">
      <c r="A293" s="1" t="s">
        <v>21</v>
      </c>
      <c r="B293">
        <v>0.48888888888888887</v>
      </c>
    </row>
    <row r="294" spans="1:2" hidden="1" x14ac:dyDescent="0.3">
      <c r="A294" s="1" t="s">
        <v>21</v>
      </c>
      <c r="B294">
        <v>0.48989898989898989</v>
      </c>
    </row>
    <row r="295" spans="1:2" hidden="1" x14ac:dyDescent="0.3">
      <c r="A295" s="1" t="s">
        <v>21</v>
      </c>
      <c r="B295">
        <v>0.49090909090909091</v>
      </c>
    </row>
    <row r="296" spans="1:2" hidden="1" x14ac:dyDescent="0.3">
      <c r="A296" s="1" t="s">
        <v>21</v>
      </c>
      <c r="B296">
        <v>0.49191919191919192</v>
      </c>
    </row>
    <row r="297" spans="1:2" hidden="1" x14ac:dyDescent="0.3">
      <c r="A297" s="1" t="s">
        <v>21</v>
      </c>
      <c r="B297">
        <v>0.49292929292929288</v>
      </c>
    </row>
    <row r="298" spans="1:2" hidden="1" x14ac:dyDescent="0.3">
      <c r="A298" s="1" t="s">
        <v>21</v>
      </c>
      <c r="B298">
        <v>0.49393939393939401</v>
      </c>
    </row>
    <row r="299" spans="1:2" hidden="1" x14ac:dyDescent="0.3">
      <c r="A299" s="1" t="s">
        <v>21</v>
      </c>
      <c r="B299">
        <v>0.49494949494949492</v>
      </c>
    </row>
    <row r="300" spans="1:2" hidden="1" x14ac:dyDescent="0.3">
      <c r="A300" s="1" t="s">
        <v>21</v>
      </c>
      <c r="B300">
        <v>0.49595959595959588</v>
      </c>
    </row>
    <row r="301" spans="1:2" hidden="1" x14ac:dyDescent="0.3">
      <c r="A301" s="1" t="s">
        <v>21</v>
      </c>
      <c r="B301">
        <v>0.49696969696969701</v>
      </c>
    </row>
    <row r="302" spans="1:2" hidden="1" x14ac:dyDescent="0.3">
      <c r="A302" s="1" t="s">
        <v>21</v>
      </c>
      <c r="B302">
        <v>0.49797979797979802</v>
      </c>
    </row>
    <row r="303" spans="1:2" hidden="1" x14ac:dyDescent="0.3">
      <c r="A303" s="1" t="s">
        <v>21</v>
      </c>
      <c r="B303">
        <v>0.49898989898989898</v>
      </c>
    </row>
    <row r="304" spans="1:2" hidden="1" x14ac:dyDescent="0.3">
      <c r="A304" s="1" t="s">
        <v>21</v>
      </c>
      <c r="B304">
        <v>0.5</v>
      </c>
    </row>
    <row r="305" spans="1:2" x14ac:dyDescent="0.3">
      <c r="A305" s="1" t="s">
        <v>22</v>
      </c>
      <c r="B305">
        <v>0</v>
      </c>
    </row>
    <row r="306" spans="1:2" x14ac:dyDescent="0.3">
      <c r="A306" s="1" t="s">
        <v>22</v>
      </c>
      <c r="B306">
        <v>1200</v>
      </c>
    </row>
    <row r="307" spans="1:2" x14ac:dyDescent="0.3">
      <c r="A307" s="1" t="s">
        <v>22</v>
      </c>
      <c r="B307">
        <v>1210.1010101010099</v>
      </c>
    </row>
    <row r="308" spans="1:2" x14ac:dyDescent="0.3">
      <c r="A308" s="1" t="s">
        <v>22</v>
      </c>
      <c r="B308">
        <v>1220.2020202020201</v>
      </c>
    </row>
    <row r="309" spans="1:2" x14ac:dyDescent="0.3">
      <c r="A309" s="1" t="s">
        <v>22</v>
      </c>
      <c r="B309">
        <v>1230.30303030303</v>
      </c>
    </row>
    <row r="310" spans="1:2" x14ac:dyDescent="0.3">
      <c r="A310" s="1" t="s">
        <v>22</v>
      </c>
      <c r="B310">
        <v>1240.40404040404</v>
      </c>
    </row>
    <row r="311" spans="1:2" x14ac:dyDescent="0.3">
      <c r="A311" s="1" t="s">
        <v>22</v>
      </c>
      <c r="B311">
        <v>1250.505050505051</v>
      </c>
    </row>
    <row r="312" spans="1:2" x14ac:dyDescent="0.3">
      <c r="A312" s="1" t="s">
        <v>22</v>
      </c>
      <c r="B312">
        <v>1260.606060606061</v>
      </c>
    </row>
    <row r="313" spans="1:2" x14ac:dyDescent="0.3">
      <c r="A313" s="1" t="s">
        <v>22</v>
      </c>
      <c r="B313">
        <v>1270.7070707070709</v>
      </c>
    </row>
    <row r="314" spans="1:2" x14ac:dyDescent="0.3">
      <c r="A314" s="1" t="s">
        <v>22</v>
      </c>
      <c r="B314">
        <v>1280.8080808080811</v>
      </c>
    </row>
    <row r="315" spans="1:2" x14ac:dyDescent="0.3">
      <c r="A315" s="1" t="s">
        <v>22</v>
      </c>
      <c r="B315">
        <v>1290.909090909091</v>
      </c>
    </row>
    <row r="316" spans="1:2" x14ac:dyDescent="0.3">
      <c r="A316" s="1" t="s">
        <v>22</v>
      </c>
      <c r="B316">
        <v>1301.0101010101009</v>
      </c>
    </row>
    <row r="317" spans="1:2" x14ac:dyDescent="0.3">
      <c r="A317" s="1" t="s">
        <v>22</v>
      </c>
      <c r="B317">
        <v>1311.1111111111111</v>
      </c>
    </row>
    <row r="318" spans="1:2" x14ac:dyDescent="0.3">
      <c r="A318" s="1" t="s">
        <v>22</v>
      </c>
      <c r="B318">
        <v>1321.212121212121</v>
      </c>
    </row>
    <row r="319" spans="1:2" x14ac:dyDescent="0.3">
      <c r="A319" s="1" t="s">
        <v>22</v>
      </c>
      <c r="B319">
        <v>1331.313131313131</v>
      </c>
    </row>
    <row r="320" spans="1:2" x14ac:dyDescent="0.3">
      <c r="A320" s="1" t="s">
        <v>22</v>
      </c>
      <c r="B320">
        <v>1341.4141414141411</v>
      </c>
    </row>
    <row r="321" spans="1:2" x14ac:dyDescent="0.3">
      <c r="A321" s="1" t="s">
        <v>22</v>
      </c>
      <c r="B321">
        <v>1351.515151515152</v>
      </c>
    </row>
    <row r="322" spans="1:2" x14ac:dyDescent="0.3">
      <c r="A322" s="1" t="s">
        <v>22</v>
      </c>
      <c r="B322">
        <v>1361.6161616161619</v>
      </c>
    </row>
    <row r="323" spans="1:2" x14ac:dyDescent="0.3">
      <c r="A323" s="1" t="s">
        <v>22</v>
      </c>
      <c r="B323">
        <v>1371.7171717171721</v>
      </c>
    </row>
    <row r="324" spans="1:2" x14ac:dyDescent="0.3">
      <c r="A324" s="1" t="s">
        <v>22</v>
      </c>
      <c r="B324">
        <v>1381.818181818182</v>
      </c>
    </row>
    <row r="325" spans="1:2" x14ac:dyDescent="0.3">
      <c r="A325" s="1" t="s">
        <v>22</v>
      </c>
      <c r="B325">
        <v>1391.9191919191919</v>
      </c>
    </row>
    <row r="326" spans="1:2" x14ac:dyDescent="0.3">
      <c r="A326" s="1" t="s">
        <v>22</v>
      </c>
      <c r="B326">
        <v>1402.0202020202021</v>
      </c>
    </row>
    <row r="327" spans="1:2" x14ac:dyDescent="0.3">
      <c r="A327" s="1" t="s">
        <v>22</v>
      </c>
      <c r="B327">
        <v>1412.121212121212</v>
      </c>
    </row>
    <row r="328" spans="1:2" x14ac:dyDescent="0.3">
      <c r="A328" s="1" t="s">
        <v>22</v>
      </c>
      <c r="B328">
        <v>1422.2222222222219</v>
      </c>
    </row>
    <row r="329" spans="1:2" x14ac:dyDescent="0.3">
      <c r="A329" s="1" t="s">
        <v>22</v>
      </c>
      <c r="B329">
        <v>1432.3232323232321</v>
      </c>
    </row>
    <row r="330" spans="1:2" x14ac:dyDescent="0.3">
      <c r="A330" s="1" t="s">
        <v>22</v>
      </c>
      <c r="B330">
        <v>1442.424242424242</v>
      </c>
    </row>
    <row r="331" spans="1:2" x14ac:dyDescent="0.3">
      <c r="A331" s="1" t="s">
        <v>22</v>
      </c>
      <c r="B331">
        <v>1452.525252525252</v>
      </c>
    </row>
    <row r="332" spans="1:2" x14ac:dyDescent="0.3">
      <c r="A332" s="1" t="s">
        <v>22</v>
      </c>
      <c r="B332">
        <v>1462.626262626263</v>
      </c>
    </row>
    <row r="333" spans="1:2" x14ac:dyDescent="0.3">
      <c r="A333" s="1" t="s">
        <v>22</v>
      </c>
      <c r="B333">
        <v>1472.727272727273</v>
      </c>
    </row>
    <row r="334" spans="1:2" x14ac:dyDescent="0.3">
      <c r="A334" s="1" t="s">
        <v>22</v>
      </c>
      <c r="B334">
        <v>1482.8282828282829</v>
      </c>
    </row>
    <row r="335" spans="1:2" x14ac:dyDescent="0.3">
      <c r="A335" s="1" t="s">
        <v>22</v>
      </c>
      <c r="B335">
        <v>1492.9292929292931</v>
      </c>
    </row>
    <row r="336" spans="1:2" x14ac:dyDescent="0.3">
      <c r="A336" s="1" t="s">
        <v>22</v>
      </c>
      <c r="B336">
        <v>1503.030303030303</v>
      </c>
    </row>
    <row r="337" spans="1:2" x14ac:dyDescent="0.3">
      <c r="A337" s="1" t="s">
        <v>22</v>
      </c>
      <c r="B337">
        <v>1513.1313131313129</v>
      </c>
    </row>
    <row r="338" spans="1:2" x14ac:dyDescent="0.3">
      <c r="A338" s="1" t="s">
        <v>22</v>
      </c>
      <c r="B338">
        <v>1523.2323232323231</v>
      </c>
    </row>
    <row r="339" spans="1:2" x14ac:dyDescent="0.3">
      <c r="A339" s="1" t="s">
        <v>22</v>
      </c>
      <c r="B339">
        <v>1533.333333333333</v>
      </c>
    </row>
    <row r="340" spans="1:2" x14ac:dyDescent="0.3">
      <c r="A340" s="1" t="s">
        <v>22</v>
      </c>
      <c r="B340">
        <v>1543.434343434343</v>
      </c>
    </row>
    <row r="341" spans="1:2" x14ac:dyDescent="0.3">
      <c r="A341" s="1" t="s">
        <v>22</v>
      </c>
      <c r="B341">
        <v>1553.535353535354</v>
      </c>
    </row>
    <row r="342" spans="1:2" x14ac:dyDescent="0.3">
      <c r="A342" s="1" t="s">
        <v>22</v>
      </c>
      <c r="B342">
        <v>1563.636363636364</v>
      </c>
    </row>
    <row r="343" spans="1:2" x14ac:dyDescent="0.3">
      <c r="A343" s="1" t="s">
        <v>22</v>
      </c>
      <c r="B343">
        <v>1573.7373737373739</v>
      </c>
    </row>
    <row r="344" spans="1:2" x14ac:dyDescent="0.3">
      <c r="A344" s="1" t="s">
        <v>22</v>
      </c>
      <c r="B344">
        <v>1583.8383838383841</v>
      </c>
    </row>
    <row r="345" spans="1:2" x14ac:dyDescent="0.3">
      <c r="A345" s="1" t="s">
        <v>22</v>
      </c>
      <c r="B345">
        <v>1593.939393939394</v>
      </c>
    </row>
    <row r="346" spans="1:2" x14ac:dyDescent="0.3">
      <c r="A346" s="1" t="s">
        <v>22</v>
      </c>
      <c r="B346">
        <v>1604.0404040404039</v>
      </c>
    </row>
    <row r="347" spans="1:2" x14ac:dyDescent="0.3">
      <c r="A347" s="1" t="s">
        <v>22</v>
      </c>
      <c r="B347">
        <v>1614.1414141414141</v>
      </c>
    </row>
    <row r="348" spans="1:2" x14ac:dyDescent="0.3">
      <c r="A348" s="1" t="s">
        <v>22</v>
      </c>
      <c r="B348">
        <v>1624.242424242424</v>
      </c>
    </row>
    <row r="349" spans="1:2" x14ac:dyDescent="0.3">
      <c r="A349" s="1" t="s">
        <v>22</v>
      </c>
      <c r="B349">
        <v>1634.343434343434</v>
      </c>
    </row>
    <row r="350" spans="1:2" x14ac:dyDescent="0.3">
      <c r="A350" s="1" t="s">
        <v>22</v>
      </c>
      <c r="B350">
        <v>1644.4444444444439</v>
      </c>
    </row>
    <row r="351" spans="1:2" x14ac:dyDescent="0.3">
      <c r="A351" s="1" t="s">
        <v>22</v>
      </c>
      <c r="B351">
        <v>1654.545454545455</v>
      </c>
    </row>
    <row r="352" spans="1:2" x14ac:dyDescent="0.3">
      <c r="A352" s="1" t="s">
        <v>22</v>
      </c>
      <c r="B352">
        <v>1664.6464646464649</v>
      </c>
    </row>
    <row r="353" spans="1:2" x14ac:dyDescent="0.3">
      <c r="A353" s="1" t="s">
        <v>22</v>
      </c>
      <c r="B353">
        <v>1674.7474747474751</v>
      </c>
    </row>
    <row r="354" spans="1:2" x14ac:dyDescent="0.3">
      <c r="A354" s="1" t="s">
        <v>22</v>
      </c>
      <c r="B354">
        <v>1684.848484848485</v>
      </c>
    </row>
    <row r="355" spans="1:2" x14ac:dyDescent="0.3">
      <c r="A355" s="1" t="s">
        <v>22</v>
      </c>
      <c r="B355">
        <v>1694.9494949494949</v>
      </c>
    </row>
    <row r="356" spans="1:2" x14ac:dyDescent="0.3">
      <c r="A356" s="1" t="s">
        <v>22</v>
      </c>
      <c r="B356">
        <v>1705.0505050505051</v>
      </c>
    </row>
    <row r="357" spans="1:2" x14ac:dyDescent="0.3">
      <c r="A357" s="1" t="s">
        <v>22</v>
      </c>
      <c r="B357">
        <v>1715.151515151515</v>
      </c>
    </row>
    <row r="358" spans="1:2" x14ac:dyDescent="0.3">
      <c r="A358" s="1" t="s">
        <v>22</v>
      </c>
      <c r="B358">
        <v>1725.2525252525249</v>
      </c>
    </row>
    <row r="359" spans="1:2" x14ac:dyDescent="0.3">
      <c r="A359" s="1" t="s">
        <v>22</v>
      </c>
      <c r="B359">
        <v>1735.3535353535351</v>
      </c>
    </row>
    <row r="360" spans="1:2" x14ac:dyDescent="0.3">
      <c r="A360" s="1" t="s">
        <v>22</v>
      </c>
      <c r="B360">
        <v>1745.454545454545</v>
      </c>
    </row>
    <row r="361" spans="1:2" x14ac:dyDescent="0.3">
      <c r="A361" s="1" t="s">
        <v>22</v>
      </c>
      <c r="B361">
        <v>1755.5555555555561</v>
      </c>
    </row>
    <row r="362" spans="1:2" x14ac:dyDescent="0.3">
      <c r="A362" s="1" t="s">
        <v>22</v>
      </c>
      <c r="B362">
        <v>1765.656565656566</v>
      </c>
    </row>
    <row r="363" spans="1:2" x14ac:dyDescent="0.3">
      <c r="A363" s="1" t="s">
        <v>22</v>
      </c>
      <c r="B363">
        <v>1775.757575757576</v>
      </c>
    </row>
    <row r="364" spans="1:2" x14ac:dyDescent="0.3">
      <c r="A364" s="1" t="s">
        <v>22</v>
      </c>
      <c r="B364">
        <v>1785.8585858585859</v>
      </c>
    </row>
    <row r="365" spans="1:2" x14ac:dyDescent="0.3">
      <c r="A365" s="1" t="s">
        <v>22</v>
      </c>
      <c r="B365">
        <v>1795.9595959595961</v>
      </c>
    </row>
    <row r="366" spans="1:2" x14ac:dyDescent="0.3">
      <c r="A366" s="1" t="s">
        <v>22</v>
      </c>
      <c r="B366">
        <v>1806.060606060606</v>
      </c>
    </row>
    <row r="367" spans="1:2" x14ac:dyDescent="0.3">
      <c r="A367" s="1" t="s">
        <v>22</v>
      </c>
      <c r="B367">
        <v>1816.1616161616159</v>
      </c>
    </row>
    <row r="368" spans="1:2" x14ac:dyDescent="0.3">
      <c r="A368" s="1" t="s">
        <v>22</v>
      </c>
      <c r="B368">
        <v>1826.2626262626261</v>
      </c>
    </row>
    <row r="369" spans="1:2" x14ac:dyDescent="0.3">
      <c r="A369" s="1" t="s">
        <v>22</v>
      </c>
      <c r="B369">
        <v>1836.363636363636</v>
      </c>
    </row>
    <row r="370" spans="1:2" x14ac:dyDescent="0.3">
      <c r="A370" s="1" t="s">
        <v>22</v>
      </c>
      <c r="B370">
        <v>1846.464646464646</v>
      </c>
    </row>
    <row r="371" spans="1:2" x14ac:dyDescent="0.3">
      <c r="A371" s="1" t="s">
        <v>22</v>
      </c>
      <c r="B371">
        <v>1856.5656565656559</v>
      </c>
    </row>
    <row r="372" spans="1:2" x14ac:dyDescent="0.3">
      <c r="A372" s="1" t="s">
        <v>22</v>
      </c>
      <c r="B372">
        <v>1866.666666666667</v>
      </c>
    </row>
    <row r="373" spans="1:2" x14ac:dyDescent="0.3">
      <c r="A373" s="1" t="s">
        <v>22</v>
      </c>
      <c r="B373">
        <v>1876.7676767676769</v>
      </c>
    </row>
    <row r="374" spans="1:2" x14ac:dyDescent="0.3">
      <c r="A374" s="1" t="s">
        <v>22</v>
      </c>
      <c r="B374">
        <v>1886.8686868686871</v>
      </c>
    </row>
    <row r="375" spans="1:2" x14ac:dyDescent="0.3">
      <c r="A375" s="1" t="s">
        <v>22</v>
      </c>
      <c r="B375">
        <v>1896.969696969697</v>
      </c>
    </row>
    <row r="376" spans="1:2" x14ac:dyDescent="0.3">
      <c r="A376" s="1" t="s">
        <v>22</v>
      </c>
      <c r="B376">
        <v>1907.0707070707069</v>
      </c>
    </row>
    <row r="377" spans="1:2" x14ac:dyDescent="0.3">
      <c r="A377" s="1" t="s">
        <v>22</v>
      </c>
      <c r="B377">
        <v>1917.1717171717171</v>
      </c>
    </row>
    <row r="378" spans="1:2" x14ac:dyDescent="0.3">
      <c r="A378" s="1" t="s">
        <v>22</v>
      </c>
      <c r="B378">
        <v>1927.272727272727</v>
      </c>
    </row>
    <row r="379" spans="1:2" x14ac:dyDescent="0.3">
      <c r="A379" s="1" t="s">
        <v>22</v>
      </c>
      <c r="B379">
        <v>1937.373737373737</v>
      </c>
    </row>
    <row r="380" spans="1:2" x14ac:dyDescent="0.3">
      <c r="A380" s="1" t="s">
        <v>22</v>
      </c>
      <c r="B380">
        <v>1947.4747474747469</v>
      </c>
    </row>
    <row r="381" spans="1:2" x14ac:dyDescent="0.3">
      <c r="A381" s="1" t="s">
        <v>22</v>
      </c>
      <c r="B381">
        <v>1957.575757575758</v>
      </c>
    </row>
    <row r="382" spans="1:2" x14ac:dyDescent="0.3">
      <c r="A382" s="1" t="s">
        <v>22</v>
      </c>
      <c r="B382">
        <v>1967.6767676767679</v>
      </c>
    </row>
    <row r="383" spans="1:2" x14ac:dyDescent="0.3">
      <c r="A383" s="1" t="s">
        <v>22</v>
      </c>
      <c r="B383">
        <v>1977.7777777777781</v>
      </c>
    </row>
    <row r="384" spans="1:2" x14ac:dyDescent="0.3">
      <c r="A384" s="1" t="s">
        <v>22</v>
      </c>
      <c r="B384">
        <v>1987.878787878788</v>
      </c>
    </row>
    <row r="385" spans="1:2" x14ac:dyDescent="0.3">
      <c r="A385" s="1" t="s">
        <v>22</v>
      </c>
      <c r="B385">
        <v>1997.9797979797979</v>
      </c>
    </row>
    <row r="386" spans="1:2" x14ac:dyDescent="0.3">
      <c r="A386" s="1" t="s">
        <v>22</v>
      </c>
      <c r="B386">
        <v>2008.0808080808081</v>
      </c>
    </row>
    <row r="387" spans="1:2" x14ac:dyDescent="0.3">
      <c r="A387" s="1" t="s">
        <v>22</v>
      </c>
      <c r="B387">
        <v>2018.181818181818</v>
      </c>
    </row>
    <row r="388" spans="1:2" x14ac:dyDescent="0.3">
      <c r="A388" s="1" t="s">
        <v>22</v>
      </c>
      <c r="B388">
        <v>2028.2828282828279</v>
      </c>
    </row>
    <row r="389" spans="1:2" x14ac:dyDescent="0.3">
      <c r="A389" s="1" t="s">
        <v>22</v>
      </c>
      <c r="B389">
        <v>2038.3838383838381</v>
      </c>
    </row>
    <row r="390" spans="1:2" x14ac:dyDescent="0.3">
      <c r="A390" s="1" t="s">
        <v>22</v>
      </c>
      <c r="B390">
        <v>2048.484848484848</v>
      </c>
    </row>
    <row r="391" spans="1:2" x14ac:dyDescent="0.3">
      <c r="A391" s="1" t="s">
        <v>22</v>
      </c>
      <c r="B391">
        <v>2058.5858585858591</v>
      </c>
    </row>
    <row r="392" spans="1:2" x14ac:dyDescent="0.3">
      <c r="A392" s="1" t="s">
        <v>22</v>
      </c>
      <c r="B392">
        <v>2068.6868686868679</v>
      </c>
    </row>
    <row r="393" spans="1:2" x14ac:dyDescent="0.3">
      <c r="A393" s="1" t="s">
        <v>22</v>
      </c>
      <c r="B393">
        <v>2078.787878787879</v>
      </c>
    </row>
    <row r="394" spans="1:2" x14ac:dyDescent="0.3">
      <c r="A394" s="1" t="s">
        <v>22</v>
      </c>
      <c r="B394">
        <v>2088.8888888888891</v>
      </c>
    </row>
    <row r="395" spans="1:2" x14ac:dyDescent="0.3">
      <c r="A395" s="1" t="s">
        <v>22</v>
      </c>
      <c r="B395">
        <v>2098.9898989898988</v>
      </c>
    </row>
    <row r="396" spans="1:2" x14ac:dyDescent="0.3">
      <c r="A396" s="1" t="s">
        <v>22</v>
      </c>
      <c r="B396">
        <v>2109.090909090909</v>
      </c>
    </row>
    <row r="397" spans="1:2" x14ac:dyDescent="0.3">
      <c r="A397" s="1" t="s">
        <v>22</v>
      </c>
      <c r="B397">
        <v>2119.1919191919192</v>
      </c>
    </row>
    <row r="398" spans="1:2" x14ac:dyDescent="0.3">
      <c r="A398" s="1" t="s">
        <v>22</v>
      </c>
      <c r="B398">
        <v>2129.2929292929289</v>
      </c>
    </row>
    <row r="399" spans="1:2" x14ac:dyDescent="0.3">
      <c r="A399" s="1" t="s">
        <v>22</v>
      </c>
      <c r="B399">
        <v>2139.393939393939</v>
      </c>
    </row>
    <row r="400" spans="1:2" x14ac:dyDescent="0.3">
      <c r="A400" s="1" t="s">
        <v>22</v>
      </c>
      <c r="B400">
        <v>2149.4949494949501</v>
      </c>
    </row>
    <row r="401" spans="1:2" x14ac:dyDescent="0.3">
      <c r="A401" s="1" t="s">
        <v>22</v>
      </c>
      <c r="B401">
        <v>2159.5959595959589</v>
      </c>
    </row>
    <row r="402" spans="1:2" x14ac:dyDescent="0.3">
      <c r="A402" s="1" t="s">
        <v>22</v>
      </c>
      <c r="B402">
        <v>2169.69696969697</v>
      </c>
    </row>
    <row r="403" spans="1:2" x14ac:dyDescent="0.3">
      <c r="A403" s="1" t="s">
        <v>22</v>
      </c>
      <c r="B403">
        <v>2179.7979797979801</v>
      </c>
    </row>
    <row r="404" spans="1:2" x14ac:dyDescent="0.3">
      <c r="A404" s="1" t="s">
        <v>22</v>
      </c>
      <c r="B404">
        <v>2189.8989898989898</v>
      </c>
    </row>
    <row r="405" spans="1:2" x14ac:dyDescent="0.3">
      <c r="A405" s="1" t="s">
        <v>22</v>
      </c>
      <c r="B405">
        <v>2200</v>
      </c>
    </row>
    <row r="406" spans="1:2" hidden="1" x14ac:dyDescent="0.3">
      <c r="A406" s="1" t="s">
        <v>23</v>
      </c>
      <c r="B406">
        <v>0</v>
      </c>
    </row>
    <row r="407" spans="1:2" hidden="1" x14ac:dyDescent="0.3">
      <c r="A407" s="1" t="s">
        <v>23</v>
      </c>
      <c r="B407">
        <v>4.0000000000000001E-3</v>
      </c>
    </row>
    <row r="408" spans="1:2" hidden="1" x14ac:dyDescent="0.3">
      <c r="A408" s="1" t="s">
        <v>23</v>
      </c>
      <c r="B408">
        <v>4.0303030303030308E-3</v>
      </c>
    </row>
    <row r="409" spans="1:2" hidden="1" x14ac:dyDescent="0.3">
      <c r="A409" s="1" t="s">
        <v>23</v>
      </c>
      <c r="B409">
        <v>4.0606060606060614E-3</v>
      </c>
    </row>
    <row r="410" spans="1:2" hidden="1" x14ac:dyDescent="0.3">
      <c r="A410" s="1" t="s">
        <v>23</v>
      </c>
      <c r="B410">
        <v>4.0909090909090912E-3</v>
      </c>
    </row>
    <row r="411" spans="1:2" hidden="1" x14ac:dyDescent="0.3">
      <c r="A411" s="1" t="s">
        <v>23</v>
      </c>
      <c r="B411">
        <v>4.121212121212121E-3</v>
      </c>
    </row>
    <row r="412" spans="1:2" hidden="1" x14ac:dyDescent="0.3">
      <c r="A412" s="1" t="s">
        <v>23</v>
      </c>
      <c r="B412">
        <v>4.1515151515151517E-3</v>
      </c>
    </row>
    <row r="413" spans="1:2" hidden="1" x14ac:dyDescent="0.3">
      <c r="A413" s="1" t="s">
        <v>23</v>
      </c>
      <c r="B413">
        <v>4.1818181818181824E-3</v>
      </c>
    </row>
    <row r="414" spans="1:2" hidden="1" x14ac:dyDescent="0.3">
      <c r="A414" s="1" t="s">
        <v>23</v>
      </c>
      <c r="B414">
        <v>4.2121212121212122E-3</v>
      </c>
    </row>
    <row r="415" spans="1:2" hidden="1" x14ac:dyDescent="0.3">
      <c r="A415" s="1" t="s">
        <v>23</v>
      </c>
      <c r="B415">
        <v>4.2424242424242429E-3</v>
      </c>
    </row>
    <row r="416" spans="1:2" hidden="1" x14ac:dyDescent="0.3">
      <c r="A416" s="1" t="s">
        <v>23</v>
      </c>
      <c r="B416">
        <v>4.2727272727272727E-3</v>
      </c>
    </row>
    <row r="417" spans="1:2" hidden="1" x14ac:dyDescent="0.3">
      <c r="A417" s="1" t="s">
        <v>23</v>
      </c>
      <c r="B417">
        <v>4.3030303030303033E-3</v>
      </c>
    </row>
    <row r="418" spans="1:2" hidden="1" x14ac:dyDescent="0.3">
      <c r="A418" s="1" t="s">
        <v>23</v>
      </c>
      <c r="B418">
        <v>4.3333333333333331E-3</v>
      </c>
    </row>
    <row r="419" spans="1:2" hidden="1" x14ac:dyDescent="0.3">
      <c r="A419" s="1" t="s">
        <v>23</v>
      </c>
      <c r="B419">
        <v>4.3636363636363638E-3</v>
      </c>
    </row>
    <row r="420" spans="1:2" hidden="1" x14ac:dyDescent="0.3">
      <c r="A420" s="1" t="s">
        <v>23</v>
      </c>
      <c r="B420">
        <v>4.3939393939393936E-3</v>
      </c>
    </row>
    <row r="421" spans="1:2" hidden="1" x14ac:dyDescent="0.3">
      <c r="A421" s="1" t="s">
        <v>23</v>
      </c>
      <c r="B421">
        <v>4.4242424242424243E-3</v>
      </c>
    </row>
    <row r="422" spans="1:2" hidden="1" x14ac:dyDescent="0.3">
      <c r="A422" s="1" t="s">
        <v>23</v>
      </c>
      <c r="B422">
        <v>4.454545454545455E-3</v>
      </c>
    </row>
    <row r="423" spans="1:2" hidden="1" x14ac:dyDescent="0.3">
      <c r="A423" s="1" t="s">
        <v>23</v>
      </c>
      <c r="B423">
        <v>4.4848484848484848E-3</v>
      </c>
    </row>
    <row r="424" spans="1:2" hidden="1" x14ac:dyDescent="0.3">
      <c r="A424" s="1" t="s">
        <v>23</v>
      </c>
      <c r="B424">
        <v>4.5151515151515154E-3</v>
      </c>
    </row>
    <row r="425" spans="1:2" hidden="1" x14ac:dyDescent="0.3">
      <c r="A425" s="1" t="s">
        <v>23</v>
      </c>
      <c r="B425">
        <v>4.5454545454545452E-3</v>
      </c>
    </row>
    <row r="426" spans="1:2" hidden="1" x14ac:dyDescent="0.3">
      <c r="A426" s="1" t="s">
        <v>23</v>
      </c>
      <c r="B426">
        <v>4.5757575757575759E-3</v>
      </c>
    </row>
    <row r="427" spans="1:2" hidden="1" x14ac:dyDescent="0.3">
      <c r="A427" s="1" t="s">
        <v>23</v>
      </c>
      <c r="B427">
        <v>4.6060606060606066E-3</v>
      </c>
    </row>
    <row r="428" spans="1:2" hidden="1" x14ac:dyDescent="0.3">
      <c r="A428" s="1" t="s">
        <v>23</v>
      </c>
      <c r="B428">
        <v>4.6363636363636364E-3</v>
      </c>
    </row>
    <row r="429" spans="1:2" hidden="1" x14ac:dyDescent="0.3">
      <c r="A429" s="1" t="s">
        <v>23</v>
      </c>
      <c r="B429">
        <v>4.6666666666666671E-3</v>
      </c>
    </row>
    <row r="430" spans="1:2" hidden="1" x14ac:dyDescent="0.3">
      <c r="A430" s="1" t="s">
        <v>23</v>
      </c>
      <c r="B430">
        <v>4.6969696969696969E-3</v>
      </c>
    </row>
    <row r="431" spans="1:2" hidden="1" x14ac:dyDescent="0.3">
      <c r="A431" s="1" t="s">
        <v>23</v>
      </c>
      <c r="B431">
        <v>4.7272727272727284E-3</v>
      </c>
    </row>
    <row r="432" spans="1:2" hidden="1" x14ac:dyDescent="0.3">
      <c r="A432" s="1" t="s">
        <v>23</v>
      </c>
      <c r="B432">
        <v>4.7575757575757573E-3</v>
      </c>
    </row>
    <row r="433" spans="1:2" hidden="1" x14ac:dyDescent="0.3">
      <c r="A433" s="1" t="s">
        <v>23</v>
      </c>
      <c r="B433">
        <v>4.787878787878788E-3</v>
      </c>
    </row>
    <row r="434" spans="1:2" hidden="1" x14ac:dyDescent="0.3">
      <c r="A434" s="1" t="s">
        <v>23</v>
      </c>
      <c r="B434">
        <v>4.8181818181818187E-3</v>
      </c>
    </row>
    <row r="435" spans="1:2" hidden="1" x14ac:dyDescent="0.3">
      <c r="A435" s="1" t="s">
        <v>23</v>
      </c>
      <c r="B435">
        <v>4.8484848484848476E-3</v>
      </c>
    </row>
    <row r="436" spans="1:2" hidden="1" x14ac:dyDescent="0.3">
      <c r="A436" s="1" t="s">
        <v>23</v>
      </c>
      <c r="B436">
        <v>4.8787878787878792E-3</v>
      </c>
    </row>
    <row r="437" spans="1:2" hidden="1" x14ac:dyDescent="0.3">
      <c r="A437" s="1" t="s">
        <v>23</v>
      </c>
      <c r="B437">
        <v>4.909090909090909E-3</v>
      </c>
    </row>
    <row r="438" spans="1:2" hidden="1" x14ac:dyDescent="0.3">
      <c r="A438" s="1" t="s">
        <v>23</v>
      </c>
      <c r="B438">
        <v>4.9393939393939396E-3</v>
      </c>
    </row>
    <row r="439" spans="1:2" hidden="1" x14ac:dyDescent="0.3">
      <c r="A439" s="1" t="s">
        <v>23</v>
      </c>
      <c r="B439">
        <v>4.9696969696969694E-3</v>
      </c>
    </row>
    <row r="440" spans="1:2" hidden="1" x14ac:dyDescent="0.3">
      <c r="A440" s="1" t="s">
        <v>23</v>
      </c>
      <c r="B440">
        <v>5.0000000000000001E-3</v>
      </c>
    </row>
    <row r="441" spans="1:2" hidden="1" x14ac:dyDescent="0.3">
      <c r="A441" s="1" t="s">
        <v>23</v>
      </c>
      <c r="B441">
        <v>5.0303030303030308E-3</v>
      </c>
    </row>
    <row r="442" spans="1:2" hidden="1" x14ac:dyDescent="0.3">
      <c r="A442" s="1" t="s">
        <v>23</v>
      </c>
      <c r="B442">
        <v>5.0606060606060606E-3</v>
      </c>
    </row>
    <row r="443" spans="1:2" hidden="1" x14ac:dyDescent="0.3">
      <c r="A443" s="1" t="s">
        <v>23</v>
      </c>
      <c r="B443">
        <v>5.0909090909090913E-3</v>
      </c>
    </row>
    <row r="444" spans="1:2" hidden="1" x14ac:dyDescent="0.3">
      <c r="A444" s="1" t="s">
        <v>23</v>
      </c>
      <c r="B444">
        <v>5.1212121212121211E-3</v>
      </c>
    </row>
    <row r="445" spans="1:2" hidden="1" x14ac:dyDescent="0.3">
      <c r="A445" s="1" t="s">
        <v>23</v>
      </c>
      <c r="B445">
        <v>5.1515151515151517E-3</v>
      </c>
    </row>
    <row r="446" spans="1:2" hidden="1" x14ac:dyDescent="0.3">
      <c r="A446" s="1" t="s">
        <v>23</v>
      </c>
      <c r="B446">
        <v>5.1818181818181824E-3</v>
      </c>
    </row>
    <row r="447" spans="1:2" hidden="1" x14ac:dyDescent="0.3">
      <c r="A447" s="1" t="s">
        <v>23</v>
      </c>
      <c r="B447">
        <v>5.2121212121212122E-3</v>
      </c>
    </row>
    <row r="448" spans="1:2" hidden="1" x14ac:dyDescent="0.3">
      <c r="A448" s="1" t="s">
        <v>23</v>
      </c>
      <c r="B448">
        <v>5.2424242424242429E-3</v>
      </c>
    </row>
    <row r="449" spans="1:2" hidden="1" x14ac:dyDescent="0.3">
      <c r="A449" s="1" t="s">
        <v>23</v>
      </c>
      <c r="B449">
        <v>5.2727272727272727E-3</v>
      </c>
    </row>
    <row r="450" spans="1:2" hidden="1" x14ac:dyDescent="0.3">
      <c r="A450" s="1" t="s">
        <v>23</v>
      </c>
      <c r="B450">
        <v>5.3030303030303034E-3</v>
      </c>
    </row>
    <row r="451" spans="1:2" hidden="1" x14ac:dyDescent="0.3">
      <c r="A451" s="1" t="s">
        <v>23</v>
      </c>
      <c r="B451">
        <v>5.3333333333333332E-3</v>
      </c>
    </row>
    <row r="452" spans="1:2" hidden="1" x14ac:dyDescent="0.3">
      <c r="A452" s="1" t="s">
        <v>23</v>
      </c>
      <c r="B452">
        <v>5.3636363636363638E-3</v>
      </c>
    </row>
    <row r="453" spans="1:2" hidden="1" x14ac:dyDescent="0.3">
      <c r="A453" s="1" t="s">
        <v>23</v>
      </c>
      <c r="B453">
        <v>5.3939393939393936E-3</v>
      </c>
    </row>
    <row r="454" spans="1:2" hidden="1" x14ac:dyDescent="0.3">
      <c r="A454" s="1" t="s">
        <v>23</v>
      </c>
      <c r="B454">
        <v>5.4242424242424243E-3</v>
      </c>
    </row>
    <row r="455" spans="1:2" hidden="1" x14ac:dyDescent="0.3">
      <c r="A455" s="1" t="s">
        <v>23</v>
      </c>
      <c r="B455">
        <v>5.454545454545455E-3</v>
      </c>
    </row>
    <row r="456" spans="1:2" hidden="1" x14ac:dyDescent="0.3">
      <c r="A456" s="1" t="s">
        <v>23</v>
      </c>
      <c r="B456">
        <v>5.4848484848484848E-3</v>
      </c>
    </row>
    <row r="457" spans="1:2" hidden="1" x14ac:dyDescent="0.3">
      <c r="A457" s="1" t="s">
        <v>23</v>
      </c>
      <c r="B457">
        <v>5.5151515151515146E-3</v>
      </c>
    </row>
    <row r="458" spans="1:2" hidden="1" x14ac:dyDescent="0.3">
      <c r="A458" s="1" t="s">
        <v>23</v>
      </c>
      <c r="B458">
        <v>5.5454545454545453E-3</v>
      </c>
    </row>
    <row r="459" spans="1:2" hidden="1" x14ac:dyDescent="0.3">
      <c r="A459" s="1" t="s">
        <v>23</v>
      </c>
      <c r="B459">
        <v>5.5757575757575759E-3</v>
      </c>
    </row>
    <row r="460" spans="1:2" hidden="1" x14ac:dyDescent="0.3">
      <c r="A460" s="1" t="s">
        <v>23</v>
      </c>
      <c r="B460">
        <v>5.6060606060606057E-3</v>
      </c>
    </row>
    <row r="461" spans="1:2" hidden="1" x14ac:dyDescent="0.3">
      <c r="A461" s="1" t="s">
        <v>23</v>
      </c>
      <c r="B461">
        <v>5.6363636363636364E-3</v>
      </c>
    </row>
    <row r="462" spans="1:2" hidden="1" x14ac:dyDescent="0.3">
      <c r="A462" s="1" t="s">
        <v>23</v>
      </c>
      <c r="B462">
        <v>5.6666666666666671E-3</v>
      </c>
    </row>
    <row r="463" spans="1:2" hidden="1" x14ac:dyDescent="0.3">
      <c r="A463" s="1" t="s">
        <v>23</v>
      </c>
      <c r="B463">
        <v>5.6969696969696969E-3</v>
      </c>
    </row>
    <row r="464" spans="1:2" hidden="1" x14ac:dyDescent="0.3">
      <c r="A464" s="1" t="s">
        <v>23</v>
      </c>
      <c r="B464">
        <v>5.7272727272727284E-3</v>
      </c>
    </row>
    <row r="465" spans="1:2" hidden="1" x14ac:dyDescent="0.3">
      <c r="A465" s="1" t="s">
        <v>23</v>
      </c>
      <c r="B465">
        <v>5.7575757575757574E-3</v>
      </c>
    </row>
    <row r="466" spans="1:2" hidden="1" x14ac:dyDescent="0.3">
      <c r="A466" s="1" t="s">
        <v>23</v>
      </c>
      <c r="B466">
        <v>5.787878787878788E-3</v>
      </c>
    </row>
    <row r="467" spans="1:2" hidden="1" x14ac:dyDescent="0.3">
      <c r="A467" s="1" t="s">
        <v>23</v>
      </c>
      <c r="B467">
        <v>5.8181818181818178E-3</v>
      </c>
    </row>
    <row r="468" spans="1:2" hidden="1" x14ac:dyDescent="0.3">
      <c r="A468" s="1" t="s">
        <v>23</v>
      </c>
      <c r="B468">
        <v>5.8484848484848494E-3</v>
      </c>
    </row>
    <row r="469" spans="1:2" hidden="1" x14ac:dyDescent="0.3">
      <c r="A469" s="1" t="s">
        <v>23</v>
      </c>
      <c r="B469">
        <v>5.8787878787878792E-3</v>
      </c>
    </row>
    <row r="470" spans="1:2" hidden="1" x14ac:dyDescent="0.3">
      <c r="A470" s="1" t="s">
        <v>23</v>
      </c>
      <c r="B470">
        <v>5.909090909090909E-3</v>
      </c>
    </row>
    <row r="471" spans="1:2" hidden="1" x14ac:dyDescent="0.3">
      <c r="A471" s="1" t="s">
        <v>23</v>
      </c>
      <c r="B471">
        <v>5.9393939393939396E-3</v>
      </c>
    </row>
    <row r="472" spans="1:2" hidden="1" x14ac:dyDescent="0.3">
      <c r="A472" s="1" t="s">
        <v>23</v>
      </c>
      <c r="B472">
        <v>5.9696969696969703E-3</v>
      </c>
    </row>
    <row r="473" spans="1:2" hidden="1" x14ac:dyDescent="0.3">
      <c r="A473" s="1" t="s">
        <v>23</v>
      </c>
      <c r="B473">
        <v>6.0000000000000001E-3</v>
      </c>
    </row>
    <row r="474" spans="1:2" hidden="1" x14ac:dyDescent="0.3">
      <c r="A474" s="1" t="s">
        <v>23</v>
      </c>
      <c r="B474">
        <v>6.0303030303030299E-3</v>
      </c>
    </row>
    <row r="475" spans="1:2" hidden="1" x14ac:dyDescent="0.3">
      <c r="A475" s="1" t="s">
        <v>23</v>
      </c>
      <c r="B475">
        <v>6.0606060606060606E-3</v>
      </c>
    </row>
    <row r="476" spans="1:2" hidden="1" x14ac:dyDescent="0.3">
      <c r="A476" s="1" t="s">
        <v>23</v>
      </c>
      <c r="B476">
        <v>6.0909090909090913E-3</v>
      </c>
    </row>
    <row r="477" spans="1:2" hidden="1" x14ac:dyDescent="0.3">
      <c r="A477" s="1" t="s">
        <v>23</v>
      </c>
      <c r="B477">
        <v>6.1212121212121211E-3</v>
      </c>
    </row>
    <row r="478" spans="1:2" hidden="1" x14ac:dyDescent="0.3">
      <c r="A478" s="1" t="s">
        <v>23</v>
      </c>
      <c r="B478">
        <v>6.1515151515151517E-3</v>
      </c>
    </row>
    <row r="479" spans="1:2" hidden="1" x14ac:dyDescent="0.3">
      <c r="A479" s="1" t="s">
        <v>23</v>
      </c>
      <c r="B479">
        <v>6.1818181818181824E-3</v>
      </c>
    </row>
    <row r="480" spans="1:2" hidden="1" x14ac:dyDescent="0.3">
      <c r="A480" s="1" t="s">
        <v>23</v>
      </c>
      <c r="B480">
        <v>6.2121212121212122E-3</v>
      </c>
    </row>
    <row r="481" spans="1:2" hidden="1" x14ac:dyDescent="0.3">
      <c r="A481" s="1" t="s">
        <v>23</v>
      </c>
      <c r="B481">
        <v>6.242424242424242E-3</v>
      </c>
    </row>
    <row r="482" spans="1:2" hidden="1" x14ac:dyDescent="0.3">
      <c r="A482" s="1" t="s">
        <v>23</v>
      </c>
      <c r="B482">
        <v>6.2727272727272727E-3</v>
      </c>
    </row>
    <row r="483" spans="1:2" hidden="1" x14ac:dyDescent="0.3">
      <c r="A483" s="1" t="s">
        <v>23</v>
      </c>
      <c r="B483">
        <v>6.3030303030303034E-3</v>
      </c>
    </row>
    <row r="484" spans="1:2" hidden="1" x14ac:dyDescent="0.3">
      <c r="A484" s="1" t="s">
        <v>23</v>
      </c>
      <c r="B484">
        <v>6.3333333333333332E-3</v>
      </c>
    </row>
    <row r="485" spans="1:2" hidden="1" x14ac:dyDescent="0.3">
      <c r="A485" s="1" t="s">
        <v>23</v>
      </c>
      <c r="B485">
        <v>6.3636363636363638E-3</v>
      </c>
    </row>
    <row r="486" spans="1:2" hidden="1" x14ac:dyDescent="0.3">
      <c r="A486" s="1" t="s">
        <v>23</v>
      </c>
      <c r="B486">
        <v>6.3939393939393954E-3</v>
      </c>
    </row>
    <row r="487" spans="1:2" hidden="1" x14ac:dyDescent="0.3">
      <c r="A487" s="1" t="s">
        <v>23</v>
      </c>
      <c r="B487">
        <v>6.4242424242424243E-3</v>
      </c>
    </row>
    <row r="488" spans="1:2" hidden="1" x14ac:dyDescent="0.3">
      <c r="A488" s="1" t="s">
        <v>23</v>
      </c>
      <c r="B488">
        <v>6.4545454545454541E-3</v>
      </c>
    </row>
    <row r="489" spans="1:2" hidden="1" x14ac:dyDescent="0.3">
      <c r="A489" s="1" t="s">
        <v>23</v>
      </c>
      <c r="B489">
        <v>6.4848484848484848E-3</v>
      </c>
    </row>
    <row r="490" spans="1:2" hidden="1" x14ac:dyDescent="0.3">
      <c r="A490" s="1" t="s">
        <v>23</v>
      </c>
      <c r="B490">
        <v>6.5151515151515146E-3</v>
      </c>
    </row>
    <row r="491" spans="1:2" hidden="1" x14ac:dyDescent="0.3">
      <c r="A491" s="1" t="s">
        <v>23</v>
      </c>
      <c r="B491">
        <v>6.5454545454545453E-3</v>
      </c>
    </row>
    <row r="492" spans="1:2" hidden="1" x14ac:dyDescent="0.3">
      <c r="A492" s="1" t="s">
        <v>23</v>
      </c>
      <c r="B492">
        <v>6.5757575757575759E-3</v>
      </c>
    </row>
    <row r="493" spans="1:2" hidden="1" x14ac:dyDescent="0.3">
      <c r="A493" s="1" t="s">
        <v>23</v>
      </c>
      <c r="B493">
        <v>6.6060606060606066E-3</v>
      </c>
    </row>
    <row r="494" spans="1:2" hidden="1" x14ac:dyDescent="0.3">
      <c r="A494" s="1" t="s">
        <v>23</v>
      </c>
      <c r="B494">
        <v>6.6363636363636364E-3</v>
      </c>
    </row>
    <row r="495" spans="1:2" hidden="1" x14ac:dyDescent="0.3">
      <c r="A495" s="1" t="s">
        <v>23</v>
      </c>
      <c r="B495">
        <v>6.6666666666666662E-3</v>
      </c>
    </row>
    <row r="496" spans="1:2" hidden="1" x14ac:dyDescent="0.3">
      <c r="A496" s="1" t="s">
        <v>23</v>
      </c>
      <c r="B496">
        <v>6.6969696969696969E-3</v>
      </c>
    </row>
    <row r="497" spans="1:2" hidden="1" x14ac:dyDescent="0.3">
      <c r="A497" s="1" t="s">
        <v>23</v>
      </c>
      <c r="B497">
        <v>6.7272727272727276E-3</v>
      </c>
    </row>
    <row r="498" spans="1:2" hidden="1" x14ac:dyDescent="0.3">
      <c r="A498" s="1" t="s">
        <v>23</v>
      </c>
      <c r="B498">
        <v>6.7575757575757574E-3</v>
      </c>
    </row>
    <row r="499" spans="1:2" hidden="1" x14ac:dyDescent="0.3">
      <c r="A499" s="1" t="s">
        <v>23</v>
      </c>
      <c r="B499">
        <v>6.787878787878788E-3</v>
      </c>
    </row>
    <row r="500" spans="1:2" hidden="1" x14ac:dyDescent="0.3">
      <c r="A500" s="1" t="s">
        <v>23</v>
      </c>
      <c r="B500">
        <v>6.8181818181818187E-3</v>
      </c>
    </row>
    <row r="501" spans="1:2" hidden="1" x14ac:dyDescent="0.3">
      <c r="A501" s="1" t="s">
        <v>23</v>
      </c>
      <c r="B501">
        <v>6.8484848484848494E-3</v>
      </c>
    </row>
    <row r="502" spans="1:2" hidden="1" x14ac:dyDescent="0.3">
      <c r="A502" s="1" t="s">
        <v>23</v>
      </c>
      <c r="B502">
        <v>6.8787878787878783E-3</v>
      </c>
    </row>
    <row r="503" spans="1:2" hidden="1" x14ac:dyDescent="0.3">
      <c r="A503" s="1" t="s">
        <v>23</v>
      </c>
      <c r="B503">
        <v>6.909090909090909E-3</v>
      </c>
    </row>
    <row r="504" spans="1:2" hidden="1" x14ac:dyDescent="0.3">
      <c r="A504" s="1" t="s">
        <v>23</v>
      </c>
      <c r="B504">
        <v>6.9393939393939397E-3</v>
      </c>
    </row>
    <row r="505" spans="1:2" hidden="1" x14ac:dyDescent="0.3">
      <c r="A505" s="1" t="s">
        <v>23</v>
      </c>
      <c r="B505">
        <v>6.9696969696969686E-3</v>
      </c>
    </row>
    <row r="506" spans="1:2" hidden="1" x14ac:dyDescent="0.3">
      <c r="A506" s="1" t="s">
        <v>23</v>
      </c>
      <c r="B506">
        <v>7.0000000000000001E-3</v>
      </c>
    </row>
    <row r="507" spans="1:2" hidden="1" x14ac:dyDescent="0.3">
      <c r="A507" s="1" t="s">
        <v>24</v>
      </c>
      <c r="B507">
        <v>0</v>
      </c>
    </row>
    <row r="508" spans="1:2" hidden="1" x14ac:dyDescent="0.3">
      <c r="A508" s="1" t="s">
        <v>24</v>
      </c>
      <c r="B508">
        <v>7.9899999999999999E-2</v>
      </c>
    </row>
    <row r="509" spans="1:2" hidden="1" x14ac:dyDescent="0.3">
      <c r="A509" s="1" t="s">
        <v>24</v>
      </c>
      <c r="B509">
        <v>8.0506060606060609E-2</v>
      </c>
    </row>
    <row r="510" spans="1:2" hidden="1" x14ac:dyDescent="0.3">
      <c r="A510" s="1" t="s">
        <v>24</v>
      </c>
      <c r="B510">
        <v>8.1112121212121205E-2</v>
      </c>
    </row>
    <row r="511" spans="1:2" hidden="1" x14ac:dyDescent="0.3">
      <c r="A511" s="1" t="s">
        <v>24</v>
      </c>
      <c r="B511">
        <v>8.1718181818181815E-2</v>
      </c>
    </row>
    <row r="512" spans="1:2" hidden="1" x14ac:dyDescent="0.3">
      <c r="A512" s="1" t="s">
        <v>24</v>
      </c>
      <c r="B512">
        <v>8.2324242424242425E-2</v>
      </c>
    </row>
    <row r="513" spans="1:2" hidden="1" x14ac:dyDescent="0.3">
      <c r="A513" s="1" t="s">
        <v>24</v>
      </c>
      <c r="B513">
        <v>8.2930303030303035E-2</v>
      </c>
    </row>
    <row r="514" spans="1:2" hidden="1" x14ac:dyDescent="0.3">
      <c r="A514" s="1" t="s">
        <v>24</v>
      </c>
      <c r="B514">
        <v>8.3536363636363631E-2</v>
      </c>
    </row>
    <row r="515" spans="1:2" hidden="1" x14ac:dyDescent="0.3">
      <c r="A515" s="1" t="s">
        <v>24</v>
      </c>
      <c r="B515">
        <v>8.4142424242424241E-2</v>
      </c>
    </row>
    <row r="516" spans="1:2" hidden="1" x14ac:dyDescent="0.3">
      <c r="A516" s="1" t="s">
        <v>24</v>
      </c>
      <c r="B516">
        <v>8.4748484848484851E-2</v>
      </c>
    </row>
    <row r="517" spans="1:2" hidden="1" x14ac:dyDescent="0.3">
      <c r="A517" s="1" t="s">
        <v>24</v>
      </c>
      <c r="B517">
        <v>8.5354545454545461E-2</v>
      </c>
    </row>
    <row r="518" spans="1:2" hidden="1" x14ac:dyDescent="0.3">
      <c r="A518" s="1" t="s">
        <v>24</v>
      </c>
      <c r="B518">
        <v>8.5960606060606057E-2</v>
      </c>
    </row>
    <row r="519" spans="1:2" hidden="1" x14ac:dyDescent="0.3">
      <c r="A519" s="1" t="s">
        <v>24</v>
      </c>
      <c r="B519">
        <v>8.6566666666666667E-2</v>
      </c>
    </row>
    <row r="520" spans="1:2" hidden="1" x14ac:dyDescent="0.3">
      <c r="A520" s="1" t="s">
        <v>24</v>
      </c>
      <c r="B520">
        <v>8.7172727272727277E-2</v>
      </c>
    </row>
    <row r="521" spans="1:2" hidden="1" x14ac:dyDescent="0.3">
      <c r="A521" s="1" t="s">
        <v>24</v>
      </c>
      <c r="B521">
        <v>8.7778787878787873E-2</v>
      </c>
    </row>
    <row r="522" spans="1:2" hidden="1" x14ac:dyDescent="0.3">
      <c r="A522" s="1" t="s">
        <v>24</v>
      </c>
      <c r="B522">
        <v>8.8384848484848483E-2</v>
      </c>
    </row>
    <row r="523" spans="1:2" hidden="1" x14ac:dyDescent="0.3">
      <c r="A523" s="1" t="s">
        <v>24</v>
      </c>
      <c r="B523">
        <v>8.8990909090909093E-2</v>
      </c>
    </row>
    <row r="524" spans="1:2" hidden="1" x14ac:dyDescent="0.3">
      <c r="A524" s="1" t="s">
        <v>24</v>
      </c>
      <c r="B524">
        <v>8.9596969696969703E-2</v>
      </c>
    </row>
    <row r="525" spans="1:2" hidden="1" x14ac:dyDescent="0.3">
      <c r="A525" s="1" t="s">
        <v>24</v>
      </c>
      <c r="B525">
        <v>9.0203030303030299E-2</v>
      </c>
    </row>
    <row r="526" spans="1:2" hidden="1" x14ac:dyDescent="0.3">
      <c r="A526" s="1" t="s">
        <v>24</v>
      </c>
      <c r="B526">
        <v>9.0809090909090909E-2</v>
      </c>
    </row>
    <row r="527" spans="1:2" hidden="1" x14ac:dyDescent="0.3">
      <c r="A527" s="1" t="s">
        <v>24</v>
      </c>
      <c r="B527">
        <v>9.1415151515151519E-2</v>
      </c>
    </row>
    <row r="528" spans="1:2" hidden="1" x14ac:dyDescent="0.3">
      <c r="A528" s="1" t="s">
        <v>24</v>
      </c>
      <c r="B528">
        <v>9.2021212121212115E-2</v>
      </c>
    </row>
    <row r="529" spans="1:2" hidden="1" x14ac:dyDescent="0.3">
      <c r="A529" s="1" t="s">
        <v>24</v>
      </c>
      <c r="B529">
        <v>9.2627272727272725E-2</v>
      </c>
    </row>
    <row r="530" spans="1:2" hidden="1" x14ac:dyDescent="0.3">
      <c r="A530" s="1" t="s">
        <v>24</v>
      </c>
      <c r="B530">
        <v>9.3233333333333335E-2</v>
      </c>
    </row>
    <row r="531" spans="1:2" hidden="1" x14ac:dyDescent="0.3">
      <c r="A531" s="1" t="s">
        <v>24</v>
      </c>
      <c r="B531">
        <v>9.3839393939393945E-2</v>
      </c>
    </row>
    <row r="532" spans="1:2" hidden="1" x14ac:dyDescent="0.3">
      <c r="A532" s="1" t="s">
        <v>24</v>
      </c>
      <c r="B532">
        <v>9.4445454545454541E-2</v>
      </c>
    </row>
    <row r="533" spans="1:2" hidden="1" x14ac:dyDescent="0.3">
      <c r="A533" s="1" t="s">
        <v>24</v>
      </c>
      <c r="B533">
        <v>9.5051515151515151E-2</v>
      </c>
    </row>
    <row r="534" spans="1:2" hidden="1" x14ac:dyDescent="0.3">
      <c r="A534" s="1" t="s">
        <v>24</v>
      </c>
      <c r="B534">
        <v>9.5657575757575761E-2</v>
      </c>
    </row>
    <row r="535" spans="1:2" hidden="1" x14ac:dyDescent="0.3">
      <c r="A535" s="1" t="s">
        <v>24</v>
      </c>
      <c r="B535">
        <v>9.6263636363636357E-2</v>
      </c>
    </row>
    <row r="536" spans="1:2" hidden="1" x14ac:dyDescent="0.3">
      <c r="A536" s="1" t="s">
        <v>24</v>
      </c>
      <c r="B536">
        <v>9.6869696969696967E-2</v>
      </c>
    </row>
    <row r="537" spans="1:2" hidden="1" x14ac:dyDescent="0.3">
      <c r="A537" s="1" t="s">
        <v>24</v>
      </c>
      <c r="B537">
        <v>9.7475757575757577E-2</v>
      </c>
    </row>
    <row r="538" spans="1:2" hidden="1" x14ac:dyDescent="0.3">
      <c r="A538" s="1" t="s">
        <v>24</v>
      </c>
      <c r="B538">
        <v>9.8081818181818187E-2</v>
      </c>
    </row>
    <row r="539" spans="1:2" hidden="1" x14ac:dyDescent="0.3">
      <c r="A539" s="1" t="s">
        <v>24</v>
      </c>
      <c r="B539">
        <v>9.8687878787878783E-2</v>
      </c>
    </row>
    <row r="540" spans="1:2" hidden="1" x14ac:dyDescent="0.3">
      <c r="A540" s="1" t="s">
        <v>24</v>
      </c>
      <c r="B540">
        <v>9.9293939393939393E-2</v>
      </c>
    </row>
    <row r="541" spans="1:2" hidden="1" x14ac:dyDescent="0.3">
      <c r="A541" s="1" t="s">
        <v>24</v>
      </c>
      <c r="B541">
        <v>9.9900000000000003E-2</v>
      </c>
    </row>
    <row r="542" spans="1:2" hidden="1" x14ac:dyDescent="0.3">
      <c r="A542" s="1" t="s">
        <v>24</v>
      </c>
      <c r="B542">
        <v>0.1005060606060606</v>
      </c>
    </row>
    <row r="543" spans="1:2" hidden="1" x14ac:dyDescent="0.3">
      <c r="A543" s="1" t="s">
        <v>24</v>
      </c>
      <c r="B543">
        <v>0.10111212121212119</v>
      </c>
    </row>
    <row r="544" spans="1:2" hidden="1" x14ac:dyDescent="0.3">
      <c r="A544" s="1" t="s">
        <v>24</v>
      </c>
      <c r="B544">
        <v>0.1017181818181818</v>
      </c>
    </row>
    <row r="545" spans="1:2" hidden="1" x14ac:dyDescent="0.3">
      <c r="A545" s="1" t="s">
        <v>24</v>
      </c>
      <c r="B545">
        <v>0.1023242424242424</v>
      </c>
    </row>
    <row r="546" spans="1:2" hidden="1" x14ac:dyDescent="0.3">
      <c r="A546" s="1" t="s">
        <v>24</v>
      </c>
      <c r="B546">
        <v>0.102930303030303</v>
      </c>
    </row>
    <row r="547" spans="1:2" hidden="1" x14ac:dyDescent="0.3">
      <c r="A547" s="1" t="s">
        <v>24</v>
      </c>
      <c r="B547">
        <v>0.10353636363636359</v>
      </c>
    </row>
    <row r="548" spans="1:2" hidden="1" x14ac:dyDescent="0.3">
      <c r="A548" s="1" t="s">
        <v>24</v>
      </c>
      <c r="B548">
        <v>0.1041424242424242</v>
      </c>
    </row>
    <row r="549" spans="1:2" hidden="1" x14ac:dyDescent="0.3">
      <c r="A549" s="1" t="s">
        <v>24</v>
      </c>
      <c r="B549">
        <v>0.1047484848484848</v>
      </c>
    </row>
    <row r="550" spans="1:2" hidden="1" x14ac:dyDescent="0.3">
      <c r="A550" s="1" t="s">
        <v>24</v>
      </c>
      <c r="B550">
        <v>0.10535454545454551</v>
      </c>
    </row>
    <row r="551" spans="1:2" hidden="1" x14ac:dyDescent="0.3">
      <c r="A551" s="1" t="s">
        <v>24</v>
      </c>
      <c r="B551">
        <v>0.1059606060606061</v>
      </c>
    </row>
    <row r="552" spans="1:2" hidden="1" x14ac:dyDescent="0.3">
      <c r="A552" s="1" t="s">
        <v>24</v>
      </c>
      <c r="B552">
        <v>0.1065666666666667</v>
      </c>
    </row>
    <row r="553" spans="1:2" hidden="1" x14ac:dyDescent="0.3">
      <c r="A553" s="1" t="s">
        <v>24</v>
      </c>
      <c r="B553">
        <v>0.10717272727272729</v>
      </c>
    </row>
    <row r="554" spans="1:2" hidden="1" x14ac:dyDescent="0.3">
      <c r="A554" s="1" t="s">
        <v>24</v>
      </c>
      <c r="B554">
        <v>0.1077787878787879</v>
      </c>
    </row>
    <row r="555" spans="1:2" hidden="1" x14ac:dyDescent="0.3">
      <c r="A555" s="1" t="s">
        <v>24</v>
      </c>
      <c r="B555">
        <v>0.1083848484848485</v>
      </c>
    </row>
    <row r="556" spans="1:2" hidden="1" x14ac:dyDescent="0.3">
      <c r="A556" s="1" t="s">
        <v>24</v>
      </c>
      <c r="B556">
        <v>0.1089909090909091</v>
      </c>
    </row>
    <row r="557" spans="1:2" hidden="1" x14ac:dyDescent="0.3">
      <c r="A557" s="1" t="s">
        <v>24</v>
      </c>
      <c r="B557">
        <v>0.10959696969696971</v>
      </c>
    </row>
    <row r="558" spans="1:2" hidden="1" x14ac:dyDescent="0.3">
      <c r="A558" s="1" t="s">
        <v>24</v>
      </c>
      <c r="B558">
        <v>0.1102030303030303</v>
      </c>
    </row>
    <row r="559" spans="1:2" hidden="1" x14ac:dyDescent="0.3">
      <c r="A559" s="1" t="s">
        <v>24</v>
      </c>
      <c r="B559">
        <v>0.1108090909090909</v>
      </c>
    </row>
    <row r="560" spans="1:2" hidden="1" x14ac:dyDescent="0.3">
      <c r="A560" s="1" t="s">
        <v>24</v>
      </c>
      <c r="B560">
        <v>0.11141515151515149</v>
      </c>
    </row>
    <row r="561" spans="1:2" hidden="1" x14ac:dyDescent="0.3">
      <c r="A561" s="1" t="s">
        <v>24</v>
      </c>
      <c r="B561">
        <v>0.1120212121212121</v>
      </c>
    </row>
    <row r="562" spans="1:2" hidden="1" x14ac:dyDescent="0.3">
      <c r="A562" s="1" t="s">
        <v>24</v>
      </c>
      <c r="B562">
        <v>0.1126272727272727</v>
      </c>
    </row>
    <row r="563" spans="1:2" hidden="1" x14ac:dyDescent="0.3">
      <c r="A563" s="1" t="s">
        <v>24</v>
      </c>
      <c r="B563">
        <v>0.1132333333333333</v>
      </c>
    </row>
    <row r="564" spans="1:2" hidden="1" x14ac:dyDescent="0.3">
      <c r="A564" s="1" t="s">
        <v>24</v>
      </c>
      <c r="B564">
        <v>0.11383939393939391</v>
      </c>
    </row>
    <row r="565" spans="1:2" hidden="1" x14ac:dyDescent="0.3">
      <c r="A565" s="1" t="s">
        <v>24</v>
      </c>
      <c r="B565">
        <v>0.1144454545454545</v>
      </c>
    </row>
    <row r="566" spans="1:2" hidden="1" x14ac:dyDescent="0.3">
      <c r="A566" s="1" t="s">
        <v>24</v>
      </c>
      <c r="B566">
        <v>0.1150515151515152</v>
      </c>
    </row>
    <row r="567" spans="1:2" hidden="1" x14ac:dyDescent="0.3">
      <c r="A567" s="1" t="s">
        <v>24</v>
      </c>
      <c r="B567">
        <v>0.11565757575757581</v>
      </c>
    </row>
    <row r="568" spans="1:2" hidden="1" x14ac:dyDescent="0.3">
      <c r="A568" s="1" t="s">
        <v>24</v>
      </c>
      <c r="B568">
        <v>0.1162636363636364</v>
      </c>
    </row>
    <row r="569" spans="1:2" hidden="1" x14ac:dyDescent="0.3">
      <c r="A569" s="1" t="s">
        <v>24</v>
      </c>
      <c r="B569">
        <v>0.116869696969697</v>
      </c>
    </row>
    <row r="570" spans="1:2" hidden="1" x14ac:dyDescent="0.3">
      <c r="A570" s="1" t="s">
        <v>24</v>
      </c>
      <c r="B570">
        <v>0.11747575757575759</v>
      </c>
    </row>
    <row r="571" spans="1:2" hidden="1" x14ac:dyDescent="0.3">
      <c r="A571" s="1" t="s">
        <v>24</v>
      </c>
      <c r="B571">
        <v>0.1180818181818182</v>
      </c>
    </row>
    <row r="572" spans="1:2" hidden="1" x14ac:dyDescent="0.3">
      <c r="A572" s="1" t="s">
        <v>24</v>
      </c>
      <c r="B572">
        <v>0.1186878787878788</v>
      </c>
    </row>
    <row r="573" spans="1:2" hidden="1" x14ac:dyDescent="0.3">
      <c r="A573" s="1" t="s">
        <v>24</v>
      </c>
      <c r="B573">
        <v>0.1192939393939394</v>
      </c>
    </row>
    <row r="574" spans="1:2" hidden="1" x14ac:dyDescent="0.3">
      <c r="A574" s="1" t="s">
        <v>24</v>
      </c>
      <c r="B574">
        <v>0.11990000000000001</v>
      </c>
    </row>
    <row r="575" spans="1:2" hidden="1" x14ac:dyDescent="0.3">
      <c r="A575" s="1" t="s">
        <v>24</v>
      </c>
      <c r="B575">
        <v>0.1205060606060606</v>
      </c>
    </row>
    <row r="576" spans="1:2" hidden="1" x14ac:dyDescent="0.3">
      <c r="A576" s="1" t="s">
        <v>24</v>
      </c>
      <c r="B576">
        <v>0.1211121212121212</v>
      </c>
    </row>
    <row r="577" spans="1:2" hidden="1" x14ac:dyDescent="0.3">
      <c r="A577" s="1" t="s">
        <v>24</v>
      </c>
      <c r="B577">
        <v>0.12171818181818179</v>
      </c>
    </row>
    <row r="578" spans="1:2" hidden="1" x14ac:dyDescent="0.3">
      <c r="A578" s="1" t="s">
        <v>24</v>
      </c>
      <c r="B578">
        <v>0.1223242424242424</v>
      </c>
    </row>
    <row r="579" spans="1:2" hidden="1" x14ac:dyDescent="0.3">
      <c r="A579" s="1" t="s">
        <v>24</v>
      </c>
      <c r="B579">
        <v>0.122930303030303</v>
      </c>
    </row>
    <row r="580" spans="1:2" hidden="1" x14ac:dyDescent="0.3">
      <c r="A580" s="1" t="s">
        <v>24</v>
      </c>
      <c r="B580">
        <v>0.1235363636363636</v>
      </c>
    </row>
    <row r="581" spans="1:2" hidden="1" x14ac:dyDescent="0.3">
      <c r="A581" s="1" t="s">
        <v>24</v>
      </c>
      <c r="B581">
        <v>0.12414242424242421</v>
      </c>
    </row>
    <row r="582" spans="1:2" hidden="1" x14ac:dyDescent="0.3">
      <c r="A582" s="1" t="s">
        <v>24</v>
      </c>
      <c r="B582">
        <v>0.1247484848484848</v>
      </c>
    </row>
    <row r="583" spans="1:2" hidden="1" x14ac:dyDescent="0.3">
      <c r="A583" s="1" t="s">
        <v>24</v>
      </c>
      <c r="B583">
        <v>0.12535454545454541</v>
      </c>
    </row>
    <row r="584" spans="1:2" hidden="1" x14ac:dyDescent="0.3">
      <c r="A584" s="1" t="s">
        <v>24</v>
      </c>
      <c r="B584">
        <v>0.12596060606060611</v>
      </c>
    </row>
    <row r="585" spans="1:2" hidden="1" x14ac:dyDescent="0.3">
      <c r="A585" s="1" t="s">
        <v>24</v>
      </c>
      <c r="B585">
        <v>0.12656666666666669</v>
      </c>
    </row>
    <row r="586" spans="1:2" hidden="1" x14ac:dyDescent="0.3">
      <c r="A586" s="1" t="s">
        <v>24</v>
      </c>
      <c r="B586">
        <v>0.1271727272727273</v>
      </c>
    </row>
    <row r="587" spans="1:2" hidden="1" x14ac:dyDescent="0.3">
      <c r="A587" s="1" t="s">
        <v>24</v>
      </c>
      <c r="B587">
        <v>0.12777878787878791</v>
      </c>
    </row>
    <row r="588" spans="1:2" hidden="1" x14ac:dyDescent="0.3">
      <c r="A588" s="1" t="s">
        <v>24</v>
      </c>
      <c r="B588">
        <v>0.12838484848484849</v>
      </c>
    </row>
    <row r="589" spans="1:2" hidden="1" x14ac:dyDescent="0.3">
      <c r="A589" s="1" t="s">
        <v>24</v>
      </c>
      <c r="B589">
        <v>0.1289909090909091</v>
      </c>
    </row>
    <row r="590" spans="1:2" hidden="1" x14ac:dyDescent="0.3">
      <c r="A590" s="1" t="s">
        <v>24</v>
      </c>
      <c r="B590">
        <v>0.12959696969696971</v>
      </c>
    </row>
    <row r="591" spans="1:2" hidden="1" x14ac:dyDescent="0.3">
      <c r="A591" s="1" t="s">
        <v>24</v>
      </c>
      <c r="B591">
        <v>0.13020303030303029</v>
      </c>
    </row>
    <row r="592" spans="1:2" hidden="1" x14ac:dyDescent="0.3">
      <c r="A592" s="1" t="s">
        <v>24</v>
      </c>
      <c r="B592">
        <v>0.1308090909090909</v>
      </c>
    </row>
    <row r="593" spans="1:2" hidden="1" x14ac:dyDescent="0.3">
      <c r="A593" s="1" t="s">
        <v>24</v>
      </c>
      <c r="B593">
        <v>0.13141515151515151</v>
      </c>
    </row>
    <row r="594" spans="1:2" hidden="1" x14ac:dyDescent="0.3">
      <c r="A594" s="1" t="s">
        <v>24</v>
      </c>
      <c r="B594">
        <v>0.13202121212121209</v>
      </c>
    </row>
    <row r="595" spans="1:2" hidden="1" x14ac:dyDescent="0.3">
      <c r="A595" s="1" t="s">
        <v>24</v>
      </c>
      <c r="B595">
        <v>0.1326272727272727</v>
      </c>
    </row>
    <row r="596" spans="1:2" hidden="1" x14ac:dyDescent="0.3">
      <c r="A596" s="1" t="s">
        <v>24</v>
      </c>
      <c r="B596">
        <v>0.13323333333333329</v>
      </c>
    </row>
    <row r="597" spans="1:2" hidden="1" x14ac:dyDescent="0.3">
      <c r="A597" s="1" t="s">
        <v>24</v>
      </c>
      <c r="B597">
        <v>0.1338393939393939</v>
      </c>
    </row>
    <row r="598" spans="1:2" hidden="1" x14ac:dyDescent="0.3">
      <c r="A598" s="1" t="s">
        <v>24</v>
      </c>
      <c r="B598">
        <v>0.13444545454545451</v>
      </c>
    </row>
    <row r="599" spans="1:2" hidden="1" x14ac:dyDescent="0.3">
      <c r="A599" s="1" t="s">
        <v>24</v>
      </c>
      <c r="B599">
        <v>0.13505151515151509</v>
      </c>
    </row>
    <row r="600" spans="1:2" hidden="1" x14ac:dyDescent="0.3">
      <c r="A600" s="1" t="s">
        <v>24</v>
      </c>
      <c r="B600">
        <v>0.13565757575757581</v>
      </c>
    </row>
    <row r="601" spans="1:2" hidden="1" x14ac:dyDescent="0.3">
      <c r="A601" s="1" t="s">
        <v>24</v>
      </c>
      <c r="B601">
        <v>0.13626363636363639</v>
      </c>
    </row>
    <row r="602" spans="1:2" hidden="1" x14ac:dyDescent="0.3">
      <c r="A602" s="1" t="s">
        <v>24</v>
      </c>
      <c r="B602">
        <v>0.136869696969697</v>
      </c>
    </row>
    <row r="603" spans="1:2" hidden="1" x14ac:dyDescent="0.3">
      <c r="A603" s="1" t="s">
        <v>24</v>
      </c>
      <c r="B603">
        <v>0.13747575757575761</v>
      </c>
    </row>
    <row r="604" spans="1:2" hidden="1" x14ac:dyDescent="0.3">
      <c r="A604" s="1" t="s">
        <v>24</v>
      </c>
      <c r="B604">
        <v>0.13808181818181819</v>
      </c>
    </row>
    <row r="605" spans="1:2" hidden="1" x14ac:dyDescent="0.3">
      <c r="A605" s="1" t="s">
        <v>24</v>
      </c>
      <c r="B605">
        <v>0.1386878787878788</v>
      </c>
    </row>
    <row r="606" spans="1:2" hidden="1" x14ac:dyDescent="0.3">
      <c r="A606" s="1" t="s">
        <v>24</v>
      </c>
      <c r="B606">
        <v>0.13929393939393939</v>
      </c>
    </row>
    <row r="607" spans="1:2" hidden="1" x14ac:dyDescent="0.3">
      <c r="A607" s="1" t="s">
        <v>24</v>
      </c>
      <c r="B607">
        <v>0.1399</v>
      </c>
    </row>
    <row r="608" spans="1:2" hidden="1" x14ac:dyDescent="0.3">
      <c r="A608" s="1" t="s">
        <v>25</v>
      </c>
      <c r="B608">
        <v>0</v>
      </c>
    </row>
    <row r="609" spans="1:2" hidden="1" x14ac:dyDescent="0.3">
      <c r="A609" s="1" t="s">
        <v>25</v>
      </c>
      <c r="B609">
        <v>0</v>
      </c>
    </row>
    <row r="610" spans="1:2" hidden="1" x14ac:dyDescent="0.3">
      <c r="A610" s="1" t="s">
        <v>25</v>
      </c>
      <c r="B610">
        <v>2.3939393939393939E-4</v>
      </c>
    </row>
    <row r="611" spans="1:2" hidden="1" x14ac:dyDescent="0.3">
      <c r="A611" s="1" t="s">
        <v>25</v>
      </c>
      <c r="B611">
        <v>4.7878787878787878E-4</v>
      </c>
    </row>
    <row r="612" spans="1:2" hidden="1" x14ac:dyDescent="0.3">
      <c r="A612" s="1" t="s">
        <v>25</v>
      </c>
      <c r="B612">
        <v>7.1818181818181811E-4</v>
      </c>
    </row>
    <row r="613" spans="1:2" hidden="1" x14ac:dyDescent="0.3">
      <c r="A613" s="1" t="s">
        <v>25</v>
      </c>
      <c r="B613">
        <v>9.5757575757575756E-4</v>
      </c>
    </row>
    <row r="614" spans="1:2" hidden="1" x14ac:dyDescent="0.3">
      <c r="A614" s="1" t="s">
        <v>25</v>
      </c>
      <c r="B614">
        <v>1.196969696969697E-3</v>
      </c>
    </row>
    <row r="615" spans="1:2" hidden="1" x14ac:dyDescent="0.3">
      <c r="A615" s="1" t="s">
        <v>25</v>
      </c>
      <c r="B615">
        <v>1.436363636363636E-3</v>
      </c>
    </row>
    <row r="616" spans="1:2" hidden="1" x14ac:dyDescent="0.3">
      <c r="A616" s="1" t="s">
        <v>25</v>
      </c>
      <c r="B616">
        <v>1.6757575757575761E-3</v>
      </c>
    </row>
    <row r="617" spans="1:2" hidden="1" x14ac:dyDescent="0.3">
      <c r="A617" s="1" t="s">
        <v>25</v>
      </c>
      <c r="B617">
        <v>1.9151515151515149E-3</v>
      </c>
    </row>
    <row r="618" spans="1:2" hidden="1" x14ac:dyDescent="0.3">
      <c r="A618" s="1" t="s">
        <v>25</v>
      </c>
      <c r="B618">
        <v>2.154545454545455E-3</v>
      </c>
    </row>
    <row r="619" spans="1:2" hidden="1" x14ac:dyDescent="0.3">
      <c r="A619" s="1" t="s">
        <v>25</v>
      </c>
      <c r="B619">
        <v>2.393939393939394E-3</v>
      </c>
    </row>
    <row r="620" spans="1:2" hidden="1" x14ac:dyDescent="0.3">
      <c r="A620" s="1" t="s">
        <v>25</v>
      </c>
      <c r="B620">
        <v>2.633333333333333E-3</v>
      </c>
    </row>
    <row r="621" spans="1:2" hidden="1" x14ac:dyDescent="0.3">
      <c r="A621" s="1" t="s">
        <v>25</v>
      </c>
      <c r="B621">
        <v>2.872727272727272E-3</v>
      </c>
    </row>
    <row r="622" spans="1:2" hidden="1" x14ac:dyDescent="0.3">
      <c r="A622" s="1" t="s">
        <v>25</v>
      </c>
      <c r="B622">
        <v>3.1121212121212119E-3</v>
      </c>
    </row>
    <row r="623" spans="1:2" hidden="1" x14ac:dyDescent="0.3">
      <c r="A623" s="1" t="s">
        <v>25</v>
      </c>
      <c r="B623">
        <v>3.3515151515151509E-3</v>
      </c>
    </row>
    <row r="624" spans="1:2" hidden="1" x14ac:dyDescent="0.3">
      <c r="A624" s="1" t="s">
        <v>25</v>
      </c>
      <c r="B624">
        <v>3.5909090909090908E-3</v>
      </c>
    </row>
    <row r="625" spans="1:2" hidden="1" x14ac:dyDescent="0.3">
      <c r="A625" s="1" t="s">
        <v>25</v>
      </c>
      <c r="B625">
        <v>3.8303030303030298E-3</v>
      </c>
    </row>
    <row r="626" spans="1:2" hidden="1" x14ac:dyDescent="0.3">
      <c r="A626" s="1" t="s">
        <v>25</v>
      </c>
      <c r="B626">
        <v>4.0696969696969697E-3</v>
      </c>
    </row>
    <row r="627" spans="1:2" hidden="1" x14ac:dyDescent="0.3">
      <c r="A627" s="1" t="s">
        <v>25</v>
      </c>
      <c r="B627">
        <v>4.3090909090909091E-3</v>
      </c>
    </row>
    <row r="628" spans="1:2" hidden="1" x14ac:dyDescent="0.3">
      <c r="A628" s="1" t="s">
        <v>25</v>
      </c>
      <c r="B628">
        <v>4.5484848484848494E-3</v>
      </c>
    </row>
    <row r="629" spans="1:2" hidden="1" x14ac:dyDescent="0.3">
      <c r="A629" s="1" t="s">
        <v>25</v>
      </c>
      <c r="B629">
        <v>4.787878787878788E-3</v>
      </c>
    </row>
    <row r="630" spans="1:2" hidden="1" x14ac:dyDescent="0.3">
      <c r="A630" s="1" t="s">
        <v>25</v>
      </c>
      <c r="B630">
        <v>5.0272727272727266E-3</v>
      </c>
    </row>
    <row r="631" spans="1:2" hidden="1" x14ac:dyDescent="0.3">
      <c r="A631" s="1" t="s">
        <v>25</v>
      </c>
      <c r="B631">
        <v>5.2666666666666669E-3</v>
      </c>
    </row>
    <row r="632" spans="1:2" hidden="1" x14ac:dyDescent="0.3">
      <c r="A632" s="1" t="s">
        <v>25</v>
      </c>
      <c r="B632">
        <v>5.5060606060606063E-3</v>
      </c>
    </row>
    <row r="633" spans="1:2" hidden="1" x14ac:dyDescent="0.3">
      <c r="A633" s="1" t="s">
        <v>25</v>
      </c>
      <c r="B633">
        <v>5.7454545454545449E-3</v>
      </c>
    </row>
    <row r="634" spans="1:2" hidden="1" x14ac:dyDescent="0.3">
      <c r="A634" s="1" t="s">
        <v>25</v>
      </c>
      <c r="B634">
        <v>5.9848484848484844E-3</v>
      </c>
    </row>
    <row r="635" spans="1:2" hidden="1" x14ac:dyDescent="0.3">
      <c r="A635" s="1" t="s">
        <v>25</v>
      </c>
      <c r="B635">
        <v>6.2242424242424238E-3</v>
      </c>
    </row>
    <row r="636" spans="1:2" hidden="1" x14ac:dyDescent="0.3">
      <c r="A636" s="1" t="s">
        <v>25</v>
      </c>
      <c r="B636">
        <v>6.4636363636363632E-3</v>
      </c>
    </row>
    <row r="637" spans="1:2" hidden="1" x14ac:dyDescent="0.3">
      <c r="A637" s="1" t="s">
        <v>25</v>
      </c>
      <c r="B637">
        <v>6.7030303030303027E-3</v>
      </c>
    </row>
    <row r="638" spans="1:2" hidden="1" x14ac:dyDescent="0.3">
      <c r="A638" s="1" t="s">
        <v>25</v>
      </c>
      <c r="B638">
        <v>6.9424242424242421E-3</v>
      </c>
    </row>
    <row r="639" spans="1:2" hidden="1" x14ac:dyDescent="0.3">
      <c r="A639" s="1" t="s">
        <v>25</v>
      </c>
      <c r="B639">
        <v>7.1818181818181816E-3</v>
      </c>
    </row>
    <row r="640" spans="1:2" hidden="1" x14ac:dyDescent="0.3">
      <c r="A640" s="1" t="s">
        <v>25</v>
      </c>
      <c r="B640">
        <v>7.421212121212121E-3</v>
      </c>
    </row>
    <row r="641" spans="1:2" hidden="1" x14ac:dyDescent="0.3">
      <c r="A641" s="1" t="s">
        <v>25</v>
      </c>
      <c r="B641">
        <v>7.6606060606060596E-3</v>
      </c>
    </row>
    <row r="642" spans="1:2" hidden="1" x14ac:dyDescent="0.3">
      <c r="A642" s="1" t="s">
        <v>25</v>
      </c>
      <c r="B642">
        <v>7.899999999999999E-3</v>
      </c>
    </row>
    <row r="643" spans="1:2" hidden="1" x14ac:dyDescent="0.3">
      <c r="A643" s="1" t="s">
        <v>25</v>
      </c>
      <c r="B643">
        <v>8.1393939393939393E-3</v>
      </c>
    </row>
    <row r="644" spans="1:2" hidden="1" x14ac:dyDescent="0.3">
      <c r="A644" s="1" t="s">
        <v>25</v>
      </c>
      <c r="B644">
        <v>8.3787878787878779E-3</v>
      </c>
    </row>
    <row r="645" spans="1:2" hidden="1" x14ac:dyDescent="0.3">
      <c r="A645" s="1" t="s">
        <v>25</v>
      </c>
      <c r="B645">
        <v>8.6181818181818182E-3</v>
      </c>
    </row>
    <row r="646" spans="1:2" hidden="1" x14ac:dyDescent="0.3">
      <c r="A646" s="1" t="s">
        <v>25</v>
      </c>
      <c r="B646">
        <v>8.8575757575757568E-3</v>
      </c>
    </row>
    <row r="647" spans="1:2" hidden="1" x14ac:dyDescent="0.3">
      <c r="A647" s="1" t="s">
        <v>25</v>
      </c>
      <c r="B647">
        <v>9.0969696969696971E-3</v>
      </c>
    </row>
    <row r="648" spans="1:2" hidden="1" x14ac:dyDescent="0.3">
      <c r="A648" s="1" t="s">
        <v>25</v>
      </c>
      <c r="B648">
        <v>9.3363636363636357E-3</v>
      </c>
    </row>
    <row r="649" spans="1:2" hidden="1" x14ac:dyDescent="0.3">
      <c r="A649" s="1" t="s">
        <v>25</v>
      </c>
      <c r="B649">
        <v>9.575757575757576E-3</v>
      </c>
    </row>
    <row r="650" spans="1:2" hidden="1" x14ac:dyDescent="0.3">
      <c r="A650" s="1" t="s">
        <v>25</v>
      </c>
      <c r="B650">
        <v>9.8151515151515146E-3</v>
      </c>
    </row>
    <row r="651" spans="1:2" hidden="1" x14ac:dyDescent="0.3">
      <c r="A651" s="1" t="s">
        <v>25</v>
      </c>
      <c r="B651">
        <v>1.005454545454545E-2</v>
      </c>
    </row>
    <row r="652" spans="1:2" hidden="1" x14ac:dyDescent="0.3">
      <c r="A652" s="1" t="s">
        <v>25</v>
      </c>
      <c r="B652">
        <v>1.029393939393939E-2</v>
      </c>
    </row>
    <row r="653" spans="1:2" hidden="1" x14ac:dyDescent="0.3">
      <c r="A653" s="1" t="s">
        <v>25</v>
      </c>
      <c r="B653">
        <v>1.053333333333333E-2</v>
      </c>
    </row>
    <row r="654" spans="1:2" hidden="1" x14ac:dyDescent="0.3">
      <c r="A654" s="1" t="s">
        <v>25</v>
      </c>
      <c r="B654">
        <v>1.0772727272727271E-2</v>
      </c>
    </row>
    <row r="655" spans="1:2" hidden="1" x14ac:dyDescent="0.3">
      <c r="A655" s="1" t="s">
        <v>25</v>
      </c>
      <c r="B655">
        <v>1.1012121212121209E-2</v>
      </c>
    </row>
    <row r="656" spans="1:2" hidden="1" x14ac:dyDescent="0.3">
      <c r="A656" s="1" t="s">
        <v>25</v>
      </c>
      <c r="B656">
        <v>1.125151515151515E-2</v>
      </c>
    </row>
    <row r="657" spans="1:2" hidden="1" x14ac:dyDescent="0.3">
      <c r="A657" s="1" t="s">
        <v>25</v>
      </c>
      <c r="B657">
        <v>1.149090909090909E-2</v>
      </c>
    </row>
    <row r="658" spans="1:2" hidden="1" x14ac:dyDescent="0.3">
      <c r="A658" s="1" t="s">
        <v>25</v>
      </c>
      <c r="B658">
        <v>1.173030303030303E-2</v>
      </c>
    </row>
    <row r="659" spans="1:2" hidden="1" x14ac:dyDescent="0.3">
      <c r="A659" s="1" t="s">
        <v>25</v>
      </c>
      <c r="B659">
        <v>1.196969696969697E-2</v>
      </c>
    </row>
    <row r="660" spans="1:2" hidden="1" x14ac:dyDescent="0.3">
      <c r="A660" s="1" t="s">
        <v>25</v>
      </c>
      <c r="B660">
        <v>1.2209090909090911E-2</v>
      </c>
    </row>
    <row r="661" spans="1:2" hidden="1" x14ac:dyDescent="0.3">
      <c r="A661" s="1" t="s">
        <v>25</v>
      </c>
      <c r="B661">
        <v>1.2448484848484849E-2</v>
      </c>
    </row>
    <row r="662" spans="1:2" hidden="1" x14ac:dyDescent="0.3">
      <c r="A662" s="1" t="s">
        <v>25</v>
      </c>
      <c r="B662">
        <v>1.268787878787879E-2</v>
      </c>
    </row>
    <row r="663" spans="1:2" hidden="1" x14ac:dyDescent="0.3">
      <c r="A663" s="1" t="s">
        <v>25</v>
      </c>
      <c r="B663">
        <v>1.292727272727273E-2</v>
      </c>
    </row>
    <row r="664" spans="1:2" hidden="1" x14ac:dyDescent="0.3">
      <c r="A664" s="1" t="s">
        <v>25</v>
      </c>
      <c r="B664">
        <v>1.316666666666667E-2</v>
      </c>
    </row>
    <row r="665" spans="1:2" hidden="1" x14ac:dyDescent="0.3">
      <c r="A665" s="1" t="s">
        <v>25</v>
      </c>
      <c r="B665">
        <v>1.3406060606060611E-2</v>
      </c>
    </row>
    <row r="666" spans="1:2" hidden="1" x14ac:dyDescent="0.3">
      <c r="A666" s="1" t="s">
        <v>25</v>
      </c>
      <c r="B666">
        <v>1.3645454545454549E-2</v>
      </c>
    </row>
    <row r="667" spans="1:2" hidden="1" x14ac:dyDescent="0.3">
      <c r="A667" s="1" t="s">
        <v>25</v>
      </c>
      <c r="B667">
        <v>1.3884848484848481E-2</v>
      </c>
    </row>
    <row r="668" spans="1:2" hidden="1" x14ac:dyDescent="0.3">
      <c r="A668" s="1" t="s">
        <v>25</v>
      </c>
      <c r="B668">
        <v>1.4124242424242419E-2</v>
      </c>
    </row>
    <row r="669" spans="1:2" hidden="1" x14ac:dyDescent="0.3">
      <c r="A669" s="1" t="s">
        <v>25</v>
      </c>
      <c r="B669">
        <v>1.436363636363636E-2</v>
      </c>
    </row>
    <row r="670" spans="1:2" hidden="1" x14ac:dyDescent="0.3">
      <c r="A670" s="1" t="s">
        <v>25</v>
      </c>
      <c r="B670">
        <v>1.46030303030303E-2</v>
      </c>
    </row>
    <row r="671" spans="1:2" hidden="1" x14ac:dyDescent="0.3">
      <c r="A671" s="1" t="s">
        <v>25</v>
      </c>
      <c r="B671">
        <v>1.484242424242424E-2</v>
      </c>
    </row>
    <row r="672" spans="1:2" hidden="1" x14ac:dyDescent="0.3">
      <c r="A672" s="1" t="s">
        <v>25</v>
      </c>
      <c r="B672">
        <v>1.5081818181818181E-2</v>
      </c>
    </row>
    <row r="673" spans="1:2" hidden="1" x14ac:dyDescent="0.3">
      <c r="A673" s="1" t="s">
        <v>25</v>
      </c>
      <c r="B673">
        <v>1.5321212121212119E-2</v>
      </c>
    </row>
    <row r="674" spans="1:2" hidden="1" x14ac:dyDescent="0.3">
      <c r="A674" s="1" t="s">
        <v>25</v>
      </c>
      <c r="B674">
        <v>1.5560606060606059E-2</v>
      </c>
    </row>
    <row r="675" spans="1:2" hidden="1" x14ac:dyDescent="0.3">
      <c r="A675" s="1" t="s">
        <v>25</v>
      </c>
      <c r="B675">
        <v>1.5800000000000002E-2</v>
      </c>
    </row>
    <row r="676" spans="1:2" hidden="1" x14ac:dyDescent="0.3">
      <c r="A676" s="1" t="s">
        <v>25</v>
      </c>
      <c r="B676">
        <v>1.603939393939394E-2</v>
      </c>
    </row>
    <row r="677" spans="1:2" hidden="1" x14ac:dyDescent="0.3">
      <c r="A677" s="1" t="s">
        <v>25</v>
      </c>
      <c r="B677">
        <v>1.6278787878787879E-2</v>
      </c>
    </row>
    <row r="678" spans="1:2" hidden="1" x14ac:dyDescent="0.3">
      <c r="A678" s="1" t="s">
        <v>25</v>
      </c>
      <c r="B678">
        <v>1.6518181818181821E-2</v>
      </c>
    </row>
    <row r="679" spans="1:2" hidden="1" x14ac:dyDescent="0.3">
      <c r="A679" s="1" t="s">
        <v>25</v>
      </c>
      <c r="B679">
        <v>1.6757575757575759E-2</v>
      </c>
    </row>
    <row r="680" spans="1:2" hidden="1" x14ac:dyDescent="0.3">
      <c r="A680" s="1" t="s">
        <v>25</v>
      </c>
      <c r="B680">
        <v>1.6996969696969701E-2</v>
      </c>
    </row>
    <row r="681" spans="1:2" hidden="1" x14ac:dyDescent="0.3">
      <c r="A681" s="1" t="s">
        <v>25</v>
      </c>
      <c r="B681">
        <v>1.723636363636364E-2</v>
      </c>
    </row>
    <row r="682" spans="1:2" hidden="1" x14ac:dyDescent="0.3">
      <c r="A682" s="1" t="s">
        <v>25</v>
      </c>
      <c r="B682">
        <v>1.7475757575757579E-2</v>
      </c>
    </row>
    <row r="683" spans="1:2" hidden="1" x14ac:dyDescent="0.3">
      <c r="A683" s="1" t="s">
        <v>25</v>
      </c>
      <c r="B683">
        <v>1.771515151515151E-2</v>
      </c>
    </row>
    <row r="684" spans="1:2" hidden="1" x14ac:dyDescent="0.3">
      <c r="A684" s="1" t="s">
        <v>25</v>
      </c>
      <c r="B684">
        <v>1.7954545454545459E-2</v>
      </c>
    </row>
    <row r="685" spans="1:2" hidden="1" x14ac:dyDescent="0.3">
      <c r="A685" s="1" t="s">
        <v>25</v>
      </c>
      <c r="B685">
        <v>1.8193939393939391E-2</v>
      </c>
    </row>
    <row r="686" spans="1:2" hidden="1" x14ac:dyDescent="0.3">
      <c r="A686" s="1" t="s">
        <v>25</v>
      </c>
      <c r="B686">
        <v>1.8433333333333329E-2</v>
      </c>
    </row>
    <row r="687" spans="1:2" hidden="1" x14ac:dyDescent="0.3">
      <c r="A687" s="1" t="s">
        <v>25</v>
      </c>
      <c r="B687">
        <v>1.8672727272727271E-2</v>
      </c>
    </row>
    <row r="688" spans="1:2" hidden="1" x14ac:dyDescent="0.3">
      <c r="A688" s="1" t="s">
        <v>25</v>
      </c>
      <c r="B688">
        <v>1.891212121212121E-2</v>
      </c>
    </row>
    <row r="689" spans="1:2" hidden="1" x14ac:dyDescent="0.3">
      <c r="A689" s="1" t="s">
        <v>25</v>
      </c>
      <c r="B689">
        <v>1.9151515151515149E-2</v>
      </c>
    </row>
    <row r="690" spans="1:2" hidden="1" x14ac:dyDescent="0.3">
      <c r="A690" s="1" t="s">
        <v>25</v>
      </c>
      <c r="B690">
        <v>1.9390909090909091E-2</v>
      </c>
    </row>
    <row r="691" spans="1:2" hidden="1" x14ac:dyDescent="0.3">
      <c r="A691" s="1" t="s">
        <v>25</v>
      </c>
      <c r="B691">
        <v>1.9630303030303029E-2</v>
      </c>
    </row>
    <row r="692" spans="1:2" hidden="1" x14ac:dyDescent="0.3">
      <c r="A692" s="1" t="s">
        <v>25</v>
      </c>
      <c r="B692">
        <v>1.9869696969696971E-2</v>
      </c>
    </row>
    <row r="693" spans="1:2" hidden="1" x14ac:dyDescent="0.3">
      <c r="A693" s="1" t="s">
        <v>25</v>
      </c>
      <c r="B693">
        <v>2.010909090909091E-2</v>
      </c>
    </row>
    <row r="694" spans="1:2" hidden="1" x14ac:dyDescent="0.3">
      <c r="A694" s="1" t="s">
        <v>25</v>
      </c>
      <c r="B694">
        <v>2.0348484848484848E-2</v>
      </c>
    </row>
    <row r="695" spans="1:2" hidden="1" x14ac:dyDescent="0.3">
      <c r="A695" s="1" t="s">
        <v>25</v>
      </c>
      <c r="B695">
        <v>2.058787878787879E-2</v>
      </c>
    </row>
    <row r="696" spans="1:2" hidden="1" x14ac:dyDescent="0.3">
      <c r="A696" s="1" t="s">
        <v>25</v>
      </c>
      <c r="B696">
        <v>2.0827272727272729E-2</v>
      </c>
    </row>
    <row r="697" spans="1:2" hidden="1" x14ac:dyDescent="0.3">
      <c r="A697" s="1" t="s">
        <v>25</v>
      </c>
      <c r="B697">
        <v>2.1066666666666671E-2</v>
      </c>
    </row>
    <row r="698" spans="1:2" hidden="1" x14ac:dyDescent="0.3">
      <c r="A698" s="1" t="s">
        <v>25</v>
      </c>
      <c r="B698">
        <v>2.130606060606061E-2</v>
      </c>
    </row>
    <row r="699" spans="1:2" hidden="1" x14ac:dyDescent="0.3">
      <c r="A699" s="1" t="s">
        <v>25</v>
      </c>
      <c r="B699">
        <v>2.1545454545454541E-2</v>
      </c>
    </row>
    <row r="700" spans="1:2" hidden="1" x14ac:dyDescent="0.3">
      <c r="A700" s="1" t="s">
        <v>25</v>
      </c>
      <c r="B700">
        <v>2.178484848484848E-2</v>
      </c>
    </row>
    <row r="701" spans="1:2" hidden="1" x14ac:dyDescent="0.3">
      <c r="A701" s="1" t="s">
        <v>25</v>
      </c>
      <c r="B701">
        <v>2.2024242424242429E-2</v>
      </c>
    </row>
    <row r="702" spans="1:2" hidden="1" x14ac:dyDescent="0.3">
      <c r="A702" s="1" t="s">
        <v>25</v>
      </c>
      <c r="B702">
        <v>2.226363636363636E-2</v>
      </c>
    </row>
    <row r="703" spans="1:2" hidden="1" x14ac:dyDescent="0.3">
      <c r="A703" s="1" t="s">
        <v>25</v>
      </c>
      <c r="B703">
        <v>2.2503030303030299E-2</v>
      </c>
    </row>
    <row r="704" spans="1:2" hidden="1" x14ac:dyDescent="0.3">
      <c r="A704" s="1" t="s">
        <v>25</v>
      </c>
      <c r="B704">
        <v>2.2742424242424241E-2</v>
      </c>
    </row>
    <row r="705" spans="1:2" hidden="1" x14ac:dyDescent="0.3">
      <c r="A705" s="1" t="s">
        <v>25</v>
      </c>
      <c r="B705">
        <v>2.298181818181818E-2</v>
      </c>
    </row>
    <row r="706" spans="1:2" hidden="1" x14ac:dyDescent="0.3">
      <c r="A706" s="1" t="s">
        <v>25</v>
      </c>
      <c r="B706">
        <v>2.3221212121212122E-2</v>
      </c>
    </row>
    <row r="707" spans="1:2" hidden="1" x14ac:dyDescent="0.3">
      <c r="A707" s="1" t="s">
        <v>25</v>
      </c>
      <c r="B707">
        <v>2.346060606060606E-2</v>
      </c>
    </row>
    <row r="708" spans="1:2" hidden="1" x14ac:dyDescent="0.3">
      <c r="A708" s="1" t="s">
        <v>25</v>
      </c>
      <c r="B708">
        <v>2.3699999999999999E-2</v>
      </c>
    </row>
    <row r="709" spans="1:2" hidden="1" x14ac:dyDescent="0.3">
      <c r="A709" s="1" t="s">
        <v>26</v>
      </c>
      <c r="B709">
        <v>0</v>
      </c>
    </row>
    <row r="710" spans="1:2" hidden="1" x14ac:dyDescent="0.3">
      <c r="A710" s="1" t="s">
        <v>26</v>
      </c>
      <c r="B710">
        <v>0</v>
      </c>
    </row>
    <row r="711" spans="1:2" hidden="1" x14ac:dyDescent="0.3">
      <c r="A711" s="1" t="s">
        <v>26</v>
      </c>
      <c r="B711">
        <v>1.0101010101010101E-3</v>
      </c>
    </row>
    <row r="712" spans="1:2" hidden="1" x14ac:dyDescent="0.3">
      <c r="A712" s="1" t="s">
        <v>26</v>
      </c>
      <c r="B712">
        <v>2.0202020202020202E-3</v>
      </c>
    </row>
    <row r="713" spans="1:2" hidden="1" x14ac:dyDescent="0.3">
      <c r="A713" s="1" t="s">
        <v>26</v>
      </c>
      <c r="B713">
        <v>3.0303030303030299E-3</v>
      </c>
    </row>
    <row r="714" spans="1:2" hidden="1" x14ac:dyDescent="0.3">
      <c r="A714" s="1" t="s">
        <v>26</v>
      </c>
      <c r="B714">
        <v>4.0404040404040404E-3</v>
      </c>
    </row>
    <row r="715" spans="1:2" hidden="1" x14ac:dyDescent="0.3">
      <c r="A715" s="1" t="s">
        <v>26</v>
      </c>
      <c r="B715">
        <v>5.0505050505050501E-3</v>
      </c>
    </row>
    <row r="716" spans="1:2" hidden="1" x14ac:dyDescent="0.3">
      <c r="A716" s="1" t="s">
        <v>26</v>
      </c>
      <c r="B716">
        <v>6.0606060606060606E-3</v>
      </c>
    </row>
    <row r="717" spans="1:2" hidden="1" x14ac:dyDescent="0.3">
      <c r="A717" s="1" t="s">
        <v>26</v>
      </c>
      <c r="B717">
        <v>7.0707070707070711E-3</v>
      </c>
    </row>
    <row r="718" spans="1:2" hidden="1" x14ac:dyDescent="0.3">
      <c r="A718" s="1" t="s">
        <v>26</v>
      </c>
      <c r="B718">
        <v>8.0808080808080808E-3</v>
      </c>
    </row>
    <row r="719" spans="1:2" hidden="1" x14ac:dyDescent="0.3">
      <c r="A719" s="1" t="s">
        <v>26</v>
      </c>
      <c r="B719">
        <v>9.0909090909090905E-3</v>
      </c>
    </row>
    <row r="720" spans="1:2" hidden="1" x14ac:dyDescent="0.3">
      <c r="A720" s="1" t="s">
        <v>26</v>
      </c>
      <c r="B720">
        <v>1.01010101010101E-2</v>
      </c>
    </row>
    <row r="721" spans="1:2" hidden="1" x14ac:dyDescent="0.3">
      <c r="A721" s="1" t="s">
        <v>26</v>
      </c>
      <c r="B721">
        <v>1.111111111111111E-2</v>
      </c>
    </row>
    <row r="722" spans="1:2" hidden="1" x14ac:dyDescent="0.3">
      <c r="A722" s="1" t="s">
        <v>26</v>
      </c>
      <c r="B722">
        <v>1.2121212121212119E-2</v>
      </c>
    </row>
    <row r="723" spans="1:2" hidden="1" x14ac:dyDescent="0.3">
      <c r="A723" s="1" t="s">
        <v>26</v>
      </c>
      <c r="B723">
        <v>1.3131313131313129E-2</v>
      </c>
    </row>
    <row r="724" spans="1:2" hidden="1" x14ac:dyDescent="0.3">
      <c r="A724" s="1" t="s">
        <v>26</v>
      </c>
      <c r="B724">
        <v>1.4141414141414141E-2</v>
      </c>
    </row>
    <row r="725" spans="1:2" hidden="1" x14ac:dyDescent="0.3">
      <c r="A725" s="1" t="s">
        <v>26</v>
      </c>
      <c r="B725">
        <v>1.515151515151515E-2</v>
      </c>
    </row>
    <row r="726" spans="1:2" hidden="1" x14ac:dyDescent="0.3">
      <c r="A726" s="1" t="s">
        <v>26</v>
      </c>
      <c r="B726">
        <v>1.6161616161616162E-2</v>
      </c>
    </row>
    <row r="727" spans="1:2" hidden="1" x14ac:dyDescent="0.3">
      <c r="A727" s="1" t="s">
        <v>26</v>
      </c>
      <c r="B727">
        <v>1.7171717171717171E-2</v>
      </c>
    </row>
    <row r="728" spans="1:2" hidden="1" x14ac:dyDescent="0.3">
      <c r="A728" s="1" t="s">
        <v>26</v>
      </c>
      <c r="B728">
        <v>1.8181818181818181E-2</v>
      </c>
    </row>
    <row r="729" spans="1:2" hidden="1" x14ac:dyDescent="0.3">
      <c r="A729" s="1" t="s">
        <v>26</v>
      </c>
      <c r="B729">
        <v>1.9191919191919191E-2</v>
      </c>
    </row>
    <row r="730" spans="1:2" hidden="1" x14ac:dyDescent="0.3">
      <c r="A730" s="1" t="s">
        <v>26</v>
      </c>
      <c r="B730">
        <v>2.02020202020202E-2</v>
      </c>
    </row>
    <row r="731" spans="1:2" hidden="1" x14ac:dyDescent="0.3">
      <c r="A731" s="1" t="s">
        <v>26</v>
      </c>
      <c r="B731">
        <v>2.121212121212121E-2</v>
      </c>
    </row>
    <row r="732" spans="1:2" hidden="1" x14ac:dyDescent="0.3">
      <c r="A732" s="1" t="s">
        <v>26</v>
      </c>
      <c r="B732">
        <v>2.222222222222222E-2</v>
      </c>
    </row>
    <row r="733" spans="1:2" hidden="1" x14ac:dyDescent="0.3">
      <c r="A733" s="1" t="s">
        <v>26</v>
      </c>
      <c r="B733">
        <v>2.3232323232323229E-2</v>
      </c>
    </row>
    <row r="734" spans="1:2" hidden="1" x14ac:dyDescent="0.3">
      <c r="A734" s="1" t="s">
        <v>26</v>
      </c>
      <c r="B734">
        <v>2.4242424242424239E-2</v>
      </c>
    </row>
    <row r="735" spans="1:2" hidden="1" x14ac:dyDescent="0.3">
      <c r="A735" s="1" t="s">
        <v>26</v>
      </c>
      <c r="B735">
        <v>2.5252525252525249E-2</v>
      </c>
    </row>
    <row r="736" spans="1:2" hidden="1" x14ac:dyDescent="0.3">
      <c r="A736" s="1" t="s">
        <v>26</v>
      </c>
      <c r="B736">
        <v>2.6262626262626258E-2</v>
      </c>
    </row>
    <row r="737" spans="1:2" hidden="1" x14ac:dyDescent="0.3">
      <c r="A737" s="1" t="s">
        <v>26</v>
      </c>
      <c r="B737">
        <v>2.7272727272727271E-2</v>
      </c>
    </row>
    <row r="738" spans="1:2" hidden="1" x14ac:dyDescent="0.3">
      <c r="A738" s="1" t="s">
        <v>26</v>
      </c>
      <c r="B738">
        <v>2.8282828282828281E-2</v>
      </c>
    </row>
    <row r="739" spans="1:2" hidden="1" x14ac:dyDescent="0.3">
      <c r="A739" s="1" t="s">
        <v>26</v>
      </c>
      <c r="B739">
        <v>2.9292929292929291E-2</v>
      </c>
    </row>
    <row r="740" spans="1:2" hidden="1" x14ac:dyDescent="0.3">
      <c r="A740" s="1" t="s">
        <v>26</v>
      </c>
      <c r="B740">
        <v>3.03030303030303E-2</v>
      </c>
    </row>
    <row r="741" spans="1:2" hidden="1" x14ac:dyDescent="0.3">
      <c r="A741" s="1" t="s">
        <v>26</v>
      </c>
      <c r="B741">
        <v>3.1313131313131307E-2</v>
      </c>
    </row>
    <row r="742" spans="1:2" hidden="1" x14ac:dyDescent="0.3">
      <c r="A742" s="1" t="s">
        <v>26</v>
      </c>
      <c r="B742">
        <v>3.2323232323232323E-2</v>
      </c>
    </row>
    <row r="743" spans="1:2" hidden="1" x14ac:dyDescent="0.3">
      <c r="A743" s="1" t="s">
        <v>26</v>
      </c>
      <c r="B743">
        <v>3.3333333333333333E-2</v>
      </c>
    </row>
    <row r="744" spans="1:2" hidden="1" x14ac:dyDescent="0.3">
      <c r="A744" s="1" t="s">
        <v>26</v>
      </c>
      <c r="B744">
        <v>3.4343434343434343E-2</v>
      </c>
    </row>
    <row r="745" spans="1:2" hidden="1" x14ac:dyDescent="0.3">
      <c r="A745" s="1" t="s">
        <v>26</v>
      </c>
      <c r="B745">
        <v>3.5353535353535352E-2</v>
      </c>
    </row>
    <row r="746" spans="1:2" hidden="1" x14ac:dyDescent="0.3">
      <c r="A746" s="1" t="s">
        <v>26</v>
      </c>
      <c r="B746">
        <v>3.6363636363636362E-2</v>
      </c>
    </row>
    <row r="747" spans="1:2" hidden="1" x14ac:dyDescent="0.3">
      <c r="A747" s="1" t="s">
        <v>26</v>
      </c>
      <c r="B747">
        <v>3.7373737373737372E-2</v>
      </c>
    </row>
    <row r="748" spans="1:2" hidden="1" x14ac:dyDescent="0.3">
      <c r="A748" s="1" t="s">
        <v>26</v>
      </c>
      <c r="B748">
        <v>3.8383838383838381E-2</v>
      </c>
    </row>
    <row r="749" spans="1:2" hidden="1" x14ac:dyDescent="0.3">
      <c r="A749" s="1" t="s">
        <v>26</v>
      </c>
      <c r="B749">
        <v>3.9393939393939391E-2</v>
      </c>
    </row>
    <row r="750" spans="1:2" hidden="1" x14ac:dyDescent="0.3">
      <c r="A750" s="1" t="s">
        <v>26</v>
      </c>
      <c r="B750">
        <v>4.0404040404040401E-2</v>
      </c>
    </row>
    <row r="751" spans="1:2" hidden="1" x14ac:dyDescent="0.3">
      <c r="A751" s="1" t="s">
        <v>26</v>
      </c>
      <c r="B751">
        <v>4.1414141414141417E-2</v>
      </c>
    </row>
    <row r="752" spans="1:2" hidden="1" x14ac:dyDescent="0.3">
      <c r="A752" s="1" t="s">
        <v>26</v>
      </c>
      <c r="B752">
        <v>4.2424242424242427E-2</v>
      </c>
    </row>
    <row r="753" spans="1:2" hidden="1" x14ac:dyDescent="0.3">
      <c r="A753" s="1" t="s">
        <v>26</v>
      </c>
      <c r="B753">
        <v>4.3434343434343443E-2</v>
      </c>
    </row>
    <row r="754" spans="1:2" hidden="1" x14ac:dyDescent="0.3">
      <c r="A754" s="1" t="s">
        <v>26</v>
      </c>
      <c r="B754">
        <v>4.4444444444444453E-2</v>
      </c>
    </row>
    <row r="755" spans="1:2" hidden="1" x14ac:dyDescent="0.3">
      <c r="A755" s="1" t="s">
        <v>26</v>
      </c>
      <c r="B755">
        <v>4.5454545454545463E-2</v>
      </c>
    </row>
    <row r="756" spans="1:2" hidden="1" x14ac:dyDescent="0.3">
      <c r="A756" s="1" t="s">
        <v>26</v>
      </c>
      <c r="B756">
        <v>4.6464646464646472E-2</v>
      </c>
    </row>
    <row r="757" spans="1:2" hidden="1" x14ac:dyDescent="0.3">
      <c r="A757" s="1" t="s">
        <v>26</v>
      </c>
      <c r="B757">
        <v>4.7474747474747482E-2</v>
      </c>
    </row>
    <row r="758" spans="1:2" hidden="1" x14ac:dyDescent="0.3">
      <c r="A758" s="1" t="s">
        <v>26</v>
      </c>
      <c r="B758">
        <v>4.8484848484848478E-2</v>
      </c>
    </row>
    <row r="759" spans="1:2" hidden="1" x14ac:dyDescent="0.3">
      <c r="A759" s="1" t="s">
        <v>26</v>
      </c>
      <c r="B759">
        <v>4.9494949494949488E-2</v>
      </c>
    </row>
    <row r="760" spans="1:2" hidden="1" x14ac:dyDescent="0.3">
      <c r="A760" s="1" t="s">
        <v>26</v>
      </c>
      <c r="B760">
        <v>5.0505050505050497E-2</v>
      </c>
    </row>
    <row r="761" spans="1:2" hidden="1" x14ac:dyDescent="0.3">
      <c r="A761" s="1" t="s">
        <v>26</v>
      </c>
      <c r="B761">
        <v>5.1515151515151507E-2</v>
      </c>
    </row>
    <row r="762" spans="1:2" hidden="1" x14ac:dyDescent="0.3">
      <c r="A762" s="1" t="s">
        <v>26</v>
      </c>
      <c r="B762">
        <v>5.2525252525252517E-2</v>
      </c>
    </row>
    <row r="763" spans="1:2" hidden="1" x14ac:dyDescent="0.3">
      <c r="A763" s="1" t="s">
        <v>26</v>
      </c>
      <c r="B763">
        <v>5.3535353535353533E-2</v>
      </c>
    </row>
    <row r="764" spans="1:2" hidden="1" x14ac:dyDescent="0.3">
      <c r="A764" s="1" t="s">
        <v>26</v>
      </c>
      <c r="B764">
        <v>5.4545454545454543E-2</v>
      </c>
    </row>
    <row r="765" spans="1:2" hidden="1" x14ac:dyDescent="0.3">
      <c r="A765" s="1" t="s">
        <v>26</v>
      </c>
      <c r="B765">
        <v>5.5555555555555552E-2</v>
      </c>
    </row>
    <row r="766" spans="1:2" hidden="1" x14ac:dyDescent="0.3">
      <c r="A766" s="1" t="s">
        <v>26</v>
      </c>
      <c r="B766">
        <v>5.6565656565656569E-2</v>
      </c>
    </row>
    <row r="767" spans="1:2" hidden="1" x14ac:dyDescent="0.3">
      <c r="A767" s="1" t="s">
        <v>26</v>
      </c>
      <c r="B767">
        <v>5.7575757575757579E-2</v>
      </c>
    </row>
    <row r="768" spans="1:2" hidden="1" x14ac:dyDescent="0.3">
      <c r="A768" s="1" t="s">
        <v>26</v>
      </c>
      <c r="B768">
        <v>5.8585858585858588E-2</v>
      </c>
    </row>
    <row r="769" spans="1:2" hidden="1" x14ac:dyDescent="0.3">
      <c r="A769" s="1" t="s">
        <v>26</v>
      </c>
      <c r="B769">
        <v>5.9595959595959598E-2</v>
      </c>
    </row>
    <row r="770" spans="1:2" hidden="1" x14ac:dyDescent="0.3">
      <c r="A770" s="1" t="s">
        <v>26</v>
      </c>
      <c r="B770">
        <v>6.0606060606060608E-2</v>
      </c>
    </row>
    <row r="771" spans="1:2" hidden="1" x14ac:dyDescent="0.3">
      <c r="A771" s="1" t="s">
        <v>26</v>
      </c>
      <c r="B771">
        <v>6.1616161616161617E-2</v>
      </c>
    </row>
    <row r="772" spans="1:2" hidden="1" x14ac:dyDescent="0.3">
      <c r="A772" s="1" t="s">
        <v>26</v>
      </c>
      <c r="B772">
        <v>6.2626262626262627E-2</v>
      </c>
    </row>
    <row r="773" spans="1:2" hidden="1" x14ac:dyDescent="0.3">
      <c r="A773" s="1" t="s">
        <v>26</v>
      </c>
      <c r="B773">
        <v>6.363636363636363E-2</v>
      </c>
    </row>
    <row r="774" spans="1:2" hidden="1" x14ac:dyDescent="0.3">
      <c r="A774" s="1" t="s">
        <v>26</v>
      </c>
      <c r="B774">
        <v>6.4646464646464646E-2</v>
      </c>
    </row>
    <row r="775" spans="1:2" hidden="1" x14ac:dyDescent="0.3">
      <c r="A775" s="1" t="s">
        <v>26</v>
      </c>
      <c r="B775">
        <v>6.5656565656565663E-2</v>
      </c>
    </row>
    <row r="776" spans="1:2" hidden="1" x14ac:dyDescent="0.3">
      <c r="A776" s="1" t="s">
        <v>26</v>
      </c>
      <c r="B776">
        <v>6.6666666666666666E-2</v>
      </c>
    </row>
    <row r="777" spans="1:2" hidden="1" x14ac:dyDescent="0.3">
      <c r="A777" s="1" t="s">
        <v>26</v>
      </c>
      <c r="B777">
        <v>6.7676767676767682E-2</v>
      </c>
    </row>
    <row r="778" spans="1:2" hidden="1" x14ac:dyDescent="0.3">
      <c r="A778" s="1" t="s">
        <v>26</v>
      </c>
      <c r="B778">
        <v>6.8686868686868685E-2</v>
      </c>
    </row>
    <row r="779" spans="1:2" hidden="1" x14ac:dyDescent="0.3">
      <c r="A779" s="1" t="s">
        <v>26</v>
      </c>
      <c r="B779">
        <v>6.9696969696969702E-2</v>
      </c>
    </row>
    <row r="780" spans="1:2" hidden="1" x14ac:dyDescent="0.3">
      <c r="A780" s="1" t="s">
        <v>26</v>
      </c>
      <c r="B780">
        <v>7.0707070707070704E-2</v>
      </c>
    </row>
    <row r="781" spans="1:2" hidden="1" x14ac:dyDescent="0.3">
      <c r="A781" s="1" t="s">
        <v>26</v>
      </c>
      <c r="B781">
        <v>7.1717171717171721E-2</v>
      </c>
    </row>
    <row r="782" spans="1:2" hidden="1" x14ac:dyDescent="0.3">
      <c r="A782" s="1" t="s">
        <v>26</v>
      </c>
      <c r="B782">
        <v>7.2727272727272724E-2</v>
      </c>
    </row>
    <row r="783" spans="1:2" hidden="1" x14ac:dyDescent="0.3">
      <c r="A783" s="1" t="s">
        <v>26</v>
      </c>
      <c r="B783">
        <v>7.373737373737374E-2</v>
      </c>
    </row>
    <row r="784" spans="1:2" hidden="1" x14ac:dyDescent="0.3">
      <c r="A784" s="1" t="s">
        <v>26</v>
      </c>
      <c r="B784">
        <v>7.4747474747474743E-2</v>
      </c>
    </row>
    <row r="785" spans="1:2" hidden="1" x14ac:dyDescent="0.3">
      <c r="A785" s="1" t="s">
        <v>26</v>
      </c>
      <c r="B785">
        <v>7.575757575757576E-2</v>
      </c>
    </row>
    <row r="786" spans="1:2" hidden="1" x14ac:dyDescent="0.3">
      <c r="A786" s="1" t="s">
        <v>26</v>
      </c>
      <c r="B786">
        <v>7.6767676767676762E-2</v>
      </c>
    </row>
    <row r="787" spans="1:2" hidden="1" x14ac:dyDescent="0.3">
      <c r="A787" s="1" t="s">
        <v>26</v>
      </c>
      <c r="B787">
        <v>7.7777777777777779E-2</v>
      </c>
    </row>
    <row r="788" spans="1:2" hidden="1" x14ac:dyDescent="0.3">
      <c r="A788" s="1" t="s">
        <v>26</v>
      </c>
      <c r="B788">
        <v>7.8787878787878782E-2</v>
      </c>
    </row>
    <row r="789" spans="1:2" hidden="1" x14ac:dyDescent="0.3">
      <c r="A789" s="1" t="s">
        <v>26</v>
      </c>
      <c r="B789">
        <v>7.9797979797979798E-2</v>
      </c>
    </row>
    <row r="790" spans="1:2" hidden="1" x14ac:dyDescent="0.3">
      <c r="A790" s="1" t="s">
        <v>26</v>
      </c>
      <c r="B790">
        <v>8.0808080808080801E-2</v>
      </c>
    </row>
    <row r="791" spans="1:2" hidden="1" x14ac:dyDescent="0.3">
      <c r="A791" s="1" t="s">
        <v>26</v>
      </c>
      <c r="B791">
        <v>8.1818181818181818E-2</v>
      </c>
    </row>
    <row r="792" spans="1:2" hidden="1" x14ac:dyDescent="0.3">
      <c r="A792" s="1" t="s">
        <v>26</v>
      </c>
      <c r="B792">
        <v>8.2828282828282834E-2</v>
      </c>
    </row>
    <row r="793" spans="1:2" hidden="1" x14ac:dyDescent="0.3">
      <c r="A793" s="1" t="s">
        <v>26</v>
      </c>
      <c r="B793">
        <v>8.3838383838383837E-2</v>
      </c>
    </row>
    <row r="794" spans="1:2" hidden="1" x14ac:dyDescent="0.3">
      <c r="A794" s="1" t="s">
        <v>26</v>
      </c>
      <c r="B794">
        <v>8.4848484848484854E-2</v>
      </c>
    </row>
    <row r="795" spans="1:2" hidden="1" x14ac:dyDescent="0.3">
      <c r="A795" s="1" t="s">
        <v>26</v>
      </c>
      <c r="B795">
        <v>8.5858585858585856E-2</v>
      </c>
    </row>
    <row r="796" spans="1:2" hidden="1" x14ac:dyDescent="0.3">
      <c r="A796" s="1" t="s">
        <v>26</v>
      </c>
      <c r="B796">
        <v>8.6868686868686873E-2</v>
      </c>
    </row>
    <row r="797" spans="1:2" hidden="1" x14ac:dyDescent="0.3">
      <c r="A797" s="1" t="s">
        <v>26</v>
      </c>
      <c r="B797">
        <v>8.7878787878787876E-2</v>
      </c>
    </row>
    <row r="798" spans="1:2" hidden="1" x14ac:dyDescent="0.3">
      <c r="A798" s="1" t="s">
        <v>26</v>
      </c>
      <c r="B798">
        <v>8.8888888888888892E-2</v>
      </c>
    </row>
    <row r="799" spans="1:2" hidden="1" x14ac:dyDescent="0.3">
      <c r="A799" s="1" t="s">
        <v>26</v>
      </c>
      <c r="B799">
        <v>8.9898989898989895E-2</v>
      </c>
    </row>
    <row r="800" spans="1:2" hidden="1" x14ac:dyDescent="0.3">
      <c r="A800" s="1" t="s">
        <v>26</v>
      </c>
      <c r="B800">
        <v>9.0909090909090912E-2</v>
      </c>
    </row>
    <row r="801" spans="1:2" hidden="1" x14ac:dyDescent="0.3">
      <c r="A801" s="1" t="s">
        <v>26</v>
      </c>
      <c r="B801">
        <v>9.1919191919191914E-2</v>
      </c>
    </row>
    <row r="802" spans="1:2" hidden="1" x14ac:dyDescent="0.3">
      <c r="A802" s="1" t="s">
        <v>26</v>
      </c>
      <c r="B802">
        <v>9.2929292929292931E-2</v>
      </c>
    </row>
    <row r="803" spans="1:2" hidden="1" x14ac:dyDescent="0.3">
      <c r="A803" s="1" t="s">
        <v>26</v>
      </c>
      <c r="B803">
        <v>9.3939393939393934E-2</v>
      </c>
    </row>
    <row r="804" spans="1:2" hidden="1" x14ac:dyDescent="0.3">
      <c r="A804" s="1" t="s">
        <v>26</v>
      </c>
      <c r="B804">
        <v>9.494949494949495E-2</v>
      </c>
    </row>
    <row r="805" spans="1:2" hidden="1" x14ac:dyDescent="0.3">
      <c r="A805" s="1" t="s">
        <v>26</v>
      </c>
      <c r="B805">
        <v>9.5959595959595953E-2</v>
      </c>
    </row>
    <row r="806" spans="1:2" hidden="1" x14ac:dyDescent="0.3">
      <c r="A806" s="1" t="s">
        <v>26</v>
      </c>
      <c r="B806">
        <v>9.696969696969697E-2</v>
      </c>
    </row>
    <row r="807" spans="1:2" hidden="1" x14ac:dyDescent="0.3">
      <c r="A807" s="1" t="s">
        <v>26</v>
      </c>
      <c r="B807">
        <v>9.7979797979797986E-2</v>
      </c>
    </row>
    <row r="808" spans="1:2" hidden="1" x14ac:dyDescent="0.3">
      <c r="A808" s="1" t="s">
        <v>26</v>
      </c>
      <c r="B808">
        <v>9.8989898989898989E-2</v>
      </c>
    </row>
    <row r="809" spans="1:2" hidden="1" x14ac:dyDescent="0.3">
      <c r="A809" s="1" t="s">
        <v>26</v>
      </c>
      <c r="B809">
        <v>0.1</v>
      </c>
    </row>
    <row r="810" spans="1:2" hidden="1" x14ac:dyDescent="0.3">
      <c r="A810" s="1" t="s">
        <v>27</v>
      </c>
      <c r="B810">
        <v>0</v>
      </c>
    </row>
    <row r="811" spans="1:2" hidden="1" x14ac:dyDescent="0.3">
      <c r="A811" s="1" t="s">
        <v>27</v>
      </c>
      <c r="B811">
        <v>4.65E-2</v>
      </c>
    </row>
    <row r="812" spans="1:2" hidden="1" x14ac:dyDescent="0.3">
      <c r="A812" s="1" t="s">
        <v>27</v>
      </c>
      <c r="B812">
        <v>4.7184848484848482E-2</v>
      </c>
    </row>
    <row r="813" spans="1:2" hidden="1" x14ac:dyDescent="0.3">
      <c r="A813" s="1" t="s">
        <v>27</v>
      </c>
      <c r="B813">
        <v>4.7869696969696972E-2</v>
      </c>
    </row>
    <row r="814" spans="1:2" hidden="1" x14ac:dyDescent="0.3">
      <c r="A814" s="1" t="s">
        <v>27</v>
      </c>
      <c r="B814">
        <v>4.8554545454545447E-2</v>
      </c>
    </row>
    <row r="815" spans="1:2" hidden="1" x14ac:dyDescent="0.3">
      <c r="A815" s="1" t="s">
        <v>27</v>
      </c>
      <c r="B815">
        <v>4.9239393939393937E-2</v>
      </c>
    </row>
    <row r="816" spans="1:2" hidden="1" x14ac:dyDescent="0.3">
      <c r="A816" s="1" t="s">
        <v>27</v>
      </c>
      <c r="B816">
        <v>4.9924242424242433E-2</v>
      </c>
    </row>
    <row r="817" spans="1:2" hidden="1" x14ac:dyDescent="0.3">
      <c r="A817" s="1" t="s">
        <v>27</v>
      </c>
      <c r="B817">
        <v>5.0609090909090909E-2</v>
      </c>
    </row>
    <row r="818" spans="1:2" hidden="1" x14ac:dyDescent="0.3">
      <c r="A818" s="1" t="s">
        <v>27</v>
      </c>
      <c r="B818">
        <v>5.1293939393939392E-2</v>
      </c>
    </row>
    <row r="819" spans="1:2" hidden="1" x14ac:dyDescent="0.3">
      <c r="A819" s="1" t="s">
        <v>27</v>
      </c>
      <c r="B819">
        <v>5.1978787878787881E-2</v>
      </c>
    </row>
    <row r="820" spans="1:2" hidden="1" x14ac:dyDescent="0.3">
      <c r="A820" s="1" t="s">
        <v>27</v>
      </c>
      <c r="B820">
        <v>5.2663636363636357E-2</v>
      </c>
    </row>
    <row r="821" spans="1:2" hidden="1" x14ac:dyDescent="0.3">
      <c r="A821" s="1" t="s">
        <v>27</v>
      </c>
      <c r="B821">
        <v>5.3348484848484853E-2</v>
      </c>
    </row>
    <row r="822" spans="1:2" hidden="1" x14ac:dyDescent="0.3">
      <c r="A822" s="1" t="s">
        <v>27</v>
      </c>
      <c r="B822">
        <v>5.4033333333333343E-2</v>
      </c>
    </row>
    <row r="823" spans="1:2" hidden="1" x14ac:dyDescent="0.3">
      <c r="A823" s="1" t="s">
        <v>27</v>
      </c>
      <c r="B823">
        <v>5.4718181818181819E-2</v>
      </c>
    </row>
    <row r="824" spans="1:2" hidden="1" x14ac:dyDescent="0.3">
      <c r="A824" s="1" t="s">
        <v>27</v>
      </c>
      <c r="B824">
        <v>5.5403030303030301E-2</v>
      </c>
    </row>
    <row r="825" spans="1:2" hidden="1" x14ac:dyDescent="0.3">
      <c r="A825" s="1" t="s">
        <v>27</v>
      </c>
      <c r="B825">
        <v>5.6087878787878777E-2</v>
      </c>
    </row>
    <row r="826" spans="1:2" hidden="1" x14ac:dyDescent="0.3">
      <c r="A826" s="1" t="s">
        <v>27</v>
      </c>
      <c r="B826">
        <v>5.6772727272727273E-2</v>
      </c>
    </row>
    <row r="827" spans="1:2" hidden="1" x14ac:dyDescent="0.3">
      <c r="A827" s="1" t="s">
        <v>27</v>
      </c>
      <c r="B827">
        <v>5.7457575757575763E-2</v>
      </c>
    </row>
    <row r="828" spans="1:2" hidden="1" x14ac:dyDescent="0.3">
      <c r="A828" s="1" t="s">
        <v>27</v>
      </c>
      <c r="B828">
        <v>5.8142424242424252E-2</v>
      </c>
    </row>
    <row r="829" spans="1:2" hidden="1" x14ac:dyDescent="0.3">
      <c r="A829" s="1" t="s">
        <v>27</v>
      </c>
      <c r="B829">
        <v>5.8827272727272728E-2</v>
      </c>
    </row>
    <row r="830" spans="1:2" hidden="1" x14ac:dyDescent="0.3">
      <c r="A830" s="1" t="s">
        <v>27</v>
      </c>
      <c r="B830">
        <v>5.9512121212121211E-2</v>
      </c>
    </row>
    <row r="831" spans="1:2" hidden="1" x14ac:dyDescent="0.3">
      <c r="A831" s="1" t="s">
        <v>27</v>
      </c>
      <c r="B831">
        <v>6.0196969696969693E-2</v>
      </c>
    </row>
    <row r="832" spans="1:2" hidden="1" x14ac:dyDescent="0.3">
      <c r="A832" s="1" t="s">
        <v>27</v>
      </c>
      <c r="B832">
        <v>6.0881818181818183E-2</v>
      </c>
    </row>
    <row r="833" spans="1:2" hidden="1" x14ac:dyDescent="0.3">
      <c r="A833" s="1" t="s">
        <v>27</v>
      </c>
      <c r="B833">
        <v>6.1566666666666672E-2</v>
      </c>
    </row>
    <row r="834" spans="1:2" hidden="1" x14ac:dyDescent="0.3">
      <c r="A834" s="1" t="s">
        <v>27</v>
      </c>
      <c r="B834">
        <v>6.2251515151515148E-2</v>
      </c>
    </row>
    <row r="835" spans="1:2" hidden="1" x14ac:dyDescent="0.3">
      <c r="A835" s="1" t="s">
        <v>27</v>
      </c>
      <c r="B835">
        <v>6.2936363636363638E-2</v>
      </c>
    </row>
    <row r="836" spans="1:2" hidden="1" x14ac:dyDescent="0.3">
      <c r="A836" s="1" t="s">
        <v>27</v>
      </c>
      <c r="B836">
        <v>6.362121212121212E-2</v>
      </c>
    </row>
    <row r="837" spans="1:2" hidden="1" x14ac:dyDescent="0.3">
      <c r="A837" s="1" t="s">
        <v>27</v>
      </c>
      <c r="B837">
        <v>6.4306060606060603E-2</v>
      </c>
    </row>
    <row r="838" spans="1:2" hidden="1" x14ac:dyDescent="0.3">
      <c r="A838" s="1" t="s">
        <v>27</v>
      </c>
      <c r="B838">
        <v>6.4990909090909099E-2</v>
      </c>
    </row>
    <row r="839" spans="1:2" hidden="1" x14ac:dyDescent="0.3">
      <c r="A839" s="1" t="s">
        <v>27</v>
      </c>
      <c r="B839">
        <v>6.5675757575757582E-2</v>
      </c>
    </row>
    <row r="840" spans="1:2" hidden="1" x14ac:dyDescent="0.3">
      <c r="A840" s="1" t="s">
        <v>27</v>
      </c>
      <c r="B840">
        <v>6.6360606060606064E-2</v>
      </c>
    </row>
    <row r="841" spans="1:2" hidden="1" x14ac:dyDescent="0.3">
      <c r="A841" s="1" t="s">
        <v>27</v>
      </c>
      <c r="B841">
        <v>6.7045454545454547E-2</v>
      </c>
    </row>
    <row r="842" spans="1:2" hidden="1" x14ac:dyDescent="0.3">
      <c r="A842" s="1" t="s">
        <v>27</v>
      </c>
      <c r="B842">
        <v>6.773030303030303E-2</v>
      </c>
    </row>
    <row r="843" spans="1:2" hidden="1" x14ac:dyDescent="0.3">
      <c r="A843" s="1" t="s">
        <v>27</v>
      </c>
      <c r="B843">
        <v>6.8415151515151512E-2</v>
      </c>
    </row>
    <row r="844" spans="1:2" hidden="1" x14ac:dyDescent="0.3">
      <c r="A844" s="1" t="s">
        <v>27</v>
      </c>
      <c r="B844">
        <v>6.9099999999999995E-2</v>
      </c>
    </row>
    <row r="845" spans="1:2" hidden="1" x14ac:dyDescent="0.3">
      <c r="A845" s="1" t="s">
        <v>27</v>
      </c>
      <c r="B845">
        <v>6.9784848484848477E-2</v>
      </c>
    </row>
    <row r="846" spans="1:2" hidden="1" x14ac:dyDescent="0.3">
      <c r="A846" s="1" t="s">
        <v>27</v>
      </c>
      <c r="B846">
        <v>7.0469696969696974E-2</v>
      </c>
    </row>
    <row r="847" spans="1:2" hidden="1" x14ac:dyDescent="0.3">
      <c r="A847" s="1" t="s">
        <v>27</v>
      </c>
      <c r="B847">
        <v>7.1154545454545456E-2</v>
      </c>
    </row>
    <row r="848" spans="1:2" hidden="1" x14ac:dyDescent="0.3">
      <c r="A848" s="1" t="s">
        <v>27</v>
      </c>
      <c r="B848">
        <v>7.1839393939393939E-2</v>
      </c>
    </row>
    <row r="849" spans="1:2" hidden="1" x14ac:dyDescent="0.3">
      <c r="A849" s="1" t="s">
        <v>27</v>
      </c>
      <c r="B849">
        <v>7.2524242424242422E-2</v>
      </c>
    </row>
    <row r="850" spans="1:2" hidden="1" x14ac:dyDescent="0.3">
      <c r="A850" s="1" t="s">
        <v>27</v>
      </c>
      <c r="B850">
        <v>7.3209090909090918E-2</v>
      </c>
    </row>
    <row r="851" spans="1:2" hidden="1" x14ac:dyDescent="0.3">
      <c r="A851" s="1" t="s">
        <v>27</v>
      </c>
      <c r="B851">
        <v>7.3893939393939401E-2</v>
      </c>
    </row>
    <row r="852" spans="1:2" hidden="1" x14ac:dyDescent="0.3">
      <c r="A852" s="1" t="s">
        <v>27</v>
      </c>
      <c r="B852">
        <v>7.4578787878787883E-2</v>
      </c>
    </row>
    <row r="853" spans="1:2" hidden="1" x14ac:dyDescent="0.3">
      <c r="A853" s="1" t="s">
        <v>27</v>
      </c>
      <c r="B853">
        <v>7.5263636363636366E-2</v>
      </c>
    </row>
    <row r="854" spans="1:2" hidden="1" x14ac:dyDescent="0.3">
      <c r="A854" s="1" t="s">
        <v>27</v>
      </c>
      <c r="B854">
        <v>7.5948484848484848E-2</v>
      </c>
    </row>
    <row r="855" spans="1:2" hidden="1" x14ac:dyDescent="0.3">
      <c r="A855" s="1" t="s">
        <v>27</v>
      </c>
      <c r="B855">
        <v>7.6633333333333331E-2</v>
      </c>
    </row>
    <row r="856" spans="1:2" hidden="1" x14ac:dyDescent="0.3">
      <c r="A856" s="1" t="s">
        <v>27</v>
      </c>
      <c r="B856">
        <v>7.7318181818181814E-2</v>
      </c>
    </row>
    <row r="857" spans="1:2" hidden="1" x14ac:dyDescent="0.3">
      <c r="A857" s="1" t="s">
        <v>27</v>
      </c>
      <c r="B857">
        <v>7.8003030303030296E-2</v>
      </c>
    </row>
    <row r="858" spans="1:2" hidden="1" x14ac:dyDescent="0.3">
      <c r="A858" s="1" t="s">
        <v>27</v>
      </c>
      <c r="B858">
        <v>7.8687878787878779E-2</v>
      </c>
    </row>
    <row r="859" spans="1:2" hidden="1" x14ac:dyDescent="0.3">
      <c r="A859" s="1" t="s">
        <v>27</v>
      </c>
      <c r="B859">
        <v>7.9372727272727275E-2</v>
      </c>
    </row>
    <row r="860" spans="1:2" hidden="1" x14ac:dyDescent="0.3">
      <c r="A860" s="1" t="s">
        <v>27</v>
      </c>
      <c r="B860">
        <v>8.0057575757575758E-2</v>
      </c>
    </row>
    <row r="861" spans="1:2" hidden="1" x14ac:dyDescent="0.3">
      <c r="A861" s="1" t="s">
        <v>27</v>
      </c>
      <c r="B861">
        <v>8.0742424242424241E-2</v>
      </c>
    </row>
    <row r="862" spans="1:2" hidden="1" x14ac:dyDescent="0.3">
      <c r="A862" s="1" t="s">
        <v>27</v>
      </c>
      <c r="B862">
        <v>8.1427272727272737E-2</v>
      </c>
    </row>
    <row r="863" spans="1:2" hidden="1" x14ac:dyDescent="0.3">
      <c r="A863" s="1" t="s">
        <v>27</v>
      </c>
      <c r="B863">
        <v>8.211212121212122E-2</v>
      </c>
    </row>
    <row r="864" spans="1:2" hidden="1" x14ac:dyDescent="0.3">
      <c r="A864" s="1" t="s">
        <v>27</v>
      </c>
      <c r="B864">
        <v>8.2796969696969702E-2</v>
      </c>
    </row>
    <row r="865" spans="1:2" hidden="1" x14ac:dyDescent="0.3">
      <c r="A865" s="1" t="s">
        <v>27</v>
      </c>
      <c r="B865">
        <v>8.3481818181818185E-2</v>
      </c>
    </row>
    <row r="866" spans="1:2" hidden="1" x14ac:dyDescent="0.3">
      <c r="A866" s="1" t="s">
        <v>27</v>
      </c>
      <c r="B866">
        <v>8.4166666666666667E-2</v>
      </c>
    </row>
    <row r="867" spans="1:2" hidden="1" x14ac:dyDescent="0.3">
      <c r="A867" s="1" t="s">
        <v>27</v>
      </c>
      <c r="B867">
        <v>8.485151515151515E-2</v>
      </c>
    </row>
    <row r="868" spans="1:2" hidden="1" x14ac:dyDescent="0.3">
      <c r="A868" s="1" t="s">
        <v>27</v>
      </c>
      <c r="B868">
        <v>8.5536363636363633E-2</v>
      </c>
    </row>
    <row r="869" spans="1:2" hidden="1" x14ac:dyDescent="0.3">
      <c r="A869" s="1" t="s">
        <v>27</v>
      </c>
      <c r="B869">
        <v>8.6221212121212115E-2</v>
      </c>
    </row>
    <row r="870" spans="1:2" hidden="1" x14ac:dyDescent="0.3">
      <c r="A870" s="1" t="s">
        <v>27</v>
      </c>
      <c r="B870">
        <v>8.6906060606060598E-2</v>
      </c>
    </row>
    <row r="871" spans="1:2" hidden="1" x14ac:dyDescent="0.3">
      <c r="A871" s="1" t="s">
        <v>27</v>
      </c>
      <c r="B871">
        <v>8.7590909090909094E-2</v>
      </c>
    </row>
    <row r="872" spans="1:2" hidden="1" x14ac:dyDescent="0.3">
      <c r="A872" s="1" t="s">
        <v>27</v>
      </c>
      <c r="B872">
        <v>8.8275757575757577E-2</v>
      </c>
    </row>
    <row r="873" spans="1:2" hidden="1" x14ac:dyDescent="0.3">
      <c r="A873" s="1" t="s">
        <v>27</v>
      </c>
      <c r="B873">
        <v>8.8960606060606059E-2</v>
      </c>
    </row>
    <row r="874" spans="1:2" hidden="1" x14ac:dyDescent="0.3">
      <c r="A874" s="1" t="s">
        <v>27</v>
      </c>
      <c r="B874">
        <v>8.9645454545454556E-2</v>
      </c>
    </row>
    <row r="875" spans="1:2" hidden="1" x14ac:dyDescent="0.3">
      <c r="A875" s="1" t="s">
        <v>27</v>
      </c>
      <c r="B875">
        <v>9.0330303030303039E-2</v>
      </c>
    </row>
    <row r="876" spans="1:2" hidden="1" x14ac:dyDescent="0.3">
      <c r="A876" s="1" t="s">
        <v>27</v>
      </c>
      <c r="B876">
        <v>9.1015151515151521E-2</v>
      </c>
    </row>
    <row r="877" spans="1:2" hidden="1" x14ac:dyDescent="0.3">
      <c r="A877" s="1" t="s">
        <v>27</v>
      </c>
      <c r="B877">
        <v>9.1700000000000004E-2</v>
      </c>
    </row>
    <row r="878" spans="1:2" hidden="1" x14ac:dyDescent="0.3">
      <c r="A878" s="1" t="s">
        <v>27</v>
      </c>
      <c r="B878">
        <v>9.2384848484848486E-2</v>
      </c>
    </row>
    <row r="879" spans="1:2" hidden="1" x14ac:dyDescent="0.3">
      <c r="A879" s="1" t="s">
        <v>27</v>
      </c>
      <c r="B879">
        <v>9.3069696969696969E-2</v>
      </c>
    </row>
    <row r="880" spans="1:2" hidden="1" x14ac:dyDescent="0.3">
      <c r="A880" s="1" t="s">
        <v>27</v>
      </c>
      <c r="B880">
        <v>9.3754545454545452E-2</v>
      </c>
    </row>
    <row r="881" spans="1:2" hidden="1" x14ac:dyDescent="0.3">
      <c r="A881" s="1" t="s">
        <v>27</v>
      </c>
      <c r="B881">
        <v>9.4439393939393934E-2</v>
      </c>
    </row>
    <row r="882" spans="1:2" hidden="1" x14ac:dyDescent="0.3">
      <c r="A882" s="1" t="s">
        <v>27</v>
      </c>
      <c r="B882">
        <v>9.5124242424242417E-2</v>
      </c>
    </row>
    <row r="883" spans="1:2" hidden="1" x14ac:dyDescent="0.3">
      <c r="A883" s="1" t="s">
        <v>27</v>
      </c>
      <c r="B883">
        <v>9.5809090909090913E-2</v>
      </c>
    </row>
    <row r="884" spans="1:2" hidden="1" x14ac:dyDescent="0.3">
      <c r="A884" s="1" t="s">
        <v>27</v>
      </c>
      <c r="B884">
        <v>9.6493939393939396E-2</v>
      </c>
    </row>
    <row r="885" spans="1:2" hidden="1" x14ac:dyDescent="0.3">
      <c r="A885" s="1" t="s">
        <v>27</v>
      </c>
      <c r="B885">
        <v>9.7178787878787878E-2</v>
      </c>
    </row>
    <row r="886" spans="1:2" hidden="1" x14ac:dyDescent="0.3">
      <c r="A886" s="1" t="s">
        <v>27</v>
      </c>
      <c r="B886">
        <v>9.7863636363636375E-2</v>
      </c>
    </row>
    <row r="887" spans="1:2" hidden="1" x14ac:dyDescent="0.3">
      <c r="A887" s="1" t="s">
        <v>27</v>
      </c>
      <c r="B887">
        <v>9.8548484848484857E-2</v>
      </c>
    </row>
    <row r="888" spans="1:2" hidden="1" x14ac:dyDescent="0.3">
      <c r="A888" s="1" t="s">
        <v>27</v>
      </c>
      <c r="B888">
        <v>9.923333333333334E-2</v>
      </c>
    </row>
    <row r="889" spans="1:2" hidden="1" x14ac:dyDescent="0.3">
      <c r="A889" s="1" t="s">
        <v>27</v>
      </c>
      <c r="B889">
        <v>9.9918181818181823E-2</v>
      </c>
    </row>
    <row r="890" spans="1:2" hidden="1" x14ac:dyDescent="0.3">
      <c r="A890" s="1" t="s">
        <v>27</v>
      </c>
      <c r="B890">
        <v>0.10060303030303031</v>
      </c>
    </row>
    <row r="891" spans="1:2" hidden="1" x14ac:dyDescent="0.3">
      <c r="A891" s="1" t="s">
        <v>27</v>
      </c>
      <c r="B891">
        <v>0.1012878787878788</v>
      </c>
    </row>
    <row r="892" spans="1:2" hidden="1" x14ac:dyDescent="0.3">
      <c r="A892" s="1" t="s">
        <v>27</v>
      </c>
      <c r="B892">
        <v>0.1019727272727273</v>
      </c>
    </row>
    <row r="893" spans="1:2" hidden="1" x14ac:dyDescent="0.3">
      <c r="A893" s="1" t="s">
        <v>27</v>
      </c>
      <c r="B893">
        <v>0.10265757575757579</v>
      </c>
    </row>
    <row r="894" spans="1:2" hidden="1" x14ac:dyDescent="0.3">
      <c r="A894" s="1" t="s">
        <v>27</v>
      </c>
      <c r="B894">
        <v>0.10334242424242419</v>
      </c>
    </row>
    <row r="895" spans="1:2" hidden="1" x14ac:dyDescent="0.3">
      <c r="A895" s="1" t="s">
        <v>27</v>
      </c>
      <c r="B895">
        <v>0.1040272727272727</v>
      </c>
    </row>
    <row r="896" spans="1:2" hidden="1" x14ac:dyDescent="0.3">
      <c r="A896" s="1" t="s">
        <v>27</v>
      </c>
      <c r="B896">
        <v>0.1047121212121212</v>
      </c>
    </row>
    <row r="897" spans="1:2" hidden="1" x14ac:dyDescent="0.3">
      <c r="A897" s="1" t="s">
        <v>27</v>
      </c>
      <c r="B897">
        <v>0.1053969696969697</v>
      </c>
    </row>
    <row r="898" spans="1:2" hidden="1" x14ac:dyDescent="0.3">
      <c r="A898" s="1" t="s">
        <v>27</v>
      </c>
      <c r="B898">
        <v>0.10608181818181819</v>
      </c>
    </row>
    <row r="899" spans="1:2" hidden="1" x14ac:dyDescent="0.3">
      <c r="A899" s="1" t="s">
        <v>27</v>
      </c>
      <c r="B899">
        <v>0.1067666666666667</v>
      </c>
    </row>
    <row r="900" spans="1:2" hidden="1" x14ac:dyDescent="0.3">
      <c r="A900" s="1" t="s">
        <v>27</v>
      </c>
      <c r="B900">
        <v>0.1074515151515152</v>
      </c>
    </row>
    <row r="901" spans="1:2" hidden="1" x14ac:dyDescent="0.3">
      <c r="A901" s="1" t="s">
        <v>27</v>
      </c>
      <c r="B901">
        <v>0.1081363636363636</v>
      </c>
    </row>
    <row r="902" spans="1:2" hidden="1" x14ac:dyDescent="0.3">
      <c r="A902" s="1" t="s">
        <v>27</v>
      </c>
      <c r="B902">
        <v>0.1088212121212121</v>
      </c>
    </row>
    <row r="903" spans="1:2" hidden="1" x14ac:dyDescent="0.3">
      <c r="A903" s="1" t="s">
        <v>27</v>
      </c>
      <c r="B903">
        <v>0.10950606060606061</v>
      </c>
    </row>
    <row r="904" spans="1:2" hidden="1" x14ac:dyDescent="0.3">
      <c r="A904" s="1" t="s">
        <v>27</v>
      </c>
      <c r="B904">
        <v>0.1101909090909091</v>
      </c>
    </row>
    <row r="905" spans="1:2" hidden="1" x14ac:dyDescent="0.3">
      <c r="A905" s="1" t="s">
        <v>27</v>
      </c>
      <c r="B905">
        <v>0.1108757575757576</v>
      </c>
    </row>
    <row r="906" spans="1:2" hidden="1" x14ac:dyDescent="0.3">
      <c r="A906" s="1" t="s">
        <v>27</v>
      </c>
      <c r="B906">
        <v>0.1115606060606061</v>
      </c>
    </row>
    <row r="907" spans="1:2" hidden="1" x14ac:dyDescent="0.3">
      <c r="A907" s="1" t="s">
        <v>27</v>
      </c>
      <c r="B907">
        <v>0.11224545454545461</v>
      </c>
    </row>
    <row r="908" spans="1:2" hidden="1" x14ac:dyDescent="0.3">
      <c r="A908" s="1" t="s">
        <v>27</v>
      </c>
      <c r="B908">
        <v>0.11293030303030301</v>
      </c>
    </row>
    <row r="909" spans="1:2" hidden="1" x14ac:dyDescent="0.3">
      <c r="A909" s="1" t="s">
        <v>27</v>
      </c>
      <c r="B909">
        <v>0.1136151515151515</v>
      </c>
    </row>
    <row r="910" spans="1:2" hidden="1" x14ac:dyDescent="0.3">
      <c r="A910" s="1" t="s">
        <v>27</v>
      </c>
      <c r="B910">
        <v>0.1143</v>
      </c>
    </row>
    <row r="911" spans="1:2" x14ac:dyDescent="0.3">
      <c r="A911" s="1" t="s">
        <v>90</v>
      </c>
      <c r="B911">
        <v>0</v>
      </c>
    </row>
    <row r="912" spans="1:2" x14ac:dyDescent="0.3">
      <c r="A912" s="1" t="s">
        <v>90</v>
      </c>
      <c r="B912">
        <v>0.1031768325422337</v>
      </c>
    </row>
    <row r="913" spans="1:2" x14ac:dyDescent="0.3">
      <c r="A913" s="1" t="s">
        <v>90</v>
      </c>
      <c r="B913">
        <v>0.12543022491432559</v>
      </c>
    </row>
    <row r="914" spans="1:2" x14ac:dyDescent="0.3">
      <c r="A914" s="1" t="s">
        <v>90</v>
      </c>
      <c r="B914">
        <v>0.14768361728641741</v>
      </c>
    </row>
    <row r="915" spans="1:2" x14ac:dyDescent="0.3">
      <c r="A915" s="1" t="s">
        <v>90</v>
      </c>
      <c r="B915">
        <v>0.16993700965850919</v>
      </c>
    </row>
    <row r="916" spans="1:2" x14ac:dyDescent="0.3">
      <c r="A916" s="1" t="s">
        <v>90</v>
      </c>
      <c r="B916">
        <v>0.19219040203060109</v>
      </c>
    </row>
    <row r="917" spans="1:2" x14ac:dyDescent="0.3">
      <c r="A917" s="1" t="s">
        <v>90</v>
      </c>
      <c r="B917">
        <v>0.2144437944026929</v>
      </c>
    </row>
    <row r="918" spans="1:2" x14ac:dyDescent="0.3">
      <c r="A918" s="1" t="s">
        <v>90</v>
      </c>
      <c r="B918">
        <v>0.23669718677478471</v>
      </c>
    </row>
    <row r="919" spans="1:2" x14ac:dyDescent="0.3">
      <c r="A919" s="1" t="s">
        <v>90</v>
      </c>
      <c r="B919">
        <v>0.25895057914687653</v>
      </c>
    </row>
    <row r="920" spans="1:2" x14ac:dyDescent="0.3">
      <c r="A920" s="1" t="s">
        <v>90</v>
      </c>
      <c r="B920">
        <v>0.28120397151896842</v>
      </c>
    </row>
    <row r="921" spans="1:2" x14ac:dyDescent="0.3">
      <c r="A921" s="1" t="s">
        <v>90</v>
      </c>
      <c r="B921">
        <v>0.30345736389106021</v>
      </c>
    </row>
    <row r="922" spans="1:2" x14ac:dyDescent="0.3">
      <c r="A922" s="1" t="s">
        <v>90</v>
      </c>
      <c r="B922">
        <v>0.32571075626315199</v>
      </c>
    </row>
    <row r="923" spans="1:2" x14ac:dyDescent="0.3">
      <c r="A923" s="1" t="s">
        <v>90</v>
      </c>
      <c r="B923">
        <v>0.34796414863524378</v>
      </c>
    </row>
    <row r="924" spans="1:2" x14ac:dyDescent="0.3">
      <c r="A924" s="1" t="s">
        <v>90</v>
      </c>
      <c r="B924">
        <v>0.37021754100733573</v>
      </c>
    </row>
    <row r="925" spans="1:2" x14ac:dyDescent="0.3">
      <c r="A925" s="1" t="s">
        <v>90</v>
      </c>
      <c r="B925">
        <v>0.39247093337942751</v>
      </c>
    </row>
    <row r="926" spans="1:2" x14ac:dyDescent="0.3">
      <c r="A926" s="1" t="s">
        <v>90</v>
      </c>
      <c r="B926">
        <v>0.4147243257515193</v>
      </c>
    </row>
    <row r="927" spans="1:2" x14ac:dyDescent="0.3">
      <c r="A927" s="1" t="s">
        <v>90</v>
      </c>
      <c r="B927">
        <v>0.43697771812361108</v>
      </c>
    </row>
    <row r="928" spans="1:2" x14ac:dyDescent="0.3">
      <c r="A928" s="1" t="s">
        <v>90</v>
      </c>
      <c r="B928">
        <v>0.45923111049570298</v>
      </c>
    </row>
    <row r="929" spans="1:2" x14ac:dyDescent="0.3">
      <c r="A929" s="1" t="s">
        <v>90</v>
      </c>
      <c r="B929">
        <v>0.48148450286779482</v>
      </c>
    </row>
    <row r="930" spans="1:2" x14ac:dyDescent="0.3">
      <c r="A930" s="1" t="s">
        <v>90</v>
      </c>
      <c r="B930">
        <v>0.50373789523988666</v>
      </c>
    </row>
    <row r="931" spans="1:2" x14ac:dyDescent="0.3">
      <c r="A931" s="1" t="s">
        <v>90</v>
      </c>
      <c r="B931">
        <v>0.52599128761197844</v>
      </c>
    </row>
    <row r="932" spans="1:2" x14ac:dyDescent="0.3">
      <c r="A932" s="1" t="s">
        <v>90</v>
      </c>
      <c r="B932">
        <v>0.54824467998407023</v>
      </c>
    </row>
    <row r="933" spans="1:2" x14ac:dyDescent="0.3">
      <c r="A933" s="1" t="s">
        <v>90</v>
      </c>
      <c r="B933">
        <v>0.57049807235616212</v>
      </c>
    </row>
    <row r="934" spans="1:2" x14ac:dyDescent="0.3">
      <c r="A934" s="1" t="s">
        <v>90</v>
      </c>
      <c r="B934">
        <v>0.59275146472825391</v>
      </c>
    </row>
    <row r="935" spans="1:2" x14ac:dyDescent="0.3">
      <c r="A935" s="1" t="s">
        <v>90</v>
      </c>
      <c r="B935">
        <v>0.6150048571003458</v>
      </c>
    </row>
    <row r="936" spans="1:2" x14ac:dyDescent="0.3">
      <c r="A936" s="1" t="s">
        <v>90</v>
      </c>
      <c r="B936">
        <v>0.63725824947243759</v>
      </c>
    </row>
    <row r="937" spans="1:2" x14ac:dyDescent="0.3">
      <c r="A937" s="1" t="s">
        <v>90</v>
      </c>
      <c r="B937">
        <v>0.65951164184452937</v>
      </c>
    </row>
    <row r="938" spans="1:2" x14ac:dyDescent="0.3">
      <c r="A938" s="1" t="s">
        <v>90</v>
      </c>
      <c r="B938">
        <v>0.68176503421662127</v>
      </c>
    </row>
    <row r="939" spans="1:2" x14ac:dyDescent="0.3">
      <c r="A939" s="1" t="s">
        <v>90</v>
      </c>
      <c r="B939">
        <v>0.70401842658871305</v>
      </c>
    </row>
    <row r="940" spans="1:2" x14ac:dyDescent="0.3">
      <c r="A940" s="1" t="s">
        <v>90</v>
      </c>
      <c r="B940">
        <v>0.72627181896080484</v>
      </c>
    </row>
    <row r="941" spans="1:2" x14ac:dyDescent="0.3">
      <c r="A941" s="1" t="s">
        <v>90</v>
      </c>
      <c r="B941">
        <v>0.74852521133289673</v>
      </c>
    </row>
    <row r="942" spans="1:2" x14ac:dyDescent="0.3">
      <c r="A942" s="1" t="s">
        <v>90</v>
      </c>
      <c r="B942">
        <v>0.77077860370498852</v>
      </c>
    </row>
    <row r="943" spans="1:2" x14ac:dyDescent="0.3">
      <c r="A943" s="1" t="s">
        <v>90</v>
      </c>
      <c r="B943">
        <v>0.79303199607708041</v>
      </c>
    </row>
    <row r="944" spans="1:2" x14ac:dyDescent="0.3">
      <c r="A944" s="1" t="s">
        <v>90</v>
      </c>
      <c r="B944">
        <v>0.8152853884491722</v>
      </c>
    </row>
    <row r="945" spans="1:2" x14ac:dyDescent="0.3">
      <c r="A945" s="1" t="s">
        <v>90</v>
      </c>
      <c r="B945">
        <v>0.83753878082126398</v>
      </c>
    </row>
    <row r="946" spans="1:2" x14ac:dyDescent="0.3">
      <c r="A946" s="1" t="s">
        <v>90</v>
      </c>
      <c r="B946">
        <v>0.85979217319335588</v>
      </c>
    </row>
    <row r="947" spans="1:2" x14ac:dyDescent="0.3">
      <c r="A947" s="1" t="s">
        <v>90</v>
      </c>
      <c r="B947">
        <v>0.88204556556544766</v>
      </c>
    </row>
    <row r="948" spans="1:2" x14ac:dyDescent="0.3">
      <c r="A948" s="1" t="s">
        <v>90</v>
      </c>
      <c r="B948">
        <v>0.90429895793753956</v>
      </c>
    </row>
    <row r="949" spans="1:2" x14ac:dyDescent="0.3">
      <c r="A949" s="1" t="s">
        <v>90</v>
      </c>
      <c r="B949">
        <v>0.92655235030963135</v>
      </c>
    </row>
    <row r="950" spans="1:2" x14ac:dyDescent="0.3">
      <c r="A950" s="1" t="s">
        <v>90</v>
      </c>
      <c r="B950">
        <v>0.94880574268172313</v>
      </c>
    </row>
    <row r="951" spans="1:2" x14ac:dyDescent="0.3">
      <c r="A951" s="1" t="s">
        <v>90</v>
      </c>
      <c r="B951">
        <v>0.97105913505381503</v>
      </c>
    </row>
    <row r="952" spans="1:2" x14ac:dyDescent="0.3">
      <c r="A952" s="1" t="s">
        <v>90</v>
      </c>
      <c r="B952">
        <v>0.99331252742590681</v>
      </c>
    </row>
    <row r="953" spans="1:2" x14ac:dyDescent="0.3">
      <c r="A953" s="1" t="s">
        <v>90</v>
      </c>
      <c r="B953">
        <v>1.015565919797998</v>
      </c>
    </row>
    <row r="954" spans="1:2" x14ac:dyDescent="0.3">
      <c r="A954" s="1" t="s">
        <v>90</v>
      </c>
      <c r="B954">
        <v>1.03781931217009</v>
      </c>
    </row>
    <row r="955" spans="1:2" x14ac:dyDescent="0.3">
      <c r="A955" s="1" t="s">
        <v>90</v>
      </c>
      <c r="B955">
        <v>1.0600727045421821</v>
      </c>
    </row>
    <row r="956" spans="1:2" x14ac:dyDescent="0.3">
      <c r="A956" s="1" t="s">
        <v>90</v>
      </c>
      <c r="B956">
        <v>1.0823260969142741</v>
      </c>
    </row>
    <row r="957" spans="1:2" x14ac:dyDescent="0.3">
      <c r="A957" s="1" t="s">
        <v>90</v>
      </c>
      <c r="B957">
        <v>1.1045794892863661</v>
      </c>
    </row>
    <row r="958" spans="1:2" x14ac:dyDescent="0.3">
      <c r="A958" s="1" t="s">
        <v>90</v>
      </c>
      <c r="B958">
        <v>1.1268328816584581</v>
      </c>
    </row>
    <row r="959" spans="1:2" x14ac:dyDescent="0.3">
      <c r="A959" s="1" t="s">
        <v>90</v>
      </c>
      <c r="B959">
        <v>1.1490862740305501</v>
      </c>
    </row>
    <row r="960" spans="1:2" x14ac:dyDescent="0.3">
      <c r="A960" s="1" t="s">
        <v>90</v>
      </c>
      <c r="B960">
        <v>1.171339666402641</v>
      </c>
    </row>
    <row r="961" spans="1:2" x14ac:dyDescent="0.3">
      <c r="A961" s="1" t="s">
        <v>90</v>
      </c>
      <c r="B961">
        <v>1.193593058774733</v>
      </c>
    </row>
    <row r="962" spans="1:2" x14ac:dyDescent="0.3">
      <c r="A962" s="1" t="s">
        <v>90</v>
      </c>
      <c r="B962">
        <v>1.215846451146825</v>
      </c>
    </row>
    <row r="963" spans="1:2" x14ac:dyDescent="0.3">
      <c r="A963" s="1" t="s">
        <v>90</v>
      </c>
      <c r="B963">
        <v>1.238099843518917</v>
      </c>
    </row>
    <row r="964" spans="1:2" x14ac:dyDescent="0.3">
      <c r="A964" s="1" t="s">
        <v>90</v>
      </c>
      <c r="B964">
        <v>1.260353235891009</v>
      </c>
    </row>
    <row r="965" spans="1:2" x14ac:dyDescent="0.3">
      <c r="A965" s="1" t="s">
        <v>90</v>
      </c>
      <c r="B965">
        <v>1.282606628263101</v>
      </c>
    </row>
    <row r="966" spans="1:2" x14ac:dyDescent="0.3">
      <c r="A966" s="1" t="s">
        <v>90</v>
      </c>
      <c r="B966">
        <v>1.3048600206351919</v>
      </c>
    </row>
    <row r="967" spans="1:2" x14ac:dyDescent="0.3">
      <c r="A967" s="1" t="s">
        <v>90</v>
      </c>
      <c r="B967">
        <v>1.3271134130072839</v>
      </c>
    </row>
    <row r="968" spans="1:2" x14ac:dyDescent="0.3">
      <c r="A968" s="1" t="s">
        <v>90</v>
      </c>
      <c r="B968">
        <v>1.3493668053793759</v>
      </c>
    </row>
    <row r="969" spans="1:2" x14ac:dyDescent="0.3">
      <c r="A969" s="1" t="s">
        <v>90</v>
      </c>
      <c r="B969">
        <v>1.3716201977514679</v>
      </c>
    </row>
    <row r="970" spans="1:2" x14ac:dyDescent="0.3">
      <c r="A970" s="1" t="s">
        <v>90</v>
      </c>
      <c r="B970">
        <v>1.3938735901235599</v>
      </c>
    </row>
    <row r="971" spans="1:2" x14ac:dyDescent="0.3">
      <c r="A971" s="1" t="s">
        <v>90</v>
      </c>
      <c r="B971">
        <v>1.4161269824956511</v>
      </c>
    </row>
    <row r="972" spans="1:2" x14ac:dyDescent="0.3">
      <c r="A972" s="1" t="s">
        <v>90</v>
      </c>
      <c r="B972">
        <v>1.4383803748677431</v>
      </c>
    </row>
    <row r="973" spans="1:2" x14ac:dyDescent="0.3">
      <c r="A973" s="1" t="s">
        <v>90</v>
      </c>
      <c r="B973">
        <v>1.4606337672398351</v>
      </c>
    </row>
    <row r="974" spans="1:2" x14ac:dyDescent="0.3">
      <c r="A974" s="1" t="s">
        <v>90</v>
      </c>
      <c r="B974">
        <v>1.4828871596119271</v>
      </c>
    </row>
    <row r="975" spans="1:2" x14ac:dyDescent="0.3">
      <c r="A975" s="1" t="s">
        <v>90</v>
      </c>
      <c r="B975">
        <v>1.5051405519840191</v>
      </c>
    </row>
    <row r="976" spans="1:2" x14ac:dyDescent="0.3">
      <c r="A976" s="1" t="s">
        <v>90</v>
      </c>
      <c r="B976">
        <v>1.5273939443561111</v>
      </c>
    </row>
    <row r="977" spans="1:2" x14ac:dyDescent="0.3">
      <c r="A977" s="1" t="s">
        <v>90</v>
      </c>
      <c r="B977">
        <v>1.549647336728202</v>
      </c>
    </row>
    <row r="978" spans="1:2" x14ac:dyDescent="0.3">
      <c r="A978" s="1" t="s">
        <v>90</v>
      </c>
      <c r="B978">
        <v>1.571900729100294</v>
      </c>
    </row>
    <row r="979" spans="1:2" x14ac:dyDescent="0.3">
      <c r="A979" s="1" t="s">
        <v>90</v>
      </c>
      <c r="B979">
        <v>1.594154121472386</v>
      </c>
    </row>
    <row r="980" spans="1:2" x14ac:dyDescent="0.3">
      <c r="A980" s="1" t="s">
        <v>90</v>
      </c>
      <c r="B980">
        <v>1.616407513844478</v>
      </c>
    </row>
    <row r="981" spans="1:2" x14ac:dyDescent="0.3">
      <c r="A981" s="1" t="s">
        <v>90</v>
      </c>
      <c r="B981">
        <v>1.63866090621657</v>
      </c>
    </row>
    <row r="982" spans="1:2" x14ac:dyDescent="0.3">
      <c r="A982" s="1" t="s">
        <v>90</v>
      </c>
      <c r="B982">
        <v>1.660914298588662</v>
      </c>
    </row>
    <row r="983" spans="1:2" x14ac:dyDescent="0.3">
      <c r="A983" s="1" t="s">
        <v>90</v>
      </c>
      <c r="B983">
        <v>1.6831676909607529</v>
      </c>
    </row>
    <row r="984" spans="1:2" x14ac:dyDescent="0.3">
      <c r="A984" s="1" t="s">
        <v>90</v>
      </c>
      <c r="B984">
        <v>1.7054210833328449</v>
      </c>
    </row>
    <row r="985" spans="1:2" x14ac:dyDescent="0.3">
      <c r="A985" s="1" t="s">
        <v>90</v>
      </c>
      <c r="B985">
        <v>1.7276744757049369</v>
      </c>
    </row>
    <row r="986" spans="1:2" x14ac:dyDescent="0.3">
      <c r="A986" s="1" t="s">
        <v>90</v>
      </c>
      <c r="B986">
        <v>1.7499278680770289</v>
      </c>
    </row>
    <row r="987" spans="1:2" x14ac:dyDescent="0.3">
      <c r="A987" s="1" t="s">
        <v>90</v>
      </c>
      <c r="B987">
        <v>1.7721812604491209</v>
      </c>
    </row>
    <row r="988" spans="1:2" x14ac:dyDescent="0.3">
      <c r="A988" s="1" t="s">
        <v>90</v>
      </c>
      <c r="B988">
        <v>1.7944346528212129</v>
      </c>
    </row>
    <row r="989" spans="1:2" x14ac:dyDescent="0.3">
      <c r="A989" s="1" t="s">
        <v>90</v>
      </c>
      <c r="B989">
        <v>1.8166880451933041</v>
      </c>
    </row>
    <row r="990" spans="1:2" x14ac:dyDescent="0.3">
      <c r="A990" s="1" t="s">
        <v>90</v>
      </c>
      <c r="B990">
        <v>1.8389414375653961</v>
      </c>
    </row>
    <row r="991" spans="1:2" x14ac:dyDescent="0.3">
      <c r="A991" s="1" t="s">
        <v>90</v>
      </c>
      <c r="B991">
        <v>1.8611948299374881</v>
      </c>
    </row>
    <row r="992" spans="1:2" x14ac:dyDescent="0.3">
      <c r="A992" s="1" t="s">
        <v>90</v>
      </c>
      <c r="B992">
        <v>1.8834482223095801</v>
      </c>
    </row>
    <row r="993" spans="1:2" x14ac:dyDescent="0.3">
      <c r="A993" s="1" t="s">
        <v>90</v>
      </c>
      <c r="B993">
        <v>1.9057016146816721</v>
      </c>
    </row>
    <row r="994" spans="1:2" x14ac:dyDescent="0.3">
      <c r="A994" s="1" t="s">
        <v>90</v>
      </c>
      <c r="B994">
        <v>1.927955007053763</v>
      </c>
    </row>
    <row r="995" spans="1:2" x14ac:dyDescent="0.3">
      <c r="A995" s="1" t="s">
        <v>90</v>
      </c>
      <c r="B995">
        <v>1.950208399425855</v>
      </c>
    </row>
    <row r="996" spans="1:2" x14ac:dyDescent="0.3">
      <c r="A996" s="1" t="s">
        <v>90</v>
      </c>
      <c r="B996">
        <v>1.972461791797947</v>
      </c>
    </row>
    <row r="997" spans="1:2" x14ac:dyDescent="0.3">
      <c r="A997" s="1" t="s">
        <v>90</v>
      </c>
      <c r="B997">
        <v>1.994715184170039</v>
      </c>
    </row>
    <row r="998" spans="1:2" x14ac:dyDescent="0.3">
      <c r="A998" s="1" t="s">
        <v>90</v>
      </c>
      <c r="B998">
        <v>2.0169685765421308</v>
      </c>
    </row>
    <row r="999" spans="1:2" x14ac:dyDescent="0.3">
      <c r="A999" s="1" t="s">
        <v>90</v>
      </c>
      <c r="B999">
        <v>2.039221968914223</v>
      </c>
    </row>
    <row r="1000" spans="1:2" x14ac:dyDescent="0.3">
      <c r="A1000" s="1" t="s">
        <v>90</v>
      </c>
      <c r="B1000">
        <v>2.0614753612863139</v>
      </c>
    </row>
    <row r="1001" spans="1:2" x14ac:dyDescent="0.3">
      <c r="A1001" s="1" t="s">
        <v>90</v>
      </c>
      <c r="B1001">
        <v>2.0837287536584062</v>
      </c>
    </row>
    <row r="1002" spans="1:2" x14ac:dyDescent="0.3">
      <c r="A1002" s="1" t="s">
        <v>90</v>
      </c>
      <c r="B1002">
        <v>2.1059821460304979</v>
      </c>
    </row>
    <row r="1003" spans="1:2" x14ac:dyDescent="0.3">
      <c r="A1003" s="1" t="s">
        <v>90</v>
      </c>
      <c r="B1003">
        <v>2.1282355384025902</v>
      </c>
    </row>
    <row r="1004" spans="1:2" x14ac:dyDescent="0.3">
      <c r="A1004" s="1" t="s">
        <v>90</v>
      </c>
      <c r="B1004">
        <v>2.150488930774682</v>
      </c>
    </row>
    <row r="1005" spans="1:2" x14ac:dyDescent="0.3">
      <c r="A1005" s="1" t="s">
        <v>90</v>
      </c>
      <c r="B1005">
        <v>2.1727423231467742</v>
      </c>
    </row>
    <row r="1006" spans="1:2" x14ac:dyDescent="0.3">
      <c r="A1006" s="1" t="s">
        <v>90</v>
      </c>
      <c r="B1006">
        <v>2.194995715518866</v>
      </c>
    </row>
    <row r="1007" spans="1:2" x14ac:dyDescent="0.3">
      <c r="A1007" s="1" t="s">
        <v>90</v>
      </c>
      <c r="B1007">
        <v>2.2172491078909569</v>
      </c>
    </row>
    <row r="1008" spans="1:2" x14ac:dyDescent="0.3">
      <c r="A1008" s="1" t="s">
        <v>90</v>
      </c>
      <c r="B1008">
        <v>2.2395025002630491</v>
      </c>
    </row>
    <row r="1009" spans="1:2" x14ac:dyDescent="0.3">
      <c r="A1009" s="1" t="s">
        <v>90</v>
      </c>
      <c r="B1009">
        <v>2.2617558926351409</v>
      </c>
    </row>
    <row r="1010" spans="1:2" x14ac:dyDescent="0.3">
      <c r="A1010" s="1" t="s">
        <v>90</v>
      </c>
      <c r="B1010">
        <v>2.2840092850072331</v>
      </c>
    </row>
    <row r="1011" spans="1:2" x14ac:dyDescent="0.3">
      <c r="A1011" s="1" t="s">
        <v>90</v>
      </c>
      <c r="B1011">
        <v>2.306262677379324</v>
      </c>
    </row>
    <row r="1012" spans="1:2" x14ac:dyDescent="0.3">
      <c r="A1012" s="1" t="s">
        <v>112</v>
      </c>
      <c r="B1012">
        <v>0</v>
      </c>
    </row>
    <row r="1013" spans="1:2" x14ac:dyDescent="0.3">
      <c r="A1013" s="1" t="s">
        <v>112</v>
      </c>
      <c r="B1013">
        <v>0.26229609416400679</v>
      </c>
    </row>
    <row r="1014" spans="1:2" x14ac:dyDescent="0.3">
      <c r="A1014" s="1" t="s">
        <v>112</v>
      </c>
      <c r="B1014">
        <v>0.60364647752868272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48943B-197F-4F4E-BA15-5BC56AE657CC}">
  <sheetPr codeName="Tabelle4"/>
  <dimension ref="A1:G200"/>
  <sheetViews>
    <sheetView zoomScale="70" zoomScaleNormal="70" workbookViewId="0">
      <selection activeCell="G10" sqref="G10"/>
    </sheetView>
  </sheetViews>
  <sheetFormatPr baseColWidth="10" defaultRowHeight="14.4" customHeight="1" x14ac:dyDescent="0.3"/>
  <cols>
    <col min="1" max="1" width="39.44140625" bestFit="1" customWidth="1"/>
    <col min="2" max="2" width="36" bestFit="1" customWidth="1"/>
    <col min="4" max="4" width="17.77734375" bestFit="1" customWidth="1"/>
    <col min="7" max="7" width="18" bestFit="1" customWidth="1"/>
  </cols>
  <sheetData>
    <row r="1" spans="1:7" x14ac:dyDescent="0.3">
      <c r="A1" t="s">
        <v>16</v>
      </c>
      <c r="B1" s="2" t="s">
        <v>15</v>
      </c>
      <c r="C1" t="s">
        <v>18</v>
      </c>
    </row>
    <row r="2" spans="1:7" x14ac:dyDescent="0.3">
      <c r="A2" s="1" t="s">
        <v>101</v>
      </c>
      <c r="B2">
        <v>25671.126817098509</v>
      </c>
      <c r="C2">
        <v>1117.0416</v>
      </c>
    </row>
    <row r="3" spans="1:7" x14ac:dyDescent="0.3">
      <c r="A3" s="1" t="s">
        <v>101</v>
      </c>
      <c r="B3">
        <v>25628.286092829261</v>
      </c>
      <c r="C3">
        <v>1118.7401535353531</v>
      </c>
    </row>
    <row r="4" spans="1:7" x14ac:dyDescent="0.3">
      <c r="A4" s="1" t="s">
        <v>101</v>
      </c>
      <c r="B4">
        <v>25601.041827263369</v>
      </c>
      <c r="C4">
        <v>1120.4387070707071</v>
      </c>
      <c r="F4" t="s">
        <v>113</v>
      </c>
      <c r="G4" t="s">
        <v>114</v>
      </c>
    </row>
    <row r="5" spans="1:7" x14ac:dyDescent="0.3">
      <c r="A5" s="1" t="s">
        <v>101</v>
      </c>
      <c r="B5">
        <v>25558.201102994131</v>
      </c>
      <c r="C5">
        <v>1122.13726060606</v>
      </c>
      <c r="F5">
        <f>MIN(B2:B101)</f>
        <v>12250.639072325759</v>
      </c>
      <c r="G5">
        <f>MAX(B2:B101)</f>
        <v>25671.126817098509</v>
      </c>
    </row>
    <row r="6" spans="1:7" x14ac:dyDescent="0.3">
      <c r="A6" s="1" t="s">
        <v>101</v>
      </c>
      <c r="B6">
        <v>25530.306007786221</v>
      </c>
      <c r="C6">
        <v>1123.8358141414139</v>
      </c>
    </row>
    <row r="7" spans="1:7" x14ac:dyDescent="0.3">
      <c r="A7" s="1" t="s">
        <v>101</v>
      </c>
      <c r="B7">
        <v>25487.465283516962</v>
      </c>
      <c r="C7">
        <v>1125.534367676767</v>
      </c>
    </row>
    <row r="8" spans="1:7" x14ac:dyDescent="0.3">
      <c r="A8" s="1" t="s">
        <v>101</v>
      </c>
      <c r="B8">
        <v>25460.670574471351</v>
      </c>
      <c r="C8">
        <v>1127.232921212121</v>
      </c>
      <c r="F8" t="s">
        <v>113</v>
      </c>
      <c r="G8" t="s">
        <v>114</v>
      </c>
    </row>
    <row r="9" spans="1:7" x14ac:dyDescent="0.3">
      <c r="A9" s="1" t="s">
        <v>101</v>
      </c>
      <c r="B9">
        <v>25417.829850202099</v>
      </c>
      <c r="C9">
        <v>1128.931474747475</v>
      </c>
      <c r="F9">
        <f>MIN(B102:C201)</f>
        <v>1118.7401535353531</v>
      </c>
      <c r="G9">
        <f>MAX(B102:C201)</f>
        <v>12207.79834805652</v>
      </c>
    </row>
    <row r="10" spans="1:7" x14ac:dyDescent="0.3">
      <c r="A10" s="1" t="s">
        <v>101</v>
      </c>
      <c r="B10">
        <v>25388.140732184242</v>
      </c>
      <c r="C10">
        <v>1130.6300282828281</v>
      </c>
    </row>
    <row r="11" spans="1:7" x14ac:dyDescent="0.3">
      <c r="A11" s="1" t="s">
        <v>101</v>
      </c>
      <c r="B11">
        <v>25345.300007915001</v>
      </c>
      <c r="C11">
        <v>1132.3285818181821</v>
      </c>
    </row>
    <row r="12" spans="1:7" x14ac:dyDescent="0.3">
      <c r="A12" s="1" t="s">
        <v>101</v>
      </c>
      <c r="B12">
        <v>25302.45928364577</v>
      </c>
      <c r="C12">
        <v>1134.027135353535</v>
      </c>
      <c r="F12" s="3"/>
    </row>
    <row r="13" spans="1:7" x14ac:dyDescent="0.3">
      <c r="A13" s="1" t="s">
        <v>101</v>
      </c>
      <c r="B13">
        <v>25259.618559376519</v>
      </c>
      <c r="C13">
        <v>1135.725688888889</v>
      </c>
    </row>
    <row r="14" spans="1:7" x14ac:dyDescent="0.3">
      <c r="A14" s="1" t="s">
        <v>101</v>
      </c>
      <c r="B14">
        <v>25216.77783510727</v>
      </c>
      <c r="C14">
        <v>1137.424242424242</v>
      </c>
    </row>
    <row r="15" spans="1:7" x14ac:dyDescent="0.3">
      <c r="A15" s="1" t="s">
        <v>101</v>
      </c>
      <c r="B15">
        <v>25173.937110838011</v>
      </c>
      <c r="C15">
        <v>1139.122795959596</v>
      </c>
    </row>
    <row r="16" spans="1:7" x14ac:dyDescent="0.3">
      <c r="A16" s="1" t="s">
        <v>101</v>
      </c>
      <c r="B16">
        <v>25131.096386568781</v>
      </c>
      <c r="C16">
        <v>1140.8213494949489</v>
      </c>
    </row>
    <row r="17" spans="1:3" x14ac:dyDescent="0.3">
      <c r="A17" s="1" t="s">
        <v>101</v>
      </c>
      <c r="B17">
        <v>25088.255662299511</v>
      </c>
      <c r="C17">
        <v>1142.5199030303031</v>
      </c>
    </row>
    <row r="18" spans="1:3" x14ac:dyDescent="0.3">
      <c r="A18" s="1" t="s">
        <v>101</v>
      </c>
      <c r="B18">
        <v>25059.335642013521</v>
      </c>
      <c r="C18">
        <v>1144.218456565656</v>
      </c>
    </row>
    <row r="19" spans="1:3" x14ac:dyDescent="0.3">
      <c r="A19" s="1" t="s">
        <v>101</v>
      </c>
      <c r="B19">
        <v>25016.49491774429</v>
      </c>
      <c r="C19">
        <v>1145.91701010101</v>
      </c>
    </row>
    <row r="20" spans="1:3" x14ac:dyDescent="0.3">
      <c r="A20" s="1" t="s">
        <v>101</v>
      </c>
      <c r="B20">
        <v>24973.654193475038</v>
      </c>
      <c r="C20">
        <v>1147.615563636364</v>
      </c>
    </row>
    <row r="21" spans="1:3" x14ac:dyDescent="0.3">
      <c r="A21" s="1" t="s">
        <v>101</v>
      </c>
      <c r="B21">
        <v>24930.81346920579</v>
      </c>
      <c r="C21">
        <v>1149.314117171717</v>
      </c>
    </row>
    <row r="22" spans="1:3" x14ac:dyDescent="0.3">
      <c r="A22" s="1" t="s">
        <v>101</v>
      </c>
      <c r="B22">
        <v>24887.972744936549</v>
      </c>
      <c r="C22">
        <v>1151.012670707071</v>
      </c>
    </row>
    <row r="23" spans="1:3" x14ac:dyDescent="0.3">
      <c r="A23" s="1" t="s">
        <v>101</v>
      </c>
      <c r="B23">
        <v>24845.132020667301</v>
      </c>
      <c r="C23">
        <v>1152.7112242424239</v>
      </c>
    </row>
    <row r="24" spans="1:3" x14ac:dyDescent="0.3">
      <c r="A24" s="1" t="s">
        <v>101</v>
      </c>
      <c r="B24">
        <v>24802.291296398031</v>
      </c>
      <c r="C24">
        <v>1154.4097777777779</v>
      </c>
    </row>
    <row r="25" spans="1:3" x14ac:dyDescent="0.3">
      <c r="A25" s="1" t="s">
        <v>101</v>
      </c>
      <c r="B25">
        <v>24759.450572128819</v>
      </c>
      <c r="C25">
        <v>1156.108331313131</v>
      </c>
    </row>
    <row r="26" spans="1:3" x14ac:dyDescent="0.3">
      <c r="A26" s="1" t="s">
        <v>101</v>
      </c>
      <c r="B26">
        <v>24716.60984785957</v>
      </c>
      <c r="C26">
        <v>1157.806884848485</v>
      </c>
    </row>
    <row r="27" spans="1:3" x14ac:dyDescent="0.3">
      <c r="A27" s="1" t="s">
        <v>101</v>
      </c>
      <c r="B27">
        <v>24673.7691235903</v>
      </c>
      <c r="C27">
        <v>1159.5054383838381</v>
      </c>
    </row>
    <row r="28" spans="1:3" x14ac:dyDescent="0.3">
      <c r="A28" s="1" t="s">
        <v>101</v>
      </c>
      <c r="B28">
        <v>24630.928399321059</v>
      </c>
      <c r="C28">
        <v>1161.203991919192</v>
      </c>
    </row>
    <row r="29" spans="1:3" x14ac:dyDescent="0.3">
      <c r="A29" s="1" t="s">
        <v>101</v>
      </c>
      <c r="B29">
        <v>24588.087675051811</v>
      </c>
      <c r="C29">
        <v>1162.9025454545449</v>
      </c>
    </row>
    <row r="30" spans="1:3" x14ac:dyDescent="0.3">
      <c r="A30" s="1" t="s">
        <v>101</v>
      </c>
      <c r="B30">
        <v>24545.246950782559</v>
      </c>
      <c r="C30">
        <v>1164.6010989898989</v>
      </c>
    </row>
    <row r="31" spans="1:3" x14ac:dyDescent="0.3">
      <c r="A31" s="1" t="s">
        <v>101</v>
      </c>
      <c r="B31">
        <v>24516.933128251989</v>
      </c>
      <c r="C31">
        <v>1166.299652525252</v>
      </c>
    </row>
    <row r="32" spans="1:3" x14ac:dyDescent="0.3">
      <c r="A32" s="1" t="s">
        <v>101</v>
      </c>
      <c r="B32">
        <v>24474.092403982759</v>
      </c>
      <c r="C32">
        <v>1167.998206060606</v>
      </c>
    </row>
    <row r="33" spans="1:3" x14ac:dyDescent="0.3">
      <c r="A33" s="1" t="s">
        <v>101</v>
      </c>
      <c r="B33">
        <v>24431.251679713521</v>
      </c>
      <c r="C33">
        <v>1169.69675959596</v>
      </c>
    </row>
    <row r="34" spans="1:3" x14ac:dyDescent="0.3">
      <c r="A34" s="1" t="s">
        <v>101</v>
      </c>
      <c r="B34">
        <v>24388.410955444251</v>
      </c>
      <c r="C34">
        <v>1171.3953131313131</v>
      </c>
    </row>
    <row r="35" spans="1:3" x14ac:dyDescent="0.3">
      <c r="A35" s="1" t="s">
        <v>101</v>
      </c>
      <c r="B35">
        <v>24345.57023117501</v>
      </c>
      <c r="C35">
        <v>1173.0938666666671</v>
      </c>
    </row>
    <row r="36" spans="1:3" x14ac:dyDescent="0.3">
      <c r="A36" s="1" t="s">
        <v>101</v>
      </c>
      <c r="B36">
        <v>24302.729506905762</v>
      </c>
      <c r="C36">
        <v>1174.7924202020199</v>
      </c>
    </row>
    <row r="37" spans="1:3" x14ac:dyDescent="0.3">
      <c r="A37" s="1" t="s">
        <v>101</v>
      </c>
      <c r="B37">
        <v>24259.888782636499</v>
      </c>
      <c r="C37">
        <v>1176.4909737373739</v>
      </c>
    </row>
    <row r="38" spans="1:3" x14ac:dyDescent="0.3">
      <c r="A38" s="1" t="s">
        <v>101</v>
      </c>
      <c r="B38">
        <v>24217.048058367262</v>
      </c>
      <c r="C38">
        <v>1178.189527272727</v>
      </c>
    </row>
    <row r="39" spans="1:3" x14ac:dyDescent="0.3">
      <c r="A39" s="1" t="s">
        <v>101</v>
      </c>
      <c r="B39">
        <v>24190.02697422633</v>
      </c>
      <c r="C39">
        <v>1179.888080808081</v>
      </c>
    </row>
    <row r="40" spans="1:3" x14ac:dyDescent="0.3">
      <c r="A40" s="1" t="s">
        <v>101</v>
      </c>
      <c r="B40">
        <v>24162.34574723386</v>
      </c>
      <c r="C40">
        <v>1181.5866343434341</v>
      </c>
    </row>
    <row r="41" spans="1:3" x14ac:dyDescent="0.3">
      <c r="A41" s="1" t="s">
        <v>101</v>
      </c>
      <c r="B41">
        <v>24119.505022964611</v>
      </c>
      <c r="C41">
        <v>1183.2851878787881</v>
      </c>
    </row>
    <row r="42" spans="1:3" x14ac:dyDescent="0.3">
      <c r="A42" s="1" t="s">
        <v>101</v>
      </c>
      <c r="B42">
        <v>24076.664298695348</v>
      </c>
      <c r="C42">
        <v>1184.9837414141409</v>
      </c>
    </row>
    <row r="43" spans="1:3" x14ac:dyDescent="0.3">
      <c r="A43" s="1" t="s">
        <v>101</v>
      </c>
      <c r="B43">
        <v>24033.8235744261</v>
      </c>
      <c r="C43">
        <v>1186.6822949494949</v>
      </c>
    </row>
    <row r="44" spans="1:3" x14ac:dyDescent="0.3">
      <c r="A44" s="1" t="s">
        <v>101</v>
      </c>
      <c r="B44">
        <v>23990.982850156859</v>
      </c>
      <c r="C44">
        <v>1188.380848484848</v>
      </c>
    </row>
    <row r="45" spans="1:3" x14ac:dyDescent="0.3">
      <c r="A45" s="1" t="s">
        <v>101</v>
      </c>
      <c r="B45">
        <v>23948.142125887629</v>
      </c>
      <c r="C45">
        <v>1190.079402020202</v>
      </c>
    </row>
    <row r="46" spans="1:3" x14ac:dyDescent="0.3">
      <c r="A46" s="1" t="s">
        <v>101</v>
      </c>
      <c r="B46">
        <v>23905.301401618381</v>
      </c>
      <c r="C46">
        <v>1191.777955555556</v>
      </c>
    </row>
    <row r="47" spans="1:3" x14ac:dyDescent="0.3">
      <c r="A47" s="1" t="s">
        <v>101</v>
      </c>
      <c r="B47">
        <v>23876.184989851561</v>
      </c>
      <c r="C47">
        <v>1193.4765090909091</v>
      </c>
    </row>
    <row r="48" spans="1:3" x14ac:dyDescent="0.3">
      <c r="A48" s="1" t="s">
        <v>101</v>
      </c>
      <c r="B48">
        <v>23833.344265582331</v>
      </c>
      <c r="C48">
        <v>1195.1750626262631</v>
      </c>
    </row>
    <row r="49" spans="1:3" x14ac:dyDescent="0.3">
      <c r="A49" s="1" t="s">
        <v>101</v>
      </c>
      <c r="B49">
        <v>23790.503541313072</v>
      </c>
      <c r="C49">
        <v>1196.8736161616159</v>
      </c>
    </row>
    <row r="50" spans="1:3" x14ac:dyDescent="0.3">
      <c r="A50" s="1" t="s">
        <v>101</v>
      </c>
      <c r="B50">
        <v>23763.93844673377</v>
      </c>
      <c r="C50">
        <v>1198.572169696969</v>
      </c>
    </row>
    <row r="51" spans="1:3" x14ac:dyDescent="0.3">
      <c r="A51" s="1" t="s">
        <v>101</v>
      </c>
      <c r="B51">
        <v>23721.097722464539</v>
      </c>
      <c r="C51">
        <v>1200.270723232323</v>
      </c>
    </row>
    <row r="52" spans="1:3" x14ac:dyDescent="0.3">
      <c r="A52" s="1" t="s">
        <v>101</v>
      </c>
      <c r="B52">
        <v>23678.256998195298</v>
      </c>
      <c r="C52">
        <v>1201.969276767677</v>
      </c>
    </row>
    <row r="53" spans="1:3" x14ac:dyDescent="0.3">
      <c r="A53" s="1" t="s">
        <v>101</v>
      </c>
      <c r="B53">
        <v>23635.41627392605</v>
      </c>
      <c r="C53">
        <v>1203.6678303030301</v>
      </c>
    </row>
    <row r="54" spans="1:3" x14ac:dyDescent="0.3">
      <c r="A54" s="1" t="s">
        <v>101</v>
      </c>
      <c r="B54">
        <v>23592.575549656802</v>
      </c>
      <c r="C54">
        <v>1205.3663838383841</v>
      </c>
    </row>
    <row r="55" spans="1:3" x14ac:dyDescent="0.3">
      <c r="A55" s="1" t="s">
        <v>101</v>
      </c>
      <c r="B55">
        <v>23563.854731164629</v>
      </c>
      <c r="C55">
        <v>1207.0649373737369</v>
      </c>
    </row>
    <row r="56" spans="1:3" x14ac:dyDescent="0.3">
      <c r="A56" s="1" t="s">
        <v>101</v>
      </c>
      <c r="B56">
        <v>23521.014006895381</v>
      </c>
      <c r="C56">
        <v>1208.7634909090909</v>
      </c>
    </row>
    <row r="57" spans="1:3" x14ac:dyDescent="0.3">
      <c r="A57" s="1" t="s">
        <v>101</v>
      </c>
      <c r="B57">
        <v>23478.173282626129</v>
      </c>
      <c r="C57">
        <v>1210.462044444444</v>
      </c>
    </row>
    <row r="58" spans="1:3" x14ac:dyDescent="0.3">
      <c r="A58" s="1" t="s">
        <v>101</v>
      </c>
      <c r="B58">
        <v>23435.332558356909</v>
      </c>
      <c r="C58">
        <v>1212.160597979798</v>
      </c>
    </row>
    <row r="59" spans="1:3" x14ac:dyDescent="0.3">
      <c r="A59" s="1" t="s">
        <v>101</v>
      </c>
      <c r="B59">
        <v>23392.491834087661</v>
      </c>
      <c r="C59">
        <v>1213.8591515151511</v>
      </c>
    </row>
    <row r="60" spans="1:3" x14ac:dyDescent="0.3">
      <c r="A60" s="1" t="s">
        <v>101</v>
      </c>
      <c r="B60">
        <v>23349.651109818398</v>
      </c>
      <c r="C60">
        <v>1215.5577050505051</v>
      </c>
    </row>
    <row r="61" spans="1:3" x14ac:dyDescent="0.3">
      <c r="A61" s="1" t="s">
        <v>101</v>
      </c>
      <c r="B61">
        <v>23306.81038554915</v>
      </c>
      <c r="C61">
        <v>1217.2562585858579</v>
      </c>
    </row>
    <row r="62" spans="1:3" x14ac:dyDescent="0.3">
      <c r="A62" s="1" t="s">
        <v>101</v>
      </c>
      <c r="B62">
        <v>23263.969661279909</v>
      </c>
      <c r="C62">
        <v>1218.9548121212119</v>
      </c>
    </row>
    <row r="63" spans="1:3" x14ac:dyDescent="0.3">
      <c r="A63" s="1" t="s">
        <v>101</v>
      </c>
      <c r="B63">
        <v>23221.12893701065</v>
      </c>
      <c r="C63">
        <v>1220.653365656565</v>
      </c>
    </row>
    <row r="64" spans="1:3" x14ac:dyDescent="0.3">
      <c r="A64" s="1" t="s">
        <v>101</v>
      </c>
      <c r="B64">
        <v>23193.664638634349</v>
      </c>
      <c r="C64">
        <v>1222.351919191919</v>
      </c>
    </row>
    <row r="65" spans="1:3" x14ac:dyDescent="0.3">
      <c r="A65" s="1" t="s">
        <v>101</v>
      </c>
      <c r="B65">
        <v>23165.558692435941</v>
      </c>
      <c r="C65">
        <v>1224.050472727273</v>
      </c>
    </row>
    <row r="66" spans="1:3" x14ac:dyDescent="0.3">
      <c r="A66" s="1" t="s">
        <v>101</v>
      </c>
      <c r="B66">
        <v>23135.684033268019</v>
      </c>
      <c r="C66">
        <v>1225.7490262626261</v>
      </c>
    </row>
    <row r="67" spans="1:3" x14ac:dyDescent="0.3">
      <c r="A67" s="1" t="s">
        <v>101</v>
      </c>
      <c r="B67">
        <v>23092.84330899877</v>
      </c>
      <c r="C67">
        <v>1227.4475797979801</v>
      </c>
    </row>
    <row r="68" spans="1:3" x14ac:dyDescent="0.3">
      <c r="A68" s="1" t="s">
        <v>101</v>
      </c>
      <c r="B68">
        <v>23050.002584729511</v>
      </c>
      <c r="C68">
        <v>1229.146133333333</v>
      </c>
    </row>
    <row r="69" spans="1:3" x14ac:dyDescent="0.3">
      <c r="A69" s="1" t="s">
        <v>101</v>
      </c>
      <c r="B69">
        <v>23007.16186046027</v>
      </c>
      <c r="C69">
        <v>1230.8446868686869</v>
      </c>
    </row>
    <row r="70" spans="1:3" x14ac:dyDescent="0.3">
      <c r="A70" s="1" t="s">
        <v>101</v>
      </c>
      <c r="B70">
        <v>22964.321136191022</v>
      </c>
      <c r="C70">
        <v>1232.54324040404</v>
      </c>
    </row>
    <row r="71" spans="1:3" x14ac:dyDescent="0.3">
      <c r="A71" s="1" t="s">
        <v>101</v>
      </c>
      <c r="B71">
        <v>22921.48041192177</v>
      </c>
      <c r="C71">
        <v>1234.241793939394</v>
      </c>
    </row>
    <row r="72" spans="1:3" x14ac:dyDescent="0.3">
      <c r="A72" s="1" t="s">
        <v>101</v>
      </c>
      <c r="B72">
        <v>22891.242486296291</v>
      </c>
      <c r="C72">
        <v>1235.9403474747469</v>
      </c>
    </row>
    <row r="73" spans="1:3" x14ac:dyDescent="0.3">
      <c r="A73" s="1" t="s">
        <v>101</v>
      </c>
      <c r="B73">
        <v>22848.401762027039</v>
      </c>
      <c r="C73">
        <v>1237.6389010101011</v>
      </c>
    </row>
    <row r="74" spans="1:3" x14ac:dyDescent="0.3">
      <c r="A74" s="1" t="s">
        <v>101</v>
      </c>
      <c r="B74">
        <v>22805.56103775778</v>
      </c>
      <c r="C74">
        <v>1239.337454545454</v>
      </c>
    </row>
    <row r="75" spans="1:3" x14ac:dyDescent="0.3">
      <c r="A75" s="1" t="s">
        <v>101</v>
      </c>
      <c r="B75">
        <v>22762.720313488531</v>
      </c>
      <c r="C75">
        <v>1241.036008080808</v>
      </c>
    </row>
    <row r="76" spans="1:3" x14ac:dyDescent="0.3">
      <c r="A76" s="1" t="s">
        <v>101</v>
      </c>
      <c r="B76">
        <v>22733.21939166823</v>
      </c>
      <c r="C76">
        <v>1242.734561616161</v>
      </c>
    </row>
    <row r="77" spans="1:3" x14ac:dyDescent="0.3">
      <c r="A77" s="1" t="s">
        <v>101</v>
      </c>
      <c r="B77">
        <v>22690.378667398989</v>
      </c>
      <c r="C77">
        <v>1244.433115151515</v>
      </c>
    </row>
    <row r="78" spans="1:3" x14ac:dyDescent="0.3">
      <c r="A78" s="1" t="s">
        <v>101</v>
      </c>
      <c r="B78">
        <v>22647.53794312977</v>
      </c>
      <c r="C78">
        <v>1246.131668686869</v>
      </c>
    </row>
    <row r="79" spans="1:3" x14ac:dyDescent="0.3">
      <c r="A79" s="1" t="s">
        <v>101</v>
      </c>
      <c r="B79">
        <v>22604.697218860521</v>
      </c>
      <c r="C79">
        <v>1247.8302222222219</v>
      </c>
    </row>
    <row r="80" spans="1:3" x14ac:dyDescent="0.3">
      <c r="A80" s="1" t="s">
        <v>101</v>
      </c>
      <c r="B80">
        <v>22561.85649459128</v>
      </c>
      <c r="C80">
        <v>1249.5287757575761</v>
      </c>
    </row>
    <row r="81" spans="1:3" x14ac:dyDescent="0.3">
      <c r="A81" s="1" t="s">
        <v>101</v>
      </c>
      <c r="B81">
        <v>22519.01577032201</v>
      </c>
      <c r="C81">
        <v>1251.227329292929</v>
      </c>
    </row>
    <row r="82" spans="1:3" x14ac:dyDescent="0.3">
      <c r="A82" s="1" t="s">
        <v>101</v>
      </c>
      <c r="B82">
        <v>22476.175046052758</v>
      </c>
      <c r="C82">
        <v>1252.925882828283</v>
      </c>
    </row>
    <row r="83" spans="1:3" x14ac:dyDescent="0.3">
      <c r="A83" s="1" t="s">
        <v>101</v>
      </c>
      <c r="B83">
        <v>22433.334321783499</v>
      </c>
      <c r="C83">
        <v>1254.6244363636361</v>
      </c>
    </row>
    <row r="84" spans="1:3" x14ac:dyDescent="0.3">
      <c r="A84" s="1" t="s">
        <v>101</v>
      </c>
      <c r="B84">
        <v>22390.493597514269</v>
      </c>
      <c r="C84">
        <v>1256.32298989899</v>
      </c>
    </row>
    <row r="85" spans="1:3" x14ac:dyDescent="0.3">
      <c r="A85" s="1" t="s">
        <v>101</v>
      </c>
      <c r="B85">
        <v>22347.65287324505</v>
      </c>
      <c r="C85">
        <v>1258.0215434343429</v>
      </c>
    </row>
    <row r="86" spans="1:3" x14ac:dyDescent="0.3">
      <c r="A86" s="1" t="s">
        <v>101</v>
      </c>
      <c r="B86">
        <v>22304.812148975809</v>
      </c>
      <c r="C86">
        <v>1259.7200969696969</v>
      </c>
    </row>
    <row r="87" spans="1:3" x14ac:dyDescent="0.3">
      <c r="A87" s="1" t="s">
        <v>101</v>
      </c>
      <c r="B87">
        <v>22261.971424706549</v>
      </c>
      <c r="C87">
        <v>1261.41865050505</v>
      </c>
    </row>
    <row r="88" spans="1:3" x14ac:dyDescent="0.3">
      <c r="A88" s="1" t="s">
        <v>101</v>
      </c>
      <c r="B88">
        <v>22219.13070043729</v>
      </c>
      <c r="C88">
        <v>1263.117204040404</v>
      </c>
    </row>
    <row r="89" spans="1:3" x14ac:dyDescent="0.3">
      <c r="A89" s="1" t="s">
        <v>101</v>
      </c>
      <c r="B89">
        <v>22176.289976168031</v>
      </c>
      <c r="C89">
        <v>1264.815757575758</v>
      </c>
    </row>
    <row r="90" spans="1:3" x14ac:dyDescent="0.3">
      <c r="A90" s="1" t="s">
        <v>101</v>
      </c>
      <c r="B90">
        <v>22147.771209997562</v>
      </c>
      <c r="C90">
        <v>1266.5143111111111</v>
      </c>
    </row>
    <row r="91" spans="1:3" x14ac:dyDescent="0.3">
      <c r="A91" s="1" t="s">
        <v>101</v>
      </c>
      <c r="B91">
        <v>22104.930485728331</v>
      </c>
      <c r="C91">
        <v>1268.2128646464651</v>
      </c>
    </row>
    <row r="92" spans="1:3" x14ac:dyDescent="0.3">
      <c r="A92" s="1" t="s">
        <v>101</v>
      </c>
      <c r="B92">
        <v>22062.08976145909</v>
      </c>
      <c r="C92">
        <v>1269.9114181818179</v>
      </c>
    </row>
    <row r="93" spans="1:3" x14ac:dyDescent="0.3">
      <c r="A93" s="1" t="s">
        <v>101</v>
      </c>
      <c r="B93">
        <v>22019.249037189831</v>
      </c>
      <c r="C93">
        <v>1271.6099717171719</v>
      </c>
    </row>
    <row r="94" spans="1:3" x14ac:dyDescent="0.3">
      <c r="A94" s="1" t="s">
        <v>101</v>
      </c>
      <c r="B94">
        <v>21992.00477162395</v>
      </c>
      <c r="C94">
        <v>1273.308525252525</v>
      </c>
    </row>
    <row r="95" spans="1:3" x14ac:dyDescent="0.3">
      <c r="A95" s="1" t="s">
        <v>101</v>
      </c>
      <c r="B95">
        <v>21949.16404735469</v>
      </c>
      <c r="C95">
        <v>1275.007078787879</v>
      </c>
    </row>
    <row r="96" spans="1:3" x14ac:dyDescent="0.3">
      <c r="A96" s="1" t="s">
        <v>101</v>
      </c>
      <c r="B96">
        <v>21906.323323085431</v>
      </c>
      <c r="C96">
        <v>1276.7056323232321</v>
      </c>
    </row>
    <row r="97" spans="1:3" x14ac:dyDescent="0.3">
      <c r="A97" s="1" t="s">
        <v>101</v>
      </c>
      <c r="B97">
        <v>21879.52861403982</v>
      </c>
      <c r="C97">
        <v>1278.4041858585861</v>
      </c>
    </row>
    <row r="98" spans="1:3" x14ac:dyDescent="0.3">
      <c r="A98" s="1" t="s">
        <v>101</v>
      </c>
      <c r="B98">
        <v>21836.68788977059</v>
      </c>
      <c r="C98">
        <v>1280.1027393939389</v>
      </c>
    </row>
    <row r="99" spans="1:3" x14ac:dyDescent="0.3">
      <c r="A99" s="1" t="s">
        <v>101</v>
      </c>
      <c r="B99">
        <v>21793.84716550136</v>
      </c>
      <c r="C99">
        <v>1281.8012929292929</v>
      </c>
    </row>
    <row r="100" spans="1:3" x14ac:dyDescent="0.3">
      <c r="A100" s="1" t="s">
        <v>101</v>
      </c>
      <c r="B100">
        <v>21751.00644123209</v>
      </c>
      <c r="C100">
        <v>1283.499846464646</v>
      </c>
    </row>
    <row r="101" spans="1:3" x14ac:dyDescent="0.3">
      <c r="A101" s="1" t="s">
        <v>102</v>
      </c>
      <c r="B101">
        <v>12250.639072325759</v>
      </c>
      <c r="C101">
        <v>1117.0416</v>
      </c>
    </row>
    <row r="102" spans="1:3" x14ac:dyDescent="0.3">
      <c r="A102" s="1" t="s">
        <v>102</v>
      </c>
      <c r="B102">
        <v>12207.79834805652</v>
      </c>
      <c r="C102" s="1">
        <v>1118.7401535353531</v>
      </c>
    </row>
    <row r="103" spans="1:3" x14ac:dyDescent="0.3">
      <c r="A103" s="1" t="s">
        <v>102</v>
      </c>
      <c r="B103">
        <v>12179.077529564371</v>
      </c>
      <c r="C103" s="1">
        <v>1120.4387070707071</v>
      </c>
    </row>
    <row r="104" spans="1:3" x14ac:dyDescent="0.3">
      <c r="A104" s="1" t="s">
        <v>102</v>
      </c>
      <c r="B104">
        <v>12136.23680529513</v>
      </c>
      <c r="C104" s="1">
        <v>1122.13726060606</v>
      </c>
    </row>
    <row r="105" spans="1:3" x14ac:dyDescent="0.3">
      <c r="A105" s="1" t="s">
        <v>102</v>
      </c>
      <c r="B105">
        <v>12093.39608102589</v>
      </c>
      <c r="C105" s="1">
        <v>1123.8358141414139</v>
      </c>
    </row>
    <row r="106" spans="1:3" x14ac:dyDescent="0.3">
      <c r="A106" s="1" t="s">
        <v>102</v>
      </c>
      <c r="B106">
        <v>12050.55535675664</v>
      </c>
      <c r="C106" s="1">
        <v>1125.534367676767</v>
      </c>
    </row>
    <row r="107" spans="1:3" x14ac:dyDescent="0.3">
      <c r="A107" s="1" t="s">
        <v>102</v>
      </c>
      <c r="B107">
        <v>12007.71463248737</v>
      </c>
      <c r="C107" s="1">
        <v>1127.232921212121</v>
      </c>
    </row>
    <row r="108" spans="1:3" x14ac:dyDescent="0.3">
      <c r="A108" s="1" t="s">
        <v>102</v>
      </c>
      <c r="B108">
        <v>11964.873908218109</v>
      </c>
      <c r="C108" s="1">
        <v>1128.931474747475</v>
      </c>
    </row>
    <row r="109" spans="1:3" x14ac:dyDescent="0.3">
      <c r="A109" s="1" t="s">
        <v>102</v>
      </c>
      <c r="B109">
        <v>11937.852824077159</v>
      </c>
      <c r="C109" s="1">
        <v>1130.6300282828281</v>
      </c>
    </row>
    <row r="110" spans="1:3" x14ac:dyDescent="0.3">
      <c r="A110" s="1" t="s">
        <v>102</v>
      </c>
      <c r="B110">
        <v>11895.012099807949</v>
      </c>
      <c r="C110" s="1">
        <v>1132.3285818181821</v>
      </c>
    </row>
    <row r="111" spans="1:3" x14ac:dyDescent="0.3">
      <c r="A111" s="1" t="s">
        <v>102</v>
      </c>
      <c r="B111">
        <v>11852.171375538701</v>
      </c>
      <c r="C111" s="1">
        <v>1134.027135353535</v>
      </c>
    </row>
    <row r="112" spans="1:3" x14ac:dyDescent="0.3">
      <c r="A112" s="1" t="s">
        <v>102</v>
      </c>
      <c r="B112">
        <v>11809.33065126946</v>
      </c>
      <c r="C112" s="1">
        <v>1135.725688888889</v>
      </c>
    </row>
    <row r="113" spans="1:3" x14ac:dyDescent="0.3">
      <c r="A113" s="1" t="s">
        <v>102</v>
      </c>
      <c r="B113">
        <v>11781.016828738901</v>
      </c>
      <c r="C113" s="1">
        <v>1137.424242424242</v>
      </c>
    </row>
    <row r="114" spans="1:3" x14ac:dyDescent="0.3">
      <c r="A114" s="1" t="s">
        <v>102</v>
      </c>
      <c r="B114">
        <v>11738.1761044696</v>
      </c>
      <c r="C114" s="1">
        <v>1139.122795959596</v>
      </c>
    </row>
    <row r="115" spans="1:3" x14ac:dyDescent="0.3">
      <c r="A115" s="1" t="s">
        <v>102</v>
      </c>
      <c r="B115">
        <v>11710.49487747716</v>
      </c>
      <c r="C115" s="1">
        <v>1140.8213494949489</v>
      </c>
    </row>
    <row r="116" spans="1:3" x14ac:dyDescent="0.3">
      <c r="A116" s="1" t="s">
        <v>102</v>
      </c>
      <c r="B116">
        <v>11667.654153207901</v>
      </c>
      <c r="C116" s="1">
        <v>1142.5199030303031</v>
      </c>
    </row>
    <row r="117" spans="1:3" x14ac:dyDescent="0.3">
      <c r="A117" s="1" t="s">
        <v>102</v>
      </c>
      <c r="B117">
        <v>11624.813428938691</v>
      </c>
      <c r="C117" s="1">
        <v>1144.218456565656</v>
      </c>
    </row>
    <row r="118" spans="1:3" x14ac:dyDescent="0.3">
      <c r="A118" s="1" t="s">
        <v>102</v>
      </c>
      <c r="B118">
        <v>11581.972704669441</v>
      </c>
      <c r="C118" s="1">
        <v>1145.91701010101</v>
      </c>
    </row>
    <row r="119" spans="1:3" x14ac:dyDescent="0.3">
      <c r="A119" s="1" t="s">
        <v>102</v>
      </c>
      <c r="B119">
        <v>11539.131980400191</v>
      </c>
      <c r="C119" s="1">
        <v>1147.615563636364</v>
      </c>
    </row>
    <row r="120" spans="1:3" x14ac:dyDescent="0.3">
      <c r="A120" s="1" t="s">
        <v>102</v>
      </c>
      <c r="B120">
        <v>11496.29125613092</v>
      </c>
      <c r="C120" s="1">
        <v>1149.314117171717</v>
      </c>
    </row>
    <row r="121" spans="1:3" x14ac:dyDescent="0.3">
      <c r="A121" s="1" t="s">
        <v>102</v>
      </c>
      <c r="B121">
        <v>11453.45053186167</v>
      </c>
      <c r="C121" s="1">
        <v>1151.012670707071</v>
      </c>
    </row>
    <row r="122" spans="1:3" x14ac:dyDescent="0.3">
      <c r="A122" s="1" t="s">
        <v>102</v>
      </c>
      <c r="B122">
        <v>11410.60980759242</v>
      </c>
      <c r="C122" s="1">
        <v>1152.7112242424239</v>
      </c>
    </row>
    <row r="123" spans="1:3" x14ac:dyDescent="0.3">
      <c r="A123" s="1" t="s">
        <v>102</v>
      </c>
      <c r="B123">
        <v>11367.76908332319</v>
      </c>
      <c r="C123" s="1">
        <v>1154.4097777777779</v>
      </c>
    </row>
    <row r="124" spans="1:3" x14ac:dyDescent="0.3">
      <c r="A124" s="1" t="s">
        <v>102</v>
      </c>
      <c r="B124">
        <v>11337.894424155271</v>
      </c>
      <c r="C124" s="1">
        <v>1156.108331313131</v>
      </c>
    </row>
    <row r="125" spans="1:3" x14ac:dyDescent="0.3">
      <c r="A125" s="1" t="s">
        <v>102</v>
      </c>
      <c r="B125">
        <v>11295.05369988603</v>
      </c>
      <c r="C125" s="1">
        <v>1157.806884848485</v>
      </c>
    </row>
    <row r="126" spans="1:3" x14ac:dyDescent="0.3">
      <c r="A126" s="1" t="s">
        <v>102</v>
      </c>
      <c r="B126">
        <v>11252.212975616791</v>
      </c>
      <c r="C126" s="1">
        <v>1159.5054383838381</v>
      </c>
    </row>
    <row r="127" spans="1:3" ht="13.8" customHeight="1" x14ac:dyDescent="0.3">
      <c r="A127" s="1" t="s">
        <v>102</v>
      </c>
      <c r="B127">
        <v>11209.37225134751</v>
      </c>
      <c r="C127" s="1">
        <v>1161.203991919192</v>
      </c>
    </row>
    <row r="128" spans="1:3" x14ac:dyDescent="0.3">
      <c r="A128" s="1" t="s">
        <v>102</v>
      </c>
      <c r="B128">
        <v>11182.807156768229</v>
      </c>
      <c r="C128" s="1">
        <v>1162.9025454545449</v>
      </c>
    </row>
    <row r="129" spans="1:3" x14ac:dyDescent="0.3">
      <c r="A129" s="1" t="s">
        <v>102</v>
      </c>
      <c r="B129">
        <v>11139.966432498981</v>
      </c>
      <c r="C129" s="1">
        <v>1164.6010989898989</v>
      </c>
    </row>
    <row r="130" spans="1:3" x14ac:dyDescent="0.3">
      <c r="A130" s="1" t="s">
        <v>102</v>
      </c>
      <c r="B130">
        <v>11110.46551067872</v>
      </c>
      <c r="C130" s="1">
        <v>1166.299652525252</v>
      </c>
    </row>
    <row r="131" spans="1:3" x14ac:dyDescent="0.3">
      <c r="A131" s="1" t="s">
        <v>102</v>
      </c>
      <c r="B131">
        <v>11067.624786409469</v>
      </c>
      <c r="C131" s="1">
        <v>1167.998206060606</v>
      </c>
    </row>
    <row r="132" spans="1:3" x14ac:dyDescent="0.3">
      <c r="A132" s="1" t="s">
        <v>102</v>
      </c>
      <c r="B132">
        <v>11024.784062140219</v>
      </c>
      <c r="C132" s="1">
        <v>1169.69675959596</v>
      </c>
    </row>
    <row r="133" spans="1:3" x14ac:dyDescent="0.3">
      <c r="A133" s="1" t="s">
        <v>102</v>
      </c>
      <c r="B133">
        <v>10981.943337870949</v>
      </c>
      <c r="C133" s="1">
        <v>1171.3953131313131</v>
      </c>
    </row>
    <row r="134" spans="1:3" x14ac:dyDescent="0.3">
      <c r="A134" s="1" t="s">
        <v>102</v>
      </c>
      <c r="B134">
        <v>10951.70541224545</v>
      </c>
      <c r="C134" s="1">
        <v>1173.0938666666671</v>
      </c>
    </row>
    <row r="135" spans="1:3" x14ac:dyDescent="0.3">
      <c r="A135" s="1" t="s">
        <v>102</v>
      </c>
      <c r="B135">
        <v>10908.864687976209</v>
      </c>
      <c r="C135" s="1">
        <v>1174.7924202020199</v>
      </c>
    </row>
    <row r="136" spans="1:3" x14ac:dyDescent="0.3">
      <c r="A136" s="1" t="s">
        <v>102</v>
      </c>
      <c r="B136">
        <v>10866.023963706981</v>
      </c>
      <c r="C136" s="1">
        <v>1176.4909737373739</v>
      </c>
    </row>
    <row r="137" spans="1:3" x14ac:dyDescent="0.3">
      <c r="A137" s="1" t="s">
        <v>102</v>
      </c>
      <c r="B137">
        <v>10838.5596653307</v>
      </c>
      <c r="C137" s="1">
        <v>1178.189527272727</v>
      </c>
    </row>
    <row r="138" spans="1:3" x14ac:dyDescent="0.3">
      <c r="A138" s="1" t="s">
        <v>102</v>
      </c>
      <c r="B138">
        <v>10795.718941061439</v>
      </c>
      <c r="C138" s="1">
        <v>1179.888080808081</v>
      </c>
    </row>
    <row r="139" spans="1:3" x14ac:dyDescent="0.3">
      <c r="A139" s="1" t="s">
        <v>102</v>
      </c>
      <c r="B139">
        <v>10752.8782167922</v>
      </c>
      <c r="C139" s="1">
        <v>1181.5866343434341</v>
      </c>
    </row>
    <row r="140" spans="1:3" x14ac:dyDescent="0.3">
      <c r="A140" s="1" t="s">
        <v>102</v>
      </c>
      <c r="B140">
        <v>10710.037492522921</v>
      </c>
      <c r="C140" s="1">
        <v>1183.2851878787881</v>
      </c>
    </row>
    <row r="141" spans="1:3" x14ac:dyDescent="0.3">
      <c r="A141" s="1" t="s">
        <v>102</v>
      </c>
      <c r="B141">
        <v>10667.196768253671</v>
      </c>
      <c r="C141" s="1">
        <v>1184.9837414141409</v>
      </c>
    </row>
    <row r="142" spans="1:3" x14ac:dyDescent="0.3">
      <c r="A142" s="1" t="s">
        <v>102</v>
      </c>
      <c r="B142">
        <v>10624.35604398442</v>
      </c>
      <c r="C142" s="1">
        <v>1186.6822949494949</v>
      </c>
    </row>
    <row r="143" spans="1:3" x14ac:dyDescent="0.3">
      <c r="A143" s="1" t="s">
        <v>102</v>
      </c>
      <c r="B143">
        <v>10581.51531971521</v>
      </c>
      <c r="C143" s="1">
        <v>1188.380848484848</v>
      </c>
    </row>
    <row r="144" spans="1:3" x14ac:dyDescent="0.3">
      <c r="A144" s="1" t="s">
        <v>102</v>
      </c>
      <c r="B144">
        <v>10538.67459544596</v>
      </c>
      <c r="C144" s="1">
        <v>1190.079402020202</v>
      </c>
    </row>
    <row r="145" spans="1:3" x14ac:dyDescent="0.3">
      <c r="A145" s="1" t="s">
        <v>102</v>
      </c>
      <c r="B145">
        <v>10510.568649247551</v>
      </c>
      <c r="C145" s="1">
        <v>1191.777955555556</v>
      </c>
    </row>
    <row r="146" spans="1:3" x14ac:dyDescent="0.3">
      <c r="A146" s="1" t="s">
        <v>102</v>
      </c>
      <c r="B146">
        <v>10467.72792497831</v>
      </c>
      <c r="C146" s="1">
        <v>1193.4765090909091</v>
      </c>
    </row>
    <row r="147" spans="1:3" x14ac:dyDescent="0.3">
      <c r="A147" s="1" t="s">
        <v>102</v>
      </c>
      <c r="B147">
        <v>10424.88720070901</v>
      </c>
      <c r="C147" s="1">
        <v>1195.1750626262631</v>
      </c>
    </row>
    <row r="148" spans="1:3" x14ac:dyDescent="0.3">
      <c r="A148" s="1" t="s">
        <v>102</v>
      </c>
      <c r="B148">
        <v>10382.04647643978</v>
      </c>
      <c r="C148" s="1">
        <v>1196.8736161616159</v>
      </c>
    </row>
    <row r="149" spans="1:3" x14ac:dyDescent="0.3">
      <c r="A149" s="1" t="s">
        <v>102</v>
      </c>
      <c r="B149">
        <v>10339.205752170539</v>
      </c>
      <c r="C149" s="1">
        <v>1198.572169696969</v>
      </c>
    </row>
    <row r="150" spans="1:3" x14ac:dyDescent="0.3">
      <c r="A150" s="1" t="s">
        <v>102</v>
      </c>
      <c r="B150">
        <v>10310.686986000081</v>
      </c>
      <c r="C150" s="1">
        <v>1200.270723232323</v>
      </c>
    </row>
    <row r="151" spans="1:3" x14ac:dyDescent="0.3">
      <c r="A151" s="1" t="s">
        <v>102</v>
      </c>
      <c r="B151">
        <v>10267.84626173084</v>
      </c>
      <c r="C151" s="1">
        <v>1201.969276767677</v>
      </c>
    </row>
    <row r="152" spans="1:3" x14ac:dyDescent="0.3">
      <c r="A152" s="1" t="s">
        <v>102</v>
      </c>
      <c r="B152">
        <v>10225.005537461589</v>
      </c>
      <c r="C152" s="1">
        <v>1203.6678303030301</v>
      </c>
    </row>
    <row r="153" spans="1:3" x14ac:dyDescent="0.3">
      <c r="A153" s="1" t="s">
        <v>102</v>
      </c>
      <c r="B153">
        <v>10182.164813192319</v>
      </c>
      <c r="C153" s="1">
        <v>1205.3663838383841</v>
      </c>
    </row>
    <row r="154" spans="1:3" x14ac:dyDescent="0.3">
      <c r="A154" s="1" t="s">
        <v>102</v>
      </c>
      <c r="B154">
        <v>10139.32408892306</v>
      </c>
      <c r="C154" s="1">
        <v>1207.0649373737369</v>
      </c>
    </row>
    <row r="155" spans="1:3" x14ac:dyDescent="0.3">
      <c r="A155" s="1" t="s">
        <v>102</v>
      </c>
      <c r="B155">
        <v>10096.483364653821</v>
      </c>
      <c r="C155" s="1">
        <v>1208.7634909090909</v>
      </c>
    </row>
    <row r="156" spans="1:3" x14ac:dyDescent="0.3">
      <c r="A156" s="1" t="s">
        <v>102</v>
      </c>
      <c r="B156">
        <v>10053.6426403846</v>
      </c>
      <c r="C156" s="1">
        <v>1210.462044444444</v>
      </c>
    </row>
    <row r="157" spans="1:3" x14ac:dyDescent="0.3">
      <c r="A157" s="1" t="s">
        <v>102</v>
      </c>
      <c r="B157">
        <v>10010.801916115361</v>
      </c>
      <c r="C157" s="1">
        <v>1212.160597979798</v>
      </c>
    </row>
    <row r="158" spans="1:3" x14ac:dyDescent="0.3">
      <c r="A158" s="1" t="s">
        <v>102</v>
      </c>
      <c r="B158">
        <v>9967.9611918461214</v>
      </c>
      <c r="C158" s="1">
        <v>1213.8591515151511</v>
      </c>
    </row>
    <row r="159" spans="1:3" x14ac:dyDescent="0.3">
      <c r="A159" s="1" t="s">
        <v>102</v>
      </c>
      <c r="B159">
        <v>9925.1204675768731</v>
      </c>
      <c r="C159" s="1">
        <v>1215.5577050505051</v>
      </c>
    </row>
    <row r="160" spans="1:3" x14ac:dyDescent="0.3">
      <c r="A160" s="1" t="s">
        <v>102</v>
      </c>
      <c r="B160">
        <v>9882.2797433075939</v>
      </c>
      <c r="C160" s="1">
        <v>1217.2562585858579</v>
      </c>
    </row>
    <row r="161" spans="1:3" x14ac:dyDescent="0.3">
      <c r="A161" s="1" t="s">
        <v>102</v>
      </c>
      <c r="B161">
        <v>9839.4390190383419</v>
      </c>
      <c r="C161" s="1">
        <v>1218.9548121212119</v>
      </c>
    </row>
    <row r="162" spans="1:3" x14ac:dyDescent="0.3">
      <c r="A162" s="1" t="s">
        <v>102</v>
      </c>
      <c r="B162">
        <v>9796.5982947691027</v>
      </c>
      <c r="C162" s="1">
        <v>1220.653365656565</v>
      </c>
    </row>
    <row r="163" spans="1:3" x14ac:dyDescent="0.3">
      <c r="A163" s="1" t="s">
        <v>102</v>
      </c>
      <c r="B163">
        <v>9769.3540292032485</v>
      </c>
      <c r="C163" s="1">
        <v>1222.351919191919</v>
      </c>
    </row>
    <row r="164" spans="1:3" x14ac:dyDescent="0.3">
      <c r="A164" s="1" t="s">
        <v>102</v>
      </c>
      <c r="B164">
        <v>9726.5133049340002</v>
      </c>
      <c r="C164" s="1">
        <v>1224.050472727273</v>
      </c>
    </row>
    <row r="165" spans="1:3" x14ac:dyDescent="0.3">
      <c r="A165" s="1" t="s">
        <v>102</v>
      </c>
      <c r="B165">
        <v>9683.6725806647501</v>
      </c>
      <c r="C165" s="1">
        <v>1225.7490262626261</v>
      </c>
    </row>
    <row r="166" spans="1:3" x14ac:dyDescent="0.3">
      <c r="A166" s="1" t="s">
        <v>102</v>
      </c>
      <c r="B166">
        <v>9640.8318563954708</v>
      </c>
      <c r="C166" s="1">
        <v>1227.4475797979801</v>
      </c>
    </row>
    <row r="167" spans="1:3" x14ac:dyDescent="0.3">
      <c r="A167" s="1" t="s">
        <v>102</v>
      </c>
      <c r="B167">
        <v>9597.9911321262261</v>
      </c>
      <c r="C167" s="1">
        <v>1229.146133333333</v>
      </c>
    </row>
    <row r="168" spans="1:3" x14ac:dyDescent="0.3">
      <c r="A168" s="1" t="s">
        <v>102</v>
      </c>
      <c r="B168">
        <v>9555.1504078569869</v>
      </c>
      <c r="C168" s="1">
        <v>1230.8446868686869</v>
      </c>
    </row>
    <row r="169" spans="1:3" x14ac:dyDescent="0.3">
      <c r="A169" s="1" t="s">
        <v>102</v>
      </c>
      <c r="B169">
        <v>9512.3096835877477</v>
      </c>
      <c r="C169" s="1">
        <v>1232.54324040404</v>
      </c>
    </row>
    <row r="170" spans="1:3" x14ac:dyDescent="0.3">
      <c r="A170" s="1" t="s">
        <v>102</v>
      </c>
      <c r="B170">
        <v>9482.9996510055771</v>
      </c>
      <c r="C170" s="1">
        <v>1234.241793939394</v>
      </c>
    </row>
    <row r="171" spans="1:3" x14ac:dyDescent="0.3">
      <c r="A171" s="1" t="s">
        <v>102</v>
      </c>
      <c r="B171">
        <v>9456.2049419599534</v>
      </c>
      <c r="C171" s="1">
        <v>1235.9403474747469</v>
      </c>
    </row>
    <row r="172" spans="1:3" x14ac:dyDescent="0.3">
      <c r="A172" s="1" t="s">
        <v>102</v>
      </c>
      <c r="B172">
        <v>9413.3642176907051</v>
      </c>
      <c r="C172" s="1">
        <v>1237.6389010101011</v>
      </c>
    </row>
    <row r="173" spans="1:3" x14ac:dyDescent="0.3">
      <c r="A173" s="1" t="s">
        <v>102</v>
      </c>
      <c r="B173">
        <v>9370.5234934214241</v>
      </c>
      <c r="C173" s="1">
        <v>1239.337454545454</v>
      </c>
    </row>
    <row r="174" spans="1:3" x14ac:dyDescent="0.3">
      <c r="A174" s="1" t="s">
        <v>102</v>
      </c>
      <c r="B174">
        <v>9327.6827691521776</v>
      </c>
      <c r="C174" s="1">
        <v>1241.036008080808</v>
      </c>
    </row>
    <row r="175" spans="1:3" x14ac:dyDescent="0.3">
      <c r="A175" s="1" t="s">
        <v>102</v>
      </c>
      <c r="B175">
        <v>9284.8420448829238</v>
      </c>
      <c r="C175" s="1">
        <v>1242.734561616161</v>
      </c>
    </row>
    <row r="176" spans="1:3" x14ac:dyDescent="0.3">
      <c r="A176" s="1" t="s">
        <v>102</v>
      </c>
      <c r="B176">
        <v>9242.0013206137137</v>
      </c>
      <c r="C176" s="1">
        <v>1244.433115151515</v>
      </c>
    </row>
    <row r="177" spans="1:3" x14ac:dyDescent="0.3">
      <c r="A177" s="1" t="s">
        <v>102</v>
      </c>
      <c r="B177">
        <v>9213.0813003277126</v>
      </c>
      <c r="C177" s="1">
        <v>1246.131668686869</v>
      </c>
    </row>
    <row r="178" spans="1:3" x14ac:dyDescent="0.3">
      <c r="A178" s="1" t="s">
        <v>102</v>
      </c>
      <c r="B178">
        <v>9170.2405760584807</v>
      </c>
      <c r="C178" s="1">
        <v>1247.8302222222219</v>
      </c>
    </row>
    <row r="179" spans="1:3" x14ac:dyDescent="0.3">
      <c r="A179" s="1" t="s">
        <v>102</v>
      </c>
      <c r="B179">
        <v>9142.3454808505667</v>
      </c>
      <c r="C179" s="1">
        <v>1249.5287757575761</v>
      </c>
    </row>
    <row r="180" spans="1:3" x14ac:dyDescent="0.3">
      <c r="A180" s="1" t="s">
        <v>102</v>
      </c>
      <c r="B180">
        <v>9099.5047565812656</v>
      </c>
      <c r="C180" s="1">
        <v>1251.227329292929</v>
      </c>
    </row>
    <row r="181" spans="1:3" x14ac:dyDescent="0.3">
      <c r="A181" s="1" t="s">
        <v>102</v>
      </c>
      <c r="B181">
        <v>9056.6640323120318</v>
      </c>
      <c r="C181" s="1">
        <v>1252.925882828283</v>
      </c>
    </row>
    <row r="182" spans="1:3" x14ac:dyDescent="0.3">
      <c r="A182" s="1" t="s">
        <v>102</v>
      </c>
      <c r="B182">
        <v>9013.8233080427835</v>
      </c>
      <c r="C182" s="1">
        <v>1254.6244363636361</v>
      </c>
    </row>
    <row r="183" spans="1:3" x14ac:dyDescent="0.3">
      <c r="A183" s="1" t="s">
        <v>102</v>
      </c>
      <c r="B183">
        <v>8970.9825837735643</v>
      </c>
      <c r="C183" s="1">
        <v>1256.32298989899</v>
      </c>
    </row>
    <row r="184" spans="1:3" x14ac:dyDescent="0.3">
      <c r="A184" s="1" t="s">
        <v>102</v>
      </c>
      <c r="B184">
        <v>8928.1418595043306</v>
      </c>
      <c r="C184" s="1">
        <v>1258.0215434343429</v>
      </c>
    </row>
    <row r="185" spans="1:3" x14ac:dyDescent="0.3">
      <c r="A185" s="1" t="s">
        <v>102</v>
      </c>
      <c r="B185">
        <v>8885.301135235075</v>
      </c>
      <c r="C185" s="1">
        <v>1259.7200969696969</v>
      </c>
    </row>
    <row r="186" spans="1:3" x14ac:dyDescent="0.3">
      <c r="A186" s="1" t="s">
        <v>102</v>
      </c>
      <c r="B186">
        <v>8842.4604109657903</v>
      </c>
      <c r="C186" s="1">
        <v>1261.41865050505</v>
      </c>
    </row>
    <row r="187" spans="1:3" x14ac:dyDescent="0.3">
      <c r="A187" s="1" t="s">
        <v>102</v>
      </c>
      <c r="B187">
        <v>8799.6196866965529</v>
      </c>
      <c r="C187" s="1">
        <v>1263.117204040404</v>
      </c>
    </row>
    <row r="188" spans="1:3" x14ac:dyDescent="0.3">
      <c r="A188" s="1" t="s">
        <v>102</v>
      </c>
      <c r="B188">
        <v>8769.5621039689577</v>
      </c>
      <c r="C188" s="1">
        <v>1264.815757575758</v>
      </c>
    </row>
    <row r="189" spans="1:3" x14ac:dyDescent="0.3">
      <c r="A189" s="1" t="s">
        <v>102</v>
      </c>
      <c r="B189">
        <v>8726.7213796997148</v>
      </c>
      <c r="C189" s="1">
        <v>1266.5143111111111</v>
      </c>
    </row>
    <row r="190" spans="1:3" x14ac:dyDescent="0.3">
      <c r="A190" s="1" t="s">
        <v>102</v>
      </c>
      <c r="B190">
        <v>8697.0322616818721</v>
      </c>
      <c r="C190" s="1">
        <v>1268.2128646464651</v>
      </c>
    </row>
    <row r="191" spans="1:3" x14ac:dyDescent="0.3">
      <c r="A191" s="1" t="s">
        <v>102</v>
      </c>
      <c r="B191">
        <v>8654.1915374126511</v>
      </c>
      <c r="C191" s="1">
        <v>1269.9114181818179</v>
      </c>
    </row>
    <row r="192" spans="1:3" x14ac:dyDescent="0.3">
      <c r="A192" s="1" t="s">
        <v>102</v>
      </c>
      <c r="B192">
        <v>8611.3508131434028</v>
      </c>
      <c r="C192" s="1">
        <v>1271.6099717171719</v>
      </c>
    </row>
    <row r="193" spans="1:3" x14ac:dyDescent="0.3">
      <c r="A193" s="1" t="s">
        <v>102</v>
      </c>
      <c r="B193">
        <v>8568.5100888741108</v>
      </c>
      <c r="C193" s="1">
        <v>1273.308525252525</v>
      </c>
    </row>
    <row r="194" spans="1:3" x14ac:dyDescent="0.3">
      <c r="A194" s="1" t="s">
        <v>102</v>
      </c>
      <c r="B194">
        <v>8525.669364604857</v>
      </c>
      <c r="C194" s="1">
        <v>1275.007078787879</v>
      </c>
    </row>
    <row r="195" spans="1:3" x14ac:dyDescent="0.3">
      <c r="A195" s="1" t="s">
        <v>102</v>
      </c>
      <c r="B195">
        <v>8482.8286403356251</v>
      </c>
      <c r="C195" s="1">
        <v>1276.7056323232321</v>
      </c>
    </row>
    <row r="196" spans="1:3" x14ac:dyDescent="0.3">
      <c r="A196" s="1" t="s">
        <v>102</v>
      </c>
      <c r="B196">
        <v>8439.9879160664059</v>
      </c>
      <c r="C196" s="1">
        <v>1278.4041858585861</v>
      </c>
    </row>
    <row r="197" spans="1:3" x14ac:dyDescent="0.3">
      <c r="A197" s="1" t="s">
        <v>102</v>
      </c>
      <c r="B197">
        <v>8412.9668319254488</v>
      </c>
      <c r="C197" s="1">
        <v>1280.1027393939389</v>
      </c>
    </row>
    <row r="198" spans="1:3" x14ac:dyDescent="0.3">
      <c r="A198" s="1" t="s">
        <v>102</v>
      </c>
      <c r="B198">
        <v>8370.1261076562059</v>
      </c>
      <c r="C198" s="1">
        <v>1281.8012929292929</v>
      </c>
    </row>
    <row r="199" spans="1:3" x14ac:dyDescent="0.3">
      <c r="A199" s="1" t="s">
        <v>102</v>
      </c>
      <c r="B199">
        <v>8339.7103833869241</v>
      </c>
      <c r="C199" s="1">
        <v>1283.499846464646</v>
      </c>
    </row>
    <row r="200" spans="1:3" x14ac:dyDescent="0.3">
      <c r="A200" s="1" t="s">
        <v>102</v>
      </c>
      <c r="B200">
        <v>8296.869659117674</v>
      </c>
      <c r="C200" s="1">
        <v>1285.1984</v>
      </c>
    </row>
  </sheetData>
  <phoneticPr fontId="1" type="noConversion"/>
  <pageMargins left="0.7" right="0.7" top="0.78740157499999996" bottom="0.78740157499999996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668EEF-7476-40E3-8DBF-520B3BCCDB80}">
  <sheetPr codeName="Tabelle5"/>
  <dimension ref="A1:G1873"/>
  <sheetViews>
    <sheetView zoomScale="70" zoomScaleNormal="70" workbookViewId="0">
      <selection activeCell="F4" sqref="F4:G9"/>
    </sheetView>
  </sheetViews>
  <sheetFormatPr baseColWidth="10" defaultRowHeight="14.4" x14ac:dyDescent="0.3"/>
  <cols>
    <col min="2" max="2" width="66.21875" bestFit="1" customWidth="1"/>
    <col min="3" max="3" width="11.5546875" style="2"/>
    <col min="4" max="4" width="17.77734375" bestFit="1" customWidth="1"/>
    <col min="7" max="7" width="18" bestFit="1" customWidth="1"/>
  </cols>
  <sheetData>
    <row r="1" spans="1:7" x14ac:dyDescent="0.3">
      <c r="A1" t="s">
        <v>17</v>
      </c>
      <c r="B1" t="s">
        <v>16</v>
      </c>
      <c r="C1" s="2" t="s">
        <v>15</v>
      </c>
      <c r="D1" t="s">
        <v>18</v>
      </c>
    </row>
    <row r="2" spans="1:7" x14ac:dyDescent="0.3">
      <c r="A2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" s="1" t="s">
        <v>109</v>
      </c>
      <c r="C2">
        <v>27625.335914464809</v>
      </c>
      <c r="D2">
        <v>18.016861200000001</v>
      </c>
    </row>
    <row r="3" spans="1:7" x14ac:dyDescent="0.3">
      <c r="A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" s="1" t="s">
        <v>109</v>
      </c>
      <c r="C3">
        <v>27578.72773082865</v>
      </c>
      <c r="D3">
        <v>18.13891310707071</v>
      </c>
    </row>
    <row r="4" spans="1:7" x14ac:dyDescent="0.3">
      <c r="A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" s="1" t="s">
        <v>109</v>
      </c>
      <c r="C4">
        <v>27532.119547192469</v>
      </c>
      <c r="D4">
        <v>18.260965014141419</v>
      </c>
      <c r="F4" t="s">
        <v>113</v>
      </c>
      <c r="G4" t="s">
        <v>114</v>
      </c>
    </row>
    <row r="5" spans="1:7" x14ac:dyDescent="0.3">
      <c r="A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" s="1" t="s">
        <v>109</v>
      </c>
      <c r="C5">
        <v>27497.93636355631</v>
      </c>
      <c r="D5">
        <v>18.383016921212121</v>
      </c>
      <c r="F5">
        <f>MIN(C2:C101)</f>
        <v>23742.415179302749</v>
      </c>
      <c r="G5">
        <f>MAX(C2:C101)</f>
        <v>27625.335914464809</v>
      </c>
    </row>
    <row r="6" spans="1:7" x14ac:dyDescent="0.3">
      <c r="A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" s="1" t="s">
        <v>109</v>
      </c>
      <c r="C6">
        <v>27451.32817992015</v>
      </c>
      <c r="D6">
        <v>18.50506882828283</v>
      </c>
    </row>
    <row r="7" spans="1:7" x14ac:dyDescent="0.3">
      <c r="A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" s="1" t="s">
        <v>109</v>
      </c>
      <c r="C7">
        <v>27404.719996283991</v>
      </c>
      <c r="D7">
        <v>18.62712073535354</v>
      </c>
    </row>
    <row r="8" spans="1:7" x14ac:dyDescent="0.3">
      <c r="A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" s="1" t="s">
        <v>109</v>
      </c>
      <c r="C8">
        <v>27358.111812647821</v>
      </c>
      <c r="D8">
        <v>18.749172642424249</v>
      </c>
      <c r="F8" t="s">
        <v>113</v>
      </c>
      <c r="G8" t="s">
        <v>114</v>
      </c>
    </row>
    <row r="9" spans="1:7" x14ac:dyDescent="0.3">
      <c r="A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" s="1" t="s">
        <v>109</v>
      </c>
      <c r="C9">
        <v>27311.503629011659</v>
      </c>
      <c r="D9">
        <v>18.871224549494951</v>
      </c>
      <c r="F9">
        <f>MIN(C102:C201)</f>
        <v>10289.163718569031</v>
      </c>
      <c r="G9">
        <f>MAX(C102:C201)</f>
        <v>14115.5470194232</v>
      </c>
    </row>
    <row r="10" spans="1:7" x14ac:dyDescent="0.3">
      <c r="A1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0" s="1" t="s">
        <v>109</v>
      </c>
      <c r="C10">
        <v>27278.235247824461</v>
      </c>
      <c r="D10">
        <v>18.99327645656566</v>
      </c>
    </row>
    <row r="11" spans="1:7" x14ac:dyDescent="0.3">
      <c r="A11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1" s="1" t="s">
        <v>109</v>
      </c>
      <c r="C11">
        <v>27246.78656146508</v>
      </c>
      <c r="D11">
        <v>19.115328363636369</v>
      </c>
    </row>
    <row r="12" spans="1:7" x14ac:dyDescent="0.3">
      <c r="A12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2" s="1" t="s">
        <v>109</v>
      </c>
      <c r="C12">
        <v>27200.17837782891</v>
      </c>
      <c r="D12">
        <v>19.237380270707071</v>
      </c>
      <c r="G12" s="3"/>
    </row>
    <row r="13" spans="1:7" x14ac:dyDescent="0.3">
      <c r="A1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3" s="1" t="s">
        <v>109</v>
      </c>
      <c r="C13">
        <v>27166.536259294069</v>
      </c>
      <c r="D13">
        <v>19.35943217777778</v>
      </c>
    </row>
    <row r="14" spans="1:7" x14ac:dyDescent="0.3">
      <c r="A1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4" s="1" t="s">
        <v>109</v>
      </c>
      <c r="C14">
        <v>27119.92807565791</v>
      </c>
      <c r="D14">
        <v>19.481484084848489</v>
      </c>
    </row>
    <row r="15" spans="1:7" x14ac:dyDescent="0.3">
      <c r="A1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5" s="1" t="s">
        <v>109</v>
      </c>
      <c r="C15">
        <v>27073.31989202174</v>
      </c>
      <c r="D15">
        <v>19.603535991919191</v>
      </c>
    </row>
    <row r="16" spans="1:7" x14ac:dyDescent="0.3">
      <c r="A1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6" s="1" t="s">
        <v>109</v>
      </c>
      <c r="C16">
        <v>27041.238610124259</v>
      </c>
      <c r="D16">
        <v>19.7255878989899</v>
      </c>
    </row>
    <row r="17" spans="1:4" x14ac:dyDescent="0.3">
      <c r="A1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7" s="1" t="s">
        <v>109</v>
      </c>
      <c r="C17">
        <v>26994.630426488078</v>
      </c>
      <c r="D17">
        <v>19.847639806060609</v>
      </c>
    </row>
    <row r="18" spans="1:4" x14ac:dyDescent="0.3">
      <c r="A1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8" s="1" t="s">
        <v>109</v>
      </c>
      <c r="C18">
        <v>26960.62504149567</v>
      </c>
      <c r="D18">
        <v>19.969691713131311</v>
      </c>
    </row>
    <row r="19" spans="1:4" x14ac:dyDescent="0.3">
      <c r="A1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9" s="1" t="s">
        <v>109</v>
      </c>
      <c r="C19">
        <v>26927.937561842758</v>
      </c>
      <c r="D19">
        <v>20.091743620202021</v>
      </c>
    </row>
    <row r="20" spans="1:4" x14ac:dyDescent="0.3">
      <c r="A2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0" s="1" t="s">
        <v>109</v>
      </c>
      <c r="C20">
        <v>26910.23649578659</v>
      </c>
      <c r="D20">
        <v>20.21379552727273</v>
      </c>
    </row>
    <row r="21" spans="1:4" x14ac:dyDescent="0.3">
      <c r="A21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1" s="1" t="s">
        <v>109</v>
      </c>
      <c r="C21">
        <v>26863.628312150431</v>
      </c>
      <c r="D21">
        <v>20.335847434343439</v>
      </c>
    </row>
    <row r="22" spans="1:4" x14ac:dyDescent="0.3">
      <c r="A22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2" s="1" t="s">
        <v>109</v>
      </c>
      <c r="C22">
        <v>26817.020128514261</v>
      </c>
      <c r="D22">
        <v>20.457899341414141</v>
      </c>
    </row>
    <row r="23" spans="1:4" x14ac:dyDescent="0.3">
      <c r="A2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3" s="1" t="s">
        <v>109</v>
      </c>
      <c r="C23">
        <v>26770.411944878098</v>
      </c>
      <c r="D23">
        <v>20.57995124848485</v>
      </c>
    </row>
    <row r="24" spans="1:4" x14ac:dyDescent="0.3">
      <c r="A2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4" s="1" t="s">
        <v>109</v>
      </c>
      <c r="C24">
        <v>26723.803761241939</v>
      </c>
      <c r="D24">
        <v>20.702003155555559</v>
      </c>
    </row>
    <row r="25" spans="1:4" x14ac:dyDescent="0.3">
      <c r="A2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5" s="1" t="s">
        <v>109</v>
      </c>
      <c r="C25">
        <v>26677.195577605769</v>
      </c>
      <c r="D25">
        <v>20.824055062626261</v>
      </c>
    </row>
    <row r="26" spans="1:4" x14ac:dyDescent="0.3">
      <c r="A2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6" s="1" t="s">
        <v>109</v>
      </c>
      <c r="C26">
        <v>26630.58739396961</v>
      </c>
      <c r="D26">
        <v>20.94610696969697</v>
      </c>
    </row>
    <row r="27" spans="1:4" x14ac:dyDescent="0.3">
      <c r="A2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7" s="1" t="s">
        <v>109</v>
      </c>
      <c r="C27">
        <v>26598.713988404281</v>
      </c>
      <c r="D27">
        <v>21.068158876767679</v>
      </c>
    </row>
    <row r="28" spans="1:4" x14ac:dyDescent="0.3">
      <c r="A2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8" s="1" t="s">
        <v>109</v>
      </c>
      <c r="C28">
        <v>26565.257411019509</v>
      </c>
      <c r="D28">
        <v>21.190210783838381</v>
      </c>
    </row>
    <row r="29" spans="1:4" x14ac:dyDescent="0.3">
      <c r="A2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29" s="1" t="s">
        <v>109</v>
      </c>
      <c r="C29">
        <v>26545.552274702059</v>
      </c>
      <c r="D29">
        <v>21.31226269090909</v>
      </c>
    </row>
    <row r="30" spans="1:4" x14ac:dyDescent="0.3">
      <c r="A3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0" s="1" t="s">
        <v>109</v>
      </c>
      <c r="C30">
        <v>26514.99010628953</v>
      </c>
      <c r="D30">
        <v>21.4343145979798</v>
      </c>
    </row>
    <row r="31" spans="1:4" x14ac:dyDescent="0.3">
      <c r="A31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1" s="1" t="s">
        <v>109</v>
      </c>
      <c r="C31">
        <v>26482.106235155781</v>
      </c>
      <c r="D31">
        <v>21.556366505050509</v>
      </c>
    </row>
    <row r="32" spans="1:4" x14ac:dyDescent="0.3">
      <c r="A32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2" s="1" t="s">
        <v>109</v>
      </c>
      <c r="C32">
        <v>26451.094510222982</v>
      </c>
      <c r="D32">
        <v>21.678418412121211</v>
      </c>
    </row>
    <row r="33" spans="1:4" x14ac:dyDescent="0.3">
      <c r="A3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3" s="1" t="s">
        <v>109</v>
      </c>
      <c r="C33">
        <v>26416.911326586829</v>
      </c>
      <c r="D33">
        <v>21.80047031919192</v>
      </c>
    </row>
    <row r="34" spans="1:4" x14ac:dyDescent="0.3">
      <c r="A3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4" s="1" t="s">
        <v>109</v>
      </c>
      <c r="C34">
        <v>26370.303142950659</v>
      </c>
      <c r="D34">
        <v>21.922522226262629</v>
      </c>
    </row>
    <row r="35" spans="1:4" x14ac:dyDescent="0.3">
      <c r="A3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5" s="1" t="s">
        <v>109</v>
      </c>
      <c r="C35">
        <v>26323.694959314489</v>
      </c>
      <c r="D35">
        <v>22.044574133333331</v>
      </c>
    </row>
    <row r="36" spans="1:4" x14ac:dyDescent="0.3">
      <c r="A3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6" s="1" t="s">
        <v>109</v>
      </c>
      <c r="C36">
        <v>26277.08677567833</v>
      </c>
      <c r="D36">
        <v>22.16662604040404</v>
      </c>
    </row>
    <row r="37" spans="1:4" x14ac:dyDescent="0.3">
      <c r="A3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7" s="1" t="s">
        <v>109</v>
      </c>
      <c r="C37">
        <v>26230.478592042171</v>
      </c>
      <c r="D37">
        <v>22.288677947474749</v>
      </c>
    </row>
    <row r="38" spans="1:4" x14ac:dyDescent="0.3">
      <c r="A3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8" s="1" t="s">
        <v>109</v>
      </c>
      <c r="C38">
        <v>26183.870408406008</v>
      </c>
      <c r="D38">
        <v>22.410729854545451</v>
      </c>
    </row>
    <row r="39" spans="1:4" x14ac:dyDescent="0.3">
      <c r="A3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39" s="1" t="s">
        <v>109</v>
      </c>
      <c r="C39">
        <v>26137.262224769831</v>
      </c>
      <c r="D39">
        <v>22.53278176161616</v>
      </c>
    </row>
    <row r="40" spans="1:4" x14ac:dyDescent="0.3">
      <c r="A4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0" s="1" t="s">
        <v>109</v>
      </c>
      <c r="C40">
        <v>26104.975999232451</v>
      </c>
      <c r="D40">
        <v>22.654833668686869</v>
      </c>
    </row>
    <row r="41" spans="1:4" x14ac:dyDescent="0.3">
      <c r="A41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1" s="1" t="s">
        <v>109</v>
      </c>
      <c r="C41">
        <v>26073.3134446576</v>
      </c>
      <c r="D41">
        <v>22.776885575757571</v>
      </c>
    </row>
    <row r="42" spans="1:4" x14ac:dyDescent="0.3">
      <c r="A42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2" s="1" t="s">
        <v>109</v>
      </c>
      <c r="C42">
        <v>26026.705261021441</v>
      </c>
      <c r="D42">
        <v>22.898937482828281</v>
      </c>
    </row>
    <row r="43" spans="1:4" x14ac:dyDescent="0.3">
      <c r="A4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3" s="1" t="s">
        <v>109</v>
      </c>
      <c r="C43">
        <v>26006.402944935551</v>
      </c>
      <c r="D43">
        <v>23.02098938989899</v>
      </c>
    </row>
    <row r="44" spans="1:4" x14ac:dyDescent="0.3">
      <c r="A4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4" s="1" t="s">
        <v>109</v>
      </c>
      <c r="C44">
        <v>25959.794761299388</v>
      </c>
      <c r="D44">
        <v>23.143041296969699</v>
      </c>
    </row>
    <row r="45" spans="1:4" x14ac:dyDescent="0.3">
      <c r="A4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5" s="1" t="s">
        <v>109</v>
      </c>
      <c r="C45">
        <v>25913.186577663229</v>
      </c>
      <c r="D45">
        <v>23.265093204040401</v>
      </c>
    </row>
    <row r="46" spans="1:4" x14ac:dyDescent="0.3">
      <c r="A4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6" s="1" t="s">
        <v>109</v>
      </c>
      <c r="C46">
        <v>25866.578394027059</v>
      </c>
      <c r="D46">
        <v>23.38714511111111</v>
      </c>
    </row>
    <row r="47" spans="1:4" x14ac:dyDescent="0.3">
      <c r="A4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7" s="1" t="s">
        <v>109</v>
      </c>
      <c r="C47">
        <v>25819.9702103909</v>
      </c>
      <c r="D47">
        <v>23.509197018181819</v>
      </c>
    </row>
    <row r="48" spans="1:4" x14ac:dyDescent="0.3">
      <c r="A4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8" s="1" t="s">
        <v>109</v>
      </c>
      <c r="C48">
        <v>25801.78446552678</v>
      </c>
      <c r="D48">
        <v>23.631248925252532</v>
      </c>
    </row>
    <row r="49" spans="1:4" x14ac:dyDescent="0.3">
      <c r="A4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49" s="1" t="s">
        <v>109</v>
      </c>
      <c r="C49">
        <v>25755.176281890621</v>
      </c>
      <c r="D49">
        <v>23.75330083232323</v>
      </c>
    </row>
    <row r="50" spans="1:4" x14ac:dyDescent="0.3">
      <c r="A5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0" s="1" t="s">
        <v>109</v>
      </c>
      <c r="C50">
        <v>25708.568098254462</v>
      </c>
      <c r="D50">
        <v>23.875352739393939</v>
      </c>
    </row>
    <row r="51" spans="1:4" x14ac:dyDescent="0.3">
      <c r="A51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1" s="1" t="s">
        <v>109</v>
      </c>
      <c r="C51">
        <v>25678.23554430826</v>
      </c>
      <c r="D51">
        <v>23.997404646464648</v>
      </c>
    </row>
    <row r="52" spans="1:4" x14ac:dyDescent="0.3">
      <c r="A52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2" s="1" t="s">
        <v>109</v>
      </c>
      <c r="C52">
        <v>25631.62736067209</v>
      </c>
      <c r="D52">
        <v>24.11945655353535</v>
      </c>
    </row>
    <row r="53" spans="1:4" x14ac:dyDescent="0.3">
      <c r="A5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3" s="1" t="s">
        <v>109</v>
      </c>
      <c r="C53">
        <v>25598.549868722981</v>
      </c>
      <c r="D53">
        <v>24.24150846060606</v>
      </c>
    </row>
    <row r="54" spans="1:4" x14ac:dyDescent="0.3">
      <c r="A5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4" s="1" t="s">
        <v>109</v>
      </c>
      <c r="C54">
        <v>25567.1011823636</v>
      </c>
      <c r="D54">
        <v>24.363560367676769</v>
      </c>
    </row>
    <row r="55" spans="1:4" x14ac:dyDescent="0.3">
      <c r="A5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5" s="1" t="s">
        <v>109</v>
      </c>
      <c r="C55">
        <v>25548.94060444937</v>
      </c>
      <c r="D55">
        <v>24.485612274747471</v>
      </c>
    </row>
    <row r="56" spans="1:4" x14ac:dyDescent="0.3">
      <c r="A5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6" s="1" t="s">
        <v>109</v>
      </c>
      <c r="C56">
        <v>25502.3324208132</v>
      </c>
      <c r="D56">
        <v>24.60766418181818</v>
      </c>
    </row>
    <row r="57" spans="1:4" x14ac:dyDescent="0.3">
      <c r="A5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7" s="1" t="s">
        <v>109</v>
      </c>
      <c r="C57">
        <v>25455.724237177041</v>
      </c>
      <c r="D57">
        <v>24.729716088888889</v>
      </c>
    </row>
    <row r="58" spans="1:4" x14ac:dyDescent="0.3">
      <c r="A5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8" s="1" t="s">
        <v>109</v>
      </c>
      <c r="C58">
        <v>25409.116053540871</v>
      </c>
      <c r="D58">
        <v>24.851767995959602</v>
      </c>
    </row>
    <row r="59" spans="1:4" x14ac:dyDescent="0.3">
      <c r="A5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59" s="1" t="s">
        <v>109</v>
      </c>
      <c r="C59">
        <v>25388.44261769775</v>
      </c>
      <c r="D59">
        <v>24.9738199030303</v>
      </c>
    </row>
    <row r="60" spans="1:4" x14ac:dyDescent="0.3">
      <c r="A6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0" s="1" t="s">
        <v>109</v>
      </c>
      <c r="C60">
        <v>25341.834434061591</v>
      </c>
      <c r="D60">
        <v>25.095871810101009</v>
      </c>
    </row>
    <row r="61" spans="1:4" x14ac:dyDescent="0.3">
      <c r="A61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1" s="1" t="s">
        <v>109</v>
      </c>
      <c r="C61">
        <v>25307.651250425421</v>
      </c>
      <c r="D61">
        <v>25.217923717171718</v>
      </c>
    </row>
    <row r="62" spans="1:4" x14ac:dyDescent="0.3">
      <c r="A62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2" s="1" t="s">
        <v>109</v>
      </c>
      <c r="C62">
        <v>25261.043066789269</v>
      </c>
      <c r="D62">
        <v>25.339975624242431</v>
      </c>
    </row>
    <row r="63" spans="1:4" x14ac:dyDescent="0.3">
      <c r="A6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3" s="1" t="s">
        <v>109</v>
      </c>
      <c r="C63">
        <v>25214.434883153099</v>
      </c>
      <c r="D63">
        <v>25.462027531313129</v>
      </c>
    </row>
    <row r="64" spans="1:4" x14ac:dyDescent="0.3">
      <c r="A6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4" s="1" t="s">
        <v>109</v>
      </c>
      <c r="C64">
        <v>25183.20312540988</v>
      </c>
      <c r="D64">
        <v>25.584079438383839</v>
      </c>
    </row>
    <row r="65" spans="1:4" x14ac:dyDescent="0.3">
      <c r="A6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5" s="1" t="s">
        <v>109</v>
      </c>
      <c r="C65">
        <v>25136.594941773721</v>
      </c>
      <c r="D65">
        <v>25.706131345454551</v>
      </c>
    </row>
    <row r="66" spans="1:4" x14ac:dyDescent="0.3">
      <c r="A6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6" s="1" t="s">
        <v>109</v>
      </c>
      <c r="C66">
        <v>25117.830976417052</v>
      </c>
      <c r="D66">
        <v>25.82818325252525</v>
      </c>
    </row>
    <row r="67" spans="1:4" x14ac:dyDescent="0.3">
      <c r="A6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7" s="1" t="s">
        <v>109</v>
      </c>
      <c r="C67">
        <v>25085.957570851711</v>
      </c>
      <c r="D67">
        <v>25.950235159595959</v>
      </c>
    </row>
    <row r="68" spans="1:4" x14ac:dyDescent="0.3">
      <c r="A6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8" s="1" t="s">
        <v>109</v>
      </c>
      <c r="C68">
        <v>25039.349387215541</v>
      </c>
      <c r="D68">
        <v>26.072287066666672</v>
      </c>
    </row>
    <row r="69" spans="1:4" x14ac:dyDescent="0.3">
      <c r="A6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69" s="1" t="s">
        <v>109</v>
      </c>
      <c r="C69">
        <v>24992.741203579379</v>
      </c>
      <c r="D69">
        <v>26.19433897373737</v>
      </c>
    </row>
    <row r="70" spans="1:4" x14ac:dyDescent="0.3">
      <c r="A7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0" s="1" t="s">
        <v>109</v>
      </c>
      <c r="C70">
        <v>24946.13301994322</v>
      </c>
      <c r="D70">
        <v>26.316390880808079</v>
      </c>
    </row>
    <row r="71" spans="1:4" x14ac:dyDescent="0.3">
      <c r="A71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1" s="1" t="s">
        <v>109</v>
      </c>
      <c r="C71">
        <v>24899.52483630706</v>
      </c>
      <c r="D71">
        <v>26.438442787878792</v>
      </c>
    </row>
    <row r="72" spans="1:4" x14ac:dyDescent="0.3">
      <c r="A72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2" s="1" t="s">
        <v>109</v>
      </c>
      <c r="C72">
        <v>24852.91665267089</v>
      </c>
      <c r="D72">
        <v>26.560494694949501</v>
      </c>
    </row>
    <row r="73" spans="1:4" x14ac:dyDescent="0.3">
      <c r="A7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3" s="1" t="s">
        <v>109</v>
      </c>
      <c r="C73">
        <v>24806.308469034731</v>
      </c>
      <c r="D73">
        <v>26.682546602020199</v>
      </c>
    </row>
    <row r="74" spans="1:4" x14ac:dyDescent="0.3">
      <c r="A7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4" s="1" t="s">
        <v>109</v>
      </c>
      <c r="C74">
        <v>24772.66635049988</v>
      </c>
      <c r="D74">
        <v>26.804598509090908</v>
      </c>
    </row>
    <row r="75" spans="1:4" x14ac:dyDescent="0.3">
      <c r="A7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5" s="1" t="s">
        <v>109</v>
      </c>
      <c r="C75">
        <v>24739.397969312678</v>
      </c>
      <c r="D75">
        <v>26.926650416161621</v>
      </c>
    </row>
    <row r="76" spans="1:4" x14ac:dyDescent="0.3">
      <c r="A7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6" s="1" t="s">
        <v>109</v>
      </c>
      <c r="C76">
        <v>24692.789785676508</v>
      </c>
      <c r="D76">
        <v>27.04870232323233</v>
      </c>
    </row>
    <row r="77" spans="1:4" x14ac:dyDescent="0.3">
      <c r="A7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7" s="1" t="s">
        <v>109</v>
      </c>
      <c r="C77">
        <v>24658.784400684101</v>
      </c>
      <c r="D77">
        <v>27.170754230303029</v>
      </c>
    </row>
    <row r="78" spans="1:4" x14ac:dyDescent="0.3">
      <c r="A7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8" s="1" t="s">
        <v>109</v>
      </c>
      <c r="C78">
        <v>24658.140649073692</v>
      </c>
      <c r="D78">
        <v>27.292806137373741</v>
      </c>
    </row>
    <row r="79" spans="1:4" x14ac:dyDescent="0.3">
      <c r="A7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79" s="1" t="s">
        <v>109</v>
      </c>
      <c r="C79">
        <v>24611.532465437529</v>
      </c>
      <c r="D79">
        <v>27.414858044444451</v>
      </c>
    </row>
    <row r="80" spans="1:4" x14ac:dyDescent="0.3">
      <c r="A8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0" s="1" t="s">
        <v>109</v>
      </c>
      <c r="C80">
        <v>24564.924281801359</v>
      </c>
      <c r="D80">
        <v>27.536909951515149</v>
      </c>
    </row>
    <row r="81" spans="1:4" x14ac:dyDescent="0.3">
      <c r="A81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1" s="1" t="s">
        <v>109</v>
      </c>
      <c r="C81">
        <v>24518.3160981652</v>
      </c>
      <c r="D81">
        <v>27.658961858585862</v>
      </c>
    </row>
    <row r="82" spans="1:4" x14ac:dyDescent="0.3">
      <c r="A82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2" s="1" t="s">
        <v>109</v>
      </c>
      <c r="C82">
        <v>24486.653543590372</v>
      </c>
      <c r="D82">
        <v>27.781013765656571</v>
      </c>
    </row>
    <row r="83" spans="1:4" x14ac:dyDescent="0.3">
      <c r="A8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3" s="1" t="s">
        <v>109</v>
      </c>
      <c r="C83">
        <v>24440.045359954202</v>
      </c>
      <c r="D83">
        <v>27.903065672727269</v>
      </c>
    </row>
    <row r="84" spans="1:4" x14ac:dyDescent="0.3">
      <c r="A8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4" s="1" t="s">
        <v>109</v>
      </c>
      <c r="C84">
        <v>24393.437176318039</v>
      </c>
      <c r="D84">
        <v>28.025117579797978</v>
      </c>
    </row>
    <row r="85" spans="1:4" x14ac:dyDescent="0.3">
      <c r="A8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5" s="1" t="s">
        <v>109</v>
      </c>
      <c r="C85">
        <v>24346.828992681869</v>
      </c>
      <c r="D85">
        <v>28.147169486868691</v>
      </c>
    </row>
    <row r="86" spans="1:4" x14ac:dyDescent="0.3">
      <c r="A8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6" s="1" t="s">
        <v>109</v>
      </c>
      <c r="C86">
        <v>24300.22080904571</v>
      </c>
      <c r="D86">
        <v>28.2692213939394</v>
      </c>
    </row>
    <row r="87" spans="1:4" x14ac:dyDescent="0.3">
      <c r="A8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7" s="1" t="s">
        <v>109</v>
      </c>
      <c r="C87">
        <v>24267.143317096601</v>
      </c>
      <c r="D87">
        <v>28.391273301010099</v>
      </c>
    </row>
    <row r="88" spans="1:4" x14ac:dyDescent="0.3">
      <c r="A8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8" s="1" t="s">
        <v>109</v>
      </c>
      <c r="C88">
        <v>24220.535133460431</v>
      </c>
      <c r="D88">
        <v>28.513325208080811</v>
      </c>
    </row>
    <row r="89" spans="1:4" x14ac:dyDescent="0.3">
      <c r="A8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89" s="1" t="s">
        <v>109</v>
      </c>
      <c r="C89">
        <v>24199.135091365912</v>
      </c>
      <c r="D89">
        <v>28.63537711515152</v>
      </c>
    </row>
    <row r="90" spans="1:4" x14ac:dyDescent="0.3">
      <c r="A9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0" s="1" t="s">
        <v>109</v>
      </c>
      <c r="C90">
        <v>24152.526907729749</v>
      </c>
      <c r="D90">
        <v>28.75742902222223</v>
      </c>
    </row>
    <row r="91" spans="1:4" x14ac:dyDescent="0.3">
      <c r="A91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1" s="1" t="s">
        <v>109</v>
      </c>
      <c r="C91">
        <v>24132.991034328239</v>
      </c>
      <c r="D91">
        <v>28.879480929292932</v>
      </c>
    </row>
    <row r="92" spans="1:4" x14ac:dyDescent="0.3">
      <c r="A92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2" s="1" t="s">
        <v>109</v>
      </c>
      <c r="C92">
        <v>24086.382850692069</v>
      </c>
      <c r="D92">
        <v>29.001532836363641</v>
      </c>
    </row>
    <row r="93" spans="1:4" x14ac:dyDescent="0.3">
      <c r="A93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3" s="1" t="s">
        <v>109</v>
      </c>
      <c r="C93">
        <v>24039.77466705591</v>
      </c>
      <c r="D93">
        <v>29.123584743434339</v>
      </c>
    </row>
    <row r="94" spans="1:4" x14ac:dyDescent="0.3">
      <c r="A94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4" s="1" t="s">
        <v>109</v>
      </c>
      <c r="C94">
        <v>24007.693385158422</v>
      </c>
      <c r="D94">
        <v>29.245636650505048</v>
      </c>
    </row>
    <row r="95" spans="1:4" x14ac:dyDescent="0.3">
      <c r="A95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5" s="1" t="s">
        <v>109</v>
      </c>
      <c r="C95">
        <v>23976.90484165055</v>
      </c>
      <c r="D95">
        <v>29.367688557575761</v>
      </c>
    </row>
    <row r="96" spans="1:4" x14ac:dyDescent="0.3">
      <c r="A96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6" s="1" t="s">
        <v>109</v>
      </c>
      <c r="C96">
        <v>23945.456155291169</v>
      </c>
      <c r="D96">
        <v>29.48974046464647</v>
      </c>
    </row>
    <row r="97" spans="1:4" x14ac:dyDescent="0.3">
      <c r="A97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7" s="1" t="s">
        <v>109</v>
      </c>
      <c r="C97">
        <v>23898.847971655021</v>
      </c>
      <c r="D97">
        <v>29.611792371717168</v>
      </c>
    </row>
    <row r="98" spans="1:4" x14ac:dyDescent="0.3">
      <c r="A98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8" s="1" t="s">
        <v>109</v>
      </c>
      <c r="C98">
        <v>23852.239788018851</v>
      </c>
      <c r="D98">
        <v>29.733844278787881</v>
      </c>
    </row>
    <row r="99" spans="1:4" x14ac:dyDescent="0.3">
      <c r="A99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99" s="1" t="s">
        <v>109</v>
      </c>
      <c r="C99">
        <v>23805.631604382681</v>
      </c>
      <c r="D99">
        <v>29.85589618585859</v>
      </c>
    </row>
    <row r="100" spans="1:4" x14ac:dyDescent="0.3">
      <c r="A100" s="1" t="str">
        <f>IF(Tabelle25[[#This Row],[Auszahlung_aus_der_Szenario_Range]]="","",IFERROR(MID(Sensitivität_bzw_Monte_Carlo_bei_Strom[[#This Row],[Source.Name]],FIND("1",Sensitivität_bzw_Monte_Carlo_bei_Strom[[#This Row],[Source.Name]],1),1),2))</f>
        <v>1</v>
      </c>
      <c r="B100" s="1" t="s">
        <v>109</v>
      </c>
      <c r="C100">
        <v>23772.74773324894</v>
      </c>
      <c r="D100">
        <v>29.977948092929299</v>
      </c>
    </row>
    <row r="101" spans="1:4" x14ac:dyDescent="0.3">
      <c r="A10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01" s="1" t="s">
        <v>109</v>
      </c>
      <c r="C101">
        <v>23742.415179302749</v>
      </c>
      <c r="D101">
        <v>30.1</v>
      </c>
    </row>
    <row r="102" spans="1:4" x14ac:dyDescent="0.3">
      <c r="A10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02" s="1" t="s">
        <v>110</v>
      </c>
      <c r="C102">
        <v>14115.5470194232</v>
      </c>
      <c r="D102">
        <v>18.016861200000001</v>
      </c>
    </row>
    <row r="103" spans="1:4" x14ac:dyDescent="0.3">
      <c r="A10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03" s="1" t="s">
        <v>110</v>
      </c>
      <c r="C103">
        <v>14095.825604871599</v>
      </c>
      <c r="D103">
        <v>18.13891310707071</v>
      </c>
    </row>
    <row r="104" spans="1:4" x14ac:dyDescent="0.3">
      <c r="A10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04" s="1" t="s">
        <v>110</v>
      </c>
      <c r="C104">
        <v>14049.21742123544</v>
      </c>
      <c r="D104">
        <v>18.260965014141419</v>
      </c>
    </row>
    <row r="105" spans="1:4" x14ac:dyDescent="0.3">
      <c r="A10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05" s="1" t="s">
        <v>110</v>
      </c>
      <c r="C105">
        <v>14002.60923759927</v>
      </c>
      <c r="D105">
        <v>18.383016921212121</v>
      </c>
    </row>
    <row r="106" spans="1:4" x14ac:dyDescent="0.3">
      <c r="A10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06" s="1" t="s">
        <v>110</v>
      </c>
      <c r="C106">
        <v>13984.908171543109</v>
      </c>
      <c r="D106">
        <v>18.50506882828283</v>
      </c>
    </row>
    <row r="107" spans="1:4" x14ac:dyDescent="0.3">
      <c r="A10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07" s="1" t="s">
        <v>110</v>
      </c>
      <c r="C107">
        <v>13938.299987906939</v>
      </c>
      <c r="D107">
        <v>18.62712073535354</v>
      </c>
    </row>
    <row r="108" spans="1:4" x14ac:dyDescent="0.3">
      <c r="A10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08" s="1" t="s">
        <v>110</v>
      </c>
      <c r="C108">
        <v>13891.691804270769</v>
      </c>
      <c r="D108">
        <v>18.749172642424249</v>
      </c>
    </row>
    <row r="109" spans="1:4" x14ac:dyDescent="0.3">
      <c r="A10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09" s="1" t="s">
        <v>110</v>
      </c>
      <c r="C109">
        <v>13859.61052237329</v>
      </c>
      <c r="D109">
        <v>18.871224549494951</v>
      </c>
    </row>
    <row r="110" spans="1:4" x14ac:dyDescent="0.3">
      <c r="A11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0" s="1" t="s">
        <v>110</v>
      </c>
      <c r="C110">
        <v>13813.002338737129</v>
      </c>
      <c r="D110">
        <v>18.99327645656566</v>
      </c>
    </row>
    <row r="111" spans="1:4" x14ac:dyDescent="0.3">
      <c r="A11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1" s="1" t="s">
        <v>110</v>
      </c>
      <c r="C111">
        <v>13778.99695374471</v>
      </c>
      <c r="D111">
        <v>19.115328363636369</v>
      </c>
    </row>
    <row r="112" spans="1:4" x14ac:dyDescent="0.3">
      <c r="A11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2" s="1" t="s">
        <v>110</v>
      </c>
      <c r="C112">
        <v>13746.50867588562</v>
      </c>
      <c r="D112">
        <v>19.237380270707071</v>
      </c>
    </row>
    <row r="113" spans="1:4" x14ac:dyDescent="0.3">
      <c r="A11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3" s="1" t="s">
        <v>110</v>
      </c>
      <c r="C113">
        <v>13699.900492249461</v>
      </c>
      <c r="D113">
        <v>19.35943217777778</v>
      </c>
    </row>
    <row r="114" spans="1:4" x14ac:dyDescent="0.3">
      <c r="A11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4" s="1" t="s">
        <v>110</v>
      </c>
      <c r="C114">
        <v>13653.2923086133</v>
      </c>
      <c r="D114">
        <v>19.481484084848489</v>
      </c>
    </row>
    <row r="115" spans="1:4" x14ac:dyDescent="0.3">
      <c r="A11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5" s="1" t="s">
        <v>110</v>
      </c>
      <c r="C115">
        <v>13606.68412497713</v>
      </c>
      <c r="D115">
        <v>19.603535991919191</v>
      </c>
    </row>
    <row r="116" spans="1:4" x14ac:dyDescent="0.3">
      <c r="A11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6" s="1" t="s">
        <v>110</v>
      </c>
      <c r="C116">
        <v>13602.99787531841</v>
      </c>
      <c r="D116">
        <v>19.7255878989899</v>
      </c>
    </row>
    <row r="117" spans="1:4" x14ac:dyDescent="0.3">
      <c r="A11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7" s="1" t="s">
        <v>110</v>
      </c>
      <c r="C117">
        <v>13571.98615038561</v>
      </c>
      <c r="D117">
        <v>19.847639806060609</v>
      </c>
    </row>
    <row r="118" spans="1:4" x14ac:dyDescent="0.3">
      <c r="A11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8" s="1" t="s">
        <v>110</v>
      </c>
      <c r="C118">
        <v>13525.377966749449</v>
      </c>
      <c r="D118">
        <v>19.969691713131311</v>
      </c>
    </row>
    <row r="119" spans="1:4" x14ac:dyDescent="0.3">
      <c r="A11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19" s="1" t="s">
        <v>110</v>
      </c>
      <c r="C119">
        <v>13493.504561184111</v>
      </c>
      <c r="D119">
        <v>20.091743620202021</v>
      </c>
    </row>
    <row r="120" spans="1:4" x14ac:dyDescent="0.3">
      <c r="A12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0" s="1" t="s">
        <v>110</v>
      </c>
      <c r="C120">
        <v>13459.67951908959</v>
      </c>
      <c r="D120">
        <v>20.21379552727273</v>
      </c>
    </row>
    <row r="121" spans="1:4" x14ac:dyDescent="0.3">
      <c r="A12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1" s="1" t="s">
        <v>110</v>
      </c>
      <c r="C121">
        <v>13413.071335453429</v>
      </c>
      <c r="D121">
        <v>20.335847434343439</v>
      </c>
    </row>
    <row r="122" spans="1:4" x14ac:dyDescent="0.3">
      <c r="A12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2" s="1" t="s">
        <v>110</v>
      </c>
      <c r="C122">
        <v>13366.463151817259</v>
      </c>
      <c r="D122">
        <v>20.457899341414141</v>
      </c>
    </row>
    <row r="123" spans="1:4" x14ac:dyDescent="0.3">
      <c r="A12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3" s="1" t="s">
        <v>110</v>
      </c>
      <c r="C123">
        <v>13319.8549681811</v>
      </c>
      <c r="D123">
        <v>20.57995124848485</v>
      </c>
    </row>
    <row r="124" spans="1:4" x14ac:dyDescent="0.3">
      <c r="A12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4" s="1" t="s">
        <v>110</v>
      </c>
      <c r="C124">
        <v>13273.24678454493</v>
      </c>
      <c r="D124">
        <v>20.702003155555559</v>
      </c>
    </row>
    <row r="125" spans="1:4" x14ac:dyDescent="0.3">
      <c r="A12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5" s="1" t="s">
        <v>110</v>
      </c>
      <c r="C125">
        <v>13226.638600908769</v>
      </c>
      <c r="D125">
        <v>20.824055062626261</v>
      </c>
    </row>
    <row r="126" spans="1:4" x14ac:dyDescent="0.3">
      <c r="A12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6" s="1" t="s">
        <v>110</v>
      </c>
      <c r="C126">
        <v>13206.777375371379</v>
      </c>
      <c r="D126">
        <v>20.94610696969697</v>
      </c>
    </row>
    <row r="127" spans="1:4" ht="13.8" customHeight="1" x14ac:dyDescent="0.3">
      <c r="A12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7" s="1" t="s">
        <v>110</v>
      </c>
      <c r="C127">
        <v>13160.169191735209</v>
      </c>
      <c r="D127">
        <v>21.068158876767679</v>
      </c>
    </row>
    <row r="128" spans="1:4" x14ac:dyDescent="0.3">
      <c r="A12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8" s="1" t="s">
        <v>110</v>
      </c>
      <c r="C128">
        <v>13113.56100809905</v>
      </c>
      <c r="D128">
        <v>21.190210783838381</v>
      </c>
    </row>
    <row r="129" spans="1:4" x14ac:dyDescent="0.3">
      <c r="A12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29" s="1" t="s">
        <v>110</v>
      </c>
      <c r="C129">
        <v>13066.95282446288</v>
      </c>
      <c r="D129">
        <v>21.31226269090909</v>
      </c>
    </row>
    <row r="130" spans="1:4" x14ac:dyDescent="0.3">
      <c r="A13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0" s="1" t="s">
        <v>110</v>
      </c>
      <c r="C130">
        <v>13033.684443275681</v>
      </c>
      <c r="D130">
        <v>21.4343145979798</v>
      </c>
    </row>
    <row r="131" spans="1:4" x14ac:dyDescent="0.3">
      <c r="A13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1" s="1" t="s">
        <v>110</v>
      </c>
      <c r="C131">
        <v>13002.02188870085</v>
      </c>
      <c r="D131">
        <v>21.556366505050509</v>
      </c>
    </row>
    <row r="132" spans="1:4" x14ac:dyDescent="0.3">
      <c r="A13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2" s="1" t="s">
        <v>110</v>
      </c>
      <c r="C132">
        <v>12971.23334519297</v>
      </c>
      <c r="D132">
        <v>21.678418412121211</v>
      </c>
    </row>
    <row r="133" spans="1:4" x14ac:dyDescent="0.3">
      <c r="A13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3" s="1" t="s">
        <v>110</v>
      </c>
      <c r="C133">
        <v>12937.591226658131</v>
      </c>
      <c r="D133">
        <v>21.80047031919192</v>
      </c>
    </row>
    <row r="134" spans="1:4" x14ac:dyDescent="0.3">
      <c r="A13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4" s="1" t="s">
        <v>110</v>
      </c>
      <c r="C134">
        <v>12890.98304302197</v>
      </c>
      <c r="D134">
        <v>21.922522226262629</v>
      </c>
    </row>
    <row r="135" spans="1:4" x14ac:dyDescent="0.3">
      <c r="A13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5" s="1" t="s">
        <v>110</v>
      </c>
      <c r="C135">
        <v>12844.374859385811</v>
      </c>
      <c r="D135">
        <v>22.044574133333331</v>
      </c>
    </row>
    <row r="136" spans="1:4" x14ac:dyDescent="0.3">
      <c r="A13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6" s="1" t="s">
        <v>110</v>
      </c>
      <c r="C136">
        <v>12797.766675749641</v>
      </c>
      <c r="D136">
        <v>22.16662604040404</v>
      </c>
    </row>
    <row r="137" spans="1:4" x14ac:dyDescent="0.3">
      <c r="A13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7" s="1" t="s">
        <v>110</v>
      </c>
      <c r="C137">
        <v>12751.15849211348</v>
      </c>
      <c r="D137">
        <v>22.288677947474749</v>
      </c>
    </row>
    <row r="138" spans="1:4" x14ac:dyDescent="0.3">
      <c r="A13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8" s="1" t="s">
        <v>110</v>
      </c>
      <c r="C138">
        <v>12704.55030847731</v>
      </c>
      <c r="D138">
        <v>22.410729854545451</v>
      </c>
    </row>
    <row r="139" spans="1:4" x14ac:dyDescent="0.3">
      <c r="A13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39" s="1" t="s">
        <v>110</v>
      </c>
      <c r="C139">
        <v>12688.138458514361</v>
      </c>
      <c r="D139">
        <v>22.53278176161616</v>
      </c>
    </row>
    <row r="140" spans="1:4" x14ac:dyDescent="0.3">
      <c r="A14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0" s="1" t="s">
        <v>110</v>
      </c>
      <c r="C140">
        <v>12667.663765208999</v>
      </c>
      <c r="D140">
        <v>22.654833668686869</v>
      </c>
    </row>
    <row r="141" spans="1:4" x14ac:dyDescent="0.3">
      <c r="A14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1" s="1" t="s">
        <v>110</v>
      </c>
      <c r="C141">
        <v>12621.05558157284</v>
      </c>
      <c r="D141">
        <v>22.776885575757571</v>
      </c>
    </row>
    <row r="142" spans="1:4" x14ac:dyDescent="0.3">
      <c r="A14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2" s="1" t="s">
        <v>110</v>
      </c>
      <c r="C142">
        <v>12589.606895213459</v>
      </c>
      <c r="D142">
        <v>22.898937482828281</v>
      </c>
    </row>
    <row r="143" spans="1:4" x14ac:dyDescent="0.3">
      <c r="A14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3" s="1" t="s">
        <v>110</v>
      </c>
      <c r="C143">
        <v>12542.9987115773</v>
      </c>
      <c r="D143">
        <v>23.02098938989899</v>
      </c>
    </row>
    <row r="144" spans="1:4" x14ac:dyDescent="0.3">
      <c r="A14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4" s="1" t="s">
        <v>110</v>
      </c>
      <c r="C144">
        <v>12496.390527941139</v>
      </c>
      <c r="D144">
        <v>23.143041296969699</v>
      </c>
    </row>
    <row r="145" spans="1:4" x14ac:dyDescent="0.3">
      <c r="A14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5" s="1" t="s">
        <v>110</v>
      </c>
      <c r="C145">
        <v>12449.78234430498</v>
      </c>
      <c r="D145">
        <v>23.265093204040401</v>
      </c>
    </row>
    <row r="146" spans="1:4" x14ac:dyDescent="0.3">
      <c r="A14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6" s="1" t="s">
        <v>110</v>
      </c>
      <c r="C146">
        <v>12403.17416066881</v>
      </c>
      <c r="D146">
        <v>23.38714511111111</v>
      </c>
    </row>
    <row r="147" spans="1:4" x14ac:dyDescent="0.3">
      <c r="A14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7" s="1" t="s">
        <v>110</v>
      </c>
      <c r="C147">
        <v>12356.56597703264</v>
      </c>
      <c r="D147">
        <v>23.509197018181819</v>
      </c>
    </row>
    <row r="148" spans="1:4" x14ac:dyDescent="0.3">
      <c r="A14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8" s="1" t="s">
        <v>110</v>
      </c>
      <c r="C148">
        <v>12351.75620716364</v>
      </c>
      <c r="D148">
        <v>23.631248925252532</v>
      </c>
    </row>
    <row r="149" spans="1:4" x14ac:dyDescent="0.3">
      <c r="A14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49" s="1" t="s">
        <v>110</v>
      </c>
      <c r="C149">
        <v>12305.14802352747</v>
      </c>
      <c r="D149">
        <v>23.75330083232323</v>
      </c>
    </row>
    <row r="150" spans="1:4" x14ac:dyDescent="0.3">
      <c r="A15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0" s="1" t="s">
        <v>110</v>
      </c>
      <c r="C150">
        <v>12271.32298143295</v>
      </c>
      <c r="D150">
        <v>23.875352739393939</v>
      </c>
    </row>
    <row r="151" spans="1:4" x14ac:dyDescent="0.3">
      <c r="A15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1" s="1" t="s">
        <v>110</v>
      </c>
      <c r="C151">
        <v>12253.815536192151</v>
      </c>
      <c r="D151">
        <v>23.997404646464648</v>
      </c>
    </row>
    <row r="152" spans="1:4" x14ac:dyDescent="0.3">
      <c r="A15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2" s="1" t="s">
        <v>110</v>
      </c>
      <c r="C152">
        <v>12207.207352555981</v>
      </c>
      <c r="D152">
        <v>24.11945655353535</v>
      </c>
    </row>
    <row r="153" spans="1:4" x14ac:dyDescent="0.3">
      <c r="A15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3" s="1" t="s">
        <v>110</v>
      </c>
      <c r="C153">
        <v>12160.59916891982</v>
      </c>
      <c r="D153">
        <v>24.24150846060606</v>
      </c>
    </row>
    <row r="154" spans="1:4" x14ac:dyDescent="0.3">
      <c r="A15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4" s="1" t="s">
        <v>110</v>
      </c>
      <c r="C154">
        <v>12126.41598528366</v>
      </c>
      <c r="D154">
        <v>24.363560367676769</v>
      </c>
    </row>
    <row r="155" spans="1:4" x14ac:dyDescent="0.3">
      <c r="A15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5" s="1" t="s">
        <v>110</v>
      </c>
      <c r="C155">
        <v>12079.80780164749</v>
      </c>
      <c r="D155">
        <v>24.485612274747471</v>
      </c>
    </row>
    <row r="156" spans="1:4" x14ac:dyDescent="0.3">
      <c r="A15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6" s="1" t="s">
        <v>110</v>
      </c>
      <c r="C156">
        <v>12033.199618011329</v>
      </c>
      <c r="D156">
        <v>24.60766418181818</v>
      </c>
    </row>
    <row r="157" spans="1:4" x14ac:dyDescent="0.3">
      <c r="A15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7" s="1" t="s">
        <v>110</v>
      </c>
      <c r="C157">
        <v>11986.591434375159</v>
      </c>
      <c r="D157">
        <v>24.729716088888889</v>
      </c>
    </row>
    <row r="158" spans="1:4" x14ac:dyDescent="0.3">
      <c r="A15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8" s="1" t="s">
        <v>110</v>
      </c>
      <c r="C158">
        <v>11939.983250739</v>
      </c>
      <c r="D158">
        <v>24.851767995959602</v>
      </c>
    </row>
    <row r="159" spans="1:4" x14ac:dyDescent="0.3">
      <c r="A15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59" s="1" t="s">
        <v>110</v>
      </c>
      <c r="C159">
        <v>11908.109845173671</v>
      </c>
      <c r="D159">
        <v>24.9738199030303</v>
      </c>
    </row>
    <row r="160" spans="1:4" x14ac:dyDescent="0.3">
      <c r="A16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0" s="1" t="s">
        <v>110</v>
      </c>
      <c r="C160">
        <v>11861.501661537501</v>
      </c>
      <c r="D160">
        <v>25.095871810101009</v>
      </c>
    </row>
    <row r="161" spans="1:4" x14ac:dyDescent="0.3">
      <c r="A16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1" s="1" t="s">
        <v>110</v>
      </c>
      <c r="C161">
        <v>11814.89347790134</v>
      </c>
      <c r="D161">
        <v>25.217923717171718</v>
      </c>
    </row>
    <row r="162" spans="1:4" x14ac:dyDescent="0.3">
      <c r="A16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2" s="1" t="s">
        <v>110</v>
      </c>
      <c r="C162">
        <v>11783.88175296854</v>
      </c>
      <c r="D162">
        <v>25.339975624242431</v>
      </c>
    </row>
    <row r="163" spans="1:4" x14ac:dyDescent="0.3">
      <c r="A16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3" s="1" t="s">
        <v>110</v>
      </c>
      <c r="C163">
        <v>11764.9353298801</v>
      </c>
      <c r="D163">
        <v>25.462027531313129</v>
      </c>
    </row>
    <row r="164" spans="1:4" x14ac:dyDescent="0.3">
      <c r="A16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4" s="1" t="s">
        <v>110</v>
      </c>
      <c r="C164">
        <v>11747.33922656888</v>
      </c>
      <c r="D164">
        <v>25.584079438383839</v>
      </c>
    </row>
    <row r="165" spans="1:4" x14ac:dyDescent="0.3">
      <c r="A16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5" s="1" t="s">
        <v>110</v>
      </c>
      <c r="C165">
        <v>11700.73104293271</v>
      </c>
      <c r="D165">
        <v>25.706131345454551</v>
      </c>
    </row>
    <row r="166" spans="1:4" x14ac:dyDescent="0.3">
      <c r="A16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6" s="1" t="s">
        <v>110</v>
      </c>
      <c r="C166">
        <v>11654.12285929656</v>
      </c>
      <c r="D166">
        <v>25.82818325252525</v>
      </c>
    </row>
    <row r="167" spans="1:4" x14ac:dyDescent="0.3">
      <c r="A16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7" s="1" t="s">
        <v>110</v>
      </c>
      <c r="C167">
        <v>11607.51467566039</v>
      </c>
      <c r="D167">
        <v>25.950235159595959</v>
      </c>
    </row>
    <row r="168" spans="1:4" x14ac:dyDescent="0.3">
      <c r="A16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8" s="1" t="s">
        <v>110</v>
      </c>
      <c r="C168">
        <v>11560.906492024231</v>
      </c>
      <c r="D168">
        <v>26.072287066666672</v>
      </c>
    </row>
    <row r="169" spans="1:4" x14ac:dyDescent="0.3">
      <c r="A16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69" s="1" t="s">
        <v>110</v>
      </c>
      <c r="C169">
        <v>11526.90110703181</v>
      </c>
      <c r="D169">
        <v>26.19433897373737</v>
      </c>
    </row>
    <row r="170" spans="1:4" x14ac:dyDescent="0.3">
      <c r="A17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0" s="1" t="s">
        <v>110</v>
      </c>
      <c r="C170">
        <v>11480.292923395649</v>
      </c>
      <c r="D170">
        <v>26.316390880808079</v>
      </c>
    </row>
    <row r="171" spans="1:4" x14ac:dyDescent="0.3">
      <c r="A17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1" s="1" t="s">
        <v>110</v>
      </c>
      <c r="C171">
        <v>11433.684739759479</v>
      </c>
      <c r="D171">
        <v>26.438442787878792</v>
      </c>
    </row>
    <row r="172" spans="1:4" x14ac:dyDescent="0.3">
      <c r="A17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2" s="1" t="s">
        <v>110</v>
      </c>
      <c r="C172">
        <v>11402.02218518464</v>
      </c>
      <c r="D172">
        <v>26.560494694949501</v>
      </c>
    </row>
    <row r="173" spans="1:4" x14ac:dyDescent="0.3">
      <c r="A17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3" s="1" t="s">
        <v>110</v>
      </c>
      <c r="C173">
        <v>11368.944693235529</v>
      </c>
      <c r="D173">
        <v>26.682546602020199</v>
      </c>
    </row>
    <row r="174" spans="1:4" x14ac:dyDescent="0.3">
      <c r="A17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4" s="1" t="s">
        <v>110</v>
      </c>
      <c r="C174">
        <v>11336.257213582619</v>
      </c>
      <c r="D174">
        <v>26.804598509090908</v>
      </c>
    </row>
    <row r="175" spans="1:4" x14ac:dyDescent="0.3">
      <c r="A17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5" s="1" t="s">
        <v>110</v>
      </c>
      <c r="C175">
        <v>11289.64902994646</v>
      </c>
      <c r="D175">
        <v>26.926650416161621</v>
      </c>
    </row>
    <row r="176" spans="1:4" x14ac:dyDescent="0.3">
      <c r="A17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6" s="1" t="s">
        <v>110</v>
      </c>
      <c r="C176">
        <v>11243.04084631029</v>
      </c>
      <c r="D176">
        <v>27.04870232323233</v>
      </c>
    </row>
    <row r="177" spans="1:4" x14ac:dyDescent="0.3">
      <c r="A17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7" s="1" t="s">
        <v>110</v>
      </c>
      <c r="C177">
        <v>11196.432662674129</v>
      </c>
      <c r="D177">
        <v>27.170754230303029</v>
      </c>
    </row>
    <row r="178" spans="1:4" x14ac:dyDescent="0.3">
      <c r="A17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8" s="1" t="s">
        <v>110</v>
      </c>
      <c r="C178">
        <v>11149.82447903797</v>
      </c>
      <c r="D178">
        <v>27.292806137373741</v>
      </c>
    </row>
    <row r="179" spans="1:4" x14ac:dyDescent="0.3">
      <c r="A17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79" s="1" t="s">
        <v>110</v>
      </c>
      <c r="C179">
        <v>11119.035935530101</v>
      </c>
      <c r="D179">
        <v>27.414858044444451</v>
      </c>
    </row>
    <row r="180" spans="1:4" x14ac:dyDescent="0.3">
      <c r="A18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0" s="1" t="s">
        <v>110</v>
      </c>
      <c r="C180">
        <v>11098.36249968698</v>
      </c>
      <c r="D180">
        <v>27.536909951515149</v>
      </c>
    </row>
    <row r="181" spans="1:4" x14ac:dyDescent="0.3">
      <c r="A18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1" s="1" t="s">
        <v>110</v>
      </c>
      <c r="C181">
        <v>11051.75431605081</v>
      </c>
      <c r="D181">
        <v>27.658961858585862</v>
      </c>
    </row>
    <row r="182" spans="1:4" x14ac:dyDescent="0.3">
      <c r="A18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2" s="1" t="s">
        <v>110</v>
      </c>
      <c r="C182">
        <v>11017.57113241465</v>
      </c>
      <c r="D182">
        <v>27.781013765656571</v>
      </c>
    </row>
    <row r="183" spans="1:4" x14ac:dyDescent="0.3">
      <c r="A18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3" s="1" t="s">
        <v>110</v>
      </c>
      <c r="C183">
        <v>10970.96294877849</v>
      </c>
      <c r="D183">
        <v>27.903065672727269</v>
      </c>
    </row>
    <row r="184" spans="1:4" x14ac:dyDescent="0.3">
      <c r="A18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4" s="1" t="s">
        <v>110</v>
      </c>
      <c r="C184">
        <v>10924.35476514232</v>
      </c>
      <c r="D184">
        <v>28.025117579797978</v>
      </c>
    </row>
    <row r="185" spans="1:4" x14ac:dyDescent="0.3">
      <c r="A18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5" s="1" t="s">
        <v>110</v>
      </c>
      <c r="C185">
        <v>10907.025984560019</v>
      </c>
      <c r="D185">
        <v>28.147169486868691</v>
      </c>
    </row>
    <row r="186" spans="1:4" x14ac:dyDescent="0.3">
      <c r="A18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6" s="1" t="s">
        <v>110</v>
      </c>
      <c r="C186">
        <v>10874.14211342628</v>
      </c>
      <c r="D186">
        <v>28.2692213939394</v>
      </c>
    </row>
    <row r="187" spans="1:4" x14ac:dyDescent="0.3">
      <c r="A18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7" s="1" t="s">
        <v>110</v>
      </c>
      <c r="C187">
        <v>10842.06083152879</v>
      </c>
      <c r="D187">
        <v>28.391273301010099</v>
      </c>
    </row>
    <row r="188" spans="1:4" x14ac:dyDescent="0.3">
      <c r="A18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8" s="1" t="s">
        <v>110</v>
      </c>
      <c r="C188">
        <v>10795.452647892629</v>
      </c>
      <c r="D188">
        <v>28.513325208080811</v>
      </c>
    </row>
    <row r="189" spans="1:4" x14ac:dyDescent="0.3">
      <c r="A18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89" s="1" t="s">
        <v>110</v>
      </c>
      <c r="C189">
        <v>10765.120093946431</v>
      </c>
      <c r="D189">
        <v>28.63537711515152</v>
      </c>
    </row>
    <row r="190" spans="1:4" x14ac:dyDescent="0.3">
      <c r="A19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0" s="1" t="s">
        <v>110</v>
      </c>
      <c r="C190">
        <v>10718.51191031027</v>
      </c>
      <c r="D190">
        <v>28.75742902222223</v>
      </c>
    </row>
    <row r="191" spans="1:4" x14ac:dyDescent="0.3">
      <c r="A19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1" s="1" t="s">
        <v>110</v>
      </c>
      <c r="C191">
        <v>10671.9037266741</v>
      </c>
      <c r="D191">
        <v>28.879480929292932</v>
      </c>
    </row>
    <row r="192" spans="1:4" x14ac:dyDescent="0.3">
      <c r="A192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2" s="1" t="s">
        <v>110</v>
      </c>
      <c r="C192">
        <v>10625.295543037941</v>
      </c>
      <c r="D192">
        <v>29.001532836363641</v>
      </c>
    </row>
    <row r="193" spans="1:4" x14ac:dyDescent="0.3">
      <c r="A193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3" s="1" t="s">
        <v>110</v>
      </c>
      <c r="C193">
        <v>10578.68735940178</v>
      </c>
      <c r="D193">
        <v>29.123584743434339</v>
      </c>
    </row>
    <row r="194" spans="1:4" x14ac:dyDescent="0.3">
      <c r="A194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4" s="1" t="s">
        <v>110</v>
      </c>
      <c r="C194">
        <v>10532.07917576561</v>
      </c>
      <c r="D194">
        <v>29.245636650505048</v>
      </c>
    </row>
    <row r="195" spans="1:4" x14ac:dyDescent="0.3">
      <c r="A195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5" s="1" t="s">
        <v>110</v>
      </c>
      <c r="C195">
        <v>10513.813483123709</v>
      </c>
      <c r="D195">
        <v>29.367688557575761</v>
      </c>
    </row>
    <row r="196" spans="1:4" x14ac:dyDescent="0.3">
      <c r="A196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6" s="1" t="s">
        <v>110</v>
      </c>
      <c r="C196">
        <v>10480.545101936499</v>
      </c>
      <c r="D196">
        <v>29.48974046464647</v>
      </c>
    </row>
    <row r="197" spans="1:4" x14ac:dyDescent="0.3">
      <c r="A197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7" s="1" t="s">
        <v>110</v>
      </c>
      <c r="C197">
        <v>10433.93691830034</v>
      </c>
      <c r="D197">
        <v>29.611792371717168</v>
      </c>
    </row>
    <row r="198" spans="1:4" x14ac:dyDescent="0.3">
      <c r="A198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8" s="1" t="s">
        <v>110</v>
      </c>
      <c r="C198">
        <v>10399.93153330793</v>
      </c>
      <c r="D198">
        <v>29.733844278787881</v>
      </c>
    </row>
    <row r="199" spans="1:4" x14ac:dyDescent="0.3">
      <c r="A199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199" s="1" t="s">
        <v>110</v>
      </c>
      <c r="C199">
        <v>10368.05812774259</v>
      </c>
      <c r="D199">
        <v>29.85589618585859</v>
      </c>
    </row>
    <row r="200" spans="1:4" x14ac:dyDescent="0.3">
      <c r="A200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200" s="1" t="s">
        <v>110</v>
      </c>
      <c r="C200">
        <v>10321.449944106431</v>
      </c>
      <c r="D200">
        <v>29.977948092929299</v>
      </c>
    </row>
    <row r="201" spans="1:4" x14ac:dyDescent="0.3">
      <c r="A201" s="1">
        <f>IF(Tabelle25[[#This Row],[Auszahlung_aus_der_Szenario_Range]]="","",IFERROR(MID(Sensitivität_bzw_Monte_Carlo_bei_Strom[[#This Row],[Source.Name]],FIND("1",Sensitivität_bzw_Monte_Carlo_bei_Strom[[#This Row],[Source.Name]],1),1),2))</f>
        <v>2</v>
      </c>
      <c r="B201" s="1" t="s">
        <v>110</v>
      </c>
      <c r="C201">
        <v>10289.163718569031</v>
      </c>
      <c r="D201">
        <v>30.1</v>
      </c>
    </row>
    <row r="202" spans="1:4" x14ac:dyDescent="0.3">
      <c r="A202" s="1"/>
      <c r="B202" s="1" t="str">
        <f>IFERROR(IF(LEFT(Sensitivität_bzw_Monte_Carlo_bei_Strom[[#This Row],[Source.Name]],SEARCH("aus_der",Sensitivität_bzw_Monte_Carlo_bei_Strom[[#This Row],[Source.Name]],1))="Auszahlung_a","Auszahlung",""),"")</f>
        <v/>
      </c>
      <c r="D202" s="1"/>
    </row>
    <row r="203" spans="1:4" x14ac:dyDescent="0.3">
      <c r="A203" s="1"/>
      <c r="B203" s="1" t="str">
        <f>IFERROR(IF(LEFT(Sensitivität_bzw_Monte_Carlo_bei_Strom[[#This Row],[Source.Name]],SEARCH("aus_der",Sensitivität_bzw_Monte_Carlo_bei_Strom[[#This Row],[Source.Name]],1))="Auszahlung_a","Auszahlung",""),"")</f>
        <v/>
      </c>
      <c r="D203" s="1"/>
    </row>
    <row r="204" spans="1:4" x14ac:dyDescent="0.3">
      <c r="A204" s="1"/>
      <c r="B204" s="1" t="str">
        <f>IFERROR(IF(LEFT(Sensitivität_bzw_Monte_Carlo_bei_Strom[[#This Row],[Source.Name]],SEARCH("aus_der",Sensitivität_bzw_Monte_Carlo_bei_Strom[[#This Row],[Source.Name]],1))="Auszahlung_a","Auszahlung",""),"")</f>
        <v/>
      </c>
      <c r="D204" s="1"/>
    </row>
    <row r="205" spans="1:4" x14ac:dyDescent="0.3">
      <c r="A205" s="1"/>
      <c r="B205" s="1" t="str">
        <f>IFERROR(IF(LEFT(Sensitivität_bzw_Monte_Carlo_bei_Strom[[#This Row],[Source.Name]],SEARCH("aus_der",Sensitivität_bzw_Monte_Carlo_bei_Strom[[#This Row],[Source.Name]],1))="Auszahlung_a","Auszahlung",""),"")</f>
        <v/>
      </c>
      <c r="D205" s="1"/>
    </row>
    <row r="206" spans="1:4" x14ac:dyDescent="0.3">
      <c r="A206" s="1"/>
      <c r="B206" s="1" t="str">
        <f>IFERROR(IF(LEFT(Sensitivität_bzw_Monte_Carlo_bei_Strom[[#This Row],[Source.Name]],SEARCH("aus_der",Sensitivität_bzw_Monte_Carlo_bei_Strom[[#This Row],[Source.Name]],1))="Auszahlung_a","Auszahlung",""),"")</f>
        <v/>
      </c>
      <c r="D206" s="1"/>
    </row>
    <row r="207" spans="1:4" x14ac:dyDescent="0.3">
      <c r="A207" s="1"/>
      <c r="B207" s="1" t="str">
        <f>IFERROR(IF(LEFT(Sensitivität_bzw_Monte_Carlo_bei_Strom[[#This Row],[Source.Name]],SEARCH("aus_der",Sensitivität_bzw_Monte_Carlo_bei_Strom[[#This Row],[Source.Name]],1))="Auszahlung_a","Auszahlung",""),"")</f>
        <v/>
      </c>
      <c r="D207" s="1"/>
    </row>
    <row r="208" spans="1:4" x14ac:dyDescent="0.3">
      <c r="A208" s="1"/>
      <c r="B208" s="1" t="str">
        <f>IFERROR(IF(LEFT(Sensitivität_bzw_Monte_Carlo_bei_Strom[[#This Row],[Source.Name]],SEARCH("aus_der",Sensitivität_bzw_Monte_Carlo_bei_Strom[[#This Row],[Source.Name]],1))="Auszahlung_a","Auszahlung",""),"")</f>
        <v/>
      </c>
      <c r="D208" s="1"/>
    </row>
    <row r="209" spans="1:4" x14ac:dyDescent="0.3">
      <c r="A209" s="1"/>
      <c r="B209" s="1" t="str">
        <f>IFERROR(IF(LEFT(Sensitivität_bzw_Monte_Carlo_bei_Strom[[#This Row],[Source.Name]],SEARCH("aus_der",Sensitivität_bzw_Monte_Carlo_bei_Strom[[#This Row],[Source.Name]],1))="Auszahlung_a","Auszahlung",""),"")</f>
        <v/>
      </c>
      <c r="D209" s="1"/>
    </row>
    <row r="210" spans="1:4" x14ac:dyDescent="0.3">
      <c r="A210" s="1"/>
      <c r="B210" s="1" t="str">
        <f>IFERROR(IF(LEFT(Sensitivität_bzw_Monte_Carlo_bei_Strom[[#This Row],[Source.Name]],SEARCH("aus_der",Sensitivität_bzw_Monte_Carlo_bei_Strom[[#This Row],[Source.Name]],1))="Auszahlung_a","Auszahlung",""),"")</f>
        <v/>
      </c>
      <c r="D210" s="1"/>
    </row>
    <row r="211" spans="1:4" x14ac:dyDescent="0.3">
      <c r="A211" s="1"/>
      <c r="B211" s="1" t="str">
        <f>IFERROR(IF(LEFT(Sensitivität_bzw_Monte_Carlo_bei_Strom[[#This Row],[Source.Name]],SEARCH("aus_der",Sensitivität_bzw_Monte_Carlo_bei_Strom[[#This Row],[Source.Name]],1))="Auszahlung_a","Auszahlung",""),"")</f>
        <v/>
      </c>
      <c r="D211" s="1"/>
    </row>
    <row r="212" spans="1:4" x14ac:dyDescent="0.3">
      <c r="A212" s="1"/>
      <c r="B212" s="1" t="str">
        <f>IFERROR(IF(LEFT(Sensitivität_bzw_Monte_Carlo_bei_Strom[[#This Row],[Source.Name]],SEARCH("aus_der",Sensitivität_bzw_Monte_Carlo_bei_Strom[[#This Row],[Source.Name]],1))="Auszahlung_a","Auszahlung",""),"")</f>
        <v/>
      </c>
      <c r="D212" s="1"/>
    </row>
    <row r="213" spans="1:4" x14ac:dyDescent="0.3">
      <c r="A213" s="1"/>
      <c r="B213" s="1" t="str">
        <f>IFERROR(IF(LEFT(Sensitivität_bzw_Monte_Carlo_bei_Strom[[#This Row],[Source.Name]],SEARCH("aus_der",Sensitivität_bzw_Monte_Carlo_bei_Strom[[#This Row],[Source.Name]],1))="Auszahlung_a","Auszahlung",""),"")</f>
        <v/>
      </c>
      <c r="D213" s="1"/>
    </row>
    <row r="214" spans="1:4" x14ac:dyDescent="0.3">
      <c r="A214" s="1"/>
      <c r="B214" s="1" t="str">
        <f>IFERROR(IF(LEFT(Sensitivität_bzw_Monte_Carlo_bei_Strom[[#This Row],[Source.Name]],SEARCH("aus_der",Sensitivität_bzw_Monte_Carlo_bei_Strom[[#This Row],[Source.Name]],1))="Auszahlung_a","Auszahlung",""),"")</f>
        <v/>
      </c>
      <c r="D214" s="1"/>
    </row>
    <row r="215" spans="1:4" x14ac:dyDescent="0.3">
      <c r="A215" s="1"/>
      <c r="B215" s="1" t="str">
        <f>IFERROR(IF(LEFT(Sensitivität_bzw_Monte_Carlo_bei_Strom[[#This Row],[Source.Name]],SEARCH("aus_der",Sensitivität_bzw_Monte_Carlo_bei_Strom[[#This Row],[Source.Name]],1))="Auszahlung_a","Auszahlung",""),"")</f>
        <v/>
      </c>
      <c r="D215" s="1"/>
    </row>
    <row r="216" spans="1:4" x14ac:dyDescent="0.3">
      <c r="A216" s="1"/>
      <c r="B216" s="1" t="str">
        <f>IFERROR(IF(LEFT(Sensitivität_bzw_Monte_Carlo_bei_Strom[[#This Row],[Source.Name]],SEARCH("aus_der",Sensitivität_bzw_Monte_Carlo_bei_Strom[[#This Row],[Source.Name]],1))="Auszahlung_a","Auszahlung",""),"")</f>
        <v/>
      </c>
      <c r="D216" s="1"/>
    </row>
    <row r="217" spans="1:4" x14ac:dyDescent="0.3">
      <c r="A217" s="1"/>
      <c r="B217" s="1" t="str">
        <f>IFERROR(IF(LEFT(Sensitivität_bzw_Monte_Carlo_bei_Strom[[#This Row],[Source.Name]],SEARCH("aus_der",Sensitivität_bzw_Monte_Carlo_bei_Strom[[#This Row],[Source.Name]],1))="Auszahlung_a","Auszahlung",""),"")</f>
        <v/>
      </c>
      <c r="D217" s="1"/>
    </row>
    <row r="218" spans="1:4" x14ac:dyDescent="0.3">
      <c r="A218" s="1"/>
      <c r="B218" s="1" t="str">
        <f>IFERROR(IF(LEFT(Sensitivität_bzw_Monte_Carlo_bei_Strom[[#This Row],[Source.Name]],SEARCH("aus_der",Sensitivität_bzw_Monte_Carlo_bei_Strom[[#This Row],[Source.Name]],1))="Auszahlung_a","Auszahlung",""),"")</f>
        <v/>
      </c>
      <c r="D218" s="1"/>
    </row>
    <row r="219" spans="1:4" x14ac:dyDescent="0.3">
      <c r="A219" s="1"/>
      <c r="B219" s="1" t="str">
        <f>IFERROR(IF(LEFT(Sensitivität_bzw_Monte_Carlo_bei_Strom[[#This Row],[Source.Name]],SEARCH("aus_der",Sensitivität_bzw_Monte_Carlo_bei_Strom[[#This Row],[Source.Name]],1))="Auszahlung_a","Auszahlung",""),"")</f>
        <v/>
      </c>
      <c r="D219" s="1"/>
    </row>
    <row r="220" spans="1:4" x14ac:dyDescent="0.3">
      <c r="A220" s="1"/>
      <c r="B220" s="1" t="str">
        <f>IFERROR(IF(LEFT(Sensitivität_bzw_Monte_Carlo_bei_Strom[[#This Row],[Source.Name]],SEARCH("aus_der",Sensitivität_bzw_Monte_Carlo_bei_Strom[[#This Row],[Source.Name]],1))="Auszahlung_a","Auszahlung",""),"")</f>
        <v/>
      </c>
      <c r="D220" s="1"/>
    </row>
    <row r="221" spans="1:4" x14ac:dyDescent="0.3">
      <c r="A221" s="1"/>
      <c r="B221" s="1" t="str">
        <f>IFERROR(IF(LEFT(Sensitivität_bzw_Monte_Carlo_bei_Strom[[#This Row],[Source.Name]],SEARCH("aus_der",Sensitivität_bzw_Monte_Carlo_bei_Strom[[#This Row],[Source.Name]],1))="Auszahlung_a","Auszahlung",""),"")</f>
        <v/>
      </c>
      <c r="D221" s="1"/>
    </row>
    <row r="222" spans="1:4" x14ac:dyDescent="0.3">
      <c r="A222" s="1"/>
      <c r="B222" s="1" t="str">
        <f>IFERROR(IF(LEFT(Sensitivität_bzw_Monte_Carlo_bei_Strom[[#This Row],[Source.Name]],SEARCH("aus_der",Sensitivität_bzw_Monte_Carlo_bei_Strom[[#This Row],[Source.Name]],1))="Auszahlung_a","Auszahlung",""),"")</f>
        <v/>
      </c>
      <c r="D222" s="1"/>
    </row>
    <row r="223" spans="1:4" x14ac:dyDescent="0.3">
      <c r="A223" s="1"/>
      <c r="B223" s="1" t="str">
        <f>IFERROR(IF(LEFT(Sensitivität_bzw_Monte_Carlo_bei_Strom[[#This Row],[Source.Name]],SEARCH("aus_der",Sensitivität_bzw_Monte_Carlo_bei_Strom[[#This Row],[Source.Name]],1))="Auszahlung_a","Auszahlung",""),"")</f>
        <v/>
      </c>
      <c r="D223" s="1"/>
    </row>
    <row r="224" spans="1:4" x14ac:dyDescent="0.3">
      <c r="A224" s="1"/>
      <c r="B224" s="1" t="str">
        <f>IFERROR(IF(LEFT(Sensitivität_bzw_Monte_Carlo_bei_Strom[[#This Row],[Source.Name]],SEARCH("aus_der",Sensitivität_bzw_Monte_Carlo_bei_Strom[[#This Row],[Source.Name]],1))="Auszahlung_a","Auszahlung",""),"")</f>
        <v/>
      </c>
      <c r="D224" s="1"/>
    </row>
    <row r="225" spans="1:4" x14ac:dyDescent="0.3">
      <c r="A225" s="1"/>
      <c r="B225" s="1" t="str">
        <f>IFERROR(IF(LEFT(Sensitivität_bzw_Monte_Carlo_bei_Strom[[#This Row],[Source.Name]],SEARCH("aus_der",Sensitivität_bzw_Monte_Carlo_bei_Strom[[#This Row],[Source.Name]],1))="Auszahlung_a","Auszahlung",""),"")</f>
        <v/>
      </c>
      <c r="D225" s="1"/>
    </row>
    <row r="226" spans="1:4" x14ac:dyDescent="0.3">
      <c r="A226" s="1"/>
      <c r="B226" s="1" t="str">
        <f>IFERROR(IF(LEFT(Sensitivität_bzw_Monte_Carlo_bei_Strom[[#This Row],[Source.Name]],SEARCH("aus_der",Sensitivität_bzw_Monte_Carlo_bei_Strom[[#This Row],[Source.Name]],1))="Auszahlung_a","Auszahlung",""),"")</f>
        <v/>
      </c>
      <c r="D226" s="1"/>
    </row>
    <row r="227" spans="1:4" x14ac:dyDescent="0.3">
      <c r="A227" s="1"/>
      <c r="B227" s="1" t="str">
        <f>IFERROR(IF(LEFT(Sensitivität_bzw_Monte_Carlo_bei_Strom[[#This Row],[Source.Name]],SEARCH("aus_der",Sensitivität_bzw_Monte_Carlo_bei_Strom[[#This Row],[Source.Name]],1))="Auszahlung_a","Auszahlung",""),"")</f>
        <v/>
      </c>
      <c r="D227" s="1"/>
    </row>
    <row r="228" spans="1:4" x14ac:dyDescent="0.3">
      <c r="A228" s="1"/>
      <c r="B228" s="1" t="str">
        <f>IFERROR(IF(LEFT(Sensitivität_bzw_Monte_Carlo_bei_Strom[[#This Row],[Source.Name]],SEARCH("aus_der",Sensitivität_bzw_Monte_Carlo_bei_Strom[[#This Row],[Source.Name]],1))="Auszahlung_a","Auszahlung",""),"")</f>
        <v/>
      </c>
      <c r="D228" s="1"/>
    </row>
    <row r="229" spans="1:4" x14ac:dyDescent="0.3">
      <c r="A229" s="1"/>
      <c r="B229" s="1" t="str">
        <f>IFERROR(IF(LEFT(Sensitivität_bzw_Monte_Carlo_bei_Strom[[#This Row],[Source.Name]],SEARCH("aus_der",Sensitivität_bzw_Monte_Carlo_bei_Strom[[#This Row],[Source.Name]],1))="Auszahlung_a","Auszahlung",""),"")</f>
        <v/>
      </c>
      <c r="D229" s="1"/>
    </row>
    <row r="230" spans="1:4" x14ac:dyDescent="0.3">
      <c r="A230" s="1"/>
      <c r="B230" s="1" t="str">
        <f>IFERROR(IF(LEFT(Sensitivität_bzw_Monte_Carlo_bei_Strom[[#This Row],[Source.Name]],SEARCH("aus_der",Sensitivität_bzw_Monte_Carlo_bei_Strom[[#This Row],[Source.Name]],1))="Auszahlung_a","Auszahlung",""),"")</f>
        <v/>
      </c>
      <c r="D230" s="1"/>
    </row>
    <row r="231" spans="1:4" x14ac:dyDescent="0.3">
      <c r="A231" s="1"/>
      <c r="B231" s="1" t="str">
        <f>IFERROR(IF(LEFT(Sensitivität_bzw_Monte_Carlo_bei_Strom[[#This Row],[Source.Name]],SEARCH("aus_der",Sensitivität_bzw_Monte_Carlo_bei_Strom[[#This Row],[Source.Name]],1))="Auszahlung_a","Auszahlung",""),"")</f>
        <v/>
      </c>
      <c r="D231" s="1"/>
    </row>
    <row r="232" spans="1:4" x14ac:dyDescent="0.3">
      <c r="A232" s="1"/>
      <c r="B232" s="1" t="str">
        <f>IFERROR(IF(LEFT(Sensitivität_bzw_Monte_Carlo_bei_Strom[[#This Row],[Source.Name]],SEARCH("aus_der",Sensitivität_bzw_Monte_Carlo_bei_Strom[[#This Row],[Source.Name]],1))="Auszahlung_a","Auszahlung",""),"")</f>
        <v/>
      </c>
      <c r="D232" s="1"/>
    </row>
    <row r="233" spans="1:4" x14ac:dyDescent="0.3">
      <c r="A233" s="1"/>
      <c r="B233" s="1" t="str">
        <f>IFERROR(IF(LEFT(Sensitivität_bzw_Monte_Carlo_bei_Strom[[#This Row],[Source.Name]],SEARCH("aus_der",Sensitivität_bzw_Monte_Carlo_bei_Strom[[#This Row],[Source.Name]],1))="Auszahlung_a","Auszahlung",""),"")</f>
        <v/>
      </c>
      <c r="D233" s="1"/>
    </row>
    <row r="234" spans="1:4" x14ac:dyDescent="0.3">
      <c r="A234" s="1"/>
      <c r="B234" s="1" t="str">
        <f>IFERROR(IF(LEFT(Sensitivität_bzw_Monte_Carlo_bei_Strom[[#This Row],[Source.Name]],SEARCH("aus_der",Sensitivität_bzw_Monte_Carlo_bei_Strom[[#This Row],[Source.Name]],1))="Auszahlung_a","Auszahlung",""),"")</f>
        <v/>
      </c>
      <c r="D234" s="1"/>
    </row>
    <row r="235" spans="1:4" x14ac:dyDescent="0.3">
      <c r="A235" s="1"/>
      <c r="B235" s="1" t="str">
        <f>IFERROR(IF(LEFT(Sensitivität_bzw_Monte_Carlo_bei_Strom[[#This Row],[Source.Name]],SEARCH("aus_der",Sensitivität_bzw_Monte_Carlo_bei_Strom[[#This Row],[Source.Name]],1))="Auszahlung_a","Auszahlung",""),"")</f>
        <v/>
      </c>
      <c r="D235" s="1"/>
    </row>
    <row r="236" spans="1:4" x14ac:dyDescent="0.3">
      <c r="A236" s="1"/>
      <c r="B236" s="1" t="str">
        <f>IFERROR(IF(LEFT(Sensitivität_bzw_Monte_Carlo_bei_Strom[[#This Row],[Source.Name]],SEARCH("aus_der",Sensitivität_bzw_Monte_Carlo_bei_Strom[[#This Row],[Source.Name]],1))="Auszahlung_a","Auszahlung",""),"")</f>
        <v/>
      </c>
      <c r="D236" s="1"/>
    </row>
    <row r="237" spans="1:4" x14ac:dyDescent="0.3">
      <c r="A237" s="1"/>
      <c r="B237" s="1" t="str">
        <f>IFERROR(IF(LEFT(Sensitivität_bzw_Monte_Carlo_bei_Strom[[#This Row],[Source.Name]],SEARCH("aus_der",Sensitivität_bzw_Monte_Carlo_bei_Strom[[#This Row],[Source.Name]],1))="Auszahlung_a","Auszahlung",""),"")</f>
        <v/>
      </c>
      <c r="D237" s="1"/>
    </row>
    <row r="238" spans="1:4" x14ac:dyDescent="0.3">
      <c r="A238" s="1"/>
      <c r="B238" s="1" t="str">
        <f>IFERROR(IF(LEFT(Sensitivität_bzw_Monte_Carlo_bei_Strom[[#This Row],[Source.Name]],SEARCH("aus_der",Sensitivität_bzw_Monte_Carlo_bei_Strom[[#This Row],[Source.Name]],1))="Auszahlung_a","Auszahlung",""),"")</f>
        <v/>
      </c>
      <c r="D238" s="1"/>
    </row>
    <row r="239" spans="1:4" x14ac:dyDescent="0.3">
      <c r="A239" s="1"/>
      <c r="B239" s="1" t="str">
        <f>IFERROR(IF(LEFT(Sensitivität_bzw_Monte_Carlo_bei_Strom[[#This Row],[Source.Name]],SEARCH("aus_der",Sensitivität_bzw_Monte_Carlo_bei_Strom[[#This Row],[Source.Name]],1))="Auszahlung_a","Auszahlung",""),"")</f>
        <v/>
      </c>
      <c r="D239" s="1"/>
    </row>
    <row r="240" spans="1:4" x14ac:dyDescent="0.3">
      <c r="A240" s="1"/>
      <c r="B240" s="1" t="str">
        <f>IFERROR(IF(LEFT(Sensitivität_bzw_Monte_Carlo_bei_Strom[[#This Row],[Source.Name]],SEARCH("aus_der",Sensitivität_bzw_Monte_Carlo_bei_Strom[[#This Row],[Source.Name]],1))="Auszahlung_a","Auszahlung",""),"")</f>
        <v/>
      </c>
      <c r="D240" s="1"/>
    </row>
    <row r="241" spans="1:4" x14ac:dyDescent="0.3">
      <c r="A241" s="1"/>
      <c r="B241" s="1" t="str">
        <f>IFERROR(IF(LEFT(Sensitivität_bzw_Monte_Carlo_bei_Strom[[#This Row],[Source.Name]],SEARCH("aus_der",Sensitivität_bzw_Monte_Carlo_bei_Strom[[#This Row],[Source.Name]],1))="Auszahlung_a","Auszahlung",""),"")</f>
        <v/>
      </c>
      <c r="D241" s="1"/>
    </row>
    <row r="242" spans="1:4" x14ac:dyDescent="0.3">
      <c r="A242" s="1"/>
      <c r="B242" s="1" t="str">
        <f>IFERROR(IF(LEFT(Sensitivität_bzw_Monte_Carlo_bei_Strom[[#This Row],[Source.Name]],SEARCH("aus_der",Sensitivität_bzw_Monte_Carlo_bei_Strom[[#This Row],[Source.Name]],1))="Auszahlung_a","Auszahlung",""),"")</f>
        <v/>
      </c>
      <c r="D242" s="1"/>
    </row>
    <row r="243" spans="1:4" x14ac:dyDescent="0.3">
      <c r="A243" s="1"/>
      <c r="B243" s="1" t="str">
        <f>IFERROR(IF(LEFT(Sensitivität_bzw_Monte_Carlo_bei_Strom[[#This Row],[Source.Name]],SEARCH("aus_der",Sensitivität_bzw_Monte_Carlo_bei_Strom[[#This Row],[Source.Name]],1))="Auszahlung_a","Auszahlung",""),"")</f>
        <v/>
      </c>
      <c r="D243" s="1"/>
    </row>
    <row r="244" spans="1:4" x14ac:dyDescent="0.3">
      <c r="A244" s="1"/>
      <c r="B244" s="1" t="str">
        <f>IFERROR(IF(LEFT(Sensitivität_bzw_Monte_Carlo_bei_Strom[[#This Row],[Source.Name]],SEARCH("aus_der",Sensitivität_bzw_Monte_Carlo_bei_Strom[[#This Row],[Source.Name]],1))="Auszahlung_a","Auszahlung",""),"")</f>
        <v/>
      </c>
      <c r="D244" s="1"/>
    </row>
    <row r="245" spans="1:4" x14ac:dyDescent="0.3">
      <c r="A245" s="1"/>
      <c r="B245" s="1" t="str">
        <f>IFERROR(IF(LEFT(Sensitivität_bzw_Monte_Carlo_bei_Strom[[#This Row],[Source.Name]],SEARCH("aus_der",Sensitivität_bzw_Monte_Carlo_bei_Strom[[#This Row],[Source.Name]],1))="Auszahlung_a","Auszahlung",""),"")</f>
        <v/>
      </c>
      <c r="D245" s="1"/>
    </row>
    <row r="246" spans="1:4" x14ac:dyDescent="0.3">
      <c r="A246" s="1"/>
      <c r="B246" s="1" t="str">
        <f>IFERROR(IF(LEFT(Sensitivität_bzw_Monte_Carlo_bei_Strom[[#This Row],[Source.Name]],SEARCH("aus_der",Sensitivität_bzw_Monte_Carlo_bei_Strom[[#This Row],[Source.Name]],1))="Auszahlung_a","Auszahlung",""),"")</f>
        <v/>
      </c>
      <c r="D246" s="1"/>
    </row>
    <row r="247" spans="1:4" x14ac:dyDescent="0.3">
      <c r="A247" s="1"/>
      <c r="B247" s="1" t="str">
        <f>IFERROR(IF(LEFT(Sensitivität_bzw_Monte_Carlo_bei_Strom[[#This Row],[Source.Name]],SEARCH("aus_der",Sensitivität_bzw_Monte_Carlo_bei_Strom[[#This Row],[Source.Name]],1))="Auszahlung_a","Auszahlung",""),"")</f>
        <v/>
      </c>
      <c r="D247" s="1"/>
    </row>
    <row r="248" spans="1:4" x14ac:dyDescent="0.3">
      <c r="A248" s="1"/>
      <c r="B248" s="1" t="str">
        <f>IFERROR(IF(LEFT(Sensitivität_bzw_Monte_Carlo_bei_Strom[[#This Row],[Source.Name]],SEARCH("aus_der",Sensitivität_bzw_Monte_Carlo_bei_Strom[[#This Row],[Source.Name]],1))="Auszahlung_a","Auszahlung",""),"")</f>
        <v/>
      </c>
      <c r="D248" s="1"/>
    </row>
    <row r="249" spans="1:4" x14ac:dyDescent="0.3">
      <c r="A249" s="1"/>
      <c r="B249" s="1" t="str">
        <f>IFERROR(IF(LEFT(Sensitivität_bzw_Monte_Carlo_bei_Strom[[#This Row],[Source.Name]],SEARCH("aus_der",Sensitivität_bzw_Monte_Carlo_bei_Strom[[#This Row],[Source.Name]],1))="Auszahlung_a","Auszahlung",""),"")</f>
        <v/>
      </c>
      <c r="D249" s="1"/>
    </row>
    <row r="250" spans="1:4" x14ac:dyDescent="0.3">
      <c r="A250" s="1"/>
      <c r="B250" s="1" t="str">
        <f>IFERROR(IF(LEFT(Sensitivität_bzw_Monte_Carlo_bei_Strom[[#This Row],[Source.Name]],SEARCH("aus_der",Sensitivität_bzw_Monte_Carlo_bei_Strom[[#This Row],[Source.Name]],1))="Auszahlung_a","Auszahlung",""),"")</f>
        <v/>
      </c>
      <c r="D250" s="1"/>
    </row>
    <row r="251" spans="1:4" x14ac:dyDescent="0.3">
      <c r="A251" s="1"/>
      <c r="B251" s="1" t="str">
        <f>IFERROR(IF(LEFT(Sensitivität_bzw_Monte_Carlo_bei_Strom[[#This Row],[Source.Name]],SEARCH("aus_der",Sensitivität_bzw_Monte_Carlo_bei_Strom[[#This Row],[Source.Name]],1))="Auszahlung_a","Auszahlung",""),"")</f>
        <v/>
      </c>
      <c r="D251" s="1"/>
    </row>
    <row r="252" spans="1:4" x14ac:dyDescent="0.3">
      <c r="A252" s="1"/>
      <c r="B252" s="1" t="str">
        <f>IFERROR(IF(LEFT(Sensitivität_bzw_Monte_Carlo_bei_Strom[[#This Row],[Source.Name]],SEARCH("aus_der",Sensitivität_bzw_Monte_Carlo_bei_Strom[[#This Row],[Source.Name]],1))="Auszahlung_a","Auszahlung",""),"")</f>
        <v/>
      </c>
      <c r="D252" s="1"/>
    </row>
    <row r="253" spans="1:4" x14ac:dyDescent="0.3">
      <c r="A253" s="1"/>
      <c r="B253" s="1" t="str">
        <f>IFERROR(IF(LEFT(Sensitivität_bzw_Monte_Carlo_bei_Strom[[#This Row],[Source.Name]],SEARCH("aus_der",Sensitivität_bzw_Monte_Carlo_bei_Strom[[#This Row],[Source.Name]],1))="Auszahlung_a","Auszahlung",""),"")</f>
        <v/>
      </c>
      <c r="D253" s="1"/>
    </row>
    <row r="254" spans="1:4" x14ac:dyDescent="0.3">
      <c r="A254" s="1"/>
      <c r="B254" s="1" t="str">
        <f>IFERROR(IF(LEFT(Sensitivität_bzw_Monte_Carlo_bei_Strom[[#This Row],[Source.Name]],SEARCH("aus_der",Sensitivität_bzw_Monte_Carlo_bei_Strom[[#This Row],[Source.Name]],1))="Auszahlung_a","Auszahlung",""),"")</f>
        <v/>
      </c>
      <c r="D254" s="1"/>
    </row>
    <row r="255" spans="1:4" x14ac:dyDescent="0.3">
      <c r="A255" s="1"/>
      <c r="B255" s="1" t="str">
        <f>IFERROR(IF(LEFT(Sensitivität_bzw_Monte_Carlo_bei_Strom[[#This Row],[Source.Name]],SEARCH("aus_der",Sensitivität_bzw_Monte_Carlo_bei_Strom[[#This Row],[Source.Name]],1))="Auszahlung_a","Auszahlung",""),"")</f>
        <v/>
      </c>
      <c r="D255" s="1"/>
    </row>
    <row r="256" spans="1:4" x14ac:dyDescent="0.3">
      <c r="A256" s="1"/>
      <c r="B256" s="1" t="str">
        <f>IFERROR(IF(LEFT(Sensitivität_bzw_Monte_Carlo_bei_Strom[[#This Row],[Source.Name]],SEARCH("aus_der",Sensitivität_bzw_Monte_Carlo_bei_Strom[[#This Row],[Source.Name]],1))="Auszahlung_a","Auszahlung",""),"")</f>
        <v/>
      </c>
      <c r="D256" s="1"/>
    </row>
    <row r="257" spans="1:4" x14ac:dyDescent="0.3">
      <c r="A257" s="1"/>
      <c r="B257" s="1" t="str">
        <f>IFERROR(IF(LEFT(Sensitivität_bzw_Monte_Carlo_bei_Strom[[#This Row],[Source.Name]],SEARCH("aus_der",Sensitivität_bzw_Monte_Carlo_bei_Strom[[#This Row],[Source.Name]],1))="Auszahlung_a","Auszahlung",""),"")</f>
        <v/>
      </c>
      <c r="D257" s="1"/>
    </row>
    <row r="258" spans="1:4" x14ac:dyDescent="0.3">
      <c r="A258" s="1"/>
      <c r="B258" s="1" t="str">
        <f>IFERROR(IF(LEFT(Sensitivität_bzw_Monte_Carlo_bei_Strom[[#This Row],[Source.Name]],SEARCH("aus_der",Sensitivität_bzw_Monte_Carlo_bei_Strom[[#This Row],[Source.Name]],1))="Auszahlung_a","Auszahlung",""),"")</f>
        <v/>
      </c>
      <c r="D258" s="1"/>
    </row>
    <row r="259" spans="1:4" x14ac:dyDescent="0.3">
      <c r="A259" s="1"/>
      <c r="B259" s="1" t="str">
        <f>IFERROR(IF(LEFT(Sensitivität_bzw_Monte_Carlo_bei_Strom[[#This Row],[Source.Name]],SEARCH("aus_der",Sensitivität_bzw_Monte_Carlo_bei_Strom[[#This Row],[Source.Name]],1))="Auszahlung_a","Auszahlung",""),"")</f>
        <v/>
      </c>
      <c r="D259" s="1"/>
    </row>
    <row r="260" spans="1:4" x14ac:dyDescent="0.3">
      <c r="A260" s="1"/>
      <c r="B260" s="1" t="str">
        <f>IFERROR(IF(LEFT(Sensitivität_bzw_Monte_Carlo_bei_Strom[[#This Row],[Source.Name]],SEARCH("aus_der",Sensitivität_bzw_Monte_Carlo_bei_Strom[[#This Row],[Source.Name]],1))="Auszahlung_a","Auszahlung",""),"")</f>
        <v/>
      </c>
      <c r="D260" s="1"/>
    </row>
    <row r="261" spans="1:4" x14ac:dyDescent="0.3">
      <c r="A261" s="1"/>
      <c r="B261" s="1" t="str">
        <f>IFERROR(IF(LEFT(Sensitivität_bzw_Monte_Carlo_bei_Strom[[#This Row],[Source.Name]],SEARCH("aus_der",Sensitivität_bzw_Monte_Carlo_bei_Strom[[#This Row],[Source.Name]],1))="Auszahlung_a","Auszahlung",""),"")</f>
        <v/>
      </c>
      <c r="D261" s="1"/>
    </row>
    <row r="262" spans="1:4" x14ac:dyDescent="0.3">
      <c r="A262" s="1"/>
      <c r="B262" s="1" t="str">
        <f>IFERROR(IF(LEFT(Sensitivität_bzw_Monte_Carlo_bei_Strom[[#This Row],[Source.Name]],SEARCH("aus_der",Sensitivität_bzw_Monte_Carlo_bei_Strom[[#This Row],[Source.Name]],1))="Auszahlung_a","Auszahlung",""),"")</f>
        <v/>
      </c>
      <c r="D262" s="1"/>
    </row>
    <row r="263" spans="1:4" x14ac:dyDescent="0.3">
      <c r="A263" s="1"/>
      <c r="B263" s="1" t="str">
        <f>IFERROR(IF(LEFT(Sensitivität_bzw_Monte_Carlo_bei_Strom[[#This Row],[Source.Name]],SEARCH("aus_der",Sensitivität_bzw_Monte_Carlo_bei_Strom[[#This Row],[Source.Name]],1))="Auszahlung_a","Auszahlung",""),"")</f>
        <v/>
      </c>
      <c r="D263" s="1"/>
    </row>
    <row r="264" spans="1:4" x14ac:dyDescent="0.3">
      <c r="A264" s="1"/>
      <c r="B264" s="1" t="str">
        <f>IFERROR(IF(LEFT(Sensitivität_bzw_Monte_Carlo_bei_Strom[[#This Row],[Source.Name]],SEARCH("aus_der",Sensitivität_bzw_Monte_Carlo_bei_Strom[[#This Row],[Source.Name]],1))="Auszahlung_a","Auszahlung",""),"")</f>
        <v/>
      </c>
      <c r="D264" s="1"/>
    </row>
    <row r="265" spans="1:4" x14ac:dyDescent="0.3">
      <c r="A265" s="1"/>
      <c r="B265" s="1" t="str">
        <f>IFERROR(IF(LEFT(Sensitivität_bzw_Monte_Carlo_bei_Strom[[#This Row],[Source.Name]],SEARCH("aus_der",Sensitivität_bzw_Monte_Carlo_bei_Strom[[#This Row],[Source.Name]],1))="Auszahlung_a","Auszahlung",""),"")</f>
        <v/>
      </c>
      <c r="D265" s="1"/>
    </row>
    <row r="266" spans="1:4" x14ac:dyDescent="0.3">
      <c r="A266" s="1"/>
      <c r="B266" s="1" t="str">
        <f>IFERROR(IF(LEFT(Sensitivität_bzw_Monte_Carlo_bei_Strom[[#This Row],[Source.Name]],SEARCH("aus_der",Sensitivität_bzw_Monte_Carlo_bei_Strom[[#This Row],[Source.Name]],1))="Auszahlung_a","Auszahlung",""),"")</f>
        <v/>
      </c>
      <c r="D266" s="1"/>
    </row>
    <row r="267" spans="1:4" x14ac:dyDescent="0.3">
      <c r="A267" s="1"/>
      <c r="B267" s="1" t="str">
        <f>IFERROR(IF(LEFT(Sensitivität_bzw_Monte_Carlo_bei_Strom[[#This Row],[Source.Name]],SEARCH("aus_der",Sensitivität_bzw_Monte_Carlo_bei_Strom[[#This Row],[Source.Name]],1))="Auszahlung_a","Auszahlung",""),"")</f>
        <v/>
      </c>
      <c r="D267" s="1"/>
    </row>
    <row r="268" spans="1:4" x14ac:dyDescent="0.3">
      <c r="A268" s="1"/>
      <c r="B268" s="1" t="str">
        <f>IFERROR(IF(LEFT(Sensitivität_bzw_Monte_Carlo_bei_Strom[[#This Row],[Source.Name]],SEARCH("aus_der",Sensitivität_bzw_Monte_Carlo_bei_Strom[[#This Row],[Source.Name]],1))="Auszahlung_a","Auszahlung",""),"")</f>
        <v/>
      </c>
      <c r="D268" s="1"/>
    </row>
    <row r="269" spans="1:4" x14ac:dyDescent="0.3">
      <c r="A269" s="1"/>
      <c r="B269" s="1" t="str">
        <f>IFERROR(IF(LEFT(Sensitivität_bzw_Monte_Carlo_bei_Strom[[#This Row],[Source.Name]],SEARCH("aus_der",Sensitivität_bzw_Monte_Carlo_bei_Strom[[#This Row],[Source.Name]],1))="Auszahlung_a","Auszahlung",""),"")</f>
        <v/>
      </c>
      <c r="D269" s="1"/>
    </row>
    <row r="270" spans="1:4" x14ac:dyDescent="0.3">
      <c r="A270" s="1"/>
      <c r="B270" s="1" t="str">
        <f>IFERROR(IF(LEFT(Sensitivität_bzw_Monte_Carlo_bei_Strom[[#This Row],[Source.Name]],SEARCH("aus_der",Sensitivität_bzw_Monte_Carlo_bei_Strom[[#This Row],[Source.Name]],1))="Auszahlung_a","Auszahlung",""),"")</f>
        <v/>
      </c>
      <c r="D270" s="1"/>
    </row>
    <row r="271" spans="1:4" x14ac:dyDescent="0.3">
      <c r="A271" s="1"/>
      <c r="B271" s="1" t="str">
        <f>IFERROR(IF(LEFT(Sensitivität_bzw_Monte_Carlo_bei_Strom[[#This Row],[Source.Name]],SEARCH("aus_der",Sensitivität_bzw_Monte_Carlo_bei_Strom[[#This Row],[Source.Name]],1))="Auszahlung_a","Auszahlung",""),"")</f>
        <v/>
      </c>
      <c r="D271" s="1"/>
    </row>
    <row r="272" spans="1:4" x14ac:dyDescent="0.3">
      <c r="A272" s="1"/>
      <c r="B272" s="1" t="str">
        <f>IFERROR(IF(LEFT(Sensitivität_bzw_Monte_Carlo_bei_Strom[[#This Row],[Source.Name]],SEARCH("aus_der",Sensitivität_bzw_Monte_Carlo_bei_Strom[[#This Row],[Source.Name]],1))="Auszahlung_a","Auszahlung",""),"")</f>
        <v/>
      </c>
      <c r="D272" s="1"/>
    </row>
    <row r="273" spans="1:4" x14ac:dyDescent="0.3">
      <c r="A273" s="1"/>
      <c r="B273" s="1" t="str">
        <f>IFERROR(IF(LEFT(Sensitivität_bzw_Monte_Carlo_bei_Strom[[#This Row],[Source.Name]],SEARCH("aus_der",Sensitivität_bzw_Monte_Carlo_bei_Strom[[#This Row],[Source.Name]],1))="Auszahlung_a","Auszahlung",""),"")</f>
        <v/>
      </c>
      <c r="D273" s="1"/>
    </row>
    <row r="274" spans="1:4" x14ac:dyDescent="0.3">
      <c r="A274" s="1"/>
      <c r="B274" s="1" t="str">
        <f>IFERROR(IF(LEFT(Sensitivität_bzw_Monte_Carlo_bei_Strom[[#This Row],[Source.Name]],SEARCH("aus_der",Sensitivität_bzw_Monte_Carlo_bei_Strom[[#This Row],[Source.Name]],1))="Auszahlung_a","Auszahlung",""),"")</f>
        <v/>
      </c>
      <c r="D274" s="1"/>
    </row>
    <row r="275" spans="1:4" x14ac:dyDescent="0.3">
      <c r="A275" s="1"/>
      <c r="B275" s="1" t="str">
        <f>IFERROR(IF(LEFT(Sensitivität_bzw_Monte_Carlo_bei_Strom[[#This Row],[Source.Name]],SEARCH("aus_der",Sensitivität_bzw_Monte_Carlo_bei_Strom[[#This Row],[Source.Name]],1))="Auszahlung_a","Auszahlung",""),"")</f>
        <v/>
      </c>
      <c r="D275" s="1"/>
    </row>
    <row r="276" spans="1:4" x14ac:dyDescent="0.3">
      <c r="A276" s="1"/>
      <c r="B276" s="1" t="str">
        <f>IFERROR(IF(LEFT(Sensitivität_bzw_Monte_Carlo_bei_Strom[[#This Row],[Source.Name]],SEARCH("aus_der",Sensitivität_bzw_Monte_Carlo_bei_Strom[[#This Row],[Source.Name]],1))="Auszahlung_a","Auszahlung",""),"")</f>
        <v/>
      </c>
      <c r="D276" s="1"/>
    </row>
    <row r="277" spans="1:4" x14ac:dyDescent="0.3">
      <c r="A277" s="1"/>
      <c r="B277" s="1" t="str">
        <f>IFERROR(IF(LEFT(Sensitivität_bzw_Monte_Carlo_bei_Strom[[#This Row],[Source.Name]],SEARCH("aus_der",Sensitivität_bzw_Monte_Carlo_bei_Strom[[#This Row],[Source.Name]],1))="Auszahlung_a","Auszahlung",""),"")</f>
        <v/>
      </c>
      <c r="D277" s="1"/>
    </row>
    <row r="278" spans="1:4" x14ac:dyDescent="0.3">
      <c r="A278" s="1"/>
      <c r="B278" s="1" t="str">
        <f>IFERROR(IF(LEFT(Sensitivität_bzw_Monte_Carlo_bei_Strom[[#This Row],[Source.Name]],SEARCH("aus_der",Sensitivität_bzw_Monte_Carlo_bei_Strom[[#This Row],[Source.Name]],1))="Auszahlung_a","Auszahlung",""),"")</f>
        <v/>
      </c>
      <c r="D278" s="1"/>
    </row>
    <row r="279" spans="1:4" x14ac:dyDescent="0.3">
      <c r="A279" s="1"/>
      <c r="B279" s="1" t="str">
        <f>IFERROR(IF(LEFT(Sensitivität_bzw_Monte_Carlo_bei_Strom[[#This Row],[Source.Name]],SEARCH("aus_der",Sensitivität_bzw_Monte_Carlo_bei_Strom[[#This Row],[Source.Name]],1))="Auszahlung_a","Auszahlung",""),"")</f>
        <v/>
      </c>
      <c r="D279" s="1"/>
    </row>
    <row r="280" spans="1:4" x14ac:dyDescent="0.3">
      <c r="A280" s="1"/>
      <c r="B280" s="1" t="str">
        <f>IFERROR(IF(LEFT(Sensitivität_bzw_Monte_Carlo_bei_Strom[[#This Row],[Source.Name]],SEARCH("aus_der",Sensitivität_bzw_Monte_Carlo_bei_Strom[[#This Row],[Source.Name]],1))="Auszahlung_a","Auszahlung",""),"")</f>
        <v/>
      </c>
      <c r="D280" s="1"/>
    </row>
    <row r="281" spans="1:4" x14ac:dyDescent="0.3">
      <c r="A281" s="1"/>
      <c r="B281" s="1" t="str">
        <f>IFERROR(IF(LEFT(Sensitivität_bzw_Monte_Carlo_bei_Strom[[#This Row],[Source.Name]],SEARCH("aus_der",Sensitivität_bzw_Monte_Carlo_bei_Strom[[#This Row],[Source.Name]],1))="Auszahlung_a","Auszahlung",""),"")</f>
        <v/>
      </c>
      <c r="D281" s="1"/>
    </row>
    <row r="282" spans="1:4" x14ac:dyDescent="0.3">
      <c r="A282" s="1"/>
      <c r="B282" s="1" t="str">
        <f>IFERROR(IF(LEFT(Sensitivität_bzw_Monte_Carlo_bei_Strom[[#This Row],[Source.Name]],SEARCH("aus_der",Sensitivität_bzw_Monte_Carlo_bei_Strom[[#This Row],[Source.Name]],1))="Auszahlung_a","Auszahlung",""),"")</f>
        <v/>
      </c>
      <c r="D282" s="1"/>
    </row>
    <row r="283" spans="1:4" x14ac:dyDescent="0.3">
      <c r="A283" s="1"/>
      <c r="B283" s="1" t="str">
        <f>IFERROR(IF(LEFT(Sensitivität_bzw_Monte_Carlo_bei_Strom[[#This Row],[Source.Name]],SEARCH("aus_der",Sensitivität_bzw_Monte_Carlo_bei_Strom[[#This Row],[Source.Name]],1))="Auszahlung_a","Auszahlung",""),"")</f>
        <v/>
      </c>
      <c r="D283" s="1"/>
    </row>
    <row r="284" spans="1:4" x14ac:dyDescent="0.3">
      <c r="A284" s="1"/>
      <c r="B284" s="1" t="str">
        <f>IFERROR(IF(LEFT(Sensitivität_bzw_Monte_Carlo_bei_Strom[[#This Row],[Source.Name]],SEARCH("aus_der",Sensitivität_bzw_Monte_Carlo_bei_Strom[[#This Row],[Source.Name]],1))="Auszahlung_a","Auszahlung",""),"")</f>
        <v/>
      </c>
      <c r="D284" s="1"/>
    </row>
    <row r="285" spans="1:4" x14ac:dyDescent="0.3">
      <c r="A285" s="1"/>
      <c r="B285" s="1" t="str">
        <f>IFERROR(IF(LEFT(Sensitivität_bzw_Monte_Carlo_bei_Strom[[#This Row],[Source.Name]],SEARCH("aus_der",Sensitivität_bzw_Monte_Carlo_bei_Strom[[#This Row],[Source.Name]],1))="Auszahlung_a","Auszahlung",""),"")</f>
        <v/>
      </c>
      <c r="D285" s="1"/>
    </row>
    <row r="286" spans="1:4" x14ac:dyDescent="0.3">
      <c r="A286" s="1"/>
      <c r="B286" s="1" t="str">
        <f>IFERROR(IF(LEFT(Sensitivität_bzw_Monte_Carlo_bei_Strom[[#This Row],[Source.Name]],SEARCH("aus_der",Sensitivität_bzw_Monte_Carlo_bei_Strom[[#This Row],[Source.Name]],1))="Auszahlung_a","Auszahlung",""),"")</f>
        <v/>
      </c>
      <c r="D286" s="1"/>
    </row>
    <row r="287" spans="1:4" x14ac:dyDescent="0.3">
      <c r="A287" s="1"/>
      <c r="B287" s="1" t="str">
        <f>IFERROR(IF(LEFT(Sensitivität_bzw_Monte_Carlo_bei_Strom[[#This Row],[Source.Name]],SEARCH("aus_der",Sensitivität_bzw_Monte_Carlo_bei_Strom[[#This Row],[Source.Name]],1))="Auszahlung_a","Auszahlung",""),"")</f>
        <v/>
      </c>
      <c r="D287" s="1"/>
    </row>
    <row r="288" spans="1:4" x14ac:dyDescent="0.3">
      <c r="A288" s="1"/>
      <c r="B288" s="1" t="str">
        <f>IFERROR(IF(LEFT(Sensitivität_bzw_Monte_Carlo_bei_Strom[[#This Row],[Source.Name]],SEARCH("aus_der",Sensitivität_bzw_Monte_Carlo_bei_Strom[[#This Row],[Source.Name]],1))="Auszahlung_a","Auszahlung",""),"")</f>
        <v/>
      </c>
      <c r="D288" s="1"/>
    </row>
    <row r="289" spans="1:4" x14ac:dyDescent="0.3">
      <c r="A289" s="1"/>
      <c r="B289" s="1" t="str">
        <f>IFERROR(IF(LEFT(Sensitivität_bzw_Monte_Carlo_bei_Strom[[#This Row],[Source.Name]],SEARCH("aus_der",Sensitivität_bzw_Monte_Carlo_bei_Strom[[#This Row],[Source.Name]],1))="Auszahlung_a","Auszahlung",""),"")</f>
        <v/>
      </c>
      <c r="D289" s="1"/>
    </row>
    <row r="290" spans="1:4" x14ac:dyDescent="0.3">
      <c r="A290" s="1"/>
      <c r="B290" s="1" t="str">
        <f>IFERROR(IF(LEFT(Sensitivität_bzw_Monte_Carlo_bei_Strom[[#This Row],[Source.Name]],SEARCH("aus_der",Sensitivität_bzw_Monte_Carlo_bei_Strom[[#This Row],[Source.Name]],1))="Auszahlung_a","Auszahlung",""),"")</f>
        <v/>
      </c>
      <c r="D290" s="1"/>
    </row>
    <row r="291" spans="1:4" x14ac:dyDescent="0.3">
      <c r="A291" s="1"/>
      <c r="B291" s="1" t="str">
        <f>IFERROR(IF(LEFT(Sensitivität_bzw_Monte_Carlo_bei_Strom[[#This Row],[Source.Name]],SEARCH("aus_der",Sensitivität_bzw_Monte_Carlo_bei_Strom[[#This Row],[Source.Name]],1))="Auszahlung_a","Auszahlung",""),"")</f>
        <v/>
      </c>
      <c r="D291" s="1"/>
    </row>
    <row r="292" spans="1:4" x14ac:dyDescent="0.3">
      <c r="A292" s="1"/>
      <c r="B292" s="1" t="str">
        <f>IFERROR(IF(LEFT(Sensitivität_bzw_Monte_Carlo_bei_Strom[[#This Row],[Source.Name]],SEARCH("aus_der",Sensitivität_bzw_Monte_Carlo_bei_Strom[[#This Row],[Source.Name]],1))="Auszahlung_a","Auszahlung",""),"")</f>
        <v/>
      </c>
      <c r="D292" s="1"/>
    </row>
    <row r="293" spans="1:4" x14ac:dyDescent="0.3">
      <c r="A293" s="1"/>
      <c r="B293" s="1" t="str">
        <f>IFERROR(IF(LEFT(Sensitivität_bzw_Monte_Carlo_bei_Strom[[#This Row],[Source.Name]],SEARCH("aus_der",Sensitivität_bzw_Monte_Carlo_bei_Strom[[#This Row],[Source.Name]],1))="Auszahlung_a","Auszahlung",""),"")</f>
        <v/>
      </c>
      <c r="D293" s="1"/>
    </row>
    <row r="294" spans="1:4" x14ac:dyDescent="0.3">
      <c r="A294" s="1"/>
      <c r="B294" s="1" t="str">
        <f>IFERROR(IF(LEFT(Sensitivität_bzw_Monte_Carlo_bei_Strom[[#This Row],[Source.Name]],SEARCH("aus_der",Sensitivität_bzw_Monte_Carlo_bei_Strom[[#This Row],[Source.Name]],1))="Auszahlung_a","Auszahlung",""),"")</f>
        <v/>
      </c>
      <c r="D294" s="1"/>
    </row>
    <row r="295" spans="1:4" x14ac:dyDescent="0.3">
      <c r="A295" s="1"/>
      <c r="B295" s="1" t="str">
        <f>IFERROR(IF(LEFT(Sensitivität_bzw_Monte_Carlo_bei_Strom[[#This Row],[Source.Name]],SEARCH("aus_der",Sensitivität_bzw_Monte_Carlo_bei_Strom[[#This Row],[Source.Name]],1))="Auszahlung_a","Auszahlung",""),"")</f>
        <v/>
      </c>
      <c r="D295" s="1"/>
    </row>
    <row r="296" spans="1:4" x14ac:dyDescent="0.3">
      <c r="A296" s="1"/>
      <c r="B296" s="1" t="str">
        <f>IFERROR(IF(LEFT(Sensitivität_bzw_Monte_Carlo_bei_Strom[[#This Row],[Source.Name]],SEARCH("aus_der",Sensitivität_bzw_Monte_Carlo_bei_Strom[[#This Row],[Source.Name]],1))="Auszahlung_a","Auszahlung",""),"")</f>
        <v/>
      </c>
      <c r="D296" s="1"/>
    </row>
    <row r="297" spans="1:4" x14ac:dyDescent="0.3">
      <c r="A297" s="1"/>
      <c r="B297" s="1" t="str">
        <f>IFERROR(IF(LEFT(Sensitivität_bzw_Monte_Carlo_bei_Strom[[#This Row],[Source.Name]],SEARCH("aus_der",Sensitivität_bzw_Monte_Carlo_bei_Strom[[#This Row],[Source.Name]],1))="Auszahlung_a","Auszahlung",""),"")</f>
        <v/>
      </c>
      <c r="D297" s="1"/>
    </row>
    <row r="298" spans="1:4" x14ac:dyDescent="0.3">
      <c r="A298" s="1"/>
      <c r="B298" s="1" t="str">
        <f>IFERROR(IF(LEFT(Sensitivität_bzw_Monte_Carlo_bei_Strom[[#This Row],[Source.Name]],SEARCH("aus_der",Sensitivität_bzw_Monte_Carlo_bei_Strom[[#This Row],[Source.Name]],1))="Auszahlung_a","Auszahlung",""),"")</f>
        <v/>
      </c>
      <c r="D298" s="1"/>
    </row>
    <row r="299" spans="1:4" x14ac:dyDescent="0.3">
      <c r="A299" s="1"/>
      <c r="B299" s="1" t="str">
        <f>IFERROR(IF(LEFT(Sensitivität_bzw_Monte_Carlo_bei_Strom[[#This Row],[Source.Name]],SEARCH("aus_der",Sensitivität_bzw_Monte_Carlo_bei_Strom[[#This Row],[Source.Name]],1))="Auszahlung_a","Auszahlung",""),"")</f>
        <v/>
      </c>
      <c r="D299" s="1"/>
    </row>
    <row r="300" spans="1:4" x14ac:dyDescent="0.3">
      <c r="A300" s="1"/>
      <c r="B300" s="1" t="str">
        <f>IFERROR(IF(LEFT(Sensitivität_bzw_Monte_Carlo_bei_Strom[[#This Row],[Source.Name]],SEARCH("aus_der",Sensitivität_bzw_Monte_Carlo_bei_Strom[[#This Row],[Source.Name]],1))="Auszahlung_a","Auszahlung",""),"")</f>
        <v/>
      </c>
      <c r="D300" s="1"/>
    </row>
    <row r="301" spans="1:4" x14ac:dyDescent="0.3">
      <c r="A301" s="1"/>
      <c r="B301" s="1" t="str">
        <f>IFERROR(IF(LEFT(Sensitivität_bzw_Monte_Carlo_bei_Strom[[#This Row],[Source.Name]],SEARCH("aus_der",Sensitivität_bzw_Monte_Carlo_bei_Strom[[#This Row],[Source.Name]],1))="Auszahlung_a","Auszahlung",""),"")</f>
        <v/>
      </c>
      <c r="D301" s="1"/>
    </row>
    <row r="302" spans="1:4" x14ac:dyDescent="0.3">
      <c r="A302" s="1"/>
      <c r="B302" s="1" t="str">
        <f>IFERROR(IF(LEFT(Sensitivität_bzw_Monte_Carlo_bei_Strom[[#This Row],[Source.Name]],SEARCH("aus_der",Sensitivität_bzw_Monte_Carlo_bei_Strom[[#This Row],[Source.Name]],1))="Auszahlung_a","Auszahlung",""),"")</f>
        <v/>
      </c>
      <c r="D302" s="1"/>
    </row>
    <row r="303" spans="1:4" x14ac:dyDescent="0.3">
      <c r="A303" s="1"/>
      <c r="B303" s="1" t="str">
        <f>IFERROR(IF(LEFT(Sensitivität_bzw_Monte_Carlo_bei_Strom[[#This Row],[Source.Name]],SEARCH("aus_der",Sensitivität_bzw_Monte_Carlo_bei_Strom[[#This Row],[Source.Name]],1))="Auszahlung_a","Auszahlung",""),"")</f>
        <v/>
      </c>
      <c r="D303" s="1"/>
    </row>
    <row r="304" spans="1:4" x14ac:dyDescent="0.3">
      <c r="A304" s="1"/>
      <c r="B304" s="1" t="str">
        <f>IFERROR(IF(LEFT(Sensitivität_bzw_Monte_Carlo_bei_Strom[[#This Row],[Source.Name]],SEARCH("aus_der",Sensitivität_bzw_Monte_Carlo_bei_Strom[[#This Row],[Source.Name]],1))="Auszahlung_a","Auszahlung",""),"")</f>
        <v/>
      </c>
      <c r="D304" s="1"/>
    </row>
    <row r="305" spans="1:4" x14ac:dyDescent="0.3">
      <c r="A305" s="1"/>
      <c r="B305" s="1" t="str">
        <f>IFERROR(IF(LEFT(Sensitivität_bzw_Monte_Carlo_bei_Strom[[#This Row],[Source.Name]],SEARCH("aus_der",Sensitivität_bzw_Monte_Carlo_bei_Strom[[#This Row],[Source.Name]],1))="Auszahlung_a","Auszahlung",""),"")</f>
        <v/>
      </c>
      <c r="D305" s="1"/>
    </row>
    <row r="306" spans="1:4" x14ac:dyDescent="0.3">
      <c r="A306" s="1"/>
      <c r="B306" s="1" t="str">
        <f>IFERROR(IF(LEFT(Sensitivität_bzw_Monte_Carlo_bei_Strom[[#This Row],[Source.Name]],SEARCH("aus_der",Sensitivität_bzw_Monte_Carlo_bei_Strom[[#This Row],[Source.Name]],1))="Auszahlung_a","Auszahlung",""),"")</f>
        <v/>
      </c>
      <c r="D306" s="1"/>
    </row>
    <row r="307" spans="1:4" x14ac:dyDescent="0.3">
      <c r="A307" s="1"/>
      <c r="B307" s="1" t="str">
        <f>IFERROR(IF(LEFT(Sensitivität_bzw_Monte_Carlo_bei_Strom[[#This Row],[Source.Name]],SEARCH("aus_der",Sensitivität_bzw_Monte_Carlo_bei_Strom[[#This Row],[Source.Name]],1))="Auszahlung_a","Auszahlung",""),"")</f>
        <v/>
      </c>
      <c r="D307" s="1"/>
    </row>
    <row r="308" spans="1:4" x14ac:dyDescent="0.3">
      <c r="A308" s="1"/>
      <c r="B308" s="1" t="str">
        <f>IFERROR(IF(LEFT(Sensitivität_bzw_Monte_Carlo_bei_Strom[[#This Row],[Source.Name]],SEARCH("aus_der",Sensitivität_bzw_Monte_Carlo_bei_Strom[[#This Row],[Source.Name]],1))="Auszahlung_a","Auszahlung",""),"")</f>
        <v/>
      </c>
      <c r="D308" s="1"/>
    </row>
    <row r="309" spans="1:4" x14ac:dyDescent="0.3">
      <c r="A309" s="1"/>
      <c r="B309" s="1" t="str">
        <f>IFERROR(IF(LEFT(Sensitivität_bzw_Monte_Carlo_bei_Strom[[#This Row],[Source.Name]],SEARCH("aus_der",Sensitivität_bzw_Monte_Carlo_bei_Strom[[#This Row],[Source.Name]],1))="Auszahlung_a","Auszahlung",""),"")</f>
        <v/>
      </c>
      <c r="D309" s="1"/>
    </row>
    <row r="310" spans="1:4" x14ac:dyDescent="0.3">
      <c r="A310" s="1"/>
      <c r="B310" s="1" t="str">
        <f>IFERROR(IF(LEFT(Sensitivität_bzw_Monte_Carlo_bei_Strom[[#This Row],[Source.Name]],SEARCH("aus_der",Sensitivität_bzw_Monte_Carlo_bei_Strom[[#This Row],[Source.Name]],1))="Auszahlung_a","Auszahlung",""),"")</f>
        <v/>
      </c>
      <c r="D310" s="1"/>
    </row>
    <row r="311" spans="1:4" x14ac:dyDescent="0.3">
      <c r="A311" s="1"/>
      <c r="B311" s="1" t="str">
        <f>IFERROR(IF(LEFT(Sensitivität_bzw_Monte_Carlo_bei_Strom[[#This Row],[Source.Name]],SEARCH("aus_der",Sensitivität_bzw_Monte_Carlo_bei_Strom[[#This Row],[Source.Name]],1))="Auszahlung_a","Auszahlung",""),"")</f>
        <v/>
      </c>
      <c r="D311" s="1"/>
    </row>
    <row r="312" spans="1:4" x14ac:dyDescent="0.3">
      <c r="A312" s="1"/>
      <c r="B312" s="1" t="str">
        <f>IFERROR(IF(LEFT(Sensitivität_bzw_Monte_Carlo_bei_Strom[[#This Row],[Source.Name]],SEARCH("aus_der",Sensitivität_bzw_Monte_Carlo_bei_Strom[[#This Row],[Source.Name]],1))="Auszahlung_a","Auszahlung",""),"")</f>
        <v/>
      </c>
      <c r="D312" s="1"/>
    </row>
    <row r="313" spans="1:4" x14ac:dyDescent="0.3">
      <c r="A313" s="1"/>
      <c r="B313" s="1" t="str">
        <f>IFERROR(IF(LEFT(Sensitivität_bzw_Monte_Carlo_bei_Strom[[#This Row],[Source.Name]],SEARCH("aus_der",Sensitivität_bzw_Monte_Carlo_bei_Strom[[#This Row],[Source.Name]],1))="Auszahlung_a","Auszahlung",""),"")</f>
        <v/>
      </c>
      <c r="D313" s="1"/>
    </row>
    <row r="314" spans="1:4" x14ac:dyDescent="0.3">
      <c r="A314" s="1"/>
      <c r="B314" s="1" t="str">
        <f>IFERROR(IF(LEFT(Sensitivität_bzw_Monte_Carlo_bei_Strom[[#This Row],[Source.Name]],SEARCH("aus_der",Sensitivität_bzw_Monte_Carlo_bei_Strom[[#This Row],[Source.Name]],1))="Auszahlung_a","Auszahlung",""),"")</f>
        <v/>
      </c>
      <c r="D314" s="1"/>
    </row>
    <row r="315" spans="1:4" x14ac:dyDescent="0.3">
      <c r="A315" s="1"/>
      <c r="B315" s="1" t="str">
        <f>IFERROR(IF(LEFT(Sensitivität_bzw_Monte_Carlo_bei_Strom[[#This Row],[Source.Name]],SEARCH("aus_der",Sensitivität_bzw_Monte_Carlo_bei_Strom[[#This Row],[Source.Name]],1))="Auszahlung_a","Auszahlung",""),"")</f>
        <v/>
      </c>
      <c r="D315" s="1"/>
    </row>
    <row r="316" spans="1:4" x14ac:dyDescent="0.3">
      <c r="A316" s="1"/>
      <c r="B316" s="1" t="str">
        <f>IFERROR(IF(LEFT(Sensitivität_bzw_Monte_Carlo_bei_Strom[[#This Row],[Source.Name]],SEARCH("aus_der",Sensitivität_bzw_Monte_Carlo_bei_Strom[[#This Row],[Source.Name]],1))="Auszahlung_a","Auszahlung",""),"")</f>
        <v/>
      </c>
      <c r="D316" s="1"/>
    </row>
    <row r="317" spans="1:4" x14ac:dyDescent="0.3">
      <c r="A317" s="1"/>
      <c r="B317" s="1" t="str">
        <f>IFERROR(IF(LEFT(Sensitivität_bzw_Monte_Carlo_bei_Strom[[#This Row],[Source.Name]],SEARCH("aus_der",Sensitivität_bzw_Monte_Carlo_bei_Strom[[#This Row],[Source.Name]],1))="Auszahlung_a","Auszahlung",""),"")</f>
        <v/>
      </c>
      <c r="D317" s="1"/>
    </row>
    <row r="318" spans="1:4" x14ac:dyDescent="0.3">
      <c r="A318" s="1"/>
      <c r="B318" s="1" t="str">
        <f>IFERROR(IF(LEFT(Sensitivität_bzw_Monte_Carlo_bei_Strom[[#This Row],[Source.Name]],SEARCH("aus_der",Sensitivität_bzw_Monte_Carlo_bei_Strom[[#This Row],[Source.Name]],1))="Auszahlung_a","Auszahlung",""),"")</f>
        <v/>
      </c>
      <c r="D318" s="1"/>
    </row>
    <row r="319" spans="1:4" x14ac:dyDescent="0.3">
      <c r="A319" s="1"/>
      <c r="B319" s="1" t="str">
        <f>IFERROR(IF(LEFT(Sensitivität_bzw_Monte_Carlo_bei_Strom[[#This Row],[Source.Name]],SEARCH("aus_der",Sensitivität_bzw_Monte_Carlo_bei_Strom[[#This Row],[Source.Name]],1))="Auszahlung_a","Auszahlung",""),"")</f>
        <v/>
      </c>
      <c r="D319" s="1"/>
    </row>
    <row r="320" spans="1:4" x14ac:dyDescent="0.3">
      <c r="A320" s="1"/>
      <c r="B320" s="1" t="str">
        <f>IFERROR(IF(LEFT(Sensitivität_bzw_Monte_Carlo_bei_Strom[[#This Row],[Source.Name]],SEARCH("aus_der",Sensitivität_bzw_Monte_Carlo_bei_Strom[[#This Row],[Source.Name]],1))="Auszahlung_a","Auszahlung",""),"")</f>
        <v/>
      </c>
      <c r="D320" s="1"/>
    </row>
    <row r="321" spans="1:4" x14ac:dyDescent="0.3">
      <c r="A321" s="1"/>
      <c r="B321" s="1" t="str">
        <f>IFERROR(IF(LEFT(Sensitivität_bzw_Monte_Carlo_bei_Strom[[#This Row],[Source.Name]],SEARCH("aus_der",Sensitivität_bzw_Monte_Carlo_bei_Strom[[#This Row],[Source.Name]],1))="Auszahlung_a","Auszahlung",""),"")</f>
        <v/>
      </c>
      <c r="D321" s="1"/>
    </row>
    <row r="322" spans="1:4" x14ac:dyDescent="0.3">
      <c r="A322" s="1"/>
      <c r="B322" s="1" t="str">
        <f>IFERROR(IF(LEFT(Sensitivität_bzw_Monte_Carlo_bei_Strom[[#This Row],[Source.Name]],SEARCH("aus_der",Sensitivität_bzw_Monte_Carlo_bei_Strom[[#This Row],[Source.Name]],1))="Auszahlung_a","Auszahlung",""),"")</f>
        <v/>
      </c>
      <c r="D322" s="1"/>
    </row>
    <row r="323" spans="1:4" x14ac:dyDescent="0.3">
      <c r="A323" s="1"/>
      <c r="B323" s="1" t="str">
        <f>IFERROR(IF(LEFT(Sensitivität_bzw_Monte_Carlo_bei_Strom[[#This Row],[Source.Name]],SEARCH("aus_der",Sensitivität_bzw_Monte_Carlo_bei_Strom[[#This Row],[Source.Name]],1))="Auszahlung_a","Auszahlung",""),"")</f>
        <v/>
      </c>
      <c r="D323" s="1"/>
    </row>
    <row r="324" spans="1:4" x14ac:dyDescent="0.3">
      <c r="A324" s="1"/>
      <c r="B324" s="1" t="str">
        <f>IFERROR(IF(LEFT(Sensitivität_bzw_Monte_Carlo_bei_Strom[[#This Row],[Source.Name]],SEARCH("aus_der",Sensitivität_bzw_Monte_Carlo_bei_Strom[[#This Row],[Source.Name]],1))="Auszahlung_a","Auszahlung",""),"")</f>
        <v/>
      </c>
      <c r="D324" s="1"/>
    </row>
    <row r="325" spans="1:4" x14ac:dyDescent="0.3">
      <c r="A325" s="1"/>
      <c r="B325" s="1" t="str">
        <f>IFERROR(IF(LEFT(Sensitivität_bzw_Monte_Carlo_bei_Strom[[#This Row],[Source.Name]],SEARCH("aus_der",Sensitivität_bzw_Monte_Carlo_bei_Strom[[#This Row],[Source.Name]],1))="Auszahlung_a","Auszahlung",""),"")</f>
        <v/>
      </c>
      <c r="D325" s="1"/>
    </row>
    <row r="326" spans="1:4" x14ac:dyDescent="0.3">
      <c r="A326" s="1"/>
      <c r="B326" s="1" t="str">
        <f>IFERROR(IF(LEFT(Sensitivität_bzw_Monte_Carlo_bei_Strom[[#This Row],[Source.Name]],SEARCH("aus_der",Sensitivität_bzw_Monte_Carlo_bei_Strom[[#This Row],[Source.Name]],1))="Auszahlung_a","Auszahlung",""),"")</f>
        <v/>
      </c>
      <c r="D326" s="1"/>
    </row>
    <row r="327" spans="1:4" x14ac:dyDescent="0.3">
      <c r="A327" s="1"/>
      <c r="B327" s="1" t="str">
        <f>IFERROR(IF(LEFT(Sensitivität_bzw_Monte_Carlo_bei_Strom[[#This Row],[Source.Name]],SEARCH("aus_der",Sensitivität_bzw_Monte_Carlo_bei_Strom[[#This Row],[Source.Name]],1))="Auszahlung_a","Auszahlung",""),"")</f>
        <v/>
      </c>
      <c r="D327" s="1"/>
    </row>
    <row r="328" spans="1:4" x14ac:dyDescent="0.3">
      <c r="A328" s="1"/>
      <c r="B328" s="1" t="str">
        <f>IFERROR(IF(LEFT(Sensitivität_bzw_Monte_Carlo_bei_Strom[[#This Row],[Source.Name]],SEARCH("aus_der",Sensitivität_bzw_Monte_Carlo_bei_Strom[[#This Row],[Source.Name]],1))="Auszahlung_a","Auszahlung",""),"")</f>
        <v/>
      </c>
      <c r="D328" s="1"/>
    </row>
    <row r="329" spans="1:4" x14ac:dyDescent="0.3">
      <c r="A329" s="1"/>
      <c r="B329" s="1" t="str">
        <f>IFERROR(IF(LEFT(Sensitivität_bzw_Monte_Carlo_bei_Strom[[#This Row],[Source.Name]],SEARCH("aus_der",Sensitivität_bzw_Monte_Carlo_bei_Strom[[#This Row],[Source.Name]],1))="Auszahlung_a","Auszahlung",""),"")</f>
        <v/>
      </c>
      <c r="D329" s="1"/>
    </row>
    <row r="330" spans="1:4" x14ac:dyDescent="0.3">
      <c r="A330" s="1"/>
      <c r="B330" s="1" t="str">
        <f>IFERROR(IF(LEFT(Sensitivität_bzw_Monte_Carlo_bei_Strom[[#This Row],[Source.Name]],SEARCH("aus_der",Sensitivität_bzw_Monte_Carlo_bei_Strom[[#This Row],[Source.Name]],1))="Auszahlung_a","Auszahlung",""),"")</f>
        <v/>
      </c>
      <c r="D330" s="1"/>
    </row>
    <row r="331" spans="1:4" x14ac:dyDescent="0.3">
      <c r="A331" s="1"/>
      <c r="B331" s="1" t="str">
        <f>IFERROR(IF(LEFT(Sensitivität_bzw_Monte_Carlo_bei_Strom[[#This Row],[Source.Name]],SEARCH("aus_der",Sensitivität_bzw_Monte_Carlo_bei_Strom[[#This Row],[Source.Name]],1))="Auszahlung_a","Auszahlung",""),"")</f>
        <v/>
      </c>
      <c r="D331" s="1"/>
    </row>
    <row r="332" spans="1:4" x14ac:dyDescent="0.3">
      <c r="A332" s="1"/>
      <c r="B332" s="1" t="str">
        <f>IFERROR(IF(LEFT(Sensitivität_bzw_Monte_Carlo_bei_Strom[[#This Row],[Source.Name]],SEARCH("aus_der",Sensitivität_bzw_Monte_Carlo_bei_Strom[[#This Row],[Source.Name]],1))="Auszahlung_a","Auszahlung",""),"")</f>
        <v/>
      </c>
      <c r="D332" s="1"/>
    </row>
    <row r="333" spans="1:4" x14ac:dyDescent="0.3">
      <c r="A333" s="1"/>
      <c r="B333" s="1" t="str">
        <f>IFERROR(IF(LEFT(Sensitivität_bzw_Monte_Carlo_bei_Strom[[#This Row],[Source.Name]],SEARCH("aus_der",Sensitivität_bzw_Monte_Carlo_bei_Strom[[#This Row],[Source.Name]],1))="Auszahlung_a","Auszahlung",""),"")</f>
        <v/>
      </c>
      <c r="D333" s="1"/>
    </row>
    <row r="334" spans="1:4" x14ac:dyDescent="0.3">
      <c r="A334" s="1"/>
      <c r="B334" s="1" t="str">
        <f>IFERROR(IF(LEFT(Sensitivität_bzw_Monte_Carlo_bei_Strom[[#This Row],[Source.Name]],SEARCH("aus_der",Sensitivität_bzw_Monte_Carlo_bei_Strom[[#This Row],[Source.Name]],1))="Auszahlung_a","Auszahlung",""),"")</f>
        <v/>
      </c>
      <c r="D334" s="1"/>
    </row>
    <row r="335" spans="1:4" x14ac:dyDescent="0.3">
      <c r="A335" s="1"/>
      <c r="B335" s="1" t="str">
        <f>IFERROR(IF(LEFT(Sensitivität_bzw_Monte_Carlo_bei_Strom[[#This Row],[Source.Name]],SEARCH("aus_der",Sensitivität_bzw_Monte_Carlo_bei_Strom[[#This Row],[Source.Name]],1))="Auszahlung_a","Auszahlung",""),"")</f>
        <v/>
      </c>
      <c r="D335" s="1"/>
    </row>
    <row r="336" spans="1:4" x14ac:dyDescent="0.3">
      <c r="A336" s="1"/>
      <c r="B336" s="1" t="str">
        <f>IFERROR(IF(LEFT(Sensitivität_bzw_Monte_Carlo_bei_Strom[[#This Row],[Source.Name]],SEARCH("aus_der",Sensitivität_bzw_Monte_Carlo_bei_Strom[[#This Row],[Source.Name]],1))="Auszahlung_a","Auszahlung",""),"")</f>
        <v/>
      </c>
      <c r="D336" s="1"/>
    </row>
    <row r="337" spans="1:4" x14ac:dyDescent="0.3">
      <c r="A337" s="1"/>
      <c r="B337" s="1" t="str">
        <f>IFERROR(IF(LEFT(Sensitivität_bzw_Monte_Carlo_bei_Strom[[#This Row],[Source.Name]],SEARCH("aus_der",Sensitivität_bzw_Monte_Carlo_bei_Strom[[#This Row],[Source.Name]],1))="Auszahlung_a","Auszahlung",""),"")</f>
        <v/>
      </c>
      <c r="D337" s="1"/>
    </row>
    <row r="338" spans="1:4" x14ac:dyDescent="0.3">
      <c r="A338" s="1"/>
      <c r="B338" s="1" t="str">
        <f>IFERROR(IF(LEFT(Sensitivität_bzw_Monte_Carlo_bei_Strom[[#This Row],[Source.Name]],SEARCH("aus_der",Sensitivität_bzw_Monte_Carlo_bei_Strom[[#This Row],[Source.Name]],1))="Auszahlung_a","Auszahlung",""),"")</f>
        <v/>
      </c>
      <c r="D338" s="1"/>
    </row>
    <row r="339" spans="1:4" x14ac:dyDescent="0.3">
      <c r="A339" s="1"/>
      <c r="B339" s="1" t="str">
        <f>IFERROR(IF(LEFT(Sensitivität_bzw_Monte_Carlo_bei_Strom[[#This Row],[Source.Name]],SEARCH("aus_der",Sensitivität_bzw_Monte_Carlo_bei_Strom[[#This Row],[Source.Name]],1))="Auszahlung_a","Auszahlung",""),"")</f>
        <v/>
      </c>
      <c r="D339" s="1"/>
    </row>
    <row r="340" spans="1:4" x14ac:dyDescent="0.3">
      <c r="A340" s="1"/>
      <c r="B340" s="1" t="str">
        <f>IFERROR(IF(LEFT(Sensitivität_bzw_Monte_Carlo_bei_Strom[[#This Row],[Source.Name]],SEARCH("aus_der",Sensitivität_bzw_Monte_Carlo_bei_Strom[[#This Row],[Source.Name]],1))="Auszahlung_a","Auszahlung",""),"")</f>
        <v/>
      </c>
      <c r="D340" s="1"/>
    </row>
    <row r="341" spans="1:4" x14ac:dyDescent="0.3">
      <c r="A341" s="1"/>
      <c r="B341" s="1" t="str">
        <f>IFERROR(IF(LEFT(Sensitivität_bzw_Monte_Carlo_bei_Strom[[#This Row],[Source.Name]],SEARCH("aus_der",Sensitivität_bzw_Monte_Carlo_bei_Strom[[#This Row],[Source.Name]],1))="Auszahlung_a","Auszahlung",""),"")</f>
        <v/>
      </c>
      <c r="D341" s="1"/>
    </row>
    <row r="342" spans="1:4" x14ac:dyDescent="0.3">
      <c r="A342" s="1"/>
      <c r="B342" s="1" t="str">
        <f>IFERROR(IF(LEFT(Sensitivität_bzw_Monte_Carlo_bei_Strom[[#This Row],[Source.Name]],SEARCH("aus_der",Sensitivität_bzw_Monte_Carlo_bei_Strom[[#This Row],[Source.Name]],1))="Auszahlung_a","Auszahlung",""),"")</f>
        <v/>
      </c>
      <c r="D342" s="1"/>
    </row>
    <row r="343" spans="1:4" x14ac:dyDescent="0.3">
      <c r="A343" s="1"/>
      <c r="B343" s="1" t="str">
        <f>IFERROR(IF(LEFT(Sensitivität_bzw_Monte_Carlo_bei_Strom[[#This Row],[Source.Name]],SEARCH("aus_der",Sensitivität_bzw_Monte_Carlo_bei_Strom[[#This Row],[Source.Name]],1))="Auszahlung_a","Auszahlung",""),"")</f>
        <v/>
      </c>
      <c r="D343" s="1"/>
    </row>
    <row r="344" spans="1:4" x14ac:dyDescent="0.3">
      <c r="A344" s="1"/>
      <c r="B344" s="1" t="str">
        <f>IFERROR(IF(LEFT(Sensitivität_bzw_Monte_Carlo_bei_Strom[[#This Row],[Source.Name]],SEARCH("aus_der",Sensitivität_bzw_Monte_Carlo_bei_Strom[[#This Row],[Source.Name]],1))="Auszahlung_a","Auszahlung",""),"")</f>
        <v/>
      </c>
      <c r="D344" s="1"/>
    </row>
    <row r="345" spans="1:4" x14ac:dyDescent="0.3">
      <c r="A345" s="1"/>
      <c r="B345" s="1" t="str">
        <f>IFERROR(IF(LEFT(Sensitivität_bzw_Monte_Carlo_bei_Strom[[#This Row],[Source.Name]],SEARCH("aus_der",Sensitivität_bzw_Monte_Carlo_bei_Strom[[#This Row],[Source.Name]],1))="Auszahlung_a","Auszahlung",""),"")</f>
        <v/>
      </c>
      <c r="D345" s="1"/>
    </row>
    <row r="346" spans="1:4" x14ac:dyDescent="0.3">
      <c r="A346" s="1"/>
      <c r="B346" s="1" t="str">
        <f>IFERROR(IF(LEFT(Sensitivität_bzw_Monte_Carlo_bei_Strom[[#This Row],[Source.Name]],SEARCH("aus_der",Sensitivität_bzw_Monte_Carlo_bei_Strom[[#This Row],[Source.Name]],1))="Auszahlung_a","Auszahlung",""),"")</f>
        <v/>
      </c>
      <c r="D346" s="1"/>
    </row>
    <row r="347" spans="1:4" x14ac:dyDescent="0.3">
      <c r="A347" s="1"/>
      <c r="B347" s="1" t="str">
        <f>IFERROR(IF(LEFT(Sensitivität_bzw_Monte_Carlo_bei_Strom[[#This Row],[Source.Name]],SEARCH("aus_der",Sensitivität_bzw_Monte_Carlo_bei_Strom[[#This Row],[Source.Name]],1))="Auszahlung_a","Auszahlung",""),"")</f>
        <v/>
      </c>
      <c r="D347" s="1"/>
    </row>
    <row r="348" spans="1:4" x14ac:dyDescent="0.3">
      <c r="A348" s="1"/>
      <c r="B348" s="1" t="str">
        <f>IFERROR(IF(LEFT(Sensitivität_bzw_Monte_Carlo_bei_Strom[[#This Row],[Source.Name]],SEARCH("aus_der",Sensitivität_bzw_Monte_Carlo_bei_Strom[[#This Row],[Source.Name]],1))="Auszahlung_a","Auszahlung",""),"")</f>
        <v/>
      </c>
      <c r="D348" s="1"/>
    </row>
    <row r="349" spans="1:4" x14ac:dyDescent="0.3">
      <c r="A349" s="1"/>
      <c r="B349" s="1" t="str">
        <f>IFERROR(IF(LEFT(Sensitivität_bzw_Monte_Carlo_bei_Strom[[#This Row],[Source.Name]],SEARCH("aus_der",Sensitivität_bzw_Monte_Carlo_bei_Strom[[#This Row],[Source.Name]],1))="Auszahlung_a","Auszahlung",""),"")</f>
        <v/>
      </c>
      <c r="D349" s="1"/>
    </row>
    <row r="350" spans="1:4" x14ac:dyDescent="0.3">
      <c r="A350" s="1"/>
      <c r="B350" s="1" t="str">
        <f>IFERROR(IF(LEFT(Sensitivität_bzw_Monte_Carlo_bei_Strom[[#This Row],[Source.Name]],SEARCH("aus_der",Sensitivität_bzw_Monte_Carlo_bei_Strom[[#This Row],[Source.Name]],1))="Auszahlung_a","Auszahlung",""),"")</f>
        <v/>
      </c>
      <c r="D350" s="1"/>
    </row>
    <row r="351" spans="1:4" x14ac:dyDescent="0.3">
      <c r="A351" s="1"/>
      <c r="B351" s="1" t="str">
        <f>IFERROR(IF(LEFT(Sensitivität_bzw_Monte_Carlo_bei_Strom[[#This Row],[Source.Name]],SEARCH("aus_der",Sensitivität_bzw_Monte_Carlo_bei_Strom[[#This Row],[Source.Name]],1))="Auszahlung_a","Auszahlung",""),"")</f>
        <v/>
      </c>
      <c r="D351" s="1"/>
    </row>
    <row r="352" spans="1:4" x14ac:dyDescent="0.3">
      <c r="A352" s="1"/>
      <c r="B352" s="1" t="str">
        <f>IFERROR(IF(LEFT(Sensitivität_bzw_Monte_Carlo_bei_Strom[[#This Row],[Source.Name]],SEARCH("aus_der",Sensitivität_bzw_Monte_Carlo_bei_Strom[[#This Row],[Source.Name]],1))="Auszahlung_a","Auszahlung",""),"")</f>
        <v/>
      </c>
      <c r="D352" s="1"/>
    </row>
    <row r="353" spans="1:4" x14ac:dyDescent="0.3">
      <c r="A353" s="1"/>
      <c r="B353" s="1" t="str">
        <f>IFERROR(IF(LEFT(Sensitivität_bzw_Monte_Carlo_bei_Strom[[#This Row],[Source.Name]],SEARCH("aus_der",Sensitivität_bzw_Monte_Carlo_bei_Strom[[#This Row],[Source.Name]],1))="Auszahlung_a","Auszahlung",""),"")</f>
        <v/>
      </c>
      <c r="D353" s="1"/>
    </row>
    <row r="354" spans="1:4" x14ac:dyDescent="0.3">
      <c r="A354" s="1"/>
      <c r="B354" s="1" t="str">
        <f>IFERROR(IF(LEFT(Sensitivität_bzw_Monte_Carlo_bei_Strom[[#This Row],[Source.Name]],SEARCH("aus_der",Sensitivität_bzw_Monte_Carlo_bei_Strom[[#This Row],[Source.Name]],1))="Auszahlung_a","Auszahlung",""),"")</f>
        <v/>
      </c>
      <c r="D354" s="1"/>
    </row>
    <row r="355" spans="1:4" x14ac:dyDescent="0.3">
      <c r="A355" s="1"/>
      <c r="B355" s="1" t="str">
        <f>IFERROR(IF(LEFT(Sensitivität_bzw_Monte_Carlo_bei_Strom[[#This Row],[Source.Name]],SEARCH("aus_der",Sensitivität_bzw_Monte_Carlo_bei_Strom[[#This Row],[Source.Name]],1))="Auszahlung_a","Auszahlung",""),"")</f>
        <v/>
      </c>
      <c r="D355" s="1"/>
    </row>
    <row r="356" spans="1:4" x14ac:dyDescent="0.3">
      <c r="A356" s="1"/>
      <c r="B356" s="1" t="str">
        <f>IFERROR(IF(LEFT(Sensitivität_bzw_Monte_Carlo_bei_Strom[[#This Row],[Source.Name]],SEARCH("aus_der",Sensitivität_bzw_Monte_Carlo_bei_Strom[[#This Row],[Source.Name]],1))="Auszahlung_a","Auszahlung",""),"")</f>
        <v/>
      </c>
      <c r="D356" s="1"/>
    </row>
    <row r="357" spans="1:4" x14ac:dyDescent="0.3">
      <c r="A357" s="1"/>
      <c r="B357" s="1" t="str">
        <f>IFERROR(IF(LEFT(Sensitivität_bzw_Monte_Carlo_bei_Strom[[#This Row],[Source.Name]],SEARCH("aus_der",Sensitivität_bzw_Monte_Carlo_bei_Strom[[#This Row],[Source.Name]],1))="Auszahlung_a","Auszahlung",""),"")</f>
        <v/>
      </c>
      <c r="D357" s="1"/>
    </row>
    <row r="358" spans="1:4" x14ac:dyDescent="0.3">
      <c r="A358" s="1"/>
      <c r="B358" s="1" t="str">
        <f>IFERROR(IF(LEFT(Sensitivität_bzw_Monte_Carlo_bei_Strom[[#This Row],[Source.Name]],SEARCH("aus_der",Sensitivität_bzw_Monte_Carlo_bei_Strom[[#This Row],[Source.Name]],1))="Auszahlung_a","Auszahlung",""),"")</f>
        <v/>
      </c>
      <c r="D358" s="1"/>
    </row>
    <row r="359" spans="1:4" x14ac:dyDescent="0.3">
      <c r="A359" s="1"/>
      <c r="B359" s="1" t="str">
        <f>IFERROR(IF(LEFT(Sensitivität_bzw_Monte_Carlo_bei_Strom[[#This Row],[Source.Name]],SEARCH("aus_der",Sensitivität_bzw_Monte_Carlo_bei_Strom[[#This Row],[Source.Name]],1))="Auszahlung_a","Auszahlung",""),"")</f>
        <v/>
      </c>
      <c r="D359" s="1"/>
    </row>
    <row r="360" spans="1:4" x14ac:dyDescent="0.3">
      <c r="A360" s="1"/>
      <c r="B360" s="1" t="str">
        <f>IFERROR(IF(LEFT(Sensitivität_bzw_Monte_Carlo_bei_Strom[[#This Row],[Source.Name]],SEARCH("aus_der",Sensitivität_bzw_Monte_Carlo_bei_Strom[[#This Row],[Source.Name]],1))="Auszahlung_a","Auszahlung",""),"")</f>
        <v/>
      </c>
      <c r="D360" s="1"/>
    </row>
    <row r="361" spans="1:4" x14ac:dyDescent="0.3">
      <c r="A361" s="1"/>
      <c r="B361" s="1" t="str">
        <f>IFERROR(IF(LEFT(Sensitivität_bzw_Monte_Carlo_bei_Strom[[#This Row],[Source.Name]],SEARCH("aus_der",Sensitivität_bzw_Monte_Carlo_bei_Strom[[#This Row],[Source.Name]],1))="Auszahlung_a","Auszahlung",""),"")</f>
        <v/>
      </c>
      <c r="D361" s="1"/>
    </row>
    <row r="362" spans="1:4" x14ac:dyDescent="0.3">
      <c r="A362" s="1"/>
      <c r="B362" s="1" t="str">
        <f>IFERROR(IF(LEFT(Sensitivität_bzw_Monte_Carlo_bei_Strom[[#This Row],[Source.Name]],SEARCH("aus_der",Sensitivität_bzw_Monte_Carlo_bei_Strom[[#This Row],[Source.Name]],1))="Auszahlung_a","Auszahlung",""),"")</f>
        <v/>
      </c>
      <c r="D362" s="1"/>
    </row>
    <row r="363" spans="1:4" x14ac:dyDescent="0.3">
      <c r="A363" s="1"/>
      <c r="B363" s="1" t="str">
        <f>IFERROR(IF(LEFT(Sensitivität_bzw_Monte_Carlo_bei_Strom[[#This Row],[Source.Name]],SEARCH("aus_der",Sensitivität_bzw_Monte_Carlo_bei_Strom[[#This Row],[Source.Name]],1))="Auszahlung_a","Auszahlung",""),"")</f>
        <v/>
      </c>
      <c r="D363" s="1"/>
    </row>
    <row r="364" spans="1:4" x14ac:dyDescent="0.3">
      <c r="A364" s="1"/>
      <c r="B364" s="1" t="str">
        <f>IFERROR(IF(LEFT(Sensitivität_bzw_Monte_Carlo_bei_Strom[[#This Row],[Source.Name]],SEARCH("aus_der",Sensitivität_bzw_Monte_Carlo_bei_Strom[[#This Row],[Source.Name]],1))="Auszahlung_a","Auszahlung",""),"")</f>
        <v/>
      </c>
      <c r="D364" s="1"/>
    </row>
    <row r="365" spans="1:4" x14ac:dyDescent="0.3">
      <c r="A365" s="1"/>
      <c r="B365" s="1" t="str">
        <f>IFERROR(IF(LEFT(Sensitivität_bzw_Monte_Carlo_bei_Strom[[#This Row],[Source.Name]],SEARCH("aus_der",Sensitivität_bzw_Monte_Carlo_bei_Strom[[#This Row],[Source.Name]],1))="Auszahlung_a","Auszahlung",""),"")</f>
        <v/>
      </c>
      <c r="D365" s="1"/>
    </row>
    <row r="366" spans="1:4" x14ac:dyDescent="0.3">
      <c r="A366" s="1"/>
      <c r="B366" s="1" t="str">
        <f>IFERROR(IF(LEFT(Sensitivität_bzw_Monte_Carlo_bei_Strom[[#This Row],[Source.Name]],SEARCH("aus_der",Sensitivität_bzw_Monte_Carlo_bei_Strom[[#This Row],[Source.Name]],1))="Auszahlung_a","Auszahlung",""),"")</f>
        <v/>
      </c>
      <c r="D366" s="1"/>
    </row>
    <row r="367" spans="1:4" x14ac:dyDescent="0.3">
      <c r="A367" s="1"/>
      <c r="B367" s="1" t="str">
        <f>IFERROR(IF(LEFT(Sensitivität_bzw_Monte_Carlo_bei_Strom[[#This Row],[Source.Name]],SEARCH("aus_der",Sensitivität_bzw_Monte_Carlo_bei_Strom[[#This Row],[Source.Name]],1))="Auszahlung_a","Auszahlung",""),"")</f>
        <v/>
      </c>
      <c r="D367" s="1"/>
    </row>
    <row r="368" spans="1:4" x14ac:dyDescent="0.3">
      <c r="A368" s="1"/>
      <c r="B368" s="1" t="str">
        <f>IFERROR(IF(LEFT(Sensitivität_bzw_Monte_Carlo_bei_Strom[[#This Row],[Source.Name]],SEARCH("aus_der",Sensitivität_bzw_Monte_Carlo_bei_Strom[[#This Row],[Source.Name]],1))="Auszahlung_a","Auszahlung",""),"")</f>
        <v/>
      </c>
      <c r="D368" s="1"/>
    </row>
    <row r="369" spans="1:4" x14ac:dyDescent="0.3">
      <c r="A369" s="1"/>
      <c r="B369" s="1" t="str">
        <f>IFERROR(IF(LEFT(Sensitivität_bzw_Monte_Carlo_bei_Strom[[#This Row],[Source.Name]],SEARCH("aus_der",Sensitivität_bzw_Monte_Carlo_bei_Strom[[#This Row],[Source.Name]],1))="Auszahlung_a","Auszahlung",""),"")</f>
        <v/>
      </c>
      <c r="D369" s="1"/>
    </row>
    <row r="370" spans="1:4" x14ac:dyDescent="0.3">
      <c r="A370" s="1"/>
      <c r="B370" s="1" t="str">
        <f>IFERROR(IF(LEFT(Sensitivität_bzw_Monte_Carlo_bei_Strom[[#This Row],[Source.Name]],SEARCH("aus_der",Sensitivität_bzw_Monte_Carlo_bei_Strom[[#This Row],[Source.Name]],1))="Auszahlung_a","Auszahlung",""),"")</f>
        <v/>
      </c>
      <c r="D370" s="1"/>
    </row>
    <row r="371" spans="1:4" x14ac:dyDescent="0.3">
      <c r="A371" s="1"/>
      <c r="B371" s="1" t="str">
        <f>IFERROR(IF(LEFT(Sensitivität_bzw_Monte_Carlo_bei_Strom[[#This Row],[Source.Name]],SEARCH("aus_der",Sensitivität_bzw_Monte_Carlo_bei_Strom[[#This Row],[Source.Name]],1))="Auszahlung_a","Auszahlung",""),"")</f>
        <v/>
      </c>
      <c r="D371" s="1"/>
    </row>
    <row r="372" spans="1:4" x14ac:dyDescent="0.3">
      <c r="A372" s="1"/>
      <c r="B372" s="1" t="str">
        <f>IFERROR(IF(LEFT(Sensitivität_bzw_Monte_Carlo_bei_Strom[[#This Row],[Source.Name]],SEARCH("aus_der",Sensitivität_bzw_Monte_Carlo_bei_Strom[[#This Row],[Source.Name]],1))="Auszahlung_a","Auszahlung",""),"")</f>
        <v/>
      </c>
      <c r="D372" s="1"/>
    </row>
    <row r="373" spans="1:4" x14ac:dyDescent="0.3">
      <c r="A373" s="1"/>
      <c r="B373" s="1" t="str">
        <f>IFERROR(IF(LEFT(Sensitivität_bzw_Monte_Carlo_bei_Strom[[#This Row],[Source.Name]],SEARCH("aus_der",Sensitivität_bzw_Monte_Carlo_bei_Strom[[#This Row],[Source.Name]],1))="Auszahlung_a","Auszahlung",""),"")</f>
        <v/>
      </c>
      <c r="D373" s="1"/>
    </row>
    <row r="374" spans="1:4" x14ac:dyDescent="0.3">
      <c r="A374" s="1"/>
      <c r="B374" s="1" t="str">
        <f>IFERROR(IF(LEFT(Sensitivität_bzw_Monte_Carlo_bei_Strom[[#This Row],[Source.Name]],SEARCH("aus_der",Sensitivität_bzw_Monte_Carlo_bei_Strom[[#This Row],[Source.Name]],1))="Auszahlung_a","Auszahlung",""),"")</f>
        <v/>
      </c>
      <c r="D374" s="1"/>
    </row>
    <row r="375" spans="1:4" x14ac:dyDescent="0.3">
      <c r="A375" s="1"/>
      <c r="B375" s="1" t="str">
        <f>IFERROR(IF(LEFT(Sensitivität_bzw_Monte_Carlo_bei_Strom[[#This Row],[Source.Name]],SEARCH("aus_der",Sensitivität_bzw_Monte_Carlo_bei_Strom[[#This Row],[Source.Name]],1))="Auszahlung_a","Auszahlung",""),"")</f>
        <v/>
      </c>
      <c r="D375" s="1"/>
    </row>
    <row r="376" spans="1:4" x14ac:dyDescent="0.3">
      <c r="A376" s="1"/>
      <c r="B376" s="1" t="str">
        <f>IFERROR(IF(LEFT(Sensitivität_bzw_Monte_Carlo_bei_Strom[[#This Row],[Source.Name]],SEARCH("aus_der",Sensitivität_bzw_Monte_Carlo_bei_Strom[[#This Row],[Source.Name]],1))="Auszahlung_a","Auszahlung",""),"")</f>
        <v/>
      </c>
      <c r="D376" s="1"/>
    </row>
    <row r="377" spans="1:4" x14ac:dyDescent="0.3">
      <c r="A377" s="1"/>
      <c r="B377" s="1" t="str">
        <f>IFERROR(IF(LEFT(Sensitivität_bzw_Monte_Carlo_bei_Strom[[#This Row],[Source.Name]],SEARCH("aus_der",Sensitivität_bzw_Monte_Carlo_bei_Strom[[#This Row],[Source.Name]],1))="Auszahlung_a","Auszahlung",""),"")</f>
        <v/>
      </c>
      <c r="D377" s="1"/>
    </row>
    <row r="378" spans="1:4" x14ac:dyDescent="0.3">
      <c r="A378" s="1"/>
      <c r="B378" s="1" t="str">
        <f>IFERROR(IF(LEFT(Sensitivität_bzw_Monte_Carlo_bei_Strom[[#This Row],[Source.Name]],SEARCH("aus_der",Sensitivität_bzw_Monte_Carlo_bei_Strom[[#This Row],[Source.Name]],1))="Auszahlung_a","Auszahlung",""),"")</f>
        <v/>
      </c>
      <c r="D378" s="1"/>
    </row>
    <row r="379" spans="1:4" x14ac:dyDescent="0.3">
      <c r="A379" s="1"/>
      <c r="B379" s="1" t="str">
        <f>IFERROR(IF(LEFT(Sensitivität_bzw_Monte_Carlo_bei_Strom[[#This Row],[Source.Name]],SEARCH("aus_der",Sensitivität_bzw_Monte_Carlo_bei_Strom[[#This Row],[Source.Name]],1))="Auszahlung_a","Auszahlung",""),"")</f>
        <v/>
      </c>
      <c r="D379" s="1"/>
    </row>
    <row r="380" spans="1:4" x14ac:dyDescent="0.3">
      <c r="A380" s="1"/>
      <c r="B380" s="1" t="str">
        <f>IFERROR(IF(LEFT(Sensitivität_bzw_Monte_Carlo_bei_Strom[[#This Row],[Source.Name]],SEARCH("aus_der",Sensitivität_bzw_Monte_Carlo_bei_Strom[[#This Row],[Source.Name]],1))="Auszahlung_a","Auszahlung",""),"")</f>
        <v/>
      </c>
      <c r="D380" s="1"/>
    </row>
    <row r="381" spans="1:4" x14ac:dyDescent="0.3">
      <c r="A381" s="1"/>
      <c r="B381" s="1" t="str">
        <f>IFERROR(IF(LEFT(Sensitivität_bzw_Monte_Carlo_bei_Strom[[#This Row],[Source.Name]],SEARCH("aus_der",Sensitivität_bzw_Monte_Carlo_bei_Strom[[#This Row],[Source.Name]],1))="Auszahlung_a","Auszahlung",""),"")</f>
        <v/>
      </c>
      <c r="D381" s="1"/>
    </row>
    <row r="382" spans="1:4" x14ac:dyDescent="0.3">
      <c r="A382" s="1"/>
      <c r="B382" s="1" t="str">
        <f>IFERROR(IF(LEFT(Sensitivität_bzw_Monte_Carlo_bei_Strom[[#This Row],[Source.Name]],SEARCH("aus_der",Sensitivität_bzw_Monte_Carlo_bei_Strom[[#This Row],[Source.Name]],1))="Auszahlung_a","Auszahlung",""),"")</f>
        <v/>
      </c>
      <c r="D382" s="1"/>
    </row>
    <row r="383" spans="1:4" x14ac:dyDescent="0.3">
      <c r="A383" s="1"/>
      <c r="B383" s="1" t="str">
        <f>IFERROR(IF(LEFT(Sensitivität_bzw_Monte_Carlo_bei_Strom[[#This Row],[Source.Name]],SEARCH("aus_der",Sensitivität_bzw_Monte_Carlo_bei_Strom[[#This Row],[Source.Name]],1))="Auszahlung_a","Auszahlung",""),"")</f>
        <v/>
      </c>
      <c r="D383" s="1"/>
    </row>
    <row r="384" spans="1:4" x14ac:dyDescent="0.3">
      <c r="A384" s="1"/>
      <c r="B384" s="1" t="str">
        <f>IFERROR(IF(LEFT(Sensitivität_bzw_Monte_Carlo_bei_Strom[[#This Row],[Source.Name]],SEARCH("aus_der",Sensitivität_bzw_Monte_Carlo_bei_Strom[[#This Row],[Source.Name]],1))="Auszahlung_a","Auszahlung",""),"")</f>
        <v/>
      </c>
      <c r="D384" s="1"/>
    </row>
    <row r="385" spans="1:4" x14ac:dyDescent="0.3">
      <c r="A385" s="1"/>
      <c r="B385" s="1" t="str">
        <f>IFERROR(IF(LEFT(Sensitivität_bzw_Monte_Carlo_bei_Strom[[#This Row],[Source.Name]],SEARCH("aus_der",Sensitivität_bzw_Monte_Carlo_bei_Strom[[#This Row],[Source.Name]],1))="Auszahlung_a","Auszahlung",""),"")</f>
        <v/>
      </c>
      <c r="D385" s="1"/>
    </row>
    <row r="386" spans="1:4" x14ac:dyDescent="0.3">
      <c r="A386" s="1"/>
      <c r="B386" s="1" t="str">
        <f>IFERROR(IF(LEFT(Sensitivität_bzw_Monte_Carlo_bei_Strom[[#This Row],[Source.Name]],SEARCH("aus_der",Sensitivität_bzw_Monte_Carlo_bei_Strom[[#This Row],[Source.Name]],1))="Auszahlung_a","Auszahlung",""),"")</f>
        <v/>
      </c>
      <c r="D386" s="1"/>
    </row>
    <row r="387" spans="1:4" x14ac:dyDescent="0.3">
      <c r="A387" s="1"/>
      <c r="B387" s="1" t="str">
        <f>IFERROR(IF(LEFT(Sensitivität_bzw_Monte_Carlo_bei_Strom[[#This Row],[Source.Name]],SEARCH("aus_der",Sensitivität_bzw_Monte_Carlo_bei_Strom[[#This Row],[Source.Name]],1))="Auszahlung_a","Auszahlung",""),"")</f>
        <v/>
      </c>
      <c r="D387" s="1"/>
    </row>
    <row r="388" spans="1:4" x14ac:dyDescent="0.3">
      <c r="A388" s="1"/>
      <c r="B388" s="1" t="str">
        <f>IFERROR(IF(LEFT(Sensitivität_bzw_Monte_Carlo_bei_Strom[[#This Row],[Source.Name]],SEARCH("aus_der",Sensitivität_bzw_Monte_Carlo_bei_Strom[[#This Row],[Source.Name]],1))="Auszahlung_a","Auszahlung",""),"")</f>
        <v/>
      </c>
      <c r="D388" s="1"/>
    </row>
    <row r="389" spans="1:4" x14ac:dyDescent="0.3">
      <c r="A389" s="1"/>
      <c r="B389" s="1" t="str">
        <f>IFERROR(IF(LEFT(Sensitivität_bzw_Monte_Carlo_bei_Strom[[#This Row],[Source.Name]],SEARCH("aus_der",Sensitivität_bzw_Monte_Carlo_bei_Strom[[#This Row],[Source.Name]],1))="Auszahlung_a","Auszahlung",""),"")</f>
        <v/>
      </c>
      <c r="D389" s="1"/>
    </row>
    <row r="390" spans="1:4" x14ac:dyDescent="0.3">
      <c r="A390" s="1"/>
      <c r="B390" s="1" t="str">
        <f>IFERROR(IF(LEFT(Sensitivität_bzw_Monte_Carlo_bei_Strom[[#This Row],[Source.Name]],SEARCH("aus_der",Sensitivität_bzw_Monte_Carlo_bei_Strom[[#This Row],[Source.Name]],1))="Auszahlung_a","Auszahlung",""),"")</f>
        <v/>
      </c>
      <c r="D390" s="1"/>
    </row>
    <row r="391" spans="1:4" x14ac:dyDescent="0.3">
      <c r="A391" s="1"/>
      <c r="B391" s="1" t="str">
        <f>IFERROR(IF(LEFT(Sensitivität_bzw_Monte_Carlo_bei_Strom[[#This Row],[Source.Name]],SEARCH("aus_der",Sensitivität_bzw_Monte_Carlo_bei_Strom[[#This Row],[Source.Name]],1))="Auszahlung_a","Auszahlung",""),"")</f>
        <v/>
      </c>
      <c r="D391" s="1"/>
    </row>
    <row r="392" spans="1:4" x14ac:dyDescent="0.3">
      <c r="A392" s="1"/>
      <c r="B392" s="1" t="str">
        <f>IFERROR(IF(LEFT(Sensitivität_bzw_Monte_Carlo_bei_Strom[[#This Row],[Source.Name]],SEARCH("aus_der",Sensitivität_bzw_Monte_Carlo_bei_Strom[[#This Row],[Source.Name]],1))="Auszahlung_a","Auszahlung",""),"")</f>
        <v/>
      </c>
      <c r="D392" s="1"/>
    </row>
    <row r="393" spans="1:4" x14ac:dyDescent="0.3">
      <c r="A393" s="1"/>
      <c r="B393" s="1" t="str">
        <f>IFERROR(IF(LEFT(Sensitivität_bzw_Monte_Carlo_bei_Strom[[#This Row],[Source.Name]],SEARCH("aus_der",Sensitivität_bzw_Monte_Carlo_bei_Strom[[#This Row],[Source.Name]],1))="Auszahlung_a","Auszahlung",""),"")</f>
        <v/>
      </c>
      <c r="D393" s="1"/>
    </row>
    <row r="394" spans="1:4" x14ac:dyDescent="0.3">
      <c r="A394" s="1"/>
      <c r="B394" s="1" t="str">
        <f>IFERROR(IF(LEFT(Sensitivität_bzw_Monte_Carlo_bei_Strom[[#This Row],[Source.Name]],SEARCH("aus_der",Sensitivität_bzw_Monte_Carlo_bei_Strom[[#This Row],[Source.Name]],1))="Auszahlung_a","Auszahlung",""),"")</f>
        <v/>
      </c>
      <c r="D394" s="1"/>
    </row>
    <row r="395" spans="1:4" x14ac:dyDescent="0.3">
      <c r="A395" s="1"/>
      <c r="B395" s="1" t="str">
        <f>IFERROR(IF(LEFT(Sensitivität_bzw_Monte_Carlo_bei_Strom[[#This Row],[Source.Name]],SEARCH("aus_der",Sensitivität_bzw_Monte_Carlo_bei_Strom[[#This Row],[Source.Name]],1))="Auszahlung_a","Auszahlung",""),"")</f>
        <v/>
      </c>
      <c r="D395" s="1"/>
    </row>
    <row r="396" spans="1:4" x14ac:dyDescent="0.3">
      <c r="A396" s="1"/>
      <c r="B396" s="1" t="str">
        <f>IFERROR(IF(LEFT(Sensitivität_bzw_Monte_Carlo_bei_Strom[[#This Row],[Source.Name]],SEARCH("aus_der",Sensitivität_bzw_Monte_Carlo_bei_Strom[[#This Row],[Source.Name]],1))="Auszahlung_a","Auszahlung",""),"")</f>
        <v/>
      </c>
      <c r="D396" s="1"/>
    </row>
    <row r="397" spans="1:4" x14ac:dyDescent="0.3">
      <c r="A397" s="1"/>
      <c r="B397" s="1" t="str">
        <f>IFERROR(IF(LEFT(Sensitivität_bzw_Monte_Carlo_bei_Strom[[#This Row],[Source.Name]],SEARCH("aus_der",Sensitivität_bzw_Monte_Carlo_bei_Strom[[#This Row],[Source.Name]],1))="Auszahlung_a","Auszahlung",""),"")</f>
        <v/>
      </c>
      <c r="D397" s="1"/>
    </row>
    <row r="398" spans="1:4" x14ac:dyDescent="0.3">
      <c r="A398" s="1"/>
      <c r="B398" s="1" t="str">
        <f>IFERROR(IF(LEFT(Sensitivität_bzw_Monte_Carlo_bei_Strom[[#This Row],[Source.Name]],SEARCH("aus_der",Sensitivität_bzw_Monte_Carlo_bei_Strom[[#This Row],[Source.Name]],1))="Auszahlung_a","Auszahlung",""),"")</f>
        <v/>
      </c>
      <c r="D398" s="1"/>
    </row>
    <row r="399" spans="1:4" x14ac:dyDescent="0.3">
      <c r="A399" s="1"/>
      <c r="B399" s="1" t="str">
        <f>IFERROR(IF(LEFT(Sensitivität_bzw_Monte_Carlo_bei_Strom[[#This Row],[Source.Name]],SEARCH("aus_der",Sensitivität_bzw_Monte_Carlo_bei_Strom[[#This Row],[Source.Name]],1))="Auszahlung_a","Auszahlung",""),"")</f>
        <v/>
      </c>
      <c r="D399" s="1"/>
    </row>
    <row r="400" spans="1:4" x14ac:dyDescent="0.3">
      <c r="A400" s="1"/>
      <c r="B400" s="1" t="str">
        <f>IFERROR(IF(LEFT(Sensitivität_bzw_Monte_Carlo_bei_Strom[[#This Row],[Source.Name]],SEARCH("aus_der",Sensitivität_bzw_Monte_Carlo_bei_Strom[[#This Row],[Source.Name]],1))="Auszahlung_a","Auszahlung",""),"")</f>
        <v/>
      </c>
      <c r="D400" s="1"/>
    </row>
    <row r="401" spans="1:4" x14ac:dyDescent="0.3">
      <c r="A401" s="1"/>
      <c r="B401" s="1" t="str">
        <f>IFERROR(IF(LEFT(Sensitivität_bzw_Monte_Carlo_bei_Strom[[#This Row],[Source.Name]],SEARCH("aus_der",Sensitivität_bzw_Monte_Carlo_bei_Strom[[#This Row],[Source.Name]],1))="Auszahlung_a","Auszahlung",""),"")</f>
        <v/>
      </c>
      <c r="D401" s="1"/>
    </row>
    <row r="402" spans="1:4" x14ac:dyDescent="0.3">
      <c r="A402" s="1"/>
      <c r="B402" s="1" t="str">
        <f>IFERROR(IF(LEFT(Sensitivität_bzw_Monte_Carlo_bei_Strom[[#This Row],[Source.Name]],SEARCH("aus_der",Sensitivität_bzw_Monte_Carlo_bei_Strom[[#This Row],[Source.Name]],1))="Auszahlung_a","Auszahlung",""),"")</f>
        <v/>
      </c>
      <c r="D402" s="1"/>
    </row>
    <row r="403" spans="1:4" x14ac:dyDescent="0.3">
      <c r="A403" s="1"/>
      <c r="B403" s="1" t="str">
        <f>IFERROR(IF(LEFT(Sensitivität_bzw_Monte_Carlo_bei_Strom[[#This Row],[Source.Name]],SEARCH("aus_der",Sensitivität_bzw_Monte_Carlo_bei_Strom[[#This Row],[Source.Name]],1))="Auszahlung_a","Auszahlung",""),"")</f>
        <v/>
      </c>
      <c r="D403" s="1"/>
    </row>
    <row r="404" spans="1:4" x14ac:dyDescent="0.3">
      <c r="A404" s="1"/>
      <c r="B404" s="1" t="str">
        <f>IFERROR(IF(LEFT(Sensitivität_bzw_Monte_Carlo_bei_Strom[[#This Row],[Source.Name]],SEARCH("aus_der",Sensitivität_bzw_Monte_Carlo_bei_Strom[[#This Row],[Source.Name]],1))="Auszahlung_a","Auszahlung",""),"")</f>
        <v/>
      </c>
      <c r="D404" s="1"/>
    </row>
    <row r="405" spans="1:4" x14ac:dyDescent="0.3">
      <c r="A405" s="1"/>
      <c r="B405" s="1" t="str">
        <f>IFERROR(IF(LEFT(Sensitivität_bzw_Monte_Carlo_bei_Strom[[#This Row],[Source.Name]],SEARCH("aus_der",Sensitivität_bzw_Monte_Carlo_bei_Strom[[#This Row],[Source.Name]],1))="Auszahlung_a","Auszahlung",""),"")</f>
        <v/>
      </c>
      <c r="D405" s="1"/>
    </row>
    <row r="406" spans="1:4" x14ac:dyDescent="0.3">
      <c r="A406" s="1"/>
      <c r="B406" s="1" t="str">
        <f>IFERROR(IF(LEFT(Sensitivität_bzw_Monte_Carlo_bei_Strom[[#This Row],[Source.Name]],SEARCH("aus_der",Sensitivität_bzw_Monte_Carlo_bei_Strom[[#This Row],[Source.Name]],1))="Auszahlung_a","Auszahlung",""),"")</f>
        <v/>
      </c>
      <c r="D406" s="1"/>
    </row>
    <row r="407" spans="1:4" x14ac:dyDescent="0.3">
      <c r="A407" s="1"/>
      <c r="B407" s="1" t="str">
        <f>IFERROR(IF(LEFT(Sensitivität_bzw_Monte_Carlo_bei_Strom[[#This Row],[Source.Name]],SEARCH("aus_der",Sensitivität_bzw_Monte_Carlo_bei_Strom[[#This Row],[Source.Name]],1))="Auszahlung_a","Auszahlung",""),"")</f>
        <v/>
      </c>
      <c r="D407" s="1"/>
    </row>
    <row r="408" spans="1:4" x14ac:dyDescent="0.3">
      <c r="A408" s="1"/>
      <c r="B408" s="1" t="str">
        <f>IFERROR(IF(LEFT(Sensitivität_bzw_Monte_Carlo_bei_Strom[[#This Row],[Source.Name]],SEARCH("aus_der",Sensitivität_bzw_Monte_Carlo_bei_Strom[[#This Row],[Source.Name]],1))="Auszahlung_a","Auszahlung",""),"")</f>
        <v/>
      </c>
      <c r="D408" s="1"/>
    </row>
    <row r="409" spans="1:4" x14ac:dyDescent="0.3">
      <c r="A409" s="1"/>
      <c r="B409" s="1" t="str">
        <f>IFERROR(IF(LEFT(Sensitivität_bzw_Monte_Carlo_bei_Strom[[#This Row],[Source.Name]],SEARCH("aus_der",Sensitivität_bzw_Monte_Carlo_bei_Strom[[#This Row],[Source.Name]],1))="Auszahlung_a","Auszahlung",""),"")</f>
        <v/>
      </c>
      <c r="D409" s="1"/>
    </row>
    <row r="410" spans="1:4" x14ac:dyDescent="0.3">
      <c r="A410" s="1"/>
      <c r="B410" s="1" t="str">
        <f>IFERROR(IF(LEFT(Sensitivität_bzw_Monte_Carlo_bei_Strom[[#This Row],[Source.Name]],SEARCH("aus_der",Sensitivität_bzw_Monte_Carlo_bei_Strom[[#This Row],[Source.Name]],1))="Auszahlung_a","Auszahlung",""),"")</f>
        <v/>
      </c>
      <c r="D410" s="1"/>
    </row>
    <row r="411" spans="1:4" x14ac:dyDescent="0.3">
      <c r="A411" s="1"/>
      <c r="B411" s="1" t="str">
        <f>IFERROR(IF(LEFT(Sensitivität_bzw_Monte_Carlo_bei_Strom[[#This Row],[Source.Name]],SEARCH("aus_der",Sensitivität_bzw_Monte_Carlo_bei_Strom[[#This Row],[Source.Name]],1))="Auszahlung_a","Auszahlung",""),"")</f>
        <v/>
      </c>
      <c r="D411" s="1"/>
    </row>
    <row r="412" spans="1:4" x14ac:dyDescent="0.3">
      <c r="A412" s="1"/>
      <c r="B412" s="1" t="str">
        <f>IFERROR(IF(LEFT(Sensitivität_bzw_Monte_Carlo_bei_Strom[[#This Row],[Source.Name]],SEARCH("aus_der",Sensitivität_bzw_Monte_Carlo_bei_Strom[[#This Row],[Source.Name]],1))="Auszahlung_a","Auszahlung",""),"")</f>
        <v/>
      </c>
      <c r="D412" s="1"/>
    </row>
    <row r="413" spans="1:4" x14ac:dyDescent="0.3">
      <c r="A413" s="1"/>
      <c r="B413" s="1" t="str">
        <f>IFERROR(IF(LEFT(Sensitivität_bzw_Monte_Carlo_bei_Strom[[#This Row],[Source.Name]],SEARCH("aus_der",Sensitivität_bzw_Monte_Carlo_bei_Strom[[#This Row],[Source.Name]],1))="Auszahlung_a","Auszahlung",""),"")</f>
        <v/>
      </c>
      <c r="D413" s="1"/>
    </row>
    <row r="414" spans="1:4" x14ac:dyDescent="0.3">
      <c r="A414" s="1"/>
      <c r="B414" s="1" t="str">
        <f>IFERROR(IF(LEFT(Sensitivität_bzw_Monte_Carlo_bei_Strom[[#This Row],[Source.Name]],SEARCH("aus_der",Sensitivität_bzw_Monte_Carlo_bei_Strom[[#This Row],[Source.Name]],1))="Auszahlung_a","Auszahlung",""),"")</f>
        <v/>
      </c>
      <c r="D414" s="1"/>
    </row>
    <row r="415" spans="1:4" x14ac:dyDescent="0.3">
      <c r="A415" s="1"/>
      <c r="B415" s="1" t="str">
        <f>IFERROR(IF(LEFT(Sensitivität_bzw_Monte_Carlo_bei_Strom[[#This Row],[Source.Name]],SEARCH("aus_der",Sensitivität_bzw_Monte_Carlo_bei_Strom[[#This Row],[Source.Name]],1))="Auszahlung_a","Auszahlung",""),"")</f>
        <v/>
      </c>
      <c r="D415" s="1"/>
    </row>
    <row r="416" spans="1:4" x14ac:dyDescent="0.3">
      <c r="A416" s="1"/>
      <c r="B416" s="1" t="str">
        <f>IFERROR(IF(LEFT(Sensitivität_bzw_Monte_Carlo_bei_Strom[[#This Row],[Source.Name]],SEARCH("aus_der",Sensitivität_bzw_Monte_Carlo_bei_Strom[[#This Row],[Source.Name]],1))="Auszahlung_a","Auszahlung",""),"")</f>
        <v/>
      </c>
      <c r="D416" s="1"/>
    </row>
    <row r="417" spans="1:4" x14ac:dyDescent="0.3">
      <c r="A417" s="1"/>
      <c r="B417" s="1" t="str">
        <f>IFERROR(IF(LEFT(Sensitivität_bzw_Monte_Carlo_bei_Strom[[#This Row],[Source.Name]],SEARCH("aus_der",Sensitivität_bzw_Monte_Carlo_bei_Strom[[#This Row],[Source.Name]],1))="Auszahlung_a","Auszahlung",""),"")</f>
        <v/>
      </c>
      <c r="D417" s="1"/>
    </row>
    <row r="418" spans="1:4" x14ac:dyDescent="0.3">
      <c r="A418" s="1"/>
      <c r="B418" s="1" t="str">
        <f>IFERROR(IF(LEFT(Sensitivität_bzw_Monte_Carlo_bei_Strom[[#This Row],[Source.Name]],SEARCH("aus_der",Sensitivität_bzw_Monte_Carlo_bei_Strom[[#This Row],[Source.Name]],1))="Auszahlung_a","Auszahlung",""),"")</f>
        <v/>
      </c>
      <c r="D418" s="1"/>
    </row>
    <row r="419" spans="1:4" x14ac:dyDescent="0.3">
      <c r="A419" s="1"/>
      <c r="B419" s="1" t="str">
        <f>IFERROR(IF(LEFT(Sensitivität_bzw_Monte_Carlo_bei_Strom[[#This Row],[Source.Name]],SEARCH("aus_der",Sensitivität_bzw_Monte_Carlo_bei_Strom[[#This Row],[Source.Name]],1))="Auszahlung_a","Auszahlung",""),"")</f>
        <v/>
      </c>
      <c r="D419" s="1"/>
    </row>
    <row r="420" spans="1:4" x14ac:dyDescent="0.3">
      <c r="A420" s="1"/>
      <c r="B420" s="1" t="str">
        <f>IFERROR(IF(LEFT(Sensitivität_bzw_Monte_Carlo_bei_Strom[[#This Row],[Source.Name]],SEARCH("aus_der",Sensitivität_bzw_Monte_Carlo_bei_Strom[[#This Row],[Source.Name]],1))="Auszahlung_a","Auszahlung",""),"")</f>
        <v/>
      </c>
      <c r="D420" s="1"/>
    </row>
    <row r="421" spans="1:4" x14ac:dyDescent="0.3">
      <c r="A421" s="1"/>
      <c r="B421" s="1" t="str">
        <f>IFERROR(IF(LEFT(Sensitivität_bzw_Monte_Carlo_bei_Strom[[#This Row],[Source.Name]],SEARCH("aus_der",Sensitivität_bzw_Monte_Carlo_bei_Strom[[#This Row],[Source.Name]],1))="Auszahlung_a","Auszahlung",""),"")</f>
        <v/>
      </c>
      <c r="D421" s="1"/>
    </row>
    <row r="422" spans="1:4" x14ac:dyDescent="0.3">
      <c r="A422" s="1"/>
      <c r="B422" s="1" t="str">
        <f>IFERROR(IF(LEFT(Sensitivität_bzw_Monte_Carlo_bei_Strom[[#This Row],[Source.Name]],SEARCH("aus_der",Sensitivität_bzw_Monte_Carlo_bei_Strom[[#This Row],[Source.Name]],1))="Auszahlung_a","Auszahlung",""),"")</f>
        <v/>
      </c>
      <c r="D422" s="1"/>
    </row>
    <row r="423" spans="1:4" x14ac:dyDescent="0.3">
      <c r="A423" s="1"/>
      <c r="B423" s="1" t="str">
        <f>IFERROR(IF(LEFT(Sensitivität_bzw_Monte_Carlo_bei_Strom[[#This Row],[Source.Name]],SEARCH("aus_der",Sensitivität_bzw_Monte_Carlo_bei_Strom[[#This Row],[Source.Name]],1))="Auszahlung_a","Auszahlung",""),"")</f>
        <v/>
      </c>
      <c r="D423" s="1"/>
    </row>
    <row r="424" spans="1:4" x14ac:dyDescent="0.3">
      <c r="A424" s="1"/>
      <c r="B424" s="1" t="str">
        <f>IFERROR(IF(LEFT(Sensitivität_bzw_Monte_Carlo_bei_Strom[[#This Row],[Source.Name]],SEARCH("aus_der",Sensitivität_bzw_Monte_Carlo_bei_Strom[[#This Row],[Source.Name]],1))="Auszahlung_a","Auszahlung",""),"")</f>
        <v/>
      </c>
      <c r="D424" s="1"/>
    </row>
    <row r="425" spans="1:4" x14ac:dyDescent="0.3">
      <c r="A425" s="1"/>
      <c r="B425" s="1" t="str">
        <f>IFERROR(IF(LEFT(Sensitivität_bzw_Monte_Carlo_bei_Strom[[#This Row],[Source.Name]],SEARCH("aus_der",Sensitivität_bzw_Monte_Carlo_bei_Strom[[#This Row],[Source.Name]],1))="Auszahlung_a","Auszahlung",""),"")</f>
        <v/>
      </c>
      <c r="D425" s="1"/>
    </row>
    <row r="426" spans="1:4" x14ac:dyDescent="0.3">
      <c r="A426" s="1"/>
      <c r="B426" s="1" t="str">
        <f>IFERROR(IF(LEFT(Sensitivität_bzw_Monte_Carlo_bei_Strom[[#This Row],[Source.Name]],SEARCH("aus_der",Sensitivität_bzw_Monte_Carlo_bei_Strom[[#This Row],[Source.Name]],1))="Auszahlung_a","Auszahlung",""),"")</f>
        <v/>
      </c>
      <c r="D426" s="1"/>
    </row>
    <row r="427" spans="1:4" x14ac:dyDescent="0.3">
      <c r="A427" s="1"/>
      <c r="B427" s="1" t="str">
        <f>IFERROR(IF(LEFT(Sensitivität_bzw_Monte_Carlo_bei_Strom[[#This Row],[Source.Name]],SEARCH("aus_der",Sensitivität_bzw_Monte_Carlo_bei_Strom[[#This Row],[Source.Name]],1))="Auszahlung_a","Auszahlung",""),"")</f>
        <v/>
      </c>
      <c r="D427" s="1"/>
    </row>
    <row r="428" spans="1:4" x14ac:dyDescent="0.3">
      <c r="A428" s="1"/>
      <c r="B428" s="1" t="str">
        <f>IFERROR(IF(LEFT(Sensitivität_bzw_Monte_Carlo_bei_Strom[[#This Row],[Source.Name]],SEARCH("aus_der",Sensitivität_bzw_Monte_Carlo_bei_Strom[[#This Row],[Source.Name]],1))="Auszahlung_a","Auszahlung",""),"")</f>
        <v/>
      </c>
      <c r="D428" s="1"/>
    </row>
    <row r="429" spans="1:4" x14ac:dyDescent="0.3">
      <c r="A429" s="1"/>
      <c r="B429" s="1" t="str">
        <f>IFERROR(IF(LEFT(Sensitivität_bzw_Monte_Carlo_bei_Strom[[#This Row],[Source.Name]],SEARCH("aus_der",Sensitivität_bzw_Monte_Carlo_bei_Strom[[#This Row],[Source.Name]],1))="Auszahlung_a","Auszahlung",""),"")</f>
        <v/>
      </c>
      <c r="D429" s="1"/>
    </row>
    <row r="430" spans="1:4" x14ac:dyDescent="0.3">
      <c r="A430" s="1"/>
      <c r="B430" s="1" t="str">
        <f>IFERROR(IF(LEFT(Sensitivität_bzw_Monte_Carlo_bei_Strom[[#This Row],[Source.Name]],SEARCH("aus_der",Sensitivität_bzw_Monte_Carlo_bei_Strom[[#This Row],[Source.Name]],1))="Auszahlung_a","Auszahlung",""),"")</f>
        <v/>
      </c>
      <c r="D430" s="1"/>
    </row>
    <row r="431" spans="1:4" x14ac:dyDescent="0.3">
      <c r="A431" s="1"/>
      <c r="B431" s="1" t="str">
        <f>IFERROR(IF(LEFT(Sensitivität_bzw_Monte_Carlo_bei_Strom[[#This Row],[Source.Name]],SEARCH("aus_der",Sensitivität_bzw_Monte_Carlo_bei_Strom[[#This Row],[Source.Name]],1))="Auszahlung_a","Auszahlung",""),"")</f>
        <v/>
      </c>
      <c r="D431" s="1"/>
    </row>
    <row r="432" spans="1:4" x14ac:dyDescent="0.3">
      <c r="A432" s="1"/>
      <c r="B432" s="1" t="str">
        <f>IFERROR(IF(LEFT(Sensitivität_bzw_Monte_Carlo_bei_Strom[[#This Row],[Source.Name]],SEARCH("aus_der",Sensitivität_bzw_Monte_Carlo_bei_Strom[[#This Row],[Source.Name]],1))="Auszahlung_a","Auszahlung",""),"")</f>
        <v/>
      </c>
      <c r="D432" s="1"/>
    </row>
    <row r="433" spans="1:4" x14ac:dyDescent="0.3">
      <c r="A433" s="1"/>
      <c r="B433" s="1" t="str">
        <f>IFERROR(IF(LEFT(Sensitivität_bzw_Monte_Carlo_bei_Strom[[#This Row],[Source.Name]],SEARCH("aus_der",Sensitivität_bzw_Monte_Carlo_bei_Strom[[#This Row],[Source.Name]],1))="Auszahlung_a","Auszahlung",""),"")</f>
        <v/>
      </c>
      <c r="D433" s="1"/>
    </row>
    <row r="434" spans="1:4" x14ac:dyDescent="0.3">
      <c r="A434" s="1"/>
      <c r="B434" s="1" t="str">
        <f>IFERROR(IF(LEFT(Sensitivität_bzw_Monte_Carlo_bei_Strom[[#This Row],[Source.Name]],SEARCH("aus_der",Sensitivität_bzw_Monte_Carlo_bei_Strom[[#This Row],[Source.Name]],1))="Auszahlung_a","Auszahlung",""),"")</f>
        <v/>
      </c>
      <c r="D434" s="1"/>
    </row>
    <row r="435" spans="1:4" x14ac:dyDescent="0.3">
      <c r="A435" s="1"/>
      <c r="B435" s="1" t="str">
        <f>IFERROR(IF(LEFT(Sensitivität_bzw_Monte_Carlo_bei_Strom[[#This Row],[Source.Name]],SEARCH("aus_der",Sensitivität_bzw_Monte_Carlo_bei_Strom[[#This Row],[Source.Name]],1))="Auszahlung_a","Auszahlung",""),"")</f>
        <v/>
      </c>
      <c r="D435" s="1"/>
    </row>
    <row r="436" spans="1:4" x14ac:dyDescent="0.3">
      <c r="A436" s="1"/>
      <c r="B436" s="1" t="str">
        <f>IFERROR(IF(LEFT(Sensitivität_bzw_Monte_Carlo_bei_Strom[[#This Row],[Source.Name]],SEARCH("aus_der",Sensitivität_bzw_Monte_Carlo_bei_Strom[[#This Row],[Source.Name]],1))="Auszahlung_a","Auszahlung",""),"")</f>
        <v/>
      </c>
      <c r="D436" s="1"/>
    </row>
    <row r="437" spans="1:4" x14ac:dyDescent="0.3">
      <c r="A437" s="1"/>
      <c r="B437" s="1" t="str">
        <f>IFERROR(IF(LEFT(Sensitivität_bzw_Monte_Carlo_bei_Strom[[#This Row],[Source.Name]],SEARCH("aus_der",Sensitivität_bzw_Monte_Carlo_bei_Strom[[#This Row],[Source.Name]],1))="Auszahlung_a","Auszahlung",""),"")</f>
        <v/>
      </c>
      <c r="D437" s="1"/>
    </row>
    <row r="438" spans="1:4" x14ac:dyDescent="0.3">
      <c r="A438" s="1"/>
      <c r="B438" s="1" t="str">
        <f>IFERROR(IF(LEFT(Sensitivität_bzw_Monte_Carlo_bei_Strom[[#This Row],[Source.Name]],SEARCH("aus_der",Sensitivität_bzw_Monte_Carlo_bei_Strom[[#This Row],[Source.Name]],1))="Auszahlung_a","Auszahlung",""),"")</f>
        <v/>
      </c>
      <c r="D438" s="1"/>
    </row>
    <row r="439" spans="1:4" x14ac:dyDescent="0.3">
      <c r="A439" s="1"/>
      <c r="B439" s="1" t="str">
        <f>IFERROR(IF(LEFT(Sensitivität_bzw_Monte_Carlo_bei_Strom[[#This Row],[Source.Name]],SEARCH("aus_der",Sensitivität_bzw_Monte_Carlo_bei_Strom[[#This Row],[Source.Name]],1))="Auszahlung_a","Auszahlung",""),"")</f>
        <v/>
      </c>
      <c r="D439" s="1"/>
    </row>
    <row r="440" spans="1:4" x14ac:dyDescent="0.3">
      <c r="A440" s="1"/>
      <c r="B440" s="1" t="str">
        <f>IFERROR(IF(LEFT(Sensitivität_bzw_Monte_Carlo_bei_Strom[[#This Row],[Source.Name]],SEARCH("aus_der",Sensitivität_bzw_Monte_Carlo_bei_Strom[[#This Row],[Source.Name]],1))="Auszahlung_a","Auszahlung",""),"")</f>
        <v/>
      </c>
      <c r="D440" s="1"/>
    </row>
    <row r="441" spans="1:4" x14ac:dyDescent="0.3">
      <c r="A441" s="1"/>
      <c r="B441" s="1" t="str">
        <f>IFERROR(IF(LEFT(Sensitivität_bzw_Monte_Carlo_bei_Strom[[#This Row],[Source.Name]],SEARCH("aus_der",Sensitivität_bzw_Monte_Carlo_bei_Strom[[#This Row],[Source.Name]],1))="Auszahlung_a","Auszahlung",""),"")</f>
        <v/>
      </c>
      <c r="D441" s="1"/>
    </row>
    <row r="442" spans="1:4" x14ac:dyDescent="0.3">
      <c r="A442" s="1"/>
      <c r="B442" s="1" t="str">
        <f>IFERROR(IF(LEFT(Sensitivität_bzw_Monte_Carlo_bei_Strom[[#This Row],[Source.Name]],SEARCH("aus_der",Sensitivität_bzw_Monte_Carlo_bei_Strom[[#This Row],[Source.Name]],1))="Auszahlung_a","Auszahlung",""),"")</f>
        <v/>
      </c>
      <c r="D442" s="1"/>
    </row>
    <row r="443" spans="1:4" x14ac:dyDescent="0.3">
      <c r="A443" s="1"/>
      <c r="B443" s="1" t="str">
        <f>IFERROR(IF(LEFT(Sensitivität_bzw_Monte_Carlo_bei_Strom[[#This Row],[Source.Name]],SEARCH("aus_der",Sensitivität_bzw_Monte_Carlo_bei_Strom[[#This Row],[Source.Name]],1))="Auszahlung_a","Auszahlung",""),"")</f>
        <v/>
      </c>
      <c r="D443" s="1"/>
    </row>
    <row r="444" spans="1:4" x14ac:dyDescent="0.3">
      <c r="A444" s="1"/>
      <c r="B444" s="1" t="str">
        <f>IFERROR(IF(LEFT(Sensitivität_bzw_Monte_Carlo_bei_Strom[[#This Row],[Source.Name]],SEARCH("aus_der",Sensitivität_bzw_Monte_Carlo_bei_Strom[[#This Row],[Source.Name]],1))="Auszahlung_a","Auszahlung",""),"")</f>
        <v/>
      </c>
      <c r="D444" s="1"/>
    </row>
    <row r="445" spans="1:4" x14ac:dyDescent="0.3">
      <c r="A445" s="1"/>
      <c r="B445" s="1" t="str">
        <f>IFERROR(IF(LEFT(Sensitivität_bzw_Monte_Carlo_bei_Strom[[#This Row],[Source.Name]],SEARCH("aus_der",Sensitivität_bzw_Monte_Carlo_bei_Strom[[#This Row],[Source.Name]],1))="Auszahlung_a","Auszahlung",""),"")</f>
        <v/>
      </c>
      <c r="D445" s="1"/>
    </row>
    <row r="446" spans="1:4" x14ac:dyDescent="0.3">
      <c r="A446" s="1"/>
      <c r="B446" s="1" t="str">
        <f>IFERROR(IF(LEFT(Sensitivität_bzw_Monte_Carlo_bei_Strom[[#This Row],[Source.Name]],SEARCH("aus_der",Sensitivität_bzw_Monte_Carlo_bei_Strom[[#This Row],[Source.Name]],1))="Auszahlung_a","Auszahlung",""),"")</f>
        <v/>
      </c>
      <c r="D446" s="1"/>
    </row>
    <row r="447" spans="1:4" x14ac:dyDescent="0.3">
      <c r="A447" s="1"/>
      <c r="B447" s="1" t="str">
        <f>IFERROR(IF(LEFT(Sensitivität_bzw_Monte_Carlo_bei_Strom[[#This Row],[Source.Name]],SEARCH("aus_der",Sensitivität_bzw_Monte_Carlo_bei_Strom[[#This Row],[Source.Name]],1))="Auszahlung_a","Auszahlung",""),"")</f>
        <v/>
      </c>
      <c r="D447" s="1"/>
    </row>
    <row r="448" spans="1:4" x14ac:dyDescent="0.3">
      <c r="A448" s="1"/>
      <c r="B448" s="1" t="str">
        <f>IFERROR(IF(LEFT(Sensitivität_bzw_Monte_Carlo_bei_Strom[[#This Row],[Source.Name]],SEARCH("aus_der",Sensitivität_bzw_Monte_Carlo_bei_Strom[[#This Row],[Source.Name]],1))="Auszahlung_a","Auszahlung",""),"")</f>
        <v/>
      </c>
      <c r="D448" s="1"/>
    </row>
    <row r="449" spans="1:4" x14ac:dyDescent="0.3">
      <c r="A449" s="1"/>
      <c r="B449" s="1" t="str">
        <f>IFERROR(IF(LEFT(Sensitivität_bzw_Monte_Carlo_bei_Strom[[#This Row],[Source.Name]],SEARCH("aus_der",Sensitivität_bzw_Monte_Carlo_bei_Strom[[#This Row],[Source.Name]],1))="Auszahlung_a","Auszahlung",""),"")</f>
        <v/>
      </c>
      <c r="D449" s="1"/>
    </row>
    <row r="450" spans="1:4" x14ac:dyDescent="0.3">
      <c r="A450" s="1"/>
      <c r="B450" s="1" t="str">
        <f>IFERROR(IF(LEFT(Sensitivität_bzw_Monte_Carlo_bei_Strom[[#This Row],[Source.Name]],SEARCH("aus_der",Sensitivität_bzw_Monte_Carlo_bei_Strom[[#This Row],[Source.Name]],1))="Auszahlung_a","Auszahlung",""),"")</f>
        <v/>
      </c>
      <c r="D450" s="1"/>
    </row>
    <row r="451" spans="1:4" x14ac:dyDescent="0.3">
      <c r="A451" s="1"/>
      <c r="B451" s="1" t="str">
        <f>IFERROR(IF(LEFT(Sensitivität_bzw_Monte_Carlo_bei_Strom[[#This Row],[Source.Name]],SEARCH("aus_der",Sensitivität_bzw_Monte_Carlo_bei_Strom[[#This Row],[Source.Name]],1))="Auszahlung_a","Auszahlung",""),"")</f>
        <v/>
      </c>
      <c r="D451" s="1"/>
    </row>
    <row r="452" spans="1:4" x14ac:dyDescent="0.3">
      <c r="A452" s="1"/>
      <c r="B452" s="1" t="str">
        <f>IFERROR(IF(LEFT(Sensitivität_bzw_Monte_Carlo_bei_Strom[[#This Row],[Source.Name]],SEARCH("aus_der",Sensitivität_bzw_Monte_Carlo_bei_Strom[[#This Row],[Source.Name]],1))="Auszahlung_a","Auszahlung",""),"")</f>
        <v/>
      </c>
      <c r="D452" s="1"/>
    </row>
    <row r="453" spans="1:4" x14ac:dyDescent="0.3">
      <c r="A453" s="1"/>
      <c r="B453" s="1" t="str">
        <f>IFERROR(IF(LEFT(Sensitivität_bzw_Monte_Carlo_bei_Strom[[#This Row],[Source.Name]],SEARCH("aus_der",Sensitivität_bzw_Monte_Carlo_bei_Strom[[#This Row],[Source.Name]],1))="Auszahlung_a","Auszahlung",""),"")</f>
        <v/>
      </c>
      <c r="D453" s="1"/>
    </row>
    <row r="454" spans="1:4" x14ac:dyDescent="0.3">
      <c r="A454" s="1"/>
      <c r="B454" s="1" t="str">
        <f>IFERROR(IF(LEFT(Sensitivität_bzw_Monte_Carlo_bei_Strom[[#This Row],[Source.Name]],SEARCH("aus_der",Sensitivität_bzw_Monte_Carlo_bei_Strom[[#This Row],[Source.Name]],1))="Auszahlung_a","Auszahlung",""),"")</f>
        <v/>
      </c>
      <c r="D454" s="1"/>
    </row>
    <row r="455" spans="1:4" x14ac:dyDescent="0.3">
      <c r="A455" s="1"/>
      <c r="B455" s="1" t="str">
        <f>IFERROR(IF(LEFT(Sensitivität_bzw_Monte_Carlo_bei_Strom[[#This Row],[Source.Name]],SEARCH("aus_der",Sensitivität_bzw_Monte_Carlo_bei_Strom[[#This Row],[Source.Name]],1))="Auszahlung_a","Auszahlung",""),"")</f>
        <v/>
      </c>
      <c r="D455" s="1"/>
    </row>
    <row r="456" spans="1:4" x14ac:dyDescent="0.3">
      <c r="A456" s="1"/>
      <c r="B456" s="1" t="str">
        <f>IFERROR(IF(LEFT(Sensitivität_bzw_Monte_Carlo_bei_Strom[[#This Row],[Source.Name]],SEARCH("aus_der",Sensitivität_bzw_Monte_Carlo_bei_Strom[[#This Row],[Source.Name]],1))="Auszahlung_a","Auszahlung",""),"")</f>
        <v/>
      </c>
      <c r="D456" s="1"/>
    </row>
    <row r="457" spans="1:4" x14ac:dyDescent="0.3">
      <c r="A457" s="1"/>
      <c r="B457" s="1" t="str">
        <f>IFERROR(IF(LEFT(Sensitivität_bzw_Monte_Carlo_bei_Strom[[#This Row],[Source.Name]],SEARCH("aus_der",Sensitivität_bzw_Monte_Carlo_bei_Strom[[#This Row],[Source.Name]],1))="Auszahlung_a","Auszahlung",""),"")</f>
        <v/>
      </c>
      <c r="D457" s="1"/>
    </row>
    <row r="458" spans="1:4" x14ac:dyDescent="0.3">
      <c r="A458" s="1"/>
      <c r="B458" s="1" t="str">
        <f>IFERROR(IF(LEFT(Sensitivität_bzw_Monte_Carlo_bei_Strom[[#This Row],[Source.Name]],SEARCH("aus_der",Sensitivität_bzw_Monte_Carlo_bei_Strom[[#This Row],[Source.Name]],1))="Auszahlung_a","Auszahlung",""),"")</f>
        <v/>
      </c>
      <c r="D458" s="1"/>
    </row>
    <row r="459" spans="1:4" x14ac:dyDescent="0.3">
      <c r="A459" s="1"/>
      <c r="B459" s="1" t="str">
        <f>IFERROR(IF(LEFT(Sensitivität_bzw_Monte_Carlo_bei_Strom[[#This Row],[Source.Name]],SEARCH("aus_der",Sensitivität_bzw_Monte_Carlo_bei_Strom[[#This Row],[Source.Name]],1))="Auszahlung_a","Auszahlung",""),"")</f>
        <v/>
      </c>
      <c r="D459" s="1"/>
    </row>
    <row r="460" spans="1:4" x14ac:dyDescent="0.3">
      <c r="A460" s="1"/>
      <c r="B460" s="1" t="str">
        <f>IFERROR(IF(LEFT(Sensitivität_bzw_Monte_Carlo_bei_Strom[[#This Row],[Source.Name]],SEARCH("aus_der",Sensitivität_bzw_Monte_Carlo_bei_Strom[[#This Row],[Source.Name]],1))="Auszahlung_a","Auszahlung",""),"")</f>
        <v/>
      </c>
      <c r="D460" s="1"/>
    </row>
    <row r="461" spans="1:4" x14ac:dyDescent="0.3">
      <c r="A461" s="1"/>
      <c r="B461" s="1" t="str">
        <f>IFERROR(IF(LEFT(Sensitivität_bzw_Monte_Carlo_bei_Strom[[#This Row],[Source.Name]],SEARCH("aus_der",Sensitivität_bzw_Monte_Carlo_bei_Strom[[#This Row],[Source.Name]],1))="Auszahlung_a","Auszahlung",""),"")</f>
        <v/>
      </c>
      <c r="D461" s="1"/>
    </row>
    <row r="462" spans="1:4" x14ac:dyDescent="0.3">
      <c r="A462" s="1"/>
      <c r="B462" s="1" t="str">
        <f>IFERROR(IF(LEFT(Sensitivität_bzw_Monte_Carlo_bei_Strom[[#This Row],[Source.Name]],SEARCH("aus_der",Sensitivität_bzw_Monte_Carlo_bei_Strom[[#This Row],[Source.Name]],1))="Auszahlung_a","Auszahlung",""),"")</f>
        <v/>
      </c>
      <c r="D462" s="1"/>
    </row>
    <row r="463" spans="1:4" x14ac:dyDescent="0.3">
      <c r="A463" s="1"/>
      <c r="B463" s="1" t="str">
        <f>IFERROR(IF(LEFT(Sensitivität_bzw_Monte_Carlo_bei_Strom[[#This Row],[Source.Name]],SEARCH("aus_der",Sensitivität_bzw_Monte_Carlo_bei_Strom[[#This Row],[Source.Name]],1))="Auszahlung_a","Auszahlung",""),"")</f>
        <v/>
      </c>
      <c r="D463" s="1"/>
    </row>
    <row r="464" spans="1:4" x14ac:dyDescent="0.3">
      <c r="A464" s="1"/>
      <c r="B464" s="1" t="str">
        <f>IFERROR(IF(LEFT(Sensitivität_bzw_Monte_Carlo_bei_Strom[[#This Row],[Source.Name]],SEARCH("aus_der",Sensitivität_bzw_Monte_Carlo_bei_Strom[[#This Row],[Source.Name]],1))="Auszahlung_a","Auszahlung",""),"")</f>
        <v/>
      </c>
      <c r="D464" s="1"/>
    </row>
    <row r="465" spans="1:4" x14ac:dyDescent="0.3">
      <c r="A465" s="1"/>
      <c r="B465" s="1" t="str">
        <f>IFERROR(IF(LEFT(Sensitivität_bzw_Monte_Carlo_bei_Strom[[#This Row],[Source.Name]],SEARCH("aus_der",Sensitivität_bzw_Monte_Carlo_bei_Strom[[#This Row],[Source.Name]],1))="Auszahlung_a","Auszahlung",""),"")</f>
        <v/>
      </c>
      <c r="D465" s="1"/>
    </row>
    <row r="466" spans="1:4" x14ac:dyDescent="0.3">
      <c r="A466" s="1"/>
      <c r="B466" s="1" t="str">
        <f>IFERROR(IF(LEFT(Sensitivität_bzw_Monte_Carlo_bei_Strom[[#This Row],[Source.Name]],SEARCH("aus_der",Sensitivität_bzw_Monte_Carlo_bei_Strom[[#This Row],[Source.Name]],1))="Auszahlung_a","Auszahlung",""),"")</f>
        <v/>
      </c>
      <c r="D466" s="1"/>
    </row>
    <row r="467" spans="1:4" x14ac:dyDescent="0.3">
      <c r="A467" s="1"/>
      <c r="B467" s="1" t="str">
        <f>IFERROR(IF(LEFT(Sensitivität_bzw_Monte_Carlo_bei_Strom[[#This Row],[Source.Name]],SEARCH("aus_der",Sensitivität_bzw_Monte_Carlo_bei_Strom[[#This Row],[Source.Name]],1))="Auszahlung_a","Auszahlung",""),"")</f>
        <v/>
      </c>
      <c r="D467" s="1"/>
    </row>
    <row r="468" spans="1:4" x14ac:dyDescent="0.3">
      <c r="A468" s="1"/>
      <c r="B468" s="1" t="str">
        <f>IFERROR(IF(LEFT(Sensitivität_bzw_Monte_Carlo_bei_Strom[[#This Row],[Source.Name]],SEARCH("aus_der",Sensitivität_bzw_Monte_Carlo_bei_Strom[[#This Row],[Source.Name]],1))="Auszahlung_a","Auszahlung",""),"")</f>
        <v/>
      </c>
      <c r="D468" s="1"/>
    </row>
    <row r="469" spans="1:4" x14ac:dyDescent="0.3">
      <c r="A469" s="1"/>
      <c r="B469" s="1" t="str">
        <f>IFERROR(IF(LEFT(Sensitivität_bzw_Monte_Carlo_bei_Strom[[#This Row],[Source.Name]],SEARCH("aus_der",Sensitivität_bzw_Monte_Carlo_bei_Strom[[#This Row],[Source.Name]],1))="Auszahlung_a","Auszahlung",""),"")</f>
        <v/>
      </c>
      <c r="D469" s="1"/>
    </row>
    <row r="470" spans="1:4" x14ac:dyDescent="0.3">
      <c r="A470" s="1"/>
      <c r="B470" s="1" t="str">
        <f>IFERROR(IF(LEFT(Sensitivität_bzw_Monte_Carlo_bei_Strom[[#This Row],[Source.Name]],SEARCH("aus_der",Sensitivität_bzw_Monte_Carlo_bei_Strom[[#This Row],[Source.Name]],1))="Auszahlung_a","Auszahlung",""),"")</f>
        <v/>
      </c>
      <c r="D470" s="1"/>
    </row>
    <row r="471" spans="1:4" x14ac:dyDescent="0.3">
      <c r="A471" s="1"/>
      <c r="B471" s="1" t="str">
        <f>IFERROR(IF(LEFT(Sensitivität_bzw_Monte_Carlo_bei_Strom[[#This Row],[Source.Name]],SEARCH("aus_der",Sensitivität_bzw_Monte_Carlo_bei_Strom[[#This Row],[Source.Name]],1))="Auszahlung_a","Auszahlung",""),"")</f>
        <v/>
      </c>
      <c r="D471" s="1"/>
    </row>
    <row r="472" spans="1:4" x14ac:dyDescent="0.3">
      <c r="A472" s="1"/>
      <c r="B472" s="1" t="str">
        <f>IFERROR(IF(LEFT(Sensitivität_bzw_Monte_Carlo_bei_Strom[[#This Row],[Source.Name]],SEARCH("aus_der",Sensitivität_bzw_Monte_Carlo_bei_Strom[[#This Row],[Source.Name]],1))="Auszahlung_a","Auszahlung",""),"")</f>
        <v/>
      </c>
      <c r="D472" s="1"/>
    </row>
    <row r="473" spans="1:4" x14ac:dyDescent="0.3">
      <c r="A473" s="1"/>
      <c r="B473" s="1" t="str">
        <f>IFERROR(IF(LEFT(Sensitivität_bzw_Monte_Carlo_bei_Strom[[#This Row],[Source.Name]],SEARCH("aus_der",Sensitivität_bzw_Monte_Carlo_bei_Strom[[#This Row],[Source.Name]],1))="Auszahlung_a","Auszahlung",""),"")</f>
        <v/>
      </c>
      <c r="D473" s="1"/>
    </row>
    <row r="474" spans="1:4" x14ac:dyDescent="0.3">
      <c r="A474" s="1"/>
      <c r="B474" s="1" t="str">
        <f>IFERROR(IF(LEFT(Sensitivität_bzw_Monte_Carlo_bei_Strom[[#This Row],[Source.Name]],SEARCH("aus_der",Sensitivität_bzw_Monte_Carlo_bei_Strom[[#This Row],[Source.Name]],1))="Auszahlung_a","Auszahlung",""),"")</f>
        <v/>
      </c>
      <c r="D474" s="1"/>
    </row>
    <row r="475" spans="1:4" x14ac:dyDescent="0.3">
      <c r="A475" s="1"/>
      <c r="B475" s="1" t="str">
        <f>IFERROR(IF(LEFT(Sensitivität_bzw_Monte_Carlo_bei_Strom[[#This Row],[Source.Name]],SEARCH("aus_der",Sensitivität_bzw_Monte_Carlo_bei_Strom[[#This Row],[Source.Name]],1))="Auszahlung_a","Auszahlung",""),"")</f>
        <v/>
      </c>
      <c r="D475" s="1"/>
    </row>
    <row r="476" spans="1:4" x14ac:dyDescent="0.3">
      <c r="A476" s="1"/>
      <c r="B476" s="1" t="str">
        <f>IFERROR(IF(LEFT(Sensitivität_bzw_Monte_Carlo_bei_Strom[[#This Row],[Source.Name]],SEARCH("aus_der",Sensitivität_bzw_Monte_Carlo_bei_Strom[[#This Row],[Source.Name]],1))="Auszahlung_a","Auszahlung",""),"")</f>
        <v/>
      </c>
      <c r="D476" s="1"/>
    </row>
    <row r="477" spans="1:4" x14ac:dyDescent="0.3">
      <c r="A477" s="1"/>
      <c r="B477" s="1" t="str">
        <f>IFERROR(IF(LEFT(Sensitivität_bzw_Monte_Carlo_bei_Strom[[#This Row],[Source.Name]],SEARCH("aus_der",Sensitivität_bzw_Monte_Carlo_bei_Strom[[#This Row],[Source.Name]],1))="Auszahlung_a","Auszahlung",""),"")</f>
        <v/>
      </c>
      <c r="D477" s="1"/>
    </row>
    <row r="478" spans="1:4" x14ac:dyDescent="0.3">
      <c r="A478" s="1"/>
      <c r="B478" s="1" t="str">
        <f>IFERROR(IF(LEFT(Sensitivität_bzw_Monte_Carlo_bei_Strom[[#This Row],[Source.Name]],SEARCH("aus_der",Sensitivität_bzw_Monte_Carlo_bei_Strom[[#This Row],[Source.Name]],1))="Auszahlung_a","Auszahlung",""),"")</f>
        <v/>
      </c>
      <c r="D478" s="1"/>
    </row>
    <row r="479" spans="1:4" x14ac:dyDescent="0.3">
      <c r="A479" s="1"/>
      <c r="B479" s="1" t="str">
        <f>IFERROR(IF(LEFT(Sensitivität_bzw_Monte_Carlo_bei_Strom[[#This Row],[Source.Name]],SEARCH("aus_der",Sensitivität_bzw_Monte_Carlo_bei_Strom[[#This Row],[Source.Name]],1))="Auszahlung_a","Auszahlung",""),"")</f>
        <v/>
      </c>
      <c r="D479" s="1"/>
    </row>
    <row r="480" spans="1:4" x14ac:dyDescent="0.3">
      <c r="A480" s="1"/>
      <c r="B480" s="1" t="str">
        <f>IFERROR(IF(LEFT(Sensitivität_bzw_Monte_Carlo_bei_Strom[[#This Row],[Source.Name]],SEARCH("aus_der",Sensitivität_bzw_Monte_Carlo_bei_Strom[[#This Row],[Source.Name]],1))="Auszahlung_a","Auszahlung",""),"")</f>
        <v/>
      </c>
      <c r="D480" s="1"/>
    </row>
    <row r="481" spans="1:4" x14ac:dyDescent="0.3">
      <c r="A481" s="1"/>
      <c r="B481" s="1" t="str">
        <f>IFERROR(IF(LEFT(Sensitivität_bzw_Monte_Carlo_bei_Strom[[#This Row],[Source.Name]],SEARCH("aus_der",Sensitivität_bzw_Monte_Carlo_bei_Strom[[#This Row],[Source.Name]],1))="Auszahlung_a","Auszahlung",""),"")</f>
        <v/>
      </c>
      <c r="D481" s="1"/>
    </row>
    <row r="482" spans="1:4" x14ac:dyDescent="0.3">
      <c r="A482" s="1"/>
      <c r="B482" s="1" t="str">
        <f>IFERROR(IF(LEFT(Sensitivität_bzw_Monte_Carlo_bei_Strom[[#This Row],[Source.Name]],SEARCH("aus_der",Sensitivität_bzw_Monte_Carlo_bei_Strom[[#This Row],[Source.Name]],1))="Auszahlung_a","Auszahlung",""),"")</f>
        <v/>
      </c>
      <c r="D482" s="1"/>
    </row>
    <row r="483" spans="1:4" x14ac:dyDescent="0.3">
      <c r="A483" s="1"/>
      <c r="B483" s="1" t="str">
        <f>IFERROR(IF(LEFT(Sensitivität_bzw_Monte_Carlo_bei_Strom[[#This Row],[Source.Name]],SEARCH("aus_der",Sensitivität_bzw_Monte_Carlo_bei_Strom[[#This Row],[Source.Name]],1))="Auszahlung_a","Auszahlung",""),"")</f>
        <v/>
      </c>
      <c r="D483" s="1"/>
    </row>
    <row r="484" spans="1:4" x14ac:dyDescent="0.3">
      <c r="A484" s="1"/>
      <c r="B484" s="1" t="str">
        <f>IFERROR(IF(LEFT(Sensitivität_bzw_Monte_Carlo_bei_Strom[[#This Row],[Source.Name]],SEARCH("aus_der",Sensitivität_bzw_Monte_Carlo_bei_Strom[[#This Row],[Source.Name]],1))="Auszahlung_a","Auszahlung",""),"")</f>
        <v/>
      </c>
      <c r="D484" s="1"/>
    </row>
    <row r="485" spans="1:4" x14ac:dyDescent="0.3">
      <c r="A485" s="1"/>
      <c r="B485" s="1" t="str">
        <f>IFERROR(IF(LEFT(Sensitivität_bzw_Monte_Carlo_bei_Strom[[#This Row],[Source.Name]],SEARCH("aus_der",Sensitivität_bzw_Monte_Carlo_bei_Strom[[#This Row],[Source.Name]],1))="Auszahlung_a","Auszahlung",""),"")</f>
        <v/>
      </c>
      <c r="D485" s="1"/>
    </row>
    <row r="486" spans="1:4" x14ac:dyDescent="0.3">
      <c r="A486" s="1"/>
      <c r="B486" s="1" t="str">
        <f>IFERROR(IF(LEFT(Sensitivität_bzw_Monte_Carlo_bei_Strom[[#This Row],[Source.Name]],SEARCH("aus_der",Sensitivität_bzw_Monte_Carlo_bei_Strom[[#This Row],[Source.Name]],1))="Auszahlung_a","Auszahlung",""),"")</f>
        <v/>
      </c>
      <c r="D486" s="1"/>
    </row>
    <row r="487" spans="1:4" x14ac:dyDescent="0.3">
      <c r="A487" s="1"/>
      <c r="B487" s="1" t="str">
        <f>IFERROR(IF(LEFT(Sensitivität_bzw_Monte_Carlo_bei_Strom[[#This Row],[Source.Name]],SEARCH("aus_der",Sensitivität_bzw_Monte_Carlo_bei_Strom[[#This Row],[Source.Name]],1))="Auszahlung_a","Auszahlung",""),"")</f>
        <v/>
      </c>
      <c r="D487" s="1"/>
    </row>
    <row r="488" spans="1:4" x14ac:dyDescent="0.3">
      <c r="A488" s="1"/>
      <c r="B488" s="1" t="str">
        <f>IFERROR(IF(LEFT(Sensitivität_bzw_Monte_Carlo_bei_Strom[[#This Row],[Source.Name]],SEARCH("aus_der",Sensitivität_bzw_Monte_Carlo_bei_Strom[[#This Row],[Source.Name]],1))="Auszahlung_a","Auszahlung",""),"")</f>
        <v/>
      </c>
      <c r="D488" s="1"/>
    </row>
    <row r="489" spans="1:4" x14ac:dyDescent="0.3">
      <c r="A489" s="1"/>
      <c r="B489" s="1" t="str">
        <f>IFERROR(IF(LEFT(Sensitivität_bzw_Monte_Carlo_bei_Strom[[#This Row],[Source.Name]],SEARCH("aus_der",Sensitivität_bzw_Monte_Carlo_bei_Strom[[#This Row],[Source.Name]],1))="Auszahlung_a","Auszahlung",""),"")</f>
        <v/>
      </c>
      <c r="D489" s="1"/>
    </row>
    <row r="490" spans="1:4" x14ac:dyDescent="0.3">
      <c r="A490" s="1"/>
      <c r="B490" s="1" t="str">
        <f>IFERROR(IF(LEFT(Sensitivität_bzw_Monte_Carlo_bei_Strom[[#This Row],[Source.Name]],SEARCH("aus_der",Sensitivität_bzw_Monte_Carlo_bei_Strom[[#This Row],[Source.Name]],1))="Auszahlung_a","Auszahlung",""),"")</f>
        <v/>
      </c>
      <c r="D490" s="1"/>
    </row>
    <row r="491" spans="1:4" x14ac:dyDescent="0.3">
      <c r="A491" s="1"/>
      <c r="B491" s="1" t="str">
        <f>IFERROR(IF(LEFT(Sensitivität_bzw_Monte_Carlo_bei_Strom[[#This Row],[Source.Name]],SEARCH("aus_der",Sensitivität_bzw_Monte_Carlo_bei_Strom[[#This Row],[Source.Name]],1))="Auszahlung_a","Auszahlung",""),"")</f>
        <v/>
      </c>
      <c r="D491" s="1"/>
    </row>
    <row r="492" spans="1:4" x14ac:dyDescent="0.3">
      <c r="A492" s="1"/>
      <c r="B492" s="1" t="str">
        <f>IFERROR(IF(LEFT(Sensitivität_bzw_Monte_Carlo_bei_Strom[[#This Row],[Source.Name]],SEARCH("aus_der",Sensitivität_bzw_Monte_Carlo_bei_Strom[[#This Row],[Source.Name]],1))="Auszahlung_a","Auszahlung",""),"")</f>
        <v/>
      </c>
      <c r="D492" s="1"/>
    </row>
    <row r="493" spans="1:4" x14ac:dyDescent="0.3">
      <c r="A493" s="1"/>
      <c r="B493" s="1" t="str">
        <f>IFERROR(IF(LEFT(Sensitivität_bzw_Monte_Carlo_bei_Strom[[#This Row],[Source.Name]],SEARCH("aus_der",Sensitivität_bzw_Monte_Carlo_bei_Strom[[#This Row],[Source.Name]],1))="Auszahlung_a","Auszahlung",""),"")</f>
        <v/>
      </c>
      <c r="D493" s="1"/>
    </row>
    <row r="494" spans="1:4" x14ac:dyDescent="0.3">
      <c r="A494" s="1"/>
      <c r="B494" s="1" t="str">
        <f>IFERROR(IF(LEFT(Sensitivität_bzw_Monte_Carlo_bei_Strom[[#This Row],[Source.Name]],SEARCH("aus_der",Sensitivität_bzw_Monte_Carlo_bei_Strom[[#This Row],[Source.Name]],1))="Auszahlung_a","Auszahlung",""),"")</f>
        <v/>
      </c>
      <c r="D494" s="1"/>
    </row>
    <row r="495" spans="1:4" x14ac:dyDescent="0.3">
      <c r="A495" s="1"/>
      <c r="B495" s="1" t="str">
        <f>IFERROR(IF(LEFT(Sensitivität_bzw_Monte_Carlo_bei_Strom[[#This Row],[Source.Name]],SEARCH("aus_der",Sensitivität_bzw_Monte_Carlo_bei_Strom[[#This Row],[Source.Name]],1))="Auszahlung_a","Auszahlung",""),"")</f>
        <v/>
      </c>
      <c r="D495" s="1"/>
    </row>
    <row r="496" spans="1:4" x14ac:dyDescent="0.3">
      <c r="A496" s="1"/>
      <c r="B496" s="1" t="str">
        <f>IFERROR(IF(LEFT(Sensitivität_bzw_Monte_Carlo_bei_Strom[[#This Row],[Source.Name]],SEARCH("aus_der",Sensitivität_bzw_Monte_Carlo_bei_Strom[[#This Row],[Source.Name]],1))="Auszahlung_a","Auszahlung",""),"")</f>
        <v/>
      </c>
      <c r="D496" s="1"/>
    </row>
    <row r="497" spans="1:4" x14ac:dyDescent="0.3">
      <c r="A497" s="1"/>
      <c r="B497" s="1" t="str">
        <f>IFERROR(IF(LEFT(Sensitivität_bzw_Monte_Carlo_bei_Strom[[#This Row],[Source.Name]],SEARCH("aus_der",Sensitivität_bzw_Monte_Carlo_bei_Strom[[#This Row],[Source.Name]],1))="Auszahlung_a","Auszahlung",""),"")</f>
        <v/>
      </c>
      <c r="D497" s="1"/>
    </row>
    <row r="498" spans="1:4" x14ac:dyDescent="0.3">
      <c r="A498" s="1"/>
      <c r="B498" s="1" t="str">
        <f>IFERROR(IF(LEFT(Sensitivität_bzw_Monte_Carlo_bei_Strom[[#This Row],[Source.Name]],SEARCH("aus_der",Sensitivität_bzw_Monte_Carlo_bei_Strom[[#This Row],[Source.Name]],1))="Auszahlung_a","Auszahlung",""),"")</f>
        <v/>
      </c>
      <c r="D498" s="1"/>
    </row>
    <row r="499" spans="1:4" x14ac:dyDescent="0.3">
      <c r="A499" s="1"/>
      <c r="B499" s="1" t="str">
        <f>IFERROR(IF(LEFT(Sensitivität_bzw_Monte_Carlo_bei_Strom[[#This Row],[Source.Name]],SEARCH("aus_der",Sensitivität_bzw_Monte_Carlo_bei_Strom[[#This Row],[Source.Name]],1))="Auszahlung_a","Auszahlung",""),"")</f>
        <v/>
      </c>
      <c r="D499" s="1"/>
    </row>
    <row r="500" spans="1:4" x14ac:dyDescent="0.3">
      <c r="A500" s="1"/>
      <c r="B500" s="1" t="str">
        <f>IFERROR(IF(LEFT(Sensitivität_bzw_Monte_Carlo_bei_Strom[[#This Row],[Source.Name]],SEARCH("aus_der",Sensitivität_bzw_Monte_Carlo_bei_Strom[[#This Row],[Source.Name]],1))="Auszahlung_a","Auszahlung",""),"")</f>
        <v/>
      </c>
      <c r="D500" s="1"/>
    </row>
    <row r="501" spans="1:4" x14ac:dyDescent="0.3">
      <c r="A501" s="1"/>
      <c r="B501" s="1" t="str">
        <f>IFERROR(IF(LEFT(Sensitivität_bzw_Monte_Carlo_bei_Strom[[#This Row],[Source.Name]],SEARCH("aus_der",Sensitivität_bzw_Monte_Carlo_bei_Strom[[#This Row],[Source.Name]],1))="Auszahlung_a","Auszahlung",""),"")</f>
        <v/>
      </c>
      <c r="D501" s="1"/>
    </row>
    <row r="502" spans="1:4" x14ac:dyDescent="0.3">
      <c r="A502" s="1"/>
      <c r="B502" s="1" t="str">
        <f>IFERROR(IF(LEFT(Sensitivität_bzw_Monte_Carlo_bei_Strom[[#This Row],[Source.Name]],SEARCH("aus_der",Sensitivität_bzw_Monte_Carlo_bei_Strom[[#This Row],[Source.Name]],1))="Auszahlung_a","Auszahlung",""),"")</f>
        <v/>
      </c>
      <c r="D502" s="1"/>
    </row>
    <row r="503" spans="1:4" x14ac:dyDescent="0.3">
      <c r="A503" s="1"/>
      <c r="B503" s="1" t="str">
        <f>IFERROR(IF(LEFT(Sensitivität_bzw_Monte_Carlo_bei_Strom[[#This Row],[Source.Name]],SEARCH("aus_der",Sensitivität_bzw_Monte_Carlo_bei_Strom[[#This Row],[Source.Name]],1))="Auszahlung_a","Auszahlung",""),"")</f>
        <v/>
      </c>
      <c r="D503" s="1"/>
    </row>
    <row r="504" spans="1:4" x14ac:dyDescent="0.3">
      <c r="A504" s="1"/>
      <c r="B504" s="1" t="str">
        <f>IFERROR(IF(LEFT(Sensitivität_bzw_Monte_Carlo_bei_Strom[[#This Row],[Source.Name]],SEARCH("aus_der",Sensitivität_bzw_Monte_Carlo_bei_Strom[[#This Row],[Source.Name]],1))="Auszahlung_a","Auszahlung",""),"")</f>
        <v/>
      </c>
      <c r="D504" s="1"/>
    </row>
    <row r="505" spans="1:4" x14ac:dyDescent="0.3">
      <c r="A505" s="1"/>
      <c r="B505" s="1" t="str">
        <f>IFERROR(IF(LEFT(Sensitivität_bzw_Monte_Carlo_bei_Strom[[#This Row],[Source.Name]],SEARCH("aus_der",Sensitivität_bzw_Monte_Carlo_bei_Strom[[#This Row],[Source.Name]],1))="Auszahlung_a","Auszahlung",""),"")</f>
        <v/>
      </c>
      <c r="D505" s="1"/>
    </row>
    <row r="506" spans="1:4" x14ac:dyDescent="0.3">
      <c r="A506" s="1"/>
      <c r="B506" s="1" t="str">
        <f>IFERROR(IF(LEFT(Sensitivität_bzw_Monte_Carlo_bei_Strom[[#This Row],[Source.Name]],SEARCH("aus_der",Sensitivität_bzw_Monte_Carlo_bei_Strom[[#This Row],[Source.Name]],1))="Auszahlung_a","Auszahlung",""),"")</f>
        <v/>
      </c>
      <c r="D506" s="1"/>
    </row>
    <row r="507" spans="1:4" x14ac:dyDescent="0.3">
      <c r="A507" s="1"/>
      <c r="B507" s="1" t="str">
        <f>IFERROR(IF(LEFT(Sensitivität_bzw_Monte_Carlo_bei_Strom[[#This Row],[Source.Name]],SEARCH("aus_der",Sensitivität_bzw_Monte_Carlo_bei_Strom[[#This Row],[Source.Name]],1))="Auszahlung_a","Auszahlung",""),"")</f>
        <v/>
      </c>
      <c r="D507" s="1"/>
    </row>
    <row r="508" spans="1:4" x14ac:dyDescent="0.3">
      <c r="A508" s="1"/>
      <c r="B508" s="1" t="str">
        <f>IFERROR(IF(LEFT(Sensitivität_bzw_Monte_Carlo_bei_Strom[[#This Row],[Source.Name]],SEARCH("aus_der",Sensitivität_bzw_Monte_Carlo_bei_Strom[[#This Row],[Source.Name]],1))="Auszahlung_a","Auszahlung",""),"")</f>
        <v/>
      </c>
      <c r="D508" s="1"/>
    </row>
    <row r="509" spans="1:4" x14ac:dyDescent="0.3">
      <c r="A509" s="1"/>
      <c r="B509" s="1" t="str">
        <f>IFERROR(IF(LEFT(Sensitivität_bzw_Monte_Carlo_bei_Strom[[#This Row],[Source.Name]],SEARCH("aus_der",Sensitivität_bzw_Monte_Carlo_bei_Strom[[#This Row],[Source.Name]],1))="Auszahlung_a","Auszahlung",""),"")</f>
        <v/>
      </c>
      <c r="D509" s="1"/>
    </row>
    <row r="510" spans="1:4" x14ac:dyDescent="0.3">
      <c r="A510" s="1"/>
      <c r="B510" s="1" t="str">
        <f>IFERROR(IF(LEFT(Sensitivität_bzw_Monte_Carlo_bei_Strom[[#This Row],[Source.Name]],SEARCH("aus_der",Sensitivität_bzw_Monte_Carlo_bei_Strom[[#This Row],[Source.Name]],1))="Auszahlung_a","Auszahlung",""),"")</f>
        <v/>
      </c>
      <c r="D510" s="1"/>
    </row>
    <row r="511" spans="1:4" x14ac:dyDescent="0.3">
      <c r="A511" s="1"/>
      <c r="B511" s="1" t="str">
        <f>IFERROR(IF(LEFT(Sensitivität_bzw_Monte_Carlo_bei_Strom[[#This Row],[Source.Name]],SEARCH("aus_der",Sensitivität_bzw_Monte_Carlo_bei_Strom[[#This Row],[Source.Name]],1))="Auszahlung_a","Auszahlung",""),"")</f>
        <v/>
      </c>
      <c r="D511" s="1"/>
    </row>
    <row r="512" spans="1:4" x14ac:dyDescent="0.3">
      <c r="A512" s="1"/>
      <c r="B512" s="1" t="str">
        <f>IFERROR(IF(LEFT(Sensitivität_bzw_Monte_Carlo_bei_Strom[[#This Row],[Source.Name]],SEARCH("aus_der",Sensitivität_bzw_Monte_Carlo_bei_Strom[[#This Row],[Source.Name]],1))="Auszahlung_a","Auszahlung",""),"")</f>
        <v/>
      </c>
      <c r="D512" s="1"/>
    </row>
    <row r="513" spans="1:4" x14ac:dyDescent="0.3">
      <c r="A513" s="1"/>
      <c r="B513" s="1" t="str">
        <f>IFERROR(IF(LEFT(Sensitivität_bzw_Monte_Carlo_bei_Strom[[#This Row],[Source.Name]],SEARCH("aus_der",Sensitivität_bzw_Monte_Carlo_bei_Strom[[#This Row],[Source.Name]],1))="Auszahlung_a","Auszahlung",""),"")</f>
        <v/>
      </c>
      <c r="D513" s="1"/>
    </row>
    <row r="514" spans="1:4" x14ac:dyDescent="0.3">
      <c r="A514" s="1"/>
      <c r="B514" s="1" t="str">
        <f>IFERROR(IF(LEFT(Sensitivität_bzw_Monte_Carlo_bei_Strom[[#This Row],[Source.Name]],SEARCH("aus_der",Sensitivität_bzw_Monte_Carlo_bei_Strom[[#This Row],[Source.Name]],1))="Auszahlung_a","Auszahlung",""),"")</f>
        <v/>
      </c>
      <c r="D514" s="1"/>
    </row>
    <row r="515" spans="1:4" x14ac:dyDescent="0.3">
      <c r="A515" s="1"/>
      <c r="B515" s="1" t="str">
        <f>IFERROR(IF(LEFT(Sensitivität_bzw_Monte_Carlo_bei_Strom[[#This Row],[Source.Name]],SEARCH("aus_der",Sensitivität_bzw_Monte_Carlo_bei_Strom[[#This Row],[Source.Name]],1))="Auszahlung_a","Auszahlung",""),"")</f>
        <v/>
      </c>
      <c r="D515" s="1"/>
    </row>
    <row r="516" spans="1:4" x14ac:dyDescent="0.3">
      <c r="A516" s="1"/>
      <c r="B516" s="1" t="str">
        <f>IFERROR(IF(LEFT(Sensitivität_bzw_Monte_Carlo_bei_Strom[[#This Row],[Source.Name]],SEARCH("aus_der",Sensitivität_bzw_Monte_Carlo_bei_Strom[[#This Row],[Source.Name]],1))="Auszahlung_a","Auszahlung",""),"")</f>
        <v/>
      </c>
      <c r="D516" s="1"/>
    </row>
    <row r="517" spans="1:4" x14ac:dyDescent="0.3">
      <c r="A517" s="1"/>
      <c r="B517" s="1" t="str">
        <f>IFERROR(IF(LEFT(Sensitivität_bzw_Monte_Carlo_bei_Strom[[#This Row],[Source.Name]],SEARCH("aus_der",Sensitivität_bzw_Monte_Carlo_bei_Strom[[#This Row],[Source.Name]],1))="Auszahlung_a","Auszahlung",""),"")</f>
        <v/>
      </c>
      <c r="D517" s="1"/>
    </row>
    <row r="518" spans="1:4" x14ac:dyDescent="0.3">
      <c r="A518" s="1"/>
      <c r="B518" s="1" t="str">
        <f>IFERROR(IF(LEFT(Sensitivität_bzw_Monte_Carlo_bei_Strom[[#This Row],[Source.Name]],SEARCH("aus_der",Sensitivität_bzw_Monte_Carlo_bei_Strom[[#This Row],[Source.Name]],1))="Auszahlung_a","Auszahlung",""),"")</f>
        <v/>
      </c>
      <c r="D518" s="1"/>
    </row>
    <row r="519" spans="1:4" x14ac:dyDescent="0.3">
      <c r="A519" s="1"/>
      <c r="B519" s="1" t="str">
        <f>IFERROR(IF(LEFT(Sensitivität_bzw_Monte_Carlo_bei_Strom[[#This Row],[Source.Name]],SEARCH("aus_der",Sensitivität_bzw_Monte_Carlo_bei_Strom[[#This Row],[Source.Name]],1))="Auszahlung_a","Auszahlung",""),"")</f>
        <v/>
      </c>
      <c r="D519" s="1"/>
    </row>
    <row r="520" spans="1:4" x14ac:dyDescent="0.3">
      <c r="A520" s="1"/>
      <c r="B520" s="1" t="str">
        <f>IFERROR(IF(LEFT(Sensitivität_bzw_Monte_Carlo_bei_Strom[[#This Row],[Source.Name]],SEARCH("aus_der",Sensitivität_bzw_Monte_Carlo_bei_Strom[[#This Row],[Source.Name]],1))="Auszahlung_a","Auszahlung",""),"")</f>
        <v/>
      </c>
      <c r="D520" s="1"/>
    </row>
    <row r="521" spans="1:4" x14ac:dyDescent="0.3">
      <c r="A521" s="1"/>
      <c r="B521" s="1" t="str">
        <f>IFERROR(IF(LEFT(Sensitivität_bzw_Monte_Carlo_bei_Strom[[#This Row],[Source.Name]],SEARCH("aus_der",Sensitivität_bzw_Monte_Carlo_bei_Strom[[#This Row],[Source.Name]],1))="Auszahlung_a","Auszahlung",""),"")</f>
        <v/>
      </c>
      <c r="D521" s="1"/>
    </row>
    <row r="522" spans="1:4" x14ac:dyDescent="0.3">
      <c r="A522" s="1"/>
      <c r="B522" s="1" t="str">
        <f>IFERROR(IF(LEFT(Sensitivität_bzw_Monte_Carlo_bei_Strom[[#This Row],[Source.Name]],SEARCH("aus_der",Sensitivität_bzw_Monte_Carlo_bei_Strom[[#This Row],[Source.Name]],1))="Auszahlung_a","Auszahlung",""),"")</f>
        <v/>
      </c>
      <c r="D522" s="1"/>
    </row>
    <row r="523" spans="1:4" x14ac:dyDescent="0.3">
      <c r="A523" s="1"/>
      <c r="B523" s="1" t="str">
        <f>IFERROR(IF(LEFT(Sensitivität_bzw_Monte_Carlo_bei_Strom[[#This Row],[Source.Name]],SEARCH("aus_der",Sensitivität_bzw_Monte_Carlo_bei_Strom[[#This Row],[Source.Name]],1))="Auszahlung_a","Auszahlung",""),"")</f>
        <v/>
      </c>
      <c r="D523" s="1"/>
    </row>
    <row r="524" spans="1:4" x14ac:dyDescent="0.3">
      <c r="A524" s="1"/>
      <c r="B524" s="1" t="str">
        <f>IFERROR(IF(LEFT(Sensitivität_bzw_Monte_Carlo_bei_Strom[[#This Row],[Source.Name]],SEARCH("aus_der",Sensitivität_bzw_Monte_Carlo_bei_Strom[[#This Row],[Source.Name]],1))="Auszahlung_a","Auszahlung",""),"")</f>
        <v/>
      </c>
      <c r="D524" s="1"/>
    </row>
    <row r="525" spans="1:4" x14ac:dyDescent="0.3">
      <c r="A525" s="1"/>
      <c r="B525" s="1" t="str">
        <f>IFERROR(IF(LEFT(Sensitivität_bzw_Monte_Carlo_bei_Strom[[#This Row],[Source.Name]],SEARCH("aus_der",Sensitivität_bzw_Monte_Carlo_bei_Strom[[#This Row],[Source.Name]],1))="Auszahlung_a","Auszahlung",""),"")</f>
        <v/>
      </c>
      <c r="D525" s="1"/>
    </row>
    <row r="526" spans="1:4" x14ac:dyDescent="0.3">
      <c r="A526" s="1"/>
      <c r="B526" s="1" t="str">
        <f>IFERROR(IF(LEFT(Sensitivität_bzw_Monte_Carlo_bei_Strom[[#This Row],[Source.Name]],SEARCH("aus_der",Sensitivität_bzw_Monte_Carlo_bei_Strom[[#This Row],[Source.Name]],1))="Auszahlung_a","Auszahlung",""),"")</f>
        <v/>
      </c>
      <c r="D526" s="1"/>
    </row>
    <row r="527" spans="1:4" x14ac:dyDescent="0.3">
      <c r="A527" s="1"/>
      <c r="B527" s="1" t="str">
        <f>IFERROR(IF(LEFT(Sensitivität_bzw_Monte_Carlo_bei_Strom[[#This Row],[Source.Name]],SEARCH("aus_der",Sensitivität_bzw_Monte_Carlo_bei_Strom[[#This Row],[Source.Name]],1))="Auszahlung_a","Auszahlung",""),"")</f>
        <v/>
      </c>
      <c r="D527" s="1"/>
    </row>
    <row r="528" spans="1:4" x14ac:dyDescent="0.3">
      <c r="A528" s="1"/>
      <c r="B528" s="1" t="str">
        <f>IFERROR(IF(LEFT(Sensitivität_bzw_Monte_Carlo_bei_Strom[[#This Row],[Source.Name]],SEARCH("aus_der",Sensitivität_bzw_Monte_Carlo_bei_Strom[[#This Row],[Source.Name]],1))="Auszahlung_a","Auszahlung",""),"")</f>
        <v/>
      </c>
      <c r="D528" s="1"/>
    </row>
    <row r="529" spans="1:4" x14ac:dyDescent="0.3">
      <c r="A529" s="1"/>
      <c r="B529" s="1" t="str">
        <f>IFERROR(IF(LEFT(Sensitivität_bzw_Monte_Carlo_bei_Strom[[#This Row],[Source.Name]],SEARCH("aus_der",Sensitivität_bzw_Monte_Carlo_bei_Strom[[#This Row],[Source.Name]],1))="Auszahlung_a","Auszahlung",""),"")</f>
        <v/>
      </c>
      <c r="D529" s="1"/>
    </row>
    <row r="530" spans="1:4" x14ac:dyDescent="0.3">
      <c r="A530" s="1"/>
      <c r="B530" s="1" t="str">
        <f>IFERROR(IF(LEFT(Sensitivität_bzw_Monte_Carlo_bei_Strom[[#This Row],[Source.Name]],SEARCH("aus_der",Sensitivität_bzw_Monte_Carlo_bei_Strom[[#This Row],[Source.Name]],1))="Auszahlung_a","Auszahlung",""),"")</f>
        <v/>
      </c>
      <c r="D530" s="1"/>
    </row>
    <row r="531" spans="1:4" x14ac:dyDescent="0.3">
      <c r="A531" s="1"/>
      <c r="B531" s="1" t="str">
        <f>IFERROR(IF(LEFT(Sensitivität_bzw_Monte_Carlo_bei_Strom[[#This Row],[Source.Name]],SEARCH("aus_der",Sensitivität_bzw_Monte_Carlo_bei_Strom[[#This Row],[Source.Name]],1))="Auszahlung_a","Auszahlung",""),"")</f>
        <v/>
      </c>
      <c r="D531" s="1"/>
    </row>
    <row r="532" spans="1:4" x14ac:dyDescent="0.3">
      <c r="A532" s="1"/>
      <c r="B532" s="1" t="str">
        <f>IFERROR(IF(LEFT(Sensitivität_bzw_Monte_Carlo_bei_Strom[[#This Row],[Source.Name]],SEARCH("aus_der",Sensitivität_bzw_Monte_Carlo_bei_Strom[[#This Row],[Source.Name]],1))="Auszahlung_a","Auszahlung",""),"")</f>
        <v/>
      </c>
      <c r="D532" s="1"/>
    </row>
    <row r="533" spans="1:4" x14ac:dyDescent="0.3">
      <c r="A533" s="1"/>
      <c r="B533" s="1" t="str">
        <f>IFERROR(IF(LEFT(Sensitivität_bzw_Monte_Carlo_bei_Strom[[#This Row],[Source.Name]],SEARCH("aus_der",Sensitivität_bzw_Monte_Carlo_bei_Strom[[#This Row],[Source.Name]],1))="Auszahlung_a","Auszahlung",""),"")</f>
        <v/>
      </c>
      <c r="D533" s="1"/>
    </row>
    <row r="534" spans="1:4" x14ac:dyDescent="0.3">
      <c r="A534" s="1"/>
      <c r="B534" s="1" t="str">
        <f>IFERROR(IF(LEFT(Sensitivität_bzw_Monte_Carlo_bei_Strom[[#This Row],[Source.Name]],SEARCH("aus_der",Sensitivität_bzw_Monte_Carlo_bei_Strom[[#This Row],[Source.Name]],1))="Auszahlung_a","Auszahlung",""),"")</f>
        <v/>
      </c>
      <c r="D534" s="1"/>
    </row>
    <row r="535" spans="1:4" x14ac:dyDescent="0.3">
      <c r="A535" s="1"/>
      <c r="B535" s="1" t="str">
        <f>IFERROR(IF(LEFT(Sensitivität_bzw_Monte_Carlo_bei_Strom[[#This Row],[Source.Name]],SEARCH("aus_der",Sensitivität_bzw_Monte_Carlo_bei_Strom[[#This Row],[Source.Name]],1))="Auszahlung_a","Auszahlung",""),"")</f>
        <v/>
      </c>
      <c r="D535" s="1"/>
    </row>
    <row r="536" spans="1:4" x14ac:dyDescent="0.3">
      <c r="A536" s="1"/>
      <c r="B536" s="1" t="str">
        <f>IFERROR(IF(LEFT(Sensitivität_bzw_Monte_Carlo_bei_Strom[[#This Row],[Source.Name]],SEARCH("aus_der",Sensitivität_bzw_Monte_Carlo_bei_Strom[[#This Row],[Source.Name]],1))="Auszahlung_a","Auszahlung",""),"")</f>
        <v/>
      </c>
      <c r="D536" s="1"/>
    </row>
    <row r="537" spans="1:4" x14ac:dyDescent="0.3">
      <c r="A537" s="1"/>
      <c r="B537" s="1" t="str">
        <f>IFERROR(IF(LEFT(Sensitivität_bzw_Monte_Carlo_bei_Strom[[#This Row],[Source.Name]],SEARCH("aus_der",Sensitivität_bzw_Monte_Carlo_bei_Strom[[#This Row],[Source.Name]],1))="Auszahlung_a","Auszahlung",""),"")</f>
        <v/>
      </c>
      <c r="D537" s="1"/>
    </row>
    <row r="538" spans="1:4" x14ac:dyDescent="0.3">
      <c r="A538" s="1"/>
      <c r="B538" s="1" t="str">
        <f>IFERROR(IF(LEFT(Sensitivität_bzw_Monte_Carlo_bei_Strom[[#This Row],[Source.Name]],SEARCH("aus_der",Sensitivität_bzw_Monte_Carlo_bei_Strom[[#This Row],[Source.Name]],1))="Auszahlung_a","Auszahlung",""),"")</f>
        <v/>
      </c>
      <c r="D538" s="1"/>
    </row>
    <row r="539" spans="1:4" x14ac:dyDescent="0.3">
      <c r="A539" s="1"/>
      <c r="B539" s="1" t="str">
        <f>IFERROR(IF(LEFT(Sensitivität_bzw_Monte_Carlo_bei_Strom[[#This Row],[Source.Name]],SEARCH("aus_der",Sensitivität_bzw_Monte_Carlo_bei_Strom[[#This Row],[Source.Name]],1))="Auszahlung_a","Auszahlung",""),"")</f>
        <v/>
      </c>
      <c r="D539" s="1"/>
    </row>
    <row r="540" spans="1:4" x14ac:dyDescent="0.3">
      <c r="A540" s="1"/>
      <c r="B540" s="1" t="str">
        <f>IFERROR(IF(LEFT(Sensitivität_bzw_Monte_Carlo_bei_Strom[[#This Row],[Source.Name]],SEARCH("aus_der",Sensitivität_bzw_Monte_Carlo_bei_Strom[[#This Row],[Source.Name]],1))="Auszahlung_a","Auszahlung",""),"")</f>
        <v/>
      </c>
      <c r="D540" s="1"/>
    </row>
    <row r="541" spans="1:4" x14ac:dyDescent="0.3">
      <c r="A541" s="1"/>
      <c r="B541" s="1" t="str">
        <f>IFERROR(IF(LEFT(Sensitivität_bzw_Monte_Carlo_bei_Strom[[#This Row],[Source.Name]],SEARCH("aus_der",Sensitivität_bzw_Monte_Carlo_bei_Strom[[#This Row],[Source.Name]],1))="Auszahlung_a","Auszahlung",""),"")</f>
        <v/>
      </c>
      <c r="D541" s="1"/>
    </row>
    <row r="542" spans="1:4" x14ac:dyDescent="0.3">
      <c r="A542" s="1"/>
      <c r="B542" s="1" t="str">
        <f>IFERROR(IF(LEFT(Sensitivität_bzw_Monte_Carlo_bei_Strom[[#This Row],[Source.Name]],SEARCH("aus_der",Sensitivität_bzw_Monte_Carlo_bei_Strom[[#This Row],[Source.Name]],1))="Auszahlung_a","Auszahlung",""),"")</f>
        <v/>
      </c>
      <c r="D542" s="1"/>
    </row>
    <row r="543" spans="1:4" x14ac:dyDescent="0.3">
      <c r="A543" s="1"/>
      <c r="B543" s="1" t="str">
        <f>IFERROR(IF(LEFT(Sensitivität_bzw_Monte_Carlo_bei_Strom[[#This Row],[Source.Name]],SEARCH("aus_der",Sensitivität_bzw_Monte_Carlo_bei_Strom[[#This Row],[Source.Name]],1))="Auszahlung_a","Auszahlung",""),"")</f>
        <v/>
      </c>
      <c r="D543" s="1"/>
    </row>
    <row r="544" spans="1:4" x14ac:dyDescent="0.3">
      <c r="A544" s="1"/>
      <c r="B544" s="1" t="str">
        <f>IFERROR(IF(LEFT(Sensitivität_bzw_Monte_Carlo_bei_Strom[[#This Row],[Source.Name]],SEARCH("aus_der",Sensitivität_bzw_Monte_Carlo_bei_Strom[[#This Row],[Source.Name]],1))="Auszahlung_a","Auszahlung",""),"")</f>
        <v/>
      </c>
      <c r="D544" s="1"/>
    </row>
    <row r="545" spans="1:4" x14ac:dyDescent="0.3">
      <c r="A545" s="1"/>
      <c r="B545" s="1" t="str">
        <f>IFERROR(IF(LEFT(Sensitivität_bzw_Monte_Carlo_bei_Strom[[#This Row],[Source.Name]],SEARCH("aus_der",Sensitivität_bzw_Monte_Carlo_bei_Strom[[#This Row],[Source.Name]],1))="Auszahlung_a","Auszahlung",""),"")</f>
        <v/>
      </c>
      <c r="D545" s="1"/>
    </row>
    <row r="546" spans="1:4" x14ac:dyDescent="0.3">
      <c r="A546" s="1"/>
      <c r="B546" s="1" t="str">
        <f>IFERROR(IF(LEFT(Sensitivität_bzw_Monte_Carlo_bei_Strom[[#This Row],[Source.Name]],SEARCH("aus_der",Sensitivität_bzw_Monte_Carlo_bei_Strom[[#This Row],[Source.Name]],1))="Auszahlung_a","Auszahlung",""),"")</f>
        <v/>
      </c>
      <c r="D546" s="1"/>
    </row>
    <row r="547" spans="1:4" x14ac:dyDescent="0.3">
      <c r="A547" s="1"/>
      <c r="B547" s="1" t="str">
        <f>IFERROR(IF(LEFT(Sensitivität_bzw_Monte_Carlo_bei_Strom[[#This Row],[Source.Name]],SEARCH("aus_der",Sensitivität_bzw_Monte_Carlo_bei_Strom[[#This Row],[Source.Name]],1))="Auszahlung_a","Auszahlung",""),"")</f>
        <v/>
      </c>
      <c r="D547" s="1"/>
    </row>
    <row r="548" spans="1:4" x14ac:dyDescent="0.3">
      <c r="A548" s="1"/>
      <c r="B548" s="1" t="str">
        <f>IFERROR(IF(LEFT(Sensitivität_bzw_Monte_Carlo_bei_Strom[[#This Row],[Source.Name]],SEARCH("aus_der",Sensitivität_bzw_Monte_Carlo_bei_Strom[[#This Row],[Source.Name]],1))="Auszahlung_a","Auszahlung",""),"")</f>
        <v/>
      </c>
      <c r="D548" s="1"/>
    </row>
    <row r="549" spans="1:4" x14ac:dyDescent="0.3">
      <c r="A549" s="1"/>
      <c r="B549" s="1" t="str">
        <f>IFERROR(IF(LEFT(Sensitivität_bzw_Monte_Carlo_bei_Strom[[#This Row],[Source.Name]],SEARCH("aus_der",Sensitivität_bzw_Monte_Carlo_bei_Strom[[#This Row],[Source.Name]],1))="Auszahlung_a","Auszahlung",""),"")</f>
        <v/>
      </c>
      <c r="D549" s="1"/>
    </row>
    <row r="550" spans="1:4" x14ac:dyDescent="0.3">
      <c r="A550" s="1"/>
      <c r="B550" s="1" t="str">
        <f>IFERROR(IF(LEFT(Sensitivität_bzw_Monte_Carlo_bei_Strom[[#This Row],[Source.Name]],SEARCH("aus_der",Sensitivität_bzw_Monte_Carlo_bei_Strom[[#This Row],[Source.Name]],1))="Auszahlung_a","Auszahlung",""),"")</f>
        <v/>
      </c>
      <c r="D550" s="1"/>
    </row>
    <row r="551" spans="1:4" x14ac:dyDescent="0.3">
      <c r="A551" s="1"/>
      <c r="B551" s="1" t="str">
        <f>IFERROR(IF(LEFT(Sensitivität_bzw_Monte_Carlo_bei_Strom[[#This Row],[Source.Name]],SEARCH("aus_der",Sensitivität_bzw_Monte_Carlo_bei_Strom[[#This Row],[Source.Name]],1))="Auszahlung_a","Auszahlung",""),"")</f>
        <v/>
      </c>
      <c r="D551" s="1"/>
    </row>
    <row r="552" spans="1:4" x14ac:dyDescent="0.3">
      <c r="A552" s="1"/>
      <c r="B552" s="1" t="str">
        <f>IFERROR(IF(LEFT(Sensitivität_bzw_Monte_Carlo_bei_Strom[[#This Row],[Source.Name]],SEARCH("aus_der",Sensitivität_bzw_Monte_Carlo_bei_Strom[[#This Row],[Source.Name]],1))="Auszahlung_a","Auszahlung",""),"")</f>
        <v/>
      </c>
      <c r="D552" s="1"/>
    </row>
    <row r="553" spans="1:4" x14ac:dyDescent="0.3">
      <c r="A553" s="1"/>
      <c r="B553" s="1" t="str">
        <f>IFERROR(IF(LEFT(Sensitivität_bzw_Monte_Carlo_bei_Strom[[#This Row],[Source.Name]],SEARCH("aus_der",Sensitivität_bzw_Monte_Carlo_bei_Strom[[#This Row],[Source.Name]],1))="Auszahlung_a","Auszahlung",""),"")</f>
        <v/>
      </c>
      <c r="D553" s="1"/>
    </row>
    <row r="554" spans="1:4" x14ac:dyDescent="0.3">
      <c r="A554" s="1"/>
      <c r="B554" s="1" t="str">
        <f>IFERROR(IF(LEFT(Sensitivität_bzw_Monte_Carlo_bei_Strom[[#This Row],[Source.Name]],SEARCH("aus_der",Sensitivität_bzw_Monte_Carlo_bei_Strom[[#This Row],[Source.Name]],1))="Auszahlung_a","Auszahlung",""),"")</f>
        <v/>
      </c>
      <c r="D554" s="1"/>
    </row>
    <row r="555" spans="1:4" x14ac:dyDescent="0.3">
      <c r="A555" s="1"/>
      <c r="B555" s="1" t="str">
        <f>IFERROR(IF(LEFT(Sensitivität_bzw_Monte_Carlo_bei_Strom[[#This Row],[Source.Name]],SEARCH("aus_der",Sensitivität_bzw_Monte_Carlo_bei_Strom[[#This Row],[Source.Name]],1))="Auszahlung_a","Auszahlung",""),"")</f>
        <v/>
      </c>
      <c r="D555" s="1"/>
    </row>
    <row r="556" spans="1:4" x14ac:dyDescent="0.3">
      <c r="A556" s="1"/>
      <c r="B556" s="1" t="str">
        <f>IFERROR(IF(LEFT(Sensitivität_bzw_Monte_Carlo_bei_Strom[[#This Row],[Source.Name]],SEARCH("aus_der",Sensitivität_bzw_Monte_Carlo_bei_Strom[[#This Row],[Source.Name]],1))="Auszahlung_a","Auszahlung",""),"")</f>
        <v/>
      </c>
      <c r="D556" s="1"/>
    </row>
    <row r="557" spans="1:4" x14ac:dyDescent="0.3">
      <c r="A557" s="1"/>
      <c r="B557" s="1" t="str">
        <f>IFERROR(IF(LEFT(Sensitivität_bzw_Monte_Carlo_bei_Strom[[#This Row],[Source.Name]],SEARCH("aus_der",Sensitivität_bzw_Monte_Carlo_bei_Strom[[#This Row],[Source.Name]],1))="Auszahlung_a","Auszahlung",""),"")</f>
        <v/>
      </c>
      <c r="D557" s="1"/>
    </row>
    <row r="558" spans="1:4" x14ac:dyDescent="0.3">
      <c r="A558" s="1"/>
      <c r="B558" s="1" t="str">
        <f>IFERROR(IF(LEFT(Sensitivität_bzw_Monte_Carlo_bei_Strom[[#This Row],[Source.Name]],SEARCH("aus_der",Sensitivität_bzw_Monte_Carlo_bei_Strom[[#This Row],[Source.Name]],1))="Auszahlung_a","Auszahlung",""),"")</f>
        <v/>
      </c>
      <c r="D558" s="1"/>
    </row>
    <row r="559" spans="1:4" x14ac:dyDescent="0.3">
      <c r="A559" s="1"/>
      <c r="B559" s="1" t="str">
        <f>IFERROR(IF(LEFT(Sensitivität_bzw_Monte_Carlo_bei_Strom[[#This Row],[Source.Name]],SEARCH("aus_der",Sensitivität_bzw_Monte_Carlo_bei_Strom[[#This Row],[Source.Name]],1))="Auszahlung_a","Auszahlung",""),"")</f>
        <v/>
      </c>
      <c r="D559" s="1"/>
    </row>
    <row r="560" spans="1:4" x14ac:dyDescent="0.3">
      <c r="A560" s="1"/>
      <c r="B560" s="1" t="str">
        <f>IFERROR(IF(LEFT(Sensitivität_bzw_Monte_Carlo_bei_Strom[[#This Row],[Source.Name]],SEARCH("aus_der",Sensitivität_bzw_Monte_Carlo_bei_Strom[[#This Row],[Source.Name]],1))="Auszahlung_a","Auszahlung",""),"")</f>
        <v/>
      </c>
      <c r="D560" s="1"/>
    </row>
    <row r="561" spans="1:4" x14ac:dyDescent="0.3">
      <c r="A561" s="1"/>
      <c r="B561" s="1" t="str">
        <f>IFERROR(IF(LEFT(Sensitivität_bzw_Monte_Carlo_bei_Strom[[#This Row],[Source.Name]],SEARCH("aus_der",Sensitivität_bzw_Monte_Carlo_bei_Strom[[#This Row],[Source.Name]],1))="Auszahlung_a","Auszahlung",""),"")</f>
        <v/>
      </c>
      <c r="D561" s="1"/>
    </row>
    <row r="562" spans="1:4" x14ac:dyDescent="0.3">
      <c r="A562" s="1"/>
      <c r="B562" s="1" t="str">
        <f>IFERROR(IF(LEFT(Sensitivität_bzw_Monte_Carlo_bei_Strom[[#This Row],[Source.Name]],SEARCH("aus_der",Sensitivität_bzw_Monte_Carlo_bei_Strom[[#This Row],[Source.Name]],1))="Auszahlung_a","Auszahlung",""),"")</f>
        <v/>
      </c>
      <c r="D562" s="1"/>
    </row>
    <row r="563" spans="1:4" x14ac:dyDescent="0.3">
      <c r="A563" s="1"/>
      <c r="B563" s="1" t="str">
        <f>IFERROR(IF(LEFT(Sensitivität_bzw_Monte_Carlo_bei_Strom[[#This Row],[Source.Name]],SEARCH("aus_der",Sensitivität_bzw_Monte_Carlo_bei_Strom[[#This Row],[Source.Name]],1))="Auszahlung_a","Auszahlung",""),"")</f>
        <v/>
      </c>
      <c r="D563" s="1"/>
    </row>
    <row r="564" spans="1:4" x14ac:dyDescent="0.3">
      <c r="A564" s="1"/>
      <c r="B564" s="1" t="str">
        <f>IFERROR(IF(LEFT(Sensitivität_bzw_Monte_Carlo_bei_Strom[[#This Row],[Source.Name]],SEARCH("aus_der",Sensitivität_bzw_Monte_Carlo_bei_Strom[[#This Row],[Source.Name]],1))="Auszahlung_a","Auszahlung",""),"")</f>
        <v/>
      </c>
      <c r="D564" s="1"/>
    </row>
    <row r="565" spans="1:4" x14ac:dyDescent="0.3">
      <c r="A565" s="1"/>
      <c r="B565" s="1" t="str">
        <f>IFERROR(IF(LEFT(Sensitivität_bzw_Monte_Carlo_bei_Strom[[#This Row],[Source.Name]],SEARCH("aus_der",Sensitivität_bzw_Monte_Carlo_bei_Strom[[#This Row],[Source.Name]],1))="Auszahlung_a","Auszahlung",""),"")</f>
        <v/>
      </c>
      <c r="D565" s="1"/>
    </row>
    <row r="566" spans="1:4" x14ac:dyDescent="0.3">
      <c r="A566" s="1"/>
      <c r="B566" s="1" t="str">
        <f>IFERROR(IF(LEFT(Sensitivität_bzw_Monte_Carlo_bei_Strom[[#This Row],[Source.Name]],SEARCH("aus_der",Sensitivität_bzw_Monte_Carlo_bei_Strom[[#This Row],[Source.Name]],1))="Auszahlung_a","Auszahlung",""),"")</f>
        <v/>
      </c>
      <c r="D566" s="1"/>
    </row>
    <row r="567" spans="1:4" x14ac:dyDescent="0.3">
      <c r="A567" s="1"/>
      <c r="B567" s="1" t="str">
        <f>IFERROR(IF(LEFT(Sensitivität_bzw_Monte_Carlo_bei_Strom[[#This Row],[Source.Name]],SEARCH("aus_der",Sensitivität_bzw_Monte_Carlo_bei_Strom[[#This Row],[Source.Name]],1))="Auszahlung_a","Auszahlung",""),"")</f>
        <v/>
      </c>
      <c r="D567" s="1"/>
    </row>
    <row r="568" spans="1:4" x14ac:dyDescent="0.3">
      <c r="A568" s="1"/>
      <c r="B568" s="1" t="str">
        <f>IFERROR(IF(LEFT(Sensitivität_bzw_Monte_Carlo_bei_Strom[[#This Row],[Source.Name]],SEARCH("aus_der",Sensitivität_bzw_Monte_Carlo_bei_Strom[[#This Row],[Source.Name]],1))="Auszahlung_a","Auszahlung",""),"")</f>
        <v/>
      </c>
      <c r="D568" s="1"/>
    </row>
    <row r="569" spans="1:4" x14ac:dyDescent="0.3">
      <c r="A569" s="1"/>
      <c r="B569" s="1" t="str">
        <f>IFERROR(IF(LEFT(Sensitivität_bzw_Monte_Carlo_bei_Strom[[#This Row],[Source.Name]],SEARCH("aus_der",Sensitivität_bzw_Monte_Carlo_bei_Strom[[#This Row],[Source.Name]],1))="Auszahlung_a","Auszahlung",""),"")</f>
        <v/>
      </c>
      <c r="D569" s="1"/>
    </row>
    <row r="570" spans="1:4" x14ac:dyDescent="0.3">
      <c r="A570" s="1"/>
      <c r="B570" s="1" t="str">
        <f>IFERROR(IF(LEFT(Sensitivität_bzw_Monte_Carlo_bei_Strom[[#This Row],[Source.Name]],SEARCH("aus_der",Sensitivität_bzw_Monte_Carlo_bei_Strom[[#This Row],[Source.Name]],1))="Auszahlung_a","Auszahlung",""),"")</f>
        <v/>
      </c>
      <c r="D570" s="1"/>
    </row>
    <row r="571" spans="1:4" x14ac:dyDescent="0.3">
      <c r="A571" s="1"/>
      <c r="B571" s="1" t="str">
        <f>IFERROR(IF(LEFT(Sensitivität_bzw_Monte_Carlo_bei_Strom[[#This Row],[Source.Name]],SEARCH("aus_der",Sensitivität_bzw_Monte_Carlo_bei_Strom[[#This Row],[Source.Name]],1))="Auszahlung_a","Auszahlung",""),"")</f>
        <v/>
      </c>
      <c r="D571" s="1"/>
    </row>
    <row r="572" spans="1:4" x14ac:dyDescent="0.3">
      <c r="A572" s="1"/>
      <c r="B572" s="1" t="str">
        <f>IFERROR(IF(LEFT(Sensitivität_bzw_Monte_Carlo_bei_Strom[[#This Row],[Source.Name]],SEARCH("aus_der",Sensitivität_bzw_Monte_Carlo_bei_Strom[[#This Row],[Source.Name]],1))="Auszahlung_a","Auszahlung",""),"")</f>
        <v/>
      </c>
      <c r="D572" s="1"/>
    </row>
    <row r="573" spans="1:4" x14ac:dyDescent="0.3">
      <c r="A573" s="1"/>
      <c r="B573" s="1" t="str">
        <f>IFERROR(IF(LEFT(Sensitivität_bzw_Monte_Carlo_bei_Strom[[#This Row],[Source.Name]],SEARCH("aus_der",Sensitivität_bzw_Monte_Carlo_bei_Strom[[#This Row],[Source.Name]],1))="Auszahlung_a","Auszahlung",""),"")</f>
        <v/>
      </c>
      <c r="D573" s="1"/>
    </row>
    <row r="574" spans="1:4" x14ac:dyDescent="0.3">
      <c r="A574" s="1"/>
      <c r="B574" s="1" t="str">
        <f>IFERROR(IF(LEFT(Sensitivität_bzw_Monte_Carlo_bei_Strom[[#This Row],[Source.Name]],SEARCH("aus_der",Sensitivität_bzw_Monte_Carlo_bei_Strom[[#This Row],[Source.Name]],1))="Auszahlung_a","Auszahlung",""),"")</f>
        <v/>
      </c>
      <c r="D574" s="1"/>
    </row>
    <row r="575" spans="1:4" x14ac:dyDescent="0.3">
      <c r="A575" s="1"/>
      <c r="B575" s="1" t="str">
        <f>IFERROR(IF(LEFT(Sensitivität_bzw_Monte_Carlo_bei_Strom[[#This Row],[Source.Name]],SEARCH("aus_der",Sensitivität_bzw_Monte_Carlo_bei_Strom[[#This Row],[Source.Name]],1))="Auszahlung_a","Auszahlung",""),"")</f>
        <v/>
      </c>
      <c r="D575" s="1"/>
    </row>
    <row r="576" spans="1:4" x14ac:dyDescent="0.3">
      <c r="A576" s="1"/>
      <c r="B576" s="1" t="str">
        <f>IFERROR(IF(LEFT(Sensitivität_bzw_Monte_Carlo_bei_Strom[[#This Row],[Source.Name]],SEARCH("aus_der",Sensitivität_bzw_Monte_Carlo_bei_Strom[[#This Row],[Source.Name]],1))="Auszahlung_a","Auszahlung",""),"")</f>
        <v/>
      </c>
      <c r="D576" s="1"/>
    </row>
    <row r="577" spans="1:4" x14ac:dyDescent="0.3">
      <c r="A577" s="1"/>
      <c r="B577" s="1" t="str">
        <f>IFERROR(IF(LEFT(Sensitivität_bzw_Monte_Carlo_bei_Strom[[#This Row],[Source.Name]],SEARCH("aus_der",Sensitivität_bzw_Monte_Carlo_bei_Strom[[#This Row],[Source.Name]],1))="Auszahlung_a","Auszahlung",""),"")</f>
        <v/>
      </c>
      <c r="D577" s="1"/>
    </row>
    <row r="578" spans="1:4" x14ac:dyDescent="0.3">
      <c r="A578" s="1"/>
      <c r="B578" s="1" t="str">
        <f>IFERROR(IF(LEFT(Sensitivität_bzw_Monte_Carlo_bei_Strom[[#This Row],[Source.Name]],SEARCH("aus_der",Sensitivität_bzw_Monte_Carlo_bei_Strom[[#This Row],[Source.Name]],1))="Auszahlung_a","Auszahlung",""),"")</f>
        <v/>
      </c>
      <c r="D578" s="1"/>
    </row>
    <row r="579" spans="1:4" x14ac:dyDescent="0.3">
      <c r="A579" s="1"/>
      <c r="B579" s="1" t="str">
        <f>IFERROR(IF(LEFT(Sensitivität_bzw_Monte_Carlo_bei_Strom[[#This Row],[Source.Name]],SEARCH("aus_der",Sensitivität_bzw_Monte_Carlo_bei_Strom[[#This Row],[Source.Name]],1))="Auszahlung_a","Auszahlung",""),"")</f>
        <v/>
      </c>
      <c r="D579" s="1"/>
    </row>
    <row r="580" spans="1:4" x14ac:dyDescent="0.3">
      <c r="A580" s="1"/>
      <c r="B580" s="1" t="str">
        <f>IFERROR(IF(LEFT(Sensitivität_bzw_Monte_Carlo_bei_Strom[[#This Row],[Source.Name]],SEARCH("aus_der",Sensitivität_bzw_Monte_Carlo_bei_Strom[[#This Row],[Source.Name]],1))="Auszahlung_a","Auszahlung",""),"")</f>
        <v/>
      </c>
      <c r="D580" s="1"/>
    </row>
    <row r="581" spans="1:4" x14ac:dyDescent="0.3">
      <c r="A581" s="1"/>
      <c r="B581" s="1" t="str">
        <f>IFERROR(IF(LEFT(Sensitivität_bzw_Monte_Carlo_bei_Strom[[#This Row],[Source.Name]],SEARCH("aus_der",Sensitivität_bzw_Monte_Carlo_bei_Strom[[#This Row],[Source.Name]],1))="Auszahlung_a","Auszahlung",""),"")</f>
        <v/>
      </c>
      <c r="D581" s="1"/>
    </row>
    <row r="582" spans="1:4" x14ac:dyDescent="0.3">
      <c r="A582" s="1"/>
      <c r="B582" s="1" t="str">
        <f>IFERROR(IF(LEFT(Sensitivität_bzw_Monte_Carlo_bei_Strom[[#This Row],[Source.Name]],SEARCH("aus_der",Sensitivität_bzw_Monte_Carlo_bei_Strom[[#This Row],[Source.Name]],1))="Auszahlung_a","Auszahlung",""),"")</f>
        <v/>
      </c>
      <c r="D582" s="1"/>
    </row>
    <row r="583" spans="1:4" x14ac:dyDescent="0.3">
      <c r="A583" s="1"/>
      <c r="B583" s="1" t="str">
        <f>IFERROR(IF(LEFT(Sensitivität_bzw_Monte_Carlo_bei_Strom[[#This Row],[Source.Name]],SEARCH("aus_der",Sensitivität_bzw_Monte_Carlo_bei_Strom[[#This Row],[Source.Name]],1))="Auszahlung_a","Auszahlung",""),"")</f>
        <v/>
      </c>
      <c r="D583" s="1"/>
    </row>
    <row r="584" spans="1:4" x14ac:dyDescent="0.3">
      <c r="A584" s="1"/>
      <c r="B584" s="1" t="str">
        <f>IFERROR(IF(LEFT(Sensitivität_bzw_Monte_Carlo_bei_Strom[[#This Row],[Source.Name]],SEARCH("aus_der",Sensitivität_bzw_Monte_Carlo_bei_Strom[[#This Row],[Source.Name]],1))="Auszahlung_a","Auszahlung",""),"")</f>
        <v/>
      </c>
      <c r="D584" s="1"/>
    </row>
    <row r="585" spans="1:4" x14ac:dyDescent="0.3">
      <c r="A585" s="1"/>
      <c r="B585" s="1" t="str">
        <f>IFERROR(IF(LEFT(Sensitivität_bzw_Monte_Carlo_bei_Strom[[#This Row],[Source.Name]],SEARCH("aus_der",Sensitivität_bzw_Monte_Carlo_bei_Strom[[#This Row],[Source.Name]],1))="Auszahlung_a","Auszahlung",""),"")</f>
        <v/>
      </c>
      <c r="D585" s="1"/>
    </row>
    <row r="586" spans="1:4" x14ac:dyDescent="0.3">
      <c r="A586" s="1"/>
      <c r="B586" s="1" t="str">
        <f>IFERROR(IF(LEFT(Sensitivität_bzw_Monte_Carlo_bei_Strom[[#This Row],[Source.Name]],SEARCH("aus_der",Sensitivität_bzw_Monte_Carlo_bei_Strom[[#This Row],[Source.Name]],1))="Auszahlung_a","Auszahlung",""),"")</f>
        <v/>
      </c>
      <c r="D586" s="1"/>
    </row>
    <row r="587" spans="1:4" x14ac:dyDescent="0.3">
      <c r="A587" s="1"/>
      <c r="B587" s="1" t="str">
        <f>IFERROR(IF(LEFT(Sensitivität_bzw_Monte_Carlo_bei_Strom[[#This Row],[Source.Name]],SEARCH("aus_der",Sensitivität_bzw_Monte_Carlo_bei_Strom[[#This Row],[Source.Name]],1))="Auszahlung_a","Auszahlung",""),"")</f>
        <v/>
      </c>
      <c r="D587" s="1"/>
    </row>
    <row r="588" spans="1:4" x14ac:dyDescent="0.3">
      <c r="A588" s="1"/>
      <c r="B588" s="1" t="str">
        <f>IFERROR(IF(LEFT(Sensitivität_bzw_Monte_Carlo_bei_Strom[[#This Row],[Source.Name]],SEARCH("aus_der",Sensitivität_bzw_Monte_Carlo_bei_Strom[[#This Row],[Source.Name]],1))="Auszahlung_a","Auszahlung",""),"")</f>
        <v/>
      </c>
      <c r="D588" s="1"/>
    </row>
    <row r="589" spans="1:4" x14ac:dyDescent="0.3">
      <c r="A589" s="1"/>
      <c r="B589" s="1" t="str">
        <f>IFERROR(IF(LEFT(Sensitivität_bzw_Monte_Carlo_bei_Strom[[#This Row],[Source.Name]],SEARCH("aus_der",Sensitivität_bzw_Monte_Carlo_bei_Strom[[#This Row],[Source.Name]],1))="Auszahlung_a","Auszahlung",""),"")</f>
        <v/>
      </c>
      <c r="D589" s="1"/>
    </row>
    <row r="590" spans="1:4" x14ac:dyDescent="0.3">
      <c r="A590" s="1"/>
      <c r="B590" s="1" t="str">
        <f>IFERROR(IF(LEFT(Sensitivität_bzw_Monte_Carlo_bei_Strom[[#This Row],[Source.Name]],SEARCH("aus_der",Sensitivität_bzw_Monte_Carlo_bei_Strom[[#This Row],[Source.Name]],1))="Auszahlung_a","Auszahlung",""),"")</f>
        <v/>
      </c>
      <c r="D590" s="1"/>
    </row>
    <row r="591" spans="1:4" x14ac:dyDescent="0.3">
      <c r="A591" s="1"/>
      <c r="B591" s="1" t="str">
        <f>IFERROR(IF(LEFT(Sensitivität_bzw_Monte_Carlo_bei_Strom[[#This Row],[Source.Name]],SEARCH("aus_der",Sensitivität_bzw_Monte_Carlo_bei_Strom[[#This Row],[Source.Name]],1))="Auszahlung_a","Auszahlung",""),"")</f>
        <v/>
      </c>
      <c r="D591" s="1"/>
    </row>
    <row r="592" spans="1:4" x14ac:dyDescent="0.3">
      <c r="A592" s="1"/>
      <c r="B592" s="1" t="str">
        <f>IFERROR(IF(LEFT(Sensitivität_bzw_Monte_Carlo_bei_Strom[[#This Row],[Source.Name]],SEARCH("aus_der",Sensitivität_bzw_Monte_Carlo_bei_Strom[[#This Row],[Source.Name]],1))="Auszahlung_a","Auszahlung",""),"")</f>
        <v/>
      </c>
      <c r="D592" s="1"/>
    </row>
    <row r="593" spans="1:4" x14ac:dyDescent="0.3">
      <c r="A593" s="1"/>
      <c r="B593" s="1" t="str">
        <f>IFERROR(IF(LEFT(Sensitivität_bzw_Monte_Carlo_bei_Strom[[#This Row],[Source.Name]],SEARCH("aus_der",Sensitivität_bzw_Monte_Carlo_bei_Strom[[#This Row],[Source.Name]],1))="Auszahlung_a","Auszahlung",""),"")</f>
        <v/>
      </c>
      <c r="D593" s="1"/>
    </row>
    <row r="594" spans="1:4" x14ac:dyDescent="0.3">
      <c r="A594" s="1"/>
      <c r="B594" s="1" t="str">
        <f>IFERROR(IF(LEFT(Sensitivität_bzw_Monte_Carlo_bei_Strom[[#This Row],[Source.Name]],SEARCH("aus_der",Sensitivität_bzw_Monte_Carlo_bei_Strom[[#This Row],[Source.Name]],1))="Auszahlung_a","Auszahlung",""),"")</f>
        <v/>
      </c>
      <c r="D594" s="1"/>
    </row>
    <row r="595" spans="1:4" x14ac:dyDescent="0.3">
      <c r="A595" s="1"/>
      <c r="B595" s="1" t="str">
        <f>IFERROR(IF(LEFT(Sensitivität_bzw_Monte_Carlo_bei_Strom[[#This Row],[Source.Name]],SEARCH("aus_der",Sensitivität_bzw_Monte_Carlo_bei_Strom[[#This Row],[Source.Name]],1))="Auszahlung_a","Auszahlung",""),"")</f>
        <v/>
      </c>
      <c r="D595" s="1"/>
    </row>
    <row r="596" spans="1:4" x14ac:dyDescent="0.3">
      <c r="A596" s="1"/>
      <c r="B596" s="1" t="str">
        <f>IFERROR(IF(LEFT(Sensitivität_bzw_Monte_Carlo_bei_Strom[[#This Row],[Source.Name]],SEARCH("aus_der",Sensitivität_bzw_Monte_Carlo_bei_Strom[[#This Row],[Source.Name]],1))="Auszahlung_a","Auszahlung",""),"")</f>
        <v/>
      </c>
      <c r="D596" s="1"/>
    </row>
    <row r="597" spans="1:4" x14ac:dyDescent="0.3">
      <c r="A597" s="1"/>
      <c r="B597" s="1" t="str">
        <f>IFERROR(IF(LEFT(Sensitivität_bzw_Monte_Carlo_bei_Strom[[#This Row],[Source.Name]],SEARCH("aus_der",Sensitivität_bzw_Monte_Carlo_bei_Strom[[#This Row],[Source.Name]],1))="Auszahlung_a","Auszahlung",""),"")</f>
        <v/>
      </c>
      <c r="D597" s="1"/>
    </row>
    <row r="598" spans="1:4" x14ac:dyDescent="0.3">
      <c r="A598" s="1"/>
      <c r="B598" s="1" t="str">
        <f>IFERROR(IF(LEFT(Sensitivität_bzw_Monte_Carlo_bei_Strom[[#This Row],[Source.Name]],SEARCH("aus_der",Sensitivität_bzw_Monte_Carlo_bei_Strom[[#This Row],[Source.Name]],1))="Auszahlung_a","Auszahlung",""),"")</f>
        <v/>
      </c>
      <c r="D598" s="1"/>
    </row>
    <row r="599" spans="1:4" x14ac:dyDescent="0.3">
      <c r="A599" s="1"/>
      <c r="B599" s="1" t="str">
        <f>IFERROR(IF(LEFT(Sensitivität_bzw_Monte_Carlo_bei_Strom[[#This Row],[Source.Name]],SEARCH("aus_der",Sensitivität_bzw_Monte_Carlo_bei_Strom[[#This Row],[Source.Name]],1))="Auszahlung_a","Auszahlung",""),"")</f>
        <v/>
      </c>
      <c r="D599" s="1"/>
    </row>
    <row r="600" spans="1:4" x14ac:dyDescent="0.3">
      <c r="A600" s="1"/>
      <c r="B600" s="1" t="str">
        <f>IFERROR(IF(LEFT(Sensitivität_bzw_Monte_Carlo_bei_Strom[[#This Row],[Source.Name]],SEARCH("aus_der",Sensitivität_bzw_Monte_Carlo_bei_Strom[[#This Row],[Source.Name]],1))="Auszahlung_a","Auszahlung",""),"")</f>
        <v/>
      </c>
      <c r="D600" s="1"/>
    </row>
    <row r="601" spans="1:4" x14ac:dyDescent="0.3">
      <c r="A601" s="1"/>
      <c r="B601" s="1" t="str">
        <f>IFERROR(IF(LEFT(Sensitivität_bzw_Monte_Carlo_bei_Strom[[#This Row],[Source.Name]],SEARCH("aus_der",Sensitivität_bzw_Monte_Carlo_bei_Strom[[#This Row],[Source.Name]],1))="Auszahlung_a","Auszahlung",""),"")</f>
        <v/>
      </c>
      <c r="D601" s="1"/>
    </row>
    <row r="602" spans="1:4" x14ac:dyDescent="0.3">
      <c r="A602" s="1"/>
      <c r="B602" s="1" t="str">
        <f>IFERROR(IF(LEFT(Sensitivität_bzw_Monte_Carlo_bei_Strom[[#This Row],[Source.Name]],SEARCH("aus_der",Sensitivität_bzw_Monte_Carlo_bei_Strom[[#This Row],[Source.Name]],1))="Auszahlung_a","Auszahlung",""),"")</f>
        <v/>
      </c>
      <c r="D602" s="1"/>
    </row>
    <row r="603" spans="1:4" x14ac:dyDescent="0.3">
      <c r="A603" s="1"/>
      <c r="B603" s="1" t="str">
        <f>IFERROR(IF(LEFT(Sensitivität_bzw_Monte_Carlo_bei_Strom[[#This Row],[Source.Name]],SEARCH("aus_der",Sensitivität_bzw_Monte_Carlo_bei_Strom[[#This Row],[Source.Name]],1))="Auszahlung_a","Auszahlung",""),"")</f>
        <v/>
      </c>
      <c r="D603" s="1"/>
    </row>
    <row r="604" spans="1:4" x14ac:dyDescent="0.3">
      <c r="A604" s="1"/>
      <c r="B604" s="1" t="str">
        <f>IFERROR(IF(LEFT(Sensitivität_bzw_Monte_Carlo_bei_Strom[[#This Row],[Source.Name]],SEARCH("aus_der",Sensitivität_bzw_Monte_Carlo_bei_Strom[[#This Row],[Source.Name]],1))="Auszahlung_a","Auszahlung",""),"")</f>
        <v/>
      </c>
      <c r="D604" s="1"/>
    </row>
    <row r="605" spans="1:4" x14ac:dyDescent="0.3">
      <c r="A605" s="1"/>
      <c r="B605" s="1" t="str">
        <f>IFERROR(IF(LEFT(Sensitivität_bzw_Monte_Carlo_bei_Strom[[#This Row],[Source.Name]],SEARCH("aus_der",Sensitivität_bzw_Monte_Carlo_bei_Strom[[#This Row],[Source.Name]],1))="Auszahlung_a","Auszahlung",""),"")</f>
        <v/>
      </c>
      <c r="D605" s="1"/>
    </row>
    <row r="606" spans="1:4" x14ac:dyDescent="0.3">
      <c r="A606" s="1"/>
      <c r="B606" s="1" t="str">
        <f>IFERROR(IF(LEFT(Sensitivität_bzw_Monte_Carlo_bei_Strom[[#This Row],[Source.Name]],SEARCH("aus_der",Sensitivität_bzw_Monte_Carlo_bei_Strom[[#This Row],[Source.Name]],1))="Auszahlung_a","Auszahlung",""),"")</f>
        <v/>
      </c>
      <c r="D606" s="1"/>
    </row>
    <row r="607" spans="1:4" x14ac:dyDescent="0.3">
      <c r="A607" s="1"/>
      <c r="B607" s="1" t="str">
        <f>IFERROR(IF(LEFT(Sensitivität_bzw_Monte_Carlo_bei_Strom[[#This Row],[Source.Name]],SEARCH("aus_der",Sensitivität_bzw_Monte_Carlo_bei_Strom[[#This Row],[Source.Name]],1))="Auszahlung_a","Auszahlung",""),"")</f>
        <v/>
      </c>
      <c r="D607" s="1"/>
    </row>
    <row r="608" spans="1:4" x14ac:dyDescent="0.3">
      <c r="A608" s="1"/>
      <c r="B608" s="1" t="str">
        <f>IFERROR(IF(LEFT(Sensitivität_bzw_Monte_Carlo_bei_Strom[[#This Row],[Source.Name]],SEARCH("aus_der",Sensitivität_bzw_Monte_Carlo_bei_Strom[[#This Row],[Source.Name]],1))="Auszahlung_a","Auszahlung",""),"")</f>
        <v/>
      </c>
      <c r="D608" s="1"/>
    </row>
    <row r="609" spans="1:4" x14ac:dyDescent="0.3">
      <c r="A609" s="1"/>
      <c r="B609" s="1" t="str">
        <f>IFERROR(IF(LEFT(Sensitivität_bzw_Monte_Carlo_bei_Strom[[#This Row],[Source.Name]],SEARCH("aus_der",Sensitivität_bzw_Monte_Carlo_bei_Strom[[#This Row],[Source.Name]],1))="Auszahlung_a","Auszahlung",""),"")</f>
        <v/>
      </c>
      <c r="D609" s="1"/>
    </row>
    <row r="610" spans="1:4" x14ac:dyDescent="0.3">
      <c r="A610" s="1"/>
      <c r="B610" s="1" t="str">
        <f>IFERROR(IF(LEFT(Sensitivität_bzw_Monte_Carlo_bei_Strom[[#This Row],[Source.Name]],SEARCH("aus_der",Sensitivität_bzw_Monte_Carlo_bei_Strom[[#This Row],[Source.Name]],1))="Auszahlung_a","Auszahlung",""),"")</f>
        <v/>
      </c>
      <c r="D610" s="1"/>
    </row>
    <row r="611" spans="1:4" x14ac:dyDescent="0.3">
      <c r="A611" s="1"/>
      <c r="B611" s="1" t="str">
        <f>IFERROR(IF(LEFT(Sensitivität_bzw_Monte_Carlo_bei_Strom[[#This Row],[Source.Name]],SEARCH("aus_der",Sensitivität_bzw_Monte_Carlo_bei_Strom[[#This Row],[Source.Name]],1))="Auszahlung_a","Auszahlung",""),"")</f>
        <v/>
      </c>
      <c r="D611" s="1"/>
    </row>
    <row r="612" spans="1:4" x14ac:dyDescent="0.3">
      <c r="A612" s="1"/>
      <c r="B612" s="1" t="str">
        <f>IFERROR(IF(LEFT(Sensitivität_bzw_Monte_Carlo_bei_Strom[[#This Row],[Source.Name]],SEARCH("aus_der",Sensitivität_bzw_Monte_Carlo_bei_Strom[[#This Row],[Source.Name]],1))="Auszahlung_a","Auszahlung",""),"")</f>
        <v/>
      </c>
      <c r="D612" s="1"/>
    </row>
    <row r="613" spans="1:4" x14ac:dyDescent="0.3">
      <c r="A613" s="1"/>
      <c r="B613" s="1" t="str">
        <f>IFERROR(IF(LEFT(Sensitivität_bzw_Monte_Carlo_bei_Strom[[#This Row],[Source.Name]],SEARCH("aus_der",Sensitivität_bzw_Monte_Carlo_bei_Strom[[#This Row],[Source.Name]],1))="Auszahlung_a","Auszahlung",""),"")</f>
        <v/>
      </c>
      <c r="D613" s="1"/>
    </row>
    <row r="614" spans="1:4" x14ac:dyDescent="0.3">
      <c r="A614" s="1"/>
      <c r="B614" s="1" t="str">
        <f>IFERROR(IF(LEFT(Sensitivität_bzw_Monte_Carlo_bei_Strom[[#This Row],[Source.Name]],SEARCH("aus_der",Sensitivität_bzw_Monte_Carlo_bei_Strom[[#This Row],[Source.Name]],1))="Auszahlung_a","Auszahlung",""),"")</f>
        <v/>
      </c>
      <c r="D614" s="1"/>
    </row>
    <row r="615" spans="1:4" x14ac:dyDescent="0.3">
      <c r="A615" s="1"/>
      <c r="B615" s="1" t="str">
        <f>IFERROR(IF(LEFT(Sensitivität_bzw_Monte_Carlo_bei_Strom[[#This Row],[Source.Name]],SEARCH("aus_der",Sensitivität_bzw_Monte_Carlo_bei_Strom[[#This Row],[Source.Name]],1))="Auszahlung_a","Auszahlung",""),"")</f>
        <v/>
      </c>
      <c r="D615" s="1"/>
    </row>
    <row r="616" spans="1:4" x14ac:dyDescent="0.3">
      <c r="A616" s="1"/>
      <c r="B616" s="1" t="str">
        <f>IFERROR(IF(LEFT(Sensitivität_bzw_Monte_Carlo_bei_Strom[[#This Row],[Source.Name]],SEARCH("aus_der",Sensitivität_bzw_Monte_Carlo_bei_Strom[[#This Row],[Source.Name]],1))="Auszahlung_a","Auszahlung",""),"")</f>
        <v/>
      </c>
      <c r="D616" s="1"/>
    </row>
    <row r="617" spans="1:4" x14ac:dyDescent="0.3">
      <c r="A617" s="1"/>
      <c r="B617" s="1" t="str">
        <f>IFERROR(IF(LEFT(Sensitivität_bzw_Monte_Carlo_bei_Strom[[#This Row],[Source.Name]],SEARCH("aus_der",Sensitivität_bzw_Monte_Carlo_bei_Strom[[#This Row],[Source.Name]],1))="Auszahlung_a","Auszahlung",""),"")</f>
        <v/>
      </c>
      <c r="D617" s="1"/>
    </row>
    <row r="618" spans="1:4" x14ac:dyDescent="0.3">
      <c r="A618" s="1"/>
      <c r="B618" s="1" t="str">
        <f>IFERROR(IF(LEFT(Sensitivität_bzw_Monte_Carlo_bei_Strom[[#This Row],[Source.Name]],SEARCH("aus_der",Sensitivität_bzw_Monte_Carlo_bei_Strom[[#This Row],[Source.Name]],1))="Auszahlung_a","Auszahlung",""),"")</f>
        <v/>
      </c>
      <c r="D618" s="1"/>
    </row>
    <row r="619" spans="1:4" x14ac:dyDescent="0.3">
      <c r="A619" s="1"/>
      <c r="B619" s="1" t="str">
        <f>IFERROR(IF(LEFT(Sensitivität_bzw_Monte_Carlo_bei_Strom[[#This Row],[Source.Name]],SEARCH("aus_der",Sensitivität_bzw_Monte_Carlo_bei_Strom[[#This Row],[Source.Name]],1))="Auszahlung_a","Auszahlung",""),"")</f>
        <v/>
      </c>
      <c r="D619" s="1"/>
    </row>
    <row r="620" spans="1:4" x14ac:dyDescent="0.3">
      <c r="A620" s="1"/>
      <c r="B620" s="1" t="str">
        <f>IFERROR(IF(LEFT(Sensitivität_bzw_Monte_Carlo_bei_Strom[[#This Row],[Source.Name]],SEARCH("aus_der",Sensitivität_bzw_Monte_Carlo_bei_Strom[[#This Row],[Source.Name]],1))="Auszahlung_a","Auszahlung",""),"")</f>
        <v/>
      </c>
      <c r="D620" s="1"/>
    </row>
    <row r="621" spans="1:4" x14ac:dyDescent="0.3">
      <c r="A621" s="1"/>
      <c r="B621" s="1" t="str">
        <f>IFERROR(IF(LEFT(Sensitivität_bzw_Monte_Carlo_bei_Strom[[#This Row],[Source.Name]],SEARCH("aus_der",Sensitivität_bzw_Monte_Carlo_bei_Strom[[#This Row],[Source.Name]],1))="Auszahlung_a","Auszahlung",""),"")</f>
        <v/>
      </c>
      <c r="D621" s="1"/>
    </row>
    <row r="622" spans="1:4" x14ac:dyDescent="0.3">
      <c r="A622" s="1"/>
      <c r="B622" s="1" t="str">
        <f>IFERROR(IF(LEFT(Sensitivität_bzw_Monte_Carlo_bei_Strom[[#This Row],[Source.Name]],SEARCH("aus_der",Sensitivität_bzw_Monte_Carlo_bei_Strom[[#This Row],[Source.Name]],1))="Auszahlung_a","Auszahlung",""),"")</f>
        <v/>
      </c>
      <c r="D622" s="1"/>
    </row>
    <row r="623" spans="1:4" x14ac:dyDescent="0.3">
      <c r="A623" s="1"/>
      <c r="B623" s="1" t="str">
        <f>IFERROR(IF(LEFT(Sensitivität_bzw_Monte_Carlo_bei_Strom[[#This Row],[Source.Name]],SEARCH("aus_der",Sensitivität_bzw_Monte_Carlo_bei_Strom[[#This Row],[Source.Name]],1))="Auszahlung_a","Auszahlung",""),"")</f>
        <v/>
      </c>
      <c r="D623" s="1"/>
    </row>
    <row r="624" spans="1:4" x14ac:dyDescent="0.3">
      <c r="A624" s="1"/>
      <c r="B624" s="1" t="str">
        <f>IFERROR(IF(LEFT(Sensitivität_bzw_Monte_Carlo_bei_Strom[[#This Row],[Source.Name]],SEARCH("aus_der",Sensitivität_bzw_Monte_Carlo_bei_Strom[[#This Row],[Source.Name]],1))="Auszahlung_a","Auszahlung",""),"")</f>
        <v/>
      </c>
      <c r="D624" s="1"/>
    </row>
    <row r="625" spans="1:4" x14ac:dyDescent="0.3">
      <c r="A625" s="1"/>
      <c r="B625" s="1" t="str">
        <f>IFERROR(IF(LEFT(Sensitivität_bzw_Monte_Carlo_bei_Strom[[#This Row],[Source.Name]],SEARCH("aus_der",Sensitivität_bzw_Monte_Carlo_bei_Strom[[#This Row],[Source.Name]],1))="Auszahlung_a","Auszahlung",""),"")</f>
        <v/>
      </c>
      <c r="D625" s="1"/>
    </row>
    <row r="626" spans="1:4" x14ac:dyDescent="0.3">
      <c r="A626" s="1"/>
      <c r="B626" s="1" t="str">
        <f>IFERROR(IF(LEFT(Sensitivität_bzw_Monte_Carlo_bei_Strom[[#This Row],[Source.Name]],SEARCH("aus_der",Sensitivität_bzw_Monte_Carlo_bei_Strom[[#This Row],[Source.Name]],1))="Auszahlung_a","Auszahlung",""),"")</f>
        <v/>
      </c>
      <c r="D626" s="1"/>
    </row>
    <row r="627" spans="1:4" x14ac:dyDescent="0.3">
      <c r="A627" s="1"/>
      <c r="B627" s="1" t="str">
        <f>IFERROR(IF(LEFT(Sensitivität_bzw_Monte_Carlo_bei_Strom[[#This Row],[Source.Name]],SEARCH("aus_der",Sensitivität_bzw_Monte_Carlo_bei_Strom[[#This Row],[Source.Name]],1))="Auszahlung_a","Auszahlung",""),"")</f>
        <v/>
      </c>
      <c r="D627" s="1"/>
    </row>
    <row r="628" spans="1:4" x14ac:dyDescent="0.3">
      <c r="A628" s="1"/>
      <c r="B628" s="1" t="str">
        <f>IFERROR(IF(LEFT(Sensitivität_bzw_Monte_Carlo_bei_Strom[[#This Row],[Source.Name]],SEARCH("aus_der",Sensitivität_bzw_Monte_Carlo_bei_Strom[[#This Row],[Source.Name]],1))="Auszahlung_a","Auszahlung",""),"")</f>
        <v/>
      </c>
      <c r="D628" s="1"/>
    </row>
    <row r="629" spans="1:4" x14ac:dyDescent="0.3">
      <c r="A629" s="1"/>
      <c r="B629" s="1" t="str">
        <f>IFERROR(IF(LEFT(Sensitivität_bzw_Monte_Carlo_bei_Strom[[#This Row],[Source.Name]],SEARCH("aus_der",Sensitivität_bzw_Monte_Carlo_bei_Strom[[#This Row],[Source.Name]],1))="Auszahlung_a","Auszahlung",""),"")</f>
        <v/>
      </c>
      <c r="D629" s="1"/>
    </row>
    <row r="630" spans="1:4" x14ac:dyDescent="0.3">
      <c r="A630" s="1"/>
      <c r="B630" s="1" t="str">
        <f>IFERROR(IF(LEFT(Sensitivität_bzw_Monte_Carlo_bei_Strom[[#This Row],[Source.Name]],SEARCH("aus_der",Sensitivität_bzw_Monte_Carlo_bei_Strom[[#This Row],[Source.Name]],1))="Auszahlung_a","Auszahlung",""),"")</f>
        <v/>
      </c>
      <c r="D630" s="1"/>
    </row>
    <row r="631" spans="1:4" x14ac:dyDescent="0.3">
      <c r="A631" s="1"/>
      <c r="B631" s="1" t="str">
        <f>IFERROR(IF(LEFT(Sensitivität_bzw_Monte_Carlo_bei_Strom[[#This Row],[Source.Name]],SEARCH("aus_der",Sensitivität_bzw_Monte_Carlo_bei_Strom[[#This Row],[Source.Name]],1))="Auszahlung_a","Auszahlung",""),"")</f>
        <v/>
      </c>
      <c r="D631" s="1"/>
    </row>
    <row r="632" spans="1:4" x14ac:dyDescent="0.3">
      <c r="A632" s="1"/>
      <c r="B632" s="1" t="str">
        <f>IFERROR(IF(LEFT(Sensitivität_bzw_Monte_Carlo_bei_Strom[[#This Row],[Source.Name]],SEARCH("aus_der",Sensitivität_bzw_Monte_Carlo_bei_Strom[[#This Row],[Source.Name]],1))="Auszahlung_a","Auszahlung",""),"")</f>
        <v/>
      </c>
      <c r="D632" s="1"/>
    </row>
    <row r="633" spans="1:4" x14ac:dyDescent="0.3">
      <c r="A633" s="1"/>
      <c r="B633" s="1" t="str">
        <f>IFERROR(IF(LEFT(Sensitivität_bzw_Monte_Carlo_bei_Strom[[#This Row],[Source.Name]],SEARCH("aus_der",Sensitivität_bzw_Monte_Carlo_bei_Strom[[#This Row],[Source.Name]],1))="Auszahlung_a","Auszahlung",""),"")</f>
        <v/>
      </c>
      <c r="D633" s="1"/>
    </row>
    <row r="634" spans="1:4" x14ac:dyDescent="0.3">
      <c r="A634" s="1"/>
      <c r="B634" s="1" t="str">
        <f>IFERROR(IF(LEFT(Sensitivität_bzw_Monte_Carlo_bei_Strom[[#This Row],[Source.Name]],SEARCH("aus_der",Sensitivität_bzw_Monte_Carlo_bei_Strom[[#This Row],[Source.Name]],1))="Auszahlung_a","Auszahlung",""),"")</f>
        <v/>
      </c>
      <c r="D634" s="1"/>
    </row>
    <row r="635" spans="1:4" x14ac:dyDescent="0.3">
      <c r="A635" s="1"/>
      <c r="B635" s="1" t="str">
        <f>IFERROR(IF(LEFT(Sensitivität_bzw_Monte_Carlo_bei_Strom[[#This Row],[Source.Name]],SEARCH("aus_der",Sensitivität_bzw_Monte_Carlo_bei_Strom[[#This Row],[Source.Name]],1))="Auszahlung_a","Auszahlung",""),"")</f>
        <v/>
      </c>
      <c r="D635" s="1"/>
    </row>
    <row r="636" spans="1:4" x14ac:dyDescent="0.3">
      <c r="A636" s="1"/>
      <c r="B636" s="1" t="str">
        <f>IFERROR(IF(LEFT(Sensitivität_bzw_Monte_Carlo_bei_Strom[[#This Row],[Source.Name]],SEARCH("aus_der",Sensitivität_bzw_Monte_Carlo_bei_Strom[[#This Row],[Source.Name]],1))="Auszahlung_a","Auszahlung",""),"")</f>
        <v/>
      </c>
      <c r="D636" s="1"/>
    </row>
    <row r="637" spans="1:4" x14ac:dyDescent="0.3">
      <c r="A637" s="1"/>
      <c r="B637" s="1" t="str">
        <f>IFERROR(IF(LEFT(Sensitivität_bzw_Monte_Carlo_bei_Strom[[#This Row],[Source.Name]],SEARCH("aus_der",Sensitivität_bzw_Monte_Carlo_bei_Strom[[#This Row],[Source.Name]],1))="Auszahlung_a","Auszahlung",""),"")</f>
        <v/>
      </c>
      <c r="D637" s="1"/>
    </row>
    <row r="638" spans="1:4" x14ac:dyDescent="0.3">
      <c r="A638" s="1"/>
      <c r="B638" s="1" t="str">
        <f>IFERROR(IF(LEFT(Sensitivität_bzw_Monte_Carlo_bei_Strom[[#This Row],[Source.Name]],SEARCH("aus_der",Sensitivität_bzw_Monte_Carlo_bei_Strom[[#This Row],[Source.Name]],1))="Auszahlung_a","Auszahlung",""),"")</f>
        <v/>
      </c>
      <c r="D638" s="1"/>
    </row>
    <row r="639" spans="1:4" x14ac:dyDescent="0.3">
      <c r="A639" s="1"/>
      <c r="B639" s="1" t="str">
        <f>IFERROR(IF(LEFT(Sensitivität_bzw_Monte_Carlo_bei_Strom[[#This Row],[Source.Name]],SEARCH("aus_der",Sensitivität_bzw_Monte_Carlo_bei_Strom[[#This Row],[Source.Name]],1))="Auszahlung_a","Auszahlung",""),"")</f>
        <v/>
      </c>
      <c r="D639" s="1"/>
    </row>
    <row r="640" spans="1:4" x14ac:dyDescent="0.3">
      <c r="A640" s="1"/>
      <c r="B640" s="1" t="str">
        <f>IFERROR(IF(LEFT(Sensitivität_bzw_Monte_Carlo_bei_Strom[[#This Row],[Source.Name]],SEARCH("aus_der",Sensitivität_bzw_Monte_Carlo_bei_Strom[[#This Row],[Source.Name]],1))="Auszahlung_a","Auszahlung",""),"")</f>
        <v/>
      </c>
      <c r="D640" s="1"/>
    </row>
    <row r="641" spans="1:4" x14ac:dyDescent="0.3">
      <c r="A641" s="1"/>
      <c r="B641" s="1" t="str">
        <f>IFERROR(IF(LEFT(Sensitivität_bzw_Monte_Carlo_bei_Strom[[#This Row],[Source.Name]],SEARCH("aus_der",Sensitivität_bzw_Monte_Carlo_bei_Strom[[#This Row],[Source.Name]],1))="Auszahlung_a","Auszahlung",""),"")</f>
        <v/>
      </c>
      <c r="D641" s="1"/>
    </row>
    <row r="642" spans="1:4" x14ac:dyDescent="0.3">
      <c r="A642" s="1"/>
      <c r="B642" s="1" t="str">
        <f>IFERROR(IF(LEFT(Sensitivität_bzw_Monte_Carlo_bei_Strom[[#This Row],[Source.Name]],SEARCH("aus_der",Sensitivität_bzw_Monte_Carlo_bei_Strom[[#This Row],[Source.Name]],1))="Auszahlung_a","Auszahlung",""),"")</f>
        <v/>
      </c>
      <c r="D642" s="1"/>
    </row>
    <row r="643" spans="1:4" x14ac:dyDescent="0.3">
      <c r="A643" s="1"/>
      <c r="B643" s="1" t="str">
        <f>IFERROR(IF(LEFT(Sensitivität_bzw_Monte_Carlo_bei_Strom[[#This Row],[Source.Name]],SEARCH("aus_der",Sensitivität_bzw_Monte_Carlo_bei_Strom[[#This Row],[Source.Name]],1))="Auszahlung_a","Auszahlung",""),"")</f>
        <v/>
      </c>
      <c r="D643" s="1"/>
    </row>
    <row r="644" spans="1:4" x14ac:dyDescent="0.3">
      <c r="A644" s="1"/>
      <c r="B644" s="1" t="str">
        <f>IFERROR(IF(LEFT(Sensitivität_bzw_Monte_Carlo_bei_Strom[[#This Row],[Source.Name]],SEARCH("aus_der",Sensitivität_bzw_Monte_Carlo_bei_Strom[[#This Row],[Source.Name]],1))="Auszahlung_a","Auszahlung",""),"")</f>
        <v/>
      </c>
      <c r="D644" s="1"/>
    </row>
    <row r="645" spans="1:4" x14ac:dyDescent="0.3">
      <c r="A645" s="1"/>
      <c r="B645" s="1" t="str">
        <f>IFERROR(IF(LEFT(Sensitivität_bzw_Monte_Carlo_bei_Strom[[#This Row],[Source.Name]],SEARCH("aus_der",Sensitivität_bzw_Monte_Carlo_bei_Strom[[#This Row],[Source.Name]],1))="Auszahlung_a","Auszahlung",""),"")</f>
        <v/>
      </c>
      <c r="D645" s="1"/>
    </row>
    <row r="646" spans="1:4" x14ac:dyDescent="0.3">
      <c r="A646" s="1"/>
      <c r="B646" s="1" t="str">
        <f>IFERROR(IF(LEFT(Sensitivität_bzw_Monte_Carlo_bei_Strom[[#This Row],[Source.Name]],SEARCH("aus_der",Sensitivität_bzw_Monte_Carlo_bei_Strom[[#This Row],[Source.Name]],1))="Auszahlung_a","Auszahlung",""),"")</f>
        <v/>
      </c>
      <c r="D646" s="1"/>
    </row>
    <row r="647" spans="1:4" x14ac:dyDescent="0.3">
      <c r="A647" s="1"/>
      <c r="B647" s="1" t="str">
        <f>IFERROR(IF(LEFT(Sensitivität_bzw_Monte_Carlo_bei_Strom[[#This Row],[Source.Name]],SEARCH("aus_der",Sensitivität_bzw_Monte_Carlo_bei_Strom[[#This Row],[Source.Name]],1))="Auszahlung_a","Auszahlung",""),"")</f>
        <v/>
      </c>
      <c r="D647" s="1"/>
    </row>
    <row r="648" spans="1:4" x14ac:dyDescent="0.3">
      <c r="A648" s="1"/>
      <c r="B648" s="1" t="str">
        <f>IFERROR(IF(LEFT(Sensitivität_bzw_Monte_Carlo_bei_Strom[[#This Row],[Source.Name]],SEARCH("aus_der",Sensitivität_bzw_Monte_Carlo_bei_Strom[[#This Row],[Source.Name]],1))="Auszahlung_a","Auszahlung",""),"")</f>
        <v/>
      </c>
      <c r="D648" s="1"/>
    </row>
    <row r="649" spans="1:4" x14ac:dyDescent="0.3">
      <c r="A649" s="1"/>
      <c r="B649" s="1" t="str">
        <f>IFERROR(IF(LEFT(Sensitivität_bzw_Monte_Carlo_bei_Strom[[#This Row],[Source.Name]],SEARCH("aus_der",Sensitivität_bzw_Monte_Carlo_bei_Strom[[#This Row],[Source.Name]],1))="Auszahlung_a","Auszahlung",""),"")</f>
        <v/>
      </c>
      <c r="D649" s="1"/>
    </row>
    <row r="650" spans="1:4" x14ac:dyDescent="0.3">
      <c r="A650" s="1"/>
      <c r="B650" s="1" t="str">
        <f>IFERROR(IF(LEFT(Sensitivität_bzw_Monte_Carlo_bei_Strom[[#This Row],[Source.Name]],SEARCH("aus_der",Sensitivität_bzw_Monte_Carlo_bei_Strom[[#This Row],[Source.Name]],1))="Auszahlung_a","Auszahlung",""),"")</f>
        <v/>
      </c>
      <c r="D650" s="1"/>
    </row>
    <row r="651" spans="1:4" x14ac:dyDescent="0.3">
      <c r="A651" s="1"/>
      <c r="B651" s="1" t="str">
        <f>IFERROR(IF(LEFT(Sensitivität_bzw_Monte_Carlo_bei_Strom[[#This Row],[Source.Name]],SEARCH("aus_der",Sensitivität_bzw_Monte_Carlo_bei_Strom[[#This Row],[Source.Name]],1))="Auszahlung_a","Auszahlung",""),"")</f>
        <v/>
      </c>
      <c r="D651" s="1"/>
    </row>
    <row r="652" spans="1:4" x14ac:dyDescent="0.3">
      <c r="A652" s="1"/>
      <c r="B652" s="1" t="str">
        <f>IFERROR(IF(LEFT(Sensitivität_bzw_Monte_Carlo_bei_Strom[[#This Row],[Source.Name]],SEARCH("aus_der",Sensitivität_bzw_Monte_Carlo_bei_Strom[[#This Row],[Source.Name]],1))="Auszahlung_a","Auszahlung",""),"")</f>
        <v/>
      </c>
      <c r="D652" s="1"/>
    </row>
    <row r="653" spans="1:4" x14ac:dyDescent="0.3">
      <c r="A653" s="1"/>
      <c r="B653" s="1" t="str">
        <f>IFERROR(IF(LEFT(Sensitivität_bzw_Monte_Carlo_bei_Strom[[#This Row],[Source.Name]],SEARCH("aus_der",Sensitivität_bzw_Monte_Carlo_bei_Strom[[#This Row],[Source.Name]],1))="Auszahlung_a","Auszahlung",""),"")</f>
        <v/>
      </c>
      <c r="D653" s="1"/>
    </row>
    <row r="654" spans="1:4" x14ac:dyDescent="0.3">
      <c r="A654" s="1"/>
      <c r="B654" s="1" t="str">
        <f>IFERROR(IF(LEFT(Sensitivität_bzw_Monte_Carlo_bei_Strom[[#This Row],[Source.Name]],SEARCH("aus_der",Sensitivität_bzw_Monte_Carlo_bei_Strom[[#This Row],[Source.Name]],1))="Auszahlung_a","Auszahlung",""),"")</f>
        <v/>
      </c>
      <c r="D654" s="1"/>
    </row>
    <row r="655" spans="1:4" x14ac:dyDescent="0.3">
      <c r="A655" s="1"/>
      <c r="B655" s="1" t="str">
        <f>IFERROR(IF(LEFT(Sensitivität_bzw_Monte_Carlo_bei_Strom[[#This Row],[Source.Name]],SEARCH("aus_der",Sensitivität_bzw_Monte_Carlo_bei_Strom[[#This Row],[Source.Name]],1))="Auszahlung_a","Auszahlung",""),"")</f>
        <v/>
      </c>
      <c r="D655" s="1"/>
    </row>
    <row r="656" spans="1:4" x14ac:dyDescent="0.3">
      <c r="A656" s="1"/>
      <c r="B656" s="1" t="str">
        <f>IFERROR(IF(LEFT(Sensitivität_bzw_Monte_Carlo_bei_Strom[[#This Row],[Source.Name]],SEARCH("aus_der",Sensitivität_bzw_Monte_Carlo_bei_Strom[[#This Row],[Source.Name]],1))="Auszahlung_a","Auszahlung",""),"")</f>
        <v/>
      </c>
      <c r="D656" s="1"/>
    </row>
    <row r="657" spans="1:4" x14ac:dyDescent="0.3">
      <c r="A657" s="1"/>
      <c r="B657" s="1" t="str">
        <f>IFERROR(IF(LEFT(Sensitivität_bzw_Monte_Carlo_bei_Strom[[#This Row],[Source.Name]],SEARCH("aus_der",Sensitivität_bzw_Monte_Carlo_bei_Strom[[#This Row],[Source.Name]],1))="Auszahlung_a","Auszahlung",""),"")</f>
        <v/>
      </c>
      <c r="D657" s="1"/>
    </row>
    <row r="658" spans="1:4" x14ac:dyDescent="0.3">
      <c r="A658" s="1"/>
      <c r="B658" s="1" t="str">
        <f>IFERROR(IF(LEFT(Sensitivität_bzw_Monte_Carlo_bei_Strom[[#This Row],[Source.Name]],SEARCH("aus_der",Sensitivität_bzw_Monte_Carlo_bei_Strom[[#This Row],[Source.Name]],1))="Auszahlung_a","Auszahlung",""),"")</f>
        <v/>
      </c>
      <c r="D658" s="1"/>
    </row>
    <row r="659" spans="1:4" x14ac:dyDescent="0.3">
      <c r="A659" s="1"/>
      <c r="B659" s="1" t="str">
        <f>IFERROR(IF(LEFT(Sensitivität_bzw_Monte_Carlo_bei_Strom[[#This Row],[Source.Name]],SEARCH("aus_der",Sensitivität_bzw_Monte_Carlo_bei_Strom[[#This Row],[Source.Name]],1))="Auszahlung_a","Auszahlung",""),"")</f>
        <v/>
      </c>
      <c r="D659" s="1"/>
    </row>
    <row r="660" spans="1:4" x14ac:dyDescent="0.3">
      <c r="A660" s="1"/>
      <c r="B660" s="1" t="str">
        <f>IFERROR(IF(LEFT(Sensitivität_bzw_Monte_Carlo_bei_Strom[[#This Row],[Source.Name]],SEARCH("aus_der",Sensitivität_bzw_Monte_Carlo_bei_Strom[[#This Row],[Source.Name]],1))="Auszahlung_a","Auszahlung",""),"")</f>
        <v/>
      </c>
      <c r="D660" s="1"/>
    </row>
    <row r="661" spans="1:4" x14ac:dyDescent="0.3">
      <c r="A661" s="1"/>
      <c r="B661" s="1" t="str">
        <f>IFERROR(IF(LEFT(Sensitivität_bzw_Monte_Carlo_bei_Strom[[#This Row],[Source.Name]],SEARCH("aus_der",Sensitivität_bzw_Monte_Carlo_bei_Strom[[#This Row],[Source.Name]],1))="Auszahlung_a","Auszahlung",""),"")</f>
        <v/>
      </c>
      <c r="D661" s="1"/>
    </row>
    <row r="662" spans="1:4" x14ac:dyDescent="0.3">
      <c r="A662" s="1"/>
      <c r="B662" s="1" t="str">
        <f>IFERROR(IF(LEFT(Sensitivität_bzw_Monte_Carlo_bei_Strom[[#This Row],[Source.Name]],SEARCH("aus_der",Sensitivität_bzw_Monte_Carlo_bei_Strom[[#This Row],[Source.Name]],1))="Auszahlung_a","Auszahlung",""),"")</f>
        <v/>
      </c>
      <c r="D662" s="1"/>
    </row>
    <row r="663" spans="1:4" x14ac:dyDescent="0.3">
      <c r="A663" s="1"/>
      <c r="B663" s="1" t="str">
        <f>IFERROR(IF(LEFT(Sensitivität_bzw_Monte_Carlo_bei_Strom[[#This Row],[Source.Name]],SEARCH("aus_der",Sensitivität_bzw_Monte_Carlo_bei_Strom[[#This Row],[Source.Name]],1))="Auszahlung_a","Auszahlung",""),"")</f>
        <v/>
      </c>
      <c r="D663" s="1"/>
    </row>
    <row r="664" spans="1:4" x14ac:dyDescent="0.3">
      <c r="A664" s="1"/>
      <c r="B664" s="1" t="str">
        <f>IFERROR(IF(LEFT(Sensitivität_bzw_Monte_Carlo_bei_Strom[[#This Row],[Source.Name]],SEARCH("aus_der",Sensitivität_bzw_Monte_Carlo_bei_Strom[[#This Row],[Source.Name]],1))="Auszahlung_a","Auszahlung",""),"")</f>
        <v/>
      </c>
      <c r="D664" s="1"/>
    </row>
    <row r="665" spans="1:4" x14ac:dyDescent="0.3">
      <c r="A665" s="1"/>
      <c r="B665" s="1" t="str">
        <f>IFERROR(IF(LEFT(Sensitivität_bzw_Monte_Carlo_bei_Strom[[#This Row],[Source.Name]],SEARCH("aus_der",Sensitivität_bzw_Monte_Carlo_bei_Strom[[#This Row],[Source.Name]],1))="Auszahlung_a","Auszahlung",""),"")</f>
        <v/>
      </c>
      <c r="D665" s="1"/>
    </row>
    <row r="666" spans="1:4" x14ac:dyDescent="0.3">
      <c r="A666" s="1"/>
      <c r="B666" s="1" t="str">
        <f>IFERROR(IF(LEFT(Sensitivität_bzw_Monte_Carlo_bei_Strom[[#This Row],[Source.Name]],SEARCH("aus_der",Sensitivität_bzw_Monte_Carlo_bei_Strom[[#This Row],[Source.Name]],1))="Auszahlung_a","Auszahlung",""),"")</f>
        <v/>
      </c>
      <c r="D666" s="1"/>
    </row>
    <row r="667" spans="1:4" x14ac:dyDescent="0.3">
      <c r="A667" s="1"/>
      <c r="B667" s="1" t="str">
        <f>IFERROR(IF(LEFT(Sensitivität_bzw_Monte_Carlo_bei_Strom[[#This Row],[Source.Name]],SEARCH("aus_der",Sensitivität_bzw_Monte_Carlo_bei_Strom[[#This Row],[Source.Name]],1))="Auszahlung_a","Auszahlung",""),"")</f>
        <v/>
      </c>
      <c r="D667" s="1"/>
    </row>
    <row r="668" spans="1:4" x14ac:dyDescent="0.3">
      <c r="A668" s="1"/>
      <c r="B668" s="1" t="str">
        <f>IFERROR(IF(LEFT(Sensitivität_bzw_Monte_Carlo_bei_Strom[[#This Row],[Source.Name]],SEARCH("aus_der",Sensitivität_bzw_Monte_Carlo_bei_Strom[[#This Row],[Source.Name]],1))="Auszahlung_a","Auszahlung",""),"")</f>
        <v/>
      </c>
      <c r="D668" s="1"/>
    </row>
    <row r="669" spans="1:4" x14ac:dyDescent="0.3">
      <c r="A669" s="1"/>
      <c r="B669" s="1" t="str">
        <f>IFERROR(IF(LEFT(Sensitivität_bzw_Monte_Carlo_bei_Strom[[#This Row],[Source.Name]],SEARCH("aus_der",Sensitivität_bzw_Monte_Carlo_bei_Strom[[#This Row],[Source.Name]],1))="Auszahlung_a","Auszahlung",""),"")</f>
        <v/>
      </c>
      <c r="D669" s="1"/>
    </row>
    <row r="670" spans="1:4" x14ac:dyDescent="0.3">
      <c r="A670" s="1"/>
      <c r="B670" s="1" t="str">
        <f>IFERROR(IF(LEFT(Sensitivität_bzw_Monte_Carlo_bei_Strom[[#This Row],[Source.Name]],SEARCH("aus_der",Sensitivität_bzw_Monte_Carlo_bei_Strom[[#This Row],[Source.Name]],1))="Auszahlung_a","Auszahlung",""),"")</f>
        <v/>
      </c>
      <c r="D670" s="1"/>
    </row>
    <row r="671" spans="1:4" x14ac:dyDescent="0.3">
      <c r="A671" s="1"/>
      <c r="B671" s="1" t="str">
        <f>IFERROR(IF(LEFT(Sensitivität_bzw_Monte_Carlo_bei_Strom[[#This Row],[Source.Name]],SEARCH("aus_der",Sensitivität_bzw_Monte_Carlo_bei_Strom[[#This Row],[Source.Name]],1))="Auszahlung_a","Auszahlung",""),"")</f>
        <v/>
      </c>
      <c r="D671" s="1"/>
    </row>
    <row r="672" spans="1:4" x14ac:dyDescent="0.3">
      <c r="A672" s="1"/>
      <c r="B672" s="1" t="str">
        <f>IFERROR(IF(LEFT(Sensitivität_bzw_Monte_Carlo_bei_Strom[[#This Row],[Source.Name]],SEARCH("aus_der",Sensitivität_bzw_Monte_Carlo_bei_Strom[[#This Row],[Source.Name]],1))="Auszahlung_a","Auszahlung",""),"")</f>
        <v/>
      </c>
      <c r="D672" s="1"/>
    </row>
    <row r="673" spans="1:4" x14ac:dyDescent="0.3">
      <c r="A673" s="1"/>
      <c r="B673" s="1" t="str">
        <f>IFERROR(IF(LEFT(Sensitivität_bzw_Monte_Carlo_bei_Strom[[#This Row],[Source.Name]],SEARCH("aus_der",Sensitivität_bzw_Monte_Carlo_bei_Strom[[#This Row],[Source.Name]],1))="Auszahlung_a","Auszahlung",""),"")</f>
        <v/>
      </c>
      <c r="D673" s="1"/>
    </row>
    <row r="674" spans="1:4" x14ac:dyDescent="0.3">
      <c r="A674" s="1"/>
      <c r="B674" s="1" t="str">
        <f>IFERROR(IF(LEFT(Sensitivität_bzw_Monte_Carlo_bei_Strom[[#This Row],[Source.Name]],SEARCH("aus_der",Sensitivität_bzw_Monte_Carlo_bei_Strom[[#This Row],[Source.Name]],1))="Auszahlung_a","Auszahlung",""),"")</f>
        <v/>
      </c>
      <c r="D674" s="1"/>
    </row>
    <row r="675" spans="1:4" x14ac:dyDescent="0.3">
      <c r="A675" s="1"/>
      <c r="B675" s="1" t="str">
        <f>IFERROR(IF(LEFT(Sensitivität_bzw_Monte_Carlo_bei_Strom[[#This Row],[Source.Name]],SEARCH("aus_der",Sensitivität_bzw_Monte_Carlo_bei_Strom[[#This Row],[Source.Name]],1))="Auszahlung_a","Auszahlung",""),"")</f>
        <v/>
      </c>
      <c r="D675" s="1"/>
    </row>
    <row r="676" spans="1:4" x14ac:dyDescent="0.3">
      <c r="A676" s="1"/>
      <c r="B676" s="1" t="str">
        <f>IFERROR(IF(LEFT(Sensitivität_bzw_Monte_Carlo_bei_Strom[[#This Row],[Source.Name]],SEARCH("aus_der",Sensitivität_bzw_Monte_Carlo_bei_Strom[[#This Row],[Source.Name]],1))="Auszahlung_a","Auszahlung",""),"")</f>
        <v/>
      </c>
      <c r="D676" s="1"/>
    </row>
    <row r="677" spans="1:4" x14ac:dyDescent="0.3">
      <c r="A677" s="1"/>
      <c r="B677" s="1" t="str">
        <f>IFERROR(IF(LEFT(Sensitivität_bzw_Monte_Carlo_bei_Strom[[#This Row],[Source.Name]],SEARCH("aus_der",Sensitivität_bzw_Monte_Carlo_bei_Strom[[#This Row],[Source.Name]],1))="Auszahlung_a","Auszahlung",""),"")</f>
        <v/>
      </c>
      <c r="D677" s="1"/>
    </row>
    <row r="678" spans="1:4" x14ac:dyDescent="0.3">
      <c r="A678" s="1"/>
      <c r="B678" s="1" t="str">
        <f>IFERROR(IF(LEFT(Sensitivität_bzw_Monte_Carlo_bei_Strom[[#This Row],[Source.Name]],SEARCH("aus_der",Sensitivität_bzw_Monte_Carlo_bei_Strom[[#This Row],[Source.Name]],1))="Auszahlung_a","Auszahlung",""),"")</f>
        <v/>
      </c>
      <c r="D678" s="1"/>
    </row>
    <row r="679" spans="1:4" x14ac:dyDescent="0.3">
      <c r="A679" s="1"/>
      <c r="B679" s="1" t="str">
        <f>IFERROR(IF(LEFT(Sensitivität_bzw_Monte_Carlo_bei_Strom[[#This Row],[Source.Name]],SEARCH("aus_der",Sensitivität_bzw_Monte_Carlo_bei_Strom[[#This Row],[Source.Name]],1))="Auszahlung_a","Auszahlung",""),"")</f>
        <v/>
      </c>
      <c r="D679" s="1"/>
    </row>
    <row r="680" spans="1:4" x14ac:dyDescent="0.3">
      <c r="A680" s="1"/>
      <c r="B680" s="1" t="str">
        <f>IFERROR(IF(LEFT(Sensitivität_bzw_Monte_Carlo_bei_Strom[[#This Row],[Source.Name]],SEARCH("aus_der",Sensitivität_bzw_Monte_Carlo_bei_Strom[[#This Row],[Source.Name]],1))="Auszahlung_a","Auszahlung",""),"")</f>
        <v/>
      </c>
      <c r="D680" s="1"/>
    </row>
    <row r="681" spans="1:4" x14ac:dyDescent="0.3">
      <c r="A681" s="1"/>
      <c r="B681" s="1" t="str">
        <f>IFERROR(IF(LEFT(Sensitivität_bzw_Monte_Carlo_bei_Strom[[#This Row],[Source.Name]],SEARCH("aus_der",Sensitivität_bzw_Monte_Carlo_bei_Strom[[#This Row],[Source.Name]],1))="Auszahlung_a","Auszahlung",""),"")</f>
        <v/>
      </c>
      <c r="D681" s="1"/>
    </row>
    <row r="682" spans="1:4" x14ac:dyDescent="0.3">
      <c r="A682" s="1"/>
      <c r="B682" s="1" t="str">
        <f>IFERROR(IF(LEFT(Sensitivität_bzw_Monte_Carlo_bei_Strom[[#This Row],[Source.Name]],SEARCH("aus_der",Sensitivität_bzw_Monte_Carlo_bei_Strom[[#This Row],[Source.Name]],1))="Auszahlung_a","Auszahlung",""),"")</f>
        <v/>
      </c>
      <c r="D682" s="1"/>
    </row>
    <row r="683" spans="1:4" x14ac:dyDescent="0.3">
      <c r="A683" s="1"/>
      <c r="B683" s="1" t="str">
        <f>IFERROR(IF(LEFT(Sensitivität_bzw_Monte_Carlo_bei_Strom[[#This Row],[Source.Name]],SEARCH("aus_der",Sensitivität_bzw_Monte_Carlo_bei_Strom[[#This Row],[Source.Name]],1))="Auszahlung_a","Auszahlung",""),"")</f>
        <v/>
      </c>
      <c r="D683" s="1"/>
    </row>
    <row r="684" spans="1:4" x14ac:dyDescent="0.3">
      <c r="A684" s="1"/>
      <c r="B684" s="1" t="str">
        <f>IFERROR(IF(LEFT(Sensitivität_bzw_Monte_Carlo_bei_Strom[[#This Row],[Source.Name]],SEARCH("aus_der",Sensitivität_bzw_Monte_Carlo_bei_Strom[[#This Row],[Source.Name]],1))="Auszahlung_a","Auszahlung",""),"")</f>
        <v/>
      </c>
      <c r="D684" s="1"/>
    </row>
    <row r="685" spans="1:4" x14ac:dyDescent="0.3">
      <c r="A685" s="1"/>
      <c r="B685" s="1" t="str">
        <f>IFERROR(IF(LEFT(Sensitivität_bzw_Monte_Carlo_bei_Strom[[#This Row],[Source.Name]],SEARCH("aus_der",Sensitivität_bzw_Monte_Carlo_bei_Strom[[#This Row],[Source.Name]],1))="Auszahlung_a","Auszahlung",""),"")</f>
        <v/>
      </c>
      <c r="D685" s="1"/>
    </row>
    <row r="686" spans="1:4" x14ac:dyDescent="0.3">
      <c r="A686" s="1"/>
      <c r="B686" s="1" t="str">
        <f>IFERROR(IF(LEFT(Sensitivität_bzw_Monte_Carlo_bei_Strom[[#This Row],[Source.Name]],SEARCH("aus_der",Sensitivität_bzw_Monte_Carlo_bei_Strom[[#This Row],[Source.Name]],1))="Auszahlung_a","Auszahlung",""),"")</f>
        <v/>
      </c>
      <c r="D686" s="1"/>
    </row>
    <row r="687" spans="1:4" x14ac:dyDescent="0.3">
      <c r="A687" s="1"/>
      <c r="B687" s="1" t="str">
        <f>IFERROR(IF(LEFT(Sensitivität_bzw_Monte_Carlo_bei_Strom[[#This Row],[Source.Name]],SEARCH("aus_der",Sensitivität_bzw_Monte_Carlo_bei_Strom[[#This Row],[Source.Name]],1))="Auszahlung_a","Auszahlung",""),"")</f>
        <v/>
      </c>
      <c r="D687" s="1"/>
    </row>
    <row r="688" spans="1:4" x14ac:dyDescent="0.3">
      <c r="A688" s="1"/>
      <c r="B688" s="1" t="str">
        <f>IFERROR(IF(LEFT(Sensitivität_bzw_Monte_Carlo_bei_Strom[[#This Row],[Source.Name]],SEARCH("aus_der",Sensitivität_bzw_Monte_Carlo_bei_Strom[[#This Row],[Source.Name]],1))="Auszahlung_a","Auszahlung",""),"")</f>
        <v/>
      </c>
      <c r="D688" s="1"/>
    </row>
    <row r="689" spans="1:4" x14ac:dyDescent="0.3">
      <c r="A689" s="1"/>
      <c r="B689" s="1" t="str">
        <f>IFERROR(IF(LEFT(Sensitivität_bzw_Monte_Carlo_bei_Strom[[#This Row],[Source.Name]],SEARCH("aus_der",Sensitivität_bzw_Monte_Carlo_bei_Strom[[#This Row],[Source.Name]],1))="Auszahlung_a","Auszahlung",""),"")</f>
        <v/>
      </c>
      <c r="D689" s="1"/>
    </row>
    <row r="690" spans="1:4" x14ac:dyDescent="0.3">
      <c r="A690" s="1"/>
      <c r="B690" s="1" t="str">
        <f>IFERROR(IF(LEFT(Sensitivität_bzw_Monte_Carlo_bei_Strom[[#This Row],[Source.Name]],SEARCH("aus_der",Sensitivität_bzw_Monte_Carlo_bei_Strom[[#This Row],[Source.Name]],1))="Auszahlung_a","Auszahlung",""),"")</f>
        <v/>
      </c>
      <c r="D690" s="1"/>
    </row>
    <row r="691" spans="1:4" x14ac:dyDescent="0.3">
      <c r="A691" s="1"/>
      <c r="B691" s="1" t="str">
        <f>IFERROR(IF(LEFT(Sensitivität_bzw_Monte_Carlo_bei_Strom[[#This Row],[Source.Name]],SEARCH("aus_der",Sensitivität_bzw_Monte_Carlo_bei_Strom[[#This Row],[Source.Name]],1))="Auszahlung_a","Auszahlung",""),"")</f>
        <v/>
      </c>
      <c r="D691" s="1"/>
    </row>
    <row r="692" spans="1:4" x14ac:dyDescent="0.3">
      <c r="A692" s="1"/>
      <c r="B692" s="1" t="str">
        <f>IFERROR(IF(LEFT(Sensitivität_bzw_Monte_Carlo_bei_Strom[[#This Row],[Source.Name]],SEARCH("aus_der",Sensitivität_bzw_Monte_Carlo_bei_Strom[[#This Row],[Source.Name]],1))="Auszahlung_a","Auszahlung",""),"")</f>
        <v/>
      </c>
      <c r="D692" s="1"/>
    </row>
    <row r="693" spans="1:4" x14ac:dyDescent="0.3">
      <c r="A693" s="1"/>
      <c r="B693" s="1" t="str">
        <f>IFERROR(IF(LEFT(Sensitivität_bzw_Monte_Carlo_bei_Strom[[#This Row],[Source.Name]],SEARCH("aus_der",Sensitivität_bzw_Monte_Carlo_bei_Strom[[#This Row],[Source.Name]],1))="Auszahlung_a","Auszahlung",""),"")</f>
        <v/>
      </c>
      <c r="D693" s="1"/>
    </row>
    <row r="694" spans="1:4" x14ac:dyDescent="0.3">
      <c r="A694" s="1"/>
      <c r="B694" s="1" t="str">
        <f>IFERROR(IF(LEFT(Sensitivität_bzw_Monte_Carlo_bei_Strom[[#This Row],[Source.Name]],SEARCH("aus_der",Sensitivität_bzw_Monte_Carlo_bei_Strom[[#This Row],[Source.Name]],1))="Auszahlung_a","Auszahlung",""),"")</f>
        <v/>
      </c>
      <c r="D694" s="1"/>
    </row>
    <row r="695" spans="1:4" x14ac:dyDescent="0.3">
      <c r="A695" s="1"/>
      <c r="B695" s="1" t="str">
        <f>IFERROR(IF(LEFT(Sensitivität_bzw_Monte_Carlo_bei_Strom[[#This Row],[Source.Name]],SEARCH("aus_der",Sensitivität_bzw_Monte_Carlo_bei_Strom[[#This Row],[Source.Name]],1))="Auszahlung_a","Auszahlung",""),"")</f>
        <v/>
      </c>
      <c r="D695" s="1"/>
    </row>
    <row r="696" spans="1:4" x14ac:dyDescent="0.3">
      <c r="A696" s="1"/>
      <c r="B696" s="1" t="str">
        <f>IFERROR(IF(LEFT(Sensitivität_bzw_Monte_Carlo_bei_Strom[[#This Row],[Source.Name]],SEARCH("aus_der",Sensitivität_bzw_Monte_Carlo_bei_Strom[[#This Row],[Source.Name]],1))="Auszahlung_a","Auszahlung",""),"")</f>
        <v/>
      </c>
      <c r="D696" s="1"/>
    </row>
    <row r="697" spans="1:4" x14ac:dyDescent="0.3">
      <c r="A697" s="1"/>
      <c r="B697" s="1" t="str">
        <f>IFERROR(IF(LEFT(Sensitivität_bzw_Monte_Carlo_bei_Strom[[#This Row],[Source.Name]],SEARCH("aus_der",Sensitivität_bzw_Monte_Carlo_bei_Strom[[#This Row],[Source.Name]],1))="Auszahlung_a","Auszahlung",""),"")</f>
        <v/>
      </c>
      <c r="D697" s="1"/>
    </row>
    <row r="698" spans="1:4" x14ac:dyDescent="0.3">
      <c r="A698" s="1"/>
      <c r="B698" s="1" t="str">
        <f>IFERROR(IF(LEFT(Sensitivität_bzw_Monte_Carlo_bei_Strom[[#This Row],[Source.Name]],SEARCH("aus_der",Sensitivität_bzw_Monte_Carlo_bei_Strom[[#This Row],[Source.Name]],1))="Auszahlung_a","Auszahlung",""),"")</f>
        <v/>
      </c>
      <c r="D698" s="1"/>
    </row>
    <row r="699" spans="1:4" x14ac:dyDescent="0.3">
      <c r="A699" s="1"/>
      <c r="B699" s="1" t="str">
        <f>IFERROR(IF(LEFT(Sensitivität_bzw_Monte_Carlo_bei_Strom[[#This Row],[Source.Name]],SEARCH("aus_der",Sensitivität_bzw_Monte_Carlo_bei_Strom[[#This Row],[Source.Name]],1))="Auszahlung_a","Auszahlung",""),"")</f>
        <v/>
      </c>
      <c r="D699" s="1"/>
    </row>
    <row r="700" spans="1:4" x14ac:dyDescent="0.3">
      <c r="A700" s="1"/>
      <c r="B700" s="1" t="str">
        <f>IFERROR(IF(LEFT(Sensitivität_bzw_Monte_Carlo_bei_Strom[[#This Row],[Source.Name]],SEARCH("aus_der",Sensitivität_bzw_Monte_Carlo_bei_Strom[[#This Row],[Source.Name]],1))="Auszahlung_a","Auszahlung",""),"")</f>
        <v/>
      </c>
      <c r="D700" s="1"/>
    </row>
    <row r="701" spans="1:4" x14ac:dyDescent="0.3">
      <c r="A701" s="1"/>
      <c r="B701" s="1" t="str">
        <f>IFERROR(IF(LEFT(Sensitivität_bzw_Monte_Carlo_bei_Strom[[#This Row],[Source.Name]],SEARCH("aus_der",Sensitivität_bzw_Monte_Carlo_bei_Strom[[#This Row],[Source.Name]],1))="Auszahlung_a","Auszahlung",""),"")</f>
        <v/>
      </c>
      <c r="D701" s="1"/>
    </row>
    <row r="702" spans="1:4" x14ac:dyDescent="0.3">
      <c r="A702" s="1"/>
      <c r="B702" s="1" t="str">
        <f>IFERROR(IF(LEFT(Sensitivität_bzw_Monte_Carlo_bei_Strom[[#This Row],[Source.Name]],SEARCH("aus_der",Sensitivität_bzw_Monte_Carlo_bei_Strom[[#This Row],[Source.Name]],1))="Auszahlung_a","Auszahlung",""),"")</f>
        <v/>
      </c>
      <c r="D702" s="1"/>
    </row>
    <row r="703" spans="1:4" x14ac:dyDescent="0.3">
      <c r="A703" s="1"/>
      <c r="B703" s="1" t="str">
        <f>IFERROR(IF(LEFT(Sensitivität_bzw_Monte_Carlo_bei_Strom[[#This Row],[Source.Name]],SEARCH("aus_der",Sensitivität_bzw_Monte_Carlo_bei_Strom[[#This Row],[Source.Name]],1))="Auszahlung_a","Auszahlung",""),"")</f>
        <v/>
      </c>
      <c r="D703" s="1"/>
    </row>
    <row r="704" spans="1:4" x14ac:dyDescent="0.3">
      <c r="A704" s="1"/>
      <c r="B704" s="1" t="str">
        <f>IFERROR(IF(LEFT(Sensitivität_bzw_Monte_Carlo_bei_Strom[[#This Row],[Source.Name]],SEARCH("aus_der",Sensitivität_bzw_Monte_Carlo_bei_Strom[[#This Row],[Source.Name]],1))="Auszahlung_a","Auszahlung",""),"")</f>
        <v/>
      </c>
      <c r="D704" s="1"/>
    </row>
    <row r="705" spans="1:4" x14ac:dyDescent="0.3">
      <c r="A705" s="1"/>
      <c r="B705" s="1" t="str">
        <f>IFERROR(IF(LEFT(Sensitivität_bzw_Monte_Carlo_bei_Strom[[#This Row],[Source.Name]],SEARCH("aus_der",Sensitivität_bzw_Monte_Carlo_bei_Strom[[#This Row],[Source.Name]],1))="Auszahlung_a","Auszahlung",""),"")</f>
        <v/>
      </c>
      <c r="D705" s="1"/>
    </row>
    <row r="706" spans="1:4" x14ac:dyDescent="0.3">
      <c r="A706" s="1"/>
      <c r="B706" s="1" t="str">
        <f>IFERROR(IF(LEFT(Sensitivität_bzw_Monte_Carlo_bei_Strom[[#This Row],[Source.Name]],SEARCH("aus_der",Sensitivität_bzw_Monte_Carlo_bei_Strom[[#This Row],[Source.Name]],1))="Auszahlung_a","Auszahlung",""),"")</f>
        <v/>
      </c>
      <c r="D706" s="1"/>
    </row>
    <row r="707" spans="1:4" x14ac:dyDescent="0.3">
      <c r="A707" s="1"/>
      <c r="B707" s="1" t="str">
        <f>IFERROR(IF(LEFT(Sensitivität_bzw_Monte_Carlo_bei_Strom[[#This Row],[Source.Name]],SEARCH("aus_der",Sensitivität_bzw_Monte_Carlo_bei_Strom[[#This Row],[Source.Name]],1))="Auszahlung_a","Auszahlung",""),"")</f>
        <v/>
      </c>
      <c r="D707" s="1"/>
    </row>
    <row r="708" spans="1:4" x14ac:dyDescent="0.3">
      <c r="A708" s="1"/>
      <c r="B708" s="1" t="str">
        <f>IFERROR(IF(LEFT(Sensitivität_bzw_Monte_Carlo_bei_Strom[[#This Row],[Source.Name]],SEARCH("aus_der",Sensitivität_bzw_Monte_Carlo_bei_Strom[[#This Row],[Source.Name]],1))="Auszahlung_a","Auszahlung",""),"")</f>
        <v/>
      </c>
      <c r="D708" s="1"/>
    </row>
    <row r="709" spans="1:4" x14ac:dyDescent="0.3">
      <c r="A709" s="1"/>
      <c r="B709" s="1" t="str">
        <f>IFERROR(IF(LEFT(Sensitivität_bzw_Monte_Carlo_bei_Strom[[#This Row],[Source.Name]],SEARCH("aus_der",Sensitivität_bzw_Monte_Carlo_bei_Strom[[#This Row],[Source.Name]],1))="Auszahlung_a","Auszahlung",""),"")</f>
        <v/>
      </c>
      <c r="D709" s="1"/>
    </row>
    <row r="710" spans="1:4" x14ac:dyDescent="0.3">
      <c r="A710" s="1"/>
      <c r="B710" s="1" t="str">
        <f>IFERROR(IF(LEFT(Sensitivität_bzw_Monte_Carlo_bei_Strom[[#This Row],[Source.Name]],SEARCH("aus_der",Sensitivität_bzw_Monte_Carlo_bei_Strom[[#This Row],[Source.Name]],1))="Auszahlung_a","Auszahlung",""),"")</f>
        <v/>
      </c>
      <c r="D710" s="1"/>
    </row>
    <row r="711" spans="1:4" x14ac:dyDescent="0.3">
      <c r="A711" s="1"/>
      <c r="B711" s="1" t="str">
        <f>IFERROR(IF(LEFT(Sensitivität_bzw_Monte_Carlo_bei_Strom[[#This Row],[Source.Name]],SEARCH("aus_der",Sensitivität_bzw_Monte_Carlo_bei_Strom[[#This Row],[Source.Name]],1))="Auszahlung_a","Auszahlung",""),"")</f>
        <v/>
      </c>
      <c r="D711" s="1"/>
    </row>
    <row r="712" spans="1:4" x14ac:dyDescent="0.3">
      <c r="A712" s="1"/>
      <c r="B712" s="1" t="str">
        <f>IFERROR(IF(LEFT(Sensitivität_bzw_Monte_Carlo_bei_Strom[[#This Row],[Source.Name]],SEARCH("aus_der",Sensitivität_bzw_Monte_Carlo_bei_Strom[[#This Row],[Source.Name]],1))="Auszahlung_a","Auszahlung",""),"")</f>
        <v/>
      </c>
      <c r="D712" s="1"/>
    </row>
    <row r="713" spans="1:4" x14ac:dyDescent="0.3">
      <c r="A713" s="1"/>
      <c r="B713" s="1" t="str">
        <f>IFERROR(IF(LEFT(Sensitivität_bzw_Monte_Carlo_bei_Strom[[#This Row],[Source.Name]],SEARCH("aus_der",Sensitivität_bzw_Monte_Carlo_bei_Strom[[#This Row],[Source.Name]],1))="Auszahlung_a","Auszahlung",""),"")</f>
        <v/>
      </c>
      <c r="D713" s="1"/>
    </row>
    <row r="714" spans="1:4" x14ac:dyDescent="0.3">
      <c r="A714" s="1"/>
      <c r="B714" s="1" t="str">
        <f>IFERROR(IF(LEFT(Sensitivität_bzw_Monte_Carlo_bei_Strom[[#This Row],[Source.Name]],SEARCH("aus_der",Sensitivität_bzw_Monte_Carlo_bei_Strom[[#This Row],[Source.Name]],1))="Auszahlung_a","Auszahlung",""),"")</f>
        <v/>
      </c>
      <c r="D714" s="1"/>
    </row>
    <row r="715" spans="1:4" x14ac:dyDescent="0.3">
      <c r="A715" s="1"/>
      <c r="B715" s="1" t="str">
        <f>IFERROR(IF(LEFT(Sensitivität_bzw_Monte_Carlo_bei_Strom[[#This Row],[Source.Name]],SEARCH("aus_der",Sensitivität_bzw_Monte_Carlo_bei_Strom[[#This Row],[Source.Name]],1))="Auszahlung_a","Auszahlung",""),"")</f>
        <v/>
      </c>
      <c r="D715" s="1"/>
    </row>
    <row r="716" spans="1:4" x14ac:dyDescent="0.3">
      <c r="A716" s="1"/>
      <c r="B716" s="1" t="str">
        <f>IFERROR(IF(LEFT(Sensitivität_bzw_Monte_Carlo_bei_Strom[[#This Row],[Source.Name]],SEARCH("aus_der",Sensitivität_bzw_Monte_Carlo_bei_Strom[[#This Row],[Source.Name]],1))="Auszahlung_a","Auszahlung",""),"")</f>
        <v/>
      </c>
      <c r="D716" s="1"/>
    </row>
    <row r="717" spans="1:4" x14ac:dyDescent="0.3">
      <c r="A717" s="1"/>
      <c r="B717" s="1" t="str">
        <f>IFERROR(IF(LEFT(Sensitivität_bzw_Monte_Carlo_bei_Strom[[#This Row],[Source.Name]],SEARCH("aus_der",Sensitivität_bzw_Monte_Carlo_bei_Strom[[#This Row],[Source.Name]],1))="Auszahlung_a","Auszahlung",""),"")</f>
        <v/>
      </c>
      <c r="D717" s="1"/>
    </row>
    <row r="718" spans="1:4" x14ac:dyDescent="0.3">
      <c r="A718" s="1"/>
      <c r="B718" s="1" t="str">
        <f>IFERROR(IF(LEFT(Sensitivität_bzw_Monte_Carlo_bei_Strom[[#This Row],[Source.Name]],SEARCH("aus_der",Sensitivität_bzw_Monte_Carlo_bei_Strom[[#This Row],[Source.Name]],1))="Auszahlung_a","Auszahlung",""),"")</f>
        <v/>
      </c>
      <c r="D718" s="1"/>
    </row>
    <row r="719" spans="1:4" x14ac:dyDescent="0.3">
      <c r="A719" s="1"/>
      <c r="B719" s="1" t="str">
        <f>IFERROR(IF(LEFT(Sensitivität_bzw_Monte_Carlo_bei_Strom[[#This Row],[Source.Name]],SEARCH("aus_der",Sensitivität_bzw_Monte_Carlo_bei_Strom[[#This Row],[Source.Name]],1))="Auszahlung_a","Auszahlung",""),"")</f>
        <v/>
      </c>
      <c r="D719" s="1"/>
    </row>
    <row r="720" spans="1:4" x14ac:dyDescent="0.3">
      <c r="A720" s="1"/>
      <c r="B720" s="1" t="str">
        <f>IFERROR(IF(LEFT(Sensitivität_bzw_Monte_Carlo_bei_Strom[[#This Row],[Source.Name]],SEARCH("aus_der",Sensitivität_bzw_Monte_Carlo_bei_Strom[[#This Row],[Source.Name]],1))="Auszahlung_a","Auszahlung",""),"")</f>
        <v/>
      </c>
      <c r="D720" s="1"/>
    </row>
    <row r="721" spans="1:4" x14ac:dyDescent="0.3">
      <c r="A721" s="1"/>
      <c r="B721" s="1" t="str">
        <f>IFERROR(IF(LEFT(Sensitivität_bzw_Monte_Carlo_bei_Strom[[#This Row],[Source.Name]],SEARCH("aus_der",Sensitivität_bzw_Monte_Carlo_bei_Strom[[#This Row],[Source.Name]],1))="Auszahlung_a","Auszahlung",""),"")</f>
        <v/>
      </c>
      <c r="D721" s="1"/>
    </row>
    <row r="722" spans="1:4" x14ac:dyDescent="0.3">
      <c r="A722" s="1"/>
      <c r="B722" s="1" t="str">
        <f>IFERROR(IF(LEFT(Sensitivität_bzw_Monte_Carlo_bei_Strom[[#This Row],[Source.Name]],SEARCH("aus_der",Sensitivität_bzw_Monte_Carlo_bei_Strom[[#This Row],[Source.Name]],1))="Auszahlung_a","Auszahlung",""),"")</f>
        <v/>
      </c>
      <c r="D722" s="1"/>
    </row>
    <row r="723" spans="1:4" x14ac:dyDescent="0.3">
      <c r="A723" s="1"/>
      <c r="B723" s="1" t="str">
        <f>IFERROR(IF(LEFT(Sensitivität_bzw_Monte_Carlo_bei_Strom[[#This Row],[Source.Name]],SEARCH("aus_der",Sensitivität_bzw_Monte_Carlo_bei_Strom[[#This Row],[Source.Name]],1))="Auszahlung_a","Auszahlung",""),"")</f>
        <v/>
      </c>
      <c r="D723" s="1"/>
    </row>
    <row r="724" spans="1:4" x14ac:dyDescent="0.3">
      <c r="A724" s="1"/>
      <c r="B724" s="1" t="str">
        <f>IFERROR(IF(LEFT(Sensitivität_bzw_Monte_Carlo_bei_Strom[[#This Row],[Source.Name]],SEARCH("aus_der",Sensitivität_bzw_Monte_Carlo_bei_Strom[[#This Row],[Source.Name]],1))="Auszahlung_a","Auszahlung",""),"")</f>
        <v/>
      </c>
      <c r="D724" s="1"/>
    </row>
    <row r="725" spans="1:4" x14ac:dyDescent="0.3">
      <c r="A725" s="1"/>
      <c r="B725" s="1" t="str">
        <f>IFERROR(IF(LEFT(Sensitivität_bzw_Monte_Carlo_bei_Strom[[#This Row],[Source.Name]],SEARCH("aus_der",Sensitivität_bzw_Monte_Carlo_bei_Strom[[#This Row],[Source.Name]],1))="Auszahlung_a","Auszahlung",""),"")</f>
        <v/>
      </c>
      <c r="D725" s="1"/>
    </row>
    <row r="726" spans="1:4" x14ac:dyDescent="0.3">
      <c r="A726" s="1"/>
      <c r="B726" s="1" t="str">
        <f>IFERROR(IF(LEFT(Sensitivität_bzw_Monte_Carlo_bei_Strom[[#This Row],[Source.Name]],SEARCH("aus_der",Sensitivität_bzw_Monte_Carlo_bei_Strom[[#This Row],[Source.Name]],1))="Auszahlung_a","Auszahlung",""),"")</f>
        <v/>
      </c>
      <c r="D726" s="1"/>
    </row>
    <row r="727" spans="1:4" x14ac:dyDescent="0.3">
      <c r="A727" s="1"/>
      <c r="B727" s="1" t="str">
        <f>IFERROR(IF(LEFT(Sensitivität_bzw_Monte_Carlo_bei_Strom[[#This Row],[Source.Name]],SEARCH("aus_der",Sensitivität_bzw_Monte_Carlo_bei_Strom[[#This Row],[Source.Name]],1))="Auszahlung_a","Auszahlung",""),"")</f>
        <v/>
      </c>
      <c r="D727" s="1"/>
    </row>
    <row r="728" spans="1:4" x14ac:dyDescent="0.3">
      <c r="A728" s="1"/>
      <c r="B728" s="1" t="str">
        <f>IFERROR(IF(LEFT(Sensitivität_bzw_Monte_Carlo_bei_Strom[[#This Row],[Source.Name]],SEARCH("aus_der",Sensitivität_bzw_Monte_Carlo_bei_Strom[[#This Row],[Source.Name]],1))="Auszahlung_a","Auszahlung",""),"")</f>
        <v/>
      </c>
      <c r="D728" s="1"/>
    </row>
    <row r="729" spans="1:4" x14ac:dyDescent="0.3">
      <c r="A729" s="1"/>
      <c r="B729" s="1" t="str">
        <f>IFERROR(IF(LEFT(Sensitivität_bzw_Monte_Carlo_bei_Strom[[#This Row],[Source.Name]],SEARCH("aus_der",Sensitivität_bzw_Monte_Carlo_bei_Strom[[#This Row],[Source.Name]],1))="Auszahlung_a","Auszahlung",""),"")</f>
        <v/>
      </c>
      <c r="D729" s="1"/>
    </row>
    <row r="730" spans="1:4" x14ac:dyDescent="0.3">
      <c r="A730" s="1"/>
      <c r="B730" s="1" t="str">
        <f>IFERROR(IF(LEFT(Sensitivität_bzw_Monte_Carlo_bei_Strom[[#This Row],[Source.Name]],SEARCH("aus_der",Sensitivität_bzw_Monte_Carlo_bei_Strom[[#This Row],[Source.Name]],1))="Auszahlung_a","Auszahlung",""),"")</f>
        <v/>
      </c>
      <c r="D730" s="1"/>
    </row>
    <row r="731" spans="1:4" x14ac:dyDescent="0.3">
      <c r="A731" s="1"/>
      <c r="B731" s="1" t="str">
        <f>IFERROR(IF(LEFT(Sensitivität_bzw_Monte_Carlo_bei_Strom[[#This Row],[Source.Name]],SEARCH("aus_der",Sensitivität_bzw_Monte_Carlo_bei_Strom[[#This Row],[Source.Name]],1))="Auszahlung_a","Auszahlung",""),"")</f>
        <v/>
      </c>
      <c r="D731" s="1"/>
    </row>
    <row r="732" spans="1:4" x14ac:dyDescent="0.3">
      <c r="A732" s="1"/>
      <c r="B732" s="1" t="str">
        <f>IFERROR(IF(LEFT(Sensitivität_bzw_Monte_Carlo_bei_Strom[[#This Row],[Source.Name]],SEARCH("aus_der",Sensitivität_bzw_Monte_Carlo_bei_Strom[[#This Row],[Source.Name]],1))="Auszahlung_a","Auszahlung",""),"")</f>
        <v/>
      </c>
      <c r="D732" s="1"/>
    </row>
    <row r="733" spans="1:4" x14ac:dyDescent="0.3">
      <c r="A733" s="1"/>
      <c r="B733" s="1" t="str">
        <f>IFERROR(IF(LEFT(Sensitivität_bzw_Monte_Carlo_bei_Strom[[#This Row],[Source.Name]],SEARCH("aus_der",Sensitivität_bzw_Monte_Carlo_bei_Strom[[#This Row],[Source.Name]],1))="Auszahlung_a","Auszahlung",""),"")</f>
        <v/>
      </c>
      <c r="D733" s="1"/>
    </row>
    <row r="734" spans="1:4" x14ac:dyDescent="0.3">
      <c r="A734" s="1"/>
      <c r="B734" s="1" t="str">
        <f>IFERROR(IF(LEFT(Sensitivität_bzw_Monte_Carlo_bei_Strom[[#This Row],[Source.Name]],SEARCH("aus_der",Sensitivität_bzw_Monte_Carlo_bei_Strom[[#This Row],[Source.Name]],1))="Auszahlung_a","Auszahlung",""),"")</f>
        <v/>
      </c>
      <c r="D734" s="1"/>
    </row>
    <row r="735" spans="1:4" x14ac:dyDescent="0.3">
      <c r="A735" s="1"/>
      <c r="B735" s="1" t="str">
        <f>IFERROR(IF(LEFT(Sensitivität_bzw_Monte_Carlo_bei_Strom[[#This Row],[Source.Name]],SEARCH("aus_der",Sensitivität_bzw_Monte_Carlo_bei_Strom[[#This Row],[Source.Name]],1))="Auszahlung_a","Auszahlung",""),"")</f>
        <v/>
      </c>
      <c r="D735" s="1"/>
    </row>
    <row r="736" spans="1:4" x14ac:dyDescent="0.3">
      <c r="A736" s="1"/>
      <c r="B736" s="1" t="str">
        <f>IFERROR(IF(LEFT(Sensitivität_bzw_Monte_Carlo_bei_Strom[[#This Row],[Source.Name]],SEARCH("aus_der",Sensitivität_bzw_Monte_Carlo_bei_Strom[[#This Row],[Source.Name]],1))="Auszahlung_a","Auszahlung",""),"")</f>
        <v/>
      </c>
      <c r="D736" s="1"/>
    </row>
    <row r="737" spans="1:4" x14ac:dyDescent="0.3">
      <c r="A737" s="1"/>
      <c r="B737" s="1" t="str">
        <f>IFERROR(IF(LEFT(Sensitivität_bzw_Monte_Carlo_bei_Strom[[#This Row],[Source.Name]],SEARCH("aus_der",Sensitivität_bzw_Monte_Carlo_bei_Strom[[#This Row],[Source.Name]],1))="Auszahlung_a","Auszahlung",""),"")</f>
        <v/>
      </c>
      <c r="D737" s="1"/>
    </row>
    <row r="738" spans="1:4" x14ac:dyDescent="0.3">
      <c r="A738" s="1"/>
      <c r="B738" s="1" t="str">
        <f>IFERROR(IF(LEFT(Sensitivität_bzw_Monte_Carlo_bei_Strom[[#This Row],[Source.Name]],SEARCH("aus_der",Sensitivität_bzw_Monte_Carlo_bei_Strom[[#This Row],[Source.Name]],1))="Auszahlung_a","Auszahlung",""),"")</f>
        <v/>
      </c>
      <c r="D738" s="1"/>
    </row>
    <row r="739" spans="1:4" x14ac:dyDescent="0.3">
      <c r="A739" s="1"/>
      <c r="B739" s="1" t="str">
        <f>IFERROR(IF(LEFT(Sensitivität_bzw_Monte_Carlo_bei_Strom[[#This Row],[Source.Name]],SEARCH("aus_der",Sensitivität_bzw_Monte_Carlo_bei_Strom[[#This Row],[Source.Name]],1))="Auszahlung_a","Auszahlung",""),"")</f>
        <v/>
      </c>
      <c r="D739" s="1"/>
    </row>
    <row r="740" spans="1:4" x14ac:dyDescent="0.3">
      <c r="A740" s="1"/>
      <c r="B740" s="1" t="str">
        <f>IFERROR(IF(LEFT(Sensitivität_bzw_Monte_Carlo_bei_Strom[[#This Row],[Source.Name]],SEARCH("aus_der",Sensitivität_bzw_Monte_Carlo_bei_Strom[[#This Row],[Source.Name]],1))="Auszahlung_a","Auszahlung",""),"")</f>
        <v/>
      </c>
      <c r="D740" s="1"/>
    </row>
    <row r="741" spans="1:4" x14ac:dyDescent="0.3">
      <c r="A741" s="1"/>
      <c r="B741" s="1" t="str">
        <f>IFERROR(IF(LEFT(Sensitivität_bzw_Monte_Carlo_bei_Strom[[#This Row],[Source.Name]],SEARCH("aus_der",Sensitivität_bzw_Monte_Carlo_bei_Strom[[#This Row],[Source.Name]],1))="Auszahlung_a","Auszahlung",""),"")</f>
        <v/>
      </c>
      <c r="D741" s="1"/>
    </row>
    <row r="742" spans="1:4" x14ac:dyDescent="0.3">
      <c r="A742" s="1"/>
      <c r="B742" s="1" t="str">
        <f>IFERROR(IF(LEFT(Sensitivität_bzw_Monte_Carlo_bei_Strom[[#This Row],[Source.Name]],SEARCH("aus_der",Sensitivität_bzw_Monte_Carlo_bei_Strom[[#This Row],[Source.Name]],1))="Auszahlung_a","Auszahlung",""),"")</f>
        <v/>
      </c>
      <c r="D742" s="1"/>
    </row>
    <row r="743" spans="1:4" x14ac:dyDescent="0.3">
      <c r="A743" s="1"/>
      <c r="B743" s="1" t="str">
        <f>IFERROR(IF(LEFT(Sensitivität_bzw_Monte_Carlo_bei_Strom[[#This Row],[Source.Name]],SEARCH("aus_der",Sensitivität_bzw_Monte_Carlo_bei_Strom[[#This Row],[Source.Name]],1))="Auszahlung_a","Auszahlung",""),"")</f>
        <v/>
      </c>
      <c r="D743" s="1"/>
    </row>
    <row r="744" spans="1:4" x14ac:dyDescent="0.3">
      <c r="A744" s="1"/>
      <c r="B744" s="1" t="str">
        <f>IFERROR(IF(LEFT(Sensitivität_bzw_Monte_Carlo_bei_Strom[[#This Row],[Source.Name]],SEARCH("aus_der",Sensitivität_bzw_Monte_Carlo_bei_Strom[[#This Row],[Source.Name]],1))="Auszahlung_a","Auszahlung",""),"")</f>
        <v/>
      </c>
      <c r="D744" s="1"/>
    </row>
    <row r="745" spans="1:4" x14ac:dyDescent="0.3">
      <c r="A745" s="1"/>
      <c r="B745" s="1" t="str">
        <f>IFERROR(IF(LEFT(Sensitivität_bzw_Monte_Carlo_bei_Strom[[#This Row],[Source.Name]],SEARCH("aus_der",Sensitivität_bzw_Monte_Carlo_bei_Strom[[#This Row],[Source.Name]],1))="Auszahlung_a","Auszahlung",""),"")</f>
        <v/>
      </c>
      <c r="D745" s="1"/>
    </row>
    <row r="746" spans="1:4" x14ac:dyDescent="0.3">
      <c r="A746" s="1"/>
      <c r="B746" s="1" t="str">
        <f>IFERROR(IF(LEFT(Sensitivität_bzw_Monte_Carlo_bei_Strom[[#This Row],[Source.Name]],SEARCH("aus_der",Sensitivität_bzw_Monte_Carlo_bei_Strom[[#This Row],[Source.Name]],1))="Auszahlung_a","Auszahlung",""),"")</f>
        <v/>
      </c>
      <c r="D746" s="1"/>
    </row>
    <row r="747" spans="1:4" x14ac:dyDescent="0.3">
      <c r="A747" s="1"/>
      <c r="B747" s="1" t="str">
        <f>IFERROR(IF(LEFT(Sensitivität_bzw_Monte_Carlo_bei_Strom[[#This Row],[Source.Name]],SEARCH("aus_der",Sensitivität_bzw_Monte_Carlo_bei_Strom[[#This Row],[Source.Name]],1))="Auszahlung_a","Auszahlung",""),"")</f>
        <v/>
      </c>
      <c r="D747" s="1"/>
    </row>
    <row r="748" spans="1:4" x14ac:dyDescent="0.3">
      <c r="A748" s="1"/>
      <c r="B748" s="1" t="str">
        <f>IFERROR(IF(LEFT(Sensitivität_bzw_Monte_Carlo_bei_Strom[[#This Row],[Source.Name]],SEARCH("aus_der",Sensitivität_bzw_Monte_Carlo_bei_Strom[[#This Row],[Source.Name]],1))="Auszahlung_a","Auszahlung",""),"")</f>
        <v/>
      </c>
      <c r="D748" s="1"/>
    </row>
    <row r="749" spans="1:4" x14ac:dyDescent="0.3">
      <c r="A749" s="1"/>
      <c r="B749" s="1" t="str">
        <f>IFERROR(IF(LEFT(Sensitivität_bzw_Monte_Carlo_bei_Strom[[#This Row],[Source.Name]],SEARCH("aus_der",Sensitivität_bzw_Monte_Carlo_bei_Strom[[#This Row],[Source.Name]],1))="Auszahlung_a","Auszahlung",""),"")</f>
        <v/>
      </c>
      <c r="D749" s="1"/>
    </row>
    <row r="750" spans="1:4" x14ac:dyDescent="0.3">
      <c r="A750" s="1"/>
      <c r="B750" s="1" t="str">
        <f>IFERROR(IF(LEFT(Sensitivität_bzw_Monte_Carlo_bei_Strom[[#This Row],[Source.Name]],SEARCH("aus_der",Sensitivität_bzw_Monte_Carlo_bei_Strom[[#This Row],[Source.Name]],1))="Auszahlung_a","Auszahlung",""),"")</f>
        <v/>
      </c>
      <c r="D750" s="1"/>
    </row>
    <row r="751" spans="1:4" x14ac:dyDescent="0.3">
      <c r="A751" s="1"/>
      <c r="B751" s="1" t="str">
        <f>IFERROR(IF(LEFT(Sensitivität_bzw_Monte_Carlo_bei_Strom[[#This Row],[Source.Name]],SEARCH("aus_der",Sensitivität_bzw_Monte_Carlo_bei_Strom[[#This Row],[Source.Name]],1))="Auszahlung_a","Auszahlung",""),"")</f>
        <v/>
      </c>
      <c r="D751" s="1"/>
    </row>
    <row r="752" spans="1:4" x14ac:dyDescent="0.3">
      <c r="A752" s="1"/>
      <c r="B752" s="1" t="str">
        <f>IFERROR(IF(LEFT(Sensitivität_bzw_Monte_Carlo_bei_Strom[[#This Row],[Source.Name]],SEARCH("aus_der",Sensitivität_bzw_Monte_Carlo_bei_Strom[[#This Row],[Source.Name]],1))="Auszahlung_a","Auszahlung",""),"")</f>
        <v/>
      </c>
      <c r="D752" s="1"/>
    </row>
    <row r="753" spans="1:4" x14ac:dyDescent="0.3">
      <c r="A753" s="1"/>
      <c r="B753" s="1" t="str">
        <f>IFERROR(IF(LEFT(Sensitivität_bzw_Monte_Carlo_bei_Strom[[#This Row],[Source.Name]],SEARCH("aus_der",Sensitivität_bzw_Monte_Carlo_bei_Strom[[#This Row],[Source.Name]],1))="Auszahlung_a","Auszahlung",""),"")</f>
        <v/>
      </c>
      <c r="D753" s="1"/>
    </row>
    <row r="754" spans="1:4" x14ac:dyDescent="0.3">
      <c r="A754" s="1"/>
      <c r="B754" s="1" t="str">
        <f>IFERROR(IF(LEFT(Sensitivität_bzw_Monte_Carlo_bei_Strom[[#This Row],[Source.Name]],SEARCH("aus_der",Sensitivität_bzw_Monte_Carlo_bei_Strom[[#This Row],[Source.Name]],1))="Auszahlung_a","Auszahlung",""),"")</f>
        <v/>
      </c>
      <c r="D754" s="1"/>
    </row>
    <row r="755" spans="1:4" x14ac:dyDescent="0.3">
      <c r="A755" s="1"/>
      <c r="B755" s="1" t="str">
        <f>IFERROR(IF(LEFT(Sensitivität_bzw_Monte_Carlo_bei_Strom[[#This Row],[Source.Name]],SEARCH("aus_der",Sensitivität_bzw_Monte_Carlo_bei_Strom[[#This Row],[Source.Name]],1))="Auszahlung_a","Auszahlung",""),"")</f>
        <v/>
      </c>
      <c r="D755" s="1"/>
    </row>
    <row r="756" spans="1:4" x14ac:dyDescent="0.3">
      <c r="A756" s="1"/>
      <c r="B756" s="1" t="str">
        <f>IFERROR(IF(LEFT(Sensitivität_bzw_Monte_Carlo_bei_Strom[[#This Row],[Source.Name]],SEARCH("aus_der",Sensitivität_bzw_Monte_Carlo_bei_Strom[[#This Row],[Source.Name]],1))="Auszahlung_a","Auszahlung",""),"")</f>
        <v/>
      </c>
      <c r="D756" s="1"/>
    </row>
    <row r="757" spans="1:4" x14ac:dyDescent="0.3">
      <c r="A757" s="1"/>
      <c r="B757" s="1" t="str">
        <f>IFERROR(IF(LEFT(Sensitivität_bzw_Monte_Carlo_bei_Strom[[#This Row],[Source.Name]],SEARCH("aus_der",Sensitivität_bzw_Monte_Carlo_bei_Strom[[#This Row],[Source.Name]],1))="Auszahlung_a","Auszahlung",""),"")</f>
        <v/>
      </c>
      <c r="D757" s="1"/>
    </row>
    <row r="758" spans="1:4" x14ac:dyDescent="0.3">
      <c r="A758" s="1"/>
      <c r="B758" s="1" t="str">
        <f>IFERROR(IF(LEFT(Sensitivität_bzw_Monte_Carlo_bei_Strom[[#This Row],[Source.Name]],SEARCH("aus_der",Sensitivität_bzw_Monte_Carlo_bei_Strom[[#This Row],[Source.Name]],1))="Auszahlung_a","Auszahlung",""),"")</f>
        <v/>
      </c>
      <c r="D758" s="1"/>
    </row>
    <row r="759" spans="1:4" x14ac:dyDescent="0.3">
      <c r="A759" s="1"/>
      <c r="B759" s="1" t="str">
        <f>IFERROR(IF(LEFT(Sensitivität_bzw_Monte_Carlo_bei_Strom[[#This Row],[Source.Name]],SEARCH("aus_der",Sensitivität_bzw_Monte_Carlo_bei_Strom[[#This Row],[Source.Name]],1))="Auszahlung_a","Auszahlung",""),"")</f>
        <v/>
      </c>
      <c r="D759" s="1"/>
    </row>
    <row r="760" spans="1:4" x14ac:dyDescent="0.3">
      <c r="A760" s="1"/>
      <c r="B760" s="1" t="str">
        <f>IFERROR(IF(LEFT(Sensitivität_bzw_Monte_Carlo_bei_Strom[[#This Row],[Source.Name]],SEARCH("aus_der",Sensitivität_bzw_Monte_Carlo_bei_Strom[[#This Row],[Source.Name]],1))="Auszahlung_a","Auszahlung",""),"")</f>
        <v/>
      </c>
      <c r="D760" s="1"/>
    </row>
    <row r="761" spans="1:4" x14ac:dyDescent="0.3">
      <c r="A761" s="1"/>
      <c r="B761" s="1" t="str">
        <f>IFERROR(IF(LEFT(Sensitivität_bzw_Monte_Carlo_bei_Strom[[#This Row],[Source.Name]],SEARCH("aus_der",Sensitivität_bzw_Monte_Carlo_bei_Strom[[#This Row],[Source.Name]],1))="Auszahlung_a","Auszahlung",""),"")</f>
        <v/>
      </c>
      <c r="D761" s="1"/>
    </row>
    <row r="762" spans="1:4" x14ac:dyDescent="0.3">
      <c r="A762" s="1"/>
      <c r="B762" s="1" t="str">
        <f>IFERROR(IF(LEFT(Sensitivität_bzw_Monte_Carlo_bei_Strom[[#This Row],[Source.Name]],SEARCH("aus_der",Sensitivität_bzw_Monte_Carlo_bei_Strom[[#This Row],[Source.Name]],1))="Auszahlung_a","Auszahlung",""),"")</f>
        <v/>
      </c>
      <c r="D762" s="1"/>
    </row>
    <row r="763" spans="1:4" x14ac:dyDescent="0.3">
      <c r="A763" s="1"/>
      <c r="B763" s="1" t="str">
        <f>IFERROR(IF(LEFT(Sensitivität_bzw_Monte_Carlo_bei_Strom[[#This Row],[Source.Name]],SEARCH("aus_der",Sensitivität_bzw_Monte_Carlo_bei_Strom[[#This Row],[Source.Name]],1))="Auszahlung_a","Auszahlung",""),"")</f>
        <v/>
      </c>
      <c r="D763" s="1"/>
    </row>
    <row r="764" spans="1:4" x14ac:dyDescent="0.3">
      <c r="A764" s="1"/>
      <c r="B764" s="1" t="str">
        <f>IFERROR(IF(LEFT(Sensitivität_bzw_Monte_Carlo_bei_Strom[[#This Row],[Source.Name]],SEARCH("aus_der",Sensitivität_bzw_Monte_Carlo_bei_Strom[[#This Row],[Source.Name]],1))="Auszahlung_a","Auszahlung",""),"")</f>
        <v/>
      </c>
      <c r="D764" s="1"/>
    </row>
    <row r="765" spans="1:4" x14ac:dyDescent="0.3">
      <c r="A765" s="1"/>
      <c r="B765" s="1" t="str">
        <f>IFERROR(IF(LEFT(Sensitivität_bzw_Monte_Carlo_bei_Strom[[#This Row],[Source.Name]],SEARCH("aus_der",Sensitivität_bzw_Monte_Carlo_bei_Strom[[#This Row],[Source.Name]],1))="Auszahlung_a","Auszahlung",""),"")</f>
        <v/>
      </c>
      <c r="D765" s="1"/>
    </row>
    <row r="766" spans="1:4" x14ac:dyDescent="0.3">
      <c r="A766" s="1"/>
      <c r="B766" s="1" t="str">
        <f>IFERROR(IF(LEFT(Sensitivität_bzw_Monte_Carlo_bei_Strom[[#This Row],[Source.Name]],SEARCH("aus_der",Sensitivität_bzw_Monte_Carlo_bei_Strom[[#This Row],[Source.Name]],1))="Auszahlung_a","Auszahlung",""),"")</f>
        <v/>
      </c>
      <c r="D766" s="1"/>
    </row>
    <row r="767" spans="1:4" x14ac:dyDescent="0.3">
      <c r="A767" s="1"/>
      <c r="B767" s="1" t="str">
        <f>IFERROR(IF(LEFT(Sensitivität_bzw_Monte_Carlo_bei_Strom[[#This Row],[Source.Name]],SEARCH("aus_der",Sensitivität_bzw_Monte_Carlo_bei_Strom[[#This Row],[Source.Name]],1))="Auszahlung_a","Auszahlung",""),"")</f>
        <v/>
      </c>
      <c r="D767" s="1"/>
    </row>
    <row r="768" spans="1:4" x14ac:dyDescent="0.3">
      <c r="A768" s="1"/>
      <c r="B768" s="1" t="str">
        <f>IFERROR(IF(LEFT(Sensitivität_bzw_Monte_Carlo_bei_Strom[[#This Row],[Source.Name]],SEARCH("aus_der",Sensitivität_bzw_Monte_Carlo_bei_Strom[[#This Row],[Source.Name]],1))="Auszahlung_a","Auszahlung",""),"")</f>
        <v/>
      </c>
      <c r="D768" s="1"/>
    </row>
    <row r="769" spans="1:4" x14ac:dyDescent="0.3">
      <c r="A769" s="1"/>
      <c r="B769" s="1" t="str">
        <f>IFERROR(IF(LEFT(Sensitivität_bzw_Monte_Carlo_bei_Strom[[#This Row],[Source.Name]],SEARCH("aus_der",Sensitivität_bzw_Monte_Carlo_bei_Strom[[#This Row],[Source.Name]],1))="Auszahlung_a","Auszahlung",""),"")</f>
        <v/>
      </c>
      <c r="D769" s="1"/>
    </row>
    <row r="770" spans="1:4" x14ac:dyDescent="0.3">
      <c r="A770" s="1"/>
      <c r="B770" s="1" t="str">
        <f>IFERROR(IF(LEFT(Sensitivität_bzw_Monte_Carlo_bei_Strom[[#This Row],[Source.Name]],SEARCH("aus_der",Sensitivität_bzw_Monte_Carlo_bei_Strom[[#This Row],[Source.Name]],1))="Auszahlung_a","Auszahlung",""),"")</f>
        <v/>
      </c>
      <c r="D770" s="1"/>
    </row>
    <row r="771" spans="1:4" x14ac:dyDescent="0.3">
      <c r="A771" s="1"/>
      <c r="B771" s="1" t="str">
        <f>IFERROR(IF(LEFT(Sensitivität_bzw_Monte_Carlo_bei_Strom[[#This Row],[Source.Name]],SEARCH("aus_der",Sensitivität_bzw_Monte_Carlo_bei_Strom[[#This Row],[Source.Name]],1))="Auszahlung_a","Auszahlung",""),"")</f>
        <v/>
      </c>
      <c r="D771" s="1"/>
    </row>
    <row r="772" spans="1:4" x14ac:dyDescent="0.3">
      <c r="A772" s="1"/>
      <c r="B772" s="1" t="str">
        <f>IFERROR(IF(LEFT(Sensitivität_bzw_Monte_Carlo_bei_Strom[[#This Row],[Source.Name]],SEARCH("aus_der",Sensitivität_bzw_Monte_Carlo_bei_Strom[[#This Row],[Source.Name]],1))="Auszahlung_a","Auszahlung",""),"")</f>
        <v/>
      </c>
      <c r="D772" s="1"/>
    </row>
    <row r="773" spans="1:4" x14ac:dyDescent="0.3">
      <c r="A773" s="1"/>
      <c r="B773" s="1" t="str">
        <f>IFERROR(IF(LEFT(Sensitivität_bzw_Monte_Carlo_bei_Strom[[#This Row],[Source.Name]],SEARCH("aus_der",Sensitivität_bzw_Monte_Carlo_bei_Strom[[#This Row],[Source.Name]],1))="Auszahlung_a","Auszahlung",""),"")</f>
        <v/>
      </c>
      <c r="D773" s="1"/>
    </row>
    <row r="774" spans="1:4" x14ac:dyDescent="0.3">
      <c r="A774" s="1"/>
      <c r="B774" s="1" t="str">
        <f>IFERROR(IF(LEFT(Sensitivität_bzw_Monte_Carlo_bei_Strom[[#This Row],[Source.Name]],SEARCH("aus_der",Sensitivität_bzw_Monte_Carlo_bei_Strom[[#This Row],[Source.Name]],1))="Auszahlung_a","Auszahlung",""),"")</f>
        <v/>
      </c>
      <c r="D774" s="1"/>
    </row>
    <row r="775" spans="1:4" x14ac:dyDescent="0.3">
      <c r="A775" s="1"/>
      <c r="B775" s="1" t="str">
        <f>IFERROR(IF(LEFT(Sensitivität_bzw_Monte_Carlo_bei_Strom[[#This Row],[Source.Name]],SEARCH("aus_der",Sensitivität_bzw_Monte_Carlo_bei_Strom[[#This Row],[Source.Name]],1))="Auszahlung_a","Auszahlung",""),"")</f>
        <v/>
      </c>
      <c r="D775" s="1"/>
    </row>
    <row r="776" spans="1:4" x14ac:dyDescent="0.3">
      <c r="A776" s="1"/>
      <c r="B776" s="1" t="str">
        <f>IFERROR(IF(LEFT(Sensitivität_bzw_Monte_Carlo_bei_Strom[[#This Row],[Source.Name]],SEARCH("aus_der",Sensitivität_bzw_Monte_Carlo_bei_Strom[[#This Row],[Source.Name]],1))="Auszahlung_a","Auszahlung",""),"")</f>
        <v/>
      </c>
      <c r="D776" s="1"/>
    </row>
    <row r="777" spans="1:4" x14ac:dyDescent="0.3">
      <c r="A777" s="1"/>
      <c r="B777" s="1" t="str">
        <f>IFERROR(IF(LEFT(Sensitivität_bzw_Monte_Carlo_bei_Strom[[#This Row],[Source.Name]],SEARCH("aus_der",Sensitivität_bzw_Monte_Carlo_bei_Strom[[#This Row],[Source.Name]],1))="Auszahlung_a","Auszahlung",""),"")</f>
        <v/>
      </c>
      <c r="D777" s="1"/>
    </row>
    <row r="778" spans="1:4" x14ac:dyDescent="0.3">
      <c r="A778" s="1"/>
      <c r="B778" s="1" t="str">
        <f>IFERROR(IF(LEFT(Sensitivität_bzw_Monte_Carlo_bei_Strom[[#This Row],[Source.Name]],SEARCH("aus_der",Sensitivität_bzw_Monte_Carlo_bei_Strom[[#This Row],[Source.Name]],1))="Auszahlung_a","Auszahlung",""),"")</f>
        <v/>
      </c>
      <c r="D778" s="1"/>
    </row>
    <row r="779" spans="1:4" x14ac:dyDescent="0.3">
      <c r="A779" s="1"/>
      <c r="B779" s="1" t="str">
        <f>IFERROR(IF(LEFT(Sensitivität_bzw_Monte_Carlo_bei_Strom[[#This Row],[Source.Name]],SEARCH("aus_der",Sensitivität_bzw_Monte_Carlo_bei_Strom[[#This Row],[Source.Name]],1))="Auszahlung_a","Auszahlung",""),"")</f>
        <v/>
      </c>
      <c r="D779" s="1"/>
    </row>
    <row r="780" spans="1:4" x14ac:dyDescent="0.3">
      <c r="A780" s="1"/>
      <c r="B780" s="1" t="str">
        <f>IFERROR(IF(LEFT(Sensitivität_bzw_Monte_Carlo_bei_Strom[[#This Row],[Source.Name]],SEARCH("aus_der",Sensitivität_bzw_Monte_Carlo_bei_Strom[[#This Row],[Source.Name]],1))="Auszahlung_a","Auszahlung",""),"")</f>
        <v/>
      </c>
      <c r="D780" s="1"/>
    </row>
    <row r="781" spans="1:4" x14ac:dyDescent="0.3">
      <c r="A781" s="1"/>
      <c r="B781" s="1" t="str">
        <f>IFERROR(IF(LEFT(Sensitivität_bzw_Monte_Carlo_bei_Strom[[#This Row],[Source.Name]],SEARCH("aus_der",Sensitivität_bzw_Monte_Carlo_bei_Strom[[#This Row],[Source.Name]],1))="Auszahlung_a","Auszahlung",""),"")</f>
        <v/>
      </c>
      <c r="D781" s="1"/>
    </row>
    <row r="782" spans="1:4" x14ac:dyDescent="0.3">
      <c r="A782" s="1"/>
      <c r="B782" s="1" t="str">
        <f>IFERROR(IF(LEFT(Sensitivität_bzw_Monte_Carlo_bei_Strom[[#This Row],[Source.Name]],SEARCH("aus_der",Sensitivität_bzw_Monte_Carlo_bei_Strom[[#This Row],[Source.Name]],1))="Auszahlung_a","Auszahlung",""),"")</f>
        <v/>
      </c>
      <c r="D782" s="1"/>
    </row>
    <row r="783" spans="1:4" x14ac:dyDescent="0.3">
      <c r="A783" s="1"/>
      <c r="B783" s="1" t="str">
        <f>IFERROR(IF(LEFT(Sensitivität_bzw_Monte_Carlo_bei_Strom[[#This Row],[Source.Name]],SEARCH("aus_der",Sensitivität_bzw_Monte_Carlo_bei_Strom[[#This Row],[Source.Name]],1))="Auszahlung_a","Auszahlung",""),"")</f>
        <v/>
      </c>
      <c r="D783" s="1"/>
    </row>
    <row r="784" spans="1:4" x14ac:dyDescent="0.3">
      <c r="A784" s="1"/>
      <c r="B784" s="1" t="str">
        <f>IFERROR(IF(LEFT(Sensitivität_bzw_Monte_Carlo_bei_Strom[[#This Row],[Source.Name]],SEARCH("aus_der",Sensitivität_bzw_Monte_Carlo_bei_Strom[[#This Row],[Source.Name]],1))="Auszahlung_a","Auszahlung",""),"")</f>
        <v/>
      </c>
      <c r="D784" s="1"/>
    </row>
    <row r="785" spans="1:4" x14ac:dyDescent="0.3">
      <c r="A785" s="1"/>
      <c r="B785" s="1" t="str">
        <f>IFERROR(IF(LEFT(Sensitivität_bzw_Monte_Carlo_bei_Strom[[#This Row],[Source.Name]],SEARCH("aus_der",Sensitivität_bzw_Monte_Carlo_bei_Strom[[#This Row],[Source.Name]],1))="Auszahlung_a","Auszahlung",""),"")</f>
        <v/>
      </c>
      <c r="D785" s="1"/>
    </row>
    <row r="786" spans="1:4" x14ac:dyDescent="0.3">
      <c r="A786" s="1"/>
      <c r="B786" s="1" t="str">
        <f>IFERROR(IF(LEFT(Sensitivität_bzw_Monte_Carlo_bei_Strom[[#This Row],[Source.Name]],SEARCH("aus_der",Sensitivität_bzw_Monte_Carlo_bei_Strom[[#This Row],[Source.Name]],1))="Auszahlung_a","Auszahlung",""),"")</f>
        <v/>
      </c>
      <c r="D786" s="1"/>
    </row>
    <row r="787" spans="1:4" x14ac:dyDescent="0.3">
      <c r="A787" s="1"/>
      <c r="B787" s="1" t="str">
        <f>IFERROR(IF(LEFT(Sensitivität_bzw_Monte_Carlo_bei_Strom[[#This Row],[Source.Name]],SEARCH("aus_der",Sensitivität_bzw_Monte_Carlo_bei_Strom[[#This Row],[Source.Name]],1))="Auszahlung_a","Auszahlung",""),"")</f>
        <v/>
      </c>
      <c r="D787" s="1"/>
    </row>
    <row r="788" spans="1:4" x14ac:dyDescent="0.3">
      <c r="A788" s="1"/>
      <c r="B788" s="1" t="str">
        <f>IFERROR(IF(LEFT(Sensitivität_bzw_Monte_Carlo_bei_Strom[[#This Row],[Source.Name]],SEARCH("aus_der",Sensitivität_bzw_Monte_Carlo_bei_Strom[[#This Row],[Source.Name]],1))="Auszahlung_a","Auszahlung",""),"")</f>
        <v/>
      </c>
      <c r="D788" s="1"/>
    </row>
    <row r="789" spans="1:4" x14ac:dyDescent="0.3">
      <c r="A789" s="1"/>
      <c r="B789" s="1" t="str">
        <f>IFERROR(IF(LEFT(Sensitivität_bzw_Monte_Carlo_bei_Strom[[#This Row],[Source.Name]],SEARCH("aus_der",Sensitivität_bzw_Monte_Carlo_bei_Strom[[#This Row],[Source.Name]],1))="Auszahlung_a","Auszahlung",""),"")</f>
        <v/>
      </c>
      <c r="D789" s="1"/>
    </row>
    <row r="790" spans="1:4" x14ac:dyDescent="0.3">
      <c r="A790" s="1"/>
      <c r="B790" s="1" t="str">
        <f>IFERROR(IF(LEFT(Sensitivität_bzw_Monte_Carlo_bei_Strom[[#This Row],[Source.Name]],SEARCH("aus_der",Sensitivität_bzw_Monte_Carlo_bei_Strom[[#This Row],[Source.Name]],1))="Auszahlung_a","Auszahlung",""),"")</f>
        <v/>
      </c>
      <c r="D790" s="1"/>
    </row>
    <row r="791" spans="1:4" x14ac:dyDescent="0.3">
      <c r="A791" s="1"/>
      <c r="B791" s="1" t="str">
        <f>IFERROR(IF(LEFT(Sensitivität_bzw_Monte_Carlo_bei_Strom[[#This Row],[Source.Name]],SEARCH("aus_der",Sensitivität_bzw_Monte_Carlo_bei_Strom[[#This Row],[Source.Name]],1))="Auszahlung_a","Auszahlung",""),"")</f>
        <v/>
      </c>
      <c r="D791" s="1"/>
    </row>
    <row r="792" spans="1:4" x14ac:dyDescent="0.3">
      <c r="A792" s="1"/>
      <c r="B792" s="1" t="str">
        <f>IFERROR(IF(LEFT(Sensitivität_bzw_Monte_Carlo_bei_Strom[[#This Row],[Source.Name]],SEARCH("aus_der",Sensitivität_bzw_Monte_Carlo_bei_Strom[[#This Row],[Source.Name]],1))="Auszahlung_a","Auszahlung",""),"")</f>
        <v/>
      </c>
      <c r="D792" s="1"/>
    </row>
    <row r="793" spans="1:4" x14ac:dyDescent="0.3">
      <c r="A793" s="1"/>
      <c r="B793" s="1" t="str">
        <f>IFERROR(IF(LEFT(Sensitivität_bzw_Monte_Carlo_bei_Strom[[#This Row],[Source.Name]],SEARCH("aus_der",Sensitivität_bzw_Monte_Carlo_bei_Strom[[#This Row],[Source.Name]],1))="Auszahlung_a","Auszahlung",""),"")</f>
        <v/>
      </c>
      <c r="D793" s="1"/>
    </row>
    <row r="794" spans="1:4" x14ac:dyDescent="0.3">
      <c r="A794" s="1"/>
      <c r="B794" s="1" t="str">
        <f>IFERROR(IF(LEFT(Sensitivität_bzw_Monte_Carlo_bei_Strom[[#This Row],[Source.Name]],SEARCH("aus_der",Sensitivität_bzw_Monte_Carlo_bei_Strom[[#This Row],[Source.Name]],1))="Auszahlung_a","Auszahlung",""),"")</f>
        <v/>
      </c>
      <c r="D794" s="1"/>
    </row>
    <row r="795" spans="1:4" x14ac:dyDescent="0.3">
      <c r="A795" s="1"/>
      <c r="B795" s="1" t="str">
        <f>IFERROR(IF(LEFT(Sensitivität_bzw_Monte_Carlo_bei_Strom[[#This Row],[Source.Name]],SEARCH("aus_der",Sensitivität_bzw_Monte_Carlo_bei_Strom[[#This Row],[Source.Name]],1))="Auszahlung_a","Auszahlung",""),"")</f>
        <v/>
      </c>
      <c r="D795" s="1"/>
    </row>
    <row r="796" spans="1:4" x14ac:dyDescent="0.3">
      <c r="A796" s="1"/>
      <c r="B796" s="1" t="str">
        <f>IFERROR(IF(LEFT(Sensitivität_bzw_Monte_Carlo_bei_Strom[[#This Row],[Source.Name]],SEARCH("aus_der",Sensitivität_bzw_Monte_Carlo_bei_Strom[[#This Row],[Source.Name]],1))="Auszahlung_a","Auszahlung",""),"")</f>
        <v/>
      </c>
      <c r="D796" s="1"/>
    </row>
    <row r="797" spans="1:4" x14ac:dyDescent="0.3">
      <c r="A797" s="1"/>
      <c r="B797" s="1" t="str">
        <f>IFERROR(IF(LEFT(Sensitivität_bzw_Monte_Carlo_bei_Strom[[#This Row],[Source.Name]],SEARCH("aus_der",Sensitivität_bzw_Monte_Carlo_bei_Strom[[#This Row],[Source.Name]],1))="Auszahlung_a","Auszahlung",""),"")</f>
        <v/>
      </c>
      <c r="D797" s="1"/>
    </row>
    <row r="798" spans="1:4" x14ac:dyDescent="0.3">
      <c r="A798" s="1"/>
      <c r="B798" s="1" t="str">
        <f>IFERROR(IF(LEFT(Sensitivität_bzw_Monte_Carlo_bei_Strom[[#This Row],[Source.Name]],SEARCH("aus_der",Sensitivität_bzw_Monte_Carlo_bei_Strom[[#This Row],[Source.Name]],1))="Auszahlung_a","Auszahlung",""),"")</f>
        <v/>
      </c>
      <c r="D798" s="1"/>
    </row>
    <row r="799" spans="1:4" x14ac:dyDescent="0.3">
      <c r="A799" s="1"/>
      <c r="B799" s="1" t="str">
        <f>IFERROR(IF(LEFT(Sensitivität_bzw_Monte_Carlo_bei_Strom[[#This Row],[Source.Name]],SEARCH("aus_der",Sensitivität_bzw_Monte_Carlo_bei_Strom[[#This Row],[Source.Name]],1))="Auszahlung_a","Auszahlung",""),"")</f>
        <v/>
      </c>
      <c r="D799" s="1"/>
    </row>
    <row r="800" spans="1:4" x14ac:dyDescent="0.3">
      <c r="A800" s="1"/>
      <c r="B800" s="1" t="str">
        <f>IFERROR(IF(LEFT(Sensitivität_bzw_Monte_Carlo_bei_Strom[[#This Row],[Source.Name]],SEARCH("aus_der",Sensitivität_bzw_Monte_Carlo_bei_Strom[[#This Row],[Source.Name]],1))="Auszahlung_a","Auszahlung",""),"")</f>
        <v/>
      </c>
      <c r="D800" s="1"/>
    </row>
    <row r="801" spans="1:4" x14ac:dyDescent="0.3">
      <c r="A801" s="1"/>
      <c r="B801" s="1" t="str">
        <f>IFERROR(IF(LEFT(Sensitivität_bzw_Monte_Carlo_bei_Strom[[#This Row],[Source.Name]],SEARCH("aus_der",Sensitivität_bzw_Monte_Carlo_bei_Strom[[#This Row],[Source.Name]],1))="Auszahlung_a","Auszahlung",""),"")</f>
        <v/>
      </c>
      <c r="D801" s="1"/>
    </row>
    <row r="802" spans="1:4" x14ac:dyDescent="0.3">
      <c r="A802" s="1"/>
      <c r="B802" s="1" t="str">
        <f>IFERROR(IF(LEFT(Sensitivität_bzw_Monte_Carlo_bei_Strom[[#This Row],[Source.Name]],SEARCH("aus_der",Sensitivität_bzw_Monte_Carlo_bei_Strom[[#This Row],[Source.Name]],1))="Auszahlung_a","Auszahlung",""),"")</f>
        <v/>
      </c>
      <c r="D802" s="1"/>
    </row>
    <row r="803" spans="1:4" x14ac:dyDescent="0.3">
      <c r="A803" s="1"/>
      <c r="B803" s="1" t="str">
        <f>IFERROR(IF(LEFT(Sensitivität_bzw_Monte_Carlo_bei_Strom[[#This Row],[Source.Name]],SEARCH("aus_der",Sensitivität_bzw_Monte_Carlo_bei_Strom[[#This Row],[Source.Name]],1))="Auszahlung_a","Auszahlung",""),"")</f>
        <v/>
      </c>
      <c r="D803" s="1"/>
    </row>
    <row r="804" spans="1:4" x14ac:dyDescent="0.3">
      <c r="A804" s="1"/>
      <c r="B804" s="1" t="str">
        <f>IFERROR(IF(LEFT(Sensitivität_bzw_Monte_Carlo_bei_Strom[[#This Row],[Source.Name]],SEARCH("aus_der",Sensitivität_bzw_Monte_Carlo_bei_Strom[[#This Row],[Source.Name]],1))="Auszahlung_a","Auszahlung",""),"")</f>
        <v/>
      </c>
      <c r="D804" s="1"/>
    </row>
    <row r="805" spans="1:4" x14ac:dyDescent="0.3">
      <c r="A805" s="1"/>
      <c r="B805" s="1" t="str">
        <f>IFERROR(IF(LEFT(Sensitivität_bzw_Monte_Carlo_bei_Strom[[#This Row],[Source.Name]],SEARCH("aus_der",Sensitivität_bzw_Monte_Carlo_bei_Strom[[#This Row],[Source.Name]],1))="Auszahlung_a","Auszahlung",""),"")</f>
        <v/>
      </c>
      <c r="D805" s="1"/>
    </row>
    <row r="806" spans="1:4" x14ac:dyDescent="0.3">
      <c r="A806" s="1"/>
      <c r="B806" s="1" t="str">
        <f>IFERROR(IF(LEFT(Sensitivität_bzw_Monte_Carlo_bei_Strom[[#This Row],[Source.Name]],SEARCH("aus_der",Sensitivität_bzw_Monte_Carlo_bei_Strom[[#This Row],[Source.Name]],1))="Auszahlung_a","Auszahlung",""),"")</f>
        <v/>
      </c>
      <c r="D806" s="1"/>
    </row>
    <row r="807" spans="1:4" x14ac:dyDescent="0.3">
      <c r="A807" s="1"/>
      <c r="B807" s="1" t="str">
        <f>IFERROR(IF(LEFT(Sensitivität_bzw_Monte_Carlo_bei_Strom[[#This Row],[Source.Name]],SEARCH("aus_der",Sensitivität_bzw_Monte_Carlo_bei_Strom[[#This Row],[Source.Name]],1))="Auszahlung_a","Auszahlung",""),"")</f>
        <v/>
      </c>
      <c r="D807" s="1"/>
    </row>
    <row r="808" spans="1:4" x14ac:dyDescent="0.3">
      <c r="A808" s="1"/>
      <c r="B808" s="1" t="str">
        <f>IFERROR(IF(LEFT(Sensitivität_bzw_Monte_Carlo_bei_Strom[[#This Row],[Source.Name]],SEARCH("aus_der",Sensitivität_bzw_Monte_Carlo_bei_Strom[[#This Row],[Source.Name]],1))="Auszahlung_a","Auszahlung",""),"")</f>
        <v/>
      </c>
      <c r="D808" s="1"/>
    </row>
    <row r="809" spans="1:4" x14ac:dyDescent="0.3">
      <c r="A809" s="1"/>
      <c r="B809" s="1" t="str">
        <f>IFERROR(IF(LEFT(Sensitivität_bzw_Monte_Carlo_bei_Strom[[#This Row],[Source.Name]],SEARCH("aus_der",Sensitivität_bzw_Monte_Carlo_bei_Strom[[#This Row],[Source.Name]],1))="Auszahlung_a","Auszahlung",""),"")</f>
        <v/>
      </c>
      <c r="D809" s="1"/>
    </row>
    <row r="810" spans="1:4" x14ac:dyDescent="0.3">
      <c r="A810" s="1"/>
      <c r="B810" s="1" t="str">
        <f>IFERROR(IF(LEFT(Sensitivität_bzw_Monte_Carlo_bei_Strom[[#This Row],[Source.Name]],SEARCH("aus_der",Sensitivität_bzw_Monte_Carlo_bei_Strom[[#This Row],[Source.Name]],1))="Auszahlung_a","Auszahlung",""),"")</f>
        <v/>
      </c>
      <c r="D810" s="1"/>
    </row>
    <row r="811" spans="1:4" x14ac:dyDescent="0.3">
      <c r="A811" s="1"/>
      <c r="B811" s="1" t="str">
        <f>IFERROR(IF(LEFT(Sensitivität_bzw_Monte_Carlo_bei_Strom[[#This Row],[Source.Name]],SEARCH("aus_der",Sensitivität_bzw_Monte_Carlo_bei_Strom[[#This Row],[Source.Name]],1))="Auszahlung_a","Auszahlung",""),"")</f>
        <v/>
      </c>
      <c r="D811" s="1"/>
    </row>
    <row r="812" spans="1:4" x14ac:dyDescent="0.3">
      <c r="A812" s="1"/>
      <c r="B812" s="1" t="str">
        <f>IFERROR(IF(LEFT(Sensitivität_bzw_Monte_Carlo_bei_Strom[[#This Row],[Source.Name]],SEARCH("aus_der",Sensitivität_bzw_Monte_Carlo_bei_Strom[[#This Row],[Source.Name]],1))="Auszahlung_a","Auszahlung",""),"")</f>
        <v/>
      </c>
      <c r="D812" s="1"/>
    </row>
    <row r="813" spans="1:4" x14ac:dyDescent="0.3">
      <c r="A813" s="1"/>
      <c r="B813" s="1" t="str">
        <f>IFERROR(IF(LEFT(Sensitivität_bzw_Monte_Carlo_bei_Strom[[#This Row],[Source.Name]],SEARCH("aus_der",Sensitivität_bzw_Monte_Carlo_bei_Strom[[#This Row],[Source.Name]],1))="Auszahlung_a","Auszahlung",""),"")</f>
        <v/>
      </c>
      <c r="D813" s="1"/>
    </row>
    <row r="814" spans="1:4" x14ac:dyDescent="0.3">
      <c r="A814" s="1"/>
      <c r="B814" s="1" t="str">
        <f>IFERROR(IF(LEFT(Sensitivität_bzw_Monte_Carlo_bei_Strom[[#This Row],[Source.Name]],SEARCH("aus_der",Sensitivität_bzw_Monte_Carlo_bei_Strom[[#This Row],[Source.Name]],1))="Auszahlung_a","Auszahlung",""),"")</f>
        <v/>
      </c>
      <c r="D814" s="1"/>
    </row>
    <row r="815" spans="1:4" x14ac:dyDescent="0.3">
      <c r="A815" s="1"/>
      <c r="B815" s="1" t="str">
        <f>IFERROR(IF(LEFT(Sensitivität_bzw_Monte_Carlo_bei_Strom[[#This Row],[Source.Name]],SEARCH("aus_der",Sensitivität_bzw_Monte_Carlo_bei_Strom[[#This Row],[Source.Name]],1))="Auszahlung_a","Auszahlung",""),"")</f>
        <v/>
      </c>
      <c r="D815" s="1"/>
    </row>
    <row r="816" spans="1:4" x14ac:dyDescent="0.3">
      <c r="A816" s="1"/>
      <c r="B816" s="1" t="str">
        <f>IFERROR(IF(LEFT(Sensitivität_bzw_Monte_Carlo_bei_Strom[[#This Row],[Source.Name]],SEARCH("aus_der",Sensitivität_bzw_Monte_Carlo_bei_Strom[[#This Row],[Source.Name]],1))="Auszahlung_a","Auszahlung",""),"")</f>
        <v/>
      </c>
      <c r="D816" s="1"/>
    </row>
    <row r="817" spans="1:4" x14ac:dyDescent="0.3">
      <c r="A817" s="1"/>
      <c r="B817" s="1" t="str">
        <f>IFERROR(IF(LEFT(Sensitivität_bzw_Monte_Carlo_bei_Strom[[#This Row],[Source.Name]],SEARCH("aus_der",Sensitivität_bzw_Monte_Carlo_bei_Strom[[#This Row],[Source.Name]],1))="Auszahlung_a","Auszahlung",""),"")</f>
        <v/>
      </c>
      <c r="D817" s="1"/>
    </row>
    <row r="818" spans="1:4" x14ac:dyDescent="0.3">
      <c r="A818" s="1"/>
      <c r="B818" s="1" t="str">
        <f>IFERROR(IF(LEFT(Sensitivität_bzw_Monte_Carlo_bei_Strom[[#This Row],[Source.Name]],SEARCH("aus_der",Sensitivität_bzw_Monte_Carlo_bei_Strom[[#This Row],[Source.Name]],1))="Auszahlung_a","Auszahlung",""),"")</f>
        <v/>
      </c>
      <c r="D818" s="1"/>
    </row>
    <row r="819" spans="1:4" x14ac:dyDescent="0.3">
      <c r="A819" s="1"/>
      <c r="B819" s="1" t="str">
        <f>IFERROR(IF(LEFT(Sensitivität_bzw_Monte_Carlo_bei_Strom[[#This Row],[Source.Name]],SEARCH("aus_der",Sensitivität_bzw_Monte_Carlo_bei_Strom[[#This Row],[Source.Name]],1))="Auszahlung_a","Auszahlung",""),"")</f>
        <v/>
      </c>
      <c r="D819" s="1"/>
    </row>
    <row r="820" spans="1:4" x14ac:dyDescent="0.3">
      <c r="A820" s="1"/>
      <c r="B820" s="1" t="str">
        <f>IFERROR(IF(LEFT(Sensitivität_bzw_Monte_Carlo_bei_Strom[[#This Row],[Source.Name]],SEARCH("aus_der",Sensitivität_bzw_Monte_Carlo_bei_Strom[[#This Row],[Source.Name]],1))="Auszahlung_a","Auszahlung",""),"")</f>
        <v/>
      </c>
      <c r="D820" s="1"/>
    </row>
    <row r="821" spans="1:4" x14ac:dyDescent="0.3">
      <c r="A821" s="1"/>
      <c r="B821" s="1" t="str">
        <f>IFERROR(IF(LEFT(Sensitivität_bzw_Monte_Carlo_bei_Strom[[#This Row],[Source.Name]],SEARCH("aus_der",Sensitivität_bzw_Monte_Carlo_bei_Strom[[#This Row],[Source.Name]],1))="Auszahlung_a","Auszahlung",""),"")</f>
        <v/>
      </c>
      <c r="D821" s="1"/>
    </row>
    <row r="822" spans="1:4" x14ac:dyDescent="0.3">
      <c r="A822" s="1"/>
      <c r="B822" s="1" t="str">
        <f>IFERROR(IF(LEFT(Sensitivität_bzw_Monte_Carlo_bei_Strom[[#This Row],[Source.Name]],SEARCH("aus_der",Sensitivität_bzw_Monte_Carlo_bei_Strom[[#This Row],[Source.Name]],1))="Auszahlung_a","Auszahlung",""),"")</f>
        <v/>
      </c>
      <c r="D822" s="1"/>
    </row>
    <row r="823" spans="1:4" x14ac:dyDescent="0.3">
      <c r="A823" s="1"/>
      <c r="B823" s="1" t="str">
        <f>IFERROR(IF(LEFT(Sensitivität_bzw_Monte_Carlo_bei_Strom[[#This Row],[Source.Name]],SEARCH("aus_der",Sensitivität_bzw_Monte_Carlo_bei_Strom[[#This Row],[Source.Name]],1))="Auszahlung_a","Auszahlung",""),"")</f>
        <v/>
      </c>
      <c r="D823" s="1"/>
    </row>
    <row r="824" spans="1:4" x14ac:dyDescent="0.3">
      <c r="A824" s="1"/>
      <c r="B824" s="1" t="str">
        <f>IFERROR(IF(LEFT(Sensitivität_bzw_Monte_Carlo_bei_Strom[[#This Row],[Source.Name]],SEARCH("aus_der",Sensitivität_bzw_Monte_Carlo_bei_Strom[[#This Row],[Source.Name]],1))="Auszahlung_a","Auszahlung",""),"")</f>
        <v/>
      </c>
      <c r="D824" s="1"/>
    </row>
    <row r="825" spans="1:4" x14ac:dyDescent="0.3">
      <c r="A825" s="1"/>
      <c r="B825" s="1" t="str">
        <f>IFERROR(IF(LEFT(Sensitivität_bzw_Monte_Carlo_bei_Strom[[#This Row],[Source.Name]],SEARCH("aus_der",Sensitivität_bzw_Monte_Carlo_bei_Strom[[#This Row],[Source.Name]],1))="Auszahlung_a","Auszahlung",""),"")</f>
        <v/>
      </c>
      <c r="D825" s="1"/>
    </row>
    <row r="826" spans="1:4" x14ac:dyDescent="0.3">
      <c r="A826" s="1"/>
      <c r="B826" s="1" t="str">
        <f>IFERROR(IF(LEFT(Sensitivität_bzw_Monte_Carlo_bei_Strom[[#This Row],[Source.Name]],SEARCH("aus_der",Sensitivität_bzw_Monte_Carlo_bei_Strom[[#This Row],[Source.Name]],1))="Auszahlung_a","Auszahlung",""),"")</f>
        <v/>
      </c>
      <c r="D826" s="1"/>
    </row>
    <row r="827" spans="1:4" x14ac:dyDescent="0.3">
      <c r="A827" s="1"/>
      <c r="B827" s="1" t="str">
        <f>IFERROR(IF(LEFT(Sensitivität_bzw_Monte_Carlo_bei_Strom[[#This Row],[Source.Name]],SEARCH("aus_der",Sensitivität_bzw_Monte_Carlo_bei_Strom[[#This Row],[Source.Name]],1))="Auszahlung_a","Auszahlung",""),"")</f>
        <v/>
      </c>
      <c r="D827" s="1"/>
    </row>
    <row r="828" spans="1:4" x14ac:dyDescent="0.3">
      <c r="A828" s="1"/>
      <c r="B828" s="1" t="str">
        <f>IFERROR(IF(LEFT(Sensitivität_bzw_Monte_Carlo_bei_Strom[[#This Row],[Source.Name]],SEARCH("aus_der",Sensitivität_bzw_Monte_Carlo_bei_Strom[[#This Row],[Source.Name]],1))="Auszahlung_a","Auszahlung",""),"")</f>
        <v/>
      </c>
      <c r="D828" s="1"/>
    </row>
    <row r="829" spans="1:4" x14ac:dyDescent="0.3">
      <c r="A829" s="1"/>
      <c r="B829" s="1" t="str">
        <f>IFERROR(IF(LEFT(Sensitivität_bzw_Monte_Carlo_bei_Strom[[#This Row],[Source.Name]],SEARCH("aus_der",Sensitivität_bzw_Monte_Carlo_bei_Strom[[#This Row],[Source.Name]],1))="Auszahlung_a","Auszahlung",""),"")</f>
        <v/>
      </c>
      <c r="D829" s="1"/>
    </row>
    <row r="830" spans="1:4" x14ac:dyDescent="0.3">
      <c r="A830" s="1"/>
      <c r="B830" s="1" t="str">
        <f>IFERROR(IF(LEFT(Sensitivität_bzw_Monte_Carlo_bei_Strom[[#This Row],[Source.Name]],SEARCH("aus_der",Sensitivität_bzw_Monte_Carlo_bei_Strom[[#This Row],[Source.Name]],1))="Auszahlung_a","Auszahlung",""),"")</f>
        <v/>
      </c>
      <c r="D830" s="1"/>
    </row>
    <row r="831" spans="1:4" x14ac:dyDescent="0.3">
      <c r="A831" s="1"/>
      <c r="B831" s="1" t="str">
        <f>IFERROR(IF(LEFT(Sensitivität_bzw_Monte_Carlo_bei_Strom[[#This Row],[Source.Name]],SEARCH("aus_der",Sensitivität_bzw_Monte_Carlo_bei_Strom[[#This Row],[Source.Name]],1))="Auszahlung_a","Auszahlung",""),"")</f>
        <v/>
      </c>
      <c r="D831" s="1"/>
    </row>
    <row r="832" spans="1:4" x14ac:dyDescent="0.3">
      <c r="A832" s="1"/>
      <c r="B832" s="1" t="str">
        <f>IFERROR(IF(LEFT(Sensitivität_bzw_Monte_Carlo_bei_Strom[[#This Row],[Source.Name]],SEARCH("aus_der",Sensitivität_bzw_Monte_Carlo_bei_Strom[[#This Row],[Source.Name]],1))="Auszahlung_a","Auszahlung",""),"")</f>
        <v/>
      </c>
      <c r="D832" s="1"/>
    </row>
    <row r="833" spans="1:4" x14ac:dyDescent="0.3">
      <c r="A833" s="1"/>
      <c r="B833" s="1" t="str">
        <f>IFERROR(IF(LEFT(Sensitivität_bzw_Monte_Carlo_bei_Strom[[#This Row],[Source.Name]],SEARCH("aus_der",Sensitivität_bzw_Monte_Carlo_bei_Strom[[#This Row],[Source.Name]],1))="Auszahlung_a","Auszahlung",""),"")</f>
        <v/>
      </c>
      <c r="D833" s="1"/>
    </row>
    <row r="834" spans="1:4" x14ac:dyDescent="0.3">
      <c r="A834" s="1"/>
      <c r="B834" s="1" t="str">
        <f>IFERROR(IF(LEFT(Sensitivität_bzw_Monte_Carlo_bei_Strom[[#This Row],[Source.Name]],SEARCH("aus_der",Sensitivität_bzw_Monte_Carlo_bei_Strom[[#This Row],[Source.Name]],1))="Auszahlung_a","Auszahlung",""),"")</f>
        <v/>
      </c>
      <c r="D834" s="1"/>
    </row>
    <row r="835" spans="1:4" x14ac:dyDescent="0.3">
      <c r="A835" s="1"/>
      <c r="B835" s="1" t="str">
        <f>IFERROR(IF(LEFT(Sensitivität_bzw_Monte_Carlo_bei_Strom[[#This Row],[Source.Name]],SEARCH("aus_der",Sensitivität_bzw_Monte_Carlo_bei_Strom[[#This Row],[Source.Name]],1))="Auszahlung_a","Auszahlung",""),"")</f>
        <v/>
      </c>
      <c r="D835" s="1"/>
    </row>
    <row r="836" spans="1:4" x14ac:dyDescent="0.3">
      <c r="A836" s="1"/>
      <c r="B836" s="1" t="str">
        <f>IFERROR(IF(LEFT(Sensitivität_bzw_Monte_Carlo_bei_Strom[[#This Row],[Source.Name]],SEARCH("aus_der",Sensitivität_bzw_Monte_Carlo_bei_Strom[[#This Row],[Source.Name]],1))="Auszahlung_a","Auszahlung",""),"")</f>
        <v/>
      </c>
      <c r="D836" s="1"/>
    </row>
    <row r="837" spans="1:4" x14ac:dyDescent="0.3">
      <c r="A837" s="1"/>
      <c r="B837" s="1" t="str">
        <f>IFERROR(IF(LEFT(Sensitivität_bzw_Monte_Carlo_bei_Strom[[#This Row],[Source.Name]],SEARCH("aus_der",Sensitivität_bzw_Monte_Carlo_bei_Strom[[#This Row],[Source.Name]],1))="Auszahlung_a","Auszahlung",""),"")</f>
        <v/>
      </c>
      <c r="D837" s="1"/>
    </row>
    <row r="838" spans="1:4" x14ac:dyDescent="0.3">
      <c r="A838" s="1"/>
      <c r="B838" s="1" t="str">
        <f>IFERROR(IF(LEFT(Sensitivität_bzw_Monte_Carlo_bei_Strom[[#This Row],[Source.Name]],SEARCH("aus_der",Sensitivität_bzw_Monte_Carlo_bei_Strom[[#This Row],[Source.Name]],1))="Auszahlung_a","Auszahlung",""),"")</f>
        <v/>
      </c>
      <c r="D838" s="1"/>
    </row>
    <row r="839" spans="1:4" x14ac:dyDescent="0.3">
      <c r="A839" s="1"/>
      <c r="B839" s="1" t="str">
        <f>IFERROR(IF(LEFT(Sensitivität_bzw_Monte_Carlo_bei_Strom[[#This Row],[Source.Name]],SEARCH("aus_der",Sensitivität_bzw_Monte_Carlo_bei_Strom[[#This Row],[Source.Name]],1))="Auszahlung_a","Auszahlung",""),"")</f>
        <v/>
      </c>
      <c r="D839" s="1"/>
    </row>
    <row r="840" spans="1:4" x14ac:dyDescent="0.3">
      <c r="A840" s="1"/>
      <c r="B840" s="1" t="str">
        <f>IFERROR(IF(LEFT(Sensitivität_bzw_Monte_Carlo_bei_Strom[[#This Row],[Source.Name]],SEARCH("aus_der",Sensitivität_bzw_Monte_Carlo_bei_Strom[[#This Row],[Source.Name]],1))="Auszahlung_a","Auszahlung",""),"")</f>
        <v/>
      </c>
      <c r="D840" s="1"/>
    </row>
    <row r="841" spans="1:4" x14ac:dyDescent="0.3">
      <c r="A841" s="1"/>
      <c r="B841" s="1" t="str">
        <f>IFERROR(IF(LEFT(Sensitivität_bzw_Monte_Carlo_bei_Strom[[#This Row],[Source.Name]],SEARCH("aus_der",Sensitivität_bzw_Monte_Carlo_bei_Strom[[#This Row],[Source.Name]],1))="Auszahlung_a","Auszahlung",""),"")</f>
        <v/>
      </c>
      <c r="D841" s="1"/>
    </row>
    <row r="842" spans="1:4" x14ac:dyDescent="0.3">
      <c r="A842" s="1"/>
      <c r="B842" s="1" t="str">
        <f>IFERROR(IF(LEFT(Sensitivität_bzw_Monte_Carlo_bei_Strom[[#This Row],[Source.Name]],SEARCH("aus_der",Sensitivität_bzw_Monte_Carlo_bei_Strom[[#This Row],[Source.Name]],1))="Auszahlung_a","Auszahlung",""),"")</f>
        <v/>
      </c>
      <c r="D842" s="1"/>
    </row>
    <row r="843" spans="1:4" x14ac:dyDescent="0.3">
      <c r="A843" s="1"/>
      <c r="B843" s="1" t="str">
        <f>IFERROR(IF(LEFT(Sensitivität_bzw_Monte_Carlo_bei_Strom[[#This Row],[Source.Name]],SEARCH("aus_der",Sensitivität_bzw_Monte_Carlo_bei_Strom[[#This Row],[Source.Name]],1))="Auszahlung_a","Auszahlung",""),"")</f>
        <v/>
      </c>
      <c r="D843" s="1"/>
    </row>
    <row r="844" spans="1:4" x14ac:dyDescent="0.3">
      <c r="A844" s="1"/>
      <c r="B844" s="1" t="str">
        <f>IFERROR(IF(LEFT(Sensitivität_bzw_Monte_Carlo_bei_Strom[[#This Row],[Source.Name]],SEARCH("aus_der",Sensitivität_bzw_Monte_Carlo_bei_Strom[[#This Row],[Source.Name]],1))="Auszahlung_a","Auszahlung",""),"")</f>
        <v/>
      </c>
      <c r="D844" s="1"/>
    </row>
    <row r="845" spans="1:4" x14ac:dyDescent="0.3">
      <c r="A845" s="1"/>
      <c r="B845" s="1" t="str">
        <f>IFERROR(IF(LEFT(Sensitivität_bzw_Monte_Carlo_bei_Strom[[#This Row],[Source.Name]],SEARCH("aus_der",Sensitivität_bzw_Monte_Carlo_bei_Strom[[#This Row],[Source.Name]],1))="Auszahlung_a","Auszahlung",""),"")</f>
        <v/>
      </c>
      <c r="D845" s="1"/>
    </row>
    <row r="846" spans="1:4" x14ac:dyDescent="0.3">
      <c r="A846" s="1"/>
      <c r="B846" s="1" t="str">
        <f>IFERROR(IF(LEFT(Sensitivität_bzw_Monte_Carlo_bei_Strom[[#This Row],[Source.Name]],SEARCH("aus_der",Sensitivität_bzw_Monte_Carlo_bei_Strom[[#This Row],[Source.Name]],1))="Auszahlung_a","Auszahlung",""),"")</f>
        <v/>
      </c>
      <c r="D846" s="1"/>
    </row>
    <row r="847" spans="1:4" x14ac:dyDescent="0.3">
      <c r="A847" s="1"/>
      <c r="B847" s="1" t="str">
        <f>IFERROR(IF(LEFT(Sensitivität_bzw_Monte_Carlo_bei_Strom[[#This Row],[Source.Name]],SEARCH("aus_der",Sensitivität_bzw_Monte_Carlo_bei_Strom[[#This Row],[Source.Name]],1))="Auszahlung_a","Auszahlung",""),"")</f>
        <v/>
      </c>
      <c r="D847" s="1"/>
    </row>
    <row r="848" spans="1:4" x14ac:dyDescent="0.3">
      <c r="A848" s="1"/>
      <c r="B848" s="1" t="str">
        <f>IFERROR(IF(LEFT(Sensitivität_bzw_Monte_Carlo_bei_Strom[[#This Row],[Source.Name]],SEARCH("aus_der",Sensitivität_bzw_Monte_Carlo_bei_Strom[[#This Row],[Source.Name]],1))="Auszahlung_a","Auszahlung",""),"")</f>
        <v/>
      </c>
      <c r="D848" s="1"/>
    </row>
    <row r="849" spans="1:4" x14ac:dyDescent="0.3">
      <c r="A849" s="1"/>
      <c r="B849" s="1" t="str">
        <f>IFERROR(IF(LEFT(Sensitivität_bzw_Monte_Carlo_bei_Strom[[#This Row],[Source.Name]],SEARCH("aus_der",Sensitivität_bzw_Monte_Carlo_bei_Strom[[#This Row],[Source.Name]],1))="Auszahlung_a","Auszahlung",""),"")</f>
        <v/>
      </c>
      <c r="D849" s="1"/>
    </row>
    <row r="850" spans="1:4" x14ac:dyDescent="0.3">
      <c r="A850" s="1"/>
      <c r="B850" s="1" t="str">
        <f>IFERROR(IF(LEFT(Sensitivität_bzw_Monte_Carlo_bei_Strom[[#This Row],[Source.Name]],SEARCH("aus_der",Sensitivität_bzw_Monte_Carlo_bei_Strom[[#This Row],[Source.Name]],1))="Auszahlung_a","Auszahlung",""),"")</f>
        <v/>
      </c>
      <c r="D850" s="1"/>
    </row>
    <row r="851" spans="1:4" x14ac:dyDescent="0.3">
      <c r="A851" s="1"/>
      <c r="B851" s="1" t="str">
        <f>IFERROR(IF(LEFT(Sensitivität_bzw_Monte_Carlo_bei_Strom[[#This Row],[Source.Name]],SEARCH("aus_der",Sensitivität_bzw_Monte_Carlo_bei_Strom[[#This Row],[Source.Name]],1))="Auszahlung_a","Auszahlung",""),"")</f>
        <v/>
      </c>
      <c r="D851" s="1"/>
    </row>
    <row r="852" spans="1:4" x14ac:dyDescent="0.3">
      <c r="A852" s="1"/>
      <c r="B852" s="1" t="str">
        <f>IFERROR(IF(LEFT(Sensitivität_bzw_Monte_Carlo_bei_Strom[[#This Row],[Source.Name]],SEARCH("aus_der",Sensitivität_bzw_Monte_Carlo_bei_Strom[[#This Row],[Source.Name]],1))="Auszahlung_a","Auszahlung",""),"")</f>
        <v/>
      </c>
      <c r="D852" s="1"/>
    </row>
    <row r="853" spans="1:4" x14ac:dyDescent="0.3">
      <c r="A853" s="1"/>
      <c r="B853" s="1" t="str">
        <f>IFERROR(IF(LEFT(Sensitivität_bzw_Monte_Carlo_bei_Strom[[#This Row],[Source.Name]],SEARCH("aus_der",Sensitivität_bzw_Monte_Carlo_bei_Strom[[#This Row],[Source.Name]],1))="Auszahlung_a","Auszahlung",""),"")</f>
        <v/>
      </c>
      <c r="D853" s="1"/>
    </row>
    <row r="854" spans="1:4" x14ac:dyDescent="0.3">
      <c r="A854" s="1"/>
      <c r="B854" s="1" t="str">
        <f>IFERROR(IF(LEFT(Sensitivität_bzw_Monte_Carlo_bei_Strom[[#This Row],[Source.Name]],SEARCH("aus_der",Sensitivität_bzw_Monte_Carlo_bei_Strom[[#This Row],[Source.Name]],1))="Auszahlung_a","Auszahlung",""),"")</f>
        <v/>
      </c>
      <c r="D854" s="1"/>
    </row>
    <row r="855" spans="1:4" x14ac:dyDescent="0.3">
      <c r="A855" s="1"/>
      <c r="B855" s="1" t="str">
        <f>IFERROR(IF(LEFT(Sensitivität_bzw_Monte_Carlo_bei_Strom[[#This Row],[Source.Name]],SEARCH("aus_der",Sensitivität_bzw_Monte_Carlo_bei_Strom[[#This Row],[Source.Name]],1))="Auszahlung_a","Auszahlung",""),"")</f>
        <v/>
      </c>
      <c r="D855" s="1"/>
    </row>
    <row r="856" spans="1:4" x14ac:dyDescent="0.3">
      <c r="A856" s="1"/>
      <c r="B856" s="1" t="str">
        <f>IFERROR(IF(LEFT(Sensitivität_bzw_Monte_Carlo_bei_Strom[[#This Row],[Source.Name]],SEARCH("aus_der",Sensitivität_bzw_Monte_Carlo_bei_Strom[[#This Row],[Source.Name]],1))="Auszahlung_a","Auszahlung",""),"")</f>
        <v/>
      </c>
      <c r="D856" s="1"/>
    </row>
    <row r="857" spans="1:4" x14ac:dyDescent="0.3">
      <c r="A857" s="1"/>
      <c r="B857" s="1" t="str">
        <f>IFERROR(IF(LEFT(Sensitivität_bzw_Monte_Carlo_bei_Strom[[#This Row],[Source.Name]],SEARCH("aus_der",Sensitivität_bzw_Monte_Carlo_bei_Strom[[#This Row],[Source.Name]],1))="Auszahlung_a","Auszahlung",""),"")</f>
        <v/>
      </c>
      <c r="D857" s="1"/>
    </row>
    <row r="858" spans="1:4" x14ac:dyDescent="0.3">
      <c r="A858" s="1"/>
      <c r="B858" s="1" t="str">
        <f>IFERROR(IF(LEFT(Sensitivität_bzw_Monte_Carlo_bei_Strom[[#This Row],[Source.Name]],SEARCH("aus_der",Sensitivität_bzw_Monte_Carlo_bei_Strom[[#This Row],[Source.Name]],1))="Auszahlung_a","Auszahlung",""),"")</f>
        <v/>
      </c>
      <c r="D858" s="1"/>
    </row>
    <row r="859" spans="1:4" x14ac:dyDescent="0.3">
      <c r="A859" s="1"/>
      <c r="B859" s="1" t="str">
        <f>IFERROR(IF(LEFT(Sensitivität_bzw_Monte_Carlo_bei_Strom[[#This Row],[Source.Name]],SEARCH("aus_der",Sensitivität_bzw_Monte_Carlo_bei_Strom[[#This Row],[Source.Name]],1))="Auszahlung_a","Auszahlung",""),"")</f>
        <v/>
      </c>
      <c r="D859" s="1"/>
    </row>
    <row r="860" spans="1:4" x14ac:dyDescent="0.3">
      <c r="A860" s="1"/>
      <c r="B860" s="1" t="str">
        <f>IFERROR(IF(LEFT(Sensitivität_bzw_Monte_Carlo_bei_Strom[[#This Row],[Source.Name]],SEARCH("aus_der",Sensitivität_bzw_Monte_Carlo_bei_Strom[[#This Row],[Source.Name]],1))="Auszahlung_a","Auszahlung",""),"")</f>
        <v/>
      </c>
      <c r="D860" s="1"/>
    </row>
    <row r="861" spans="1:4" x14ac:dyDescent="0.3">
      <c r="A861" s="1"/>
      <c r="B861" s="1" t="str">
        <f>IFERROR(IF(LEFT(Sensitivität_bzw_Monte_Carlo_bei_Strom[[#This Row],[Source.Name]],SEARCH("aus_der",Sensitivität_bzw_Monte_Carlo_bei_Strom[[#This Row],[Source.Name]],1))="Auszahlung_a","Auszahlung",""),"")</f>
        <v/>
      </c>
      <c r="D861" s="1"/>
    </row>
    <row r="862" spans="1:4" x14ac:dyDescent="0.3">
      <c r="A862" s="1"/>
      <c r="B862" s="1" t="str">
        <f>IFERROR(IF(LEFT(Sensitivität_bzw_Monte_Carlo_bei_Strom[[#This Row],[Source.Name]],SEARCH("aus_der",Sensitivität_bzw_Monte_Carlo_bei_Strom[[#This Row],[Source.Name]],1))="Auszahlung_a","Auszahlung",""),"")</f>
        <v/>
      </c>
      <c r="D862" s="1"/>
    </row>
    <row r="863" spans="1:4" x14ac:dyDescent="0.3">
      <c r="A863" s="1"/>
      <c r="B863" s="1" t="str">
        <f>IFERROR(IF(LEFT(Sensitivität_bzw_Monte_Carlo_bei_Strom[[#This Row],[Source.Name]],SEARCH("aus_der",Sensitivität_bzw_Monte_Carlo_bei_Strom[[#This Row],[Source.Name]],1))="Auszahlung_a","Auszahlung",""),"")</f>
        <v/>
      </c>
      <c r="D863" s="1"/>
    </row>
    <row r="864" spans="1:4" x14ac:dyDescent="0.3">
      <c r="A864" s="1"/>
      <c r="B864" s="1" t="str">
        <f>IFERROR(IF(LEFT(Sensitivität_bzw_Monte_Carlo_bei_Strom[[#This Row],[Source.Name]],SEARCH("aus_der",Sensitivität_bzw_Monte_Carlo_bei_Strom[[#This Row],[Source.Name]],1))="Auszahlung_a","Auszahlung",""),"")</f>
        <v/>
      </c>
      <c r="D864" s="1"/>
    </row>
    <row r="865" spans="1:4" x14ac:dyDescent="0.3">
      <c r="A865" s="1"/>
      <c r="B865" s="1" t="str">
        <f>IFERROR(IF(LEFT(Sensitivität_bzw_Monte_Carlo_bei_Strom[[#This Row],[Source.Name]],SEARCH("aus_der",Sensitivität_bzw_Monte_Carlo_bei_Strom[[#This Row],[Source.Name]],1))="Auszahlung_a","Auszahlung",""),"")</f>
        <v/>
      </c>
      <c r="D865" s="1"/>
    </row>
    <row r="866" spans="1:4" x14ac:dyDescent="0.3">
      <c r="A866" s="1"/>
      <c r="B866" s="1" t="str">
        <f>IFERROR(IF(LEFT(Sensitivität_bzw_Monte_Carlo_bei_Strom[[#This Row],[Source.Name]],SEARCH("aus_der",Sensitivität_bzw_Monte_Carlo_bei_Strom[[#This Row],[Source.Name]],1))="Auszahlung_a","Auszahlung",""),"")</f>
        <v/>
      </c>
      <c r="D866" s="1"/>
    </row>
    <row r="867" spans="1:4" x14ac:dyDescent="0.3">
      <c r="A867" s="1"/>
      <c r="B867" s="1" t="str">
        <f>IFERROR(IF(LEFT(Sensitivität_bzw_Monte_Carlo_bei_Strom[[#This Row],[Source.Name]],SEARCH("aus_der",Sensitivität_bzw_Monte_Carlo_bei_Strom[[#This Row],[Source.Name]],1))="Auszahlung_a","Auszahlung",""),"")</f>
        <v/>
      </c>
      <c r="D867" s="1"/>
    </row>
    <row r="868" spans="1:4" x14ac:dyDescent="0.3">
      <c r="A868" s="1"/>
      <c r="B868" s="1" t="str">
        <f>IFERROR(IF(LEFT(Sensitivität_bzw_Monte_Carlo_bei_Strom[[#This Row],[Source.Name]],SEARCH("aus_der",Sensitivität_bzw_Monte_Carlo_bei_Strom[[#This Row],[Source.Name]],1))="Auszahlung_a","Auszahlung",""),"")</f>
        <v/>
      </c>
      <c r="D868" s="1"/>
    </row>
    <row r="869" spans="1:4" x14ac:dyDescent="0.3">
      <c r="A869" s="1"/>
      <c r="B869" s="1" t="str">
        <f>IFERROR(IF(LEFT(Sensitivität_bzw_Monte_Carlo_bei_Strom[[#This Row],[Source.Name]],SEARCH("aus_der",Sensitivität_bzw_Monte_Carlo_bei_Strom[[#This Row],[Source.Name]],1))="Auszahlung_a","Auszahlung",""),"")</f>
        <v/>
      </c>
      <c r="D869" s="1"/>
    </row>
    <row r="870" spans="1:4" x14ac:dyDescent="0.3">
      <c r="A870" s="1"/>
      <c r="B870" s="1" t="str">
        <f>IFERROR(IF(LEFT(Sensitivität_bzw_Monte_Carlo_bei_Strom[[#This Row],[Source.Name]],SEARCH("aus_der",Sensitivität_bzw_Monte_Carlo_bei_Strom[[#This Row],[Source.Name]],1))="Auszahlung_a","Auszahlung",""),"")</f>
        <v/>
      </c>
      <c r="D870" s="1"/>
    </row>
    <row r="871" spans="1:4" x14ac:dyDescent="0.3">
      <c r="A871" s="1"/>
      <c r="B871" s="1" t="str">
        <f>IFERROR(IF(LEFT(Sensitivität_bzw_Monte_Carlo_bei_Strom[[#This Row],[Source.Name]],SEARCH("aus_der",Sensitivität_bzw_Monte_Carlo_bei_Strom[[#This Row],[Source.Name]],1))="Auszahlung_a","Auszahlung",""),"")</f>
        <v/>
      </c>
      <c r="D871" s="1"/>
    </row>
    <row r="872" spans="1:4" x14ac:dyDescent="0.3">
      <c r="A872" s="1"/>
      <c r="B872" s="1" t="str">
        <f>IFERROR(IF(LEFT(Sensitivität_bzw_Monte_Carlo_bei_Strom[[#This Row],[Source.Name]],SEARCH("aus_der",Sensitivität_bzw_Monte_Carlo_bei_Strom[[#This Row],[Source.Name]],1))="Auszahlung_a","Auszahlung",""),"")</f>
        <v/>
      </c>
      <c r="D872" s="1"/>
    </row>
    <row r="873" spans="1:4" x14ac:dyDescent="0.3">
      <c r="A873" s="1"/>
      <c r="B873" s="1" t="str">
        <f>IFERROR(IF(LEFT(Sensitivität_bzw_Monte_Carlo_bei_Strom[[#This Row],[Source.Name]],SEARCH("aus_der",Sensitivität_bzw_Monte_Carlo_bei_Strom[[#This Row],[Source.Name]],1))="Auszahlung_a","Auszahlung",""),"")</f>
        <v/>
      </c>
      <c r="D873" s="1"/>
    </row>
    <row r="874" spans="1:4" x14ac:dyDescent="0.3">
      <c r="A874" s="1"/>
      <c r="B874" s="1" t="str">
        <f>IFERROR(IF(LEFT(Sensitivität_bzw_Monte_Carlo_bei_Strom[[#This Row],[Source.Name]],SEARCH("aus_der",Sensitivität_bzw_Monte_Carlo_bei_Strom[[#This Row],[Source.Name]],1))="Auszahlung_a","Auszahlung",""),"")</f>
        <v/>
      </c>
      <c r="D874" s="1"/>
    </row>
    <row r="875" spans="1:4" x14ac:dyDescent="0.3">
      <c r="A875" s="1"/>
      <c r="B875" s="1" t="str">
        <f>IFERROR(IF(LEFT(Sensitivität_bzw_Monte_Carlo_bei_Strom[[#This Row],[Source.Name]],SEARCH("aus_der",Sensitivität_bzw_Monte_Carlo_bei_Strom[[#This Row],[Source.Name]],1))="Auszahlung_a","Auszahlung",""),"")</f>
        <v/>
      </c>
      <c r="D875" s="1"/>
    </row>
    <row r="876" spans="1:4" x14ac:dyDescent="0.3">
      <c r="A876" s="1"/>
      <c r="B876" s="1" t="str">
        <f>IFERROR(IF(LEFT(Sensitivität_bzw_Monte_Carlo_bei_Strom[[#This Row],[Source.Name]],SEARCH("aus_der",Sensitivität_bzw_Monte_Carlo_bei_Strom[[#This Row],[Source.Name]],1))="Auszahlung_a","Auszahlung",""),"")</f>
        <v/>
      </c>
      <c r="D876" s="1"/>
    </row>
    <row r="877" spans="1:4" x14ac:dyDescent="0.3">
      <c r="A877" s="1"/>
      <c r="B877" s="1" t="str">
        <f>IFERROR(IF(LEFT(Sensitivität_bzw_Monte_Carlo_bei_Strom[[#This Row],[Source.Name]],SEARCH("aus_der",Sensitivität_bzw_Monte_Carlo_bei_Strom[[#This Row],[Source.Name]],1))="Auszahlung_a","Auszahlung",""),"")</f>
        <v/>
      </c>
      <c r="D877" s="1"/>
    </row>
    <row r="878" spans="1:4" x14ac:dyDescent="0.3">
      <c r="A878" s="1"/>
      <c r="B878" s="1" t="str">
        <f>IFERROR(IF(LEFT(Sensitivität_bzw_Monte_Carlo_bei_Strom[[#This Row],[Source.Name]],SEARCH("aus_der",Sensitivität_bzw_Monte_Carlo_bei_Strom[[#This Row],[Source.Name]],1))="Auszahlung_a","Auszahlung",""),"")</f>
        <v/>
      </c>
      <c r="D878" s="1"/>
    </row>
    <row r="879" spans="1:4" x14ac:dyDescent="0.3">
      <c r="A879" s="1"/>
      <c r="B879" s="1" t="str">
        <f>IFERROR(IF(LEFT(Sensitivität_bzw_Monte_Carlo_bei_Strom[[#This Row],[Source.Name]],SEARCH("aus_der",Sensitivität_bzw_Monte_Carlo_bei_Strom[[#This Row],[Source.Name]],1))="Auszahlung_a","Auszahlung",""),"")</f>
        <v/>
      </c>
      <c r="D879" s="1"/>
    </row>
    <row r="880" spans="1:4" x14ac:dyDescent="0.3">
      <c r="A880" s="1"/>
      <c r="B880" s="1" t="str">
        <f>IFERROR(IF(LEFT(Sensitivität_bzw_Monte_Carlo_bei_Strom[[#This Row],[Source.Name]],SEARCH("aus_der",Sensitivität_bzw_Monte_Carlo_bei_Strom[[#This Row],[Source.Name]],1))="Auszahlung_a","Auszahlung",""),"")</f>
        <v/>
      </c>
      <c r="D880" s="1"/>
    </row>
    <row r="881" spans="1:4" x14ac:dyDescent="0.3">
      <c r="A881" s="1"/>
      <c r="B881" s="1" t="str">
        <f>IFERROR(IF(LEFT(Sensitivität_bzw_Monte_Carlo_bei_Strom[[#This Row],[Source.Name]],SEARCH("aus_der",Sensitivität_bzw_Monte_Carlo_bei_Strom[[#This Row],[Source.Name]],1))="Auszahlung_a","Auszahlung",""),"")</f>
        <v/>
      </c>
      <c r="D881" s="1"/>
    </row>
    <row r="882" spans="1:4" x14ac:dyDescent="0.3">
      <c r="A882" s="1"/>
      <c r="B882" s="1" t="str">
        <f>IFERROR(IF(LEFT(Sensitivität_bzw_Monte_Carlo_bei_Strom[[#This Row],[Source.Name]],SEARCH("aus_der",Sensitivität_bzw_Monte_Carlo_bei_Strom[[#This Row],[Source.Name]],1))="Auszahlung_a","Auszahlung",""),"")</f>
        <v/>
      </c>
      <c r="D882" s="1"/>
    </row>
    <row r="883" spans="1:4" x14ac:dyDescent="0.3">
      <c r="A883" s="1"/>
      <c r="B883" s="1" t="str">
        <f>IFERROR(IF(LEFT(Sensitivität_bzw_Monte_Carlo_bei_Strom[[#This Row],[Source.Name]],SEARCH("aus_der",Sensitivität_bzw_Monte_Carlo_bei_Strom[[#This Row],[Source.Name]],1))="Auszahlung_a","Auszahlung",""),"")</f>
        <v/>
      </c>
      <c r="D883" s="1"/>
    </row>
    <row r="884" spans="1:4" x14ac:dyDescent="0.3">
      <c r="A884" s="1"/>
      <c r="B884" s="1" t="str">
        <f>IFERROR(IF(LEFT(Sensitivität_bzw_Monte_Carlo_bei_Strom[[#This Row],[Source.Name]],SEARCH("aus_der",Sensitivität_bzw_Monte_Carlo_bei_Strom[[#This Row],[Source.Name]],1))="Auszahlung_a","Auszahlung",""),"")</f>
        <v/>
      </c>
      <c r="D884" s="1"/>
    </row>
    <row r="885" spans="1:4" x14ac:dyDescent="0.3">
      <c r="A885" s="1"/>
      <c r="B885" s="1" t="str">
        <f>IFERROR(IF(LEFT(Sensitivität_bzw_Monte_Carlo_bei_Strom[[#This Row],[Source.Name]],SEARCH("aus_der",Sensitivität_bzw_Monte_Carlo_bei_Strom[[#This Row],[Source.Name]],1))="Auszahlung_a","Auszahlung",""),"")</f>
        <v/>
      </c>
      <c r="D885" s="1"/>
    </row>
    <row r="886" spans="1:4" x14ac:dyDescent="0.3">
      <c r="A886" s="1"/>
      <c r="B886" s="1" t="str">
        <f>IFERROR(IF(LEFT(Sensitivität_bzw_Monte_Carlo_bei_Strom[[#This Row],[Source.Name]],SEARCH("aus_der",Sensitivität_bzw_Monte_Carlo_bei_Strom[[#This Row],[Source.Name]],1))="Auszahlung_a","Auszahlung",""),"")</f>
        <v/>
      </c>
      <c r="D886" s="1"/>
    </row>
    <row r="887" spans="1:4" x14ac:dyDescent="0.3">
      <c r="A887" s="1"/>
      <c r="B887" s="1" t="str">
        <f>IFERROR(IF(LEFT(Sensitivität_bzw_Monte_Carlo_bei_Strom[[#This Row],[Source.Name]],SEARCH("aus_der",Sensitivität_bzw_Monte_Carlo_bei_Strom[[#This Row],[Source.Name]],1))="Auszahlung_a","Auszahlung",""),"")</f>
        <v/>
      </c>
      <c r="D887" s="1"/>
    </row>
    <row r="888" spans="1:4" x14ac:dyDescent="0.3">
      <c r="A888" s="1"/>
      <c r="B888" s="1" t="str">
        <f>IFERROR(IF(LEFT(Sensitivität_bzw_Monte_Carlo_bei_Strom[[#This Row],[Source.Name]],SEARCH("aus_der",Sensitivität_bzw_Monte_Carlo_bei_Strom[[#This Row],[Source.Name]],1))="Auszahlung_a","Auszahlung",""),"")</f>
        <v/>
      </c>
      <c r="D888" s="1"/>
    </row>
    <row r="889" spans="1:4" x14ac:dyDescent="0.3">
      <c r="A889" s="1"/>
      <c r="B889" s="1" t="str">
        <f>IFERROR(IF(LEFT(Sensitivität_bzw_Monte_Carlo_bei_Strom[[#This Row],[Source.Name]],SEARCH("aus_der",Sensitivität_bzw_Monte_Carlo_bei_Strom[[#This Row],[Source.Name]],1))="Auszahlung_a","Auszahlung",""),"")</f>
        <v/>
      </c>
      <c r="D889" s="1"/>
    </row>
    <row r="890" spans="1:4" x14ac:dyDescent="0.3">
      <c r="A890" s="1"/>
      <c r="B890" s="1" t="str">
        <f>IFERROR(IF(LEFT(Sensitivität_bzw_Monte_Carlo_bei_Strom[[#This Row],[Source.Name]],SEARCH("aus_der",Sensitivität_bzw_Monte_Carlo_bei_Strom[[#This Row],[Source.Name]],1))="Auszahlung_a","Auszahlung",""),"")</f>
        <v/>
      </c>
      <c r="D890" s="1"/>
    </row>
    <row r="891" spans="1:4" x14ac:dyDescent="0.3">
      <c r="A891" s="1"/>
      <c r="B891" s="1" t="str">
        <f>IFERROR(IF(LEFT(Sensitivität_bzw_Monte_Carlo_bei_Strom[[#This Row],[Source.Name]],SEARCH("aus_der",Sensitivität_bzw_Monte_Carlo_bei_Strom[[#This Row],[Source.Name]],1))="Auszahlung_a","Auszahlung",""),"")</f>
        <v/>
      </c>
      <c r="D891" s="1"/>
    </row>
    <row r="892" spans="1:4" x14ac:dyDescent="0.3">
      <c r="A892" s="1"/>
      <c r="B892" s="1" t="str">
        <f>IFERROR(IF(LEFT(Sensitivität_bzw_Monte_Carlo_bei_Strom[[#This Row],[Source.Name]],SEARCH("aus_der",Sensitivität_bzw_Monte_Carlo_bei_Strom[[#This Row],[Source.Name]],1))="Auszahlung_a","Auszahlung",""),"")</f>
        <v/>
      </c>
      <c r="D892" s="1"/>
    </row>
    <row r="893" spans="1:4" x14ac:dyDescent="0.3">
      <c r="A893" s="1"/>
      <c r="B893" s="1" t="str">
        <f>IFERROR(IF(LEFT(Sensitivität_bzw_Monte_Carlo_bei_Strom[[#This Row],[Source.Name]],SEARCH("aus_der",Sensitivität_bzw_Monte_Carlo_bei_Strom[[#This Row],[Source.Name]],1))="Auszahlung_a","Auszahlung",""),"")</f>
        <v/>
      </c>
      <c r="D893" s="1"/>
    </row>
    <row r="894" spans="1:4" x14ac:dyDescent="0.3">
      <c r="A894" s="1"/>
      <c r="B894" s="1" t="str">
        <f>IFERROR(IF(LEFT(Sensitivität_bzw_Monte_Carlo_bei_Strom[[#This Row],[Source.Name]],SEARCH("aus_der",Sensitivität_bzw_Monte_Carlo_bei_Strom[[#This Row],[Source.Name]],1))="Auszahlung_a","Auszahlung",""),"")</f>
        <v/>
      </c>
      <c r="D894" s="1"/>
    </row>
    <row r="895" spans="1:4" x14ac:dyDescent="0.3">
      <c r="A895" s="1"/>
      <c r="B895" s="1" t="str">
        <f>IFERROR(IF(LEFT(Sensitivität_bzw_Monte_Carlo_bei_Strom[[#This Row],[Source.Name]],SEARCH("aus_der",Sensitivität_bzw_Monte_Carlo_bei_Strom[[#This Row],[Source.Name]],1))="Auszahlung_a","Auszahlung",""),"")</f>
        <v/>
      </c>
      <c r="D895" s="1"/>
    </row>
    <row r="896" spans="1:4" x14ac:dyDescent="0.3">
      <c r="A896" s="1"/>
      <c r="B896" s="1" t="str">
        <f>IFERROR(IF(LEFT(Sensitivität_bzw_Monte_Carlo_bei_Strom[[#This Row],[Source.Name]],SEARCH("aus_der",Sensitivität_bzw_Monte_Carlo_bei_Strom[[#This Row],[Source.Name]],1))="Auszahlung_a","Auszahlung",""),"")</f>
        <v/>
      </c>
      <c r="D896" s="1"/>
    </row>
    <row r="897" spans="1:4" x14ac:dyDescent="0.3">
      <c r="A897" s="1"/>
      <c r="B897" s="1" t="str">
        <f>IFERROR(IF(LEFT(Sensitivität_bzw_Monte_Carlo_bei_Strom[[#This Row],[Source.Name]],SEARCH("aus_der",Sensitivität_bzw_Monte_Carlo_bei_Strom[[#This Row],[Source.Name]],1))="Auszahlung_a","Auszahlung",""),"")</f>
        <v/>
      </c>
      <c r="D897" s="1"/>
    </row>
    <row r="898" spans="1:4" x14ac:dyDescent="0.3">
      <c r="A898" s="1"/>
      <c r="B898" s="1" t="str">
        <f>IFERROR(IF(LEFT(Sensitivität_bzw_Monte_Carlo_bei_Strom[[#This Row],[Source.Name]],SEARCH("aus_der",Sensitivität_bzw_Monte_Carlo_bei_Strom[[#This Row],[Source.Name]],1))="Auszahlung_a","Auszahlung",""),"")</f>
        <v/>
      </c>
      <c r="D898" s="1"/>
    </row>
    <row r="899" spans="1:4" x14ac:dyDescent="0.3">
      <c r="A899" s="1"/>
      <c r="B899" s="1" t="str">
        <f>IFERROR(IF(LEFT(Sensitivität_bzw_Monte_Carlo_bei_Strom[[#This Row],[Source.Name]],SEARCH("aus_der",Sensitivität_bzw_Monte_Carlo_bei_Strom[[#This Row],[Source.Name]],1))="Auszahlung_a","Auszahlung",""),"")</f>
        <v/>
      </c>
      <c r="D899" s="1"/>
    </row>
    <row r="900" spans="1:4" x14ac:dyDescent="0.3">
      <c r="A900" s="1"/>
      <c r="B900" s="1" t="str">
        <f>IFERROR(IF(LEFT(Sensitivität_bzw_Monte_Carlo_bei_Strom[[#This Row],[Source.Name]],SEARCH("aus_der",Sensitivität_bzw_Monte_Carlo_bei_Strom[[#This Row],[Source.Name]],1))="Auszahlung_a","Auszahlung",""),"")</f>
        <v/>
      </c>
      <c r="D900" s="1"/>
    </row>
    <row r="901" spans="1:4" x14ac:dyDescent="0.3">
      <c r="A901" s="1"/>
      <c r="B901" s="1" t="str">
        <f>IFERROR(IF(LEFT(Sensitivität_bzw_Monte_Carlo_bei_Strom[[#This Row],[Source.Name]],SEARCH("aus_der",Sensitivität_bzw_Monte_Carlo_bei_Strom[[#This Row],[Source.Name]],1))="Auszahlung_a","Auszahlung",""),"")</f>
        <v/>
      </c>
      <c r="D901" s="1"/>
    </row>
    <row r="902" spans="1:4" x14ac:dyDescent="0.3">
      <c r="A902" s="1"/>
      <c r="B902" s="1" t="str">
        <f>IFERROR(IF(LEFT(Sensitivität_bzw_Monte_Carlo_bei_Strom[[#This Row],[Source.Name]],SEARCH("aus_der",Sensitivität_bzw_Monte_Carlo_bei_Strom[[#This Row],[Source.Name]],1))="Auszahlung_a","Auszahlung",""),"")</f>
        <v/>
      </c>
      <c r="D902" s="1"/>
    </row>
    <row r="903" spans="1:4" x14ac:dyDescent="0.3">
      <c r="A903" s="1"/>
      <c r="B903" s="1" t="str">
        <f>IFERROR(IF(LEFT(Sensitivität_bzw_Monte_Carlo_bei_Strom[[#This Row],[Source.Name]],SEARCH("aus_der",Sensitivität_bzw_Monte_Carlo_bei_Strom[[#This Row],[Source.Name]],1))="Auszahlung_a","Auszahlung",""),"")</f>
        <v/>
      </c>
      <c r="D903" s="1"/>
    </row>
    <row r="904" spans="1:4" x14ac:dyDescent="0.3">
      <c r="A904" s="1"/>
      <c r="B904" s="1" t="str">
        <f>IFERROR(IF(LEFT(Sensitivität_bzw_Monte_Carlo_bei_Strom[[#This Row],[Source.Name]],SEARCH("aus_der",Sensitivität_bzw_Monte_Carlo_bei_Strom[[#This Row],[Source.Name]],1))="Auszahlung_a","Auszahlung",""),"")</f>
        <v/>
      </c>
      <c r="D904" s="1"/>
    </row>
    <row r="905" spans="1:4" x14ac:dyDescent="0.3">
      <c r="A905" s="1"/>
      <c r="B905" s="1" t="str">
        <f>IFERROR(IF(LEFT(Sensitivität_bzw_Monte_Carlo_bei_Strom[[#This Row],[Source.Name]],SEARCH("aus_der",Sensitivität_bzw_Monte_Carlo_bei_Strom[[#This Row],[Source.Name]],1))="Auszahlung_a","Auszahlung",""),"")</f>
        <v/>
      </c>
      <c r="D905" s="1"/>
    </row>
    <row r="906" spans="1:4" x14ac:dyDescent="0.3">
      <c r="A906" s="1"/>
      <c r="B906" s="1" t="str">
        <f>IFERROR(IF(LEFT(Sensitivität_bzw_Monte_Carlo_bei_Strom[[#This Row],[Source.Name]],SEARCH("aus_der",Sensitivität_bzw_Monte_Carlo_bei_Strom[[#This Row],[Source.Name]],1))="Auszahlung_a","Auszahlung",""),"")</f>
        <v/>
      </c>
      <c r="D906" s="1"/>
    </row>
    <row r="907" spans="1:4" x14ac:dyDescent="0.3">
      <c r="A907" s="1"/>
      <c r="B907" s="1" t="str">
        <f>IFERROR(IF(LEFT(Sensitivität_bzw_Monte_Carlo_bei_Strom[[#This Row],[Source.Name]],SEARCH("aus_der",Sensitivität_bzw_Monte_Carlo_bei_Strom[[#This Row],[Source.Name]],1))="Auszahlung_a","Auszahlung",""),"")</f>
        <v/>
      </c>
      <c r="D907" s="1"/>
    </row>
    <row r="908" spans="1:4" x14ac:dyDescent="0.3">
      <c r="A908" s="1"/>
      <c r="B908" s="1" t="str">
        <f>IFERROR(IF(LEFT(Sensitivität_bzw_Monte_Carlo_bei_Strom[[#This Row],[Source.Name]],SEARCH("aus_der",Sensitivität_bzw_Monte_Carlo_bei_Strom[[#This Row],[Source.Name]],1))="Auszahlung_a","Auszahlung",""),"")</f>
        <v/>
      </c>
      <c r="D908" s="1"/>
    </row>
    <row r="909" spans="1:4" x14ac:dyDescent="0.3">
      <c r="A909" s="1"/>
      <c r="B909" s="1" t="str">
        <f>IFERROR(IF(LEFT(Sensitivität_bzw_Monte_Carlo_bei_Strom[[#This Row],[Source.Name]],SEARCH("aus_der",Sensitivität_bzw_Monte_Carlo_bei_Strom[[#This Row],[Source.Name]],1))="Auszahlung_a","Auszahlung",""),"")</f>
        <v/>
      </c>
      <c r="D909" s="1"/>
    </row>
    <row r="910" spans="1:4" x14ac:dyDescent="0.3">
      <c r="A910" s="1"/>
      <c r="B910" s="1" t="str">
        <f>IFERROR(IF(LEFT(Sensitivität_bzw_Monte_Carlo_bei_Strom[[#This Row],[Source.Name]],SEARCH("aus_der",Sensitivität_bzw_Monte_Carlo_bei_Strom[[#This Row],[Source.Name]],1))="Auszahlung_a","Auszahlung",""),"")</f>
        <v/>
      </c>
      <c r="D910" s="1"/>
    </row>
    <row r="911" spans="1:4" x14ac:dyDescent="0.3">
      <c r="A911" s="1"/>
      <c r="B911" s="1" t="str">
        <f>IFERROR(IF(LEFT(Sensitivität_bzw_Monte_Carlo_bei_Strom[[#This Row],[Source.Name]],SEARCH("aus_der",Sensitivität_bzw_Monte_Carlo_bei_Strom[[#This Row],[Source.Name]],1))="Auszahlung_a","Auszahlung",""),"")</f>
        <v/>
      </c>
      <c r="D911" s="1"/>
    </row>
    <row r="912" spans="1:4" x14ac:dyDescent="0.3">
      <c r="A912" s="1"/>
      <c r="B912" s="1" t="str">
        <f>IFERROR(IF(LEFT(Sensitivität_bzw_Monte_Carlo_bei_Strom[[#This Row],[Source.Name]],SEARCH("aus_der",Sensitivität_bzw_Monte_Carlo_bei_Strom[[#This Row],[Source.Name]],1))="Auszahlung_a","Auszahlung",""),"")</f>
        <v/>
      </c>
      <c r="D912" s="1"/>
    </row>
    <row r="913" spans="1:4" x14ac:dyDescent="0.3">
      <c r="A913" s="1"/>
      <c r="B913" s="1" t="str">
        <f>IFERROR(IF(LEFT(Sensitivität_bzw_Monte_Carlo_bei_Strom[[#This Row],[Source.Name]],SEARCH("aus_der",Sensitivität_bzw_Monte_Carlo_bei_Strom[[#This Row],[Source.Name]],1))="Auszahlung_a","Auszahlung",""),"")</f>
        <v/>
      </c>
      <c r="D913" s="1"/>
    </row>
    <row r="914" spans="1:4" x14ac:dyDescent="0.3">
      <c r="A914" s="1"/>
      <c r="B914" s="1" t="str">
        <f>IFERROR(IF(LEFT(Sensitivität_bzw_Monte_Carlo_bei_Strom[[#This Row],[Source.Name]],SEARCH("aus_der",Sensitivität_bzw_Monte_Carlo_bei_Strom[[#This Row],[Source.Name]],1))="Auszahlung_a","Auszahlung",""),"")</f>
        <v/>
      </c>
      <c r="D914" s="1"/>
    </row>
    <row r="915" spans="1:4" x14ac:dyDescent="0.3">
      <c r="A915" s="1"/>
      <c r="B915" s="1" t="str">
        <f>IFERROR(IF(LEFT(Sensitivität_bzw_Monte_Carlo_bei_Strom[[#This Row],[Source.Name]],SEARCH("aus_der",Sensitivität_bzw_Monte_Carlo_bei_Strom[[#This Row],[Source.Name]],1))="Auszahlung_a","Auszahlung",""),"")</f>
        <v/>
      </c>
      <c r="D915" s="1"/>
    </row>
    <row r="916" spans="1:4" x14ac:dyDescent="0.3">
      <c r="A916" s="1"/>
      <c r="B916" s="1" t="str">
        <f>IFERROR(IF(LEFT(Sensitivität_bzw_Monte_Carlo_bei_Strom[[#This Row],[Source.Name]],SEARCH("aus_der",Sensitivität_bzw_Monte_Carlo_bei_Strom[[#This Row],[Source.Name]],1))="Auszahlung_a","Auszahlung",""),"")</f>
        <v/>
      </c>
      <c r="D916" s="1"/>
    </row>
    <row r="917" spans="1:4" x14ac:dyDescent="0.3">
      <c r="A917" s="1"/>
      <c r="B917" s="1" t="str">
        <f>IFERROR(IF(LEFT(Sensitivität_bzw_Monte_Carlo_bei_Strom[[#This Row],[Source.Name]],SEARCH("aus_der",Sensitivität_bzw_Monte_Carlo_bei_Strom[[#This Row],[Source.Name]],1))="Auszahlung_a","Auszahlung",""),"")</f>
        <v/>
      </c>
      <c r="D917" s="1"/>
    </row>
    <row r="918" spans="1:4" x14ac:dyDescent="0.3">
      <c r="A918" s="1"/>
      <c r="B918" s="1" t="str">
        <f>IFERROR(IF(LEFT(Sensitivität_bzw_Monte_Carlo_bei_Strom[[#This Row],[Source.Name]],SEARCH("aus_der",Sensitivität_bzw_Monte_Carlo_bei_Strom[[#This Row],[Source.Name]],1))="Auszahlung_a","Auszahlung",""),"")</f>
        <v/>
      </c>
      <c r="D918" s="1"/>
    </row>
    <row r="919" spans="1:4" x14ac:dyDescent="0.3">
      <c r="A919" s="1"/>
      <c r="B919" s="1" t="str">
        <f>IFERROR(IF(LEFT(Sensitivität_bzw_Monte_Carlo_bei_Strom[[#This Row],[Source.Name]],SEARCH("aus_der",Sensitivität_bzw_Monte_Carlo_bei_Strom[[#This Row],[Source.Name]],1))="Auszahlung_a","Auszahlung",""),"")</f>
        <v/>
      </c>
      <c r="D919" s="1"/>
    </row>
    <row r="920" spans="1:4" x14ac:dyDescent="0.3">
      <c r="A920" s="1"/>
      <c r="B920" s="1" t="str">
        <f>IFERROR(IF(LEFT(Sensitivität_bzw_Monte_Carlo_bei_Strom[[#This Row],[Source.Name]],SEARCH("aus_der",Sensitivität_bzw_Monte_Carlo_bei_Strom[[#This Row],[Source.Name]],1))="Auszahlung_a","Auszahlung",""),"")</f>
        <v/>
      </c>
      <c r="D920" s="1"/>
    </row>
    <row r="921" spans="1:4" x14ac:dyDescent="0.3">
      <c r="A921" s="1"/>
      <c r="B921" s="1" t="str">
        <f>IFERROR(IF(LEFT(Sensitivität_bzw_Monte_Carlo_bei_Strom[[#This Row],[Source.Name]],SEARCH("aus_der",Sensitivität_bzw_Monte_Carlo_bei_Strom[[#This Row],[Source.Name]],1))="Auszahlung_a","Auszahlung",""),"")</f>
        <v/>
      </c>
      <c r="D921" s="1"/>
    </row>
    <row r="922" spans="1:4" x14ac:dyDescent="0.3">
      <c r="A922" s="1"/>
      <c r="B922" s="1" t="str">
        <f>IFERROR(IF(LEFT(Sensitivität_bzw_Monte_Carlo_bei_Strom[[#This Row],[Source.Name]],SEARCH("aus_der",Sensitivität_bzw_Monte_Carlo_bei_Strom[[#This Row],[Source.Name]],1))="Auszahlung_a","Auszahlung",""),"")</f>
        <v/>
      </c>
      <c r="D922" s="1"/>
    </row>
    <row r="923" spans="1:4" x14ac:dyDescent="0.3">
      <c r="A923" s="1"/>
      <c r="B923" s="1" t="str">
        <f>IFERROR(IF(LEFT(Sensitivität_bzw_Monte_Carlo_bei_Strom[[#This Row],[Source.Name]],SEARCH("aus_der",Sensitivität_bzw_Monte_Carlo_bei_Strom[[#This Row],[Source.Name]],1))="Auszahlung_a","Auszahlung",""),"")</f>
        <v/>
      </c>
      <c r="D923" s="1"/>
    </row>
    <row r="924" spans="1:4" x14ac:dyDescent="0.3">
      <c r="A924" s="1"/>
      <c r="B924" s="1" t="str">
        <f>IFERROR(IF(LEFT(Sensitivität_bzw_Monte_Carlo_bei_Strom[[#This Row],[Source.Name]],SEARCH("aus_der",Sensitivität_bzw_Monte_Carlo_bei_Strom[[#This Row],[Source.Name]],1))="Auszahlung_a","Auszahlung",""),"")</f>
        <v/>
      </c>
      <c r="D924" s="1"/>
    </row>
    <row r="925" spans="1:4" x14ac:dyDescent="0.3">
      <c r="A925" s="1"/>
      <c r="B925" s="1" t="str">
        <f>IFERROR(IF(LEFT(Sensitivität_bzw_Monte_Carlo_bei_Strom[[#This Row],[Source.Name]],SEARCH("aus_der",Sensitivität_bzw_Monte_Carlo_bei_Strom[[#This Row],[Source.Name]],1))="Auszahlung_a","Auszahlung",""),"")</f>
        <v/>
      </c>
      <c r="D925" s="1"/>
    </row>
    <row r="926" spans="1:4" x14ac:dyDescent="0.3">
      <c r="A926" s="1"/>
      <c r="B926" s="1" t="str">
        <f>IFERROR(IF(LEFT(Sensitivität_bzw_Monte_Carlo_bei_Strom[[#This Row],[Source.Name]],SEARCH("aus_der",Sensitivität_bzw_Monte_Carlo_bei_Strom[[#This Row],[Source.Name]],1))="Auszahlung_a","Auszahlung",""),"")</f>
        <v/>
      </c>
      <c r="D926" s="1"/>
    </row>
    <row r="927" spans="1:4" x14ac:dyDescent="0.3">
      <c r="A927" s="1"/>
      <c r="B927" s="1" t="str">
        <f>IFERROR(IF(LEFT(Sensitivität_bzw_Monte_Carlo_bei_Strom[[#This Row],[Source.Name]],SEARCH("aus_der",Sensitivität_bzw_Monte_Carlo_bei_Strom[[#This Row],[Source.Name]],1))="Auszahlung_a","Auszahlung",""),"")</f>
        <v/>
      </c>
      <c r="D927" s="1"/>
    </row>
    <row r="928" spans="1:4" x14ac:dyDescent="0.3">
      <c r="A928" s="1"/>
      <c r="B928" s="1" t="str">
        <f>IFERROR(IF(LEFT(Sensitivität_bzw_Monte_Carlo_bei_Strom[[#This Row],[Source.Name]],SEARCH("aus_der",Sensitivität_bzw_Monte_Carlo_bei_Strom[[#This Row],[Source.Name]],1))="Auszahlung_a","Auszahlung",""),"")</f>
        <v/>
      </c>
      <c r="D928" s="1"/>
    </row>
    <row r="929" spans="1:4" x14ac:dyDescent="0.3">
      <c r="A929" s="1"/>
      <c r="B929" s="1" t="str">
        <f>IFERROR(IF(LEFT(Sensitivität_bzw_Monte_Carlo_bei_Strom[[#This Row],[Source.Name]],SEARCH("aus_der",Sensitivität_bzw_Monte_Carlo_bei_Strom[[#This Row],[Source.Name]],1))="Auszahlung_a","Auszahlung",""),"")</f>
        <v/>
      </c>
      <c r="D929" s="1"/>
    </row>
    <row r="930" spans="1:4" x14ac:dyDescent="0.3">
      <c r="A930" s="1"/>
      <c r="B930" s="1" t="str">
        <f>IFERROR(IF(LEFT(Sensitivität_bzw_Monte_Carlo_bei_Strom[[#This Row],[Source.Name]],SEARCH("aus_der",Sensitivität_bzw_Monte_Carlo_bei_Strom[[#This Row],[Source.Name]],1))="Auszahlung_a","Auszahlung",""),"")</f>
        <v/>
      </c>
      <c r="D930" s="1"/>
    </row>
    <row r="931" spans="1:4" x14ac:dyDescent="0.3">
      <c r="A931" s="1"/>
      <c r="B931" s="1" t="str">
        <f>IFERROR(IF(LEFT(Sensitivität_bzw_Monte_Carlo_bei_Strom[[#This Row],[Source.Name]],SEARCH("aus_der",Sensitivität_bzw_Monte_Carlo_bei_Strom[[#This Row],[Source.Name]],1))="Auszahlung_a","Auszahlung",""),"")</f>
        <v/>
      </c>
      <c r="D931" s="1"/>
    </row>
    <row r="932" spans="1:4" x14ac:dyDescent="0.3">
      <c r="A932" s="1"/>
      <c r="B932" s="1" t="str">
        <f>IFERROR(IF(LEFT(Sensitivität_bzw_Monte_Carlo_bei_Strom[[#This Row],[Source.Name]],SEARCH("aus_der",Sensitivität_bzw_Monte_Carlo_bei_Strom[[#This Row],[Source.Name]],1))="Auszahlung_a","Auszahlung",""),"")</f>
        <v/>
      </c>
      <c r="D932" s="1"/>
    </row>
    <row r="933" spans="1:4" x14ac:dyDescent="0.3">
      <c r="A933" s="1"/>
      <c r="B933" s="1" t="str">
        <f>IFERROR(IF(LEFT(Sensitivität_bzw_Monte_Carlo_bei_Strom[[#This Row],[Source.Name]],SEARCH("aus_der",Sensitivität_bzw_Monte_Carlo_bei_Strom[[#This Row],[Source.Name]],1))="Auszahlung_a","Auszahlung",""),"")</f>
        <v/>
      </c>
      <c r="D933" s="1"/>
    </row>
    <row r="934" spans="1:4" x14ac:dyDescent="0.3">
      <c r="A934" s="1"/>
      <c r="B934" s="1" t="str">
        <f>IFERROR(IF(LEFT(Sensitivität_bzw_Monte_Carlo_bei_Strom[[#This Row],[Source.Name]],SEARCH("aus_der",Sensitivität_bzw_Monte_Carlo_bei_Strom[[#This Row],[Source.Name]],1))="Auszahlung_a","Auszahlung",""),"")</f>
        <v/>
      </c>
      <c r="D934" s="1"/>
    </row>
    <row r="935" spans="1:4" x14ac:dyDescent="0.3">
      <c r="A935" s="1"/>
      <c r="B935" s="1" t="str">
        <f>IFERROR(IF(LEFT(Sensitivität_bzw_Monte_Carlo_bei_Strom[[#This Row],[Source.Name]],SEARCH("aus_der",Sensitivität_bzw_Monte_Carlo_bei_Strom[[#This Row],[Source.Name]],1))="Auszahlung_a","Auszahlung",""),"")</f>
        <v/>
      </c>
      <c r="D935" s="1"/>
    </row>
    <row r="936" spans="1:4" x14ac:dyDescent="0.3">
      <c r="A936" s="1"/>
      <c r="B936" s="1" t="str">
        <f>IFERROR(IF(LEFT(Sensitivität_bzw_Monte_Carlo_bei_Strom[[#This Row],[Source.Name]],SEARCH("aus_der",Sensitivität_bzw_Monte_Carlo_bei_Strom[[#This Row],[Source.Name]],1))="Auszahlung_a","Auszahlung",""),"")</f>
        <v/>
      </c>
      <c r="D936" s="1"/>
    </row>
    <row r="937" spans="1:4" x14ac:dyDescent="0.3">
      <c r="A937" s="1"/>
      <c r="B937" s="1" t="str">
        <f>IFERROR(IF(LEFT(Sensitivität_bzw_Monte_Carlo_bei_Strom[[#This Row],[Source.Name]],SEARCH("aus_der",Sensitivität_bzw_Monte_Carlo_bei_Strom[[#This Row],[Source.Name]],1))="Auszahlung_a","Auszahlung",""),"")</f>
        <v/>
      </c>
      <c r="D937" s="1"/>
    </row>
    <row r="938" spans="1:4" x14ac:dyDescent="0.3">
      <c r="A938" s="1"/>
      <c r="B938" s="1" t="str">
        <f>IFERROR(IF(LEFT(Sensitivität_bzw_Monte_Carlo_bei_Strom[[#This Row],[Source.Name]],SEARCH("aus_der",Sensitivität_bzw_Monte_Carlo_bei_Strom[[#This Row],[Source.Name]],1))="Auszahlung_a","Auszahlung",""),"")</f>
        <v/>
      </c>
      <c r="D938" s="1"/>
    </row>
    <row r="939" spans="1:4" x14ac:dyDescent="0.3">
      <c r="A939" s="1"/>
      <c r="B939" s="1" t="str">
        <f>IFERROR(IF(LEFT(Sensitivität_bzw_Monte_Carlo_bei_Strom[[#This Row],[Source.Name]],SEARCH("aus_der",Sensitivität_bzw_Monte_Carlo_bei_Strom[[#This Row],[Source.Name]],1))="Auszahlung_a","Auszahlung",""),"")</f>
        <v/>
      </c>
      <c r="D939" s="1"/>
    </row>
    <row r="940" spans="1:4" x14ac:dyDescent="0.3">
      <c r="A940" s="1"/>
      <c r="B940" s="1" t="str">
        <f>IFERROR(IF(LEFT(Sensitivität_bzw_Monte_Carlo_bei_Strom[[#This Row],[Source.Name]],SEARCH("aus_der",Sensitivität_bzw_Monte_Carlo_bei_Strom[[#This Row],[Source.Name]],1))="Auszahlung_a","Auszahlung",""),"")</f>
        <v/>
      </c>
      <c r="D940" s="1"/>
    </row>
    <row r="941" spans="1:4" x14ac:dyDescent="0.3">
      <c r="A941" s="1"/>
      <c r="B941" s="1" t="str">
        <f>IFERROR(IF(LEFT(Sensitivität_bzw_Monte_Carlo_bei_Strom[[#This Row],[Source.Name]],SEARCH("aus_der",Sensitivität_bzw_Monte_Carlo_bei_Strom[[#This Row],[Source.Name]],1))="Auszahlung_a","Auszahlung",""),"")</f>
        <v/>
      </c>
      <c r="D941" s="1"/>
    </row>
    <row r="942" spans="1:4" x14ac:dyDescent="0.3">
      <c r="A942" s="1"/>
      <c r="B942" s="1" t="str">
        <f>IFERROR(IF(LEFT(Sensitivität_bzw_Monte_Carlo_bei_Strom[[#This Row],[Source.Name]],SEARCH("aus_der",Sensitivität_bzw_Monte_Carlo_bei_Strom[[#This Row],[Source.Name]],1))="Auszahlung_a","Auszahlung",""),"")</f>
        <v/>
      </c>
      <c r="D942" s="1"/>
    </row>
    <row r="943" spans="1:4" x14ac:dyDescent="0.3">
      <c r="A943" s="1"/>
      <c r="B943" s="1" t="str">
        <f>IFERROR(IF(LEFT(Sensitivität_bzw_Monte_Carlo_bei_Strom[[#This Row],[Source.Name]],SEARCH("aus_der",Sensitivität_bzw_Monte_Carlo_bei_Strom[[#This Row],[Source.Name]],1))="Auszahlung_a","Auszahlung",""),"")</f>
        <v/>
      </c>
      <c r="D943" s="1"/>
    </row>
    <row r="944" spans="1:4" x14ac:dyDescent="0.3">
      <c r="A944" s="1"/>
      <c r="B944" s="1" t="str">
        <f>IFERROR(IF(LEFT(Sensitivität_bzw_Monte_Carlo_bei_Strom[[#This Row],[Source.Name]],SEARCH("aus_der",Sensitivität_bzw_Monte_Carlo_bei_Strom[[#This Row],[Source.Name]],1))="Auszahlung_a","Auszahlung",""),"")</f>
        <v/>
      </c>
      <c r="D944" s="1"/>
    </row>
    <row r="945" spans="1:4" x14ac:dyDescent="0.3">
      <c r="A945" s="1"/>
      <c r="B945" s="1" t="str">
        <f>IFERROR(IF(LEFT(Sensitivität_bzw_Monte_Carlo_bei_Strom[[#This Row],[Source.Name]],SEARCH("aus_der",Sensitivität_bzw_Monte_Carlo_bei_Strom[[#This Row],[Source.Name]],1))="Auszahlung_a","Auszahlung",""),"")</f>
        <v/>
      </c>
      <c r="D945" s="1"/>
    </row>
    <row r="946" spans="1:4" x14ac:dyDescent="0.3">
      <c r="A946" s="1"/>
      <c r="B946" s="1" t="str">
        <f>IFERROR(IF(LEFT(Sensitivität_bzw_Monte_Carlo_bei_Strom[[#This Row],[Source.Name]],SEARCH("aus_der",Sensitivität_bzw_Monte_Carlo_bei_Strom[[#This Row],[Source.Name]],1))="Auszahlung_a","Auszahlung",""),"")</f>
        <v/>
      </c>
      <c r="D946" s="1"/>
    </row>
    <row r="947" spans="1:4" x14ac:dyDescent="0.3">
      <c r="A947" s="1"/>
      <c r="B947" s="1" t="str">
        <f>IFERROR(IF(LEFT(Sensitivität_bzw_Monte_Carlo_bei_Strom[[#This Row],[Source.Name]],SEARCH("aus_der",Sensitivität_bzw_Monte_Carlo_bei_Strom[[#This Row],[Source.Name]],1))="Auszahlung_a","Auszahlung",""),"")</f>
        <v/>
      </c>
      <c r="D947" s="1"/>
    </row>
    <row r="948" spans="1:4" x14ac:dyDescent="0.3">
      <c r="A948" s="1"/>
      <c r="B948" s="1" t="str">
        <f>IFERROR(IF(LEFT(Sensitivität_bzw_Monte_Carlo_bei_Strom[[#This Row],[Source.Name]],SEARCH("aus_der",Sensitivität_bzw_Monte_Carlo_bei_Strom[[#This Row],[Source.Name]],1))="Auszahlung_a","Auszahlung",""),"")</f>
        <v/>
      </c>
      <c r="D948" s="1"/>
    </row>
    <row r="949" spans="1:4" x14ac:dyDescent="0.3">
      <c r="A949" s="1"/>
      <c r="B949" s="1" t="str">
        <f>IFERROR(IF(LEFT(Sensitivität_bzw_Monte_Carlo_bei_Strom[[#This Row],[Source.Name]],SEARCH("aus_der",Sensitivität_bzw_Monte_Carlo_bei_Strom[[#This Row],[Source.Name]],1))="Auszahlung_a","Auszahlung",""),"")</f>
        <v/>
      </c>
      <c r="D949" s="1"/>
    </row>
    <row r="950" spans="1:4" x14ac:dyDescent="0.3">
      <c r="A950" s="1"/>
      <c r="B950" s="1" t="str">
        <f>IFERROR(IF(LEFT(Sensitivität_bzw_Monte_Carlo_bei_Strom[[#This Row],[Source.Name]],SEARCH("aus_der",Sensitivität_bzw_Monte_Carlo_bei_Strom[[#This Row],[Source.Name]],1))="Auszahlung_a","Auszahlung",""),"")</f>
        <v/>
      </c>
      <c r="D950" s="1"/>
    </row>
    <row r="951" spans="1:4" x14ac:dyDescent="0.3">
      <c r="A951" s="1"/>
      <c r="B951" s="1" t="str">
        <f>IFERROR(IF(LEFT(Sensitivität_bzw_Monte_Carlo_bei_Strom[[#This Row],[Source.Name]],SEARCH("aus_der",Sensitivität_bzw_Monte_Carlo_bei_Strom[[#This Row],[Source.Name]],1))="Auszahlung_a","Auszahlung",""),"")</f>
        <v/>
      </c>
      <c r="D951" s="1"/>
    </row>
    <row r="952" spans="1:4" x14ac:dyDescent="0.3">
      <c r="A952" s="1"/>
      <c r="B952" s="1" t="str">
        <f>IFERROR(IF(LEFT(Sensitivität_bzw_Monte_Carlo_bei_Strom[[#This Row],[Source.Name]],SEARCH("aus_der",Sensitivität_bzw_Monte_Carlo_bei_Strom[[#This Row],[Source.Name]],1))="Auszahlung_a","Auszahlung",""),"")</f>
        <v/>
      </c>
      <c r="D952" s="1"/>
    </row>
    <row r="953" spans="1:4" x14ac:dyDescent="0.3">
      <c r="A953" s="1"/>
      <c r="B953" s="1" t="str">
        <f>IFERROR(IF(LEFT(Sensitivität_bzw_Monte_Carlo_bei_Strom[[#This Row],[Source.Name]],SEARCH("aus_der",Sensitivität_bzw_Monte_Carlo_bei_Strom[[#This Row],[Source.Name]],1))="Auszahlung_a","Auszahlung",""),"")</f>
        <v/>
      </c>
      <c r="D953" s="1"/>
    </row>
    <row r="954" spans="1:4" x14ac:dyDescent="0.3">
      <c r="A954" s="1"/>
      <c r="B954" s="1" t="str">
        <f>IFERROR(IF(LEFT(Sensitivität_bzw_Monte_Carlo_bei_Strom[[#This Row],[Source.Name]],SEARCH("aus_der",Sensitivität_bzw_Monte_Carlo_bei_Strom[[#This Row],[Source.Name]],1))="Auszahlung_a","Auszahlung",""),"")</f>
        <v/>
      </c>
      <c r="D954" s="1"/>
    </row>
    <row r="955" spans="1:4" x14ac:dyDescent="0.3">
      <c r="A955" s="1"/>
      <c r="B955" s="1" t="str">
        <f>IFERROR(IF(LEFT(Sensitivität_bzw_Monte_Carlo_bei_Strom[[#This Row],[Source.Name]],SEARCH("aus_der",Sensitivität_bzw_Monte_Carlo_bei_Strom[[#This Row],[Source.Name]],1))="Auszahlung_a","Auszahlung",""),"")</f>
        <v/>
      </c>
      <c r="D955" s="1"/>
    </row>
    <row r="956" spans="1:4" x14ac:dyDescent="0.3">
      <c r="A956" s="1"/>
      <c r="B956" s="1" t="str">
        <f>IFERROR(IF(LEFT(Sensitivität_bzw_Monte_Carlo_bei_Strom[[#This Row],[Source.Name]],SEARCH("aus_der",Sensitivität_bzw_Monte_Carlo_bei_Strom[[#This Row],[Source.Name]],1))="Auszahlung_a","Auszahlung",""),"")</f>
        <v/>
      </c>
      <c r="D956" s="1"/>
    </row>
    <row r="957" spans="1:4" x14ac:dyDescent="0.3">
      <c r="A957" s="1"/>
      <c r="B957" s="1" t="str">
        <f>IFERROR(IF(LEFT(Sensitivität_bzw_Monte_Carlo_bei_Strom[[#This Row],[Source.Name]],SEARCH("aus_der",Sensitivität_bzw_Monte_Carlo_bei_Strom[[#This Row],[Source.Name]],1))="Auszahlung_a","Auszahlung",""),"")</f>
        <v/>
      </c>
      <c r="D957" s="1"/>
    </row>
    <row r="958" spans="1:4" x14ac:dyDescent="0.3">
      <c r="A958" s="1"/>
      <c r="B958" s="1" t="str">
        <f>IFERROR(IF(LEFT(Sensitivität_bzw_Monte_Carlo_bei_Strom[[#This Row],[Source.Name]],SEARCH("aus_der",Sensitivität_bzw_Monte_Carlo_bei_Strom[[#This Row],[Source.Name]],1))="Auszahlung_a","Auszahlung",""),"")</f>
        <v/>
      </c>
      <c r="D958" s="1"/>
    </row>
    <row r="959" spans="1:4" x14ac:dyDescent="0.3">
      <c r="A959" s="1"/>
      <c r="B959" s="1" t="str">
        <f>IFERROR(IF(LEFT(Sensitivität_bzw_Monte_Carlo_bei_Strom[[#This Row],[Source.Name]],SEARCH("aus_der",Sensitivität_bzw_Monte_Carlo_bei_Strom[[#This Row],[Source.Name]],1))="Auszahlung_a","Auszahlung",""),"")</f>
        <v/>
      </c>
      <c r="D959" s="1"/>
    </row>
    <row r="960" spans="1:4" x14ac:dyDescent="0.3">
      <c r="A960" s="1"/>
      <c r="B960" s="1" t="str">
        <f>IFERROR(IF(LEFT(Sensitivität_bzw_Monte_Carlo_bei_Strom[[#This Row],[Source.Name]],SEARCH("aus_der",Sensitivität_bzw_Monte_Carlo_bei_Strom[[#This Row],[Source.Name]],1))="Auszahlung_a","Auszahlung",""),"")</f>
        <v/>
      </c>
      <c r="D960" s="1"/>
    </row>
    <row r="961" spans="1:4" x14ac:dyDescent="0.3">
      <c r="A961" s="1"/>
      <c r="B961" s="1" t="str">
        <f>IFERROR(IF(LEFT(Sensitivität_bzw_Monte_Carlo_bei_Strom[[#This Row],[Source.Name]],SEARCH("aus_der",Sensitivität_bzw_Monte_Carlo_bei_Strom[[#This Row],[Source.Name]],1))="Auszahlung_a","Auszahlung",""),"")</f>
        <v/>
      </c>
      <c r="D961" s="1"/>
    </row>
    <row r="962" spans="1:4" x14ac:dyDescent="0.3">
      <c r="A962" s="1"/>
      <c r="B962" s="1" t="str">
        <f>IFERROR(IF(LEFT(Sensitivität_bzw_Monte_Carlo_bei_Strom[[#This Row],[Source.Name]],SEARCH("aus_der",Sensitivität_bzw_Monte_Carlo_bei_Strom[[#This Row],[Source.Name]],1))="Auszahlung_a","Auszahlung",""),"")</f>
        <v/>
      </c>
      <c r="D962" s="1"/>
    </row>
    <row r="963" spans="1:4" x14ac:dyDescent="0.3">
      <c r="A963" s="1"/>
      <c r="B963" s="1" t="str">
        <f>IFERROR(IF(LEFT(Sensitivität_bzw_Monte_Carlo_bei_Strom[[#This Row],[Source.Name]],SEARCH("aus_der",Sensitivität_bzw_Monte_Carlo_bei_Strom[[#This Row],[Source.Name]],1))="Auszahlung_a","Auszahlung",""),"")</f>
        <v/>
      </c>
      <c r="D963" s="1"/>
    </row>
    <row r="964" spans="1:4" x14ac:dyDescent="0.3">
      <c r="A964" s="1"/>
      <c r="B964" s="1" t="str">
        <f>IFERROR(IF(LEFT(Sensitivität_bzw_Monte_Carlo_bei_Strom[[#This Row],[Source.Name]],SEARCH("aus_der",Sensitivität_bzw_Monte_Carlo_bei_Strom[[#This Row],[Source.Name]],1))="Auszahlung_a","Auszahlung",""),"")</f>
        <v/>
      </c>
      <c r="D964" s="1"/>
    </row>
    <row r="965" spans="1:4" x14ac:dyDescent="0.3">
      <c r="A965" s="1"/>
      <c r="B965" s="1" t="str">
        <f>IFERROR(IF(LEFT(Sensitivität_bzw_Monte_Carlo_bei_Strom[[#This Row],[Source.Name]],SEARCH("aus_der",Sensitivität_bzw_Monte_Carlo_bei_Strom[[#This Row],[Source.Name]],1))="Auszahlung_a","Auszahlung",""),"")</f>
        <v/>
      </c>
      <c r="D965" s="1"/>
    </row>
    <row r="966" spans="1:4" x14ac:dyDescent="0.3">
      <c r="A966" s="1"/>
      <c r="B966" s="1" t="str">
        <f>IFERROR(IF(LEFT(Sensitivität_bzw_Monte_Carlo_bei_Strom[[#This Row],[Source.Name]],SEARCH("aus_der",Sensitivität_bzw_Monte_Carlo_bei_Strom[[#This Row],[Source.Name]],1))="Auszahlung_a","Auszahlung",""),"")</f>
        <v/>
      </c>
      <c r="D966" s="1"/>
    </row>
    <row r="967" spans="1:4" x14ac:dyDescent="0.3">
      <c r="A967" s="1"/>
      <c r="B967" s="1" t="str">
        <f>IFERROR(IF(LEFT(Sensitivität_bzw_Monte_Carlo_bei_Strom[[#This Row],[Source.Name]],SEARCH("aus_der",Sensitivität_bzw_Monte_Carlo_bei_Strom[[#This Row],[Source.Name]],1))="Auszahlung_a","Auszahlung",""),"")</f>
        <v/>
      </c>
      <c r="D967" s="1"/>
    </row>
    <row r="968" spans="1:4" x14ac:dyDescent="0.3">
      <c r="A968" s="1"/>
      <c r="B968" s="1" t="str">
        <f>IFERROR(IF(LEFT(Sensitivität_bzw_Monte_Carlo_bei_Strom[[#This Row],[Source.Name]],SEARCH("aus_der",Sensitivität_bzw_Monte_Carlo_bei_Strom[[#This Row],[Source.Name]],1))="Auszahlung_a","Auszahlung",""),"")</f>
        <v/>
      </c>
      <c r="D968" s="1"/>
    </row>
    <row r="969" spans="1:4" x14ac:dyDescent="0.3">
      <c r="A969" s="1"/>
      <c r="B969" s="1" t="str">
        <f>IFERROR(IF(LEFT(Sensitivität_bzw_Monte_Carlo_bei_Strom[[#This Row],[Source.Name]],SEARCH("aus_der",Sensitivität_bzw_Monte_Carlo_bei_Strom[[#This Row],[Source.Name]],1))="Auszahlung_a","Auszahlung",""),"")</f>
        <v/>
      </c>
      <c r="D969" s="1"/>
    </row>
    <row r="970" spans="1:4" x14ac:dyDescent="0.3">
      <c r="A970" s="1"/>
      <c r="B970" s="1" t="str">
        <f>IFERROR(IF(LEFT(Sensitivität_bzw_Monte_Carlo_bei_Strom[[#This Row],[Source.Name]],SEARCH("aus_der",Sensitivität_bzw_Monte_Carlo_bei_Strom[[#This Row],[Source.Name]],1))="Auszahlung_a","Auszahlung",""),"")</f>
        <v/>
      </c>
      <c r="D970" s="1"/>
    </row>
    <row r="971" spans="1:4" x14ac:dyDescent="0.3">
      <c r="A971" s="1"/>
      <c r="B971" s="1" t="str">
        <f>IFERROR(IF(LEFT(Sensitivität_bzw_Monte_Carlo_bei_Strom[[#This Row],[Source.Name]],SEARCH("aus_der",Sensitivität_bzw_Monte_Carlo_bei_Strom[[#This Row],[Source.Name]],1))="Auszahlung_a","Auszahlung",""),"")</f>
        <v/>
      </c>
      <c r="D971" s="1"/>
    </row>
    <row r="972" spans="1:4" x14ac:dyDescent="0.3">
      <c r="A972" s="1"/>
      <c r="B972" s="1" t="str">
        <f>IFERROR(IF(LEFT(Sensitivität_bzw_Monte_Carlo_bei_Strom[[#This Row],[Source.Name]],SEARCH("aus_der",Sensitivität_bzw_Monte_Carlo_bei_Strom[[#This Row],[Source.Name]],1))="Auszahlung_a","Auszahlung",""),"")</f>
        <v/>
      </c>
      <c r="D972" s="1"/>
    </row>
    <row r="973" spans="1:4" x14ac:dyDescent="0.3">
      <c r="A973" s="1"/>
      <c r="B973" s="1" t="str">
        <f>IFERROR(IF(LEFT(Sensitivität_bzw_Monte_Carlo_bei_Strom[[#This Row],[Source.Name]],SEARCH("aus_der",Sensitivität_bzw_Monte_Carlo_bei_Strom[[#This Row],[Source.Name]],1))="Auszahlung_a","Auszahlung",""),"")</f>
        <v/>
      </c>
      <c r="D973" s="1"/>
    </row>
    <row r="974" spans="1:4" x14ac:dyDescent="0.3">
      <c r="A974" s="1"/>
      <c r="B974" s="1" t="str">
        <f>IFERROR(IF(LEFT(Sensitivität_bzw_Monte_Carlo_bei_Strom[[#This Row],[Source.Name]],SEARCH("aus_der",Sensitivität_bzw_Monte_Carlo_bei_Strom[[#This Row],[Source.Name]],1))="Auszahlung_a","Auszahlung",""),"")</f>
        <v/>
      </c>
      <c r="D974" s="1"/>
    </row>
    <row r="975" spans="1:4" x14ac:dyDescent="0.3">
      <c r="A975" s="1"/>
      <c r="B975" s="1" t="str">
        <f>IFERROR(IF(LEFT(Sensitivität_bzw_Monte_Carlo_bei_Strom[[#This Row],[Source.Name]],SEARCH("aus_der",Sensitivität_bzw_Monte_Carlo_bei_Strom[[#This Row],[Source.Name]],1))="Auszahlung_a","Auszahlung",""),"")</f>
        <v/>
      </c>
      <c r="D975" s="1"/>
    </row>
    <row r="976" spans="1:4" x14ac:dyDescent="0.3">
      <c r="A976" s="1"/>
      <c r="B976" s="1" t="str">
        <f>IFERROR(IF(LEFT(Sensitivität_bzw_Monte_Carlo_bei_Strom[[#This Row],[Source.Name]],SEARCH("aus_der",Sensitivität_bzw_Monte_Carlo_bei_Strom[[#This Row],[Source.Name]],1))="Auszahlung_a","Auszahlung",""),"")</f>
        <v/>
      </c>
      <c r="D976" s="1"/>
    </row>
    <row r="977" spans="1:4" x14ac:dyDescent="0.3">
      <c r="A977" s="1"/>
      <c r="B977" s="1" t="str">
        <f>IFERROR(IF(LEFT(Sensitivität_bzw_Monte_Carlo_bei_Strom[[#This Row],[Source.Name]],SEARCH("aus_der",Sensitivität_bzw_Monte_Carlo_bei_Strom[[#This Row],[Source.Name]],1))="Auszahlung_a","Auszahlung",""),"")</f>
        <v/>
      </c>
      <c r="D977" s="1"/>
    </row>
    <row r="978" spans="1:4" x14ac:dyDescent="0.3">
      <c r="A978" s="1"/>
      <c r="B978" s="1" t="str">
        <f>IFERROR(IF(LEFT(Sensitivität_bzw_Monte_Carlo_bei_Strom[[#This Row],[Source.Name]],SEARCH("aus_der",Sensitivität_bzw_Monte_Carlo_bei_Strom[[#This Row],[Source.Name]],1))="Auszahlung_a","Auszahlung",""),"")</f>
        <v/>
      </c>
      <c r="D978" s="1"/>
    </row>
    <row r="979" spans="1:4" x14ac:dyDescent="0.3">
      <c r="A979" s="1"/>
      <c r="B979" s="1" t="str">
        <f>IFERROR(IF(LEFT(Sensitivität_bzw_Monte_Carlo_bei_Strom[[#This Row],[Source.Name]],SEARCH("aus_der",Sensitivität_bzw_Monte_Carlo_bei_Strom[[#This Row],[Source.Name]],1))="Auszahlung_a","Auszahlung",""),"")</f>
        <v/>
      </c>
      <c r="D979" s="1"/>
    </row>
    <row r="980" spans="1:4" x14ac:dyDescent="0.3">
      <c r="A980" s="1"/>
      <c r="B980" s="1" t="str">
        <f>IFERROR(IF(LEFT(Sensitivität_bzw_Monte_Carlo_bei_Strom[[#This Row],[Source.Name]],SEARCH("aus_der",Sensitivität_bzw_Monte_Carlo_bei_Strom[[#This Row],[Source.Name]],1))="Auszahlung_a","Auszahlung",""),"")</f>
        <v/>
      </c>
      <c r="D980" s="1"/>
    </row>
    <row r="981" spans="1:4" x14ac:dyDescent="0.3">
      <c r="A981" s="1"/>
      <c r="B981" s="1" t="str">
        <f>IFERROR(IF(LEFT(Sensitivität_bzw_Monte_Carlo_bei_Strom[[#This Row],[Source.Name]],SEARCH("aus_der",Sensitivität_bzw_Monte_Carlo_bei_Strom[[#This Row],[Source.Name]],1))="Auszahlung_a","Auszahlung",""),"")</f>
        <v/>
      </c>
      <c r="D981" s="1"/>
    </row>
    <row r="982" spans="1:4" x14ac:dyDescent="0.3">
      <c r="A982" s="1"/>
      <c r="B982" s="1" t="str">
        <f>IFERROR(IF(LEFT(Sensitivität_bzw_Monte_Carlo_bei_Strom[[#This Row],[Source.Name]],SEARCH("aus_der",Sensitivität_bzw_Monte_Carlo_bei_Strom[[#This Row],[Source.Name]],1))="Auszahlung_a","Auszahlung",""),"")</f>
        <v/>
      </c>
      <c r="D982" s="1"/>
    </row>
    <row r="983" spans="1:4" x14ac:dyDescent="0.3">
      <c r="A983" s="1"/>
      <c r="B983" s="1" t="str">
        <f>IFERROR(IF(LEFT(Sensitivität_bzw_Monte_Carlo_bei_Strom[[#This Row],[Source.Name]],SEARCH("aus_der",Sensitivität_bzw_Monte_Carlo_bei_Strom[[#This Row],[Source.Name]],1))="Auszahlung_a","Auszahlung",""),"")</f>
        <v/>
      </c>
      <c r="D983" s="1"/>
    </row>
    <row r="984" spans="1:4" x14ac:dyDescent="0.3">
      <c r="A984" s="1"/>
      <c r="B984" s="1" t="str">
        <f>IFERROR(IF(LEFT(Sensitivität_bzw_Monte_Carlo_bei_Strom[[#This Row],[Source.Name]],SEARCH("aus_der",Sensitivität_bzw_Monte_Carlo_bei_Strom[[#This Row],[Source.Name]],1))="Auszahlung_a","Auszahlung",""),"")</f>
        <v/>
      </c>
      <c r="D984" s="1"/>
    </row>
    <row r="985" spans="1:4" x14ac:dyDescent="0.3">
      <c r="A985" s="1"/>
      <c r="B985" s="1" t="str">
        <f>IFERROR(IF(LEFT(Sensitivität_bzw_Monte_Carlo_bei_Strom[[#This Row],[Source.Name]],SEARCH("aus_der",Sensitivität_bzw_Monte_Carlo_bei_Strom[[#This Row],[Source.Name]],1))="Auszahlung_a","Auszahlung",""),"")</f>
        <v/>
      </c>
      <c r="D985" s="1"/>
    </row>
    <row r="986" spans="1:4" x14ac:dyDescent="0.3">
      <c r="A986" s="1"/>
      <c r="B986" s="1" t="str">
        <f>IFERROR(IF(LEFT(Sensitivität_bzw_Monte_Carlo_bei_Strom[[#This Row],[Source.Name]],SEARCH("aus_der",Sensitivität_bzw_Monte_Carlo_bei_Strom[[#This Row],[Source.Name]],1))="Auszahlung_a","Auszahlung",""),"")</f>
        <v/>
      </c>
      <c r="D986" s="1"/>
    </row>
    <row r="987" spans="1:4" x14ac:dyDescent="0.3">
      <c r="A987" s="1"/>
      <c r="B987" s="1" t="str">
        <f>IFERROR(IF(LEFT(Sensitivität_bzw_Monte_Carlo_bei_Strom[[#This Row],[Source.Name]],SEARCH("aus_der",Sensitivität_bzw_Monte_Carlo_bei_Strom[[#This Row],[Source.Name]],1))="Auszahlung_a","Auszahlung",""),"")</f>
        <v/>
      </c>
      <c r="D987" s="1"/>
    </row>
    <row r="988" spans="1:4" x14ac:dyDescent="0.3">
      <c r="A988" s="1"/>
      <c r="B988" s="1" t="str">
        <f>IFERROR(IF(LEFT(Sensitivität_bzw_Monte_Carlo_bei_Strom[[#This Row],[Source.Name]],SEARCH("aus_der",Sensitivität_bzw_Monte_Carlo_bei_Strom[[#This Row],[Source.Name]],1))="Auszahlung_a","Auszahlung",""),"")</f>
        <v/>
      </c>
      <c r="D988" s="1"/>
    </row>
    <row r="989" spans="1:4" x14ac:dyDescent="0.3">
      <c r="A989" s="1"/>
      <c r="B989" s="1" t="str">
        <f>IFERROR(IF(LEFT(Sensitivität_bzw_Monte_Carlo_bei_Strom[[#This Row],[Source.Name]],SEARCH("aus_der",Sensitivität_bzw_Monte_Carlo_bei_Strom[[#This Row],[Source.Name]],1))="Auszahlung_a","Auszahlung",""),"")</f>
        <v/>
      </c>
      <c r="D989" s="1"/>
    </row>
    <row r="990" spans="1:4" x14ac:dyDescent="0.3">
      <c r="A990" s="1"/>
      <c r="B990" s="1" t="str">
        <f>IFERROR(IF(LEFT(Sensitivität_bzw_Monte_Carlo_bei_Strom[[#This Row],[Source.Name]],SEARCH("aus_der",Sensitivität_bzw_Monte_Carlo_bei_Strom[[#This Row],[Source.Name]],1))="Auszahlung_a","Auszahlung",""),"")</f>
        <v/>
      </c>
      <c r="D990" s="1"/>
    </row>
    <row r="991" spans="1:4" x14ac:dyDescent="0.3">
      <c r="A991" s="1"/>
      <c r="B991" s="1" t="str">
        <f>IFERROR(IF(LEFT(Sensitivität_bzw_Monte_Carlo_bei_Strom[[#This Row],[Source.Name]],SEARCH("aus_der",Sensitivität_bzw_Monte_Carlo_bei_Strom[[#This Row],[Source.Name]],1))="Auszahlung_a","Auszahlung",""),"")</f>
        <v/>
      </c>
      <c r="D991" s="1"/>
    </row>
    <row r="992" spans="1:4" x14ac:dyDescent="0.3">
      <c r="A992" s="1"/>
      <c r="B992" s="1" t="str">
        <f>IFERROR(IF(LEFT(Sensitivität_bzw_Monte_Carlo_bei_Strom[[#This Row],[Source.Name]],SEARCH("aus_der",Sensitivität_bzw_Monte_Carlo_bei_Strom[[#This Row],[Source.Name]],1))="Auszahlung_a","Auszahlung",""),"")</f>
        <v/>
      </c>
      <c r="D992" s="1"/>
    </row>
    <row r="993" spans="1:4" x14ac:dyDescent="0.3">
      <c r="A993" s="1"/>
      <c r="B993" s="1" t="str">
        <f>IFERROR(IF(LEFT(Sensitivität_bzw_Monte_Carlo_bei_Strom[[#This Row],[Source.Name]],SEARCH("aus_der",Sensitivität_bzw_Monte_Carlo_bei_Strom[[#This Row],[Source.Name]],1))="Auszahlung_a","Auszahlung",""),"")</f>
        <v/>
      </c>
      <c r="D993" s="1"/>
    </row>
    <row r="994" spans="1:4" x14ac:dyDescent="0.3">
      <c r="A994" s="1"/>
      <c r="B994" s="1" t="str">
        <f>IFERROR(IF(LEFT(Sensitivität_bzw_Monte_Carlo_bei_Strom[[#This Row],[Source.Name]],SEARCH("aus_der",Sensitivität_bzw_Monte_Carlo_bei_Strom[[#This Row],[Source.Name]],1))="Auszahlung_a","Auszahlung",""),"")</f>
        <v/>
      </c>
      <c r="D994" s="1"/>
    </row>
    <row r="995" spans="1:4" x14ac:dyDescent="0.3">
      <c r="A995" s="1"/>
      <c r="B995" s="1" t="str">
        <f>IFERROR(IF(LEFT(Sensitivität_bzw_Monte_Carlo_bei_Strom[[#This Row],[Source.Name]],SEARCH("aus_der",Sensitivität_bzw_Monte_Carlo_bei_Strom[[#This Row],[Source.Name]],1))="Auszahlung_a","Auszahlung",""),"")</f>
        <v/>
      </c>
      <c r="D995" s="1"/>
    </row>
    <row r="996" spans="1:4" x14ac:dyDescent="0.3">
      <c r="A996" s="1"/>
      <c r="B996" s="1" t="str">
        <f>IFERROR(IF(LEFT(Sensitivität_bzw_Monte_Carlo_bei_Strom[[#This Row],[Source.Name]],SEARCH("aus_der",Sensitivität_bzw_Monte_Carlo_bei_Strom[[#This Row],[Source.Name]],1))="Auszahlung_a","Auszahlung",""),"")</f>
        <v/>
      </c>
      <c r="D996" s="1"/>
    </row>
    <row r="997" spans="1:4" x14ac:dyDescent="0.3">
      <c r="A997" s="1"/>
      <c r="B997" s="1" t="str">
        <f>IFERROR(IF(LEFT(Sensitivität_bzw_Monte_Carlo_bei_Strom[[#This Row],[Source.Name]],SEARCH("aus_der",Sensitivität_bzw_Monte_Carlo_bei_Strom[[#This Row],[Source.Name]],1))="Auszahlung_a","Auszahlung",""),"")</f>
        <v/>
      </c>
      <c r="D997" s="1"/>
    </row>
    <row r="998" spans="1:4" x14ac:dyDescent="0.3">
      <c r="A998" s="1"/>
      <c r="B998" s="1" t="str">
        <f>IFERROR(IF(LEFT(Sensitivität_bzw_Monte_Carlo_bei_Strom[[#This Row],[Source.Name]],SEARCH("aus_der",Sensitivität_bzw_Monte_Carlo_bei_Strom[[#This Row],[Source.Name]],1))="Auszahlung_a","Auszahlung",""),"")</f>
        <v/>
      </c>
      <c r="D998" s="1"/>
    </row>
    <row r="999" spans="1:4" x14ac:dyDescent="0.3">
      <c r="A999" s="1"/>
      <c r="B999" s="1" t="str">
        <f>IFERROR(IF(LEFT(Sensitivität_bzw_Monte_Carlo_bei_Strom[[#This Row],[Source.Name]],SEARCH("aus_der",Sensitivität_bzw_Monte_Carlo_bei_Strom[[#This Row],[Source.Name]],1))="Auszahlung_a","Auszahlung",""),"")</f>
        <v/>
      </c>
      <c r="D999" s="1"/>
    </row>
    <row r="1000" spans="1:4" x14ac:dyDescent="0.3">
      <c r="A1000" s="1"/>
      <c r="B1000" s="1" t="str">
        <f>IFERROR(IF(LEFT(Sensitivität_bzw_Monte_Carlo_bei_Strom[[#This Row],[Source.Name]],SEARCH("aus_der",Sensitivität_bzw_Monte_Carlo_bei_Strom[[#This Row],[Source.Name]],1))="Auszahlung_a","Auszahlung",""),"")</f>
        <v/>
      </c>
      <c r="D1000" s="1"/>
    </row>
    <row r="1001" spans="1:4" x14ac:dyDescent="0.3">
      <c r="A1001" s="1"/>
      <c r="B1001" s="1" t="str">
        <f>IFERROR(IF(LEFT(Sensitivität_bzw_Monte_Carlo_bei_Strom[[#This Row],[Source.Name]],SEARCH("aus_der",Sensitivität_bzw_Monte_Carlo_bei_Strom[[#This Row],[Source.Name]],1))="Auszahlung_a","Auszahlung",""),"")</f>
        <v/>
      </c>
      <c r="D1001" s="1"/>
    </row>
    <row r="1002" spans="1:4" x14ac:dyDescent="0.3">
      <c r="A1002" s="1"/>
      <c r="B1002" s="1" t="str">
        <f>IFERROR(IF(LEFT(Sensitivität_bzw_Monte_Carlo_bei_Strom[[#This Row],[Source.Name]],SEARCH("aus_der",Sensitivität_bzw_Monte_Carlo_bei_Strom[[#This Row],[Source.Name]],1))="Auszahlung_a","Auszahlung",""),"")</f>
        <v/>
      </c>
      <c r="D1002" s="1"/>
    </row>
    <row r="1003" spans="1:4" x14ac:dyDescent="0.3">
      <c r="A1003" s="1"/>
      <c r="B1003" s="1" t="str">
        <f>IFERROR(IF(LEFT(Sensitivität_bzw_Monte_Carlo_bei_Strom[[#This Row],[Source.Name]],SEARCH("aus_der",Sensitivität_bzw_Monte_Carlo_bei_Strom[[#This Row],[Source.Name]],1))="Auszahlung_a","Auszahlung",""),"")</f>
        <v/>
      </c>
      <c r="D1003" s="1"/>
    </row>
    <row r="1004" spans="1:4" x14ac:dyDescent="0.3">
      <c r="A1004" s="1"/>
      <c r="B1004" s="1" t="str">
        <f>IFERROR(IF(LEFT(Sensitivität_bzw_Monte_Carlo_bei_Strom[[#This Row],[Source.Name]],SEARCH("aus_der",Sensitivität_bzw_Monte_Carlo_bei_Strom[[#This Row],[Source.Name]],1))="Auszahlung_a","Auszahlung",""),"")</f>
        <v/>
      </c>
      <c r="D1004" s="1"/>
    </row>
    <row r="1005" spans="1:4" x14ac:dyDescent="0.3">
      <c r="A1005" s="1"/>
      <c r="B1005" s="1" t="str">
        <f>IFERROR(IF(LEFT(Sensitivität_bzw_Monte_Carlo_bei_Strom[[#This Row],[Source.Name]],SEARCH("aus_der",Sensitivität_bzw_Monte_Carlo_bei_Strom[[#This Row],[Source.Name]],1))="Auszahlung_a","Auszahlung",""),"")</f>
        <v/>
      </c>
      <c r="D1005" s="1"/>
    </row>
    <row r="1006" spans="1:4" x14ac:dyDescent="0.3">
      <c r="A1006" s="1"/>
      <c r="B1006" s="1" t="str">
        <f>IFERROR(IF(LEFT(Sensitivität_bzw_Monte_Carlo_bei_Strom[[#This Row],[Source.Name]],SEARCH("aus_der",Sensitivität_bzw_Monte_Carlo_bei_Strom[[#This Row],[Source.Name]],1))="Auszahlung_a","Auszahlung",""),"")</f>
        <v/>
      </c>
      <c r="D1006" s="1"/>
    </row>
    <row r="1007" spans="1:4" x14ac:dyDescent="0.3">
      <c r="A1007" s="1"/>
      <c r="B1007" s="1" t="str">
        <f>IFERROR(IF(LEFT(Sensitivität_bzw_Monte_Carlo_bei_Strom[[#This Row],[Source.Name]],SEARCH("aus_der",Sensitivität_bzw_Monte_Carlo_bei_Strom[[#This Row],[Source.Name]],1))="Auszahlung_a","Auszahlung",""),"")</f>
        <v/>
      </c>
      <c r="D1007" s="1"/>
    </row>
    <row r="1008" spans="1:4" x14ac:dyDescent="0.3">
      <c r="A1008" s="1"/>
      <c r="B1008" s="1" t="str">
        <f>IFERROR(IF(LEFT(Sensitivität_bzw_Monte_Carlo_bei_Strom[[#This Row],[Source.Name]],SEARCH("aus_der",Sensitivität_bzw_Monte_Carlo_bei_Strom[[#This Row],[Source.Name]],1))="Auszahlung_a","Auszahlung",""),"")</f>
        <v/>
      </c>
      <c r="D1008" s="1"/>
    </row>
    <row r="1009" spans="1:4" x14ac:dyDescent="0.3">
      <c r="A1009" s="1"/>
      <c r="B1009" s="1" t="str">
        <f>IFERROR(IF(LEFT(Sensitivität_bzw_Monte_Carlo_bei_Strom[[#This Row],[Source.Name]],SEARCH("aus_der",Sensitivität_bzw_Monte_Carlo_bei_Strom[[#This Row],[Source.Name]],1))="Auszahlung_a","Auszahlung",""),"")</f>
        <v/>
      </c>
      <c r="D1009" s="1"/>
    </row>
    <row r="1010" spans="1:4" x14ac:dyDescent="0.3">
      <c r="A1010" s="1"/>
      <c r="B1010" s="1" t="str">
        <f>IFERROR(IF(LEFT(Sensitivität_bzw_Monte_Carlo_bei_Strom[[#This Row],[Source.Name]],SEARCH("aus_der",Sensitivität_bzw_Monte_Carlo_bei_Strom[[#This Row],[Source.Name]],1))="Auszahlung_a","Auszahlung",""),"")</f>
        <v/>
      </c>
      <c r="D1010" s="1"/>
    </row>
    <row r="1011" spans="1:4" x14ac:dyDescent="0.3">
      <c r="A1011" s="1"/>
      <c r="B1011" s="1" t="str">
        <f>IFERROR(IF(LEFT(Sensitivität_bzw_Monte_Carlo_bei_Strom[[#This Row],[Source.Name]],SEARCH("aus_der",Sensitivität_bzw_Monte_Carlo_bei_Strom[[#This Row],[Source.Name]],1))="Auszahlung_a","Auszahlung",""),"")</f>
        <v/>
      </c>
      <c r="D1011" s="1"/>
    </row>
    <row r="1012" spans="1:4" x14ac:dyDescent="0.3">
      <c r="A1012" s="1"/>
      <c r="B1012" s="1" t="str">
        <f>IFERROR(IF(LEFT(Sensitivität_bzw_Monte_Carlo_bei_Strom[[#This Row],[Source.Name]],SEARCH("aus_der",Sensitivität_bzw_Monte_Carlo_bei_Strom[[#This Row],[Source.Name]],1))="Auszahlung_a","Auszahlung",""),"")</f>
        <v/>
      </c>
      <c r="D1012" s="1"/>
    </row>
    <row r="1013" spans="1:4" x14ac:dyDescent="0.3">
      <c r="A1013" s="1"/>
      <c r="B1013" s="1" t="str">
        <f>IFERROR(IF(LEFT(Sensitivität_bzw_Monte_Carlo_bei_Strom[[#This Row],[Source.Name]],SEARCH("aus_der",Sensitivität_bzw_Monte_Carlo_bei_Strom[[#This Row],[Source.Name]],1))="Auszahlung_a","Auszahlung",""),"")</f>
        <v/>
      </c>
      <c r="D1013" s="1"/>
    </row>
    <row r="1014" spans="1:4" x14ac:dyDescent="0.3">
      <c r="A1014" s="1"/>
      <c r="B1014" s="1" t="str">
        <f>IFERROR(IF(LEFT(Sensitivität_bzw_Monte_Carlo_bei_Strom[[#This Row],[Source.Name]],SEARCH("aus_der",Sensitivität_bzw_Monte_Carlo_bei_Strom[[#This Row],[Source.Name]],1))="Auszahlung_a","Auszahlung",""),"")</f>
        <v/>
      </c>
      <c r="D1014" s="1"/>
    </row>
    <row r="1015" spans="1:4" x14ac:dyDescent="0.3">
      <c r="A1015" s="1"/>
      <c r="B1015" s="1" t="str">
        <f>IFERROR(IF(LEFT(Sensitivität_bzw_Monte_Carlo_bei_Strom[[#This Row],[Source.Name]],SEARCH("aus_der",Sensitivität_bzw_Monte_Carlo_bei_Strom[[#This Row],[Source.Name]],1))="Auszahlung_a","Auszahlung",""),"")</f>
        <v/>
      </c>
      <c r="D1015" s="1"/>
    </row>
    <row r="1016" spans="1:4" x14ac:dyDescent="0.3">
      <c r="A1016" s="1"/>
      <c r="B1016" s="1" t="str">
        <f>IFERROR(IF(LEFT(Sensitivität_bzw_Monte_Carlo_bei_Strom[[#This Row],[Source.Name]],SEARCH("aus_der",Sensitivität_bzw_Monte_Carlo_bei_Strom[[#This Row],[Source.Name]],1))="Auszahlung_a","Auszahlung",""),"")</f>
        <v/>
      </c>
      <c r="D1016" s="1"/>
    </row>
    <row r="1017" spans="1:4" x14ac:dyDescent="0.3">
      <c r="A1017" s="1"/>
      <c r="B1017" s="1" t="str">
        <f>IFERROR(IF(LEFT(Sensitivität_bzw_Monte_Carlo_bei_Strom[[#This Row],[Source.Name]],SEARCH("aus_der",Sensitivität_bzw_Monte_Carlo_bei_Strom[[#This Row],[Source.Name]],1))="Auszahlung_a","Auszahlung",""),"")</f>
        <v/>
      </c>
      <c r="D1017" s="1"/>
    </row>
    <row r="1018" spans="1:4" x14ac:dyDescent="0.3">
      <c r="A1018" s="1"/>
      <c r="B1018" s="1" t="str">
        <f>IFERROR(IF(LEFT(Sensitivität_bzw_Monte_Carlo_bei_Strom[[#This Row],[Source.Name]],SEARCH("aus_der",Sensitivität_bzw_Monte_Carlo_bei_Strom[[#This Row],[Source.Name]],1))="Auszahlung_a","Auszahlung",""),"")</f>
        <v/>
      </c>
      <c r="D1018" s="1"/>
    </row>
    <row r="1019" spans="1:4" x14ac:dyDescent="0.3">
      <c r="A1019" s="1"/>
      <c r="B1019" s="1" t="str">
        <f>IFERROR(IF(LEFT(Sensitivität_bzw_Monte_Carlo_bei_Strom[[#This Row],[Source.Name]],SEARCH("aus_der",Sensitivität_bzw_Monte_Carlo_bei_Strom[[#This Row],[Source.Name]],1))="Auszahlung_a","Auszahlung",""),"")</f>
        <v/>
      </c>
      <c r="D1019" s="1"/>
    </row>
    <row r="1020" spans="1:4" x14ac:dyDescent="0.3">
      <c r="A1020" s="1"/>
      <c r="B1020" s="1" t="str">
        <f>IFERROR(IF(LEFT(Sensitivität_bzw_Monte_Carlo_bei_Strom[[#This Row],[Source.Name]],SEARCH("aus_der",Sensitivität_bzw_Monte_Carlo_bei_Strom[[#This Row],[Source.Name]],1))="Auszahlung_a","Auszahlung",""),"")</f>
        <v/>
      </c>
      <c r="D1020" s="1"/>
    </row>
    <row r="1021" spans="1:4" x14ac:dyDescent="0.3">
      <c r="A1021" s="1"/>
      <c r="B1021" s="1" t="str">
        <f>IFERROR(IF(LEFT(Sensitivität_bzw_Monte_Carlo_bei_Strom[[#This Row],[Source.Name]],SEARCH("aus_der",Sensitivität_bzw_Monte_Carlo_bei_Strom[[#This Row],[Source.Name]],1))="Auszahlung_a","Auszahlung",""),"")</f>
        <v/>
      </c>
      <c r="D1021" s="1"/>
    </row>
    <row r="1022" spans="1:4" x14ac:dyDescent="0.3">
      <c r="A1022" s="1"/>
      <c r="B1022" s="1" t="str">
        <f>IFERROR(IF(LEFT(Sensitivität_bzw_Monte_Carlo_bei_Strom[[#This Row],[Source.Name]],SEARCH("aus_der",Sensitivität_bzw_Monte_Carlo_bei_Strom[[#This Row],[Source.Name]],1))="Auszahlung_a","Auszahlung",""),"")</f>
        <v/>
      </c>
      <c r="D1022" s="1"/>
    </row>
    <row r="1023" spans="1:4" x14ac:dyDescent="0.3">
      <c r="A1023" s="1"/>
      <c r="B1023" s="1" t="str">
        <f>IFERROR(IF(LEFT(Sensitivität_bzw_Monte_Carlo_bei_Strom[[#This Row],[Source.Name]],SEARCH("aus_der",Sensitivität_bzw_Monte_Carlo_bei_Strom[[#This Row],[Source.Name]],1))="Auszahlung_a","Auszahlung",""),"")</f>
        <v/>
      </c>
      <c r="D1023" s="1"/>
    </row>
    <row r="1024" spans="1:4" x14ac:dyDescent="0.3">
      <c r="A1024" s="1"/>
      <c r="B1024" s="1" t="str">
        <f>IFERROR(IF(LEFT(Sensitivität_bzw_Monte_Carlo_bei_Strom[[#This Row],[Source.Name]],SEARCH("aus_der",Sensitivität_bzw_Monte_Carlo_bei_Strom[[#This Row],[Source.Name]],1))="Auszahlung_a","Auszahlung",""),"")</f>
        <v/>
      </c>
      <c r="D1024" s="1"/>
    </row>
    <row r="1025" spans="1:4" x14ac:dyDescent="0.3">
      <c r="A1025" s="1"/>
      <c r="B1025" s="1" t="str">
        <f>IFERROR(IF(LEFT(Sensitivität_bzw_Monte_Carlo_bei_Strom[[#This Row],[Source.Name]],SEARCH("aus_der",Sensitivität_bzw_Monte_Carlo_bei_Strom[[#This Row],[Source.Name]],1))="Auszahlung_a","Auszahlung",""),"")</f>
        <v/>
      </c>
      <c r="D1025" s="1"/>
    </row>
    <row r="1026" spans="1:4" x14ac:dyDescent="0.3">
      <c r="A1026" s="1"/>
      <c r="B1026" s="1" t="str">
        <f>IFERROR(IF(LEFT(Sensitivität_bzw_Monte_Carlo_bei_Strom[[#This Row],[Source.Name]],SEARCH("aus_der",Sensitivität_bzw_Monte_Carlo_bei_Strom[[#This Row],[Source.Name]],1))="Auszahlung_a","Auszahlung",""),"")</f>
        <v/>
      </c>
      <c r="D1026" s="1"/>
    </row>
    <row r="1027" spans="1:4" x14ac:dyDescent="0.3">
      <c r="A1027" s="1"/>
      <c r="B1027" s="1" t="str">
        <f>IFERROR(IF(LEFT(Sensitivität_bzw_Monte_Carlo_bei_Strom[[#This Row],[Source.Name]],SEARCH("aus_der",Sensitivität_bzw_Monte_Carlo_bei_Strom[[#This Row],[Source.Name]],1))="Auszahlung_a","Auszahlung",""),"")</f>
        <v/>
      </c>
      <c r="D1027" s="1"/>
    </row>
    <row r="1028" spans="1:4" x14ac:dyDescent="0.3">
      <c r="A1028" s="1"/>
      <c r="B1028" s="1" t="str">
        <f>IFERROR(IF(LEFT(Sensitivität_bzw_Monte_Carlo_bei_Strom[[#This Row],[Source.Name]],SEARCH("aus_der",Sensitivität_bzw_Monte_Carlo_bei_Strom[[#This Row],[Source.Name]],1))="Auszahlung_a","Auszahlung",""),"")</f>
        <v/>
      </c>
      <c r="D1028" s="1"/>
    </row>
    <row r="1029" spans="1:4" x14ac:dyDescent="0.3">
      <c r="A1029" s="1"/>
      <c r="B1029" s="1" t="str">
        <f>IFERROR(IF(LEFT(Sensitivität_bzw_Monte_Carlo_bei_Strom[[#This Row],[Source.Name]],SEARCH("aus_der",Sensitivität_bzw_Monte_Carlo_bei_Strom[[#This Row],[Source.Name]],1))="Auszahlung_a","Auszahlung",""),"")</f>
        <v/>
      </c>
      <c r="D1029" s="1"/>
    </row>
    <row r="1030" spans="1:4" x14ac:dyDescent="0.3">
      <c r="A1030" s="1"/>
      <c r="B1030" s="1" t="str">
        <f>IFERROR(IF(LEFT(Sensitivität_bzw_Monte_Carlo_bei_Strom[[#This Row],[Source.Name]],SEARCH("aus_der",Sensitivität_bzw_Monte_Carlo_bei_Strom[[#This Row],[Source.Name]],1))="Auszahlung_a","Auszahlung",""),"")</f>
        <v/>
      </c>
      <c r="D1030" s="1"/>
    </row>
    <row r="1031" spans="1:4" x14ac:dyDescent="0.3">
      <c r="A1031" s="1"/>
      <c r="B1031" s="1" t="str">
        <f>IFERROR(IF(LEFT(Sensitivität_bzw_Monte_Carlo_bei_Strom[[#This Row],[Source.Name]],SEARCH("aus_der",Sensitivität_bzw_Monte_Carlo_bei_Strom[[#This Row],[Source.Name]],1))="Auszahlung_a","Auszahlung",""),"")</f>
        <v/>
      </c>
      <c r="D1031" s="1"/>
    </row>
    <row r="1032" spans="1:4" x14ac:dyDescent="0.3">
      <c r="A1032" s="1"/>
      <c r="B1032" s="1" t="str">
        <f>IFERROR(IF(LEFT(Sensitivität_bzw_Monte_Carlo_bei_Strom[[#This Row],[Source.Name]],SEARCH("aus_der",Sensitivität_bzw_Monte_Carlo_bei_Strom[[#This Row],[Source.Name]],1))="Auszahlung_a","Auszahlung",""),"")</f>
        <v/>
      </c>
      <c r="D1032" s="1"/>
    </row>
    <row r="1033" spans="1:4" x14ac:dyDescent="0.3">
      <c r="A1033" s="1"/>
      <c r="B1033" s="1" t="str">
        <f>IFERROR(IF(LEFT(Sensitivität_bzw_Monte_Carlo_bei_Strom[[#This Row],[Source.Name]],SEARCH("aus_der",Sensitivität_bzw_Monte_Carlo_bei_Strom[[#This Row],[Source.Name]],1))="Auszahlung_a","Auszahlung",""),"")</f>
        <v/>
      </c>
      <c r="D1033" s="1"/>
    </row>
    <row r="1034" spans="1:4" x14ac:dyDescent="0.3">
      <c r="A1034" s="1"/>
      <c r="B1034" s="1" t="str">
        <f>IFERROR(IF(LEFT(Sensitivität_bzw_Monte_Carlo_bei_Strom[[#This Row],[Source.Name]],SEARCH("aus_der",Sensitivität_bzw_Monte_Carlo_bei_Strom[[#This Row],[Source.Name]],1))="Auszahlung_a","Auszahlung",""),"")</f>
        <v/>
      </c>
      <c r="D1034" s="1"/>
    </row>
    <row r="1035" spans="1:4" x14ac:dyDescent="0.3">
      <c r="A1035" s="1"/>
      <c r="B1035" s="1" t="str">
        <f>IFERROR(IF(LEFT(Sensitivität_bzw_Monte_Carlo_bei_Strom[[#This Row],[Source.Name]],SEARCH("aus_der",Sensitivität_bzw_Monte_Carlo_bei_Strom[[#This Row],[Source.Name]],1))="Auszahlung_a","Auszahlung",""),"")</f>
        <v/>
      </c>
      <c r="D1035" s="1"/>
    </row>
    <row r="1036" spans="1:4" x14ac:dyDescent="0.3">
      <c r="A1036" s="1"/>
      <c r="B1036" s="1" t="str">
        <f>IFERROR(IF(LEFT(Sensitivität_bzw_Monte_Carlo_bei_Strom[[#This Row],[Source.Name]],SEARCH("aus_der",Sensitivität_bzw_Monte_Carlo_bei_Strom[[#This Row],[Source.Name]],1))="Auszahlung_a","Auszahlung",""),"")</f>
        <v/>
      </c>
      <c r="D1036" s="1"/>
    </row>
    <row r="1037" spans="1:4" x14ac:dyDescent="0.3">
      <c r="A1037" s="1"/>
      <c r="B1037" s="1" t="str">
        <f>IFERROR(IF(LEFT(Sensitivität_bzw_Monte_Carlo_bei_Strom[[#This Row],[Source.Name]],SEARCH("aus_der",Sensitivität_bzw_Monte_Carlo_bei_Strom[[#This Row],[Source.Name]],1))="Auszahlung_a","Auszahlung",""),"")</f>
        <v/>
      </c>
      <c r="D1037" s="1"/>
    </row>
    <row r="1038" spans="1:4" x14ac:dyDescent="0.3">
      <c r="A1038" s="1"/>
      <c r="B1038" s="1" t="str">
        <f>IFERROR(IF(LEFT(Sensitivität_bzw_Monte_Carlo_bei_Strom[[#This Row],[Source.Name]],SEARCH("aus_der",Sensitivität_bzw_Monte_Carlo_bei_Strom[[#This Row],[Source.Name]],1))="Auszahlung_a","Auszahlung",""),"")</f>
        <v/>
      </c>
      <c r="D1038" s="1"/>
    </row>
    <row r="1039" spans="1:4" x14ac:dyDescent="0.3">
      <c r="A1039" s="1"/>
      <c r="B1039" s="1" t="str">
        <f>IFERROR(IF(LEFT(Sensitivität_bzw_Monte_Carlo_bei_Strom[[#This Row],[Source.Name]],SEARCH("aus_der",Sensitivität_bzw_Monte_Carlo_bei_Strom[[#This Row],[Source.Name]],1))="Auszahlung_a","Auszahlung",""),"")</f>
        <v/>
      </c>
      <c r="D1039" s="1"/>
    </row>
    <row r="1040" spans="1:4" x14ac:dyDescent="0.3">
      <c r="A1040" s="1"/>
      <c r="B1040" s="1" t="str">
        <f>IFERROR(IF(LEFT(Sensitivität_bzw_Monte_Carlo_bei_Strom[[#This Row],[Source.Name]],SEARCH("aus_der",Sensitivität_bzw_Monte_Carlo_bei_Strom[[#This Row],[Source.Name]],1))="Auszahlung_a","Auszahlung",""),"")</f>
        <v/>
      </c>
      <c r="D1040" s="1"/>
    </row>
    <row r="1041" spans="1:4" x14ac:dyDescent="0.3">
      <c r="A1041" s="1"/>
      <c r="B1041" s="1" t="str">
        <f>IFERROR(IF(LEFT(Sensitivität_bzw_Monte_Carlo_bei_Strom[[#This Row],[Source.Name]],SEARCH("aus_der",Sensitivität_bzw_Monte_Carlo_bei_Strom[[#This Row],[Source.Name]],1))="Auszahlung_a","Auszahlung",""),"")</f>
        <v/>
      </c>
      <c r="D1041" s="1"/>
    </row>
    <row r="1042" spans="1:4" x14ac:dyDescent="0.3">
      <c r="A1042" s="1"/>
      <c r="B1042" s="1" t="str">
        <f>IFERROR(IF(LEFT(Sensitivität_bzw_Monte_Carlo_bei_Strom[[#This Row],[Source.Name]],SEARCH("aus_der",Sensitivität_bzw_Monte_Carlo_bei_Strom[[#This Row],[Source.Name]],1))="Auszahlung_a","Auszahlung",""),"")</f>
        <v/>
      </c>
      <c r="D1042" s="1"/>
    </row>
    <row r="1043" spans="1:4" x14ac:dyDescent="0.3">
      <c r="A1043" s="1"/>
      <c r="B1043" s="1" t="str">
        <f>IFERROR(IF(LEFT(Sensitivität_bzw_Monte_Carlo_bei_Strom[[#This Row],[Source.Name]],SEARCH("aus_der",Sensitivität_bzw_Monte_Carlo_bei_Strom[[#This Row],[Source.Name]],1))="Auszahlung_a","Auszahlung",""),"")</f>
        <v/>
      </c>
      <c r="D1043" s="1"/>
    </row>
    <row r="1044" spans="1:4" x14ac:dyDescent="0.3">
      <c r="A1044" s="1"/>
      <c r="B1044" s="1" t="str">
        <f>IFERROR(IF(LEFT(Sensitivität_bzw_Monte_Carlo_bei_Strom[[#This Row],[Source.Name]],SEARCH("aus_der",Sensitivität_bzw_Monte_Carlo_bei_Strom[[#This Row],[Source.Name]],1))="Auszahlung_a","Auszahlung",""),"")</f>
        <v/>
      </c>
      <c r="D1044" s="1"/>
    </row>
    <row r="1045" spans="1:4" x14ac:dyDescent="0.3">
      <c r="A1045" s="1"/>
      <c r="B1045" s="1" t="str">
        <f>IFERROR(IF(LEFT(Sensitivität_bzw_Monte_Carlo_bei_Strom[[#This Row],[Source.Name]],SEARCH("aus_der",Sensitivität_bzw_Monte_Carlo_bei_Strom[[#This Row],[Source.Name]],1))="Auszahlung_a","Auszahlung",""),"")</f>
        <v/>
      </c>
      <c r="D1045" s="1"/>
    </row>
    <row r="1046" spans="1:4" x14ac:dyDescent="0.3">
      <c r="A1046" s="1"/>
      <c r="B1046" s="1" t="str">
        <f>IFERROR(IF(LEFT(Sensitivität_bzw_Monte_Carlo_bei_Strom[[#This Row],[Source.Name]],SEARCH("aus_der",Sensitivität_bzw_Monte_Carlo_bei_Strom[[#This Row],[Source.Name]],1))="Auszahlung_a","Auszahlung",""),"")</f>
        <v/>
      </c>
      <c r="D1046" s="1"/>
    </row>
    <row r="1047" spans="1:4" x14ac:dyDescent="0.3">
      <c r="A1047" s="1"/>
      <c r="B1047" s="1" t="str">
        <f>IFERROR(IF(LEFT(Sensitivität_bzw_Monte_Carlo_bei_Strom[[#This Row],[Source.Name]],SEARCH("aus_der",Sensitivität_bzw_Monte_Carlo_bei_Strom[[#This Row],[Source.Name]],1))="Auszahlung_a","Auszahlung",""),"")</f>
        <v/>
      </c>
      <c r="D1047" s="1"/>
    </row>
    <row r="1048" spans="1:4" x14ac:dyDescent="0.3">
      <c r="A1048" s="1"/>
      <c r="B1048" s="1" t="str">
        <f>IFERROR(IF(LEFT(Sensitivität_bzw_Monte_Carlo_bei_Strom[[#This Row],[Source.Name]],SEARCH("aus_der",Sensitivität_bzw_Monte_Carlo_bei_Strom[[#This Row],[Source.Name]],1))="Auszahlung_a","Auszahlung",""),"")</f>
        <v/>
      </c>
      <c r="D1048" s="1"/>
    </row>
    <row r="1049" spans="1:4" x14ac:dyDescent="0.3">
      <c r="A1049" s="1"/>
      <c r="B1049" s="1" t="str">
        <f>IFERROR(IF(LEFT(Sensitivität_bzw_Monte_Carlo_bei_Strom[[#This Row],[Source.Name]],SEARCH("aus_der",Sensitivität_bzw_Monte_Carlo_bei_Strom[[#This Row],[Source.Name]],1))="Auszahlung_a","Auszahlung",""),"")</f>
        <v/>
      </c>
      <c r="D1049" s="1"/>
    </row>
    <row r="1050" spans="1:4" x14ac:dyDescent="0.3">
      <c r="A1050" s="1"/>
      <c r="B1050" s="1" t="str">
        <f>IFERROR(IF(LEFT(Sensitivität_bzw_Monte_Carlo_bei_Strom[[#This Row],[Source.Name]],SEARCH("aus_der",Sensitivität_bzw_Monte_Carlo_bei_Strom[[#This Row],[Source.Name]],1))="Auszahlung_a","Auszahlung",""),"")</f>
        <v/>
      </c>
      <c r="D1050" s="1"/>
    </row>
    <row r="1051" spans="1:4" x14ac:dyDescent="0.3">
      <c r="A1051" s="1"/>
      <c r="B1051" s="1" t="str">
        <f>IFERROR(IF(LEFT(Sensitivität_bzw_Monte_Carlo_bei_Strom[[#This Row],[Source.Name]],SEARCH("aus_der",Sensitivität_bzw_Monte_Carlo_bei_Strom[[#This Row],[Source.Name]],1))="Auszahlung_a","Auszahlung",""),"")</f>
        <v/>
      </c>
      <c r="D1051" s="1"/>
    </row>
    <row r="1052" spans="1:4" x14ac:dyDescent="0.3">
      <c r="A1052" s="1"/>
      <c r="B1052" s="1" t="str">
        <f>IFERROR(IF(LEFT(Sensitivität_bzw_Monte_Carlo_bei_Strom[[#This Row],[Source.Name]],SEARCH("aus_der",Sensitivität_bzw_Monte_Carlo_bei_Strom[[#This Row],[Source.Name]],1))="Auszahlung_a","Auszahlung",""),"")</f>
        <v/>
      </c>
      <c r="D1052" s="1"/>
    </row>
    <row r="1053" spans="1:4" x14ac:dyDescent="0.3">
      <c r="A1053" s="1"/>
      <c r="B1053" s="1" t="str">
        <f>IFERROR(IF(LEFT(Sensitivität_bzw_Monte_Carlo_bei_Strom[[#This Row],[Source.Name]],SEARCH("aus_der",Sensitivität_bzw_Monte_Carlo_bei_Strom[[#This Row],[Source.Name]],1))="Auszahlung_a","Auszahlung",""),"")</f>
        <v/>
      </c>
      <c r="D1053" s="1"/>
    </row>
    <row r="1054" spans="1:4" x14ac:dyDescent="0.3">
      <c r="A1054" s="1"/>
      <c r="B1054" s="1" t="str">
        <f>IFERROR(IF(LEFT(Sensitivität_bzw_Monte_Carlo_bei_Strom[[#This Row],[Source.Name]],SEARCH("aus_der",Sensitivität_bzw_Monte_Carlo_bei_Strom[[#This Row],[Source.Name]],1))="Auszahlung_a","Auszahlung",""),"")</f>
        <v/>
      </c>
      <c r="D1054" s="1"/>
    </row>
    <row r="1055" spans="1:4" x14ac:dyDescent="0.3">
      <c r="A1055" s="1"/>
      <c r="B1055" s="1" t="str">
        <f>IFERROR(IF(LEFT(Sensitivität_bzw_Monte_Carlo_bei_Strom[[#This Row],[Source.Name]],SEARCH("aus_der",Sensitivität_bzw_Monte_Carlo_bei_Strom[[#This Row],[Source.Name]],1))="Auszahlung_a","Auszahlung",""),"")</f>
        <v/>
      </c>
      <c r="D1055" s="1"/>
    </row>
    <row r="1056" spans="1:4" x14ac:dyDescent="0.3">
      <c r="A1056" s="1"/>
      <c r="B1056" s="1" t="str">
        <f>IFERROR(IF(LEFT(Sensitivität_bzw_Monte_Carlo_bei_Strom[[#This Row],[Source.Name]],SEARCH("aus_der",Sensitivität_bzw_Monte_Carlo_bei_Strom[[#This Row],[Source.Name]],1))="Auszahlung_a","Auszahlung",""),"")</f>
        <v/>
      </c>
      <c r="D1056" s="1"/>
    </row>
    <row r="1057" spans="1:4" x14ac:dyDescent="0.3">
      <c r="A1057" s="1"/>
      <c r="B1057" s="1" t="str">
        <f>IFERROR(IF(LEFT(Sensitivität_bzw_Monte_Carlo_bei_Strom[[#This Row],[Source.Name]],SEARCH("aus_der",Sensitivität_bzw_Monte_Carlo_bei_Strom[[#This Row],[Source.Name]],1))="Auszahlung_a","Auszahlung",""),"")</f>
        <v/>
      </c>
      <c r="D1057" s="1"/>
    </row>
    <row r="1058" spans="1:4" x14ac:dyDescent="0.3">
      <c r="A1058" s="1"/>
      <c r="B1058" s="1" t="str">
        <f>IFERROR(IF(LEFT(Sensitivität_bzw_Monte_Carlo_bei_Strom[[#This Row],[Source.Name]],SEARCH("aus_der",Sensitivität_bzw_Monte_Carlo_bei_Strom[[#This Row],[Source.Name]],1))="Auszahlung_a","Auszahlung",""),"")</f>
        <v/>
      </c>
      <c r="D1058" s="1"/>
    </row>
    <row r="1059" spans="1:4" x14ac:dyDescent="0.3">
      <c r="A1059" s="1"/>
      <c r="B1059" s="1" t="str">
        <f>IFERROR(IF(LEFT(Sensitivität_bzw_Monte_Carlo_bei_Strom[[#This Row],[Source.Name]],SEARCH("aus_der",Sensitivität_bzw_Monte_Carlo_bei_Strom[[#This Row],[Source.Name]],1))="Auszahlung_a","Auszahlung",""),"")</f>
        <v/>
      </c>
      <c r="D1059" s="1"/>
    </row>
    <row r="1060" spans="1:4" x14ac:dyDescent="0.3">
      <c r="A1060" s="1"/>
      <c r="B1060" s="1" t="str">
        <f>IFERROR(IF(LEFT(Sensitivität_bzw_Monte_Carlo_bei_Strom[[#This Row],[Source.Name]],SEARCH("aus_der",Sensitivität_bzw_Monte_Carlo_bei_Strom[[#This Row],[Source.Name]],1))="Auszahlung_a","Auszahlung",""),"")</f>
        <v/>
      </c>
      <c r="D1060" s="1"/>
    </row>
    <row r="1061" spans="1:4" x14ac:dyDescent="0.3">
      <c r="A1061" s="1"/>
      <c r="B1061" s="1" t="str">
        <f>IFERROR(IF(LEFT(Sensitivität_bzw_Monte_Carlo_bei_Strom[[#This Row],[Source.Name]],SEARCH("aus_der",Sensitivität_bzw_Monte_Carlo_bei_Strom[[#This Row],[Source.Name]],1))="Auszahlung_a","Auszahlung",""),"")</f>
        <v/>
      </c>
      <c r="D1061" s="1"/>
    </row>
    <row r="1062" spans="1:4" x14ac:dyDescent="0.3">
      <c r="A1062" s="1"/>
      <c r="B1062" s="1" t="str">
        <f>IFERROR(IF(LEFT(Sensitivität_bzw_Monte_Carlo_bei_Strom[[#This Row],[Source.Name]],SEARCH("aus_der",Sensitivität_bzw_Monte_Carlo_bei_Strom[[#This Row],[Source.Name]],1))="Auszahlung_a","Auszahlung",""),"")</f>
        <v/>
      </c>
      <c r="D1062" s="1"/>
    </row>
    <row r="1063" spans="1:4" x14ac:dyDescent="0.3">
      <c r="A1063" s="1"/>
      <c r="B1063" s="1" t="str">
        <f>IFERROR(IF(LEFT(Sensitivität_bzw_Monte_Carlo_bei_Strom[[#This Row],[Source.Name]],SEARCH("aus_der",Sensitivität_bzw_Monte_Carlo_bei_Strom[[#This Row],[Source.Name]],1))="Auszahlung_a","Auszahlung",""),"")</f>
        <v/>
      </c>
      <c r="D1063" s="1"/>
    </row>
    <row r="1064" spans="1:4" x14ac:dyDescent="0.3">
      <c r="A1064" s="1"/>
      <c r="B1064" s="1" t="str">
        <f>IFERROR(IF(LEFT(Sensitivität_bzw_Monte_Carlo_bei_Strom[[#This Row],[Source.Name]],SEARCH("aus_der",Sensitivität_bzw_Monte_Carlo_bei_Strom[[#This Row],[Source.Name]],1))="Auszahlung_a","Auszahlung",""),"")</f>
        <v/>
      </c>
      <c r="D1064" s="1"/>
    </row>
    <row r="1065" spans="1:4" x14ac:dyDescent="0.3">
      <c r="A1065" s="1"/>
      <c r="B1065" s="1" t="str">
        <f>IFERROR(IF(LEFT(Sensitivität_bzw_Monte_Carlo_bei_Strom[[#This Row],[Source.Name]],SEARCH("aus_der",Sensitivität_bzw_Monte_Carlo_bei_Strom[[#This Row],[Source.Name]],1))="Auszahlung_a","Auszahlung",""),"")</f>
        <v/>
      </c>
      <c r="D1065" s="1"/>
    </row>
    <row r="1066" spans="1:4" x14ac:dyDescent="0.3">
      <c r="A1066" s="1"/>
      <c r="B1066" s="1" t="str">
        <f>IFERROR(IF(LEFT(Sensitivität_bzw_Monte_Carlo_bei_Strom[[#This Row],[Source.Name]],SEARCH("aus_der",Sensitivität_bzw_Monte_Carlo_bei_Strom[[#This Row],[Source.Name]],1))="Auszahlung_a","Auszahlung",""),"")</f>
        <v/>
      </c>
      <c r="D1066" s="1"/>
    </row>
    <row r="1067" spans="1:4" x14ac:dyDescent="0.3">
      <c r="A1067" s="1"/>
      <c r="B1067" s="1" t="str">
        <f>IFERROR(IF(LEFT(Sensitivität_bzw_Monte_Carlo_bei_Strom[[#This Row],[Source.Name]],SEARCH("aus_der",Sensitivität_bzw_Monte_Carlo_bei_Strom[[#This Row],[Source.Name]],1))="Auszahlung_a","Auszahlung",""),"")</f>
        <v/>
      </c>
      <c r="D1067" s="1"/>
    </row>
    <row r="1068" spans="1:4" x14ac:dyDescent="0.3">
      <c r="A1068" s="1"/>
      <c r="B1068" s="1" t="str">
        <f>IFERROR(IF(LEFT(Sensitivität_bzw_Monte_Carlo_bei_Strom[[#This Row],[Source.Name]],SEARCH("aus_der",Sensitivität_bzw_Monte_Carlo_bei_Strom[[#This Row],[Source.Name]],1))="Auszahlung_a","Auszahlung",""),"")</f>
        <v/>
      </c>
      <c r="D1068" s="1"/>
    </row>
    <row r="1069" spans="1:4" x14ac:dyDescent="0.3">
      <c r="A1069" s="1"/>
      <c r="B1069" s="1" t="str">
        <f>IFERROR(IF(LEFT(Sensitivität_bzw_Monte_Carlo_bei_Strom[[#This Row],[Source.Name]],SEARCH("aus_der",Sensitivität_bzw_Monte_Carlo_bei_Strom[[#This Row],[Source.Name]],1))="Auszahlung_a","Auszahlung",""),"")</f>
        <v/>
      </c>
      <c r="D1069" s="1"/>
    </row>
    <row r="1070" spans="1:4" x14ac:dyDescent="0.3">
      <c r="A1070" s="1"/>
      <c r="B1070" s="1" t="str">
        <f>IFERROR(IF(LEFT(Sensitivität_bzw_Monte_Carlo_bei_Strom[[#This Row],[Source.Name]],SEARCH("aus_der",Sensitivität_bzw_Monte_Carlo_bei_Strom[[#This Row],[Source.Name]],1))="Auszahlung_a","Auszahlung",""),"")</f>
        <v/>
      </c>
      <c r="D1070" s="1"/>
    </row>
    <row r="1071" spans="1:4" x14ac:dyDescent="0.3">
      <c r="A1071" s="1"/>
      <c r="B1071" s="1" t="str">
        <f>IFERROR(IF(LEFT(Sensitivität_bzw_Monte_Carlo_bei_Strom[[#This Row],[Source.Name]],SEARCH("aus_der",Sensitivität_bzw_Monte_Carlo_bei_Strom[[#This Row],[Source.Name]],1))="Auszahlung_a","Auszahlung",""),"")</f>
        <v/>
      </c>
      <c r="D1071" s="1"/>
    </row>
    <row r="1072" spans="1:4" x14ac:dyDescent="0.3">
      <c r="A1072" s="1"/>
      <c r="B1072" s="1" t="str">
        <f>IFERROR(IF(LEFT(Sensitivität_bzw_Monte_Carlo_bei_Strom[[#This Row],[Source.Name]],SEARCH("aus_der",Sensitivität_bzw_Monte_Carlo_bei_Strom[[#This Row],[Source.Name]],1))="Auszahlung_a","Auszahlung",""),"")</f>
        <v/>
      </c>
      <c r="D1072" s="1"/>
    </row>
    <row r="1073" spans="1:4" x14ac:dyDescent="0.3">
      <c r="A1073" s="1"/>
      <c r="B1073" s="1" t="str">
        <f>IFERROR(IF(LEFT(Sensitivität_bzw_Monte_Carlo_bei_Strom[[#This Row],[Source.Name]],SEARCH("aus_der",Sensitivität_bzw_Monte_Carlo_bei_Strom[[#This Row],[Source.Name]],1))="Auszahlung_a","Auszahlung",""),"")</f>
        <v/>
      </c>
      <c r="D1073" s="1"/>
    </row>
    <row r="1074" spans="1:4" x14ac:dyDescent="0.3">
      <c r="A1074" s="1"/>
      <c r="B1074" s="1" t="str">
        <f>IFERROR(IF(LEFT(Sensitivität_bzw_Monte_Carlo_bei_Strom[[#This Row],[Source.Name]],SEARCH("aus_der",Sensitivität_bzw_Monte_Carlo_bei_Strom[[#This Row],[Source.Name]],1))="Auszahlung_a","Auszahlung",""),"")</f>
        <v/>
      </c>
      <c r="D1074" s="1"/>
    </row>
    <row r="1075" spans="1:4" x14ac:dyDescent="0.3">
      <c r="A1075" s="1"/>
      <c r="B1075" s="1" t="str">
        <f>IFERROR(IF(LEFT(Sensitivität_bzw_Monte_Carlo_bei_Strom[[#This Row],[Source.Name]],SEARCH("aus_der",Sensitivität_bzw_Monte_Carlo_bei_Strom[[#This Row],[Source.Name]],1))="Auszahlung_a","Auszahlung",""),"")</f>
        <v/>
      </c>
      <c r="D1075" s="1"/>
    </row>
    <row r="1076" spans="1:4" x14ac:dyDescent="0.3">
      <c r="A1076" s="1"/>
      <c r="B1076" s="1" t="str">
        <f>IFERROR(IF(LEFT(Sensitivität_bzw_Monte_Carlo_bei_Strom[[#This Row],[Source.Name]],SEARCH("aus_der",Sensitivität_bzw_Monte_Carlo_bei_Strom[[#This Row],[Source.Name]],1))="Auszahlung_a","Auszahlung",""),"")</f>
        <v/>
      </c>
      <c r="D1076" s="1"/>
    </row>
    <row r="1077" spans="1:4" x14ac:dyDescent="0.3">
      <c r="A1077" s="1"/>
      <c r="B1077" s="1" t="str">
        <f>IFERROR(IF(LEFT(Sensitivität_bzw_Monte_Carlo_bei_Strom[[#This Row],[Source.Name]],SEARCH("aus_der",Sensitivität_bzw_Monte_Carlo_bei_Strom[[#This Row],[Source.Name]],1))="Auszahlung_a","Auszahlung",""),"")</f>
        <v/>
      </c>
      <c r="D1077" s="1"/>
    </row>
    <row r="1078" spans="1:4" x14ac:dyDescent="0.3">
      <c r="A1078" s="1"/>
      <c r="B1078" s="1" t="str">
        <f>IFERROR(IF(LEFT(Sensitivität_bzw_Monte_Carlo_bei_Strom[[#This Row],[Source.Name]],SEARCH("aus_der",Sensitivität_bzw_Monte_Carlo_bei_Strom[[#This Row],[Source.Name]],1))="Auszahlung_a","Auszahlung",""),"")</f>
        <v/>
      </c>
      <c r="D1078" s="1"/>
    </row>
    <row r="1079" spans="1:4" x14ac:dyDescent="0.3">
      <c r="A1079" s="1"/>
      <c r="B1079" s="1" t="str">
        <f>IFERROR(IF(LEFT(Sensitivität_bzw_Monte_Carlo_bei_Strom[[#This Row],[Source.Name]],SEARCH("aus_der",Sensitivität_bzw_Monte_Carlo_bei_Strom[[#This Row],[Source.Name]],1))="Auszahlung_a","Auszahlung",""),"")</f>
        <v/>
      </c>
      <c r="D1079" s="1"/>
    </row>
    <row r="1080" spans="1:4" x14ac:dyDescent="0.3">
      <c r="A1080" s="1"/>
      <c r="B1080" s="1" t="str">
        <f>IFERROR(IF(LEFT(Sensitivität_bzw_Monte_Carlo_bei_Strom[[#This Row],[Source.Name]],SEARCH("aus_der",Sensitivität_bzw_Monte_Carlo_bei_Strom[[#This Row],[Source.Name]],1))="Auszahlung_a","Auszahlung",""),"")</f>
        <v/>
      </c>
      <c r="D1080" s="1"/>
    </row>
    <row r="1081" spans="1:4" x14ac:dyDescent="0.3">
      <c r="A1081" s="1"/>
      <c r="B1081" s="1" t="str">
        <f>IFERROR(IF(LEFT(Sensitivität_bzw_Monte_Carlo_bei_Strom[[#This Row],[Source.Name]],SEARCH("aus_der",Sensitivität_bzw_Monte_Carlo_bei_Strom[[#This Row],[Source.Name]],1))="Auszahlung_a","Auszahlung",""),"")</f>
        <v/>
      </c>
      <c r="D1081" s="1"/>
    </row>
    <row r="1082" spans="1:4" x14ac:dyDescent="0.3">
      <c r="A1082" s="1"/>
      <c r="B1082" s="1" t="str">
        <f>IFERROR(IF(LEFT(Sensitivität_bzw_Monte_Carlo_bei_Strom[[#This Row],[Source.Name]],SEARCH("aus_der",Sensitivität_bzw_Monte_Carlo_bei_Strom[[#This Row],[Source.Name]],1))="Auszahlung_a","Auszahlung",""),"")</f>
        <v/>
      </c>
      <c r="D1082" s="1"/>
    </row>
    <row r="1083" spans="1:4" x14ac:dyDescent="0.3">
      <c r="A1083" s="1"/>
      <c r="B1083" s="1" t="str">
        <f>IFERROR(IF(LEFT(Sensitivität_bzw_Monte_Carlo_bei_Strom[[#This Row],[Source.Name]],SEARCH("aus_der",Sensitivität_bzw_Monte_Carlo_bei_Strom[[#This Row],[Source.Name]],1))="Auszahlung_a","Auszahlung",""),"")</f>
        <v/>
      </c>
      <c r="D1083" s="1"/>
    </row>
    <row r="1084" spans="1:4" x14ac:dyDescent="0.3">
      <c r="A1084" s="1"/>
      <c r="B1084" s="1" t="str">
        <f>IFERROR(IF(LEFT(Sensitivität_bzw_Monte_Carlo_bei_Strom[[#This Row],[Source.Name]],SEARCH("aus_der",Sensitivität_bzw_Monte_Carlo_bei_Strom[[#This Row],[Source.Name]],1))="Auszahlung_a","Auszahlung",""),"")</f>
        <v/>
      </c>
      <c r="D1084" s="1"/>
    </row>
    <row r="1085" spans="1:4" x14ac:dyDescent="0.3">
      <c r="A1085" s="1"/>
      <c r="B1085" s="1" t="str">
        <f>IFERROR(IF(LEFT(Sensitivität_bzw_Monte_Carlo_bei_Strom[[#This Row],[Source.Name]],SEARCH("aus_der",Sensitivität_bzw_Monte_Carlo_bei_Strom[[#This Row],[Source.Name]],1))="Auszahlung_a","Auszahlung",""),"")</f>
        <v/>
      </c>
      <c r="D1085" s="1"/>
    </row>
    <row r="1086" spans="1:4" x14ac:dyDescent="0.3">
      <c r="A1086" s="1"/>
      <c r="B1086" s="1" t="str">
        <f>IFERROR(IF(LEFT(Sensitivität_bzw_Monte_Carlo_bei_Strom[[#This Row],[Source.Name]],SEARCH("aus_der",Sensitivität_bzw_Monte_Carlo_bei_Strom[[#This Row],[Source.Name]],1))="Auszahlung_a","Auszahlung",""),"")</f>
        <v/>
      </c>
      <c r="D1086" s="1"/>
    </row>
    <row r="1087" spans="1:4" x14ac:dyDescent="0.3">
      <c r="A1087" s="1"/>
      <c r="B1087" s="1" t="str">
        <f>IFERROR(IF(LEFT(Sensitivität_bzw_Monte_Carlo_bei_Strom[[#This Row],[Source.Name]],SEARCH("aus_der",Sensitivität_bzw_Monte_Carlo_bei_Strom[[#This Row],[Source.Name]],1))="Auszahlung_a","Auszahlung",""),"")</f>
        <v/>
      </c>
      <c r="D1087" s="1"/>
    </row>
    <row r="1088" spans="1:4" x14ac:dyDescent="0.3">
      <c r="A1088" s="1"/>
      <c r="B1088" s="1" t="str">
        <f>IFERROR(IF(LEFT(Sensitivität_bzw_Monte_Carlo_bei_Strom[[#This Row],[Source.Name]],SEARCH("aus_der",Sensitivität_bzw_Monte_Carlo_bei_Strom[[#This Row],[Source.Name]],1))="Auszahlung_a","Auszahlung",""),"")</f>
        <v/>
      </c>
      <c r="D1088" s="1"/>
    </row>
    <row r="1089" spans="1:4" x14ac:dyDescent="0.3">
      <c r="A1089" s="1"/>
      <c r="B1089" s="1" t="str">
        <f>IFERROR(IF(LEFT(Sensitivität_bzw_Monte_Carlo_bei_Strom[[#This Row],[Source.Name]],SEARCH("aus_der",Sensitivität_bzw_Monte_Carlo_bei_Strom[[#This Row],[Source.Name]],1))="Auszahlung_a","Auszahlung",""),"")</f>
        <v/>
      </c>
      <c r="D1089" s="1"/>
    </row>
    <row r="1090" spans="1:4" x14ac:dyDescent="0.3">
      <c r="A1090" s="1"/>
      <c r="B1090" s="1" t="str">
        <f>IFERROR(IF(LEFT(Sensitivität_bzw_Monte_Carlo_bei_Strom[[#This Row],[Source.Name]],SEARCH("aus_der",Sensitivität_bzw_Monte_Carlo_bei_Strom[[#This Row],[Source.Name]],1))="Auszahlung_a","Auszahlung",""),"")</f>
        <v/>
      </c>
      <c r="D1090" s="1"/>
    </row>
    <row r="1091" spans="1:4" x14ac:dyDescent="0.3">
      <c r="A1091" s="1"/>
      <c r="B1091" s="1" t="str">
        <f>IFERROR(IF(LEFT(Sensitivität_bzw_Monte_Carlo_bei_Strom[[#This Row],[Source.Name]],SEARCH("aus_der",Sensitivität_bzw_Monte_Carlo_bei_Strom[[#This Row],[Source.Name]],1))="Auszahlung_a","Auszahlung",""),"")</f>
        <v/>
      </c>
      <c r="D1091" s="1"/>
    </row>
    <row r="1092" spans="1:4" x14ac:dyDescent="0.3">
      <c r="A1092" s="1"/>
      <c r="B1092" s="1" t="str">
        <f>IFERROR(IF(LEFT(Sensitivität_bzw_Monte_Carlo_bei_Strom[[#This Row],[Source.Name]],SEARCH("aus_der",Sensitivität_bzw_Monte_Carlo_bei_Strom[[#This Row],[Source.Name]],1))="Auszahlung_a","Auszahlung",""),"")</f>
        <v/>
      </c>
      <c r="D1092" s="1"/>
    </row>
    <row r="1093" spans="1:4" x14ac:dyDescent="0.3">
      <c r="A1093" s="1"/>
      <c r="B1093" s="1" t="str">
        <f>IFERROR(IF(LEFT(Sensitivität_bzw_Monte_Carlo_bei_Strom[[#This Row],[Source.Name]],SEARCH("aus_der",Sensitivität_bzw_Monte_Carlo_bei_Strom[[#This Row],[Source.Name]],1))="Auszahlung_a","Auszahlung",""),"")</f>
        <v/>
      </c>
      <c r="D1093" s="1"/>
    </row>
    <row r="1094" spans="1:4" x14ac:dyDescent="0.3">
      <c r="A1094" s="1"/>
      <c r="B1094" s="1" t="str">
        <f>IFERROR(IF(LEFT(Sensitivität_bzw_Monte_Carlo_bei_Strom[[#This Row],[Source.Name]],SEARCH("aus_der",Sensitivität_bzw_Monte_Carlo_bei_Strom[[#This Row],[Source.Name]],1))="Auszahlung_a","Auszahlung",""),"")</f>
        <v/>
      </c>
      <c r="D1094" s="1"/>
    </row>
    <row r="1095" spans="1:4" x14ac:dyDescent="0.3">
      <c r="A1095" s="1"/>
      <c r="B1095" s="1" t="str">
        <f>IFERROR(IF(LEFT(Sensitivität_bzw_Monte_Carlo_bei_Strom[[#This Row],[Source.Name]],SEARCH("aus_der",Sensitivität_bzw_Monte_Carlo_bei_Strom[[#This Row],[Source.Name]],1))="Auszahlung_a","Auszahlung",""),"")</f>
        <v/>
      </c>
      <c r="D1095" s="1"/>
    </row>
    <row r="1096" spans="1:4" x14ac:dyDescent="0.3">
      <c r="A1096" s="1"/>
      <c r="B1096" s="1" t="str">
        <f>IFERROR(IF(LEFT(Sensitivität_bzw_Monte_Carlo_bei_Strom[[#This Row],[Source.Name]],SEARCH("aus_der",Sensitivität_bzw_Monte_Carlo_bei_Strom[[#This Row],[Source.Name]],1))="Auszahlung_a","Auszahlung",""),"")</f>
        <v/>
      </c>
      <c r="D1096" s="1"/>
    </row>
    <row r="1097" spans="1:4" x14ac:dyDescent="0.3">
      <c r="A1097" s="1"/>
      <c r="B1097" s="1" t="str">
        <f>IFERROR(IF(LEFT(Sensitivität_bzw_Monte_Carlo_bei_Strom[[#This Row],[Source.Name]],SEARCH("aus_der",Sensitivität_bzw_Monte_Carlo_bei_Strom[[#This Row],[Source.Name]],1))="Auszahlung_a","Auszahlung",""),"")</f>
        <v/>
      </c>
      <c r="D1097" s="1"/>
    </row>
    <row r="1098" spans="1:4" x14ac:dyDescent="0.3">
      <c r="A1098" s="1"/>
      <c r="B1098" s="1" t="str">
        <f>IFERROR(IF(LEFT(Sensitivität_bzw_Monte_Carlo_bei_Strom[[#This Row],[Source.Name]],SEARCH("aus_der",Sensitivität_bzw_Monte_Carlo_bei_Strom[[#This Row],[Source.Name]],1))="Auszahlung_a","Auszahlung",""),"")</f>
        <v/>
      </c>
      <c r="D1098" s="1"/>
    </row>
    <row r="1099" spans="1:4" x14ac:dyDescent="0.3">
      <c r="A1099" s="1"/>
      <c r="B1099" s="1" t="str">
        <f>IFERROR(IF(LEFT(Sensitivität_bzw_Monte_Carlo_bei_Strom[[#This Row],[Source.Name]],SEARCH("aus_der",Sensitivität_bzw_Monte_Carlo_bei_Strom[[#This Row],[Source.Name]],1))="Auszahlung_a","Auszahlung",""),"")</f>
        <v/>
      </c>
      <c r="D1099" s="1"/>
    </row>
    <row r="1100" spans="1:4" x14ac:dyDescent="0.3">
      <c r="A1100" s="1"/>
      <c r="B1100" s="1" t="str">
        <f>IFERROR(IF(LEFT(Sensitivität_bzw_Monte_Carlo_bei_Strom[[#This Row],[Source.Name]],SEARCH("aus_der",Sensitivität_bzw_Monte_Carlo_bei_Strom[[#This Row],[Source.Name]],1))="Auszahlung_a","Auszahlung",""),"")</f>
        <v/>
      </c>
      <c r="D1100" s="1"/>
    </row>
    <row r="1101" spans="1:4" x14ac:dyDescent="0.3">
      <c r="A1101" s="1"/>
      <c r="B1101" s="1" t="str">
        <f>IFERROR(IF(LEFT(Sensitivität_bzw_Monte_Carlo_bei_Strom[[#This Row],[Source.Name]],SEARCH("aus_der",Sensitivität_bzw_Monte_Carlo_bei_Strom[[#This Row],[Source.Name]],1))="Auszahlung_a","Auszahlung",""),"")</f>
        <v/>
      </c>
      <c r="D1101" s="1"/>
    </row>
    <row r="1102" spans="1:4" x14ac:dyDescent="0.3">
      <c r="A1102" s="1"/>
      <c r="B1102" s="1" t="str">
        <f>IFERROR(IF(LEFT(Sensitivität_bzw_Monte_Carlo_bei_Strom[[#This Row],[Source.Name]],SEARCH("aus_der",Sensitivität_bzw_Monte_Carlo_bei_Strom[[#This Row],[Source.Name]],1))="Auszahlung_a","Auszahlung",""),"")</f>
        <v/>
      </c>
      <c r="D1102" s="1"/>
    </row>
    <row r="1103" spans="1:4" x14ac:dyDescent="0.3">
      <c r="A1103" s="1"/>
      <c r="B1103" s="1" t="str">
        <f>IFERROR(IF(LEFT(Sensitivität_bzw_Monte_Carlo_bei_Strom[[#This Row],[Source.Name]],SEARCH("aus_der",Sensitivität_bzw_Monte_Carlo_bei_Strom[[#This Row],[Source.Name]],1))="Auszahlung_a","Auszahlung",""),"")</f>
        <v/>
      </c>
      <c r="D1103" s="1"/>
    </row>
    <row r="1104" spans="1:4" x14ac:dyDescent="0.3">
      <c r="A1104" s="1"/>
      <c r="B1104" s="1" t="str">
        <f>IFERROR(IF(LEFT(Sensitivität_bzw_Monte_Carlo_bei_Strom[[#This Row],[Source.Name]],SEARCH("aus_der",Sensitivität_bzw_Monte_Carlo_bei_Strom[[#This Row],[Source.Name]],1))="Auszahlung_a","Auszahlung",""),"")</f>
        <v/>
      </c>
      <c r="D1104" s="1"/>
    </row>
    <row r="1105" spans="1:4" x14ac:dyDescent="0.3">
      <c r="A1105" s="1"/>
      <c r="B1105" s="1" t="str">
        <f>IFERROR(IF(LEFT(Sensitivität_bzw_Monte_Carlo_bei_Strom[[#This Row],[Source.Name]],SEARCH("aus_der",Sensitivität_bzw_Monte_Carlo_bei_Strom[[#This Row],[Source.Name]],1))="Auszahlung_a","Auszahlung",""),"")</f>
        <v/>
      </c>
      <c r="D1105" s="1"/>
    </row>
    <row r="1106" spans="1:4" x14ac:dyDescent="0.3">
      <c r="A1106" s="1"/>
      <c r="B1106" s="1" t="str">
        <f>IFERROR(IF(LEFT(Sensitivität_bzw_Monte_Carlo_bei_Strom[[#This Row],[Source.Name]],SEARCH("aus_der",Sensitivität_bzw_Monte_Carlo_bei_Strom[[#This Row],[Source.Name]],1))="Auszahlung_a","Auszahlung",""),"")</f>
        <v/>
      </c>
      <c r="D1106" s="1"/>
    </row>
    <row r="1107" spans="1:4" x14ac:dyDescent="0.3">
      <c r="A1107" s="1"/>
      <c r="B1107" s="1" t="str">
        <f>IFERROR(IF(LEFT(Sensitivität_bzw_Monte_Carlo_bei_Strom[[#This Row],[Source.Name]],SEARCH("aus_der",Sensitivität_bzw_Monte_Carlo_bei_Strom[[#This Row],[Source.Name]],1))="Auszahlung_a","Auszahlung",""),"")</f>
        <v/>
      </c>
      <c r="D1107" s="1"/>
    </row>
    <row r="1108" spans="1:4" x14ac:dyDescent="0.3">
      <c r="A1108" s="1"/>
      <c r="B1108" s="1" t="str">
        <f>IFERROR(IF(LEFT(Sensitivität_bzw_Monte_Carlo_bei_Strom[[#This Row],[Source.Name]],SEARCH("aus_der",Sensitivität_bzw_Monte_Carlo_bei_Strom[[#This Row],[Source.Name]],1))="Auszahlung_a","Auszahlung",""),"")</f>
        <v/>
      </c>
      <c r="D1108" s="1"/>
    </row>
    <row r="1109" spans="1:4" x14ac:dyDescent="0.3">
      <c r="A1109" s="1"/>
      <c r="B1109" s="1" t="str">
        <f>IFERROR(IF(LEFT(Sensitivität_bzw_Monte_Carlo_bei_Strom[[#This Row],[Source.Name]],SEARCH("aus_der",Sensitivität_bzw_Monte_Carlo_bei_Strom[[#This Row],[Source.Name]],1))="Auszahlung_a","Auszahlung",""),"")</f>
        <v/>
      </c>
      <c r="D1109" s="1"/>
    </row>
    <row r="1110" spans="1:4" x14ac:dyDescent="0.3">
      <c r="A1110" s="1"/>
      <c r="B1110" s="1" t="str">
        <f>IFERROR(IF(LEFT(Sensitivität_bzw_Monte_Carlo_bei_Strom[[#This Row],[Source.Name]],SEARCH("aus_der",Sensitivität_bzw_Monte_Carlo_bei_Strom[[#This Row],[Source.Name]],1))="Auszahlung_a","Auszahlung",""),"")</f>
        <v/>
      </c>
      <c r="D1110" s="1"/>
    </row>
    <row r="1111" spans="1:4" x14ac:dyDescent="0.3">
      <c r="A1111" s="1"/>
      <c r="B1111" s="1" t="str">
        <f>IFERROR(IF(LEFT(Sensitivität_bzw_Monte_Carlo_bei_Strom[[#This Row],[Source.Name]],SEARCH("aus_der",Sensitivität_bzw_Monte_Carlo_bei_Strom[[#This Row],[Source.Name]],1))="Auszahlung_a","Auszahlung",""),"")</f>
        <v/>
      </c>
      <c r="D1111" s="1"/>
    </row>
    <row r="1112" spans="1:4" x14ac:dyDescent="0.3">
      <c r="A1112" s="1"/>
      <c r="B1112" s="1" t="str">
        <f>IFERROR(IF(LEFT(Sensitivität_bzw_Monte_Carlo_bei_Strom[[#This Row],[Source.Name]],SEARCH("aus_der",Sensitivität_bzw_Monte_Carlo_bei_Strom[[#This Row],[Source.Name]],1))="Auszahlung_a","Auszahlung",""),"")</f>
        <v/>
      </c>
      <c r="D1112" s="1"/>
    </row>
    <row r="1113" spans="1:4" x14ac:dyDescent="0.3">
      <c r="A1113" s="1"/>
      <c r="B1113" s="1" t="str">
        <f>IFERROR(IF(LEFT(Sensitivität_bzw_Monte_Carlo_bei_Strom[[#This Row],[Source.Name]],SEARCH("aus_der",Sensitivität_bzw_Monte_Carlo_bei_Strom[[#This Row],[Source.Name]],1))="Auszahlung_a","Auszahlung",""),"")</f>
        <v/>
      </c>
      <c r="D1113" s="1"/>
    </row>
    <row r="1114" spans="1:4" x14ac:dyDescent="0.3">
      <c r="A1114" s="1"/>
      <c r="B1114" s="1" t="str">
        <f>IFERROR(IF(LEFT(Sensitivität_bzw_Monte_Carlo_bei_Strom[[#This Row],[Source.Name]],SEARCH("aus_der",Sensitivität_bzw_Monte_Carlo_bei_Strom[[#This Row],[Source.Name]],1))="Auszahlung_a","Auszahlung",""),"")</f>
        <v/>
      </c>
      <c r="D1114" s="1"/>
    </row>
    <row r="1115" spans="1:4" x14ac:dyDescent="0.3">
      <c r="A1115" s="1"/>
      <c r="B1115" s="1" t="str">
        <f>IFERROR(IF(LEFT(Sensitivität_bzw_Monte_Carlo_bei_Strom[[#This Row],[Source.Name]],SEARCH("aus_der",Sensitivität_bzw_Monte_Carlo_bei_Strom[[#This Row],[Source.Name]],1))="Auszahlung_a","Auszahlung",""),"")</f>
        <v/>
      </c>
      <c r="D1115" s="1"/>
    </row>
    <row r="1116" spans="1:4" x14ac:dyDescent="0.3">
      <c r="A1116" s="1"/>
      <c r="B1116" s="1" t="str">
        <f>IFERROR(IF(LEFT(Sensitivität_bzw_Monte_Carlo_bei_Strom[[#This Row],[Source.Name]],SEARCH("aus_der",Sensitivität_bzw_Monte_Carlo_bei_Strom[[#This Row],[Source.Name]],1))="Auszahlung_a","Auszahlung",""),"")</f>
        <v/>
      </c>
      <c r="D1116" s="1"/>
    </row>
    <row r="1117" spans="1:4" x14ac:dyDescent="0.3">
      <c r="A1117" s="1"/>
      <c r="B1117" s="1" t="str">
        <f>IFERROR(IF(LEFT(Sensitivität_bzw_Monte_Carlo_bei_Strom[[#This Row],[Source.Name]],SEARCH("aus_der",Sensitivität_bzw_Monte_Carlo_bei_Strom[[#This Row],[Source.Name]],1))="Auszahlung_a","Auszahlung",""),"")</f>
        <v/>
      </c>
      <c r="D1117" s="1"/>
    </row>
    <row r="1118" spans="1:4" x14ac:dyDescent="0.3">
      <c r="A1118" s="1"/>
      <c r="B1118" s="1" t="str">
        <f>IFERROR(IF(LEFT(Sensitivität_bzw_Monte_Carlo_bei_Strom[[#This Row],[Source.Name]],SEARCH("aus_der",Sensitivität_bzw_Monte_Carlo_bei_Strom[[#This Row],[Source.Name]],1))="Auszahlung_a","Auszahlung",""),"")</f>
        <v/>
      </c>
      <c r="D1118" s="1"/>
    </row>
    <row r="1119" spans="1:4" x14ac:dyDescent="0.3">
      <c r="A1119" s="1"/>
      <c r="B1119" s="1" t="str">
        <f>IFERROR(IF(LEFT(Sensitivität_bzw_Monte_Carlo_bei_Strom[[#This Row],[Source.Name]],SEARCH("aus_der",Sensitivität_bzw_Monte_Carlo_bei_Strom[[#This Row],[Source.Name]],1))="Auszahlung_a","Auszahlung",""),"")</f>
        <v/>
      </c>
      <c r="D1119" s="1"/>
    </row>
    <row r="1120" spans="1:4" x14ac:dyDescent="0.3">
      <c r="A1120" s="1"/>
      <c r="B1120" s="1" t="str">
        <f>IFERROR(IF(LEFT(Sensitivität_bzw_Monte_Carlo_bei_Strom[[#This Row],[Source.Name]],SEARCH("aus_der",Sensitivität_bzw_Monte_Carlo_bei_Strom[[#This Row],[Source.Name]],1))="Auszahlung_a","Auszahlung",""),"")</f>
        <v/>
      </c>
      <c r="D1120" s="1"/>
    </row>
    <row r="1121" spans="1:4" x14ac:dyDescent="0.3">
      <c r="A1121" s="1"/>
      <c r="B1121" s="1" t="str">
        <f>IFERROR(IF(LEFT(Sensitivität_bzw_Monte_Carlo_bei_Strom[[#This Row],[Source.Name]],SEARCH("aus_der",Sensitivität_bzw_Monte_Carlo_bei_Strom[[#This Row],[Source.Name]],1))="Auszahlung_a","Auszahlung",""),"")</f>
        <v/>
      </c>
      <c r="D1121" s="1"/>
    </row>
    <row r="1122" spans="1:4" x14ac:dyDescent="0.3">
      <c r="A1122" s="1"/>
      <c r="B1122" s="1" t="str">
        <f>IFERROR(IF(LEFT(Sensitivität_bzw_Monte_Carlo_bei_Strom[[#This Row],[Source.Name]],SEARCH("aus_der",Sensitivität_bzw_Monte_Carlo_bei_Strom[[#This Row],[Source.Name]],1))="Auszahlung_a","Auszahlung",""),"")</f>
        <v/>
      </c>
      <c r="D1122" s="1"/>
    </row>
    <row r="1123" spans="1:4" x14ac:dyDescent="0.3">
      <c r="A1123" s="1"/>
      <c r="B1123" s="1" t="str">
        <f>IFERROR(IF(LEFT(Sensitivität_bzw_Monte_Carlo_bei_Strom[[#This Row],[Source.Name]],SEARCH("aus_der",Sensitivität_bzw_Monte_Carlo_bei_Strom[[#This Row],[Source.Name]],1))="Auszahlung_a","Auszahlung",""),"")</f>
        <v/>
      </c>
      <c r="D1123" s="1"/>
    </row>
    <row r="1124" spans="1:4" x14ac:dyDescent="0.3">
      <c r="A1124" s="1"/>
      <c r="B1124" s="1" t="str">
        <f>IFERROR(IF(LEFT(Sensitivität_bzw_Monte_Carlo_bei_Strom[[#This Row],[Source.Name]],SEARCH("aus_der",Sensitivität_bzw_Monte_Carlo_bei_Strom[[#This Row],[Source.Name]],1))="Auszahlung_a","Auszahlung",""),"")</f>
        <v/>
      </c>
      <c r="D1124" s="1"/>
    </row>
    <row r="1125" spans="1:4" x14ac:dyDescent="0.3">
      <c r="A1125" s="1"/>
      <c r="B1125" s="1" t="str">
        <f>IFERROR(IF(LEFT(Sensitivität_bzw_Monte_Carlo_bei_Strom[[#This Row],[Source.Name]],SEARCH("aus_der",Sensitivität_bzw_Monte_Carlo_bei_Strom[[#This Row],[Source.Name]],1))="Auszahlung_a","Auszahlung",""),"")</f>
        <v/>
      </c>
      <c r="D1125" s="1"/>
    </row>
    <row r="1126" spans="1:4" x14ac:dyDescent="0.3">
      <c r="A1126" s="1"/>
      <c r="B1126" s="1" t="str">
        <f>IFERROR(IF(LEFT(Sensitivität_bzw_Monte_Carlo_bei_Strom[[#This Row],[Source.Name]],SEARCH("aus_der",Sensitivität_bzw_Monte_Carlo_bei_Strom[[#This Row],[Source.Name]],1))="Auszahlung_a","Auszahlung",""),"")</f>
        <v/>
      </c>
      <c r="D1126" s="1"/>
    </row>
    <row r="1127" spans="1:4" x14ac:dyDescent="0.3">
      <c r="A1127" s="1"/>
      <c r="B1127" s="1" t="str">
        <f>IFERROR(IF(LEFT(Sensitivität_bzw_Monte_Carlo_bei_Strom[[#This Row],[Source.Name]],SEARCH("aus_der",Sensitivität_bzw_Monte_Carlo_bei_Strom[[#This Row],[Source.Name]],1))="Auszahlung_a","Auszahlung",""),"")</f>
        <v/>
      </c>
      <c r="D1127" s="1"/>
    </row>
    <row r="1128" spans="1:4" x14ac:dyDescent="0.3">
      <c r="A1128" s="1"/>
      <c r="B1128" s="1" t="str">
        <f>IFERROR(IF(LEFT(Sensitivität_bzw_Monte_Carlo_bei_Strom[[#This Row],[Source.Name]],SEARCH("aus_der",Sensitivität_bzw_Monte_Carlo_bei_Strom[[#This Row],[Source.Name]],1))="Auszahlung_a","Auszahlung",""),"")</f>
        <v/>
      </c>
      <c r="D1128" s="1"/>
    </row>
    <row r="1129" spans="1:4" x14ac:dyDescent="0.3">
      <c r="A1129" s="1"/>
      <c r="B1129" s="1" t="str">
        <f>IFERROR(IF(LEFT(Sensitivität_bzw_Monte_Carlo_bei_Strom[[#This Row],[Source.Name]],SEARCH("aus_der",Sensitivität_bzw_Monte_Carlo_bei_Strom[[#This Row],[Source.Name]],1))="Auszahlung_a","Auszahlung",""),"")</f>
        <v/>
      </c>
      <c r="D1129" s="1"/>
    </row>
    <row r="1130" spans="1:4" x14ac:dyDescent="0.3">
      <c r="A1130" s="1"/>
      <c r="B1130" s="1" t="str">
        <f>IFERROR(IF(LEFT(Sensitivität_bzw_Monte_Carlo_bei_Strom[[#This Row],[Source.Name]],SEARCH("aus_der",Sensitivität_bzw_Monte_Carlo_bei_Strom[[#This Row],[Source.Name]],1))="Auszahlung_a","Auszahlung",""),"")</f>
        <v/>
      </c>
      <c r="D1130" s="1"/>
    </row>
    <row r="1131" spans="1:4" x14ac:dyDescent="0.3">
      <c r="A1131" s="1"/>
      <c r="B1131" s="1" t="str">
        <f>IFERROR(IF(LEFT(Sensitivität_bzw_Monte_Carlo_bei_Strom[[#This Row],[Source.Name]],SEARCH("aus_der",Sensitivität_bzw_Monte_Carlo_bei_Strom[[#This Row],[Source.Name]],1))="Auszahlung_a","Auszahlung",""),"")</f>
        <v/>
      </c>
      <c r="D1131" s="1"/>
    </row>
    <row r="1132" spans="1:4" x14ac:dyDescent="0.3">
      <c r="A1132" s="1"/>
      <c r="B1132" s="1" t="str">
        <f>IFERROR(IF(LEFT(Sensitivität_bzw_Monte_Carlo_bei_Strom[[#This Row],[Source.Name]],SEARCH("aus_der",Sensitivität_bzw_Monte_Carlo_bei_Strom[[#This Row],[Source.Name]],1))="Auszahlung_a","Auszahlung",""),"")</f>
        <v/>
      </c>
      <c r="D1132" s="1"/>
    </row>
    <row r="1133" spans="1:4" x14ac:dyDescent="0.3">
      <c r="A1133" s="1"/>
      <c r="B1133" s="1" t="str">
        <f>IFERROR(IF(LEFT(Sensitivität_bzw_Monte_Carlo_bei_Strom[[#This Row],[Source.Name]],SEARCH("aus_der",Sensitivität_bzw_Monte_Carlo_bei_Strom[[#This Row],[Source.Name]],1))="Auszahlung_a","Auszahlung",""),"")</f>
        <v/>
      </c>
      <c r="D1133" s="1"/>
    </row>
    <row r="1134" spans="1:4" x14ac:dyDescent="0.3">
      <c r="A1134" s="1"/>
      <c r="B1134" s="1" t="str">
        <f>IFERROR(IF(LEFT(Sensitivität_bzw_Monte_Carlo_bei_Strom[[#This Row],[Source.Name]],SEARCH("aus_der",Sensitivität_bzw_Monte_Carlo_bei_Strom[[#This Row],[Source.Name]],1))="Auszahlung_a","Auszahlung",""),"")</f>
        <v/>
      </c>
      <c r="D1134" s="1"/>
    </row>
    <row r="1135" spans="1:4" x14ac:dyDescent="0.3">
      <c r="A1135" s="1"/>
      <c r="B1135" s="1" t="str">
        <f>IFERROR(IF(LEFT(Sensitivität_bzw_Monte_Carlo_bei_Strom[[#This Row],[Source.Name]],SEARCH("aus_der",Sensitivität_bzw_Monte_Carlo_bei_Strom[[#This Row],[Source.Name]],1))="Auszahlung_a","Auszahlung",""),"")</f>
        <v/>
      </c>
      <c r="D1135" s="1"/>
    </row>
    <row r="1136" spans="1:4" x14ac:dyDescent="0.3">
      <c r="A1136" s="1"/>
      <c r="B1136" s="1" t="str">
        <f>IFERROR(IF(LEFT(Sensitivität_bzw_Monte_Carlo_bei_Strom[[#This Row],[Source.Name]],SEARCH("aus_der",Sensitivität_bzw_Monte_Carlo_bei_Strom[[#This Row],[Source.Name]],1))="Auszahlung_a","Auszahlung",""),"")</f>
        <v/>
      </c>
      <c r="D1136" s="1"/>
    </row>
    <row r="1137" spans="1:4" x14ac:dyDescent="0.3">
      <c r="A1137" s="1"/>
      <c r="B1137" s="1" t="str">
        <f>IFERROR(IF(LEFT(Sensitivität_bzw_Monte_Carlo_bei_Strom[[#This Row],[Source.Name]],SEARCH("aus_der",Sensitivität_bzw_Monte_Carlo_bei_Strom[[#This Row],[Source.Name]],1))="Auszahlung_a","Auszahlung",""),"")</f>
        <v/>
      </c>
      <c r="D1137" s="1"/>
    </row>
    <row r="1138" spans="1:4" x14ac:dyDescent="0.3">
      <c r="A1138" s="1"/>
      <c r="B1138" s="1" t="str">
        <f>IFERROR(IF(LEFT(Sensitivität_bzw_Monte_Carlo_bei_Strom[[#This Row],[Source.Name]],SEARCH("aus_der",Sensitivität_bzw_Monte_Carlo_bei_Strom[[#This Row],[Source.Name]],1))="Auszahlung_a","Auszahlung",""),"")</f>
        <v/>
      </c>
      <c r="D1138" s="1"/>
    </row>
    <row r="1139" spans="1:4" x14ac:dyDescent="0.3">
      <c r="A1139" s="1"/>
      <c r="B1139" s="1" t="str">
        <f>IFERROR(IF(LEFT(Sensitivität_bzw_Monte_Carlo_bei_Strom[[#This Row],[Source.Name]],SEARCH("aus_der",Sensitivität_bzw_Monte_Carlo_bei_Strom[[#This Row],[Source.Name]],1))="Auszahlung_a","Auszahlung",""),"")</f>
        <v/>
      </c>
      <c r="D1139" s="1"/>
    </row>
    <row r="1140" spans="1:4" x14ac:dyDescent="0.3">
      <c r="A1140" s="1"/>
      <c r="B1140" s="1" t="str">
        <f>IFERROR(IF(LEFT(Sensitivität_bzw_Monte_Carlo_bei_Strom[[#This Row],[Source.Name]],SEARCH("aus_der",Sensitivität_bzw_Monte_Carlo_bei_Strom[[#This Row],[Source.Name]],1))="Auszahlung_a","Auszahlung",""),"")</f>
        <v/>
      </c>
      <c r="D1140" s="1"/>
    </row>
    <row r="1141" spans="1:4" x14ac:dyDescent="0.3">
      <c r="A1141" s="1"/>
      <c r="B1141" s="1" t="str">
        <f>IFERROR(IF(LEFT(Sensitivität_bzw_Monte_Carlo_bei_Strom[[#This Row],[Source.Name]],SEARCH("aus_der",Sensitivität_bzw_Monte_Carlo_bei_Strom[[#This Row],[Source.Name]],1))="Auszahlung_a","Auszahlung",""),"")</f>
        <v/>
      </c>
      <c r="D1141" s="1"/>
    </row>
    <row r="1142" spans="1:4" x14ac:dyDescent="0.3">
      <c r="A1142" s="1"/>
      <c r="B1142" s="1" t="str">
        <f>IFERROR(IF(LEFT(Sensitivität_bzw_Monte_Carlo_bei_Strom[[#This Row],[Source.Name]],SEARCH("aus_der",Sensitivität_bzw_Monte_Carlo_bei_Strom[[#This Row],[Source.Name]],1))="Auszahlung_a","Auszahlung",""),"")</f>
        <v/>
      </c>
      <c r="D1142" s="1"/>
    </row>
    <row r="1143" spans="1:4" x14ac:dyDescent="0.3">
      <c r="A1143" s="1"/>
      <c r="B1143" s="1" t="str">
        <f>IFERROR(IF(LEFT(Sensitivität_bzw_Monte_Carlo_bei_Strom[[#This Row],[Source.Name]],SEARCH("aus_der",Sensitivität_bzw_Monte_Carlo_bei_Strom[[#This Row],[Source.Name]],1))="Auszahlung_a","Auszahlung",""),"")</f>
        <v/>
      </c>
      <c r="D1143" s="1"/>
    </row>
    <row r="1144" spans="1:4" x14ac:dyDescent="0.3">
      <c r="A1144" s="1"/>
      <c r="B1144" s="1" t="str">
        <f>IFERROR(IF(LEFT(Sensitivität_bzw_Monte_Carlo_bei_Strom[[#This Row],[Source.Name]],SEARCH("aus_der",Sensitivität_bzw_Monte_Carlo_bei_Strom[[#This Row],[Source.Name]],1))="Auszahlung_a","Auszahlung",""),"")</f>
        <v/>
      </c>
      <c r="D1144" s="1"/>
    </row>
    <row r="1145" spans="1:4" x14ac:dyDescent="0.3">
      <c r="A1145" s="1"/>
      <c r="B1145" s="1" t="str">
        <f>IFERROR(IF(LEFT(Sensitivität_bzw_Monte_Carlo_bei_Strom[[#This Row],[Source.Name]],SEARCH("aus_der",Sensitivität_bzw_Monte_Carlo_bei_Strom[[#This Row],[Source.Name]],1))="Auszahlung_a","Auszahlung",""),"")</f>
        <v/>
      </c>
      <c r="D1145" s="1"/>
    </row>
    <row r="1146" spans="1:4" x14ac:dyDescent="0.3">
      <c r="A1146" s="1"/>
      <c r="B1146" s="1" t="str">
        <f>IFERROR(IF(LEFT(Sensitivität_bzw_Monte_Carlo_bei_Strom[[#This Row],[Source.Name]],SEARCH("aus_der",Sensitivität_bzw_Monte_Carlo_bei_Strom[[#This Row],[Source.Name]],1))="Auszahlung_a","Auszahlung",""),"")</f>
        <v/>
      </c>
      <c r="D1146" s="1"/>
    </row>
    <row r="1147" spans="1:4" x14ac:dyDescent="0.3">
      <c r="A1147" s="1"/>
      <c r="B1147" s="1" t="str">
        <f>IFERROR(IF(LEFT(Sensitivität_bzw_Monte_Carlo_bei_Strom[[#This Row],[Source.Name]],SEARCH("aus_der",Sensitivität_bzw_Monte_Carlo_bei_Strom[[#This Row],[Source.Name]],1))="Auszahlung_a","Auszahlung",""),"")</f>
        <v/>
      </c>
      <c r="D1147" s="1"/>
    </row>
    <row r="1148" spans="1:4" x14ac:dyDescent="0.3">
      <c r="A1148" s="1"/>
      <c r="B1148" s="1" t="str">
        <f>IFERROR(IF(LEFT(Sensitivität_bzw_Monte_Carlo_bei_Strom[[#This Row],[Source.Name]],SEARCH("aus_der",Sensitivität_bzw_Monte_Carlo_bei_Strom[[#This Row],[Source.Name]],1))="Auszahlung_a","Auszahlung",""),"")</f>
        <v/>
      </c>
      <c r="D1148" s="1"/>
    </row>
    <row r="1149" spans="1:4" x14ac:dyDescent="0.3">
      <c r="A1149" s="1"/>
      <c r="B1149" s="1" t="str">
        <f>IFERROR(IF(LEFT(Sensitivität_bzw_Monte_Carlo_bei_Strom[[#This Row],[Source.Name]],SEARCH("aus_der",Sensitivität_bzw_Monte_Carlo_bei_Strom[[#This Row],[Source.Name]],1))="Auszahlung_a","Auszahlung",""),"")</f>
        <v/>
      </c>
      <c r="D1149" s="1"/>
    </row>
    <row r="1150" spans="1:4" x14ac:dyDescent="0.3">
      <c r="A1150" s="1"/>
      <c r="B1150" s="1" t="str">
        <f>IFERROR(IF(LEFT(Sensitivität_bzw_Monte_Carlo_bei_Strom[[#This Row],[Source.Name]],SEARCH("aus_der",Sensitivität_bzw_Monte_Carlo_bei_Strom[[#This Row],[Source.Name]],1))="Auszahlung_a","Auszahlung",""),"")</f>
        <v/>
      </c>
      <c r="D1150" s="1"/>
    </row>
    <row r="1151" spans="1:4" x14ac:dyDescent="0.3">
      <c r="A1151" s="1"/>
      <c r="B1151" s="1" t="str">
        <f>IFERROR(IF(LEFT(Sensitivität_bzw_Monte_Carlo_bei_Strom[[#This Row],[Source.Name]],SEARCH("aus_der",Sensitivität_bzw_Monte_Carlo_bei_Strom[[#This Row],[Source.Name]],1))="Auszahlung_a","Auszahlung",""),"")</f>
        <v/>
      </c>
      <c r="D1151" s="1"/>
    </row>
    <row r="1152" spans="1:4" x14ac:dyDescent="0.3">
      <c r="A1152" s="1"/>
      <c r="B1152" s="1" t="str">
        <f>IFERROR(IF(LEFT(Sensitivität_bzw_Monte_Carlo_bei_Strom[[#This Row],[Source.Name]],SEARCH("aus_der",Sensitivität_bzw_Monte_Carlo_bei_Strom[[#This Row],[Source.Name]],1))="Auszahlung_a","Auszahlung",""),"")</f>
        <v/>
      </c>
      <c r="D1152" s="1"/>
    </row>
    <row r="1153" spans="1:4" x14ac:dyDescent="0.3">
      <c r="A1153" s="1"/>
      <c r="B1153" s="1" t="str">
        <f>IFERROR(IF(LEFT(Sensitivität_bzw_Monte_Carlo_bei_Strom[[#This Row],[Source.Name]],SEARCH("aus_der",Sensitivität_bzw_Monte_Carlo_bei_Strom[[#This Row],[Source.Name]],1))="Auszahlung_a","Auszahlung",""),"")</f>
        <v/>
      </c>
      <c r="D1153" s="1"/>
    </row>
    <row r="1154" spans="1:4" x14ac:dyDescent="0.3">
      <c r="A1154" s="1"/>
      <c r="B1154" s="1" t="str">
        <f>IFERROR(IF(LEFT(Sensitivität_bzw_Monte_Carlo_bei_Strom[[#This Row],[Source.Name]],SEARCH("aus_der",Sensitivität_bzw_Monte_Carlo_bei_Strom[[#This Row],[Source.Name]],1))="Auszahlung_a","Auszahlung",""),"")</f>
        <v/>
      </c>
      <c r="D1154" s="1"/>
    </row>
    <row r="1155" spans="1:4" x14ac:dyDescent="0.3">
      <c r="A1155" s="1"/>
      <c r="B1155" s="1" t="str">
        <f>IFERROR(IF(LEFT(Sensitivität_bzw_Monte_Carlo_bei_Strom[[#This Row],[Source.Name]],SEARCH("aus_der",Sensitivität_bzw_Monte_Carlo_bei_Strom[[#This Row],[Source.Name]],1))="Auszahlung_a","Auszahlung",""),"")</f>
        <v/>
      </c>
      <c r="D1155" s="1"/>
    </row>
    <row r="1156" spans="1:4" x14ac:dyDescent="0.3">
      <c r="A1156" s="1"/>
      <c r="B1156" s="1" t="str">
        <f>IFERROR(IF(LEFT(Sensitivität_bzw_Monte_Carlo_bei_Strom[[#This Row],[Source.Name]],SEARCH("aus_der",Sensitivität_bzw_Monte_Carlo_bei_Strom[[#This Row],[Source.Name]],1))="Auszahlung_a","Auszahlung",""),"")</f>
        <v/>
      </c>
      <c r="D1156" s="1"/>
    </row>
    <row r="1157" spans="1:4" x14ac:dyDescent="0.3">
      <c r="A1157" s="1"/>
      <c r="B1157" s="1" t="str">
        <f>IFERROR(IF(LEFT(Sensitivität_bzw_Monte_Carlo_bei_Strom[[#This Row],[Source.Name]],SEARCH("aus_der",Sensitivität_bzw_Monte_Carlo_bei_Strom[[#This Row],[Source.Name]],1))="Auszahlung_a","Auszahlung",""),"")</f>
        <v/>
      </c>
      <c r="D1157" s="1"/>
    </row>
    <row r="1158" spans="1:4" x14ac:dyDescent="0.3">
      <c r="A1158" s="1"/>
      <c r="B1158" s="1" t="str">
        <f>IFERROR(IF(LEFT(Sensitivität_bzw_Monte_Carlo_bei_Strom[[#This Row],[Source.Name]],SEARCH("aus_der",Sensitivität_bzw_Monte_Carlo_bei_Strom[[#This Row],[Source.Name]],1))="Auszahlung_a","Auszahlung",""),"")</f>
        <v/>
      </c>
      <c r="D1158" s="1"/>
    </row>
    <row r="1159" spans="1:4" x14ac:dyDescent="0.3">
      <c r="A1159" s="1"/>
      <c r="B1159" s="1" t="str">
        <f>IFERROR(IF(LEFT(Sensitivität_bzw_Monte_Carlo_bei_Strom[[#This Row],[Source.Name]],SEARCH("aus_der",Sensitivität_bzw_Monte_Carlo_bei_Strom[[#This Row],[Source.Name]],1))="Auszahlung_a","Auszahlung",""),"")</f>
        <v/>
      </c>
      <c r="D1159" s="1"/>
    </row>
    <row r="1160" spans="1:4" x14ac:dyDescent="0.3">
      <c r="A1160" s="1"/>
      <c r="B1160" s="1" t="str">
        <f>IFERROR(IF(LEFT(Sensitivität_bzw_Monte_Carlo_bei_Strom[[#This Row],[Source.Name]],SEARCH("aus_der",Sensitivität_bzw_Monte_Carlo_bei_Strom[[#This Row],[Source.Name]],1))="Auszahlung_a","Auszahlung",""),"")</f>
        <v/>
      </c>
      <c r="D1160" s="1"/>
    </row>
    <row r="1161" spans="1:4" x14ac:dyDescent="0.3">
      <c r="A1161" s="1"/>
      <c r="B1161" s="1" t="str">
        <f>IFERROR(IF(LEFT(Sensitivität_bzw_Monte_Carlo_bei_Strom[[#This Row],[Source.Name]],SEARCH("aus_der",Sensitivität_bzw_Monte_Carlo_bei_Strom[[#This Row],[Source.Name]],1))="Auszahlung_a","Auszahlung",""),"")</f>
        <v/>
      </c>
      <c r="D1161" s="1"/>
    </row>
    <row r="1162" spans="1:4" x14ac:dyDescent="0.3">
      <c r="A1162" s="1"/>
      <c r="B1162" s="1" t="str">
        <f>IFERROR(IF(LEFT(Sensitivität_bzw_Monte_Carlo_bei_Strom[[#This Row],[Source.Name]],SEARCH("aus_der",Sensitivität_bzw_Monte_Carlo_bei_Strom[[#This Row],[Source.Name]],1))="Auszahlung_a","Auszahlung",""),"")</f>
        <v/>
      </c>
      <c r="D1162" s="1"/>
    </row>
    <row r="1163" spans="1:4" x14ac:dyDescent="0.3">
      <c r="A1163" s="1"/>
      <c r="B1163" s="1" t="str">
        <f>IFERROR(IF(LEFT(Sensitivität_bzw_Monte_Carlo_bei_Strom[[#This Row],[Source.Name]],SEARCH("aus_der",Sensitivität_bzw_Monte_Carlo_bei_Strom[[#This Row],[Source.Name]],1))="Auszahlung_a","Auszahlung",""),"")</f>
        <v/>
      </c>
      <c r="D1163" s="1"/>
    </row>
    <row r="1164" spans="1:4" x14ac:dyDescent="0.3">
      <c r="A1164" s="1"/>
      <c r="B1164" s="1" t="str">
        <f>IFERROR(IF(LEFT(Sensitivität_bzw_Monte_Carlo_bei_Strom[[#This Row],[Source.Name]],SEARCH("aus_der",Sensitivität_bzw_Monte_Carlo_bei_Strom[[#This Row],[Source.Name]],1))="Auszahlung_a","Auszahlung",""),"")</f>
        <v/>
      </c>
      <c r="D1164" s="1"/>
    </row>
    <row r="1165" spans="1:4" x14ac:dyDescent="0.3">
      <c r="A1165" s="1"/>
      <c r="B1165" s="1" t="str">
        <f>IFERROR(IF(LEFT(Sensitivität_bzw_Monte_Carlo_bei_Strom[[#This Row],[Source.Name]],SEARCH("aus_der",Sensitivität_bzw_Monte_Carlo_bei_Strom[[#This Row],[Source.Name]],1))="Auszahlung_a","Auszahlung",""),"")</f>
        <v/>
      </c>
      <c r="D1165" s="1"/>
    </row>
    <row r="1166" spans="1:4" x14ac:dyDescent="0.3">
      <c r="A1166" s="1"/>
      <c r="B1166" s="1" t="str">
        <f>IFERROR(IF(LEFT(Sensitivität_bzw_Monte_Carlo_bei_Strom[[#This Row],[Source.Name]],SEARCH("aus_der",Sensitivität_bzw_Monte_Carlo_bei_Strom[[#This Row],[Source.Name]],1))="Auszahlung_a","Auszahlung",""),"")</f>
        <v/>
      </c>
      <c r="D1166" s="1"/>
    </row>
    <row r="1167" spans="1:4" x14ac:dyDescent="0.3">
      <c r="A1167" s="1"/>
      <c r="B1167" s="1" t="str">
        <f>IFERROR(IF(LEFT(Sensitivität_bzw_Monte_Carlo_bei_Strom[[#This Row],[Source.Name]],SEARCH("aus_der",Sensitivität_bzw_Monte_Carlo_bei_Strom[[#This Row],[Source.Name]],1))="Auszahlung_a","Auszahlung",""),"")</f>
        <v/>
      </c>
      <c r="D1167" s="1"/>
    </row>
    <row r="1168" spans="1:4" x14ac:dyDescent="0.3">
      <c r="A1168" s="1"/>
      <c r="B1168" s="1" t="str">
        <f>IFERROR(IF(LEFT(Sensitivität_bzw_Monte_Carlo_bei_Strom[[#This Row],[Source.Name]],SEARCH("aus_der",Sensitivität_bzw_Monte_Carlo_bei_Strom[[#This Row],[Source.Name]],1))="Auszahlung_a","Auszahlung",""),"")</f>
        <v/>
      </c>
      <c r="D1168" s="1"/>
    </row>
    <row r="1169" spans="1:4" x14ac:dyDescent="0.3">
      <c r="A1169" s="1"/>
      <c r="B1169" s="1" t="str">
        <f>IFERROR(IF(LEFT(Sensitivität_bzw_Monte_Carlo_bei_Strom[[#This Row],[Source.Name]],SEARCH("aus_der",Sensitivität_bzw_Monte_Carlo_bei_Strom[[#This Row],[Source.Name]],1))="Auszahlung_a","Auszahlung",""),"")</f>
        <v/>
      </c>
      <c r="D1169" s="1"/>
    </row>
    <row r="1170" spans="1:4" x14ac:dyDescent="0.3">
      <c r="A1170" s="1"/>
      <c r="B1170" s="1" t="str">
        <f>IFERROR(IF(LEFT(Sensitivität_bzw_Monte_Carlo_bei_Strom[[#This Row],[Source.Name]],SEARCH("aus_der",Sensitivität_bzw_Monte_Carlo_bei_Strom[[#This Row],[Source.Name]],1))="Auszahlung_a","Auszahlung",""),"")</f>
        <v/>
      </c>
      <c r="D1170" s="1"/>
    </row>
    <row r="1171" spans="1:4" x14ac:dyDescent="0.3">
      <c r="A1171" s="1"/>
      <c r="B1171" s="1" t="str">
        <f>IFERROR(IF(LEFT(Sensitivität_bzw_Monte_Carlo_bei_Strom[[#This Row],[Source.Name]],SEARCH("aus_der",Sensitivität_bzw_Monte_Carlo_bei_Strom[[#This Row],[Source.Name]],1))="Auszahlung_a","Auszahlung",""),"")</f>
        <v/>
      </c>
      <c r="D1171" s="1"/>
    </row>
    <row r="1172" spans="1:4" x14ac:dyDescent="0.3">
      <c r="A1172" s="1"/>
      <c r="B1172" s="1" t="str">
        <f>IFERROR(IF(LEFT(Sensitivität_bzw_Monte_Carlo_bei_Strom[[#This Row],[Source.Name]],SEARCH("aus_der",Sensitivität_bzw_Monte_Carlo_bei_Strom[[#This Row],[Source.Name]],1))="Auszahlung_a","Auszahlung",""),"")</f>
        <v/>
      </c>
      <c r="D1172" s="1"/>
    </row>
    <row r="1173" spans="1:4" x14ac:dyDescent="0.3">
      <c r="A1173" s="1"/>
      <c r="B1173" s="1" t="str">
        <f>IFERROR(IF(LEFT(Sensitivität_bzw_Monte_Carlo_bei_Strom[[#This Row],[Source.Name]],SEARCH("aus_der",Sensitivität_bzw_Monte_Carlo_bei_Strom[[#This Row],[Source.Name]],1))="Auszahlung_a","Auszahlung",""),"")</f>
        <v/>
      </c>
      <c r="D1173" s="1"/>
    </row>
    <row r="1174" spans="1:4" x14ac:dyDescent="0.3">
      <c r="A1174" s="1"/>
      <c r="B1174" s="1" t="str">
        <f>IFERROR(IF(LEFT(Sensitivität_bzw_Monte_Carlo_bei_Strom[[#This Row],[Source.Name]],SEARCH("aus_der",Sensitivität_bzw_Monte_Carlo_bei_Strom[[#This Row],[Source.Name]],1))="Auszahlung_a","Auszahlung",""),"")</f>
        <v/>
      </c>
      <c r="D1174" s="1"/>
    </row>
    <row r="1175" spans="1:4" x14ac:dyDescent="0.3">
      <c r="A1175" s="1"/>
      <c r="B1175" s="1" t="str">
        <f>IFERROR(IF(LEFT(Sensitivität_bzw_Monte_Carlo_bei_Strom[[#This Row],[Source.Name]],SEARCH("aus_der",Sensitivität_bzw_Monte_Carlo_bei_Strom[[#This Row],[Source.Name]],1))="Auszahlung_a","Auszahlung",""),"")</f>
        <v/>
      </c>
      <c r="D1175" s="1"/>
    </row>
    <row r="1176" spans="1:4" x14ac:dyDescent="0.3">
      <c r="A1176" s="1"/>
      <c r="B1176" s="1" t="str">
        <f>IFERROR(IF(LEFT(Sensitivität_bzw_Monte_Carlo_bei_Strom[[#This Row],[Source.Name]],SEARCH("aus_der",Sensitivität_bzw_Monte_Carlo_bei_Strom[[#This Row],[Source.Name]],1))="Auszahlung_a","Auszahlung",""),"")</f>
        <v/>
      </c>
      <c r="D1176" s="1"/>
    </row>
    <row r="1177" spans="1:4" x14ac:dyDescent="0.3">
      <c r="A1177" s="1"/>
      <c r="B1177" s="1" t="str">
        <f>IFERROR(IF(LEFT(Sensitivität_bzw_Monte_Carlo_bei_Strom[[#This Row],[Source.Name]],SEARCH("aus_der",Sensitivität_bzw_Monte_Carlo_bei_Strom[[#This Row],[Source.Name]],1))="Auszahlung_a","Auszahlung",""),"")</f>
        <v/>
      </c>
      <c r="D1177" s="1"/>
    </row>
    <row r="1178" spans="1:4" x14ac:dyDescent="0.3">
      <c r="A1178" s="1"/>
      <c r="B1178" s="1" t="str">
        <f>IFERROR(IF(LEFT(Sensitivität_bzw_Monte_Carlo_bei_Strom[[#This Row],[Source.Name]],SEARCH("aus_der",Sensitivität_bzw_Monte_Carlo_bei_Strom[[#This Row],[Source.Name]],1))="Auszahlung_a","Auszahlung",""),"")</f>
        <v/>
      </c>
      <c r="D1178" s="1"/>
    </row>
    <row r="1179" spans="1:4" x14ac:dyDescent="0.3">
      <c r="A1179" s="1"/>
      <c r="B1179" s="1" t="str">
        <f>IFERROR(IF(LEFT(Sensitivität_bzw_Monte_Carlo_bei_Strom[[#This Row],[Source.Name]],SEARCH("aus_der",Sensitivität_bzw_Monte_Carlo_bei_Strom[[#This Row],[Source.Name]],1))="Auszahlung_a","Auszahlung",""),"")</f>
        <v/>
      </c>
      <c r="D1179" s="1"/>
    </row>
    <row r="1180" spans="1:4" x14ac:dyDescent="0.3">
      <c r="A1180" s="1"/>
      <c r="B1180" s="1" t="str">
        <f>IFERROR(IF(LEFT(Sensitivität_bzw_Monte_Carlo_bei_Strom[[#This Row],[Source.Name]],SEARCH("aus_der",Sensitivität_bzw_Monte_Carlo_bei_Strom[[#This Row],[Source.Name]],1))="Auszahlung_a","Auszahlung",""),"")</f>
        <v/>
      </c>
      <c r="D1180" s="1"/>
    </row>
    <row r="1181" spans="1:4" x14ac:dyDescent="0.3">
      <c r="A1181" s="1"/>
      <c r="B1181" s="1" t="str">
        <f>IFERROR(IF(LEFT(Sensitivität_bzw_Monte_Carlo_bei_Strom[[#This Row],[Source.Name]],SEARCH("aus_der",Sensitivität_bzw_Monte_Carlo_bei_Strom[[#This Row],[Source.Name]],1))="Auszahlung_a","Auszahlung",""),"")</f>
        <v/>
      </c>
      <c r="D1181" s="1"/>
    </row>
    <row r="1182" spans="1:4" x14ac:dyDescent="0.3">
      <c r="A1182" s="1"/>
      <c r="B1182" s="1" t="str">
        <f>IFERROR(IF(LEFT(Sensitivität_bzw_Monte_Carlo_bei_Strom[[#This Row],[Source.Name]],SEARCH("aus_der",Sensitivität_bzw_Monte_Carlo_bei_Strom[[#This Row],[Source.Name]],1))="Auszahlung_a","Auszahlung",""),"")</f>
        <v/>
      </c>
      <c r="D1182" s="1"/>
    </row>
    <row r="1183" spans="1:4" x14ac:dyDescent="0.3">
      <c r="A1183" s="1"/>
      <c r="B1183" s="1" t="str">
        <f>IFERROR(IF(LEFT(Sensitivität_bzw_Monte_Carlo_bei_Strom[[#This Row],[Source.Name]],SEARCH("aus_der",Sensitivität_bzw_Monte_Carlo_bei_Strom[[#This Row],[Source.Name]],1))="Auszahlung_a","Auszahlung",""),"")</f>
        <v/>
      </c>
      <c r="D1183" s="1"/>
    </row>
    <row r="1184" spans="1:4" x14ac:dyDescent="0.3">
      <c r="A1184" s="1"/>
      <c r="B1184" s="1" t="str">
        <f>IFERROR(IF(LEFT(Sensitivität_bzw_Monte_Carlo_bei_Strom[[#This Row],[Source.Name]],SEARCH("aus_der",Sensitivität_bzw_Monte_Carlo_bei_Strom[[#This Row],[Source.Name]],1))="Auszahlung_a","Auszahlung",""),"")</f>
        <v/>
      </c>
      <c r="D1184" s="1"/>
    </row>
    <row r="1185" spans="1:4" x14ac:dyDescent="0.3">
      <c r="A1185" s="1"/>
      <c r="B1185" s="1" t="str">
        <f>IFERROR(IF(LEFT(Sensitivität_bzw_Monte_Carlo_bei_Strom[[#This Row],[Source.Name]],SEARCH("aus_der",Sensitivität_bzw_Monte_Carlo_bei_Strom[[#This Row],[Source.Name]],1))="Auszahlung_a","Auszahlung",""),"")</f>
        <v/>
      </c>
      <c r="D1185" s="1"/>
    </row>
    <row r="1186" spans="1:4" x14ac:dyDescent="0.3">
      <c r="A1186" s="1"/>
      <c r="B1186" s="1" t="str">
        <f>IFERROR(IF(LEFT(Sensitivität_bzw_Monte_Carlo_bei_Strom[[#This Row],[Source.Name]],SEARCH("aus_der",Sensitivität_bzw_Monte_Carlo_bei_Strom[[#This Row],[Source.Name]],1))="Auszahlung_a","Auszahlung",""),"")</f>
        <v/>
      </c>
      <c r="D1186" s="1"/>
    </row>
    <row r="1187" spans="1:4" x14ac:dyDescent="0.3">
      <c r="A1187" s="1"/>
      <c r="B1187" s="1" t="str">
        <f>IFERROR(IF(LEFT(Sensitivität_bzw_Monte_Carlo_bei_Strom[[#This Row],[Source.Name]],SEARCH("aus_der",Sensitivität_bzw_Monte_Carlo_bei_Strom[[#This Row],[Source.Name]],1))="Auszahlung_a","Auszahlung",""),"")</f>
        <v/>
      </c>
      <c r="D1187" s="1"/>
    </row>
    <row r="1188" spans="1:4" x14ac:dyDescent="0.3">
      <c r="A1188" s="1"/>
      <c r="B1188" s="1" t="str">
        <f>IFERROR(IF(LEFT(Sensitivität_bzw_Monte_Carlo_bei_Strom[[#This Row],[Source.Name]],SEARCH("aus_der",Sensitivität_bzw_Monte_Carlo_bei_Strom[[#This Row],[Source.Name]],1))="Auszahlung_a","Auszahlung",""),"")</f>
        <v/>
      </c>
      <c r="D1188" s="1"/>
    </row>
    <row r="1189" spans="1:4" x14ac:dyDescent="0.3">
      <c r="A1189" s="1"/>
      <c r="B1189" s="1" t="str">
        <f>IFERROR(IF(LEFT(Sensitivität_bzw_Monte_Carlo_bei_Strom[[#This Row],[Source.Name]],SEARCH("aus_der",Sensitivität_bzw_Monte_Carlo_bei_Strom[[#This Row],[Source.Name]],1))="Auszahlung_a","Auszahlung",""),"")</f>
        <v/>
      </c>
      <c r="D1189" s="1"/>
    </row>
    <row r="1190" spans="1:4" x14ac:dyDescent="0.3">
      <c r="A1190" s="1"/>
      <c r="B1190" s="1" t="str">
        <f>IFERROR(IF(LEFT(Sensitivität_bzw_Monte_Carlo_bei_Strom[[#This Row],[Source.Name]],SEARCH("aus_der",Sensitivität_bzw_Monte_Carlo_bei_Strom[[#This Row],[Source.Name]],1))="Auszahlung_a","Auszahlung",""),"")</f>
        <v/>
      </c>
      <c r="D1190" s="1"/>
    </row>
    <row r="1191" spans="1:4" x14ac:dyDescent="0.3">
      <c r="A1191" s="1"/>
      <c r="B1191" s="1" t="str">
        <f>IFERROR(IF(LEFT(Sensitivität_bzw_Monte_Carlo_bei_Strom[[#This Row],[Source.Name]],SEARCH("aus_der",Sensitivität_bzw_Monte_Carlo_bei_Strom[[#This Row],[Source.Name]],1))="Auszahlung_a","Auszahlung",""),"")</f>
        <v/>
      </c>
      <c r="D1191" s="1"/>
    </row>
    <row r="1192" spans="1:4" x14ac:dyDescent="0.3">
      <c r="A1192" s="1"/>
      <c r="B1192" s="1" t="str">
        <f>IFERROR(IF(LEFT(Sensitivität_bzw_Monte_Carlo_bei_Strom[[#This Row],[Source.Name]],SEARCH("aus_der",Sensitivität_bzw_Monte_Carlo_bei_Strom[[#This Row],[Source.Name]],1))="Auszahlung_a","Auszahlung",""),"")</f>
        <v/>
      </c>
      <c r="D1192" s="1"/>
    </row>
    <row r="1193" spans="1:4" x14ac:dyDescent="0.3">
      <c r="A1193" s="1"/>
      <c r="B1193" s="1" t="str">
        <f>IFERROR(IF(LEFT(Sensitivität_bzw_Monte_Carlo_bei_Strom[[#This Row],[Source.Name]],SEARCH("aus_der",Sensitivität_bzw_Monte_Carlo_bei_Strom[[#This Row],[Source.Name]],1))="Auszahlung_a","Auszahlung",""),"")</f>
        <v/>
      </c>
      <c r="D1193" s="1"/>
    </row>
    <row r="1194" spans="1:4" x14ac:dyDescent="0.3">
      <c r="A1194" s="1"/>
      <c r="B1194" s="1" t="str">
        <f>IFERROR(IF(LEFT(Sensitivität_bzw_Monte_Carlo_bei_Strom[[#This Row],[Source.Name]],SEARCH("aus_der",Sensitivität_bzw_Monte_Carlo_bei_Strom[[#This Row],[Source.Name]],1))="Auszahlung_a","Auszahlung",""),"")</f>
        <v/>
      </c>
      <c r="D1194" s="1"/>
    </row>
    <row r="1195" spans="1:4" x14ac:dyDescent="0.3">
      <c r="A1195" s="1"/>
      <c r="B1195" s="1" t="str">
        <f>IFERROR(IF(LEFT(Sensitivität_bzw_Monte_Carlo_bei_Strom[[#This Row],[Source.Name]],SEARCH("aus_der",Sensitivität_bzw_Monte_Carlo_bei_Strom[[#This Row],[Source.Name]],1))="Auszahlung_a","Auszahlung",""),"")</f>
        <v/>
      </c>
      <c r="D1195" s="1"/>
    </row>
    <row r="1196" spans="1:4" x14ac:dyDescent="0.3">
      <c r="A1196" s="1"/>
      <c r="B1196" s="1" t="str">
        <f>IFERROR(IF(LEFT(Sensitivität_bzw_Monte_Carlo_bei_Strom[[#This Row],[Source.Name]],SEARCH("aus_der",Sensitivität_bzw_Monte_Carlo_bei_Strom[[#This Row],[Source.Name]],1))="Auszahlung_a","Auszahlung",""),"")</f>
        <v/>
      </c>
      <c r="D1196" s="1"/>
    </row>
    <row r="1197" spans="1:4" x14ac:dyDescent="0.3">
      <c r="A1197" s="1"/>
      <c r="B1197" s="1" t="str">
        <f>IFERROR(IF(LEFT(Sensitivität_bzw_Monte_Carlo_bei_Strom[[#This Row],[Source.Name]],SEARCH("aus_der",Sensitivität_bzw_Monte_Carlo_bei_Strom[[#This Row],[Source.Name]],1))="Auszahlung_a","Auszahlung",""),"")</f>
        <v/>
      </c>
      <c r="D1197" s="1"/>
    </row>
    <row r="1198" spans="1:4" x14ac:dyDescent="0.3">
      <c r="A1198" s="1"/>
      <c r="B1198" s="1" t="str">
        <f>IFERROR(IF(LEFT(Sensitivität_bzw_Monte_Carlo_bei_Strom[[#This Row],[Source.Name]],SEARCH("aus_der",Sensitivität_bzw_Monte_Carlo_bei_Strom[[#This Row],[Source.Name]],1))="Auszahlung_a","Auszahlung",""),"")</f>
        <v/>
      </c>
      <c r="D1198" s="1"/>
    </row>
    <row r="1199" spans="1:4" x14ac:dyDescent="0.3">
      <c r="A1199" s="1"/>
      <c r="B1199" s="1" t="str">
        <f>IFERROR(IF(LEFT(Sensitivität_bzw_Monte_Carlo_bei_Strom[[#This Row],[Source.Name]],SEARCH("aus_der",Sensitivität_bzw_Monte_Carlo_bei_Strom[[#This Row],[Source.Name]],1))="Auszahlung_a","Auszahlung",""),"")</f>
        <v/>
      </c>
      <c r="D1199" s="1"/>
    </row>
    <row r="1200" spans="1:4" x14ac:dyDescent="0.3">
      <c r="A1200" s="1"/>
      <c r="B1200" s="1" t="str">
        <f>IFERROR(IF(LEFT(Sensitivität_bzw_Monte_Carlo_bei_Strom[[#This Row],[Source.Name]],SEARCH("aus_der",Sensitivität_bzw_Monte_Carlo_bei_Strom[[#This Row],[Source.Name]],1))="Auszahlung_a","Auszahlung",""),"")</f>
        <v/>
      </c>
      <c r="D1200" s="1"/>
    </row>
    <row r="1201" spans="1:4" x14ac:dyDescent="0.3">
      <c r="A1201" s="1"/>
      <c r="B1201" s="1" t="str">
        <f>IFERROR(IF(LEFT(Sensitivität_bzw_Monte_Carlo_bei_Strom[[#This Row],[Source.Name]],SEARCH("aus_der",Sensitivität_bzw_Monte_Carlo_bei_Strom[[#This Row],[Source.Name]],1))="Auszahlung_a","Auszahlung",""),"")</f>
        <v/>
      </c>
      <c r="D1201" s="1"/>
    </row>
    <row r="1202" spans="1:4" x14ac:dyDescent="0.3">
      <c r="A1202" s="1"/>
      <c r="B1202" s="1" t="str">
        <f>IFERROR(IF(LEFT(Sensitivität_bzw_Monte_Carlo_bei_Strom[[#This Row],[Source.Name]],SEARCH("aus_der",Sensitivität_bzw_Monte_Carlo_bei_Strom[[#This Row],[Source.Name]],1))="Auszahlung_a","Auszahlung",""),"")</f>
        <v/>
      </c>
      <c r="D1202" s="1"/>
    </row>
    <row r="1203" spans="1:4" x14ac:dyDescent="0.3">
      <c r="A1203" s="1"/>
      <c r="B1203" s="1" t="str">
        <f>IFERROR(IF(LEFT(Sensitivität_bzw_Monte_Carlo_bei_Strom[[#This Row],[Source.Name]],SEARCH("aus_der",Sensitivität_bzw_Monte_Carlo_bei_Strom[[#This Row],[Source.Name]],1))="Auszahlung_a","Auszahlung",""),"")</f>
        <v/>
      </c>
      <c r="D1203" s="1"/>
    </row>
    <row r="1204" spans="1:4" x14ac:dyDescent="0.3">
      <c r="A1204" s="1"/>
      <c r="B1204" s="1" t="str">
        <f>IFERROR(IF(LEFT(Sensitivität_bzw_Monte_Carlo_bei_Strom[[#This Row],[Source.Name]],SEARCH("aus_der",Sensitivität_bzw_Monte_Carlo_bei_Strom[[#This Row],[Source.Name]],1))="Auszahlung_a","Auszahlung",""),"")</f>
        <v/>
      </c>
      <c r="D1204" s="1"/>
    </row>
    <row r="1205" spans="1:4" x14ac:dyDescent="0.3">
      <c r="A1205" s="1"/>
      <c r="B1205" s="1" t="str">
        <f>IFERROR(IF(LEFT(Sensitivität_bzw_Monte_Carlo_bei_Strom[[#This Row],[Source.Name]],SEARCH("aus_der",Sensitivität_bzw_Monte_Carlo_bei_Strom[[#This Row],[Source.Name]],1))="Auszahlung_a","Auszahlung",""),"")</f>
        <v/>
      </c>
      <c r="D1205" s="1"/>
    </row>
    <row r="1206" spans="1:4" x14ac:dyDescent="0.3">
      <c r="A1206" s="1"/>
      <c r="B1206" s="1" t="str">
        <f>IFERROR(IF(LEFT(Sensitivität_bzw_Monte_Carlo_bei_Strom[[#This Row],[Source.Name]],SEARCH("aus_der",Sensitivität_bzw_Monte_Carlo_bei_Strom[[#This Row],[Source.Name]],1))="Auszahlung_a","Auszahlung",""),"")</f>
        <v/>
      </c>
      <c r="D1206" s="1"/>
    </row>
    <row r="1207" spans="1:4" x14ac:dyDescent="0.3">
      <c r="A1207" s="1"/>
      <c r="B1207" s="1" t="str">
        <f>IFERROR(IF(LEFT(Sensitivität_bzw_Monte_Carlo_bei_Strom[[#This Row],[Source.Name]],SEARCH("aus_der",Sensitivität_bzw_Monte_Carlo_bei_Strom[[#This Row],[Source.Name]],1))="Auszahlung_a","Auszahlung",""),"")</f>
        <v/>
      </c>
      <c r="D1207" s="1"/>
    </row>
    <row r="1208" spans="1:4" x14ac:dyDescent="0.3">
      <c r="A1208" s="1"/>
      <c r="B1208" s="1" t="str">
        <f>IFERROR(IF(LEFT(Sensitivität_bzw_Monte_Carlo_bei_Strom[[#This Row],[Source.Name]],SEARCH("aus_der",Sensitivität_bzw_Monte_Carlo_bei_Strom[[#This Row],[Source.Name]],1))="Auszahlung_a","Auszahlung",""),"")</f>
        <v/>
      </c>
      <c r="D1208" s="1"/>
    </row>
    <row r="1209" spans="1:4" x14ac:dyDescent="0.3">
      <c r="A1209" s="1"/>
      <c r="B1209" s="1" t="str">
        <f>IFERROR(IF(LEFT(Sensitivität_bzw_Monte_Carlo_bei_Strom[[#This Row],[Source.Name]],SEARCH("aus_der",Sensitivität_bzw_Monte_Carlo_bei_Strom[[#This Row],[Source.Name]],1))="Auszahlung_a","Auszahlung",""),"")</f>
        <v/>
      </c>
      <c r="D1209" s="1"/>
    </row>
    <row r="1210" spans="1:4" x14ac:dyDescent="0.3">
      <c r="A1210" s="1"/>
      <c r="B1210" s="1" t="str">
        <f>IFERROR(IF(LEFT(Sensitivität_bzw_Monte_Carlo_bei_Strom[[#This Row],[Source.Name]],SEARCH("aus_der",Sensitivität_bzw_Monte_Carlo_bei_Strom[[#This Row],[Source.Name]],1))="Auszahlung_a","Auszahlung",""),"")</f>
        <v/>
      </c>
      <c r="D1210" s="1"/>
    </row>
    <row r="1211" spans="1:4" x14ac:dyDescent="0.3">
      <c r="A1211" s="1"/>
      <c r="B1211" s="1" t="str">
        <f>IFERROR(IF(LEFT(Sensitivität_bzw_Monte_Carlo_bei_Strom[[#This Row],[Source.Name]],SEARCH("aus_der",Sensitivität_bzw_Monte_Carlo_bei_Strom[[#This Row],[Source.Name]],1))="Auszahlung_a","Auszahlung",""),"")</f>
        <v/>
      </c>
      <c r="D1211" s="1"/>
    </row>
    <row r="1212" spans="1:4" x14ac:dyDescent="0.3">
      <c r="A1212" s="1"/>
      <c r="B1212" s="1" t="str">
        <f>IFERROR(IF(LEFT(Sensitivität_bzw_Monte_Carlo_bei_Strom[[#This Row],[Source.Name]],SEARCH("aus_der",Sensitivität_bzw_Monte_Carlo_bei_Strom[[#This Row],[Source.Name]],1))="Auszahlung_a","Auszahlung",""),"")</f>
        <v/>
      </c>
      <c r="D1212" s="1"/>
    </row>
    <row r="1213" spans="1:4" x14ac:dyDescent="0.3">
      <c r="A1213" s="1"/>
      <c r="B1213" s="1" t="str">
        <f>IFERROR(IF(LEFT(Sensitivität_bzw_Monte_Carlo_bei_Strom[[#This Row],[Source.Name]],SEARCH("aus_der",Sensitivität_bzw_Monte_Carlo_bei_Strom[[#This Row],[Source.Name]],1))="Auszahlung_a","Auszahlung",""),"")</f>
        <v/>
      </c>
      <c r="D1213" s="1"/>
    </row>
    <row r="1214" spans="1:4" x14ac:dyDescent="0.3">
      <c r="A1214" s="1"/>
      <c r="B1214" s="1" t="str">
        <f>IFERROR(IF(LEFT(Sensitivität_bzw_Monte_Carlo_bei_Strom[[#This Row],[Source.Name]],SEARCH("aus_der",Sensitivität_bzw_Monte_Carlo_bei_Strom[[#This Row],[Source.Name]],1))="Auszahlung_a","Auszahlung",""),"")</f>
        <v/>
      </c>
      <c r="D1214" s="1"/>
    </row>
    <row r="1215" spans="1:4" x14ac:dyDescent="0.3">
      <c r="A1215" s="1"/>
      <c r="B1215" s="1" t="str">
        <f>IFERROR(IF(LEFT(Sensitivität_bzw_Monte_Carlo_bei_Strom[[#This Row],[Source.Name]],SEARCH("aus_der",Sensitivität_bzw_Monte_Carlo_bei_Strom[[#This Row],[Source.Name]],1))="Auszahlung_a","Auszahlung",""),"")</f>
        <v/>
      </c>
      <c r="D1215" s="1"/>
    </row>
    <row r="1216" spans="1:4" x14ac:dyDescent="0.3">
      <c r="A1216" s="1"/>
      <c r="B1216" s="1" t="str">
        <f>IFERROR(IF(LEFT(Sensitivität_bzw_Monte_Carlo_bei_Strom[[#This Row],[Source.Name]],SEARCH("aus_der",Sensitivität_bzw_Monte_Carlo_bei_Strom[[#This Row],[Source.Name]],1))="Auszahlung_a","Auszahlung",""),"")</f>
        <v/>
      </c>
      <c r="D1216" s="1"/>
    </row>
    <row r="1217" spans="1:4" x14ac:dyDescent="0.3">
      <c r="A1217" s="1"/>
      <c r="B1217" s="1" t="str">
        <f>IFERROR(IF(LEFT(Sensitivität_bzw_Monte_Carlo_bei_Strom[[#This Row],[Source.Name]],SEARCH("aus_der",Sensitivität_bzw_Monte_Carlo_bei_Strom[[#This Row],[Source.Name]],1))="Auszahlung_a","Auszahlung",""),"")</f>
        <v/>
      </c>
      <c r="D1217" s="1"/>
    </row>
    <row r="1218" spans="1:4" x14ac:dyDescent="0.3">
      <c r="A1218" s="1"/>
      <c r="B1218" s="1" t="str">
        <f>IFERROR(IF(LEFT(Sensitivität_bzw_Monte_Carlo_bei_Strom[[#This Row],[Source.Name]],SEARCH("aus_der",Sensitivität_bzw_Monte_Carlo_bei_Strom[[#This Row],[Source.Name]],1))="Auszahlung_a","Auszahlung",""),"")</f>
        <v/>
      </c>
      <c r="D1218" s="1"/>
    </row>
    <row r="1219" spans="1:4" x14ac:dyDescent="0.3">
      <c r="A1219" s="1"/>
      <c r="B1219" s="1" t="str">
        <f>IFERROR(IF(LEFT(Sensitivität_bzw_Monte_Carlo_bei_Strom[[#This Row],[Source.Name]],SEARCH("aus_der",Sensitivität_bzw_Monte_Carlo_bei_Strom[[#This Row],[Source.Name]],1))="Auszahlung_a","Auszahlung",""),"")</f>
        <v/>
      </c>
      <c r="D1219" s="1"/>
    </row>
    <row r="1220" spans="1:4" x14ac:dyDescent="0.3">
      <c r="A1220" s="1"/>
      <c r="B1220" s="1" t="str">
        <f>IFERROR(IF(LEFT(Sensitivität_bzw_Monte_Carlo_bei_Strom[[#This Row],[Source.Name]],SEARCH("aus_der",Sensitivität_bzw_Monte_Carlo_bei_Strom[[#This Row],[Source.Name]],1))="Auszahlung_a","Auszahlung",""),"")</f>
        <v/>
      </c>
      <c r="D1220" s="1"/>
    </row>
    <row r="1221" spans="1:4" x14ac:dyDescent="0.3">
      <c r="A1221" s="1"/>
      <c r="B1221" s="1" t="str">
        <f>IFERROR(IF(LEFT(Sensitivität_bzw_Monte_Carlo_bei_Strom[[#This Row],[Source.Name]],SEARCH("aus_der",Sensitivität_bzw_Monte_Carlo_bei_Strom[[#This Row],[Source.Name]],1))="Auszahlung_a","Auszahlung",""),"")</f>
        <v/>
      </c>
      <c r="D1221" s="1"/>
    </row>
    <row r="1222" spans="1:4" x14ac:dyDescent="0.3">
      <c r="A1222" s="1"/>
      <c r="B1222" s="1" t="str">
        <f>IFERROR(IF(LEFT(Sensitivität_bzw_Monte_Carlo_bei_Strom[[#This Row],[Source.Name]],SEARCH("aus_der",Sensitivität_bzw_Monte_Carlo_bei_Strom[[#This Row],[Source.Name]],1))="Auszahlung_a","Auszahlung",""),"")</f>
        <v/>
      </c>
      <c r="D1222" s="1"/>
    </row>
    <row r="1223" spans="1:4" x14ac:dyDescent="0.3">
      <c r="A1223" s="1"/>
      <c r="B1223" s="1" t="str">
        <f>IFERROR(IF(LEFT(Sensitivität_bzw_Monte_Carlo_bei_Strom[[#This Row],[Source.Name]],SEARCH("aus_der",Sensitivität_bzw_Monte_Carlo_bei_Strom[[#This Row],[Source.Name]],1))="Auszahlung_a","Auszahlung",""),"")</f>
        <v/>
      </c>
      <c r="D1223" s="1"/>
    </row>
    <row r="1224" spans="1:4" x14ac:dyDescent="0.3">
      <c r="A1224" s="1"/>
      <c r="B1224" s="1" t="str">
        <f>IFERROR(IF(LEFT(Sensitivität_bzw_Monte_Carlo_bei_Strom[[#This Row],[Source.Name]],SEARCH("aus_der",Sensitivität_bzw_Monte_Carlo_bei_Strom[[#This Row],[Source.Name]],1))="Auszahlung_a","Auszahlung",""),"")</f>
        <v/>
      </c>
      <c r="D1224" s="1"/>
    </row>
    <row r="1225" spans="1:4" x14ac:dyDescent="0.3">
      <c r="A1225" s="1"/>
      <c r="B1225" s="1" t="str">
        <f>IFERROR(IF(LEFT(Sensitivität_bzw_Monte_Carlo_bei_Strom[[#This Row],[Source.Name]],SEARCH("aus_der",Sensitivität_bzw_Monte_Carlo_bei_Strom[[#This Row],[Source.Name]],1))="Auszahlung_a","Auszahlung",""),"")</f>
        <v/>
      </c>
      <c r="D1225" s="1"/>
    </row>
    <row r="1226" spans="1:4" x14ac:dyDescent="0.3">
      <c r="A1226" s="1"/>
      <c r="B1226" s="1" t="str">
        <f>IFERROR(IF(LEFT(Sensitivität_bzw_Monte_Carlo_bei_Strom[[#This Row],[Source.Name]],SEARCH("aus_der",Sensitivität_bzw_Monte_Carlo_bei_Strom[[#This Row],[Source.Name]],1))="Auszahlung_a","Auszahlung",""),"")</f>
        <v/>
      </c>
      <c r="D1226" s="1"/>
    </row>
    <row r="1227" spans="1:4" x14ac:dyDescent="0.3">
      <c r="A1227" s="1"/>
      <c r="B1227" s="1" t="str">
        <f>IFERROR(IF(LEFT(Sensitivität_bzw_Monte_Carlo_bei_Strom[[#This Row],[Source.Name]],SEARCH("aus_der",Sensitivität_bzw_Monte_Carlo_bei_Strom[[#This Row],[Source.Name]],1))="Auszahlung_a","Auszahlung",""),"")</f>
        <v/>
      </c>
      <c r="D1227" s="1"/>
    </row>
    <row r="1228" spans="1:4" x14ac:dyDescent="0.3">
      <c r="A1228" s="1"/>
      <c r="B1228" s="1" t="str">
        <f>IFERROR(IF(LEFT(Sensitivität_bzw_Monte_Carlo_bei_Strom[[#This Row],[Source.Name]],SEARCH("aus_der",Sensitivität_bzw_Monte_Carlo_bei_Strom[[#This Row],[Source.Name]],1))="Auszahlung_a","Auszahlung",""),"")</f>
        <v/>
      </c>
      <c r="D1228" s="1"/>
    </row>
    <row r="1229" spans="1:4" x14ac:dyDescent="0.3">
      <c r="A1229" s="1"/>
      <c r="B1229" s="1" t="str">
        <f>IFERROR(IF(LEFT(Sensitivität_bzw_Monte_Carlo_bei_Strom[[#This Row],[Source.Name]],SEARCH("aus_der",Sensitivität_bzw_Monte_Carlo_bei_Strom[[#This Row],[Source.Name]],1))="Auszahlung_a","Auszahlung",""),"")</f>
        <v/>
      </c>
      <c r="D1229" s="1"/>
    </row>
    <row r="1230" spans="1:4" x14ac:dyDescent="0.3">
      <c r="A1230" s="1"/>
      <c r="B1230" s="1" t="str">
        <f>IFERROR(IF(LEFT(Sensitivität_bzw_Monte_Carlo_bei_Strom[[#This Row],[Source.Name]],SEARCH("aus_der",Sensitivität_bzw_Monte_Carlo_bei_Strom[[#This Row],[Source.Name]],1))="Auszahlung_a","Auszahlung",""),"")</f>
        <v/>
      </c>
      <c r="D1230" s="1"/>
    </row>
    <row r="1231" spans="1:4" x14ac:dyDescent="0.3">
      <c r="A1231" s="1"/>
      <c r="B1231" s="1" t="str">
        <f>IFERROR(IF(LEFT(Sensitivität_bzw_Monte_Carlo_bei_Strom[[#This Row],[Source.Name]],SEARCH("aus_der",Sensitivität_bzw_Monte_Carlo_bei_Strom[[#This Row],[Source.Name]],1))="Auszahlung_a","Auszahlung",""),"")</f>
        <v/>
      </c>
      <c r="D1231" s="1"/>
    </row>
    <row r="1232" spans="1:4" x14ac:dyDescent="0.3">
      <c r="A1232" s="1"/>
      <c r="B1232" s="1" t="str">
        <f>IFERROR(IF(LEFT(Sensitivität_bzw_Monte_Carlo_bei_Strom[[#This Row],[Source.Name]],SEARCH("aus_der",Sensitivität_bzw_Monte_Carlo_bei_Strom[[#This Row],[Source.Name]],1))="Auszahlung_a","Auszahlung",""),"")</f>
        <v/>
      </c>
      <c r="D1232" s="1"/>
    </row>
    <row r="1233" spans="1:4" x14ac:dyDescent="0.3">
      <c r="A1233" s="1"/>
      <c r="B1233" s="1" t="str">
        <f>IFERROR(IF(LEFT(Sensitivität_bzw_Monte_Carlo_bei_Strom[[#This Row],[Source.Name]],SEARCH("aus_der",Sensitivität_bzw_Monte_Carlo_bei_Strom[[#This Row],[Source.Name]],1))="Auszahlung_a","Auszahlung",""),"")</f>
        <v/>
      </c>
      <c r="D1233" s="1"/>
    </row>
    <row r="1234" spans="1:4" x14ac:dyDescent="0.3">
      <c r="A1234" s="1"/>
      <c r="B1234" s="1" t="str">
        <f>IFERROR(IF(LEFT(Sensitivität_bzw_Monte_Carlo_bei_Strom[[#This Row],[Source.Name]],SEARCH("aus_der",Sensitivität_bzw_Monte_Carlo_bei_Strom[[#This Row],[Source.Name]],1))="Auszahlung_a","Auszahlung",""),"")</f>
        <v/>
      </c>
      <c r="D1234" s="1"/>
    </row>
    <row r="1235" spans="1:4" x14ac:dyDescent="0.3">
      <c r="A1235" s="1"/>
      <c r="B1235" s="1" t="str">
        <f>IFERROR(IF(LEFT(Sensitivität_bzw_Monte_Carlo_bei_Strom[[#This Row],[Source.Name]],SEARCH("aus_der",Sensitivität_bzw_Monte_Carlo_bei_Strom[[#This Row],[Source.Name]],1))="Auszahlung_a","Auszahlung",""),"")</f>
        <v/>
      </c>
      <c r="D1235" s="1"/>
    </row>
    <row r="1236" spans="1:4" x14ac:dyDescent="0.3">
      <c r="A1236" s="1"/>
      <c r="B1236" s="1" t="str">
        <f>IFERROR(IF(LEFT(Sensitivität_bzw_Monte_Carlo_bei_Strom[[#This Row],[Source.Name]],SEARCH("aus_der",Sensitivität_bzw_Monte_Carlo_bei_Strom[[#This Row],[Source.Name]],1))="Auszahlung_a","Auszahlung",""),"")</f>
        <v/>
      </c>
      <c r="D1236" s="1"/>
    </row>
    <row r="1237" spans="1:4" x14ac:dyDescent="0.3">
      <c r="A1237" s="1"/>
      <c r="B1237" s="1" t="str">
        <f>IFERROR(IF(LEFT(Sensitivität_bzw_Monte_Carlo_bei_Strom[[#This Row],[Source.Name]],SEARCH("aus_der",Sensitivität_bzw_Monte_Carlo_bei_Strom[[#This Row],[Source.Name]],1))="Auszahlung_a","Auszahlung",""),"")</f>
        <v/>
      </c>
      <c r="D1237" s="1"/>
    </row>
    <row r="1238" spans="1:4" x14ac:dyDescent="0.3">
      <c r="A1238" s="1"/>
      <c r="B1238" s="1" t="str">
        <f>IFERROR(IF(LEFT(Sensitivität_bzw_Monte_Carlo_bei_Strom[[#This Row],[Source.Name]],SEARCH("aus_der",Sensitivität_bzw_Monte_Carlo_bei_Strom[[#This Row],[Source.Name]],1))="Auszahlung_a","Auszahlung",""),"")</f>
        <v/>
      </c>
      <c r="D1238" s="1"/>
    </row>
    <row r="1239" spans="1:4" x14ac:dyDescent="0.3">
      <c r="A1239" s="1"/>
      <c r="B1239" s="1" t="str">
        <f>IFERROR(IF(LEFT(Sensitivität_bzw_Monte_Carlo_bei_Strom[[#This Row],[Source.Name]],SEARCH("aus_der",Sensitivität_bzw_Monte_Carlo_bei_Strom[[#This Row],[Source.Name]],1))="Auszahlung_a","Auszahlung",""),"")</f>
        <v/>
      </c>
      <c r="D1239" s="1"/>
    </row>
    <row r="1240" spans="1:4" x14ac:dyDescent="0.3">
      <c r="A1240" s="1"/>
      <c r="B1240" s="1" t="str">
        <f>IFERROR(IF(LEFT(Sensitivität_bzw_Monte_Carlo_bei_Strom[[#This Row],[Source.Name]],SEARCH("aus_der",Sensitivität_bzw_Monte_Carlo_bei_Strom[[#This Row],[Source.Name]],1))="Auszahlung_a","Auszahlung",""),"")</f>
        <v/>
      </c>
      <c r="D1240" s="1"/>
    </row>
    <row r="1241" spans="1:4" x14ac:dyDescent="0.3">
      <c r="A1241" s="1"/>
      <c r="B1241" s="1" t="str">
        <f>IFERROR(IF(LEFT(Sensitivität_bzw_Monte_Carlo_bei_Strom[[#This Row],[Source.Name]],SEARCH("aus_der",Sensitivität_bzw_Monte_Carlo_bei_Strom[[#This Row],[Source.Name]],1))="Auszahlung_a","Auszahlung",""),"")</f>
        <v/>
      </c>
      <c r="D1241" s="1"/>
    </row>
    <row r="1242" spans="1:4" x14ac:dyDescent="0.3">
      <c r="A1242" s="1"/>
      <c r="B1242" s="1" t="str">
        <f>IFERROR(IF(LEFT(Sensitivität_bzw_Monte_Carlo_bei_Strom[[#This Row],[Source.Name]],SEARCH("aus_der",Sensitivität_bzw_Monte_Carlo_bei_Strom[[#This Row],[Source.Name]],1))="Auszahlung_a","Auszahlung",""),"")</f>
        <v/>
      </c>
      <c r="D1242" s="1"/>
    </row>
    <row r="1243" spans="1:4" x14ac:dyDescent="0.3">
      <c r="A1243" s="1"/>
      <c r="B1243" s="1" t="str">
        <f>IFERROR(IF(LEFT(Sensitivität_bzw_Monte_Carlo_bei_Strom[[#This Row],[Source.Name]],SEARCH("aus_der",Sensitivität_bzw_Monte_Carlo_bei_Strom[[#This Row],[Source.Name]],1))="Auszahlung_a","Auszahlung",""),"")</f>
        <v/>
      </c>
      <c r="D1243" s="1"/>
    </row>
    <row r="1244" spans="1:4" x14ac:dyDescent="0.3">
      <c r="A1244" s="1"/>
      <c r="B1244" s="1" t="str">
        <f>IFERROR(IF(LEFT(Sensitivität_bzw_Monte_Carlo_bei_Strom[[#This Row],[Source.Name]],SEARCH("aus_der",Sensitivität_bzw_Monte_Carlo_bei_Strom[[#This Row],[Source.Name]],1))="Auszahlung_a","Auszahlung",""),"")</f>
        <v/>
      </c>
      <c r="D1244" s="1"/>
    </row>
    <row r="1245" spans="1:4" x14ac:dyDescent="0.3">
      <c r="A1245" s="1"/>
      <c r="B1245" s="1" t="str">
        <f>IFERROR(IF(LEFT(Sensitivität_bzw_Monte_Carlo_bei_Strom[[#This Row],[Source.Name]],SEARCH("aus_der",Sensitivität_bzw_Monte_Carlo_bei_Strom[[#This Row],[Source.Name]],1))="Auszahlung_a","Auszahlung",""),"")</f>
        <v/>
      </c>
      <c r="D1245" s="1"/>
    </row>
    <row r="1246" spans="1:4" x14ac:dyDescent="0.3">
      <c r="A1246" s="1"/>
      <c r="B1246" s="1" t="str">
        <f>IFERROR(IF(LEFT(Sensitivität_bzw_Monte_Carlo_bei_Strom[[#This Row],[Source.Name]],SEARCH("aus_der",Sensitivität_bzw_Monte_Carlo_bei_Strom[[#This Row],[Source.Name]],1))="Auszahlung_a","Auszahlung",""),"")</f>
        <v/>
      </c>
      <c r="D1246" s="1"/>
    </row>
    <row r="1247" spans="1:4" x14ac:dyDescent="0.3">
      <c r="A1247" s="1"/>
      <c r="B1247" s="1" t="str">
        <f>IFERROR(IF(LEFT(Sensitivität_bzw_Monte_Carlo_bei_Strom[[#This Row],[Source.Name]],SEARCH("aus_der",Sensitivität_bzw_Monte_Carlo_bei_Strom[[#This Row],[Source.Name]],1))="Auszahlung_a","Auszahlung",""),"")</f>
        <v/>
      </c>
      <c r="D1247" s="1"/>
    </row>
    <row r="1248" spans="1:4" x14ac:dyDescent="0.3">
      <c r="A1248" s="1"/>
      <c r="B1248" s="1" t="str">
        <f>IFERROR(IF(LEFT(Sensitivität_bzw_Monte_Carlo_bei_Strom[[#This Row],[Source.Name]],SEARCH("aus_der",Sensitivität_bzw_Monte_Carlo_bei_Strom[[#This Row],[Source.Name]],1))="Auszahlung_a","Auszahlung",""),"")</f>
        <v/>
      </c>
      <c r="D1248" s="1"/>
    </row>
    <row r="1249" spans="1:4" x14ac:dyDescent="0.3">
      <c r="A1249" s="1"/>
      <c r="B1249" s="1" t="str">
        <f>IFERROR(IF(LEFT(Sensitivität_bzw_Monte_Carlo_bei_Strom[[#This Row],[Source.Name]],SEARCH("aus_der",Sensitivität_bzw_Monte_Carlo_bei_Strom[[#This Row],[Source.Name]],1))="Auszahlung_a","Auszahlung",""),"")</f>
        <v/>
      </c>
      <c r="D1249" s="1"/>
    </row>
    <row r="1250" spans="1:4" x14ac:dyDescent="0.3">
      <c r="A1250" s="1"/>
      <c r="B1250" s="1" t="str">
        <f>IFERROR(IF(LEFT(Sensitivität_bzw_Monte_Carlo_bei_Strom[[#This Row],[Source.Name]],SEARCH("aus_der",Sensitivität_bzw_Monte_Carlo_bei_Strom[[#This Row],[Source.Name]],1))="Auszahlung_a","Auszahlung",""),"")</f>
        <v/>
      </c>
      <c r="D1250" s="1"/>
    </row>
    <row r="1251" spans="1:4" x14ac:dyDescent="0.3">
      <c r="A1251" s="1"/>
      <c r="B1251" s="1" t="str">
        <f>IFERROR(IF(LEFT(Sensitivität_bzw_Monte_Carlo_bei_Strom[[#This Row],[Source.Name]],SEARCH("aus_der",Sensitivität_bzw_Monte_Carlo_bei_Strom[[#This Row],[Source.Name]],1))="Auszahlung_a","Auszahlung",""),"")</f>
        <v/>
      </c>
      <c r="D1251" s="1"/>
    </row>
    <row r="1252" spans="1:4" x14ac:dyDescent="0.3">
      <c r="A1252" s="1"/>
      <c r="B1252" s="1" t="str">
        <f>IFERROR(IF(LEFT(Sensitivität_bzw_Monte_Carlo_bei_Strom[[#This Row],[Source.Name]],SEARCH("aus_der",Sensitivität_bzw_Monte_Carlo_bei_Strom[[#This Row],[Source.Name]],1))="Auszahlung_a","Auszahlung",""),"")</f>
        <v/>
      </c>
      <c r="D1252" s="1"/>
    </row>
    <row r="1253" spans="1:4" x14ac:dyDescent="0.3">
      <c r="A1253" s="1"/>
      <c r="B1253" s="1" t="str">
        <f>IFERROR(IF(LEFT(Sensitivität_bzw_Monte_Carlo_bei_Strom[[#This Row],[Source.Name]],SEARCH("aus_der",Sensitivität_bzw_Monte_Carlo_bei_Strom[[#This Row],[Source.Name]],1))="Auszahlung_a","Auszahlung",""),"")</f>
        <v/>
      </c>
      <c r="D1253" s="1"/>
    </row>
    <row r="1254" spans="1:4" x14ac:dyDescent="0.3">
      <c r="A1254" s="1"/>
      <c r="B1254" s="1" t="str">
        <f>IFERROR(IF(LEFT(Sensitivität_bzw_Monte_Carlo_bei_Strom[[#This Row],[Source.Name]],SEARCH("aus_der",Sensitivität_bzw_Monte_Carlo_bei_Strom[[#This Row],[Source.Name]],1))="Auszahlung_a","Auszahlung",""),"")</f>
        <v/>
      </c>
      <c r="D1254" s="1"/>
    </row>
    <row r="1255" spans="1:4" x14ac:dyDescent="0.3">
      <c r="A1255" s="1"/>
      <c r="B1255" s="1" t="str">
        <f>IFERROR(IF(LEFT(Sensitivität_bzw_Monte_Carlo_bei_Strom[[#This Row],[Source.Name]],SEARCH("aus_der",Sensitivität_bzw_Monte_Carlo_bei_Strom[[#This Row],[Source.Name]],1))="Auszahlung_a","Auszahlung",""),"")</f>
        <v/>
      </c>
      <c r="D1255" s="1"/>
    </row>
    <row r="1256" spans="1:4" x14ac:dyDescent="0.3">
      <c r="A1256" s="1"/>
      <c r="B1256" s="1" t="str">
        <f>IFERROR(IF(LEFT(Sensitivität_bzw_Monte_Carlo_bei_Strom[[#This Row],[Source.Name]],SEARCH("aus_der",Sensitivität_bzw_Monte_Carlo_bei_Strom[[#This Row],[Source.Name]],1))="Auszahlung_a","Auszahlung",""),"")</f>
        <v/>
      </c>
      <c r="D1256" s="1"/>
    </row>
    <row r="1257" spans="1:4" x14ac:dyDescent="0.3">
      <c r="A1257" s="1"/>
      <c r="B1257" s="1" t="str">
        <f>IFERROR(IF(LEFT(Sensitivität_bzw_Monte_Carlo_bei_Strom[[#This Row],[Source.Name]],SEARCH("aus_der",Sensitivität_bzw_Monte_Carlo_bei_Strom[[#This Row],[Source.Name]],1))="Auszahlung_a","Auszahlung",""),"")</f>
        <v/>
      </c>
      <c r="D1257" s="1"/>
    </row>
    <row r="1258" spans="1:4" x14ac:dyDescent="0.3">
      <c r="A1258" s="1"/>
      <c r="B1258" s="1" t="str">
        <f>IFERROR(IF(LEFT(Sensitivität_bzw_Monte_Carlo_bei_Strom[[#This Row],[Source.Name]],SEARCH("aus_der",Sensitivität_bzw_Monte_Carlo_bei_Strom[[#This Row],[Source.Name]],1))="Auszahlung_a","Auszahlung",""),"")</f>
        <v/>
      </c>
      <c r="D1258" s="1"/>
    </row>
    <row r="1259" spans="1:4" x14ac:dyDescent="0.3">
      <c r="A1259" s="1"/>
      <c r="B1259" s="1" t="str">
        <f>IFERROR(IF(LEFT(Sensitivität_bzw_Monte_Carlo_bei_Strom[[#This Row],[Source.Name]],SEARCH("aus_der",Sensitivität_bzw_Monte_Carlo_bei_Strom[[#This Row],[Source.Name]],1))="Auszahlung_a","Auszahlung",""),"")</f>
        <v/>
      </c>
      <c r="D1259" s="1"/>
    </row>
    <row r="1260" spans="1:4" x14ac:dyDescent="0.3">
      <c r="A1260" s="1"/>
      <c r="B1260" s="1" t="str">
        <f>IFERROR(IF(LEFT(Sensitivität_bzw_Monte_Carlo_bei_Strom[[#This Row],[Source.Name]],SEARCH("aus_der",Sensitivität_bzw_Monte_Carlo_bei_Strom[[#This Row],[Source.Name]],1))="Auszahlung_a","Auszahlung",""),"")</f>
        <v/>
      </c>
      <c r="D1260" s="1"/>
    </row>
    <row r="1261" spans="1:4" x14ac:dyDescent="0.3">
      <c r="A1261" s="1"/>
      <c r="B1261" s="1" t="str">
        <f>IFERROR(IF(LEFT(Sensitivität_bzw_Monte_Carlo_bei_Strom[[#This Row],[Source.Name]],SEARCH("aus_der",Sensitivität_bzw_Monte_Carlo_bei_Strom[[#This Row],[Source.Name]],1))="Auszahlung_a","Auszahlung",""),"")</f>
        <v/>
      </c>
      <c r="D1261" s="1"/>
    </row>
    <row r="1262" spans="1:4" x14ac:dyDescent="0.3">
      <c r="A1262" s="1"/>
      <c r="B1262" s="1" t="str">
        <f>IFERROR(IF(LEFT(Sensitivität_bzw_Monte_Carlo_bei_Strom[[#This Row],[Source.Name]],SEARCH("aus_der",Sensitivität_bzw_Monte_Carlo_bei_Strom[[#This Row],[Source.Name]],1))="Auszahlung_a","Auszahlung",""),"")</f>
        <v/>
      </c>
      <c r="D1262" s="1"/>
    </row>
    <row r="1263" spans="1:4" x14ac:dyDescent="0.3">
      <c r="A1263" s="1"/>
      <c r="B1263" s="1" t="str">
        <f>IFERROR(IF(LEFT(Sensitivität_bzw_Monte_Carlo_bei_Strom[[#This Row],[Source.Name]],SEARCH("aus_der",Sensitivität_bzw_Monte_Carlo_bei_Strom[[#This Row],[Source.Name]],1))="Auszahlung_a","Auszahlung",""),"")</f>
        <v/>
      </c>
      <c r="D1263" s="1"/>
    </row>
    <row r="1264" spans="1:4" x14ac:dyDescent="0.3">
      <c r="A1264" s="1"/>
      <c r="B1264" s="1" t="str">
        <f>IFERROR(IF(LEFT(Sensitivität_bzw_Monte_Carlo_bei_Strom[[#This Row],[Source.Name]],SEARCH("aus_der",Sensitivität_bzw_Monte_Carlo_bei_Strom[[#This Row],[Source.Name]],1))="Auszahlung_a","Auszahlung",""),"")</f>
        <v/>
      </c>
      <c r="D1264" s="1"/>
    </row>
    <row r="1265" spans="1:4" x14ac:dyDescent="0.3">
      <c r="A1265" s="1"/>
      <c r="B1265" s="1" t="str">
        <f>IFERROR(IF(LEFT(Sensitivität_bzw_Monte_Carlo_bei_Strom[[#This Row],[Source.Name]],SEARCH("aus_der",Sensitivität_bzw_Monte_Carlo_bei_Strom[[#This Row],[Source.Name]],1))="Auszahlung_a","Auszahlung",""),"")</f>
        <v/>
      </c>
      <c r="D1265" s="1"/>
    </row>
    <row r="1266" spans="1:4" x14ac:dyDescent="0.3">
      <c r="A1266" s="1"/>
      <c r="B1266" s="1" t="str">
        <f>IFERROR(IF(LEFT(Sensitivität_bzw_Monte_Carlo_bei_Strom[[#This Row],[Source.Name]],SEARCH("aus_der",Sensitivität_bzw_Monte_Carlo_bei_Strom[[#This Row],[Source.Name]],1))="Auszahlung_a","Auszahlung",""),"")</f>
        <v/>
      </c>
      <c r="D1266" s="1"/>
    </row>
    <row r="1267" spans="1:4" x14ac:dyDescent="0.3">
      <c r="A1267" s="1"/>
      <c r="B1267" s="1" t="str">
        <f>IFERROR(IF(LEFT(Sensitivität_bzw_Monte_Carlo_bei_Strom[[#This Row],[Source.Name]],SEARCH("aus_der",Sensitivität_bzw_Monte_Carlo_bei_Strom[[#This Row],[Source.Name]],1))="Auszahlung_a","Auszahlung",""),"")</f>
        <v/>
      </c>
      <c r="D1267" s="1"/>
    </row>
    <row r="1268" spans="1:4" x14ac:dyDescent="0.3">
      <c r="A1268" s="1"/>
      <c r="B1268" s="1" t="str">
        <f>IFERROR(IF(LEFT(Sensitivität_bzw_Monte_Carlo_bei_Strom[[#This Row],[Source.Name]],SEARCH("aus_der",Sensitivität_bzw_Monte_Carlo_bei_Strom[[#This Row],[Source.Name]],1))="Auszahlung_a","Auszahlung",""),"")</f>
        <v/>
      </c>
      <c r="D1268" s="1"/>
    </row>
    <row r="1269" spans="1:4" x14ac:dyDescent="0.3">
      <c r="A1269" s="1"/>
      <c r="B1269" s="1" t="str">
        <f>IFERROR(IF(LEFT(Sensitivität_bzw_Monte_Carlo_bei_Strom[[#This Row],[Source.Name]],SEARCH("aus_der",Sensitivität_bzw_Monte_Carlo_bei_Strom[[#This Row],[Source.Name]],1))="Auszahlung_a","Auszahlung",""),"")</f>
        <v/>
      </c>
      <c r="D1269" s="1"/>
    </row>
    <row r="1270" spans="1:4" x14ac:dyDescent="0.3">
      <c r="A1270" s="1"/>
      <c r="B1270" s="1" t="str">
        <f>IFERROR(IF(LEFT(Sensitivität_bzw_Monte_Carlo_bei_Strom[[#This Row],[Source.Name]],SEARCH("aus_der",Sensitivität_bzw_Monte_Carlo_bei_Strom[[#This Row],[Source.Name]],1))="Auszahlung_a","Auszahlung",""),"")</f>
        <v/>
      </c>
      <c r="D1270" s="1"/>
    </row>
    <row r="1271" spans="1:4" x14ac:dyDescent="0.3">
      <c r="A1271" s="1"/>
      <c r="B1271" s="1" t="str">
        <f>IFERROR(IF(LEFT(Sensitivität_bzw_Monte_Carlo_bei_Strom[[#This Row],[Source.Name]],SEARCH("aus_der",Sensitivität_bzw_Monte_Carlo_bei_Strom[[#This Row],[Source.Name]],1))="Auszahlung_a","Auszahlung",""),"")</f>
        <v/>
      </c>
      <c r="D1271" s="1"/>
    </row>
    <row r="1272" spans="1:4" x14ac:dyDescent="0.3">
      <c r="A1272" s="1"/>
      <c r="B1272" s="1" t="str">
        <f>IFERROR(IF(LEFT(Sensitivität_bzw_Monte_Carlo_bei_Strom[[#This Row],[Source.Name]],SEARCH("aus_der",Sensitivität_bzw_Monte_Carlo_bei_Strom[[#This Row],[Source.Name]],1))="Auszahlung_a","Auszahlung",""),"")</f>
        <v/>
      </c>
      <c r="D1272" s="1"/>
    </row>
    <row r="1273" spans="1:4" x14ac:dyDescent="0.3">
      <c r="A1273" s="1"/>
      <c r="B1273" s="1" t="str">
        <f>IFERROR(IF(LEFT(Sensitivität_bzw_Monte_Carlo_bei_Strom[[#This Row],[Source.Name]],SEARCH("aus_der",Sensitivität_bzw_Monte_Carlo_bei_Strom[[#This Row],[Source.Name]],1))="Auszahlung_a","Auszahlung",""),"")</f>
        <v/>
      </c>
      <c r="D1273" s="1"/>
    </row>
    <row r="1274" spans="1:4" x14ac:dyDescent="0.3">
      <c r="A1274" s="1"/>
      <c r="B1274" s="1" t="str">
        <f>IFERROR(IF(LEFT(Sensitivität_bzw_Monte_Carlo_bei_Strom[[#This Row],[Source.Name]],SEARCH("aus_der",Sensitivität_bzw_Monte_Carlo_bei_Strom[[#This Row],[Source.Name]],1))="Auszahlung_a","Auszahlung",""),"")</f>
        <v/>
      </c>
      <c r="D1274" s="1"/>
    </row>
    <row r="1275" spans="1:4" x14ac:dyDescent="0.3">
      <c r="A1275" s="1"/>
      <c r="B1275" s="1" t="str">
        <f>IFERROR(IF(LEFT(Sensitivität_bzw_Monte_Carlo_bei_Strom[[#This Row],[Source.Name]],SEARCH("aus_der",Sensitivität_bzw_Monte_Carlo_bei_Strom[[#This Row],[Source.Name]],1))="Auszahlung_a","Auszahlung",""),"")</f>
        <v/>
      </c>
      <c r="D1275" s="1"/>
    </row>
    <row r="1276" spans="1:4" x14ac:dyDescent="0.3">
      <c r="A1276" s="1"/>
      <c r="B1276" s="1" t="str">
        <f>IFERROR(IF(LEFT(Sensitivität_bzw_Monte_Carlo_bei_Strom[[#This Row],[Source.Name]],SEARCH("aus_der",Sensitivität_bzw_Monte_Carlo_bei_Strom[[#This Row],[Source.Name]],1))="Auszahlung_a","Auszahlung",""),"")</f>
        <v/>
      </c>
      <c r="D1276" s="1"/>
    </row>
    <row r="1277" spans="1:4" x14ac:dyDescent="0.3">
      <c r="A1277" s="1"/>
      <c r="B1277" s="1" t="str">
        <f>IFERROR(IF(LEFT(Sensitivität_bzw_Monte_Carlo_bei_Strom[[#This Row],[Source.Name]],SEARCH("aus_der",Sensitivität_bzw_Monte_Carlo_bei_Strom[[#This Row],[Source.Name]],1))="Auszahlung_a","Auszahlung",""),"")</f>
        <v/>
      </c>
      <c r="D1277" s="1"/>
    </row>
    <row r="1278" spans="1:4" x14ac:dyDescent="0.3">
      <c r="A1278" s="1"/>
      <c r="B1278" s="1" t="str">
        <f>IFERROR(IF(LEFT(Sensitivität_bzw_Monte_Carlo_bei_Strom[[#This Row],[Source.Name]],SEARCH("aus_der",Sensitivität_bzw_Monte_Carlo_bei_Strom[[#This Row],[Source.Name]],1))="Auszahlung_a","Auszahlung",""),"")</f>
        <v/>
      </c>
      <c r="D1278" s="1"/>
    </row>
    <row r="1279" spans="1:4" x14ac:dyDescent="0.3">
      <c r="A1279" s="1"/>
      <c r="B1279" s="1" t="str">
        <f>IFERROR(IF(LEFT(Sensitivität_bzw_Monte_Carlo_bei_Strom[[#This Row],[Source.Name]],SEARCH("aus_der",Sensitivität_bzw_Monte_Carlo_bei_Strom[[#This Row],[Source.Name]],1))="Auszahlung_a","Auszahlung",""),"")</f>
        <v/>
      </c>
      <c r="D1279" s="1"/>
    </row>
    <row r="1280" spans="1:4" x14ac:dyDescent="0.3">
      <c r="A1280" s="1"/>
      <c r="B1280" s="1" t="str">
        <f>IFERROR(IF(LEFT(Sensitivität_bzw_Monte_Carlo_bei_Strom[[#This Row],[Source.Name]],SEARCH("aus_der",Sensitivität_bzw_Monte_Carlo_bei_Strom[[#This Row],[Source.Name]],1))="Auszahlung_a","Auszahlung",""),"")</f>
        <v/>
      </c>
      <c r="D1280" s="1"/>
    </row>
    <row r="1281" spans="1:4" x14ac:dyDescent="0.3">
      <c r="A1281" s="1"/>
      <c r="B1281" s="1" t="str">
        <f>IFERROR(IF(LEFT(Sensitivität_bzw_Monte_Carlo_bei_Strom[[#This Row],[Source.Name]],SEARCH("aus_der",Sensitivität_bzw_Monte_Carlo_bei_Strom[[#This Row],[Source.Name]],1))="Auszahlung_a","Auszahlung",""),"")</f>
        <v/>
      </c>
      <c r="D1281" s="1"/>
    </row>
    <row r="1282" spans="1:4" x14ac:dyDescent="0.3">
      <c r="A1282" s="1"/>
      <c r="B1282" s="1" t="str">
        <f>IFERROR(IF(LEFT(Sensitivität_bzw_Monte_Carlo_bei_Strom[[#This Row],[Source.Name]],SEARCH("aus_der",Sensitivität_bzw_Monte_Carlo_bei_Strom[[#This Row],[Source.Name]],1))="Auszahlung_a","Auszahlung",""),"")</f>
        <v/>
      </c>
      <c r="D1282" s="1"/>
    </row>
    <row r="1283" spans="1:4" x14ac:dyDescent="0.3">
      <c r="A1283" s="1"/>
      <c r="B1283" s="1" t="str">
        <f>IFERROR(IF(LEFT(Sensitivität_bzw_Monte_Carlo_bei_Strom[[#This Row],[Source.Name]],SEARCH("aus_der",Sensitivität_bzw_Monte_Carlo_bei_Strom[[#This Row],[Source.Name]],1))="Auszahlung_a","Auszahlung",""),"")</f>
        <v/>
      </c>
      <c r="D1283" s="1"/>
    </row>
    <row r="1284" spans="1:4" x14ac:dyDescent="0.3">
      <c r="A1284" s="1"/>
      <c r="B1284" s="1" t="str">
        <f>IFERROR(IF(LEFT(Sensitivität_bzw_Monte_Carlo_bei_Strom[[#This Row],[Source.Name]],SEARCH("aus_der",Sensitivität_bzw_Monte_Carlo_bei_Strom[[#This Row],[Source.Name]],1))="Auszahlung_a","Auszahlung",""),"")</f>
        <v/>
      </c>
      <c r="D1284" s="1"/>
    </row>
    <row r="1285" spans="1:4" x14ac:dyDescent="0.3">
      <c r="A1285" s="1"/>
      <c r="B1285" s="1" t="str">
        <f>IFERROR(IF(LEFT(Sensitivität_bzw_Monte_Carlo_bei_Strom[[#This Row],[Source.Name]],SEARCH("aus_der",Sensitivität_bzw_Monte_Carlo_bei_Strom[[#This Row],[Source.Name]],1))="Auszahlung_a","Auszahlung",""),"")</f>
        <v/>
      </c>
      <c r="D1285" s="1"/>
    </row>
    <row r="1286" spans="1:4" x14ac:dyDescent="0.3">
      <c r="A1286" s="1"/>
      <c r="B1286" s="1" t="str">
        <f>IFERROR(IF(LEFT(Sensitivität_bzw_Monte_Carlo_bei_Strom[[#This Row],[Source.Name]],SEARCH("aus_der",Sensitivität_bzw_Monte_Carlo_bei_Strom[[#This Row],[Source.Name]],1))="Auszahlung_a","Auszahlung",""),"")</f>
        <v/>
      </c>
      <c r="D1286" s="1"/>
    </row>
    <row r="1287" spans="1:4" x14ac:dyDescent="0.3">
      <c r="A1287" s="1"/>
      <c r="B1287" s="1" t="str">
        <f>IFERROR(IF(LEFT(Sensitivität_bzw_Monte_Carlo_bei_Strom[[#This Row],[Source.Name]],SEARCH("aus_der",Sensitivität_bzw_Monte_Carlo_bei_Strom[[#This Row],[Source.Name]],1))="Auszahlung_a","Auszahlung",""),"")</f>
        <v/>
      </c>
      <c r="D1287" s="1"/>
    </row>
    <row r="1288" spans="1:4" x14ac:dyDescent="0.3">
      <c r="A1288" s="1"/>
      <c r="B1288" s="1" t="str">
        <f>IFERROR(IF(LEFT(Sensitivität_bzw_Monte_Carlo_bei_Strom[[#This Row],[Source.Name]],SEARCH("aus_der",Sensitivität_bzw_Monte_Carlo_bei_Strom[[#This Row],[Source.Name]],1))="Auszahlung_a","Auszahlung",""),"")</f>
        <v/>
      </c>
      <c r="D1288" s="1"/>
    </row>
    <row r="1289" spans="1:4" x14ac:dyDescent="0.3">
      <c r="A1289" s="1"/>
      <c r="B1289" s="1" t="str">
        <f>IFERROR(IF(LEFT(Sensitivität_bzw_Monte_Carlo_bei_Strom[[#This Row],[Source.Name]],SEARCH("aus_der",Sensitivität_bzw_Monte_Carlo_bei_Strom[[#This Row],[Source.Name]],1))="Auszahlung_a","Auszahlung",""),"")</f>
        <v/>
      </c>
      <c r="D1289" s="1"/>
    </row>
    <row r="1290" spans="1:4" x14ac:dyDescent="0.3">
      <c r="A1290" s="1"/>
      <c r="B1290" s="1" t="str">
        <f>IFERROR(IF(LEFT(Sensitivität_bzw_Monte_Carlo_bei_Strom[[#This Row],[Source.Name]],SEARCH("aus_der",Sensitivität_bzw_Monte_Carlo_bei_Strom[[#This Row],[Source.Name]],1))="Auszahlung_a","Auszahlung",""),"")</f>
        <v/>
      </c>
      <c r="D1290" s="1"/>
    </row>
    <row r="1291" spans="1:4" x14ac:dyDescent="0.3">
      <c r="A1291" s="1"/>
      <c r="B1291" s="1" t="str">
        <f>IFERROR(IF(LEFT(Sensitivität_bzw_Monte_Carlo_bei_Strom[[#This Row],[Source.Name]],SEARCH("aus_der",Sensitivität_bzw_Monte_Carlo_bei_Strom[[#This Row],[Source.Name]],1))="Auszahlung_a","Auszahlung",""),"")</f>
        <v/>
      </c>
      <c r="D1291" s="1"/>
    </row>
    <row r="1292" spans="1:4" x14ac:dyDescent="0.3">
      <c r="A1292" s="1"/>
      <c r="B1292" s="1" t="str">
        <f>IFERROR(IF(LEFT(Sensitivität_bzw_Monte_Carlo_bei_Strom[[#This Row],[Source.Name]],SEARCH("aus_der",Sensitivität_bzw_Monte_Carlo_bei_Strom[[#This Row],[Source.Name]],1))="Auszahlung_a","Auszahlung",""),"")</f>
        <v/>
      </c>
      <c r="D1292" s="1"/>
    </row>
    <row r="1293" spans="1:4" x14ac:dyDescent="0.3">
      <c r="A1293" s="1"/>
      <c r="B1293" s="1" t="str">
        <f>IFERROR(IF(LEFT(Sensitivität_bzw_Monte_Carlo_bei_Strom[[#This Row],[Source.Name]],SEARCH("aus_der",Sensitivität_bzw_Monte_Carlo_bei_Strom[[#This Row],[Source.Name]],1))="Auszahlung_a","Auszahlung",""),"")</f>
        <v/>
      </c>
      <c r="D1293" s="1"/>
    </row>
    <row r="1294" spans="1:4" x14ac:dyDescent="0.3">
      <c r="A1294" s="1"/>
      <c r="B1294" s="1" t="str">
        <f>IFERROR(IF(LEFT(Sensitivität_bzw_Monte_Carlo_bei_Strom[[#This Row],[Source.Name]],SEARCH("aus_der",Sensitivität_bzw_Monte_Carlo_bei_Strom[[#This Row],[Source.Name]],1))="Auszahlung_a","Auszahlung",""),"")</f>
        <v/>
      </c>
      <c r="D1294" s="1"/>
    </row>
    <row r="1295" spans="1:4" x14ac:dyDescent="0.3">
      <c r="A1295" s="1"/>
      <c r="B1295" s="1" t="str">
        <f>IFERROR(IF(LEFT(Sensitivität_bzw_Monte_Carlo_bei_Strom[[#This Row],[Source.Name]],SEARCH("aus_der",Sensitivität_bzw_Monte_Carlo_bei_Strom[[#This Row],[Source.Name]],1))="Auszahlung_a","Auszahlung",""),"")</f>
        <v/>
      </c>
      <c r="D1295" s="1"/>
    </row>
    <row r="1296" spans="1:4" x14ac:dyDescent="0.3">
      <c r="A1296" s="1"/>
      <c r="B1296" s="1" t="str">
        <f>IFERROR(IF(LEFT(Sensitivität_bzw_Monte_Carlo_bei_Strom[[#This Row],[Source.Name]],SEARCH("aus_der",Sensitivität_bzw_Monte_Carlo_bei_Strom[[#This Row],[Source.Name]],1))="Auszahlung_a","Auszahlung",""),"")</f>
        <v/>
      </c>
      <c r="D1296" s="1"/>
    </row>
    <row r="1297" spans="1:4" x14ac:dyDescent="0.3">
      <c r="A1297" s="1"/>
      <c r="B1297" s="1" t="str">
        <f>IFERROR(IF(LEFT(Sensitivität_bzw_Monte_Carlo_bei_Strom[[#This Row],[Source.Name]],SEARCH("aus_der",Sensitivität_bzw_Monte_Carlo_bei_Strom[[#This Row],[Source.Name]],1))="Auszahlung_a","Auszahlung",""),"")</f>
        <v/>
      </c>
      <c r="D1297" s="1"/>
    </row>
    <row r="1298" spans="1:4" x14ac:dyDescent="0.3">
      <c r="A1298" s="1"/>
      <c r="B1298" s="1" t="str">
        <f>IFERROR(IF(LEFT(Sensitivität_bzw_Monte_Carlo_bei_Strom[[#This Row],[Source.Name]],SEARCH("aus_der",Sensitivität_bzw_Monte_Carlo_bei_Strom[[#This Row],[Source.Name]],1))="Auszahlung_a","Auszahlung",""),"")</f>
        <v/>
      </c>
      <c r="D1298" s="1"/>
    </row>
    <row r="1299" spans="1:4" x14ac:dyDescent="0.3">
      <c r="A1299" s="1"/>
      <c r="B1299" s="1" t="str">
        <f>IFERROR(IF(LEFT(Sensitivität_bzw_Monte_Carlo_bei_Strom[[#This Row],[Source.Name]],SEARCH("aus_der",Sensitivität_bzw_Monte_Carlo_bei_Strom[[#This Row],[Source.Name]],1))="Auszahlung_a","Auszahlung",""),"")</f>
        <v/>
      </c>
      <c r="D1299" s="1"/>
    </row>
    <row r="1300" spans="1:4" x14ac:dyDescent="0.3">
      <c r="A1300" s="1"/>
      <c r="B1300" s="1" t="str">
        <f>IFERROR(IF(LEFT(Sensitivität_bzw_Monte_Carlo_bei_Strom[[#This Row],[Source.Name]],SEARCH("aus_der",Sensitivität_bzw_Monte_Carlo_bei_Strom[[#This Row],[Source.Name]],1))="Auszahlung_a","Auszahlung",""),"")</f>
        <v/>
      </c>
      <c r="D1300" s="1"/>
    </row>
    <row r="1301" spans="1:4" x14ac:dyDescent="0.3">
      <c r="A1301" s="1"/>
      <c r="B1301" s="1" t="str">
        <f>IFERROR(IF(LEFT(Sensitivität_bzw_Monte_Carlo_bei_Strom[[#This Row],[Source.Name]],SEARCH("aus_der",Sensitivität_bzw_Monte_Carlo_bei_Strom[[#This Row],[Source.Name]],1))="Auszahlung_a","Auszahlung",""),"")</f>
        <v/>
      </c>
      <c r="D1301" s="1"/>
    </row>
    <row r="1302" spans="1:4" x14ac:dyDescent="0.3">
      <c r="A1302" s="1"/>
      <c r="B1302" s="1" t="str">
        <f>IFERROR(IF(LEFT(Sensitivität_bzw_Monte_Carlo_bei_Strom[[#This Row],[Source.Name]],SEARCH("aus_der",Sensitivität_bzw_Monte_Carlo_bei_Strom[[#This Row],[Source.Name]],1))="Auszahlung_a","Auszahlung",""),"")</f>
        <v/>
      </c>
      <c r="D1302" s="1"/>
    </row>
    <row r="1303" spans="1:4" x14ac:dyDescent="0.3">
      <c r="A1303" s="1"/>
      <c r="B1303" s="1" t="str">
        <f>IFERROR(IF(LEFT(Sensitivität_bzw_Monte_Carlo_bei_Strom[[#This Row],[Source.Name]],SEARCH("aus_der",Sensitivität_bzw_Monte_Carlo_bei_Strom[[#This Row],[Source.Name]],1))="Auszahlung_a","Auszahlung",""),"")</f>
        <v/>
      </c>
      <c r="D1303" s="1"/>
    </row>
    <row r="1304" spans="1:4" x14ac:dyDescent="0.3">
      <c r="A1304" s="1"/>
      <c r="B1304" s="1" t="str">
        <f>IFERROR(IF(LEFT(Sensitivität_bzw_Monte_Carlo_bei_Strom[[#This Row],[Source.Name]],SEARCH("aus_der",Sensitivität_bzw_Monte_Carlo_bei_Strom[[#This Row],[Source.Name]],1))="Auszahlung_a","Auszahlung",""),"")</f>
        <v/>
      </c>
      <c r="D1304" s="1"/>
    </row>
    <row r="1305" spans="1:4" x14ac:dyDescent="0.3">
      <c r="A1305" s="1"/>
      <c r="B1305" s="1" t="str">
        <f>IFERROR(IF(LEFT(Sensitivität_bzw_Monte_Carlo_bei_Strom[[#This Row],[Source.Name]],SEARCH("aus_der",Sensitivität_bzw_Monte_Carlo_bei_Strom[[#This Row],[Source.Name]],1))="Auszahlung_a","Auszahlung",""),"")</f>
        <v/>
      </c>
      <c r="D1305" s="1"/>
    </row>
    <row r="1306" spans="1:4" x14ac:dyDescent="0.3">
      <c r="A1306" s="1"/>
      <c r="B1306" s="1" t="str">
        <f>IFERROR(IF(LEFT(Sensitivität_bzw_Monte_Carlo_bei_Strom[[#This Row],[Source.Name]],SEARCH("aus_der",Sensitivität_bzw_Monte_Carlo_bei_Strom[[#This Row],[Source.Name]],1))="Auszahlung_a","Auszahlung",""),"")</f>
        <v/>
      </c>
      <c r="D1306" s="1"/>
    </row>
    <row r="1307" spans="1:4" x14ac:dyDescent="0.3">
      <c r="A1307" s="1"/>
      <c r="B1307" s="1" t="str">
        <f>IFERROR(IF(LEFT(Sensitivität_bzw_Monte_Carlo_bei_Strom[[#This Row],[Source.Name]],SEARCH("aus_der",Sensitivität_bzw_Monte_Carlo_bei_Strom[[#This Row],[Source.Name]],1))="Auszahlung_a","Auszahlung",""),"")</f>
        <v/>
      </c>
      <c r="D1307" s="1"/>
    </row>
    <row r="1308" spans="1:4" x14ac:dyDescent="0.3">
      <c r="A1308" s="1"/>
      <c r="B1308" s="1" t="str">
        <f>IFERROR(IF(LEFT(Sensitivität_bzw_Monte_Carlo_bei_Strom[[#This Row],[Source.Name]],SEARCH("aus_der",Sensitivität_bzw_Monte_Carlo_bei_Strom[[#This Row],[Source.Name]],1))="Auszahlung_a","Auszahlung",""),"")</f>
        <v/>
      </c>
      <c r="D1308" s="1"/>
    </row>
    <row r="1309" spans="1:4" x14ac:dyDescent="0.3">
      <c r="A1309" s="1"/>
      <c r="B1309" s="1" t="str">
        <f>IFERROR(IF(LEFT(Sensitivität_bzw_Monte_Carlo_bei_Strom[[#This Row],[Source.Name]],SEARCH("aus_der",Sensitivität_bzw_Monte_Carlo_bei_Strom[[#This Row],[Source.Name]],1))="Auszahlung_a","Auszahlung",""),"")</f>
        <v/>
      </c>
      <c r="D1309" s="1"/>
    </row>
    <row r="1310" spans="1:4" x14ac:dyDescent="0.3">
      <c r="A1310" s="1"/>
      <c r="B1310" s="1" t="str">
        <f>IFERROR(IF(LEFT(Sensitivität_bzw_Monte_Carlo_bei_Strom[[#This Row],[Source.Name]],SEARCH("aus_der",Sensitivität_bzw_Monte_Carlo_bei_Strom[[#This Row],[Source.Name]],1))="Auszahlung_a","Auszahlung",""),"")</f>
        <v/>
      </c>
      <c r="D1310" s="1"/>
    </row>
    <row r="1311" spans="1:4" x14ac:dyDescent="0.3">
      <c r="A1311" s="1"/>
      <c r="B1311" s="1" t="str">
        <f>IFERROR(IF(LEFT(Sensitivität_bzw_Monte_Carlo_bei_Strom[[#This Row],[Source.Name]],SEARCH("aus_der",Sensitivität_bzw_Monte_Carlo_bei_Strom[[#This Row],[Source.Name]],1))="Auszahlung_a","Auszahlung",""),"")</f>
        <v/>
      </c>
      <c r="D1311" s="1"/>
    </row>
    <row r="1312" spans="1:4" x14ac:dyDescent="0.3">
      <c r="A1312" s="1"/>
      <c r="B1312" s="1" t="str">
        <f>IFERROR(IF(LEFT(Sensitivität_bzw_Monte_Carlo_bei_Strom[[#This Row],[Source.Name]],SEARCH("aus_der",Sensitivität_bzw_Monte_Carlo_bei_Strom[[#This Row],[Source.Name]],1))="Auszahlung_a","Auszahlung",""),"")</f>
        <v/>
      </c>
      <c r="D1312" s="1"/>
    </row>
    <row r="1313" spans="1:4" x14ac:dyDescent="0.3">
      <c r="A1313" s="1"/>
      <c r="B1313" s="1" t="str">
        <f>IFERROR(IF(LEFT(Sensitivität_bzw_Monte_Carlo_bei_Strom[[#This Row],[Source.Name]],SEARCH("aus_der",Sensitivität_bzw_Monte_Carlo_bei_Strom[[#This Row],[Source.Name]],1))="Auszahlung_a","Auszahlung",""),"")</f>
        <v/>
      </c>
      <c r="D1313" s="1"/>
    </row>
    <row r="1314" spans="1:4" x14ac:dyDescent="0.3">
      <c r="A1314" s="1"/>
      <c r="B1314" s="1" t="str">
        <f>IFERROR(IF(LEFT(Sensitivität_bzw_Monte_Carlo_bei_Strom[[#This Row],[Source.Name]],SEARCH("aus_der",Sensitivität_bzw_Monte_Carlo_bei_Strom[[#This Row],[Source.Name]],1))="Auszahlung_a","Auszahlung",""),"")</f>
        <v/>
      </c>
      <c r="D1314" s="1"/>
    </row>
    <row r="1315" spans="1:4" x14ac:dyDescent="0.3">
      <c r="A1315" s="1"/>
      <c r="B1315" s="1" t="str">
        <f>IFERROR(IF(LEFT(Sensitivität_bzw_Monte_Carlo_bei_Strom[[#This Row],[Source.Name]],SEARCH("aus_der",Sensitivität_bzw_Monte_Carlo_bei_Strom[[#This Row],[Source.Name]],1))="Auszahlung_a","Auszahlung",""),"")</f>
        <v/>
      </c>
      <c r="D1315" s="1"/>
    </row>
    <row r="1316" spans="1:4" x14ac:dyDescent="0.3">
      <c r="A1316" s="1"/>
      <c r="B1316" s="1" t="str">
        <f>IFERROR(IF(LEFT(Sensitivität_bzw_Monte_Carlo_bei_Strom[[#This Row],[Source.Name]],SEARCH("aus_der",Sensitivität_bzw_Monte_Carlo_bei_Strom[[#This Row],[Source.Name]],1))="Auszahlung_a","Auszahlung",""),"")</f>
        <v/>
      </c>
      <c r="D1316" s="1"/>
    </row>
    <row r="1317" spans="1:4" x14ac:dyDescent="0.3">
      <c r="A1317" s="1"/>
      <c r="B1317" s="1" t="str">
        <f>IFERROR(IF(LEFT(Sensitivität_bzw_Monte_Carlo_bei_Strom[[#This Row],[Source.Name]],SEARCH("aus_der",Sensitivität_bzw_Monte_Carlo_bei_Strom[[#This Row],[Source.Name]],1))="Auszahlung_a","Auszahlung",""),"")</f>
        <v/>
      </c>
      <c r="D1317" s="1"/>
    </row>
    <row r="1318" spans="1:4" x14ac:dyDescent="0.3">
      <c r="A1318" s="1"/>
      <c r="B1318" s="1" t="str">
        <f>IFERROR(IF(LEFT(Sensitivität_bzw_Monte_Carlo_bei_Strom[[#This Row],[Source.Name]],SEARCH("aus_der",Sensitivität_bzw_Monte_Carlo_bei_Strom[[#This Row],[Source.Name]],1))="Auszahlung_a","Auszahlung",""),"")</f>
        <v/>
      </c>
      <c r="D1318" s="1"/>
    </row>
    <row r="1319" spans="1:4" x14ac:dyDescent="0.3">
      <c r="A1319" s="1"/>
      <c r="B1319" s="1" t="str">
        <f>IFERROR(IF(LEFT(Sensitivität_bzw_Monte_Carlo_bei_Strom[[#This Row],[Source.Name]],SEARCH("aus_der",Sensitivität_bzw_Monte_Carlo_bei_Strom[[#This Row],[Source.Name]],1))="Auszahlung_a","Auszahlung",""),"")</f>
        <v/>
      </c>
      <c r="D1319" s="1"/>
    </row>
    <row r="1320" spans="1:4" x14ac:dyDescent="0.3">
      <c r="A1320" s="1"/>
      <c r="B1320" s="1" t="str">
        <f>IFERROR(IF(LEFT(Sensitivität_bzw_Monte_Carlo_bei_Strom[[#This Row],[Source.Name]],SEARCH("aus_der",Sensitivität_bzw_Monte_Carlo_bei_Strom[[#This Row],[Source.Name]],1))="Auszahlung_a","Auszahlung",""),"")</f>
        <v/>
      </c>
      <c r="D1320" s="1"/>
    </row>
    <row r="1321" spans="1:4" x14ac:dyDescent="0.3">
      <c r="A1321" s="1"/>
      <c r="B1321" s="1" t="str">
        <f>IFERROR(IF(LEFT(Sensitivität_bzw_Monte_Carlo_bei_Strom[[#This Row],[Source.Name]],SEARCH("aus_der",Sensitivität_bzw_Monte_Carlo_bei_Strom[[#This Row],[Source.Name]],1))="Auszahlung_a","Auszahlung",""),"")</f>
        <v/>
      </c>
      <c r="D1321" s="1"/>
    </row>
    <row r="1322" spans="1:4" x14ac:dyDescent="0.3">
      <c r="A1322" s="1"/>
      <c r="B1322" s="1" t="str">
        <f>IFERROR(IF(LEFT(Sensitivität_bzw_Monte_Carlo_bei_Strom[[#This Row],[Source.Name]],SEARCH("aus_der",Sensitivität_bzw_Monte_Carlo_bei_Strom[[#This Row],[Source.Name]],1))="Auszahlung_a","Auszahlung",""),"")</f>
        <v/>
      </c>
      <c r="D1322" s="1"/>
    </row>
    <row r="1323" spans="1:4" x14ac:dyDescent="0.3">
      <c r="A1323" s="1"/>
      <c r="B1323" s="1" t="str">
        <f>IFERROR(IF(LEFT(Sensitivität_bzw_Monte_Carlo_bei_Strom[[#This Row],[Source.Name]],SEARCH("aus_der",Sensitivität_bzw_Monte_Carlo_bei_Strom[[#This Row],[Source.Name]],1))="Auszahlung_a","Auszahlung",""),"")</f>
        <v/>
      </c>
      <c r="D1323" s="1"/>
    </row>
    <row r="1324" spans="1:4" x14ac:dyDescent="0.3">
      <c r="A1324" s="1"/>
      <c r="B1324" s="1" t="str">
        <f>IFERROR(IF(LEFT(Sensitivität_bzw_Monte_Carlo_bei_Strom[[#This Row],[Source.Name]],SEARCH("aus_der",Sensitivität_bzw_Monte_Carlo_bei_Strom[[#This Row],[Source.Name]],1))="Auszahlung_a","Auszahlung",""),"")</f>
        <v/>
      </c>
      <c r="D1324" s="1"/>
    </row>
    <row r="1325" spans="1:4" x14ac:dyDescent="0.3">
      <c r="A1325" s="1"/>
      <c r="B1325" s="1" t="str">
        <f>IFERROR(IF(LEFT(Sensitivität_bzw_Monte_Carlo_bei_Strom[[#This Row],[Source.Name]],SEARCH("aus_der",Sensitivität_bzw_Monte_Carlo_bei_Strom[[#This Row],[Source.Name]],1))="Auszahlung_a","Auszahlung",""),"")</f>
        <v/>
      </c>
      <c r="D1325" s="1"/>
    </row>
    <row r="1326" spans="1:4" x14ac:dyDescent="0.3">
      <c r="A1326" s="1"/>
      <c r="B1326" s="1" t="str">
        <f>IFERROR(IF(LEFT(Sensitivität_bzw_Monte_Carlo_bei_Strom[[#This Row],[Source.Name]],SEARCH("aus_der",Sensitivität_bzw_Monte_Carlo_bei_Strom[[#This Row],[Source.Name]],1))="Auszahlung_a","Auszahlung",""),"")</f>
        <v/>
      </c>
      <c r="D1326" s="1"/>
    </row>
    <row r="1327" spans="1:4" x14ac:dyDescent="0.3">
      <c r="A1327" s="1"/>
      <c r="B1327" s="1" t="str">
        <f>IFERROR(IF(LEFT(Sensitivität_bzw_Monte_Carlo_bei_Strom[[#This Row],[Source.Name]],SEARCH("aus_der",Sensitivität_bzw_Monte_Carlo_bei_Strom[[#This Row],[Source.Name]],1))="Auszahlung_a","Auszahlung",""),"")</f>
        <v/>
      </c>
      <c r="D1327" s="1"/>
    </row>
    <row r="1328" spans="1:4" x14ac:dyDescent="0.3">
      <c r="A1328" s="1"/>
      <c r="B1328" s="1" t="str">
        <f>IFERROR(IF(LEFT(Sensitivität_bzw_Monte_Carlo_bei_Strom[[#This Row],[Source.Name]],SEARCH("aus_der",Sensitivität_bzw_Monte_Carlo_bei_Strom[[#This Row],[Source.Name]],1))="Auszahlung_a","Auszahlung",""),"")</f>
        <v/>
      </c>
      <c r="D1328" s="1"/>
    </row>
    <row r="1329" spans="1:4" x14ac:dyDescent="0.3">
      <c r="A1329" s="1"/>
      <c r="B1329" s="1" t="str">
        <f>IFERROR(IF(LEFT(Sensitivität_bzw_Monte_Carlo_bei_Strom[[#This Row],[Source.Name]],SEARCH("aus_der",Sensitivität_bzw_Monte_Carlo_bei_Strom[[#This Row],[Source.Name]],1))="Auszahlung_a","Auszahlung",""),"")</f>
        <v/>
      </c>
      <c r="D1329" s="1"/>
    </row>
    <row r="1330" spans="1:4" x14ac:dyDescent="0.3">
      <c r="A1330" s="1"/>
      <c r="B1330" s="1" t="str">
        <f>IFERROR(IF(LEFT(Sensitivität_bzw_Monte_Carlo_bei_Strom[[#This Row],[Source.Name]],SEARCH("aus_der",Sensitivität_bzw_Monte_Carlo_bei_Strom[[#This Row],[Source.Name]],1))="Auszahlung_a","Auszahlung",""),"")</f>
        <v/>
      </c>
      <c r="D1330" s="1"/>
    </row>
    <row r="1331" spans="1:4" x14ac:dyDescent="0.3">
      <c r="A1331" s="1"/>
      <c r="B1331" s="1" t="str">
        <f>IFERROR(IF(LEFT(Sensitivität_bzw_Monte_Carlo_bei_Strom[[#This Row],[Source.Name]],SEARCH("aus_der",Sensitivität_bzw_Monte_Carlo_bei_Strom[[#This Row],[Source.Name]],1))="Auszahlung_a","Auszahlung",""),"")</f>
        <v/>
      </c>
      <c r="D1331" s="1"/>
    </row>
    <row r="1332" spans="1:4" x14ac:dyDescent="0.3">
      <c r="A1332" s="1"/>
      <c r="B1332" s="1" t="str">
        <f>IFERROR(IF(LEFT(Sensitivität_bzw_Monte_Carlo_bei_Strom[[#This Row],[Source.Name]],SEARCH("aus_der",Sensitivität_bzw_Monte_Carlo_bei_Strom[[#This Row],[Source.Name]],1))="Auszahlung_a","Auszahlung",""),"")</f>
        <v/>
      </c>
      <c r="D1332" s="1"/>
    </row>
    <row r="1333" spans="1:4" x14ac:dyDescent="0.3">
      <c r="A1333" s="1"/>
      <c r="B1333" s="1" t="str">
        <f>IFERROR(IF(LEFT(Sensitivität_bzw_Monte_Carlo_bei_Strom[[#This Row],[Source.Name]],SEARCH("aus_der",Sensitivität_bzw_Monte_Carlo_bei_Strom[[#This Row],[Source.Name]],1))="Auszahlung_a","Auszahlung",""),"")</f>
        <v/>
      </c>
      <c r="D1333" s="1"/>
    </row>
    <row r="1334" spans="1:4" x14ac:dyDescent="0.3">
      <c r="A1334" s="1"/>
      <c r="B1334" s="1" t="str">
        <f>IFERROR(IF(LEFT(Sensitivität_bzw_Monte_Carlo_bei_Strom[[#This Row],[Source.Name]],SEARCH("aus_der",Sensitivität_bzw_Monte_Carlo_bei_Strom[[#This Row],[Source.Name]],1))="Auszahlung_a","Auszahlung",""),"")</f>
        <v/>
      </c>
      <c r="D1334" s="1"/>
    </row>
    <row r="1335" spans="1:4" x14ac:dyDescent="0.3">
      <c r="A1335" s="1"/>
      <c r="B1335" s="1" t="str">
        <f>IFERROR(IF(LEFT(Sensitivität_bzw_Monte_Carlo_bei_Strom[[#This Row],[Source.Name]],SEARCH("aus_der",Sensitivität_bzw_Monte_Carlo_bei_Strom[[#This Row],[Source.Name]],1))="Auszahlung_a","Auszahlung",""),"")</f>
        <v/>
      </c>
      <c r="D1335" s="1"/>
    </row>
    <row r="1336" spans="1:4" x14ac:dyDescent="0.3">
      <c r="A1336" s="1"/>
      <c r="B1336" s="1" t="str">
        <f>IFERROR(IF(LEFT(Sensitivität_bzw_Monte_Carlo_bei_Strom[[#This Row],[Source.Name]],SEARCH("aus_der",Sensitivität_bzw_Monte_Carlo_bei_Strom[[#This Row],[Source.Name]],1))="Auszahlung_a","Auszahlung",""),"")</f>
        <v/>
      </c>
      <c r="D1336" s="1"/>
    </row>
    <row r="1337" spans="1:4" x14ac:dyDescent="0.3">
      <c r="A1337" s="1"/>
      <c r="B1337" s="1" t="str">
        <f>IFERROR(IF(LEFT(Sensitivität_bzw_Monte_Carlo_bei_Strom[[#This Row],[Source.Name]],SEARCH("aus_der",Sensitivität_bzw_Monte_Carlo_bei_Strom[[#This Row],[Source.Name]],1))="Auszahlung_a","Auszahlung",""),"")</f>
        <v/>
      </c>
      <c r="D1337" s="1"/>
    </row>
    <row r="1338" spans="1:4" x14ac:dyDescent="0.3">
      <c r="A1338" s="1"/>
      <c r="B1338" s="1" t="str">
        <f>IFERROR(IF(LEFT(Sensitivität_bzw_Monte_Carlo_bei_Strom[[#This Row],[Source.Name]],SEARCH("aus_der",Sensitivität_bzw_Monte_Carlo_bei_Strom[[#This Row],[Source.Name]],1))="Auszahlung_a","Auszahlung",""),"")</f>
        <v/>
      </c>
      <c r="D1338" s="1"/>
    </row>
    <row r="1339" spans="1:4" x14ac:dyDescent="0.3">
      <c r="A1339" s="1"/>
      <c r="B1339" s="1" t="str">
        <f>IFERROR(IF(LEFT(Sensitivität_bzw_Monte_Carlo_bei_Strom[[#This Row],[Source.Name]],SEARCH("aus_der",Sensitivität_bzw_Monte_Carlo_bei_Strom[[#This Row],[Source.Name]],1))="Auszahlung_a","Auszahlung",""),"")</f>
        <v/>
      </c>
      <c r="D1339" s="1"/>
    </row>
    <row r="1340" spans="1:4" x14ac:dyDescent="0.3">
      <c r="A1340" s="1"/>
      <c r="B1340" s="1" t="str">
        <f>IFERROR(IF(LEFT(Sensitivität_bzw_Monte_Carlo_bei_Strom[[#This Row],[Source.Name]],SEARCH("aus_der",Sensitivität_bzw_Monte_Carlo_bei_Strom[[#This Row],[Source.Name]],1))="Auszahlung_a","Auszahlung",""),"")</f>
        <v/>
      </c>
      <c r="D1340" s="1"/>
    </row>
    <row r="1341" spans="1:4" x14ac:dyDescent="0.3">
      <c r="A1341" s="1"/>
      <c r="B1341" s="1" t="str">
        <f>IFERROR(IF(LEFT(Sensitivität_bzw_Monte_Carlo_bei_Strom[[#This Row],[Source.Name]],SEARCH("aus_der",Sensitivität_bzw_Monte_Carlo_bei_Strom[[#This Row],[Source.Name]],1))="Auszahlung_a","Auszahlung",""),"")</f>
        <v/>
      </c>
      <c r="D1341" s="1"/>
    </row>
    <row r="1342" spans="1:4" x14ac:dyDescent="0.3">
      <c r="A1342" s="1"/>
      <c r="B1342" s="1" t="str">
        <f>IFERROR(IF(LEFT(Sensitivität_bzw_Monte_Carlo_bei_Strom[[#This Row],[Source.Name]],SEARCH("aus_der",Sensitivität_bzw_Monte_Carlo_bei_Strom[[#This Row],[Source.Name]],1))="Auszahlung_a","Auszahlung",""),"")</f>
        <v/>
      </c>
      <c r="D1342" s="1"/>
    </row>
    <row r="1343" spans="1:4" x14ac:dyDescent="0.3">
      <c r="A1343" s="1"/>
      <c r="B1343" s="1" t="str">
        <f>IFERROR(IF(LEFT(Sensitivität_bzw_Monte_Carlo_bei_Strom[[#This Row],[Source.Name]],SEARCH("aus_der",Sensitivität_bzw_Monte_Carlo_bei_Strom[[#This Row],[Source.Name]],1))="Auszahlung_a","Auszahlung",""),"")</f>
        <v/>
      </c>
      <c r="D1343" s="1"/>
    </row>
    <row r="1344" spans="1:4" x14ac:dyDescent="0.3">
      <c r="A1344" s="1"/>
      <c r="B1344" s="1" t="str">
        <f>IFERROR(IF(LEFT(Sensitivität_bzw_Monte_Carlo_bei_Strom[[#This Row],[Source.Name]],SEARCH("aus_der",Sensitivität_bzw_Monte_Carlo_bei_Strom[[#This Row],[Source.Name]],1))="Auszahlung_a","Auszahlung",""),"")</f>
        <v/>
      </c>
      <c r="D1344" s="1"/>
    </row>
    <row r="1345" spans="1:4" x14ac:dyDescent="0.3">
      <c r="A1345" s="1"/>
      <c r="B1345" s="1" t="str">
        <f>IFERROR(IF(LEFT(Sensitivität_bzw_Monte_Carlo_bei_Strom[[#This Row],[Source.Name]],SEARCH("aus_der",Sensitivität_bzw_Monte_Carlo_bei_Strom[[#This Row],[Source.Name]],1))="Auszahlung_a","Auszahlung",""),"")</f>
        <v/>
      </c>
      <c r="D1345" s="1"/>
    </row>
    <row r="1346" spans="1:4" x14ac:dyDescent="0.3">
      <c r="A1346" s="1"/>
      <c r="B1346" s="1" t="str">
        <f>IFERROR(IF(LEFT(Sensitivität_bzw_Monte_Carlo_bei_Strom[[#This Row],[Source.Name]],SEARCH("aus_der",Sensitivität_bzw_Monte_Carlo_bei_Strom[[#This Row],[Source.Name]],1))="Auszahlung_a","Auszahlung",""),"")</f>
        <v/>
      </c>
      <c r="D1346" s="1"/>
    </row>
    <row r="1347" spans="1:4" x14ac:dyDescent="0.3">
      <c r="A1347" s="1"/>
      <c r="B1347" s="1" t="str">
        <f>IFERROR(IF(LEFT(Sensitivität_bzw_Monte_Carlo_bei_Strom[[#This Row],[Source.Name]],SEARCH("aus_der",Sensitivität_bzw_Monte_Carlo_bei_Strom[[#This Row],[Source.Name]],1))="Auszahlung_a","Auszahlung",""),"")</f>
        <v/>
      </c>
      <c r="D1347" s="1"/>
    </row>
    <row r="1348" spans="1:4" x14ac:dyDescent="0.3">
      <c r="A1348" s="1"/>
      <c r="B1348" s="1" t="str">
        <f>IFERROR(IF(LEFT(Sensitivität_bzw_Monte_Carlo_bei_Strom[[#This Row],[Source.Name]],SEARCH("aus_der",Sensitivität_bzw_Monte_Carlo_bei_Strom[[#This Row],[Source.Name]],1))="Auszahlung_a","Auszahlung",""),"")</f>
        <v/>
      </c>
      <c r="D1348" s="1"/>
    </row>
    <row r="1349" spans="1:4" x14ac:dyDescent="0.3">
      <c r="A1349" s="1"/>
      <c r="B1349" s="1" t="str">
        <f>IFERROR(IF(LEFT(Sensitivität_bzw_Monte_Carlo_bei_Strom[[#This Row],[Source.Name]],SEARCH("aus_der",Sensitivität_bzw_Monte_Carlo_bei_Strom[[#This Row],[Source.Name]],1))="Auszahlung_a","Auszahlung",""),"")</f>
        <v/>
      </c>
      <c r="D1349" s="1"/>
    </row>
    <row r="1350" spans="1:4" x14ac:dyDescent="0.3">
      <c r="A1350" s="1"/>
      <c r="B1350" s="1" t="str">
        <f>IFERROR(IF(LEFT(Sensitivität_bzw_Monte_Carlo_bei_Strom[[#This Row],[Source.Name]],SEARCH("aus_der",Sensitivität_bzw_Monte_Carlo_bei_Strom[[#This Row],[Source.Name]],1))="Auszahlung_a","Auszahlung",""),"")</f>
        <v/>
      </c>
      <c r="D1350" s="1"/>
    </row>
    <row r="1351" spans="1:4" x14ac:dyDescent="0.3">
      <c r="A1351" s="1"/>
      <c r="B1351" s="1" t="str">
        <f>IFERROR(IF(LEFT(Sensitivität_bzw_Monte_Carlo_bei_Strom[[#This Row],[Source.Name]],SEARCH("aus_der",Sensitivität_bzw_Monte_Carlo_bei_Strom[[#This Row],[Source.Name]],1))="Auszahlung_a","Auszahlung",""),"")</f>
        <v/>
      </c>
      <c r="D1351" s="1"/>
    </row>
    <row r="1352" spans="1:4" x14ac:dyDescent="0.3">
      <c r="A1352" s="1"/>
      <c r="B1352" s="1" t="str">
        <f>IFERROR(IF(LEFT(Sensitivität_bzw_Monte_Carlo_bei_Strom[[#This Row],[Source.Name]],SEARCH("aus_der",Sensitivität_bzw_Monte_Carlo_bei_Strom[[#This Row],[Source.Name]],1))="Auszahlung_a","Auszahlung",""),"")</f>
        <v/>
      </c>
      <c r="D1352" s="1"/>
    </row>
    <row r="1353" spans="1:4" x14ac:dyDescent="0.3">
      <c r="A1353" s="1"/>
      <c r="B1353" s="1" t="str">
        <f>IFERROR(IF(LEFT(Sensitivität_bzw_Monte_Carlo_bei_Strom[[#This Row],[Source.Name]],SEARCH("aus_der",Sensitivität_bzw_Monte_Carlo_bei_Strom[[#This Row],[Source.Name]],1))="Auszahlung_a","Auszahlung",""),"")</f>
        <v/>
      </c>
      <c r="D1353" s="1"/>
    </row>
    <row r="1354" spans="1:4" x14ac:dyDescent="0.3">
      <c r="A1354" s="1"/>
      <c r="B1354" s="1" t="str">
        <f>IFERROR(IF(LEFT(Sensitivität_bzw_Monte_Carlo_bei_Strom[[#This Row],[Source.Name]],SEARCH("aus_der",Sensitivität_bzw_Monte_Carlo_bei_Strom[[#This Row],[Source.Name]],1))="Auszahlung_a","Auszahlung",""),"")</f>
        <v/>
      </c>
      <c r="D1354" s="1"/>
    </row>
    <row r="1355" spans="1:4" x14ac:dyDescent="0.3">
      <c r="A1355" s="1"/>
      <c r="B1355" s="1" t="str">
        <f>IFERROR(IF(LEFT(Sensitivität_bzw_Monte_Carlo_bei_Strom[[#This Row],[Source.Name]],SEARCH("aus_der",Sensitivität_bzw_Monte_Carlo_bei_Strom[[#This Row],[Source.Name]],1))="Auszahlung_a","Auszahlung",""),"")</f>
        <v/>
      </c>
      <c r="D1355" s="1"/>
    </row>
    <row r="1356" spans="1:4" x14ac:dyDescent="0.3">
      <c r="A1356" s="1"/>
      <c r="B1356" s="1" t="str">
        <f>IFERROR(IF(LEFT(Sensitivität_bzw_Monte_Carlo_bei_Strom[[#This Row],[Source.Name]],SEARCH("aus_der",Sensitivität_bzw_Monte_Carlo_bei_Strom[[#This Row],[Source.Name]],1))="Auszahlung_a","Auszahlung",""),"")</f>
        <v/>
      </c>
      <c r="D1356" s="1"/>
    </row>
    <row r="1357" spans="1:4" x14ac:dyDescent="0.3">
      <c r="A1357" s="1"/>
      <c r="B1357" s="1" t="str">
        <f>IFERROR(IF(LEFT(Sensitivität_bzw_Monte_Carlo_bei_Strom[[#This Row],[Source.Name]],SEARCH("aus_der",Sensitivität_bzw_Monte_Carlo_bei_Strom[[#This Row],[Source.Name]],1))="Auszahlung_a","Auszahlung",""),"")</f>
        <v/>
      </c>
      <c r="D1357" s="1"/>
    </row>
    <row r="1358" spans="1:4" x14ac:dyDescent="0.3">
      <c r="A1358" s="1"/>
      <c r="B1358" s="1" t="str">
        <f>IFERROR(IF(LEFT(Sensitivität_bzw_Monte_Carlo_bei_Strom[[#This Row],[Source.Name]],SEARCH("aus_der",Sensitivität_bzw_Monte_Carlo_bei_Strom[[#This Row],[Source.Name]],1))="Auszahlung_a","Auszahlung",""),"")</f>
        <v/>
      </c>
      <c r="D1358" s="1"/>
    </row>
    <row r="1359" spans="1:4" x14ac:dyDescent="0.3">
      <c r="A1359" s="1"/>
      <c r="B1359" s="1" t="str">
        <f>IFERROR(IF(LEFT(Sensitivität_bzw_Monte_Carlo_bei_Strom[[#This Row],[Source.Name]],SEARCH("aus_der",Sensitivität_bzw_Monte_Carlo_bei_Strom[[#This Row],[Source.Name]],1))="Auszahlung_a","Auszahlung",""),"")</f>
        <v/>
      </c>
      <c r="D1359" s="1"/>
    </row>
    <row r="1360" spans="1:4" x14ac:dyDescent="0.3">
      <c r="A1360" s="1"/>
      <c r="B1360" s="1" t="str">
        <f>IFERROR(IF(LEFT(Sensitivität_bzw_Monte_Carlo_bei_Strom[[#This Row],[Source.Name]],SEARCH("aus_der",Sensitivität_bzw_Monte_Carlo_bei_Strom[[#This Row],[Source.Name]],1))="Auszahlung_a","Auszahlung",""),"")</f>
        <v/>
      </c>
      <c r="D1360" s="1"/>
    </row>
    <row r="1361" spans="1:4" x14ac:dyDescent="0.3">
      <c r="A1361" s="1"/>
      <c r="B1361" s="1" t="str">
        <f>IFERROR(IF(LEFT(Sensitivität_bzw_Monte_Carlo_bei_Strom[[#This Row],[Source.Name]],SEARCH("aus_der",Sensitivität_bzw_Monte_Carlo_bei_Strom[[#This Row],[Source.Name]],1))="Auszahlung_a","Auszahlung",""),"")</f>
        <v/>
      </c>
      <c r="D1361" s="1"/>
    </row>
    <row r="1362" spans="1:4" x14ac:dyDescent="0.3">
      <c r="A1362" s="1"/>
      <c r="B1362" s="1" t="str">
        <f>IFERROR(IF(LEFT(Sensitivität_bzw_Monte_Carlo_bei_Strom[[#This Row],[Source.Name]],SEARCH("aus_der",Sensitivität_bzw_Monte_Carlo_bei_Strom[[#This Row],[Source.Name]],1))="Auszahlung_a","Auszahlung",""),"")</f>
        <v/>
      </c>
      <c r="D1362" s="1"/>
    </row>
    <row r="1363" spans="1:4" x14ac:dyDescent="0.3">
      <c r="A1363" s="1"/>
      <c r="B1363" s="1" t="str">
        <f>IFERROR(IF(LEFT(Sensitivität_bzw_Monte_Carlo_bei_Strom[[#This Row],[Source.Name]],SEARCH("aus_der",Sensitivität_bzw_Monte_Carlo_bei_Strom[[#This Row],[Source.Name]],1))="Auszahlung_a","Auszahlung",""),"")</f>
        <v/>
      </c>
      <c r="D1363" s="1"/>
    </row>
    <row r="1364" spans="1:4" x14ac:dyDescent="0.3">
      <c r="A1364" s="1"/>
      <c r="B1364" s="1" t="str">
        <f>IFERROR(IF(LEFT(Sensitivität_bzw_Monte_Carlo_bei_Strom[[#This Row],[Source.Name]],SEARCH("aus_der",Sensitivität_bzw_Monte_Carlo_bei_Strom[[#This Row],[Source.Name]],1))="Auszahlung_a","Auszahlung",""),"")</f>
        <v/>
      </c>
      <c r="D1364" s="1"/>
    </row>
    <row r="1365" spans="1:4" x14ac:dyDescent="0.3">
      <c r="A1365" s="1"/>
      <c r="B1365" s="1" t="str">
        <f>IFERROR(IF(LEFT(Sensitivität_bzw_Monte_Carlo_bei_Strom[[#This Row],[Source.Name]],SEARCH("aus_der",Sensitivität_bzw_Monte_Carlo_bei_Strom[[#This Row],[Source.Name]],1))="Auszahlung_a","Auszahlung",""),"")</f>
        <v/>
      </c>
      <c r="D1365" s="1"/>
    </row>
    <row r="1366" spans="1:4" x14ac:dyDescent="0.3">
      <c r="A1366" s="1"/>
      <c r="B1366" s="1" t="str">
        <f>IFERROR(IF(LEFT(Sensitivität_bzw_Monte_Carlo_bei_Strom[[#This Row],[Source.Name]],SEARCH("aus_der",Sensitivität_bzw_Monte_Carlo_bei_Strom[[#This Row],[Source.Name]],1))="Auszahlung_a","Auszahlung",""),"")</f>
        <v/>
      </c>
      <c r="D1366" s="1"/>
    </row>
    <row r="1367" spans="1:4" x14ac:dyDescent="0.3">
      <c r="A1367" s="1"/>
      <c r="B1367" s="1" t="str">
        <f>IFERROR(IF(LEFT(Sensitivität_bzw_Monte_Carlo_bei_Strom[[#This Row],[Source.Name]],SEARCH("aus_der",Sensitivität_bzw_Monte_Carlo_bei_Strom[[#This Row],[Source.Name]],1))="Auszahlung_a","Auszahlung",""),"")</f>
        <v/>
      </c>
      <c r="D1367" s="1"/>
    </row>
    <row r="1368" spans="1:4" x14ac:dyDescent="0.3">
      <c r="A1368" s="1"/>
      <c r="B1368" s="1" t="str">
        <f>IFERROR(IF(LEFT(Sensitivität_bzw_Monte_Carlo_bei_Strom[[#This Row],[Source.Name]],SEARCH("aus_der",Sensitivität_bzw_Monte_Carlo_bei_Strom[[#This Row],[Source.Name]],1))="Auszahlung_a","Auszahlung",""),"")</f>
        <v/>
      </c>
      <c r="D1368" s="1"/>
    </row>
    <row r="1369" spans="1:4" x14ac:dyDescent="0.3">
      <c r="A1369" s="1"/>
      <c r="B1369" s="1" t="str">
        <f>IFERROR(IF(LEFT(Sensitivität_bzw_Monte_Carlo_bei_Strom[[#This Row],[Source.Name]],SEARCH("aus_der",Sensitivität_bzw_Monte_Carlo_bei_Strom[[#This Row],[Source.Name]],1))="Auszahlung_a","Auszahlung",""),"")</f>
        <v/>
      </c>
      <c r="D1369" s="1"/>
    </row>
    <row r="1370" spans="1:4" x14ac:dyDescent="0.3">
      <c r="A1370" s="1"/>
      <c r="B1370" s="1" t="str">
        <f>IFERROR(IF(LEFT(Sensitivität_bzw_Monte_Carlo_bei_Strom[[#This Row],[Source.Name]],SEARCH("aus_der",Sensitivität_bzw_Monte_Carlo_bei_Strom[[#This Row],[Source.Name]],1))="Auszahlung_a","Auszahlung",""),"")</f>
        <v/>
      </c>
      <c r="D1370" s="1"/>
    </row>
    <row r="1371" spans="1:4" x14ac:dyDescent="0.3">
      <c r="A1371" s="1"/>
      <c r="B1371" s="1" t="str">
        <f>IFERROR(IF(LEFT(Sensitivität_bzw_Monte_Carlo_bei_Strom[[#This Row],[Source.Name]],SEARCH("aus_der",Sensitivität_bzw_Monte_Carlo_bei_Strom[[#This Row],[Source.Name]],1))="Auszahlung_a","Auszahlung",""),"")</f>
        <v/>
      </c>
      <c r="D1371" s="1"/>
    </row>
    <row r="1372" spans="1:4" x14ac:dyDescent="0.3">
      <c r="A1372" s="1"/>
      <c r="B1372" s="1" t="str">
        <f>IFERROR(IF(LEFT(Sensitivität_bzw_Monte_Carlo_bei_Strom[[#This Row],[Source.Name]],SEARCH("aus_der",Sensitivität_bzw_Monte_Carlo_bei_Strom[[#This Row],[Source.Name]],1))="Auszahlung_a","Auszahlung",""),"")</f>
        <v/>
      </c>
      <c r="D1372" s="1"/>
    </row>
    <row r="1373" spans="1:4" x14ac:dyDescent="0.3">
      <c r="A1373" s="1"/>
      <c r="B1373" s="1" t="str">
        <f>IFERROR(IF(LEFT(Sensitivität_bzw_Monte_Carlo_bei_Strom[[#This Row],[Source.Name]],SEARCH("aus_der",Sensitivität_bzw_Monte_Carlo_bei_Strom[[#This Row],[Source.Name]],1))="Auszahlung_a","Auszahlung",""),"")</f>
        <v/>
      </c>
      <c r="D1373" s="1"/>
    </row>
    <row r="1374" spans="1:4" x14ac:dyDescent="0.3">
      <c r="A1374" s="1"/>
      <c r="B1374" s="1" t="str">
        <f>IFERROR(IF(LEFT(Sensitivität_bzw_Monte_Carlo_bei_Strom[[#This Row],[Source.Name]],SEARCH("aus_der",Sensitivität_bzw_Monte_Carlo_bei_Strom[[#This Row],[Source.Name]],1))="Auszahlung_a","Auszahlung",""),"")</f>
        <v/>
      </c>
      <c r="D1374" s="1"/>
    </row>
    <row r="1375" spans="1:4" x14ac:dyDescent="0.3">
      <c r="A1375" s="1"/>
      <c r="B1375" s="1" t="str">
        <f>IFERROR(IF(LEFT(Sensitivität_bzw_Monte_Carlo_bei_Strom[[#This Row],[Source.Name]],SEARCH("aus_der",Sensitivität_bzw_Monte_Carlo_bei_Strom[[#This Row],[Source.Name]],1))="Auszahlung_a","Auszahlung",""),"")</f>
        <v/>
      </c>
      <c r="D1375" s="1"/>
    </row>
    <row r="1376" spans="1:4" x14ac:dyDescent="0.3">
      <c r="A1376" s="1"/>
      <c r="B1376" s="1" t="str">
        <f>IFERROR(IF(LEFT(Sensitivität_bzw_Monte_Carlo_bei_Strom[[#This Row],[Source.Name]],SEARCH("aus_der",Sensitivität_bzw_Monte_Carlo_bei_Strom[[#This Row],[Source.Name]],1))="Auszahlung_a","Auszahlung",""),"")</f>
        <v/>
      </c>
      <c r="D1376" s="1"/>
    </row>
    <row r="1377" spans="1:4" x14ac:dyDescent="0.3">
      <c r="A1377" s="1"/>
      <c r="B1377" s="1" t="str">
        <f>IFERROR(IF(LEFT(Sensitivität_bzw_Monte_Carlo_bei_Strom[[#This Row],[Source.Name]],SEARCH("aus_der",Sensitivität_bzw_Monte_Carlo_bei_Strom[[#This Row],[Source.Name]],1))="Auszahlung_a","Auszahlung",""),"")</f>
        <v/>
      </c>
      <c r="D1377" s="1"/>
    </row>
    <row r="1378" spans="1:4" x14ac:dyDescent="0.3">
      <c r="A1378" s="1"/>
      <c r="B1378" s="1" t="str">
        <f>IFERROR(IF(LEFT(Sensitivität_bzw_Monte_Carlo_bei_Strom[[#This Row],[Source.Name]],SEARCH("aus_der",Sensitivität_bzw_Monte_Carlo_bei_Strom[[#This Row],[Source.Name]],1))="Auszahlung_a","Auszahlung",""),"")</f>
        <v/>
      </c>
      <c r="D1378" s="1"/>
    </row>
    <row r="1379" spans="1:4" x14ac:dyDescent="0.3">
      <c r="A1379" s="1"/>
      <c r="B1379" s="1" t="str">
        <f>IFERROR(IF(LEFT(Sensitivität_bzw_Monte_Carlo_bei_Strom[[#This Row],[Source.Name]],SEARCH("aus_der",Sensitivität_bzw_Monte_Carlo_bei_Strom[[#This Row],[Source.Name]],1))="Auszahlung_a","Auszahlung",""),"")</f>
        <v/>
      </c>
      <c r="D1379" s="1"/>
    </row>
    <row r="1380" spans="1:4" x14ac:dyDescent="0.3">
      <c r="A1380" s="1"/>
      <c r="B1380" s="1" t="str">
        <f>IFERROR(IF(LEFT(Sensitivität_bzw_Monte_Carlo_bei_Strom[[#This Row],[Source.Name]],SEARCH("aus_der",Sensitivität_bzw_Monte_Carlo_bei_Strom[[#This Row],[Source.Name]],1))="Auszahlung_a","Auszahlung",""),"")</f>
        <v/>
      </c>
      <c r="D1380" s="1"/>
    </row>
    <row r="1381" spans="1:4" x14ac:dyDescent="0.3">
      <c r="A1381" s="1"/>
      <c r="B1381" s="1" t="str">
        <f>IFERROR(IF(LEFT(Sensitivität_bzw_Monte_Carlo_bei_Strom[[#This Row],[Source.Name]],SEARCH("aus_der",Sensitivität_bzw_Monte_Carlo_bei_Strom[[#This Row],[Source.Name]],1))="Auszahlung_a","Auszahlung",""),"")</f>
        <v/>
      </c>
      <c r="D1381" s="1"/>
    </row>
    <row r="1382" spans="1:4" x14ac:dyDescent="0.3">
      <c r="A1382" s="1"/>
      <c r="B1382" s="1" t="str">
        <f>IFERROR(IF(LEFT(Sensitivität_bzw_Monte_Carlo_bei_Strom[[#This Row],[Source.Name]],SEARCH("aus_der",Sensitivität_bzw_Monte_Carlo_bei_Strom[[#This Row],[Source.Name]],1))="Auszahlung_a","Auszahlung",""),"")</f>
        <v/>
      </c>
      <c r="D1382" s="1"/>
    </row>
    <row r="1383" spans="1:4" x14ac:dyDescent="0.3">
      <c r="A1383" s="1"/>
      <c r="B1383" s="1" t="str">
        <f>IFERROR(IF(LEFT(Sensitivität_bzw_Monte_Carlo_bei_Strom[[#This Row],[Source.Name]],SEARCH("aus_der",Sensitivität_bzw_Monte_Carlo_bei_Strom[[#This Row],[Source.Name]],1))="Auszahlung_a","Auszahlung",""),"")</f>
        <v/>
      </c>
      <c r="D1383" s="1"/>
    </row>
    <row r="1384" spans="1:4" x14ac:dyDescent="0.3">
      <c r="A1384" s="1"/>
      <c r="B1384" s="1" t="str">
        <f>IFERROR(IF(LEFT(Sensitivität_bzw_Monte_Carlo_bei_Strom[[#This Row],[Source.Name]],SEARCH("aus_der",Sensitivität_bzw_Monte_Carlo_bei_Strom[[#This Row],[Source.Name]],1))="Auszahlung_a","Auszahlung",""),"")</f>
        <v/>
      </c>
      <c r="D1384" s="1"/>
    </row>
    <row r="1385" spans="1:4" x14ac:dyDescent="0.3">
      <c r="A1385" s="1"/>
      <c r="B1385" s="1" t="str">
        <f>IFERROR(IF(LEFT(Sensitivität_bzw_Monte_Carlo_bei_Strom[[#This Row],[Source.Name]],SEARCH("aus_der",Sensitivität_bzw_Monte_Carlo_bei_Strom[[#This Row],[Source.Name]],1))="Auszahlung_a","Auszahlung",""),"")</f>
        <v/>
      </c>
      <c r="D1385" s="1"/>
    </row>
    <row r="1386" spans="1:4" x14ac:dyDescent="0.3">
      <c r="A1386" s="1"/>
      <c r="B1386" s="1" t="str">
        <f>IFERROR(IF(LEFT(Sensitivität_bzw_Monte_Carlo_bei_Strom[[#This Row],[Source.Name]],SEARCH("aus_der",Sensitivität_bzw_Monte_Carlo_bei_Strom[[#This Row],[Source.Name]],1))="Auszahlung_a","Auszahlung",""),"")</f>
        <v/>
      </c>
      <c r="D1386" s="1"/>
    </row>
    <row r="1387" spans="1:4" x14ac:dyDescent="0.3">
      <c r="A1387" s="1"/>
      <c r="B1387" s="1" t="str">
        <f>IFERROR(IF(LEFT(Sensitivität_bzw_Monte_Carlo_bei_Strom[[#This Row],[Source.Name]],SEARCH("aus_der",Sensitivität_bzw_Monte_Carlo_bei_Strom[[#This Row],[Source.Name]],1))="Auszahlung_a","Auszahlung",""),"")</f>
        <v/>
      </c>
      <c r="D1387" s="1"/>
    </row>
    <row r="1388" spans="1:4" x14ac:dyDescent="0.3">
      <c r="A1388" s="1"/>
      <c r="B1388" s="1" t="str">
        <f>IFERROR(IF(LEFT(Sensitivität_bzw_Monte_Carlo_bei_Strom[[#This Row],[Source.Name]],SEARCH("aus_der",Sensitivität_bzw_Monte_Carlo_bei_Strom[[#This Row],[Source.Name]],1))="Auszahlung_a","Auszahlung",""),"")</f>
        <v/>
      </c>
      <c r="D1388" s="1"/>
    </row>
    <row r="1389" spans="1:4" x14ac:dyDescent="0.3">
      <c r="A1389" s="1"/>
      <c r="B1389" s="1" t="str">
        <f>IFERROR(IF(LEFT(Sensitivität_bzw_Monte_Carlo_bei_Strom[[#This Row],[Source.Name]],SEARCH("aus_der",Sensitivität_bzw_Monte_Carlo_bei_Strom[[#This Row],[Source.Name]],1))="Auszahlung_a","Auszahlung",""),"")</f>
        <v/>
      </c>
      <c r="D1389" s="1"/>
    </row>
    <row r="1390" spans="1:4" x14ac:dyDescent="0.3">
      <c r="A1390" s="1"/>
      <c r="B1390" s="1" t="str">
        <f>IFERROR(IF(LEFT(Sensitivität_bzw_Monte_Carlo_bei_Strom[[#This Row],[Source.Name]],SEARCH("aus_der",Sensitivität_bzw_Monte_Carlo_bei_Strom[[#This Row],[Source.Name]],1))="Auszahlung_a","Auszahlung",""),"")</f>
        <v/>
      </c>
      <c r="D1390" s="1"/>
    </row>
    <row r="1391" spans="1:4" x14ac:dyDescent="0.3">
      <c r="A1391" s="1"/>
      <c r="B1391" s="1" t="str">
        <f>IFERROR(IF(LEFT(Sensitivität_bzw_Monte_Carlo_bei_Strom[[#This Row],[Source.Name]],SEARCH("aus_der",Sensitivität_bzw_Monte_Carlo_bei_Strom[[#This Row],[Source.Name]],1))="Auszahlung_a","Auszahlung",""),"")</f>
        <v/>
      </c>
      <c r="D1391" s="1"/>
    </row>
    <row r="1392" spans="1:4" x14ac:dyDescent="0.3">
      <c r="A1392" s="1"/>
      <c r="B1392" s="1" t="str">
        <f>IFERROR(IF(LEFT(Sensitivität_bzw_Monte_Carlo_bei_Strom[[#This Row],[Source.Name]],SEARCH("aus_der",Sensitivität_bzw_Monte_Carlo_bei_Strom[[#This Row],[Source.Name]],1))="Auszahlung_a","Auszahlung",""),"")</f>
        <v/>
      </c>
      <c r="D1392" s="1"/>
    </row>
    <row r="1393" spans="1:4" x14ac:dyDescent="0.3">
      <c r="A1393" s="1"/>
      <c r="B1393" s="1" t="str">
        <f>IFERROR(IF(LEFT(Sensitivität_bzw_Monte_Carlo_bei_Strom[[#This Row],[Source.Name]],SEARCH("aus_der",Sensitivität_bzw_Monte_Carlo_bei_Strom[[#This Row],[Source.Name]],1))="Auszahlung_a","Auszahlung",""),"")</f>
        <v/>
      </c>
      <c r="D1393" s="1"/>
    </row>
    <row r="1394" spans="1:4" x14ac:dyDescent="0.3">
      <c r="A1394" s="1"/>
      <c r="B1394" s="1" t="str">
        <f>IFERROR(IF(LEFT(Sensitivität_bzw_Monte_Carlo_bei_Strom[[#This Row],[Source.Name]],SEARCH("aus_der",Sensitivität_bzw_Monte_Carlo_bei_Strom[[#This Row],[Source.Name]],1))="Auszahlung_a","Auszahlung",""),"")</f>
        <v/>
      </c>
      <c r="D1394" s="1"/>
    </row>
    <row r="1395" spans="1:4" x14ac:dyDescent="0.3">
      <c r="A1395" s="1"/>
      <c r="B1395" s="1" t="str">
        <f>IFERROR(IF(LEFT(Sensitivität_bzw_Monte_Carlo_bei_Strom[[#This Row],[Source.Name]],SEARCH("aus_der",Sensitivität_bzw_Monte_Carlo_bei_Strom[[#This Row],[Source.Name]],1))="Auszahlung_a","Auszahlung",""),"")</f>
        <v/>
      </c>
      <c r="D1395" s="1"/>
    </row>
    <row r="1396" spans="1:4" x14ac:dyDescent="0.3">
      <c r="A1396" s="1"/>
      <c r="B1396" s="1" t="str">
        <f>IFERROR(IF(LEFT(Sensitivität_bzw_Monte_Carlo_bei_Strom[[#This Row],[Source.Name]],SEARCH("aus_der",Sensitivität_bzw_Monte_Carlo_bei_Strom[[#This Row],[Source.Name]],1))="Auszahlung_a","Auszahlung",""),"")</f>
        <v/>
      </c>
      <c r="D1396" s="1"/>
    </row>
    <row r="1397" spans="1:4" x14ac:dyDescent="0.3">
      <c r="A1397" s="1"/>
      <c r="B1397" s="1" t="str">
        <f>IFERROR(IF(LEFT(Sensitivität_bzw_Monte_Carlo_bei_Strom[[#This Row],[Source.Name]],SEARCH("aus_der",Sensitivität_bzw_Monte_Carlo_bei_Strom[[#This Row],[Source.Name]],1))="Auszahlung_a","Auszahlung",""),"")</f>
        <v/>
      </c>
      <c r="D1397" s="1"/>
    </row>
    <row r="1398" spans="1:4" x14ac:dyDescent="0.3">
      <c r="A1398" s="1"/>
      <c r="B1398" s="1" t="str">
        <f>IFERROR(IF(LEFT(Sensitivität_bzw_Monte_Carlo_bei_Strom[[#This Row],[Source.Name]],SEARCH("aus_der",Sensitivität_bzw_Monte_Carlo_bei_Strom[[#This Row],[Source.Name]],1))="Auszahlung_a","Auszahlung",""),"")</f>
        <v/>
      </c>
      <c r="D1398" s="1"/>
    </row>
    <row r="1399" spans="1:4" x14ac:dyDescent="0.3">
      <c r="A1399" s="1"/>
      <c r="B1399" s="1" t="str">
        <f>IFERROR(IF(LEFT(Sensitivität_bzw_Monte_Carlo_bei_Strom[[#This Row],[Source.Name]],SEARCH("aus_der",Sensitivität_bzw_Monte_Carlo_bei_Strom[[#This Row],[Source.Name]],1))="Auszahlung_a","Auszahlung",""),"")</f>
        <v/>
      </c>
      <c r="D1399" s="1"/>
    </row>
    <row r="1400" spans="1:4" x14ac:dyDescent="0.3">
      <c r="A1400" s="1"/>
      <c r="B1400" s="1" t="str">
        <f>IFERROR(IF(LEFT(Sensitivität_bzw_Monte_Carlo_bei_Strom[[#This Row],[Source.Name]],SEARCH("aus_der",Sensitivität_bzw_Monte_Carlo_bei_Strom[[#This Row],[Source.Name]],1))="Auszahlung_a","Auszahlung",""),"")</f>
        <v/>
      </c>
      <c r="D1400" s="1"/>
    </row>
    <row r="1401" spans="1:4" x14ac:dyDescent="0.3">
      <c r="A1401" s="1"/>
      <c r="B1401" s="1" t="str">
        <f>IFERROR(IF(LEFT(Sensitivität_bzw_Monte_Carlo_bei_Strom[[#This Row],[Source.Name]],SEARCH("aus_der",Sensitivität_bzw_Monte_Carlo_bei_Strom[[#This Row],[Source.Name]],1))="Auszahlung_a","Auszahlung",""),"")</f>
        <v/>
      </c>
      <c r="D1401" s="1"/>
    </row>
    <row r="1402" spans="1:4" x14ac:dyDescent="0.3">
      <c r="A1402" s="1"/>
      <c r="B1402" s="1" t="str">
        <f>IFERROR(IF(LEFT(Sensitivität_bzw_Monte_Carlo_bei_Strom[[#This Row],[Source.Name]],SEARCH("aus_der",Sensitivität_bzw_Monte_Carlo_bei_Strom[[#This Row],[Source.Name]],1))="Auszahlung_a","Auszahlung",""),"")</f>
        <v/>
      </c>
      <c r="D1402" s="1"/>
    </row>
    <row r="1403" spans="1:4" x14ac:dyDescent="0.3">
      <c r="A1403" s="1"/>
      <c r="B1403" s="1" t="str">
        <f>IFERROR(IF(LEFT(Sensitivität_bzw_Monte_Carlo_bei_Strom[[#This Row],[Source.Name]],SEARCH("aus_der",Sensitivität_bzw_Monte_Carlo_bei_Strom[[#This Row],[Source.Name]],1))="Auszahlung_a","Auszahlung",""),"")</f>
        <v/>
      </c>
      <c r="D1403" s="1"/>
    </row>
    <row r="1404" spans="1:4" x14ac:dyDescent="0.3">
      <c r="A1404" s="1"/>
      <c r="B1404" s="1" t="str">
        <f>IFERROR(IF(LEFT(Sensitivität_bzw_Monte_Carlo_bei_Strom[[#This Row],[Source.Name]],SEARCH("aus_der",Sensitivität_bzw_Monte_Carlo_bei_Strom[[#This Row],[Source.Name]],1))="Auszahlung_a","Auszahlung",""),"")</f>
        <v/>
      </c>
      <c r="D1404" s="1"/>
    </row>
    <row r="1405" spans="1:4" x14ac:dyDescent="0.3">
      <c r="A1405" s="1"/>
      <c r="B1405" s="1" t="str">
        <f>IFERROR(IF(LEFT(Sensitivität_bzw_Monte_Carlo_bei_Strom[[#This Row],[Source.Name]],SEARCH("aus_der",Sensitivität_bzw_Monte_Carlo_bei_Strom[[#This Row],[Source.Name]],1))="Auszahlung_a","Auszahlung",""),"")</f>
        <v/>
      </c>
      <c r="D1405" s="1"/>
    </row>
    <row r="1406" spans="1:4" x14ac:dyDescent="0.3">
      <c r="A1406" s="1"/>
      <c r="B1406" s="1" t="str">
        <f>IFERROR(IF(LEFT(Sensitivität_bzw_Monte_Carlo_bei_Strom[[#This Row],[Source.Name]],SEARCH("aus_der",Sensitivität_bzw_Monte_Carlo_bei_Strom[[#This Row],[Source.Name]],1))="Auszahlung_a","Auszahlung",""),"")</f>
        <v/>
      </c>
      <c r="D1406" s="1"/>
    </row>
    <row r="1407" spans="1:4" x14ac:dyDescent="0.3">
      <c r="A1407" s="1"/>
      <c r="B1407" s="1" t="str">
        <f>IFERROR(IF(LEFT(Sensitivität_bzw_Monte_Carlo_bei_Strom[[#This Row],[Source.Name]],SEARCH("aus_der",Sensitivität_bzw_Monte_Carlo_bei_Strom[[#This Row],[Source.Name]],1))="Auszahlung_a","Auszahlung",""),"")</f>
        <v/>
      </c>
      <c r="D1407" s="1"/>
    </row>
    <row r="1408" spans="1:4" x14ac:dyDescent="0.3">
      <c r="A1408" s="1"/>
      <c r="B1408" s="1" t="str">
        <f>IFERROR(IF(LEFT(Sensitivität_bzw_Monte_Carlo_bei_Strom[[#This Row],[Source.Name]],SEARCH("aus_der",Sensitivität_bzw_Monte_Carlo_bei_Strom[[#This Row],[Source.Name]],1))="Auszahlung_a","Auszahlung",""),"")</f>
        <v/>
      </c>
      <c r="D1408" s="1"/>
    </row>
    <row r="1409" spans="1:4" x14ac:dyDescent="0.3">
      <c r="A1409" s="1"/>
      <c r="B1409" s="1" t="str">
        <f>IFERROR(IF(LEFT(Sensitivität_bzw_Monte_Carlo_bei_Strom[[#This Row],[Source.Name]],SEARCH("aus_der",Sensitivität_bzw_Monte_Carlo_bei_Strom[[#This Row],[Source.Name]],1))="Auszahlung_a","Auszahlung",""),"")</f>
        <v/>
      </c>
      <c r="D1409" s="1"/>
    </row>
    <row r="1410" spans="1:4" x14ac:dyDescent="0.3">
      <c r="A1410" s="1"/>
      <c r="B1410" s="1" t="str">
        <f>IFERROR(IF(LEFT(Sensitivität_bzw_Monte_Carlo_bei_Strom[[#This Row],[Source.Name]],SEARCH("aus_der",Sensitivität_bzw_Monte_Carlo_bei_Strom[[#This Row],[Source.Name]],1))="Auszahlung_a","Auszahlung",""),"")</f>
        <v/>
      </c>
      <c r="D1410" s="1"/>
    </row>
    <row r="1411" spans="1:4" x14ac:dyDescent="0.3">
      <c r="A1411" s="1"/>
      <c r="B1411" s="1" t="str">
        <f>IFERROR(IF(LEFT(Sensitivität_bzw_Monte_Carlo_bei_Strom[[#This Row],[Source.Name]],SEARCH("aus_der",Sensitivität_bzw_Monte_Carlo_bei_Strom[[#This Row],[Source.Name]],1))="Auszahlung_a","Auszahlung",""),"")</f>
        <v/>
      </c>
      <c r="D1411" s="1"/>
    </row>
    <row r="1412" spans="1:4" x14ac:dyDescent="0.3">
      <c r="A1412" s="1"/>
      <c r="B1412" s="1" t="str">
        <f>IFERROR(IF(LEFT(Sensitivität_bzw_Monte_Carlo_bei_Strom[[#This Row],[Source.Name]],SEARCH("aus_der",Sensitivität_bzw_Monte_Carlo_bei_Strom[[#This Row],[Source.Name]],1))="Auszahlung_a","Auszahlung",""),"")</f>
        <v/>
      </c>
      <c r="D1412" s="1"/>
    </row>
    <row r="1413" spans="1:4" x14ac:dyDescent="0.3">
      <c r="A1413" s="1"/>
      <c r="B1413" s="1" t="str">
        <f>IFERROR(IF(LEFT(Sensitivität_bzw_Monte_Carlo_bei_Strom[[#This Row],[Source.Name]],SEARCH("aus_der",Sensitivität_bzw_Monte_Carlo_bei_Strom[[#This Row],[Source.Name]],1))="Auszahlung_a","Auszahlung",""),"")</f>
        <v/>
      </c>
      <c r="D1413" s="1"/>
    </row>
    <row r="1414" spans="1:4" x14ac:dyDescent="0.3">
      <c r="A1414" s="1"/>
      <c r="B1414" s="1" t="str">
        <f>IFERROR(IF(LEFT(Sensitivität_bzw_Monte_Carlo_bei_Strom[[#This Row],[Source.Name]],SEARCH("aus_der",Sensitivität_bzw_Monte_Carlo_bei_Strom[[#This Row],[Source.Name]],1))="Auszahlung_a","Auszahlung",""),"")</f>
        <v/>
      </c>
      <c r="D1414" s="1"/>
    </row>
    <row r="1415" spans="1:4" x14ac:dyDescent="0.3">
      <c r="A1415" s="1"/>
      <c r="B1415" s="1" t="str">
        <f>IFERROR(IF(LEFT(Sensitivität_bzw_Monte_Carlo_bei_Strom[[#This Row],[Source.Name]],SEARCH("aus_der",Sensitivität_bzw_Monte_Carlo_bei_Strom[[#This Row],[Source.Name]],1))="Auszahlung_a","Auszahlung",""),"")</f>
        <v/>
      </c>
      <c r="D1415" s="1"/>
    </row>
    <row r="1416" spans="1:4" x14ac:dyDescent="0.3">
      <c r="A1416" s="1"/>
      <c r="B1416" s="1" t="str">
        <f>IFERROR(IF(LEFT(Sensitivität_bzw_Monte_Carlo_bei_Strom[[#This Row],[Source.Name]],SEARCH("aus_der",Sensitivität_bzw_Monte_Carlo_bei_Strom[[#This Row],[Source.Name]],1))="Auszahlung_a","Auszahlung",""),"")</f>
        <v/>
      </c>
      <c r="D1416" s="1"/>
    </row>
    <row r="1417" spans="1:4" x14ac:dyDescent="0.3">
      <c r="A1417" s="1"/>
      <c r="B1417" s="1" t="str">
        <f>IFERROR(IF(LEFT(Sensitivität_bzw_Monte_Carlo_bei_Strom[[#This Row],[Source.Name]],SEARCH("aus_der",Sensitivität_bzw_Monte_Carlo_bei_Strom[[#This Row],[Source.Name]],1))="Auszahlung_a","Auszahlung",""),"")</f>
        <v/>
      </c>
      <c r="D1417" s="1"/>
    </row>
    <row r="1418" spans="1:4" x14ac:dyDescent="0.3">
      <c r="A1418" s="1"/>
      <c r="B1418" s="1" t="str">
        <f>IFERROR(IF(LEFT(Sensitivität_bzw_Monte_Carlo_bei_Strom[[#This Row],[Source.Name]],SEARCH("aus_der",Sensitivität_bzw_Monte_Carlo_bei_Strom[[#This Row],[Source.Name]],1))="Auszahlung_a","Auszahlung",""),"")</f>
        <v/>
      </c>
      <c r="D1418" s="1"/>
    </row>
    <row r="1419" spans="1:4" x14ac:dyDescent="0.3">
      <c r="A1419" s="1"/>
      <c r="B1419" s="1" t="str">
        <f>IFERROR(IF(LEFT(Sensitivität_bzw_Monte_Carlo_bei_Strom[[#This Row],[Source.Name]],SEARCH("aus_der",Sensitivität_bzw_Monte_Carlo_bei_Strom[[#This Row],[Source.Name]],1))="Auszahlung_a","Auszahlung",""),"")</f>
        <v/>
      </c>
      <c r="D1419" s="1"/>
    </row>
    <row r="1420" spans="1:4" x14ac:dyDescent="0.3">
      <c r="A1420" s="1"/>
      <c r="B1420" s="1" t="str">
        <f>IFERROR(IF(LEFT(Sensitivität_bzw_Monte_Carlo_bei_Strom[[#This Row],[Source.Name]],SEARCH("aus_der",Sensitivität_bzw_Monte_Carlo_bei_Strom[[#This Row],[Source.Name]],1))="Auszahlung_a","Auszahlung",""),"")</f>
        <v/>
      </c>
      <c r="D1420" s="1"/>
    </row>
    <row r="1421" spans="1:4" x14ac:dyDescent="0.3">
      <c r="A1421" s="1"/>
      <c r="B1421" s="1" t="str">
        <f>IFERROR(IF(LEFT(Sensitivität_bzw_Monte_Carlo_bei_Strom[[#This Row],[Source.Name]],SEARCH("aus_der",Sensitivität_bzw_Monte_Carlo_bei_Strom[[#This Row],[Source.Name]],1))="Auszahlung_a","Auszahlung",""),"")</f>
        <v/>
      </c>
      <c r="D1421" s="1"/>
    </row>
    <row r="1422" spans="1:4" x14ac:dyDescent="0.3">
      <c r="A1422" s="1"/>
      <c r="B1422" s="1" t="str">
        <f>IFERROR(IF(LEFT(Sensitivität_bzw_Monte_Carlo_bei_Strom[[#This Row],[Source.Name]],SEARCH("aus_der",Sensitivität_bzw_Monte_Carlo_bei_Strom[[#This Row],[Source.Name]],1))="Auszahlung_a","Auszahlung",""),"")</f>
        <v/>
      </c>
      <c r="D1422" s="1"/>
    </row>
    <row r="1423" spans="1:4" x14ac:dyDescent="0.3">
      <c r="A1423" s="1"/>
      <c r="B1423" s="1" t="str">
        <f>IFERROR(IF(LEFT(Sensitivität_bzw_Monte_Carlo_bei_Strom[[#This Row],[Source.Name]],SEARCH("aus_der",Sensitivität_bzw_Monte_Carlo_bei_Strom[[#This Row],[Source.Name]],1))="Auszahlung_a","Auszahlung",""),"")</f>
        <v/>
      </c>
      <c r="D1423" s="1"/>
    </row>
    <row r="1424" spans="1:4" x14ac:dyDescent="0.3">
      <c r="A1424" s="1"/>
      <c r="B1424" s="1" t="str">
        <f>IFERROR(IF(LEFT(Sensitivität_bzw_Monte_Carlo_bei_Strom[[#This Row],[Source.Name]],SEARCH("aus_der",Sensitivität_bzw_Monte_Carlo_bei_Strom[[#This Row],[Source.Name]],1))="Auszahlung_a","Auszahlung",""),"")</f>
        <v/>
      </c>
      <c r="D1424" s="1"/>
    </row>
    <row r="1425" spans="1:4" x14ac:dyDescent="0.3">
      <c r="A1425" s="1"/>
      <c r="B1425" s="1" t="str">
        <f>IFERROR(IF(LEFT(Sensitivität_bzw_Monte_Carlo_bei_Strom[[#This Row],[Source.Name]],SEARCH("aus_der",Sensitivität_bzw_Monte_Carlo_bei_Strom[[#This Row],[Source.Name]],1))="Auszahlung_a","Auszahlung",""),"")</f>
        <v/>
      </c>
      <c r="D1425" s="1"/>
    </row>
    <row r="1426" spans="1:4" x14ac:dyDescent="0.3">
      <c r="A1426" s="1"/>
      <c r="B1426" s="1" t="str">
        <f>IFERROR(IF(LEFT(Sensitivität_bzw_Monte_Carlo_bei_Strom[[#This Row],[Source.Name]],SEARCH("aus_der",Sensitivität_bzw_Monte_Carlo_bei_Strom[[#This Row],[Source.Name]],1))="Auszahlung_a","Auszahlung",""),"")</f>
        <v/>
      </c>
      <c r="D1426" s="1"/>
    </row>
    <row r="1427" spans="1:4" x14ac:dyDescent="0.3">
      <c r="A1427" s="1"/>
      <c r="B1427" s="1" t="str">
        <f>IFERROR(IF(LEFT(Sensitivität_bzw_Monte_Carlo_bei_Strom[[#This Row],[Source.Name]],SEARCH("aus_der",Sensitivität_bzw_Monte_Carlo_bei_Strom[[#This Row],[Source.Name]],1))="Auszahlung_a","Auszahlung",""),"")</f>
        <v/>
      </c>
      <c r="D1427" s="1"/>
    </row>
    <row r="1428" spans="1:4" x14ac:dyDescent="0.3">
      <c r="A1428" s="1"/>
      <c r="B1428" s="1" t="str">
        <f>IFERROR(IF(LEFT(Sensitivität_bzw_Monte_Carlo_bei_Strom[[#This Row],[Source.Name]],SEARCH("aus_der",Sensitivität_bzw_Monte_Carlo_bei_Strom[[#This Row],[Source.Name]],1))="Auszahlung_a","Auszahlung",""),"")</f>
        <v/>
      </c>
      <c r="D1428" s="1"/>
    </row>
    <row r="1429" spans="1:4" x14ac:dyDescent="0.3">
      <c r="A1429" s="1"/>
      <c r="B1429" s="1" t="str">
        <f>IFERROR(IF(LEFT(Sensitivität_bzw_Monte_Carlo_bei_Strom[[#This Row],[Source.Name]],SEARCH("aus_der",Sensitivität_bzw_Monte_Carlo_bei_Strom[[#This Row],[Source.Name]],1))="Auszahlung_a","Auszahlung",""),"")</f>
        <v/>
      </c>
      <c r="D1429" s="1"/>
    </row>
    <row r="1430" spans="1:4" x14ac:dyDescent="0.3">
      <c r="A1430" s="1"/>
      <c r="B1430" s="1" t="str">
        <f>IFERROR(IF(LEFT(Sensitivität_bzw_Monte_Carlo_bei_Strom[[#This Row],[Source.Name]],SEARCH("aus_der",Sensitivität_bzw_Monte_Carlo_bei_Strom[[#This Row],[Source.Name]],1))="Auszahlung_a","Auszahlung",""),"")</f>
        <v/>
      </c>
      <c r="D1430" s="1"/>
    </row>
    <row r="1431" spans="1:4" x14ac:dyDescent="0.3">
      <c r="A1431" s="1"/>
      <c r="B1431" s="1" t="str">
        <f>IFERROR(IF(LEFT(Sensitivität_bzw_Monte_Carlo_bei_Strom[[#This Row],[Source.Name]],SEARCH("aus_der",Sensitivität_bzw_Monte_Carlo_bei_Strom[[#This Row],[Source.Name]],1))="Auszahlung_a","Auszahlung",""),"")</f>
        <v/>
      </c>
      <c r="D1431" s="1"/>
    </row>
    <row r="1432" spans="1:4" x14ac:dyDescent="0.3">
      <c r="A1432" s="1"/>
      <c r="B1432" s="1" t="str">
        <f>IFERROR(IF(LEFT(Sensitivität_bzw_Monte_Carlo_bei_Strom[[#This Row],[Source.Name]],SEARCH("aus_der",Sensitivität_bzw_Monte_Carlo_bei_Strom[[#This Row],[Source.Name]],1))="Auszahlung_a","Auszahlung",""),"")</f>
        <v/>
      </c>
      <c r="D1432" s="1"/>
    </row>
    <row r="1433" spans="1:4" x14ac:dyDescent="0.3">
      <c r="A1433" s="1"/>
      <c r="B1433" s="1" t="str">
        <f>IFERROR(IF(LEFT(Sensitivität_bzw_Monte_Carlo_bei_Strom[[#This Row],[Source.Name]],SEARCH("aus_der",Sensitivität_bzw_Monte_Carlo_bei_Strom[[#This Row],[Source.Name]],1))="Auszahlung_a","Auszahlung",""),"")</f>
        <v/>
      </c>
      <c r="D1433" s="1"/>
    </row>
    <row r="1434" spans="1:4" x14ac:dyDescent="0.3">
      <c r="A1434" s="1"/>
      <c r="B1434" s="1" t="str">
        <f>IFERROR(IF(LEFT(Sensitivität_bzw_Monte_Carlo_bei_Strom[[#This Row],[Source.Name]],SEARCH("aus_der",Sensitivität_bzw_Monte_Carlo_bei_Strom[[#This Row],[Source.Name]],1))="Auszahlung_a","Auszahlung",""),"")</f>
        <v/>
      </c>
      <c r="D1434" s="1"/>
    </row>
    <row r="1435" spans="1:4" x14ac:dyDescent="0.3">
      <c r="A1435" s="1"/>
      <c r="B1435" s="1" t="str">
        <f>IFERROR(IF(LEFT(Sensitivität_bzw_Monte_Carlo_bei_Strom[[#This Row],[Source.Name]],SEARCH("aus_der",Sensitivität_bzw_Monte_Carlo_bei_Strom[[#This Row],[Source.Name]],1))="Auszahlung_a","Auszahlung",""),"")</f>
        <v/>
      </c>
      <c r="D1435" s="1"/>
    </row>
    <row r="1436" spans="1:4" x14ac:dyDescent="0.3">
      <c r="A1436" s="1"/>
      <c r="B1436" s="1" t="str">
        <f>IFERROR(IF(LEFT(Sensitivität_bzw_Monte_Carlo_bei_Strom[[#This Row],[Source.Name]],SEARCH("aus_der",Sensitivität_bzw_Monte_Carlo_bei_Strom[[#This Row],[Source.Name]],1))="Auszahlung_a","Auszahlung",""),"")</f>
        <v/>
      </c>
      <c r="D1436" s="1"/>
    </row>
    <row r="1437" spans="1:4" x14ac:dyDescent="0.3">
      <c r="A1437" s="1"/>
      <c r="B1437" s="1" t="str">
        <f>IFERROR(IF(LEFT(Sensitivität_bzw_Monte_Carlo_bei_Strom[[#This Row],[Source.Name]],SEARCH("aus_der",Sensitivität_bzw_Monte_Carlo_bei_Strom[[#This Row],[Source.Name]],1))="Auszahlung_a","Auszahlung",""),"")</f>
        <v/>
      </c>
      <c r="D1437" s="1"/>
    </row>
    <row r="1438" spans="1:4" x14ac:dyDescent="0.3">
      <c r="A1438" s="1"/>
      <c r="B1438" s="1" t="str">
        <f>IFERROR(IF(LEFT(Sensitivität_bzw_Monte_Carlo_bei_Strom[[#This Row],[Source.Name]],SEARCH("aus_der",Sensitivität_bzw_Monte_Carlo_bei_Strom[[#This Row],[Source.Name]],1))="Auszahlung_a","Auszahlung",""),"")</f>
        <v/>
      </c>
      <c r="D1438" s="1"/>
    </row>
    <row r="1439" spans="1:4" x14ac:dyDescent="0.3">
      <c r="A1439" s="1"/>
      <c r="B1439" s="1" t="str">
        <f>IFERROR(IF(LEFT(Sensitivität_bzw_Monte_Carlo_bei_Strom[[#This Row],[Source.Name]],SEARCH("aus_der",Sensitivität_bzw_Monte_Carlo_bei_Strom[[#This Row],[Source.Name]],1))="Auszahlung_a","Auszahlung",""),"")</f>
        <v/>
      </c>
      <c r="D1439" s="1"/>
    </row>
    <row r="1440" spans="1:4" x14ac:dyDescent="0.3">
      <c r="A1440" s="1"/>
      <c r="B1440" s="1" t="str">
        <f>IFERROR(IF(LEFT(Sensitivität_bzw_Monte_Carlo_bei_Strom[[#This Row],[Source.Name]],SEARCH("aus_der",Sensitivität_bzw_Monte_Carlo_bei_Strom[[#This Row],[Source.Name]],1))="Auszahlung_a","Auszahlung",""),"")</f>
        <v/>
      </c>
      <c r="D1440" s="1"/>
    </row>
    <row r="1441" spans="1:4" x14ac:dyDescent="0.3">
      <c r="A1441" s="1"/>
      <c r="B1441" s="1" t="str">
        <f>IFERROR(IF(LEFT(Sensitivität_bzw_Monte_Carlo_bei_Strom[[#This Row],[Source.Name]],SEARCH("aus_der",Sensitivität_bzw_Monte_Carlo_bei_Strom[[#This Row],[Source.Name]],1))="Auszahlung_a","Auszahlung",""),"")</f>
        <v/>
      </c>
      <c r="D1441" s="1"/>
    </row>
    <row r="1442" spans="1:4" x14ac:dyDescent="0.3">
      <c r="A1442" s="1"/>
      <c r="B1442" s="1" t="str">
        <f>IFERROR(IF(LEFT(Sensitivität_bzw_Monte_Carlo_bei_Strom[[#This Row],[Source.Name]],SEARCH("aus_der",Sensitivität_bzw_Monte_Carlo_bei_Strom[[#This Row],[Source.Name]],1))="Auszahlung_a","Auszahlung",""),"")</f>
        <v/>
      </c>
      <c r="D1442" s="1"/>
    </row>
    <row r="1443" spans="1:4" x14ac:dyDescent="0.3">
      <c r="A1443" s="1"/>
      <c r="B1443" s="1" t="str">
        <f>IFERROR(IF(LEFT(Sensitivität_bzw_Monte_Carlo_bei_Strom[[#This Row],[Source.Name]],SEARCH("aus_der",Sensitivität_bzw_Monte_Carlo_bei_Strom[[#This Row],[Source.Name]],1))="Auszahlung_a","Auszahlung",""),"")</f>
        <v/>
      </c>
      <c r="D1443" s="1"/>
    </row>
    <row r="1444" spans="1:4" x14ac:dyDescent="0.3">
      <c r="A1444" s="1"/>
      <c r="B1444" s="1" t="str">
        <f>IFERROR(IF(LEFT(Sensitivität_bzw_Monte_Carlo_bei_Strom[[#This Row],[Source.Name]],SEARCH("aus_der",Sensitivität_bzw_Monte_Carlo_bei_Strom[[#This Row],[Source.Name]],1))="Auszahlung_a","Auszahlung",""),"")</f>
        <v/>
      </c>
      <c r="D1444" s="1"/>
    </row>
    <row r="1445" spans="1:4" x14ac:dyDescent="0.3">
      <c r="A1445" s="1"/>
      <c r="B1445" s="1" t="str">
        <f>IFERROR(IF(LEFT(Sensitivität_bzw_Monte_Carlo_bei_Strom[[#This Row],[Source.Name]],SEARCH("aus_der",Sensitivität_bzw_Monte_Carlo_bei_Strom[[#This Row],[Source.Name]],1))="Auszahlung_a","Auszahlung",""),"")</f>
        <v/>
      </c>
      <c r="D1445" s="1"/>
    </row>
    <row r="1446" spans="1:4" x14ac:dyDescent="0.3">
      <c r="A1446" s="1"/>
      <c r="B1446" s="1" t="str">
        <f>IFERROR(IF(LEFT(Sensitivität_bzw_Monte_Carlo_bei_Strom[[#This Row],[Source.Name]],SEARCH("aus_der",Sensitivität_bzw_Monte_Carlo_bei_Strom[[#This Row],[Source.Name]],1))="Auszahlung_a","Auszahlung",""),"")</f>
        <v/>
      </c>
      <c r="D1446" s="1"/>
    </row>
    <row r="1447" spans="1:4" x14ac:dyDescent="0.3">
      <c r="A1447" s="1"/>
      <c r="B1447" s="1" t="str">
        <f>IFERROR(IF(LEFT(Sensitivität_bzw_Monte_Carlo_bei_Strom[[#This Row],[Source.Name]],SEARCH("aus_der",Sensitivität_bzw_Monte_Carlo_bei_Strom[[#This Row],[Source.Name]],1))="Auszahlung_a","Auszahlung",""),"")</f>
        <v/>
      </c>
      <c r="D1447" s="1"/>
    </row>
    <row r="1448" spans="1:4" x14ac:dyDescent="0.3">
      <c r="A1448" s="1"/>
      <c r="B1448" s="1" t="str">
        <f>IFERROR(IF(LEFT(Sensitivität_bzw_Monte_Carlo_bei_Strom[[#This Row],[Source.Name]],SEARCH("aus_der",Sensitivität_bzw_Monte_Carlo_bei_Strom[[#This Row],[Source.Name]],1))="Auszahlung_a","Auszahlung",""),"")</f>
        <v/>
      </c>
      <c r="D1448" s="1"/>
    </row>
    <row r="1449" spans="1:4" x14ac:dyDescent="0.3">
      <c r="A1449" s="1"/>
      <c r="B1449" s="1" t="str">
        <f>IFERROR(IF(LEFT(Sensitivität_bzw_Monte_Carlo_bei_Strom[[#This Row],[Source.Name]],SEARCH("aus_der",Sensitivität_bzw_Monte_Carlo_bei_Strom[[#This Row],[Source.Name]],1))="Auszahlung_a","Auszahlung",""),"")</f>
        <v/>
      </c>
      <c r="D1449" s="1"/>
    </row>
    <row r="1450" spans="1:4" x14ac:dyDescent="0.3">
      <c r="A1450" s="1"/>
      <c r="B1450" s="1" t="str">
        <f>IFERROR(IF(LEFT(Sensitivität_bzw_Monte_Carlo_bei_Strom[[#This Row],[Source.Name]],SEARCH("aus_der",Sensitivität_bzw_Monte_Carlo_bei_Strom[[#This Row],[Source.Name]],1))="Auszahlung_a","Auszahlung",""),"")</f>
        <v/>
      </c>
      <c r="D1450" s="1"/>
    </row>
    <row r="1451" spans="1:4" x14ac:dyDescent="0.3">
      <c r="A1451" s="1"/>
      <c r="B1451" s="1" t="str">
        <f>IFERROR(IF(LEFT(Sensitivität_bzw_Monte_Carlo_bei_Strom[[#This Row],[Source.Name]],SEARCH("aus_der",Sensitivität_bzw_Monte_Carlo_bei_Strom[[#This Row],[Source.Name]],1))="Auszahlung_a","Auszahlung",""),"")</f>
        <v/>
      </c>
      <c r="D1451" s="1"/>
    </row>
    <row r="1452" spans="1:4" x14ac:dyDescent="0.3">
      <c r="A1452" s="1"/>
      <c r="B1452" s="1" t="str">
        <f>IFERROR(IF(LEFT(Sensitivität_bzw_Monte_Carlo_bei_Strom[[#This Row],[Source.Name]],SEARCH("aus_der",Sensitivität_bzw_Monte_Carlo_bei_Strom[[#This Row],[Source.Name]],1))="Auszahlung_a","Auszahlung",""),"")</f>
        <v/>
      </c>
      <c r="D1452" s="1"/>
    </row>
    <row r="1453" spans="1:4" x14ac:dyDescent="0.3">
      <c r="A1453" s="1"/>
      <c r="B1453" s="1" t="str">
        <f>IFERROR(IF(LEFT(Sensitivität_bzw_Monte_Carlo_bei_Strom[[#This Row],[Source.Name]],SEARCH("aus_der",Sensitivität_bzw_Monte_Carlo_bei_Strom[[#This Row],[Source.Name]],1))="Auszahlung_a","Auszahlung",""),"")</f>
        <v/>
      </c>
      <c r="D1453" s="1"/>
    </row>
    <row r="1454" spans="1:4" x14ac:dyDescent="0.3">
      <c r="A1454" s="1"/>
      <c r="B1454" s="1" t="str">
        <f>IFERROR(IF(LEFT(Sensitivität_bzw_Monte_Carlo_bei_Strom[[#This Row],[Source.Name]],SEARCH("aus_der",Sensitivität_bzw_Monte_Carlo_bei_Strom[[#This Row],[Source.Name]],1))="Auszahlung_a","Auszahlung",""),"")</f>
        <v/>
      </c>
      <c r="D1454" s="1"/>
    </row>
    <row r="1455" spans="1:4" x14ac:dyDescent="0.3">
      <c r="A1455" s="1"/>
      <c r="B1455" s="1" t="str">
        <f>IFERROR(IF(LEFT(Sensitivität_bzw_Monte_Carlo_bei_Strom[[#This Row],[Source.Name]],SEARCH("aus_der",Sensitivität_bzw_Monte_Carlo_bei_Strom[[#This Row],[Source.Name]],1))="Auszahlung_a","Auszahlung",""),"")</f>
        <v/>
      </c>
      <c r="D1455" s="1"/>
    </row>
    <row r="1456" spans="1:4" x14ac:dyDescent="0.3">
      <c r="A1456" s="1"/>
      <c r="B1456" s="1" t="str">
        <f>IFERROR(IF(LEFT(Sensitivität_bzw_Monte_Carlo_bei_Strom[[#This Row],[Source.Name]],SEARCH("aus_der",Sensitivität_bzw_Monte_Carlo_bei_Strom[[#This Row],[Source.Name]],1))="Auszahlung_a","Auszahlung",""),"")</f>
        <v/>
      </c>
      <c r="D1456" s="1"/>
    </row>
    <row r="1457" spans="1:4" x14ac:dyDescent="0.3">
      <c r="A1457" s="1"/>
      <c r="B1457" s="1" t="str">
        <f>IFERROR(IF(LEFT(Sensitivität_bzw_Monte_Carlo_bei_Strom[[#This Row],[Source.Name]],SEARCH("aus_der",Sensitivität_bzw_Monte_Carlo_bei_Strom[[#This Row],[Source.Name]],1))="Auszahlung_a","Auszahlung",""),"")</f>
        <v/>
      </c>
      <c r="D1457" s="1"/>
    </row>
    <row r="1458" spans="1:4" x14ac:dyDescent="0.3">
      <c r="A1458" s="1"/>
      <c r="B1458" s="1" t="str">
        <f>IFERROR(IF(LEFT(Sensitivität_bzw_Monte_Carlo_bei_Strom[[#This Row],[Source.Name]],SEARCH("aus_der",Sensitivität_bzw_Monte_Carlo_bei_Strom[[#This Row],[Source.Name]],1))="Auszahlung_a","Auszahlung",""),"")</f>
        <v/>
      </c>
      <c r="D1458" s="1"/>
    </row>
    <row r="1459" spans="1:4" x14ac:dyDescent="0.3">
      <c r="A1459" s="1"/>
      <c r="B1459" s="1" t="str">
        <f>IFERROR(IF(LEFT(Sensitivität_bzw_Monte_Carlo_bei_Strom[[#This Row],[Source.Name]],SEARCH("aus_der",Sensitivität_bzw_Monte_Carlo_bei_Strom[[#This Row],[Source.Name]],1))="Auszahlung_a","Auszahlung",""),"")</f>
        <v/>
      </c>
      <c r="D1459" s="1"/>
    </row>
    <row r="1460" spans="1:4" x14ac:dyDescent="0.3">
      <c r="A1460" s="1"/>
      <c r="B1460" s="1" t="str">
        <f>IFERROR(IF(LEFT(Sensitivität_bzw_Monte_Carlo_bei_Strom[[#This Row],[Source.Name]],SEARCH("aus_der",Sensitivität_bzw_Monte_Carlo_bei_Strom[[#This Row],[Source.Name]],1))="Auszahlung_a","Auszahlung",""),"")</f>
        <v/>
      </c>
      <c r="D1460" s="1"/>
    </row>
    <row r="1461" spans="1:4" x14ac:dyDescent="0.3">
      <c r="A1461" s="1"/>
      <c r="B1461" s="1" t="str">
        <f>IFERROR(IF(LEFT(Sensitivität_bzw_Monte_Carlo_bei_Strom[[#This Row],[Source.Name]],SEARCH("aus_der",Sensitivität_bzw_Monte_Carlo_bei_Strom[[#This Row],[Source.Name]],1))="Auszahlung_a","Auszahlung",""),"")</f>
        <v/>
      </c>
      <c r="D1461" s="1"/>
    </row>
    <row r="1462" spans="1:4" x14ac:dyDescent="0.3">
      <c r="A1462" s="1"/>
      <c r="B1462" s="1" t="str">
        <f>IFERROR(IF(LEFT(Sensitivität_bzw_Monte_Carlo_bei_Strom[[#This Row],[Source.Name]],SEARCH("aus_der",Sensitivität_bzw_Monte_Carlo_bei_Strom[[#This Row],[Source.Name]],1))="Auszahlung_a","Auszahlung",""),"")</f>
        <v/>
      </c>
      <c r="D1462" s="1"/>
    </row>
    <row r="1463" spans="1:4" x14ac:dyDescent="0.3">
      <c r="A1463" s="1"/>
      <c r="B1463" s="1" t="str">
        <f>IFERROR(IF(LEFT(Sensitivität_bzw_Monte_Carlo_bei_Strom[[#This Row],[Source.Name]],SEARCH("aus_der",Sensitivität_bzw_Monte_Carlo_bei_Strom[[#This Row],[Source.Name]],1))="Auszahlung_a","Auszahlung",""),"")</f>
        <v/>
      </c>
      <c r="D1463" s="1"/>
    </row>
    <row r="1464" spans="1:4" x14ac:dyDescent="0.3">
      <c r="A1464" s="1"/>
      <c r="B1464" s="1" t="str">
        <f>IFERROR(IF(LEFT(Sensitivität_bzw_Monte_Carlo_bei_Strom[[#This Row],[Source.Name]],SEARCH("aus_der",Sensitivität_bzw_Monte_Carlo_bei_Strom[[#This Row],[Source.Name]],1))="Auszahlung_a","Auszahlung",""),"")</f>
        <v/>
      </c>
      <c r="D1464" s="1"/>
    </row>
    <row r="1465" spans="1:4" x14ac:dyDescent="0.3">
      <c r="A1465" s="1"/>
      <c r="B1465" s="1" t="str">
        <f>IFERROR(IF(LEFT(Sensitivität_bzw_Monte_Carlo_bei_Strom[[#This Row],[Source.Name]],SEARCH("aus_der",Sensitivität_bzw_Monte_Carlo_bei_Strom[[#This Row],[Source.Name]],1))="Auszahlung_a","Auszahlung",""),"")</f>
        <v/>
      </c>
      <c r="D1465" s="1"/>
    </row>
    <row r="1466" spans="1:4" x14ac:dyDescent="0.3">
      <c r="A1466" s="1"/>
      <c r="B1466" s="1" t="str">
        <f>IFERROR(IF(LEFT(Sensitivität_bzw_Monte_Carlo_bei_Strom[[#This Row],[Source.Name]],SEARCH("aus_der",Sensitivität_bzw_Monte_Carlo_bei_Strom[[#This Row],[Source.Name]],1))="Auszahlung_a","Auszahlung",""),"")</f>
        <v/>
      </c>
      <c r="D1466" s="1"/>
    </row>
    <row r="1467" spans="1:4" x14ac:dyDescent="0.3">
      <c r="A1467" s="1"/>
      <c r="B1467" s="1" t="str">
        <f>IFERROR(IF(LEFT(Sensitivität_bzw_Monte_Carlo_bei_Strom[[#This Row],[Source.Name]],SEARCH("aus_der",Sensitivität_bzw_Monte_Carlo_bei_Strom[[#This Row],[Source.Name]],1))="Auszahlung_a","Auszahlung",""),"")</f>
        <v/>
      </c>
      <c r="D1467" s="1"/>
    </row>
    <row r="1468" spans="1:4" x14ac:dyDescent="0.3">
      <c r="A1468" s="1"/>
      <c r="B1468" s="1" t="str">
        <f>IFERROR(IF(LEFT(Sensitivität_bzw_Monte_Carlo_bei_Strom[[#This Row],[Source.Name]],SEARCH("aus_der",Sensitivität_bzw_Monte_Carlo_bei_Strom[[#This Row],[Source.Name]],1))="Auszahlung_a","Auszahlung",""),"")</f>
        <v/>
      </c>
      <c r="D1468" s="1"/>
    </row>
    <row r="1469" spans="1:4" x14ac:dyDescent="0.3">
      <c r="A1469" s="1"/>
      <c r="B1469" s="1" t="str">
        <f>IFERROR(IF(LEFT(Sensitivität_bzw_Monte_Carlo_bei_Strom[[#This Row],[Source.Name]],SEARCH("aus_der",Sensitivität_bzw_Monte_Carlo_bei_Strom[[#This Row],[Source.Name]],1))="Auszahlung_a","Auszahlung",""),"")</f>
        <v/>
      </c>
      <c r="D1469" s="1"/>
    </row>
    <row r="1470" spans="1:4" x14ac:dyDescent="0.3">
      <c r="A1470" s="1"/>
      <c r="B1470" s="1" t="str">
        <f>IFERROR(IF(LEFT(Sensitivität_bzw_Monte_Carlo_bei_Strom[[#This Row],[Source.Name]],SEARCH("aus_der",Sensitivität_bzw_Monte_Carlo_bei_Strom[[#This Row],[Source.Name]],1))="Auszahlung_a","Auszahlung",""),"")</f>
        <v/>
      </c>
      <c r="D1470" s="1"/>
    </row>
    <row r="1471" spans="1:4" x14ac:dyDescent="0.3">
      <c r="A1471" s="1"/>
      <c r="B1471" s="1" t="str">
        <f>IFERROR(IF(LEFT(Sensitivität_bzw_Monte_Carlo_bei_Strom[[#This Row],[Source.Name]],SEARCH("aus_der",Sensitivität_bzw_Monte_Carlo_bei_Strom[[#This Row],[Source.Name]],1))="Auszahlung_a","Auszahlung",""),"")</f>
        <v/>
      </c>
      <c r="D1471" s="1"/>
    </row>
    <row r="1472" spans="1:4" x14ac:dyDescent="0.3">
      <c r="A1472" s="1"/>
      <c r="B1472" s="1" t="str">
        <f>IFERROR(IF(LEFT(Sensitivität_bzw_Monte_Carlo_bei_Strom[[#This Row],[Source.Name]],SEARCH("aus_der",Sensitivität_bzw_Monte_Carlo_bei_Strom[[#This Row],[Source.Name]],1))="Auszahlung_a","Auszahlung",""),"")</f>
        <v/>
      </c>
      <c r="D1472" s="1"/>
    </row>
    <row r="1473" spans="1:4" x14ac:dyDescent="0.3">
      <c r="A1473" s="1"/>
      <c r="B1473" s="1" t="str">
        <f>IFERROR(IF(LEFT(Sensitivität_bzw_Monte_Carlo_bei_Strom[[#This Row],[Source.Name]],SEARCH("aus_der",Sensitivität_bzw_Monte_Carlo_bei_Strom[[#This Row],[Source.Name]],1))="Auszahlung_a","Auszahlung",""),"")</f>
        <v/>
      </c>
      <c r="D1473" s="1"/>
    </row>
    <row r="1474" spans="1:4" x14ac:dyDescent="0.3">
      <c r="A1474" s="1"/>
      <c r="B1474" s="1" t="str">
        <f>IFERROR(IF(LEFT(Sensitivität_bzw_Monte_Carlo_bei_Strom[[#This Row],[Source.Name]],SEARCH("aus_der",Sensitivität_bzw_Monte_Carlo_bei_Strom[[#This Row],[Source.Name]],1))="Auszahlung_a","Auszahlung",""),"")</f>
        <v/>
      </c>
      <c r="D1474" s="1"/>
    </row>
    <row r="1475" spans="1:4" x14ac:dyDescent="0.3">
      <c r="A1475" s="1"/>
      <c r="B1475" s="1" t="str">
        <f>IFERROR(IF(LEFT(Sensitivität_bzw_Monte_Carlo_bei_Strom[[#This Row],[Source.Name]],SEARCH("aus_der",Sensitivität_bzw_Monte_Carlo_bei_Strom[[#This Row],[Source.Name]],1))="Auszahlung_a","Auszahlung",""),"")</f>
        <v/>
      </c>
      <c r="D1475" s="1"/>
    </row>
    <row r="1476" spans="1:4" x14ac:dyDescent="0.3">
      <c r="A1476" s="1"/>
      <c r="B1476" s="1" t="str">
        <f>IFERROR(IF(LEFT(Sensitivität_bzw_Monte_Carlo_bei_Strom[[#This Row],[Source.Name]],SEARCH("aus_der",Sensitivität_bzw_Monte_Carlo_bei_Strom[[#This Row],[Source.Name]],1))="Auszahlung_a","Auszahlung",""),"")</f>
        <v/>
      </c>
      <c r="D1476" s="1"/>
    </row>
    <row r="1477" spans="1:4" x14ac:dyDescent="0.3">
      <c r="A1477" s="1"/>
      <c r="B1477" s="1" t="str">
        <f>IFERROR(IF(LEFT(Sensitivität_bzw_Monte_Carlo_bei_Strom[[#This Row],[Source.Name]],SEARCH("aus_der",Sensitivität_bzw_Monte_Carlo_bei_Strom[[#This Row],[Source.Name]],1))="Auszahlung_a","Auszahlung",""),"")</f>
        <v/>
      </c>
      <c r="D1477" s="1"/>
    </row>
    <row r="1478" spans="1:4" x14ac:dyDescent="0.3">
      <c r="A1478" s="1"/>
      <c r="B1478" s="1" t="str">
        <f>IFERROR(IF(LEFT(Sensitivität_bzw_Monte_Carlo_bei_Strom[[#This Row],[Source.Name]],SEARCH("aus_der",Sensitivität_bzw_Monte_Carlo_bei_Strom[[#This Row],[Source.Name]],1))="Auszahlung_a","Auszahlung",""),"")</f>
        <v/>
      </c>
      <c r="D1478" s="1"/>
    </row>
    <row r="1479" spans="1:4" x14ac:dyDescent="0.3">
      <c r="A1479" s="1"/>
      <c r="B1479" s="1" t="str">
        <f>IFERROR(IF(LEFT(Sensitivität_bzw_Monte_Carlo_bei_Strom[[#This Row],[Source.Name]],SEARCH("aus_der",Sensitivität_bzw_Monte_Carlo_bei_Strom[[#This Row],[Source.Name]],1))="Auszahlung_a","Auszahlung",""),"")</f>
        <v/>
      </c>
      <c r="D1479" s="1"/>
    </row>
    <row r="1480" spans="1:4" x14ac:dyDescent="0.3">
      <c r="A1480" s="1"/>
      <c r="B1480" s="1" t="str">
        <f>IFERROR(IF(LEFT(Sensitivität_bzw_Monte_Carlo_bei_Strom[[#This Row],[Source.Name]],SEARCH("aus_der",Sensitivität_bzw_Monte_Carlo_bei_Strom[[#This Row],[Source.Name]],1))="Auszahlung_a","Auszahlung",""),"")</f>
        <v/>
      </c>
      <c r="D1480" s="1"/>
    </row>
    <row r="1481" spans="1:4" x14ac:dyDescent="0.3">
      <c r="A1481" s="1"/>
      <c r="B1481" s="1" t="str">
        <f>IFERROR(IF(LEFT(Sensitivität_bzw_Monte_Carlo_bei_Strom[[#This Row],[Source.Name]],SEARCH("aus_der",Sensitivität_bzw_Monte_Carlo_bei_Strom[[#This Row],[Source.Name]],1))="Auszahlung_a","Auszahlung",""),"")</f>
        <v/>
      </c>
      <c r="D1481" s="1"/>
    </row>
    <row r="1482" spans="1:4" x14ac:dyDescent="0.3">
      <c r="A1482" s="1"/>
      <c r="B1482" s="1" t="str">
        <f>IFERROR(IF(LEFT(Sensitivität_bzw_Monte_Carlo_bei_Strom[[#This Row],[Source.Name]],SEARCH("aus_der",Sensitivität_bzw_Monte_Carlo_bei_Strom[[#This Row],[Source.Name]],1))="Auszahlung_a","Auszahlung",""),"")</f>
        <v/>
      </c>
      <c r="D1482" s="1"/>
    </row>
    <row r="1483" spans="1:4" x14ac:dyDescent="0.3">
      <c r="A1483" s="1"/>
      <c r="B1483" s="1" t="str">
        <f>IFERROR(IF(LEFT(Sensitivität_bzw_Monte_Carlo_bei_Strom[[#This Row],[Source.Name]],SEARCH("aus_der",Sensitivität_bzw_Monte_Carlo_bei_Strom[[#This Row],[Source.Name]],1))="Auszahlung_a","Auszahlung",""),"")</f>
        <v/>
      </c>
      <c r="D1483" s="1"/>
    </row>
    <row r="1484" spans="1:4" x14ac:dyDescent="0.3">
      <c r="A1484" s="1"/>
      <c r="B1484" s="1" t="str">
        <f>IFERROR(IF(LEFT(Sensitivität_bzw_Monte_Carlo_bei_Strom[[#This Row],[Source.Name]],SEARCH("aus_der",Sensitivität_bzw_Monte_Carlo_bei_Strom[[#This Row],[Source.Name]],1))="Auszahlung_a","Auszahlung",""),"")</f>
        <v/>
      </c>
      <c r="D1484" s="1"/>
    </row>
    <row r="1485" spans="1:4" x14ac:dyDescent="0.3">
      <c r="A1485" s="1"/>
      <c r="B1485" s="1" t="str">
        <f>IFERROR(IF(LEFT(Sensitivität_bzw_Monte_Carlo_bei_Strom[[#This Row],[Source.Name]],SEARCH("aus_der",Sensitivität_bzw_Monte_Carlo_bei_Strom[[#This Row],[Source.Name]],1))="Auszahlung_a","Auszahlung",""),"")</f>
        <v/>
      </c>
      <c r="D1485" s="1"/>
    </row>
    <row r="1486" spans="1:4" x14ac:dyDescent="0.3">
      <c r="A1486" s="1"/>
      <c r="B1486" s="1" t="str">
        <f>IFERROR(IF(LEFT(Sensitivität_bzw_Monte_Carlo_bei_Strom[[#This Row],[Source.Name]],SEARCH("aus_der",Sensitivität_bzw_Monte_Carlo_bei_Strom[[#This Row],[Source.Name]],1))="Auszahlung_a","Auszahlung",""),"")</f>
        <v/>
      </c>
      <c r="D1486" s="1"/>
    </row>
    <row r="1487" spans="1:4" x14ac:dyDescent="0.3">
      <c r="A1487" s="1"/>
      <c r="B1487" s="1" t="str">
        <f>IFERROR(IF(LEFT(Sensitivität_bzw_Monte_Carlo_bei_Strom[[#This Row],[Source.Name]],SEARCH("aus_der",Sensitivität_bzw_Monte_Carlo_bei_Strom[[#This Row],[Source.Name]],1))="Auszahlung_a","Auszahlung",""),"")</f>
        <v/>
      </c>
      <c r="D1487" s="1"/>
    </row>
    <row r="1488" spans="1:4" x14ac:dyDescent="0.3">
      <c r="A1488" s="1"/>
      <c r="B1488" s="1" t="str">
        <f>IFERROR(IF(LEFT(Sensitivität_bzw_Monte_Carlo_bei_Strom[[#This Row],[Source.Name]],SEARCH("aus_der",Sensitivität_bzw_Monte_Carlo_bei_Strom[[#This Row],[Source.Name]],1))="Auszahlung_a","Auszahlung",""),"")</f>
        <v/>
      </c>
      <c r="D1488" s="1"/>
    </row>
    <row r="1489" spans="1:4" x14ac:dyDescent="0.3">
      <c r="A1489" s="1"/>
      <c r="B1489" s="1" t="str">
        <f>IFERROR(IF(LEFT(Sensitivität_bzw_Monte_Carlo_bei_Strom[[#This Row],[Source.Name]],SEARCH("aus_der",Sensitivität_bzw_Monte_Carlo_bei_Strom[[#This Row],[Source.Name]],1))="Auszahlung_a","Auszahlung",""),"")</f>
        <v/>
      </c>
      <c r="D1489" s="1"/>
    </row>
    <row r="1490" spans="1:4" x14ac:dyDescent="0.3">
      <c r="A1490" s="1"/>
      <c r="B1490" s="1" t="str">
        <f>IFERROR(IF(LEFT(Sensitivität_bzw_Monte_Carlo_bei_Strom[[#This Row],[Source.Name]],SEARCH("aus_der",Sensitivität_bzw_Monte_Carlo_bei_Strom[[#This Row],[Source.Name]],1))="Auszahlung_a","Auszahlung",""),"")</f>
        <v/>
      </c>
      <c r="D1490" s="1"/>
    </row>
    <row r="1491" spans="1:4" x14ac:dyDescent="0.3">
      <c r="A1491" s="1"/>
      <c r="B1491" s="1" t="str">
        <f>IFERROR(IF(LEFT(Sensitivität_bzw_Monte_Carlo_bei_Strom[[#This Row],[Source.Name]],SEARCH("aus_der",Sensitivität_bzw_Monte_Carlo_bei_Strom[[#This Row],[Source.Name]],1))="Auszahlung_a","Auszahlung",""),"")</f>
        <v/>
      </c>
      <c r="D1491" s="1"/>
    </row>
    <row r="1492" spans="1:4" x14ac:dyDescent="0.3">
      <c r="A1492" s="1"/>
      <c r="B1492" s="1" t="str">
        <f>IFERROR(IF(LEFT(Sensitivität_bzw_Monte_Carlo_bei_Strom[[#This Row],[Source.Name]],SEARCH("aus_der",Sensitivität_bzw_Monte_Carlo_bei_Strom[[#This Row],[Source.Name]],1))="Auszahlung_a","Auszahlung",""),"")</f>
        <v/>
      </c>
      <c r="D1492" s="1"/>
    </row>
    <row r="1493" spans="1:4" x14ac:dyDescent="0.3">
      <c r="A1493" s="1"/>
      <c r="B1493" s="1" t="str">
        <f>IFERROR(IF(LEFT(Sensitivität_bzw_Monte_Carlo_bei_Strom[[#This Row],[Source.Name]],SEARCH("aus_der",Sensitivität_bzw_Monte_Carlo_bei_Strom[[#This Row],[Source.Name]],1))="Auszahlung_a","Auszahlung",""),"")</f>
        <v/>
      </c>
      <c r="D1493" s="1"/>
    </row>
    <row r="1494" spans="1:4" x14ac:dyDescent="0.3">
      <c r="A1494" s="1"/>
      <c r="B1494" s="1" t="str">
        <f>IFERROR(IF(LEFT(Sensitivität_bzw_Monte_Carlo_bei_Strom[[#This Row],[Source.Name]],SEARCH("aus_der",Sensitivität_bzw_Monte_Carlo_bei_Strom[[#This Row],[Source.Name]],1))="Auszahlung_a","Auszahlung",""),"")</f>
        <v/>
      </c>
      <c r="D1494" s="1"/>
    </row>
    <row r="1495" spans="1:4" x14ac:dyDescent="0.3">
      <c r="A1495" s="1"/>
      <c r="B1495" s="1" t="str">
        <f>IFERROR(IF(LEFT(Sensitivität_bzw_Monte_Carlo_bei_Strom[[#This Row],[Source.Name]],SEARCH("aus_der",Sensitivität_bzw_Monte_Carlo_bei_Strom[[#This Row],[Source.Name]],1))="Auszahlung_a","Auszahlung",""),"")</f>
        <v/>
      </c>
      <c r="D1495" s="1"/>
    </row>
    <row r="1496" spans="1:4" x14ac:dyDescent="0.3">
      <c r="A1496" s="1"/>
      <c r="B1496" s="1" t="str">
        <f>IFERROR(IF(LEFT(Sensitivität_bzw_Monte_Carlo_bei_Strom[[#This Row],[Source.Name]],SEARCH("aus_der",Sensitivität_bzw_Monte_Carlo_bei_Strom[[#This Row],[Source.Name]],1))="Auszahlung_a","Auszahlung",""),"")</f>
        <v/>
      </c>
      <c r="D1496" s="1"/>
    </row>
    <row r="1497" spans="1:4" x14ac:dyDescent="0.3">
      <c r="A1497" s="1"/>
      <c r="B1497" s="1" t="str">
        <f>IFERROR(IF(LEFT(Sensitivität_bzw_Monte_Carlo_bei_Strom[[#This Row],[Source.Name]],SEARCH("aus_der",Sensitivität_bzw_Monte_Carlo_bei_Strom[[#This Row],[Source.Name]],1))="Auszahlung_a","Auszahlung",""),"")</f>
        <v/>
      </c>
      <c r="D1497" s="1"/>
    </row>
    <row r="1498" spans="1:4" x14ac:dyDescent="0.3">
      <c r="A1498" s="1"/>
      <c r="B1498" s="1" t="str">
        <f>IFERROR(IF(LEFT(Sensitivität_bzw_Monte_Carlo_bei_Strom[[#This Row],[Source.Name]],SEARCH("aus_der",Sensitivität_bzw_Monte_Carlo_bei_Strom[[#This Row],[Source.Name]],1))="Auszahlung_a","Auszahlung",""),"")</f>
        <v/>
      </c>
      <c r="D1498" s="1"/>
    </row>
    <row r="1499" spans="1:4" x14ac:dyDescent="0.3">
      <c r="A1499" s="1"/>
      <c r="B1499" s="1" t="str">
        <f>IFERROR(IF(LEFT(Sensitivität_bzw_Monte_Carlo_bei_Strom[[#This Row],[Source.Name]],SEARCH("aus_der",Sensitivität_bzw_Monte_Carlo_bei_Strom[[#This Row],[Source.Name]],1))="Auszahlung_a","Auszahlung",""),"")</f>
        <v/>
      </c>
      <c r="D1499" s="1"/>
    </row>
    <row r="1500" spans="1:4" x14ac:dyDescent="0.3">
      <c r="A1500" s="1"/>
      <c r="B1500" s="1" t="str">
        <f>IFERROR(IF(LEFT(Sensitivität_bzw_Monte_Carlo_bei_Strom[[#This Row],[Source.Name]],SEARCH("aus_der",Sensitivität_bzw_Monte_Carlo_bei_Strom[[#This Row],[Source.Name]],1))="Auszahlung_a","Auszahlung",""),"")</f>
        <v/>
      </c>
      <c r="D1500" s="1"/>
    </row>
    <row r="1501" spans="1:4" x14ac:dyDescent="0.3">
      <c r="A1501" s="1"/>
      <c r="B1501" s="1" t="str">
        <f>IFERROR(IF(LEFT(Sensitivität_bzw_Monte_Carlo_bei_Strom[[#This Row],[Source.Name]],SEARCH("aus_der",Sensitivität_bzw_Monte_Carlo_bei_Strom[[#This Row],[Source.Name]],1))="Auszahlung_a","Auszahlung",""),"")</f>
        <v/>
      </c>
      <c r="D1501" s="1"/>
    </row>
    <row r="1502" spans="1:4" x14ac:dyDescent="0.3">
      <c r="A1502" s="1"/>
      <c r="B1502" s="1" t="str">
        <f>IFERROR(IF(LEFT(Sensitivität_bzw_Monte_Carlo_bei_Strom[[#This Row],[Source.Name]],SEARCH("aus_der",Sensitivität_bzw_Monte_Carlo_bei_Strom[[#This Row],[Source.Name]],1))="Auszahlung_a","Auszahlung",""),"")</f>
        <v/>
      </c>
      <c r="D1502" s="1"/>
    </row>
    <row r="1503" spans="1:4" x14ac:dyDescent="0.3">
      <c r="A1503" s="1"/>
      <c r="B1503" s="1" t="str">
        <f>IFERROR(IF(LEFT(Sensitivität_bzw_Monte_Carlo_bei_Strom[[#This Row],[Source.Name]],SEARCH("aus_der",Sensitivität_bzw_Monte_Carlo_bei_Strom[[#This Row],[Source.Name]],1))="Auszahlung_a","Auszahlung",""),"")</f>
        <v/>
      </c>
      <c r="D1503" s="1"/>
    </row>
    <row r="1504" spans="1:4" x14ac:dyDescent="0.3">
      <c r="A1504" s="1"/>
      <c r="B1504" s="1" t="str">
        <f>IFERROR(IF(LEFT(Sensitivität_bzw_Monte_Carlo_bei_Strom[[#This Row],[Source.Name]],SEARCH("aus_der",Sensitivität_bzw_Monte_Carlo_bei_Strom[[#This Row],[Source.Name]],1))="Auszahlung_a","Auszahlung",""),"")</f>
        <v/>
      </c>
      <c r="D1504" s="1"/>
    </row>
    <row r="1505" spans="1:4" x14ac:dyDescent="0.3">
      <c r="A1505" s="1"/>
      <c r="B1505" s="1" t="str">
        <f>IFERROR(IF(LEFT(Sensitivität_bzw_Monte_Carlo_bei_Strom[[#This Row],[Source.Name]],SEARCH("aus_der",Sensitivität_bzw_Monte_Carlo_bei_Strom[[#This Row],[Source.Name]],1))="Auszahlung_a","Auszahlung",""),"")</f>
        <v/>
      </c>
      <c r="D1505" s="1"/>
    </row>
    <row r="1506" spans="1:4" x14ac:dyDescent="0.3">
      <c r="A1506" s="1"/>
      <c r="B1506" s="1" t="str">
        <f>IFERROR(IF(LEFT(Sensitivität_bzw_Monte_Carlo_bei_Strom[[#This Row],[Source.Name]],SEARCH("aus_der",Sensitivität_bzw_Monte_Carlo_bei_Strom[[#This Row],[Source.Name]],1))="Auszahlung_a","Auszahlung",""),"")</f>
        <v/>
      </c>
      <c r="D1506" s="1"/>
    </row>
    <row r="1507" spans="1:4" x14ac:dyDescent="0.3">
      <c r="A1507" s="1"/>
      <c r="B1507" s="1" t="str">
        <f>IFERROR(IF(LEFT(Sensitivität_bzw_Monte_Carlo_bei_Strom[[#This Row],[Source.Name]],SEARCH("aus_der",Sensitivität_bzw_Monte_Carlo_bei_Strom[[#This Row],[Source.Name]],1))="Auszahlung_a","Auszahlung",""),"")</f>
        <v/>
      </c>
      <c r="D1507" s="1"/>
    </row>
    <row r="1508" spans="1:4" x14ac:dyDescent="0.3">
      <c r="A1508" s="1"/>
      <c r="B1508" s="1" t="str">
        <f>IFERROR(IF(LEFT(Sensitivität_bzw_Monte_Carlo_bei_Strom[[#This Row],[Source.Name]],SEARCH("aus_der",Sensitivität_bzw_Monte_Carlo_bei_Strom[[#This Row],[Source.Name]],1))="Auszahlung_a","Auszahlung",""),"")</f>
        <v/>
      </c>
      <c r="D1508" s="1"/>
    </row>
    <row r="1509" spans="1:4" x14ac:dyDescent="0.3">
      <c r="A1509" s="1"/>
      <c r="B1509" s="1" t="str">
        <f>IFERROR(IF(LEFT(Sensitivität_bzw_Monte_Carlo_bei_Strom[[#This Row],[Source.Name]],SEARCH("aus_der",Sensitivität_bzw_Monte_Carlo_bei_Strom[[#This Row],[Source.Name]],1))="Auszahlung_a","Auszahlung",""),"")</f>
        <v/>
      </c>
      <c r="D1509" s="1"/>
    </row>
    <row r="1510" spans="1:4" x14ac:dyDescent="0.3">
      <c r="A1510" s="1"/>
      <c r="B1510" s="1" t="str">
        <f>IFERROR(IF(LEFT(Sensitivität_bzw_Monte_Carlo_bei_Strom[[#This Row],[Source.Name]],SEARCH("aus_der",Sensitivität_bzw_Monte_Carlo_bei_Strom[[#This Row],[Source.Name]],1))="Auszahlung_a","Auszahlung",""),"")</f>
        <v/>
      </c>
      <c r="D1510" s="1"/>
    </row>
    <row r="1511" spans="1:4" x14ac:dyDescent="0.3">
      <c r="A1511" s="1"/>
      <c r="B1511" s="1" t="str">
        <f>IFERROR(IF(LEFT(Sensitivität_bzw_Monte_Carlo_bei_Strom[[#This Row],[Source.Name]],SEARCH("aus_der",Sensitivität_bzw_Monte_Carlo_bei_Strom[[#This Row],[Source.Name]],1))="Auszahlung_a","Auszahlung",""),"")</f>
        <v/>
      </c>
      <c r="D1511" s="1"/>
    </row>
    <row r="1512" spans="1:4" x14ac:dyDescent="0.3">
      <c r="A1512" s="1"/>
      <c r="B1512" s="1" t="str">
        <f>IFERROR(IF(LEFT(Sensitivität_bzw_Monte_Carlo_bei_Strom[[#This Row],[Source.Name]],SEARCH("aus_der",Sensitivität_bzw_Monte_Carlo_bei_Strom[[#This Row],[Source.Name]],1))="Auszahlung_a","Auszahlung",""),"")</f>
        <v/>
      </c>
      <c r="D1512" s="1"/>
    </row>
    <row r="1513" spans="1:4" x14ac:dyDescent="0.3">
      <c r="A1513" s="1"/>
      <c r="B1513" s="1" t="str">
        <f>IFERROR(IF(LEFT(Sensitivität_bzw_Monte_Carlo_bei_Strom[[#This Row],[Source.Name]],SEARCH("aus_der",Sensitivität_bzw_Monte_Carlo_bei_Strom[[#This Row],[Source.Name]],1))="Auszahlung_a","Auszahlung",""),"")</f>
        <v/>
      </c>
      <c r="D1513" s="1"/>
    </row>
    <row r="1514" spans="1:4" x14ac:dyDescent="0.3">
      <c r="A1514" s="1"/>
      <c r="B1514" s="1" t="str">
        <f>IFERROR(IF(LEFT(Sensitivität_bzw_Monte_Carlo_bei_Strom[[#This Row],[Source.Name]],SEARCH("aus_der",Sensitivität_bzw_Monte_Carlo_bei_Strom[[#This Row],[Source.Name]],1))="Auszahlung_a","Auszahlung",""),"")</f>
        <v/>
      </c>
      <c r="D1514" s="1"/>
    </row>
    <row r="1515" spans="1:4" x14ac:dyDescent="0.3">
      <c r="A1515" s="1"/>
      <c r="B1515" s="1" t="str">
        <f>IFERROR(IF(LEFT(Sensitivität_bzw_Monte_Carlo_bei_Strom[[#This Row],[Source.Name]],SEARCH("aus_der",Sensitivität_bzw_Monte_Carlo_bei_Strom[[#This Row],[Source.Name]],1))="Auszahlung_a","Auszahlung",""),"")</f>
        <v/>
      </c>
      <c r="D1515" s="1"/>
    </row>
    <row r="1516" spans="1:4" x14ac:dyDescent="0.3">
      <c r="A1516" s="1"/>
      <c r="B1516" s="1" t="str">
        <f>IFERROR(IF(LEFT(Sensitivität_bzw_Monte_Carlo_bei_Strom[[#This Row],[Source.Name]],SEARCH("aus_der",Sensitivität_bzw_Monte_Carlo_bei_Strom[[#This Row],[Source.Name]],1))="Auszahlung_a","Auszahlung",""),"")</f>
        <v/>
      </c>
      <c r="D1516" s="1"/>
    </row>
    <row r="1517" spans="1:4" x14ac:dyDescent="0.3">
      <c r="A1517" s="1"/>
      <c r="B1517" s="1" t="str">
        <f>IFERROR(IF(LEFT(Sensitivität_bzw_Monte_Carlo_bei_Strom[[#This Row],[Source.Name]],SEARCH("aus_der",Sensitivität_bzw_Monte_Carlo_bei_Strom[[#This Row],[Source.Name]],1))="Auszahlung_a","Auszahlung",""),"")</f>
        <v/>
      </c>
      <c r="D1517" s="1"/>
    </row>
    <row r="1518" spans="1:4" x14ac:dyDescent="0.3">
      <c r="A1518" s="1"/>
      <c r="B1518" s="1" t="str">
        <f>IFERROR(IF(LEFT(Sensitivität_bzw_Monte_Carlo_bei_Strom[[#This Row],[Source.Name]],SEARCH("aus_der",Sensitivität_bzw_Monte_Carlo_bei_Strom[[#This Row],[Source.Name]],1))="Auszahlung_a","Auszahlung",""),"")</f>
        <v/>
      </c>
      <c r="D1518" s="1"/>
    </row>
    <row r="1519" spans="1:4" x14ac:dyDescent="0.3">
      <c r="A1519" s="1"/>
      <c r="B1519" s="1" t="str">
        <f>IFERROR(IF(LEFT(Sensitivität_bzw_Monte_Carlo_bei_Strom[[#This Row],[Source.Name]],SEARCH("aus_der",Sensitivität_bzw_Monte_Carlo_bei_Strom[[#This Row],[Source.Name]],1))="Auszahlung_a","Auszahlung",""),"")</f>
        <v/>
      </c>
      <c r="D1519" s="1"/>
    </row>
    <row r="1520" spans="1:4" x14ac:dyDescent="0.3">
      <c r="A1520" s="1"/>
      <c r="B1520" s="1" t="str">
        <f>IFERROR(IF(LEFT(Sensitivität_bzw_Monte_Carlo_bei_Strom[[#This Row],[Source.Name]],SEARCH("aus_der",Sensitivität_bzw_Monte_Carlo_bei_Strom[[#This Row],[Source.Name]],1))="Auszahlung_a","Auszahlung",""),"")</f>
        <v/>
      </c>
      <c r="D1520" s="1"/>
    </row>
    <row r="1521" spans="1:4" x14ac:dyDescent="0.3">
      <c r="A1521" s="1"/>
      <c r="B1521" s="1" t="str">
        <f>IFERROR(IF(LEFT(Sensitivität_bzw_Monte_Carlo_bei_Strom[[#This Row],[Source.Name]],SEARCH("aus_der",Sensitivität_bzw_Monte_Carlo_bei_Strom[[#This Row],[Source.Name]],1))="Auszahlung_a","Auszahlung",""),"")</f>
        <v/>
      </c>
      <c r="D1521" s="1"/>
    </row>
    <row r="1522" spans="1:4" x14ac:dyDescent="0.3">
      <c r="A1522" s="1"/>
      <c r="B1522" s="1" t="str">
        <f>IFERROR(IF(LEFT(Sensitivität_bzw_Monte_Carlo_bei_Strom[[#This Row],[Source.Name]],SEARCH("aus_der",Sensitivität_bzw_Monte_Carlo_bei_Strom[[#This Row],[Source.Name]],1))="Auszahlung_a","Auszahlung",""),"")</f>
        <v/>
      </c>
      <c r="D1522" s="1"/>
    </row>
    <row r="1523" spans="1:4" x14ac:dyDescent="0.3">
      <c r="A1523" s="1"/>
      <c r="B1523" s="1" t="str">
        <f>IFERROR(IF(LEFT(Sensitivität_bzw_Monte_Carlo_bei_Strom[[#This Row],[Source.Name]],SEARCH("aus_der",Sensitivität_bzw_Monte_Carlo_bei_Strom[[#This Row],[Source.Name]],1))="Auszahlung_a","Auszahlung",""),"")</f>
        <v/>
      </c>
      <c r="D1523" s="1"/>
    </row>
    <row r="1524" spans="1:4" x14ac:dyDescent="0.3">
      <c r="A1524" s="1"/>
      <c r="B1524" s="1" t="str">
        <f>IFERROR(IF(LEFT(Sensitivität_bzw_Monte_Carlo_bei_Strom[[#This Row],[Source.Name]],SEARCH("aus_der",Sensitivität_bzw_Monte_Carlo_bei_Strom[[#This Row],[Source.Name]],1))="Auszahlung_a","Auszahlung",""),"")</f>
        <v/>
      </c>
      <c r="D1524" s="1"/>
    </row>
    <row r="1525" spans="1:4" x14ac:dyDescent="0.3">
      <c r="A1525" s="1"/>
      <c r="B1525" s="1" t="str">
        <f>IFERROR(IF(LEFT(Sensitivität_bzw_Monte_Carlo_bei_Strom[[#This Row],[Source.Name]],SEARCH("aus_der",Sensitivität_bzw_Monte_Carlo_bei_Strom[[#This Row],[Source.Name]],1))="Auszahlung_a","Auszahlung",""),"")</f>
        <v/>
      </c>
      <c r="D1525" s="1"/>
    </row>
    <row r="1526" spans="1:4" x14ac:dyDescent="0.3">
      <c r="A1526" s="1"/>
      <c r="B1526" s="1" t="str">
        <f>IFERROR(IF(LEFT(Sensitivität_bzw_Monte_Carlo_bei_Strom[[#This Row],[Source.Name]],SEARCH("aus_der",Sensitivität_bzw_Monte_Carlo_bei_Strom[[#This Row],[Source.Name]],1))="Auszahlung_a","Auszahlung",""),"")</f>
        <v/>
      </c>
      <c r="D1526" s="1"/>
    </row>
    <row r="1527" spans="1:4" x14ac:dyDescent="0.3">
      <c r="A1527" s="1"/>
      <c r="B1527" s="1" t="str">
        <f>IFERROR(IF(LEFT(Sensitivität_bzw_Monte_Carlo_bei_Strom[[#This Row],[Source.Name]],SEARCH("aus_der",Sensitivität_bzw_Monte_Carlo_bei_Strom[[#This Row],[Source.Name]],1))="Auszahlung_a","Auszahlung",""),"")</f>
        <v/>
      </c>
      <c r="D1527" s="1"/>
    </row>
    <row r="1528" spans="1:4" x14ac:dyDescent="0.3">
      <c r="A1528" s="1"/>
      <c r="B1528" s="1" t="str">
        <f>IFERROR(IF(LEFT(Sensitivität_bzw_Monte_Carlo_bei_Strom[[#This Row],[Source.Name]],SEARCH("aus_der",Sensitivität_bzw_Monte_Carlo_bei_Strom[[#This Row],[Source.Name]],1))="Auszahlung_a","Auszahlung",""),"")</f>
        <v/>
      </c>
      <c r="D1528" s="1"/>
    </row>
    <row r="1529" spans="1:4" x14ac:dyDescent="0.3">
      <c r="A1529" s="1"/>
      <c r="B1529" s="1" t="str">
        <f>IFERROR(IF(LEFT(Sensitivität_bzw_Monte_Carlo_bei_Strom[[#This Row],[Source.Name]],SEARCH("aus_der",Sensitivität_bzw_Monte_Carlo_bei_Strom[[#This Row],[Source.Name]],1))="Auszahlung_a","Auszahlung",""),"")</f>
        <v/>
      </c>
      <c r="D1529" s="1"/>
    </row>
    <row r="1530" spans="1:4" x14ac:dyDescent="0.3">
      <c r="A1530" s="1"/>
      <c r="B1530" s="1" t="str">
        <f>IFERROR(IF(LEFT(Sensitivität_bzw_Monte_Carlo_bei_Strom[[#This Row],[Source.Name]],SEARCH("aus_der",Sensitivität_bzw_Monte_Carlo_bei_Strom[[#This Row],[Source.Name]],1))="Auszahlung_a","Auszahlung",""),"")</f>
        <v/>
      </c>
      <c r="D1530" s="1"/>
    </row>
    <row r="1531" spans="1:4" x14ac:dyDescent="0.3">
      <c r="A1531" s="1"/>
      <c r="B1531" s="1" t="str">
        <f>IFERROR(IF(LEFT(Sensitivität_bzw_Monte_Carlo_bei_Strom[[#This Row],[Source.Name]],SEARCH("aus_der",Sensitivität_bzw_Monte_Carlo_bei_Strom[[#This Row],[Source.Name]],1))="Auszahlung_a","Auszahlung",""),"")</f>
        <v/>
      </c>
      <c r="D1531" s="1"/>
    </row>
    <row r="1532" spans="1:4" x14ac:dyDescent="0.3">
      <c r="A1532" s="1"/>
      <c r="B1532" s="1" t="str">
        <f>IFERROR(IF(LEFT(Sensitivität_bzw_Monte_Carlo_bei_Strom[[#This Row],[Source.Name]],SEARCH("aus_der",Sensitivität_bzw_Monte_Carlo_bei_Strom[[#This Row],[Source.Name]],1))="Auszahlung_a","Auszahlung",""),"")</f>
        <v/>
      </c>
      <c r="D1532" s="1"/>
    </row>
    <row r="1533" spans="1:4" x14ac:dyDescent="0.3">
      <c r="A1533" s="1"/>
      <c r="B1533" s="1" t="str">
        <f>IFERROR(IF(LEFT(Sensitivität_bzw_Monte_Carlo_bei_Strom[[#This Row],[Source.Name]],SEARCH("aus_der",Sensitivität_bzw_Monte_Carlo_bei_Strom[[#This Row],[Source.Name]],1))="Auszahlung_a","Auszahlung",""),"")</f>
        <v/>
      </c>
      <c r="D1533" s="1"/>
    </row>
    <row r="1534" spans="1:4" x14ac:dyDescent="0.3">
      <c r="A1534" s="1"/>
      <c r="B1534" s="1" t="str">
        <f>IFERROR(IF(LEFT(Sensitivität_bzw_Monte_Carlo_bei_Strom[[#This Row],[Source.Name]],SEARCH("aus_der",Sensitivität_bzw_Monte_Carlo_bei_Strom[[#This Row],[Source.Name]],1))="Auszahlung_a","Auszahlung",""),"")</f>
        <v/>
      </c>
      <c r="D1534" s="1"/>
    </row>
    <row r="1535" spans="1:4" x14ac:dyDescent="0.3">
      <c r="A1535" s="1"/>
      <c r="B1535" s="1" t="str">
        <f>IFERROR(IF(LEFT(Sensitivität_bzw_Monte_Carlo_bei_Strom[[#This Row],[Source.Name]],SEARCH("aus_der",Sensitivität_bzw_Monte_Carlo_bei_Strom[[#This Row],[Source.Name]],1))="Auszahlung_a","Auszahlung",""),"")</f>
        <v/>
      </c>
      <c r="D1535" s="1"/>
    </row>
    <row r="1536" spans="1:4" x14ac:dyDescent="0.3">
      <c r="A1536" s="1"/>
      <c r="B1536" s="1" t="str">
        <f>IFERROR(IF(LEFT(Sensitivität_bzw_Monte_Carlo_bei_Strom[[#This Row],[Source.Name]],SEARCH("aus_der",Sensitivität_bzw_Monte_Carlo_bei_Strom[[#This Row],[Source.Name]],1))="Auszahlung_a","Auszahlung",""),"")</f>
        <v/>
      </c>
      <c r="D1536" s="1"/>
    </row>
    <row r="1537" spans="1:4" x14ac:dyDescent="0.3">
      <c r="A1537" s="1"/>
      <c r="B1537" s="1" t="str">
        <f>IFERROR(IF(LEFT(Sensitivität_bzw_Monte_Carlo_bei_Strom[[#This Row],[Source.Name]],SEARCH("aus_der",Sensitivität_bzw_Monte_Carlo_bei_Strom[[#This Row],[Source.Name]],1))="Auszahlung_a","Auszahlung",""),"")</f>
        <v/>
      </c>
      <c r="D1537" s="1"/>
    </row>
    <row r="1538" spans="1:4" x14ac:dyDescent="0.3">
      <c r="A1538" s="1"/>
      <c r="B1538" s="1" t="str">
        <f>IFERROR(IF(LEFT(Sensitivität_bzw_Monte_Carlo_bei_Strom[[#This Row],[Source.Name]],SEARCH("aus_der",Sensitivität_bzw_Monte_Carlo_bei_Strom[[#This Row],[Source.Name]],1))="Auszahlung_a","Auszahlung",""),"")</f>
        <v/>
      </c>
      <c r="D1538" s="1"/>
    </row>
    <row r="1539" spans="1:4" x14ac:dyDescent="0.3">
      <c r="A1539" s="1"/>
      <c r="B1539" s="1" t="str">
        <f>IFERROR(IF(LEFT(Sensitivität_bzw_Monte_Carlo_bei_Strom[[#This Row],[Source.Name]],SEARCH("aus_der",Sensitivität_bzw_Monte_Carlo_bei_Strom[[#This Row],[Source.Name]],1))="Auszahlung_a","Auszahlung",""),"")</f>
        <v/>
      </c>
      <c r="D1539" s="1"/>
    </row>
    <row r="1540" spans="1:4" x14ac:dyDescent="0.3">
      <c r="A1540" s="1"/>
      <c r="B1540" s="1" t="str">
        <f>IFERROR(IF(LEFT(Sensitivität_bzw_Monte_Carlo_bei_Strom[[#This Row],[Source.Name]],SEARCH("aus_der",Sensitivität_bzw_Monte_Carlo_bei_Strom[[#This Row],[Source.Name]],1))="Auszahlung_a","Auszahlung",""),"")</f>
        <v/>
      </c>
      <c r="D1540" s="1"/>
    </row>
    <row r="1541" spans="1:4" x14ac:dyDescent="0.3">
      <c r="A1541" s="1"/>
      <c r="B1541" s="1" t="str">
        <f>IFERROR(IF(LEFT(Sensitivität_bzw_Monte_Carlo_bei_Strom[[#This Row],[Source.Name]],SEARCH("aus_der",Sensitivität_bzw_Monte_Carlo_bei_Strom[[#This Row],[Source.Name]],1))="Auszahlung_a","Auszahlung",""),"")</f>
        <v/>
      </c>
      <c r="D1541" s="1"/>
    </row>
    <row r="1542" spans="1:4" x14ac:dyDescent="0.3">
      <c r="A1542" s="1"/>
      <c r="B1542" s="1" t="str">
        <f>IFERROR(IF(LEFT(Sensitivität_bzw_Monte_Carlo_bei_Strom[[#This Row],[Source.Name]],SEARCH("aus_der",Sensitivität_bzw_Monte_Carlo_bei_Strom[[#This Row],[Source.Name]],1))="Auszahlung_a","Auszahlung",""),"")</f>
        <v/>
      </c>
      <c r="D1542" s="1"/>
    </row>
    <row r="1543" spans="1:4" x14ac:dyDescent="0.3">
      <c r="A1543" s="1"/>
      <c r="B1543" s="1" t="str">
        <f>IFERROR(IF(LEFT(Sensitivität_bzw_Monte_Carlo_bei_Strom[[#This Row],[Source.Name]],SEARCH("aus_der",Sensitivität_bzw_Monte_Carlo_bei_Strom[[#This Row],[Source.Name]],1))="Auszahlung_a","Auszahlung",""),"")</f>
        <v/>
      </c>
      <c r="D1543" s="1"/>
    </row>
    <row r="1544" spans="1:4" x14ac:dyDescent="0.3">
      <c r="A1544" s="1"/>
      <c r="B1544" s="1" t="str">
        <f>IFERROR(IF(LEFT(Sensitivität_bzw_Monte_Carlo_bei_Strom[[#This Row],[Source.Name]],SEARCH("aus_der",Sensitivität_bzw_Monte_Carlo_bei_Strom[[#This Row],[Source.Name]],1))="Auszahlung_a","Auszahlung",""),"")</f>
        <v/>
      </c>
      <c r="D1544" s="1"/>
    </row>
    <row r="1545" spans="1:4" x14ac:dyDescent="0.3">
      <c r="A1545" s="1"/>
      <c r="B1545" s="1" t="str">
        <f>IFERROR(IF(LEFT(Sensitivität_bzw_Monte_Carlo_bei_Strom[[#This Row],[Source.Name]],SEARCH("aus_der",Sensitivität_bzw_Monte_Carlo_bei_Strom[[#This Row],[Source.Name]],1))="Auszahlung_a","Auszahlung",""),"")</f>
        <v/>
      </c>
      <c r="D1545" s="1"/>
    </row>
    <row r="1546" spans="1:4" x14ac:dyDescent="0.3">
      <c r="A1546" s="1"/>
      <c r="B1546" s="1" t="str">
        <f>IFERROR(IF(LEFT(Sensitivität_bzw_Monte_Carlo_bei_Strom[[#This Row],[Source.Name]],SEARCH("aus_der",Sensitivität_bzw_Monte_Carlo_bei_Strom[[#This Row],[Source.Name]],1))="Auszahlung_a","Auszahlung",""),"")</f>
        <v/>
      </c>
      <c r="D1546" s="1"/>
    </row>
    <row r="1547" spans="1:4" x14ac:dyDescent="0.3">
      <c r="A1547" s="1"/>
      <c r="B1547" s="1" t="str">
        <f>IFERROR(IF(LEFT(Sensitivität_bzw_Monte_Carlo_bei_Strom[[#This Row],[Source.Name]],SEARCH("aus_der",Sensitivität_bzw_Monte_Carlo_bei_Strom[[#This Row],[Source.Name]],1))="Auszahlung_a","Auszahlung",""),"")</f>
        <v/>
      </c>
      <c r="D1547" s="1"/>
    </row>
    <row r="1548" spans="1:4" x14ac:dyDescent="0.3">
      <c r="A1548" s="1"/>
      <c r="B1548" s="1" t="str">
        <f>IFERROR(IF(LEFT(Sensitivität_bzw_Monte_Carlo_bei_Strom[[#This Row],[Source.Name]],SEARCH("aus_der",Sensitivität_bzw_Monte_Carlo_bei_Strom[[#This Row],[Source.Name]],1))="Auszahlung_a","Auszahlung",""),"")</f>
        <v/>
      </c>
      <c r="D1548" s="1"/>
    </row>
    <row r="1549" spans="1:4" x14ac:dyDescent="0.3">
      <c r="A1549" s="1"/>
      <c r="B1549" s="1" t="str">
        <f>IFERROR(IF(LEFT(Sensitivität_bzw_Monte_Carlo_bei_Strom[[#This Row],[Source.Name]],SEARCH("aus_der",Sensitivität_bzw_Monte_Carlo_bei_Strom[[#This Row],[Source.Name]],1))="Auszahlung_a","Auszahlung",""),"")</f>
        <v/>
      </c>
      <c r="D1549" s="1"/>
    </row>
    <row r="1550" spans="1:4" x14ac:dyDescent="0.3">
      <c r="A1550" s="1"/>
      <c r="B1550" s="1" t="str">
        <f>IFERROR(IF(LEFT(Sensitivität_bzw_Monte_Carlo_bei_Strom[[#This Row],[Source.Name]],SEARCH("aus_der",Sensitivität_bzw_Monte_Carlo_bei_Strom[[#This Row],[Source.Name]],1))="Auszahlung_a","Auszahlung",""),"")</f>
        <v/>
      </c>
      <c r="D1550" s="1"/>
    </row>
    <row r="1551" spans="1:4" x14ac:dyDescent="0.3">
      <c r="A1551" s="1"/>
      <c r="B1551" s="1" t="str">
        <f>IFERROR(IF(LEFT(Sensitivität_bzw_Monte_Carlo_bei_Strom[[#This Row],[Source.Name]],SEARCH("aus_der",Sensitivität_bzw_Monte_Carlo_bei_Strom[[#This Row],[Source.Name]],1))="Auszahlung_a","Auszahlung",""),"")</f>
        <v/>
      </c>
      <c r="D1551" s="1"/>
    </row>
    <row r="1552" spans="1:4" x14ac:dyDescent="0.3">
      <c r="A1552" s="1"/>
      <c r="B1552" s="1" t="str">
        <f>IFERROR(IF(LEFT(Sensitivität_bzw_Monte_Carlo_bei_Strom[[#This Row],[Source.Name]],SEARCH("aus_der",Sensitivität_bzw_Monte_Carlo_bei_Strom[[#This Row],[Source.Name]],1))="Auszahlung_a","Auszahlung",""),"")</f>
        <v/>
      </c>
      <c r="D1552" s="1"/>
    </row>
    <row r="1553" spans="1:4" x14ac:dyDescent="0.3">
      <c r="A1553" s="1"/>
      <c r="B1553" s="1" t="str">
        <f>IFERROR(IF(LEFT(Sensitivität_bzw_Monte_Carlo_bei_Strom[[#This Row],[Source.Name]],SEARCH("aus_der",Sensitivität_bzw_Monte_Carlo_bei_Strom[[#This Row],[Source.Name]],1))="Auszahlung_a","Auszahlung",""),"")</f>
        <v/>
      </c>
      <c r="D1553" s="1"/>
    </row>
    <row r="1554" spans="1:4" x14ac:dyDescent="0.3">
      <c r="A1554" s="1"/>
      <c r="B1554" s="1" t="str">
        <f>IFERROR(IF(LEFT(Sensitivität_bzw_Monte_Carlo_bei_Strom[[#This Row],[Source.Name]],SEARCH("aus_der",Sensitivität_bzw_Monte_Carlo_bei_Strom[[#This Row],[Source.Name]],1))="Auszahlung_a","Auszahlung",""),"")</f>
        <v/>
      </c>
      <c r="D1554" s="1"/>
    </row>
    <row r="1555" spans="1:4" x14ac:dyDescent="0.3">
      <c r="A1555" s="1"/>
      <c r="B1555" s="1" t="str">
        <f>IFERROR(IF(LEFT(Sensitivität_bzw_Monte_Carlo_bei_Strom[[#This Row],[Source.Name]],SEARCH("aus_der",Sensitivität_bzw_Monte_Carlo_bei_Strom[[#This Row],[Source.Name]],1))="Auszahlung_a","Auszahlung",""),"")</f>
        <v/>
      </c>
      <c r="D1555" s="1"/>
    </row>
    <row r="1556" spans="1:4" x14ac:dyDescent="0.3">
      <c r="A1556" s="1"/>
      <c r="B1556" s="1" t="str">
        <f>IFERROR(IF(LEFT(Sensitivität_bzw_Monte_Carlo_bei_Strom[[#This Row],[Source.Name]],SEARCH("aus_der",Sensitivität_bzw_Monte_Carlo_bei_Strom[[#This Row],[Source.Name]],1))="Auszahlung_a","Auszahlung",""),"")</f>
        <v/>
      </c>
      <c r="D1556" s="1"/>
    </row>
    <row r="1557" spans="1:4" x14ac:dyDescent="0.3">
      <c r="A1557" s="1"/>
      <c r="B1557" s="1" t="str">
        <f>IFERROR(IF(LEFT(Sensitivität_bzw_Monte_Carlo_bei_Strom[[#This Row],[Source.Name]],SEARCH("aus_der",Sensitivität_bzw_Monte_Carlo_bei_Strom[[#This Row],[Source.Name]],1))="Auszahlung_a","Auszahlung",""),"")</f>
        <v/>
      </c>
      <c r="D1557" s="1"/>
    </row>
    <row r="1558" spans="1:4" x14ac:dyDescent="0.3">
      <c r="A1558" s="1"/>
      <c r="B1558" s="1" t="str">
        <f>IFERROR(IF(LEFT(Sensitivität_bzw_Monte_Carlo_bei_Strom[[#This Row],[Source.Name]],SEARCH("aus_der",Sensitivität_bzw_Monte_Carlo_bei_Strom[[#This Row],[Source.Name]],1))="Auszahlung_a","Auszahlung",""),"")</f>
        <v/>
      </c>
      <c r="D1558" s="1"/>
    </row>
    <row r="1559" spans="1:4" x14ac:dyDescent="0.3">
      <c r="A1559" s="1"/>
      <c r="B1559" s="1" t="str">
        <f>IFERROR(IF(LEFT(Sensitivität_bzw_Monte_Carlo_bei_Strom[[#This Row],[Source.Name]],SEARCH("aus_der",Sensitivität_bzw_Monte_Carlo_bei_Strom[[#This Row],[Source.Name]],1))="Auszahlung_a","Auszahlung",""),"")</f>
        <v/>
      </c>
      <c r="D1559" s="1"/>
    </row>
    <row r="1560" spans="1:4" x14ac:dyDescent="0.3">
      <c r="A1560" s="1"/>
      <c r="B1560" s="1" t="str">
        <f>IFERROR(IF(LEFT(Sensitivität_bzw_Monte_Carlo_bei_Strom[[#This Row],[Source.Name]],SEARCH("aus_der",Sensitivität_bzw_Monte_Carlo_bei_Strom[[#This Row],[Source.Name]],1))="Auszahlung_a","Auszahlung",""),"")</f>
        <v/>
      </c>
      <c r="D1560" s="1"/>
    </row>
    <row r="1561" spans="1:4" x14ac:dyDescent="0.3">
      <c r="A1561" s="1"/>
      <c r="B1561" s="1" t="str">
        <f>IFERROR(IF(LEFT(Sensitivität_bzw_Monte_Carlo_bei_Strom[[#This Row],[Source.Name]],SEARCH("aus_der",Sensitivität_bzw_Monte_Carlo_bei_Strom[[#This Row],[Source.Name]],1))="Auszahlung_a","Auszahlung",""),"")</f>
        <v/>
      </c>
      <c r="D1561" s="1"/>
    </row>
    <row r="1562" spans="1:4" x14ac:dyDescent="0.3">
      <c r="A1562" s="1"/>
      <c r="B1562" s="1" t="str">
        <f>IFERROR(IF(LEFT(Sensitivität_bzw_Monte_Carlo_bei_Strom[[#This Row],[Source.Name]],SEARCH("aus_der",Sensitivität_bzw_Monte_Carlo_bei_Strom[[#This Row],[Source.Name]],1))="Auszahlung_a","Auszahlung",""),"")</f>
        <v/>
      </c>
      <c r="D1562" s="1"/>
    </row>
    <row r="1563" spans="1:4" x14ac:dyDescent="0.3">
      <c r="A1563" s="1"/>
      <c r="B1563" s="1" t="str">
        <f>IFERROR(IF(LEFT(Sensitivität_bzw_Monte_Carlo_bei_Strom[[#This Row],[Source.Name]],SEARCH("aus_der",Sensitivität_bzw_Monte_Carlo_bei_Strom[[#This Row],[Source.Name]],1))="Auszahlung_a","Auszahlung",""),"")</f>
        <v/>
      </c>
      <c r="D1563" s="1"/>
    </row>
    <row r="1564" spans="1:4" x14ac:dyDescent="0.3">
      <c r="A1564" s="1"/>
      <c r="B1564" s="1" t="str">
        <f>IFERROR(IF(LEFT(Sensitivität_bzw_Monte_Carlo_bei_Strom[[#This Row],[Source.Name]],SEARCH("aus_der",Sensitivität_bzw_Monte_Carlo_bei_Strom[[#This Row],[Source.Name]],1))="Auszahlung_a","Auszahlung",""),"")</f>
        <v/>
      </c>
      <c r="D1564" s="1"/>
    </row>
    <row r="1565" spans="1:4" x14ac:dyDescent="0.3">
      <c r="A1565" s="1"/>
      <c r="B1565" s="1" t="str">
        <f>IFERROR(IF(LEFT(Sensitivität_bzw_Monte_Carlo_bei_Strom[[#This Row],[Source.Name]],SEARCH("aus_der",Sensitivität_bzw_Monte_Carlo_bei_Strom[[#This Row],[Source.Name]],1))="Auszahlung_a","Auszahlung",""),"")</f>
        <v/>
      </c>
      <c r="D1565" s="1"/>
    </row>
    <row r="1566" spans="1:4" x14ac:dyDescent="0.3">
      <c r="A1566" s="1"/>
      <c r="B1566" s="1" t="str">
        <f>IFERROR(IF(LEFT(Sensitivität_bzw_Monte_Carlo_bei_Strom[[#This Row],[Source.Name]],SEARCH("aus_der",Sensitivität_bzw_Monte_Carlo_bei_Strom[[#This Row],[Source.Name]],1))="Auszahlung_a","Auszahlung",""),"")</f>
        <v/>
      </c>
      <c r="D1566" s="1"/>
    </row>
    <row r="1567" spans="1:4" x14ac:dyDescent="0.3">
      <c r="A1567" s="1"/>
      <c r="B1567" s="1" t="str">
        <f>IFERROR(IF(LEFT(Sensitivität_bzw_Monte_Carlo_bei_Strom[[#This Row],[Source.Name]],SEARCH("aus_der",Sensitivität_bzw_Monte_Carlo_bei_Strom[[#This Row],[Source.Name]],1))="Auszahlung_a","Auszahlung",""),"")</f>
        <v/>
      </c>
      <c r="D1567" s="1"/>
    </row>
    <row r="1568" spans="1:4" x14ac:dyDescent="0.3">
      <c r="A1568" s="1"/>
      <c r="B1568" s="1" t="str">
        <f>IFERROR(IF(LEFT(Sensitivität_bzw_Monte_Carlo_bei_Strom[[#This Row],[Source.Name]],SEARCH("aus_der",Sensitivität_bzw_Monte_Carlo_bei_Strom[[#This Row],[Source.Name]],1))="Auszahlung_a","Auszahlung",""),"")</f>
        <v/>
      </c>
      <c r="D1568" s="1"/>
    </row>
    <row r="1569" spans="1:4" x14ac:dyDescent="0.3">
      <c r="A1569" s="1"/>
      <c r="B1569" s="1" t="str">
        <f>IFERROR(IF(LEFT(Sensitivität_bzw_Monte_Carlo_bei_Strom[[#This Row],[Source.Name]],SEARCH("aus_der",Sensitivität_bzw_Monte_Carlo_bei_Strom[[#This Row],[Source.Name]],1))="Auszahlung_a","Auszahlung",""),"")</f>
        <v/>
      </c>
      <c r="D1569" s="1"/>
    </row>
    <row r="1570" spans="1:4" x14ac:dyDescent="0.3">
      <c r="A1570" s="1"/>
      <c r="B1570" s="1" t="str">
        <f>IFERROR(IF(LEFT(Sensitivität_bzw_Monte_Carlo_bei_Strom[[#This Row],[Source.Name]],SEARCH("aus_der",Sensitivität_bzw_Monte_Carlo_bei_Strom[[#This Row],[Source.Name]],1))="Auszahlung_a","Auszahlung",""),"")</f>
        <v/>
      </c>
      <c r="D1570" s="1"/>
    </row>
    <row r="1571" spans="1:4" x14ac:dyDescent="0.3">
      <c r="A1571" s="1"/>
      <c r="B1571" s="1" t="str">
        <f>IFERROR(IF(LEFT(Sensitivität_bzw_Monte_Carlo_bei_Strom[[#This Row],[Source.Name]],SEARCH("aus_der",Sensitivität_bzw_Monte_Carlo_bei_Strom[[#This Row],[Source.Name]],1))="Auszahlung_a","Auszahlung",""),"")</f>
        <v/>
      </c>
      <c r="D1571" s="1"/>
    </row>
    <row r="1572" spans="1:4" x14ac:dyDescent="0.3">
      <c r="A1572" s="1"/>
      <c r="B1572" s="1" t="str">
        <f>IFERROR(IF(LEFT(Sensitivität_bzw_Monte_Carlo_bei_Strom[[#This Row],[Source.Name]],SEARCH("aus_der",Sensitivität_bzw_Monte_Carlo_bei_Strom[[#This Row],[Source.Name]],1))="Auszahlung_a","Auszahlung",""),"")</f>
        <v/>
      </c>
      <c r="D1572" s="1"/>
    </row>
    <row r="1573" spans="1:4" x14ac:dyDescent="0.3">
      <c r="A1573" s="1"/>
      <c r="B1573" s="1" t="str">
        <f>IFERROR(IF(LEFT(Sensitivität_bzw_Monte_Carlo_bei_Strom[[#This Row],[Source.Name]],SEARCH("aus_der",Sensitivität_bzw_Monte_Carlo_bei_Strom[[#This Row],[Source.Name]],1))="Auszahlung_a","Auszahlung",""),"")</f>
        <v/>
      </c>
      <c r="D1573" s="1"/>
    </row>
    <row r="1574" spans="1:4" x14ac:dyDescent="0.3">
      <c r="A1574" s="1"/>
      <c r="B1574" s="1" t="str">
        <f>IFERROR(IF(LEFT(Sensitivität_bzw_Monte_Carlo_bei_Strom[[#This Row],[Source.Name]],SEARCH("aus_der",Sensitivität_bzw_Monte_Carlo_bei_Strom[[#This Row],[Source.Name]],1))="Auszahlung_a","Auszahlung",""),"")</f>
        <v/>
      </c>
      <c r="D1574" s="1"/>
    </row>
    <row r="1575" spans="1:4" x14ac:dyDescent="0.3">
      <c r="A1575" s="1"/>
      <c r="B1575" s="1" t="str">
        <f>IFERROR(IF(LEFT(Sensitivität_bzw_Monte_Carlo_bei_Strom[[#This Row],[Source.Name]],SEARCH("aus_der",Sensitivität_bzw_Monte_Carlo_bei_Strom[[#This Row],[Source.Name]],1))="Auszahlung_a","Auszahlung",""),"")</f>
        <v/>
      </c>
      <c r="D1575" s="1"/>
    </row>
    <row r="1576" spans="1:4" x14ac:dyDescent="0.3">
      <c r="A1576" s="1"/>
      <c r="B1576" s="1" t="str">
        <f>IFERROR(IF(LEFT(Sensitivität_bzw_Monte_Carlo_bei_Strom[[#This Row],[Source.Name]],SEARCH("aus_der",Sensitivität_bzw_Monte_Carlo_bei_Strom[[#This Row],[Source.Name]],1))="Auszahlung_a","Auszahlung",""),"")</f>
        <v/>
      </c>
      <c r="D1576" s="1"/>
    </row>
    <row r="1577" spans="1:4" x14ac:dyDescent="0.3">
      <c r="A1577" s="1"/>
      <c r="B1577" s="1" t="str">
        <f>IFERROR(IF(LEFT(Sensitivität_bzw_Monte_Carlo_bei_Strom[[#This Row],[Source.Name]],SEARCH("aus_der",Sensitivität_bzw_Monte_Carlo_bei_Strom[[#This Row],[Source.Name]],1))="Auszahlung_a","Auszahlung",""),"")</f>
        <v/>
      </c>
      <c r="D1577" s="1"/>
    </row>
    <row r="1578" spans="1:4" x14ac:dyDescent="0.3">
      <c r="A1578" s="1"/>
      <c r="B1578" s="1" t="str">
        <f>IFERROR(IF(LEFT(Sensitivität_bzw_Monte_Carlo_bei_Strom[[#This Row],[Source.Name]],SEARCH("aus_der",Sensitivität_bzw_Monte_Carlo_bei_Strom[[#This Row],[Source.Name]],1))="Auszahlung_a","Auszahlung",""),"")</f>
        <v/>
      </c>
      <c r="D1578" s="1"/>
    </row>
    <row r="1579" spans="1:4" x14ac:dyDescent="0.3">
      <c r="A1579" s="1"/>
      <c r="B1579" s="1" t="str">
        <f>IFERROR(IF(LEFT(Sensitivität_bzw_Monte_Carlo_bei_Strom[[#This Row],[Source.Name]],SEARCH("aus_der",Sensitivität_bzw_Monte_Carlo_bei_Strom[[#This Row],[Source.Name]],1))="Auszahlung_a","Auszahlung",""),"")</f>
        <v/>
      </c>
      <c r="D1579" s="1"/>
    </row>
    <row r="1580" spans="1:4" x14ac:dyDescent="0.3">
      <c r="A1580" s="1"/>
      <c r="B1580" s="1" t="str">
        <f>IFERROR(IF(LEFT(Sensitivität_bzw_Monte_Carlo_bei_Strom[[#This Row],[Source.Name]],SEARCH("aus_der",Sensitivität_bzw_Monte_Carlo_bei_Strom[[#This Row],[Source.Name]],1))="Auszahlung_a","Auszahlung",""),"")</f>
        <v/>
      </c>
      <c r="D1580" s="1"/>
    </row>
    <row r="1581" spans="1:4" x14ac:dyDescent="0.3">
      <c r="A1581" s="1"/>
      <c r="B1581" s="1" t="str">
        <f>IFERROR(IF(LEFT(Sensitivität_bzw_Monte_Carlo_bei_Strom[[#This Row],[Source.Name]],SEARCH("aus_der",Sensitivität_bzw_Monte_Carlo_bei_Strom[[#This Row],[Source.Name]],1))="Auszahlung_a","Auszahlung",""),"")</f>
        <v/>
      </c>
      <c r="D1581" s="1"/>
    </row>
    <row r="1582" spans="1:4" x14ac:dyDescent="0.3">
      <c r="A1582" s="1"/>
      <c r="B1582" s="1" t="str">
        <f>IFERROR(IF(LEFT(Sensitivität_bzw_Monte_Carlo_bei_Strom[[#This Row],[Source.Name]],SEARCH("aus_der",Sensitivität_bzw_Monte_Carlo_bei_Strom[[#This Row],[Source.Name]],1))="Auszahlung_a","Auszahlung",""),"")</f>
        <v/>
      </c>
      <c r="D1582" s="1"/>
    </row>
    <row r="1583" spans="1:4" x14ac:dyDescent="0.3">
      <c r="A1583" s="1"/>
      <c r="B1583" s="1" t="str">
        <f>IFERROR(IF(LEFT(Sensitivität_bzw_Monte_Carlo_bei_Strom[[#This Row],[Source.Name]],SEARCH("aus_der",Sensitivität_bzw_Monte_Carlo_bei_Strom[[#This Row],[Source.Name]],1))="Auszahlung_a","Auszahlung",""),"")</f>
        <v/>
      </c>
      <c r="D1583" s="1"/>
    </row>
    <row r="1584" spans="1:4" x14ac:dyDescent="0.3">
      <c r="A1584" s="1"/>
      <c r="B1584" s="1" t="str">
        <f>IFERROR(IF(LEFT(Sensitivität_bzw_Monte_Carlo_bei_Strom[[#This Row],[Source.Name]],SEARCH("aus_der",Sensitivität_bzw_Monte_Carlo_bei_Strom[[#This Row],[Source.Name]],1))="Auszahlung_a","Auszahlung",""),"")</f>
        <v/>
      </c>
      <c r="D1584" s="1"/>
    </row>
    <row r="1585" spans="1:4" x14ac:dyDescent="0.3">
      <c r="A1585" s="1"/>
      <c r="B1585" s="1" t="str">
        <f>IFERROR(IF(LEFT(Sensitivität_bzw_Monte_Carlo_bei_Strom[[#This Row],[Source.Name]],SEARCH("aus_der",Sensitivität_bzw_Monte_Carlo_bei_Strom[[#This Row],[Source.Name]],1))="Auszahlung_a","Auszahlung",""),"")</f>
        <v/>
      </c>
      <c r="D1585" s="1"/>
    </row>
    <row r="1586" spans="1:4" x14ac:dyDescent="0.3">
      <c r="A1586" s="1"/>
      <c r="B1586" s="1" t="str">
        <f>IFERROR(IF(LEFT(Sensitivität_bzw_Monte_Carlo_bei_Strom[[#This Row],[Source.Name]],SEARCH("aus_der",Sensitivität_bzw_Monte_Carlo_bei_Strom[[#This Row],[Source.Name]],1))="Auszahlung_a","Auszahlung",""),"")</f>
        <v/>
      </c>
      <c r="D1586" s="1"/>
    </row>
    <row r="1587" spans="1:4" x14ac:dyDescent="0.3">
      <c r="A1587" s="1"/>
      <c r="B1587" s="1" t="str">
        <f>IFERROR(IF(LEFT(Sensitivität_bzw_Monte_Carlo_bei_Strom[[#This Row],[Source.Name]],SEARCH("aus_der",Sensitivität_bzw_Monte_Carlo_bei_Strom[[#This Row],[Source.Name]],1))="Auszahlung_a","Auszahlung",""),"")</f>
        <v/>
      </c>
      <c r="D1587" s="1"/>
    </row>
    <row r="1588" spans="1:4" x14ac:dyDescent="0.3">
      <c r="A1588" s="1"/>
      <c r="B1588" s="1" t="str">
        <f>IFERROR(IF(LEFT(Sensitivität_bzw_Monte_Carlo_bei_Strom[[#This Row],[Source.Name]],SEARCH("aus_der",Sensitivität_bzw_Monte_Carlo_bei_Strom[[#This Row],[Source.Name]],1))="Auszahlung_a","Auszahlung",""),"")</f>
        <v/>
      </c>
      <c r="D1588" s="1"/>
    </row>
    <row r="1589" spans="1:4" x14ac:dyDescent="0.3">
      <c r="A1589" s="1"/>
      <c r="B1589" s="1" t="str">
        <f>IFERROR(IF(LEFT(Sensitivität_bzw_Monte_Carlo_bei_Strom[[#This Row],[Source.Name]],SEARCH("aus_der",Sensitivität_bzw_Monte_Carlo_bei_Strom[[#This Row],[Source.Name]],1))="Auszahlung_a","Auszahlung",""),"")</f>
        <v/>
      </c>
      <c r="D1589" s="1"/>
    </row>
    <row r="1590" spans="1:4" x14ac:dyDescent="0.3">
      <c r="A1590" s="1"/>
      <c r="B1590" s="1" t="str">
        <f>IFERROR(IF(LEFT(Sensitivität_bzw_Monte_Carlo_bei_Strom[[#This Row],[Source.Name]],SEARCH("aus_der",Sensitivität_bzw_Monte_Carlo_bei_Strom[[#This Row],[Source.Name]],1))="Auszahlung_a","Auszahlung",""),"")</f>
        <v/>
      </c>
      <c r="D1590" s="1"/>
    </row>
    <row r="1591" spans="1:4" x14ac:dyDescent="0.3">
      <c r="A1591" s="1"/>
      <c r="B1591" s="1" t="str">
        <f>IFERROR(IF(LEFT(Sensitivität_bzw_Monte_Carlo_bei_Strom[[#This Row],[Source.Name]],SEARCH("aus_der",Sensitivität_bzw_Monte_Carlo_bei_Strom[[#This Row],[Source.Name]],1))="Auszahlung_a","Auszahlung",""),"")</f>
        <v/>
      </c>
      <c r="D1591" s="1"/>
    </row>
    <row r="1592" spans="1:4" x14ac:dyDescent="0.3">
      <c r="A1592" s="1"/>
      <c r="B1592" s="1" t="str">
        <f>IFERROR(IF(LEFT(Sensitivität_bzw_Monte_Carlo_bei_Strom[[#This Row],[Source.Name]],SEARCH("aus_der",Sensitivität_bzw_Monte_Carlo_bei_Strom[[#This Row],[Source.Name]],1))="Auszahlung_a","Auszahlung",""),"")</f>
        <v/>
      </c>
      <c r="D1592" s="1"/>
    </row>
    <row r="1593" spans="1:4" x14ac:dyDescent="0.3">
      <c r="A1593" s="1"/>
      <c r="B1593" s="1" t="str">
        <f>IFERROR(IF(LEFT(Sensitivität_bzw_Monte_Carlo_bei_Strom[[#This Row],[Source.Name]],SEARCH("aus_der",Sensitivität_bzw_Monte_Carlo_bei_Strom[[#This Row],[Source.Name]],1))="Auszahlung_a","Auszahlung",""),"")</f>
        <v/>
      </c>
      <c r="D1593" s="1"/>
    </row>
    <row r="1594" spans="1:4" x14ac:dyDescent="0.3">
      <c r="A1594" s="1"/>
      <c r="B1594" s="1" t="str">
        <f>IFERROR(IF(LEFT(Sensitivität_bzw_Monte_Carlo_bei_Strom[[#This Row],[Source.Name]],SEARCH("aus_der",Sensitivität_bzw_Monte_Carlo_bei_Strom[[#This Row],[Source.Name]],1))="Auszahlung_a","Auszahlung",""),"")</f>
        <v/>
      </c>
      <c r="D1594" s="1"/>
    </row>
    <row r="1595" spans="1:4" x14ac:dyDescent="0.3">
      <c r="A1595" s="1"/>
      <c r="B1595" s="1" t="str">
        <f>IFERROR(IF(LEFT(Sensitivität_bzw_Monte_Carlo_bei_Strom[[#This Row],[Source.Name]],SEARCH("aus_der",Sensitivität_bzw_Monte_Carlo_bei_Strom[[#This Row],[Source.Name]],1))="Auszahlung_a","Auszahlung",""),"")</f>
        <v/>
      </c>
      <c r="D1595" s="1"/>
    </row>
    <row r="1596" spans="1:4" x14ac:dyDescent="0.3">
      <c r="A1596" s="1"/>
      <c r="B1596" s="1" t="str">
        <f>IFERROR(IF(LEFT(Sensitivität_bzw_Monte_Carlo_bei_Strom[[#This Row],[Source.Name]],SEARCH("aus_der",Sensitivität_bzw_Monte_Carlo_bei_Strom[[#This Row],[Source.Name]],1))="Auszahlung_a","Auszahlung",""),"")</f>
        <v/>
      </c>
      <c r="D1596" s="1"/>
    </row>
    <row r="1597" spans="1:4" x14ac:dyDescent="0.3">
      <c r="A1597" s="1"/>
      <c r="B1597" s="1" t="str">
        <f>IFERROR(IF(LEFT(Sensitivität_bzw_Monte_Carlo_bei_Strom[[#This Row],[Source.Name]],SEARCH("aus_der",Sensitivität_bzw_Monte_Carlo_bei_Strom[[#This Row],[Source.Name]],1))="Auszahlung_a","Auszahlung",""),"")</f>
        <v/>
      </c>
      <c r="D1597" s="1"/>
    </row>
    <row r="1598" spans="1:4" x14ac:dyDescent="0.3">
      <c r="A1598" s="1"/>
      <c r="B1598" s="1" t="str">
        <f>IFERROR(IF(LEFT(Sensitivität_bzw_Monte_Carlo_bei_Strom[[#This Row],[Source.Name]],SEARCH("aus_der",Sensitivität_bzw_Monte_Carlo_bei_Strom[[#This Row],[Source.Name]],1))="Auszahlung_a","Auszahlung",""),"")</f>
        <v/>
      </c>
      <c r="D1598" s="1"/>
    </row>
    <row r="1599" spans="1:4" x14ac:dyDescent="0.3">
      <c r="A1599" s="1"/>
      <c r="B1599" s="1" t="str">
        <f>IFERROR(IF(LEFT(Sensitivität_bzw_Monte_Carlo_bei_Strom[[#This Row],[Source.Name]],SEARCH("aus_der",Sensitivität_bzw_Monte_Carlo_bei_Strom[[#This Row],[Source.Name]],1))="Auszahlung_a","Auszahlung",""),"")</f>
        <v/>
      </c>
      <c r="D1599" s="1"/>
    </row>
    <row r="1600" spans="1:4" x14ac:dyDescent="0.3">
      <c r="A1600" s="1"/>
      <c r="B1600" s="1" t="str">
        <f>IFERROR(IF(LEFT(Sensitivität_bzw_Monte_Carlo_bei_Strom[[#This Row],[Source.Name]],SEARCH("aus_der",Sensitivität_bzw_Monte_Carlo_bei_Strom[[#This Row],[Source.Name]],1))="Auszahlung_a","Auszahlung",""),"")</f>
        <v/>
      </c>
      <c r="D1600" s="1"/>
    </row>
    <row r="1601" spans="1:4" x14ac:dyDescent="0.3">
      <c r="A1601" s="1"/>
      <c r="B1601" s="1" t="str">
        <f>IFERROR(IF(LEFT(Sensitivität_bzw_Monte_Carlo_bei_Strom[[#This Row],[Source.Name]],SEARCH("aus_der",Sensitivität_bzw_Monte_Carlo_bei_Strom[[#This Row],[Source.Name]],1))="Auszahlung_a","Auszahlung",""),"")</f>
        <v/>
      </c>
      <c r="D1601" s="1"/>
    </row>
    <row r="1602" spans="1:4" x14ac:dyDescent="0.3">
      <c r="A1602" s="1"/>
      <c r="B1602" s="1" t="str">
        <f>IFERROR(IF(LEFT(Sensitivität_bzw_Monte_Carlo_bei_Strom[[#This Row],[Source.Name]],SEARCH("aus_der",Sensitivität_bzw_Monte_Carlo_bei_Strom[[#This Row],[Source.Name]],1))="Auszahlung_a","Auszahlung",""),"")</f>
        <v/>
      </c>
      <c r="D1602" s="1"/>
    </row>
    <row r="1603" spans="1:4" x14ac:dyDescent="0.3">
      <c r="A1603" s="1"/>
      <c r="B1603" s="1" t="str">
        <f>IFERROR(IF(LEFT(Sensitivität_bzw_Monte_Carlo_bei_Strom[[#This Row],[Source.Name]],SEARCH("aus_der",Sensitivität_bzw_Monte_Carlo_bei_Strom[[#This Row],[Source.Name]],1))="Auszahlung_a","Auszahlung",""),"")</f>
        <v/>
      </c>
      <c r="D1603" s="1"/>
    </row>
    <row r="1604" spans="1:4" x14ac:dyDescent="0.3">
      <c r="A1604" s="1"/>
      <c r="B1604" s="1" t="str">
        <f>IFERROR(IF(LEFT(Sensitivität_bzw_Monte_Carlo_bei_Strom[[#This Row],[Source.Name]],SEARCH("aus_der",Sensitivität_bzw_Monte_Carlo_bei_Strom[[#This Row],[Source.Name]],1))="Auszahlung_a","Auszahlung",""),"")</f>
        <v/>
      </c>
      <c r="D1604" s="1"/>
    </row>
    <row r="1605" spans="1:4" x14ac:dyDescent="0.3">
      <c r="A1605" s="1"/>
      <c r="B1605" s="1" t="str">
        <f>IFERROR(IF(LEFT(Sensitivität_bzw_Monte_Carlo_bei_Strom[[#This Row],[Source.Name]],SEARCH("aus_der",Sensitivität_bzw_Monte_Carlo_bei_Strom[[#This Row],[Source.Name]],1))="Auszahlung_a","Auszahlung",""),"")</f>
        <v/>
      </c>
      <c r="D1605" s="1"/>
    </row>
    <row r="1606" spans="1:4" x14ac:dyDescent="0.3">
      <c r="A1606" s="1"/>
      <c r="B1606" s="1" t="str">
        <f>IFERROR(IF(LEFT(Sensitivität_bzw_Monte_Carlo_bei_Strom[[#This Row],[Source.Name]],SEARCH("aus_der",Sensitivität_bzw_Monte_Carlo_bei_Strom[[#This Row],[Source.Name]],1))="Auszahlung_a","Auszahlung",""),"")</f>
        <v/>
      </c>
      <c r="D1606" s="1"/>
    </row>
    <row r="1607" spans="1:4" x14ac:dyDescent="0.3">
      <c r="A1607" s="1"/>
      <c r="B1607" s="1" t="str">
        <f>IFERROR(IF(LEFT(Sensitivität_bzw_Monte_Carlo_bei_Strom[[#This Row],[Source.Name]],SEARCH("aus_der",Sensitivität_bzw_Monte_Carlo_bei_Strom[[#This Row],[Source.Name]],1))="Auszahlung_a","Auszahlung",""),"")</f>
        <v/>
      </c>
      <c r="D1607" s="1"/>
    </row>
    <row r="1608" spans="1:4" x14ac:dyDescent="0.3">
      <c r="A1608" s="1"/>
      <c r="B1608" s="1" t="str">
        <f>IFERROR(IF(LEFT(Sensitivität_bzw_Monte_Carlo_bei_Strom[[#This Row],[Source.Name]],SEARCH("aus_der",Sensitivität_bzw_Monte_Carlo_bei_Strom[[#This Row],[Source.Name]],1))="Auszahlung_a","Auszahlung",""),"")</f>
        <v/>
      </c>
      <c r="D1608" s="1"/>
    </row>
    <row r="1609" spans="1:4" x14ac:dyDescent="0.3">
      <c r="A1609" s="1"/>
      <c r="B1609" s="1" t="str">
        <f>IFERROR(IF(LEFT(Sensitivität_bzw_Monte_Carlo_bei_Strom[[#This Row],[Source.Name]],SEARCH("aus_der",Sensitivität_bzw_Monte_Carlo_bei_Strom[[#This Row],[Source.Name]],1))="Auszahlung_a","Auszahlung",""),"")</f>
        <v/>
      </c>
      <c r="D1609" s="1"/>
    </row>
    <row r="1610" spans="1:4" x14ac:dyDescent="0.3">
      <c r="A1610" s="1"/>
      <c r="B1610" s="1" t="str">
        <f>IFERROR(IF(LEFT(Sensitivität_bzw_Monte_Carlo_bei_Strom[[#This Row],[Source.Name]],SEARCH("aus_der",Sensitivität_bzw_Monte_Carlo_bei_Strom[[#This Row],[Source.Name]],1))="Auszahlung_a","Auszahlung",""),"")</f>
        <v/>
      </c>
      <c r="D1610" s="1"/>
    </row>
    <row r="1611" spans="1:4" x14ac:dyDescent="0.3">
      <c r="A1611" s="1"/>
      <c r="B1611" s="1" t="str">
        <f>IFERROR(IF(LEFT(Sensitivität_bzw_Monte_Carlo_bei_Strom[[#This Row],[Source.Name]],SEARCH("aus_der",Sensitivität_bzw_Monte_Carlo_bei_Strom[[#This Row],[Source.Name]],1))="Auszahlung_a","Auszahlung",""),"")</f>
        <v/>
      </c>
      <c r="D1611" s="1"/>
    </row>
    <row r="1612" spans="1:4" x14ac:dyDescent="0.3">
      <c r="A1612" s="1"/>
      <c r="B1612" s="1" t="str">
        <f>IFERROR(IF(LEFT(Sensitivität_bzw_Monte_Carlo_bei_Strom[[#This Row],[Source.Name]],SEARCH("aus_der",Sensitivität_bzw_Monte_Carlo_bei_Strom[[#This Row],[Source.Name]],1))="Auszahlung_a","Auszahlung",""),"")</f>
        <v/>
      </c>
      <c r="D1612" s="1"/>
    </row>
    <row r="1613" spans="1:4" x14ac:dyDescent="0.3">
      <c r="A1613" s="1"/>
      <c r="B1613" s="1" t="str">
        <f>IFERROR(IF(LEFT(Sensitivität_bzw_Monte_Carlo_bei_Strom[[#This Row],[Source.Name]],SEARCH("aus_der",Sensitivität_bzw_Monte_Carlo_bei_Strom[[#This Row],[Source.Name]],1))="Auszahlung_a","Auszahlung",""),"")</f>
        <v/>
      </c>
      <c r="D1613" s="1"/>
    </row>
    <row r="1614" spans="1:4" x14ac:dyDescent="0.3">
      <c r="A1614" s="1"/>
      <c r="B1614" s="1" t="str">
        <f>IFERROR(IF(LEFT(Sensitivität_bzw_Monte_Carlo_bei_Strom[[#This Row],[Source.Name]],SEARCH("aus_der",Sensitivität_bzw_Monte_Carlo_bei_Strom[[#This Row],[Source.Name]],1))="Auszahlung_a","Auszahlung",""),"")</f>
        <v/>
      </c>
      <c r="D1614" s="1"/>
    </row>
    <row r="1615" spans="1:4" x14ac:dyDescent="0.3">
      <c r="A1615" s="1"/>
      <c r="B1615" s="1" t="str">
        <f>IFERROR(IF(LEFT(Sensitivität_bzw_Monte_Carlo_bei_Strom[[#This Row],[Source.Name]],SEARCH("aus_der",Sensitivität_bzw_Monte_Carlo_bei_Strom[[#This Row],[Source.Name]],1))="Auszahlung_a","Auszahlung",""),"")</f>
        <v/>
      </c>
      <c r="D1615" s="1"/>
    </row>
    <row r="1616" spans="1:4" x14ac:dyDescent="0.3">
      <c r="A1616" s="1"/>
      <c r="B1616" s="1" t="str">
        <f>IFERROR(IF(LEFT(Sensitivität_bzw_Monte_Carlo_bei_Strom[[#This Row],[Source.Name]],SEARCH("aus_der",Sensitivität_bzw_Monte_Carlo_bei_Strom[[#This Row],[Source.Name]],1))="Auszahlung_a","Auszahlung",""),"")</f>
        <v/>
      </c>
      <c r="D1616" s="1"/>
    </row>
    <row r="1617" spans="1:4" x14ac:dyDescent="0.3">
      <c r="A1617" s="1"/>
      <c r="B1617" s="1" t="str">
        <f>IFERROR(IF(LEFT(Sensitivität_bzw_Monte_Carlo_bei_Strom[[#This Row],[Source.Name]],SEARCH("aus_der",Sensitivität_bzw_Monte_Carlo_bei_Strom[[#This Row],[Source.Name]],1))="Auszahlung_a","Auszahlung",""),"")</f>
        <v/>
      </c>
      <c r="D1617" s="1"/>
    </row>
    <row r="1618" spans="1:4" x14ac:dyDescent="0.3">
      <c r="A1618" s="1"/>
      <c r="B1618" s="1" t="str">
        <f>IFERROR(IF(LEFT(Sensitivität_bzw_Monte_Carlo_bei_Strom[[#This Row],[Source.Name]],SEARCH("aus_der",Sensitivität_bzw_Monte_Carlo_bei_Strom[[#This Row],[Source.Name]],1))="Auszahlung_a","Auszahlung",""),"")</f>
        <v/>
      </c>
      <c r="D1618" s="1"/>
    </row>
    <row r="1619" spans="1:4" x14ac:dyDescent="0.3">
      <c r="A1619" s="1"/>
      <c r="B1619" s="1" t="str">
        <f>IFERROR(IF(LEFT(Sensitivität_bzw_Monte_Carlo_bei_Strom[[#This Row],[Source.Name]],SEARCH("aus_der",Sensitivität_bzw_Monte_Carlo_bei_Strom[[#This Row],[Source.Name]],1))="Auszahlung_a","Auszahlung",""),"")</f>
        <v/>
      </c>
      <c r="D1619" s="1"/>
    </row>
    <row r="1620" spans="1:4" x14ac:dyDescent="0.3">
      <c r="A1620" s="1"/>
      <c r="B1620" s="1" t="str">
        <f>IFERROR(IF(LEFT(Sensitivität_bzw_Monte_Carlo_bei_Strom[[#This Row],[Source.Name]],SEARCH("aus_der",Sensitivität_bzw_Monte_Carlo_bei_Strom[[#This Row],[Source.Name]],1))="Auszahlung_a","Auszahlung",""),"")</f>
        <v/>
      </c>
      <c r="D1620" s="1"/>
    </row>
    <row r="1621" spans="1:4" x14ac:dyDescent="0.3">
      <c r="A1621" s="1"/>
      <c r="B1621" s="1" t="str">
        <f>IFERROR(IF(LEFT(Sensitivität_bzw_Monte_Carlo_bei_Strom[[#This Row],[Source.Name]],SEARCH("aus_der",Sensitivität_bzw_Monte_Carlo_bei_Strom[[#This Row],[Source.Name]],1))="Auszahlung_a","Auszahlung",""),"")</f>
        <v/>
      </c>
      <c r="D1621" s="1"/>
    </row>
    <row r="1622" spans="1:4" x14ac:dyDescent="0.3">
      <c r="A1622" s="1"/>
      <c r="B1622" s="1" t="str">
        <f>IFERROR(IF(LEFT(Sensitivität_bzw_Monte_Carlo_bei_Strom[[#This Row],[Source.Name]],SEARCH("aus_der",Sensitivität_bzw_Monte_Carlo_bei_Strom[[#This Row],[Source.Name]],1))="Auszahlung_a","Auszahlung",""),"")</f>
        <v/>
      </c>
      <c r="D1622" s="1"/>
    </row>
    <row r="1623" spans="1:4" x14ac:dyDescent="0.3">
      <c r="A1623" s="1"/>
      <c r="B1623" s="1" t="str">
        <f>IFERROR(IF(LEFT(Sensitivität_bzw_Monte_Carlo_bei_Strom[[#This Row],[Source.Name]],SEARCH("aus_der",Sensitivität_bzw_Monte_Carlo_bei_Strom[[#This Row],[Source.Name]],1))="Auszahlung_a","Auszahlung",""),"")</f>
        <v/>
      </c>
      <c r="D1623" s="1"/>
    </row>
    <row r="1624" spans="1:4" x14ac:dyDescent="0.3">
      <c r="A1624" s="1"/>
      <c r="B1624" s="1" t="str">
        <f>IFERROR(IF(LEFT(Sensitivität_bzw_Monte_Carlo_bei_Strom[[#This Row],[Source.Name]],SEARCH("aus_der",Sensitivität_bzw_Monte_Carlo_bei_Strom[[#This Row],[Source.Name]],1))="Auszahlung_a","Auszahlung",""),"")</f>
        <v/>
      </c>
      <c r="D1624" s="1"/>
    </row>
    <row r="1625" spans="1:4" x14ac:dyDescent="0.3">
      <c r="A1625" s="1"/>
      <c r="B1625" s="1" t="str">
        <f>IFERROR(IF(LEFT(Sensitivität_bzw_Monte_Carlo_bei_Strom[[#This Row],[Source.Name]],SEARCH("aus_der",Sensitivität_bzw_Monte_Carlo_bei_Strom[[#This Row],[Source.Name]],1))="Auszahlung_a","Auszahlung",""),"")</f>
        <v/>
      </c>
      <c r="D1625" s="1"/>
    </row>
    <row r="1626" spans="1:4" x14ac:dyDescent="0.3">
      <c r="A1626" s="1"/>
      <c r="B1626" s="1" t="str">
        <f>IFERROR(IF(LEFT(Sensitivität_bzw_Monte_Carlo_bei_Strom[[#This Row],[Source.Name]],SEARCH("aus_der",Sensitivität_bzw_Monte_Carlo_bei_Strom[[#This Row],[Source.Name]],1))="Auszahlung_a","Auszahlung",""),"")</f>
        <v/>
      </c>
      <c r="D1626" s="1"/>
    </row>
    <row r="1627" spans="1:4" x14ac:dyDescent="0.3">
      <c r="A1627" s="1"/>
      <c r="B1627" s="1" t="str">
        <f>IFERROR(IF(LEFT(Sensitivität_bzw_Monte_Carlo_bei_Strom[[#This Row],[Source.Name]],SEARCH("aus_der",Sensitivität_bzw_Monte_Carlo_bei_Strom[[#This Row],[Source.Name]],1))="Auszahlung_a","Auszahlung",""),"")</f>
        <v/>
      </c>
      <c r="D1627" s="1"/>
    </row>
    <row r="1628" spans="1:4" x14ac:dyDescent="0.3">
      <c r="A1628" s="1"/>
      <c r="B1628" s="1" t="str">
        <f>IFERROR(IF(LEFT(Sensitivität_bzw_Monte_Carlo_bei_Strom[[#This Row],[Source.Name]],SEARCH("aus_der",Sensitivität_bzw_Monte_Carlo_bei_Strom[[#This Row],[Source.Name]],1))="Auszahlung_a","Auszahlung",""),"")</f>
        <v/>
      </c>
      <c r="D1628" s="1"/>
    </row>
    <row r="1629" spans="1:4" x14ac:dyDescent="0.3">
      <c r="A1629" s="1"/>
      <c r="B1629" s="1" t="str">
        <f>IFERROR(IF(LEFT(Sensitivität_bzw_Monte_Carlo_bei_Strom[[#This Row],[Source.Name]],SEARCH("aus_der",Sensitivität_bzw_Monte_Carlo_bei_Strom[[#This Row],[Source.Name]],1))="Auszahlung_a","Auszahlung",""),"")</f>
        <v/>
      </c>
      <c r="D1629" s="1"/>
    </row>
    <row r="1630" spans="1:4" x14ac:dyDescent="0.3">
      <c r="A1630" s="1"/>
      <c r="B1630" s="1" t="str">
        <f>IFERROR(IF(LEFT(Sensitivität_bzw_Monte_Carlo_bei_Strom[[#This Row],[Source.Name]],SEARCH("aus_der",Sensitivität_bzw_Monte_Carlo_bei_Strom[[#This Row],[Source.Name]],1))="Auszahlung_a","Auszahlung",""),"")</f>
        <v/>
      </c>
      <c r="D1630" s="1"/>
    </row>
    <row r="1631" spans="1:4" x14ac:dyDescent="0.3">
      <c r="A1631" s="1"/>
      <c r="B1631" s="1" t="str">
        <f>IFERROR(IF(LEFT(Sensitivität_bzw_Monte_Carlo_bei_Strom[[#This Row],[Source.Name]],SEARCH("aus_der",Sensitivität_bzw_Monte_Carlo_bei_Strom[[#This Row],[Source.Name]],1))="Auszahlung_a","Auszahlung",""),"")</f>
        <v/>
      </c>
      <c r="D1631" s="1"/>
    </row>
    <row r="1632" spans="1:4" x14ac:dyDescent="0.3">
      <c r="A1632" s="1"/>
      <c r="B1632" s="1" t="str">
        <f>IFERROR(IF(LEFT(Sensitivität_bzw_Monte_Carlo_bei_Strom[[#This Row],[Source.Name]],SEARCH("aus_der",Sensitivität_bzw_Monte_Carlo_bei_Strom[[#This Row],[Source.Name]],1))="Auszahlung_a","Auszahlung",""),"")</f>
        <v/>
      </c>
      <c r="D1632" s="1"/>
    </row>
    <row r="1633" spans="1:4" x14ac:dyDescent="0.3">
      <c r="A1633" s="1"/>
      <c r="B1633" s="1" t="str">
        <f>IFERROR(IF(LEFT(Sensitivität_bzw_Monte_Carlo_bei_Strom[[#This Row],[Source.Name]],SEARCH("aus_der",Sensitivität_bzw_Monte_Carlo_bei_Strom[[#This Row],[Source.Name]],1))="Auszahlung_a","Auszahlung",""),"")</f>
        <v/>
      </c>
      <c r="D1633" s="1"/>
    </row>
    <row r="1634" spans="1:4" x14ac:dyDescent="0.3">
      <c r="A1634" s="1"/>
      <c r="B1634" s="1" t="str">
        <f>IFERROR(IF(LEFT(Sensitivität_bzw_Monte_Carlo_bei_Strom[[#This Row],[Source.Name]],SEARCH("aus_der",Sensitivität_bzw_Monte_Carlo_bei_Strom[[#This Row],[Source.Name]],1))="Auszahlung_a","Auszahlung",""),"")</f>
        <v/>
      </c>
      <c r="D1634" s="1"/>
    </row>
    <row r="1635" spans="1:4" x14ac:dyDescent="0.3">
      <c r="A1635" s="1"/>
      <c r="B1635" s="1" t="str">
        <f>IFERROR(IF(LEFT(Sensitivität_bzw_Monte_Carlo_bei_Strom[[#This Row],[Source.Name]],SEARCH("aus_der",Sensitivität_bzw_Monte_Carlo_bei_Strom[[#This Row],[Source.Name]],1))="Auszahlung_a","Auszahlung",""),"")</f>
        <v/>
      </c>
      <c r="D1635" s="1"/>
    </row>
    <row r="1636" spans="1:4" x14ac:dyDescent="0.3">
      <c r="A1636" s="1"/>
      <c r="B1636" s="1" t="str">
        <f>IFERROR(IF(LEFT(Sensitivität_bzw_Monte_Carlo_bei_Strom[[#This Row],[Source.Name]],SEARCH("aus_der",Sensitivität_bzw_Monte_Carlo_bei_Strom[[#This Row],[Source.Name]],1))="Auszahlung_a","Auszahlung",""),"")</f>
        <v/>
      </c>
      <c r="D1636" s="1"/>
    </row>
    <row r="1637" spans="1:4" x14ac:dyDescent="0.3">
      <c r="A1637" s="1"/>
      <c r="B1637" s="1" t="str">
        <f>IFERROR(IF(LEFT(Sensitivität_bzw_Monte_Carlo_bei_Strom[[#This Row],[Source.Name]],SEARCH("aus_der",Sensitivität_bzw_Monte_Carlo_bei_Strom[[#This Row],[Source.Name]],1))="Auszahlung_a","Auszahlung",""),"")</f>
        <v/>
      </c>
      <c r="D1637" s="1"/>
    </row>
    <row r="1638" spans="1:4" x14ac:dyDescent="0.3">
      <c r="A1638" s="1"/>
      <c r="B1638" s="1" t="str">
        <f>IFERROR(IF(LEFT(Sensitivität_bzw_Monte_Carlo_bei_Strom[[#This Row],[Source.Name]],SEARCH("aus_der",Sensitivität_bzw_Monte_Carlo_bei_Strom[[#This Row],[Source.Name]],1))="Auszahlung_a","Auszahlung",""),"")</f>
        <v/>
      </c>
      <c r="D1638" s="1"/>
    </row>
    <row r="1639" spans="1:4" x14ac:dyDescent="0.3">
      <c r="A1639" s="1"/>
      <c r="B1639" s="1" t="str">
        <f>IFERROR(IF(LEFT(Sensitivität_bzw_Monte_Carlo_bei_Strom[[#This Row],[Source.Name]],SEARCH("aus_der",Sensitivität_bzw_Monte_Carlo_bei_Strom[[#This Row],[Source.Name]],1))="Auszahlung_a","Auszahlung",""),"")</f>
        <v/>
      </c>
      <c r="D1639" s="1"/>
    </row>
    <row r="1640" spans="1:4" x14ac:dyDescent="0.3">
      <c r="A1640" s="1"/>
      <c r="B1640" s="1" t="str">
        <f>IFERROR(IF(LEFT(Sensitivität_bzw_Monte_Carlo_bei_Strom[[#This Row],[Source.Name]],SEARCH("aus_der",Sensitivität_bzw_Monte_Carlo_bei_Strom[[#This Row],[Source.Name]],1))="Auszahlung_a","Auszahlung",""),"")</f>
        <v/>
      </c>
      <c r="D1640" s="1"/>
    </row>
    <row r="1641" spans="1:4" x14ac:dyDescent="0.3">
      <c r="A1641" s="1"/>
      <c r="B1641" s="1" t="str">
        <f>IFERROR(IF(LEFT(Sensitivität_bzw_Monte_Carlo_bei_Strom[[#This Row],[Source.Name]],SEARCH("aus_der",Sensitivität_bzw_Monte_Carlo_bei_Strom[[#This Row],[Source.Name]],1))="Auszahlung_a","Auszahlung",""),"")</f>
        <v/>
      </c>
      <c r="D1641" s="1"/>
    </row>
    <row r="1642" spans="1:4" x14ac:dyDescent="0.3">
      <c r="A1642" s="1"/>
      <c r="B1642" s="1" t="str">
        <f>IFERROR(IF(LEFT(Sensitivität_bzw_Monte_Carlo_bei_Strom[[#This Row],[Source.Name]],SEARCH("aus_der",Sensitivität_bzw_Monte_Carlo_bei_Strom[[#This Row],[Source.Name]],1))="Auszahlung_a","Auszahlung",""),"")</f>
        <v/>
      </c>
      <c r="D1642" s="1"/>
    </row>
    <row r="1643" spans="1:4" x14ac:dyDescent="0.3">
      <c r="A1643" s="1"/>
      <c r="B1643" s="1" t="str">
        <f>IFERROR(IF(LEFT(Sensitivität_bzw_Monte_Carlo_bei_Strom[[#This Row],[Source.Name]],SEARCH("aus_der",Sensitivität_bzw_Monte_Carlo_bei_Strom[[#This Row],[Source.Name]],1))="Auszahlung_a","Auszahlung",""),"")</f>
        <v/>
      </c>
      <c r="D1643" s="1"/>
    </row>
    <row r="1644" spans="1:4" x14ac:dyDescent="0.3">
      <c r="A1644" s="1"/>
      <c r="B1644" s="1" t="str">
        <f>IFERROR(IF(LEFT(Sensitivität_bzw_Monte_Carlo_bei_Strom[[#This Row],[Source.Name]],SEARCH("aus_der",Sensitivität_bzw_Monte_Carlo_bei_Strom[[#This Row],[Source.Name]],1))="Auszahlung_a","Auszahlung",""),"")</f>
        <v/>
      </c>
      <c r="D1644" s="1"/>
    </row>
    <row r="1645" spans="1:4" x14ac:dyDescent="0.3">
      <c r="A1645" s="1"/>
      <c r="B1645" s="1" t="str">
        <f>IFERROR(IF(LEFT(Sensitivität_bzw_Monte_Carlo_bei_Strom[[#This Row],[Source.Name]],SEARCH("aus_der",Sensitivität_bzw_Monte_Carlo_bei_Strom[[#This Row],[Source.Name]],1))="Auszahlung_a","Auszahlung",""),"")</f>
        <v/>
      </c>
      <c r="D1645" s="1"/>
    </row>
    <row r="1646" spans="1:4" x14ac:dyDescent="0.3">
      <c r="A1646" s="1"/>
      <c r="B1646" s="1" t="str">
        <f>IFERROR(IF(LEFT(Sensitivität_bzw_Monte_Carlo_bei_Strom[[#This Row],[Source.Name]],SEARCH("aus_der",Sensitivität_bzw_Monte_Carlo_bei_Strom[[#This Row],[Source.Name]],1))="Auszahlung_a","Auszahlung",""),"")</f>
        <v/>
      </c>
      <c r="D1646" s="1"/>
    </row>
    <row r="1647" spans="1:4" x14ac:dyDescent="0.3">
      <c r="A1647" s="1"/>
      <c r="B1647" s="1" t="str">
        <f>IFERROR(IF(LEFT(Sensitivität_bzw_Monte_Carlo_bei_Strom[[#This Row],[Source.Name]],SEARCH("aus_der",Sensitivität_bzw_Monte_Carlo_bei_Strom[[#This Row],[Source.Name]],1))="Auszahlung_a","Auszahlung",""),"")</f>
        <v/>
      </c>
      <c r="D1647" s="1"/>
    </row>
    <row r="1648" spans="1:4" x14ac:dyDescent="0.3">
      <c r="A1648" s="1"/>
      <c r="B1648" s="1" t="str">
        <f>IFERROR(IF(LEFT(Sensitivität_bzw_Monte_Carlo_bei_Strom[[#This Row],[Source.Name]],SEARCH("aus_der",Sensitivität_bzw_Monte_Carlo_bei_Strom[[#This Row],[Source.Name]],1))="Auszahlung_a","Auszahlung",""),"")</f>
        <v/>
      </c>
      <c r="D1648" s="1"/>
    </row>
    <row r="1649" spans="1:4" x14ac:dyDescent="0.3">
      <c r="A1649" s="1"/>
      <c r="B1649" s="1" t="str">
        <f>IFERROR(IF(LEFT(Sensitivität_bzw_Monte_Carlo_bei_Strom[[#This Row],[Source.Name]],SEARCH("aus_der",Sensitivität_bzw_Monte_Carlo_bei_Strom[[#This Row],[Source.Name]],1))="Auszahlung_a","Auszahlung",""),"")</f>
        <v/>
      </c>
      <c r="D1649" s="1"/>
    </row>
    <row r="1650" spans="1:4" x14ac:dyDescent="0.3">
      <c r="A1650" s="1"/>
      <c r="B1650" s="1" t="str">
        <f>IFERROR(IF(LEFT(Sensitivität_bzw_Monte_Carlo_bei_Strom[[#This Row],[Source.Name]],SEARCH("aus_der",Sensitivität_bzw_Monte_Carlo_bei_Strom[[#This Row],[Source.Name]],1))="Auszahlung_a","Auszahlung",""),"")</f>
        <v/>
      </c>
      <c r="D1650" s="1"/>
    </row>
    <row r="1651" spans="1:4" x14ac:dyDescent="0.3">
      <c r="A1651" s="1"/>
      <c r="B1651" s="1" t="str">
        <f>IFERROR(IF(LEFT(Sensitivität_bzw_Monte_Carlo_bei_Strom[[#This Row],[Source.Name]],SEARCH("aus_der",Sensitivität_bzw_Monte_Carlo_bei_Strom[[#This Row],[Source.Name]],1))="Auszahlung_a","Auszahlung",""),"")</f>
        <v/>
      </c>
      <c r="D1651" s="1"/>
    </row>
    <row r="1652" spans="1:4" x14ac:dyDescent="0.3">
      <c r="A1652" s="1"/>
      <c r="B1652" s="1" t="str">
        <f>IFERROR(IF(LEFT(Sensitivität_bzw_Monte_Carlo_bei_Strom[[#This Row],[Source.Name]],SEARCH("aus_der",Sensitivität_bzw_Monte_Carlo_bei_Strom[[#This Row],[Source.Name]],1))="Auszahlung_a","Auszahlung",""),"")</f>
        <v/>
      </c>
      <c r="D1652" s="1"/>
    </row>
    <row r="1653" spans="1:4" x14ac:dyDescent="0.3">
      <c r="A1653" s="1"/>
      <c r="B1653" s="1" t="str">
        <f>IFERROR(IF(LEFT(Sensitivität_bzw_Monte_Carlo_bei_Strom[[#This Row],[Source.Name]],SEARCH("aus_der",Sensitivität_bzw_Monte_Carlo_bei_Strom[[#This Row],[Source.Name]],1))="Auszahlung_a","Auszahlung",""),"")</f>
        <v/>
      </c>
      <c r="D1653" s="1"/>
    </row>
    <row r="1654" spans="1:4" x14ac:dyDescent="0.3">
      <c r="A1654" s="1"/>
      <c r="B1654" s="1" t="str">
        <f>IFERROR(IF(LEFT(Sensitivität_bzw_Monte_Carlo_bei_Strom[[#This Row],[Source.Name]],SEARCH("aus_der",Sensitivität_bzw_Monte_Carlo_bei_Strom[[#This Row],[Source.Name]],1))="Auszahlung_a","Auszahlung",""),"")</f>
        <v/>
      </c>
      <c r="D1654" s="1"/>
    </row>
    <row r="1655" spans="1:4" x14ac:dyDescent="0.3">
      <c r="A1655" s="1"/>
      <c r="B1655" s="1" t="str">
        <f>IFERROR(IF(LEFT(Sensitivität_bzw_Monte_Carlo_bei_Strom[[#This Row],[Source.Name]],SEARCH("aus_der",Sensitivität_bzw_Monte_Carlo_bei_Strom[[#This Row],[Source.Name]],1))="Auszahlung_a","Auszahlung",""),"")</f>
        <v/>
      </c>
      <c r="D1655" s="1"/>
    </row>
    <row r="1656" spans="1:4" x14ac:dyDescent="0.3">
      <c r="A1656" s="1"/>
      <c r="B1656" s="1" t="str">
        <f>IFERROR(IF(LEFT(Sensitivität_bzw_Monte_Carlo_bei_Strom[[#This Row],[Source.Name]],SEARCH("aus_der",Sensitivität_bzw_Monte_Carlo_bei_Strom[[#This Row],[Source.Name]],1))="Auszahlung_a","Auszahlung",""),"")</f>
        <v/>
      </c>
      <c r="D1656" s="1"/>
    </row>
    <row r="1657" spans="1:4" x14ac:dyDescent="0.3">
      <c r="A1657" s="1"/>
      <c r="B1657" s="1" t="str">
        <f>IFERROR(IF(LEFT(Sensitivität_bzw_Monte_Carlo_bei_Strom[[#This Row],[Source.Name]],SEARCH("aus_der",Sensitivität_bzw_Monte_Carlo_bei_Strom[[#This Row],[Source.Name]],1))="Auszahlung_a","Auszahlung",""),"")</f>
        <v/>
      </c>
      <c r="D1657" s="1"/>
    </row>
    <row r="1658" spans="1:4" x14ac:dyDescent="0.3">
      <c r="A1658" s="1"/>
      <c r="B1658" s="1" t="str">
        <f>IFERROR(IF(LEFT(Sensitivität_bzw_Monte_Carlo_bei_Strom[[#This Row],[Source.Name]],SEARCH("aus_der",Sensitivität_bzw_Monte_Carlo_bei_Strom[[#This Row],[Source.Name]],1))="Auszahlung_a","Auszahlung",""),"")</f>
        <v/>
      </c>
      <c r="D1658" s="1"/>
    </row>
    <row r="1659" spans="1:4" x14ac:dyDescent="0.3">
      <c r="A1659" s="1"/>
      <c r="B1659" s="1" t="str">
        <f>IFERROR(IF(LEFT(Sensitivität_bzw_Monte_Carlo_bei_Strom[[#This Row],[Source.Name]],SEARCH("aus_der",Sensitivität_bzw_Monte_Carlo_bei_Strom[[#This Row],[Source.Name]],1))="Auszahlung_a","Auszahlung",""),"")</f>
        <v/>
      </c>
      <c r="D1659" s="1"/>
    </row>
    <row r="1660" spans="1:4" x14ac:dyDescent="0.3">
      <c r="A1660" s="1"/>
      <c r="B1660" s="1" t="str">
        <f>IFERROR(IF(LEFT(Sensitivität_bzw_Monte_Carlo_bei_Strom[[#This Row],[Source.Name]],SEARCH("aus_der",Sensitivität_bzw_Monte_Carlo_bei_Strom[[#This Row],[Source.Name]],1))="Auszahlung_a","Auszahlung",""),"")</f>
        <v/>
      </c>
      <c r="D1660" s="1"/>
    </row>
    <row r="1661" spans="1:4" x14ac:dyDescent="0.3">
      <c r="A1661" s="1"/>
      <c r="B1661" s="1" t="str">
        <f>IFERROR(IF(LEFT(Sensitivität_bzw_Monte_Carlo_bei_Strom[[#This Row],[Source.Name]],SEARCH("aus_der",Sensitivität_bzw_Monte_Carlo_bei_Strom[[#This Row],[Source.Name]],1))="Auszahlung_a","Auszahlung",""),"")</f>
        <v/>
      </c>
      <c r="D1661" s="1"/>
    </row>
    <row r="1662" spans="1:4" x14ac:dyDescent="0.3">
      <c r="A1662" s="1"/>
      <c r="B1662" s="1" t="str">
        <f>IFERROR(IF(LEFT(Sensitivität_bzw_Monte_Carlo_bei_Strom[[#This Row],[Source.Name]],SEARCH("aus_der",Sensitivität_bzw_Monte_Carlo_bei_Strom[[#This Row],[Source.Name]],1))="Auszahlung_a","Auszahlung",""),"")</f>
        <v/>
      </c>
      <c r="D1662" s="1"/>
    </row>
    <row r="1663" spans="1:4" x14ac:dyDescent="0.3">
      <c r="A1663" s="1"/>
      <c r="B1663" s="1" t="str">
        <f>IFERROR(IF(LEFT(Sensitivität_bzw_Monte_Carlo_bei_Strom[[#This Row],[Source.Name]],SEARCH("aus_der",Sensitivität_bzw_Monte_Carlo_bei_Strom[[#This Row],[Source.Name]],1))="Auszahlung_a","Auszahlung",""),"")</f>
        <v/>
      </c>
      <c r="D1663" s="1"/>
    </row>
    <row r="1664" spans="1:4" x14ac:dyDescent="0.3">
      <c r="A1664" s="1"/>
      <c r="B1664" s="1" t="str">
        <f>IFERROR(IF(LEFT(Sensitivität_bzw_Monte_Carlo_bei_Strom[[#This Row],[Source.Name]],SEARCH("aus_der",Sensitivität_bzw_Monte_Carlo_bei_Strom[[#This Row],[Source.Name]],1))="Auszahlung_a","Auszahlung",""),"")</f>
        <v/>
      </c>
      <c r="D1664" s="1"/>
    </row>
    <row r="1665" spans="1:4" x14ac:dyDescent="0.3">
      <c r="A1665" s="1"/>
      <c r="B1665" s="1" t="str">
        <f>IFERROR(IF(LEFT(Sensitivität_bzw_Monte_Carlo_bei_Strom[[#This Row],[Source.Name]],SEARCH("aus_der",Sensitivität_bzw_Monte_Carlo_bei_Strom[[#This Row],[Source.Name]],1))="Auszahlung_a","Auszahlung",""),"")</f>
        <v/>
      </c>
      <c r="D1665" s="1"/>
    </row>
    <row r="1666" spans="1:4" x14ac:dyDescent="0.3">
      <c r="A1666" s="1"/>
      <c r="B1666" s="1" t="str">
        <f>IFERROR(IF(LEFT(Sensitivität_bzw_Monte_Carlo_bei_Strom[[#This Row],[Source.Name]],SEARCH("aus_der",Sensitivität_bzw_Monte_Carlo_bei_Strom[[#This Row],[Source.Name]],1))="Auszahlung_a","Auszahlung",""),"")</f>
        <v/>
      </c>
      <c r="D1666" s="1"/>
    </row>
    <row r="1667" spans="1:4" x14ac:dyDescent="0.3">
      <c r="A1667" s="1"/>
      <c r="B1667" s="1" t="str">
        <f>IFERROR(IF(LEFT(Sensitivität_bzw_Monte_Carlo_bei_Strom[[#This Row],[Source.Name]],SEARCH("aus_der",Sensitivität_bzw_Monte_Carlo_bei_Strom[[#This Row],[Source.Name]],1))="Auszahlung_a","Auszahlung",""),"")</f>
        <v/>
      </c>
      <c r="D1667" s="1"/>
    </row>
    <row r="1668" spans="1:4" x14ac:dyDescent="0.3">
      <c r="A1668" s="1"/>
      <c r="B1668" s="1" t="str">
        <f>IFERROR(IF(LEFT(Sensitivität_bzw_Monte_Carlo_bei_Strom[[#This Row],[Source.Name]],SEARCH("aus_der",Sensitivität_bzw_Monte_Carlo_bei_Strom[[#This Row],[Source.Name]],1))="Auszahlung_a","Auszahlung",""),"")</f>
        <v/>
      </c>
      <c r="D1668" s="1"/>
    </row>
    <row r="1669" spans="1:4" x14ac:dyDescent="0.3">
      <c r="A1669" s="1"/>
      <c r="B1669" s="1" t="str">
        <f>IFERROR(IF(LEFT(Sensitivität_bzw_Monte_Carlo_bei_Strom[[#This Row],[Source.Name]],SEARCH("aus_der",Sensitivität_bzw_Monte_Carlo_bei_Strom[[#This Row],[Source.Name]],1))="Auszahlung_a","Auszahlung",""),"")</f>
        <v/>
      </c>
      <c r="D1669" s="1"/>
    </row>
    <row r="1670" spans="1:4" x14ac:dyDescent="0.3">
      <c r="A1670" s="1"/>
      <c r="B1670" s="1" t="str">
        <f>IFERROR(IF(LEFT(Sensitivität_bzw_Monte_Carlo_bei_Strom[[#This Row],[Source.Name]],SEARCH("aus_der",Sensitivität_bzw_Monte_Carlo_bei_Strom[[#This Row],[Source.Name]],1))="Auszahlung_a","Auszahlung",""),"")</f>
        <v/>
      </c>
      <c r="D1670" s="1"/>
    </row>
    <row r="1671" spans="1:4" x14ac:dyDescent="0.3">
      <c r="A1671" s="1"/>
      <c r="B1671" s="1" t="str">
        <f>IFERROR(IF(LEFT(Sensitivität_bzw_Monte_Carlo_bei_Strom[[#This Row],[Source.Name]],SEARCH("aus_der",Sensitivität_bzw_Monte_Carlo_bei_Strom[[#This Row],[Source.Name]],1))="Auszahlung_a","Auszahlung",""),"")</f>
        <v/>
      </c>
      <c r="D1671" s="1"/>
    </row>
    <row r="1672" spans="1:4" x14ac:dyDescent="0.3">
      <c r="A1672" s="1"/>
      <c r="B1672" s="1" t="str">
        <f>IFERROR(IF(LEFT(Sensitivität_bzw_Monte_Carlo_bei_Strom[[#This Row],[Source.Name]],SEARCH("aus_der",Sensitivität_bzw_Monte_Carlo_bei_Strom[[#This Row],[Source.Name]],1))="Auszahlung_a","Auszahlung",""),"")</f>
        <v/>
      </c>
      <c r="D1672" s="1"/>
    </row>
    <row r="1673" spans="1:4" x14ac:dyDescent="0.3">
      <c r="A1673" s="1"/>
      <c r="B1673" s="1" t="str">
        <f>IFERROR(IF(LEFT(Sensitivität_bzw_Monte_Carlo_bei_Strom[[#This Row],[Source.Name]],SEARCH("aus_der",Sensitivität_bzw_Monte_Carlo_bei_Strom[[#This Row],[Source.Name]],1))="Auszahlung_a","Auszahlung",""),"")</f>
        <v/>
      </c>
      <c r="D1673" s="1"/>
    </row>
    <row r="1674" spans="1:4" x14ac:dyDescent="0.3">
      <c r="A1674" s="1"/>
      <c r="B1674" s="1" t="str">
        <f>IFERROR(IF(LEFT(Sensitivität_bzw_Monte_Carlo_bei_Strom[[#This Row],[Source.Name]],SEARCH("aus_der",Sensitivität_bzw_Monte_Carlo_bei_Strom[[#This Row],[Source.Name]],1))="Auszahlung_a","Auszahlung",""),"")</f>
        <v/>
      </c>
      <c r="D1674" s="1"/>
    </row>
    <row r="1675" spans="1:4" x14ac:dyDescent="0.3">
      <c r="A1675" s="1"/>
      <c r="B1675" s="1" t="str">
        <f>IFERROR(IF(LEFT(Sensitivität_bzw_Monte_Carlo_bei_Strom[[#This Row],[Source.Name]],SEARCH("aus_der",Sensitivität_bzw_Monte_Carlo_bei_Strom[[#This Row],[Source.Name]],1))="Auszahlung_a","Auszahlung",""),"")</f>
        <v/>
      </c>
      <c r="D1675" s="1"/>
    </row>
    <row r="1676" spans="1:4" x14ac:dyDescent="0.3">
      <c r="A1676" s="1"/>
      <c r="B1676" s="1" t="str">
        <f>IFERROR(IF(LEFT(Sensitivität_bzw_Monte_Carlo_bei_Strom[[#This Row],[Source.Name]],SEARCH("aus_der",Sensitivität_bzw_Monte_Carlo_bei_Strom[[#This Row],[Source.Name]],1))="Auszahlung_a","Auszahlung",""),"")</f>
        <v/>
      </c>
      <c r="D1676" s="1"/>
    </row>
    <row r="1677" spans="1:4" x14ac:dyDescent="0.3">
      <c r="A1677" s="1"/>
      <c r="B1677" s="1" t="str">
        <f>IFERROR(IF(LEFT(Sensitivität_bzw_Monte_Carlo_bei_Strom[[#This Row],[Source.Name]],SEARCH("aus_der",Sensitivität_bzw_Monte_Carlo_bei_Strom[[#This Row],[Source.Name]],1))="Auszahlung_a","Auszahlung",""),"")</f>
        <v/>
      </c>
      <c r="D1677" s="1"/>
    </row>
    <row r="1678" spans="1:4" x14ac:dyDescent="0.3">
      <c r="A1678" s="1"/>
      <c r="B1678" s="1" t="str">
        <f>IFERROR(IF(LEFT(Sensitivität_bzw_Monte_Carlo_bei_Strom[[#This Row],[Source.Name]],SEARCH("aus_der",Sensitivität_bzw_Monte_Carlo_bei_Strom[[#This Row],[Source.Name]],1))="Auszahlung_a","Auszahlung",""),"")</f>
        <v/>
      </c>
      <c r="D1678" s="1"/>
    </row>
    <row r="1679" spans="1:4" x14ac:dyDescent="0.3">
      <c r="A1679" s="1"/>
      <c r="B1679" s="1" t="str">
        <f>IFERROR(IF(LEFT(Sensitivität_bzw_Monte_Carlo_bei_Strom[[#This Row],[Source.Name]],SEARCH("aus_der",Sensitivität_bzw_Monte_Carlo_bei_Strom[[#This Row],[Source.Name]],1))="Auszahlung_a","Auszahlung",""),"")</f>
        <v/>
      </c>
      <c r="D1679" s="1"/>
    </row>
    <row r="1680" spans="1:4" x14ac:dyDescent="0.3">
      <c r="A1680" s="1"/>
      <c r="B1680" s="1" t="str">
        <f>IFERROR(IF(LEFT(Sensitivität_bzw_Monte_Carlo_bei_Strom[[#This Row],[Source.Name]],SEARCH("aus_der",Sensitivität_bzw_Monte_Carlo_bei_Strom[[#This Row],[Source.Name]],1))="Auszahlung_a","Auszahlung",""),"")</f>
        <v/>
      </c>
      <c r="D1680" s="1"/>
    </row>
    <row r="1681" spans="1:4" x14ac:dyDescent="0.3">
      <c r="A1681" s="1"/>
      <c r="B1681" s="1" t="str">
        <f>IFERROR(IF(LEFT(Sensitivität_bzw_Monte_Carlo_bei_Strom[[#This Row],[Source.Name]],SEARCH("aus_der",Sensitivität_bzw_Monte_Carlo_bei_Strom[[#This Row],[Source.Name]],1))="Auszahlung_a","Auszahlung",""),"")</f>
        <v/>
      </c>
      <c r="D1681" s="1"/>
    </row>
    <row r="1682" spans="1:4" x14ac:dyDescent="0.3">
      <c r="A1682" s="1"/>
      <c r="B1682" s="1" t="str">
        <f>IFERROR(IF(LEFT(Sensitivität_bzw_Monte_Carlo_bei_Strom[[#This Row],[Source.Name]],SEARCH("aus_der",Sensitivität_bzw_Monte_Carlo_bei_Strom[[#This Row],[Source.Name]],1))="Auszahlung_a","Auszahlung",""),"")</f>
        <v/>
      </c>
      <c r="D1682" s="1"/>
    </row>
    <row r="1683" spans="1:4" x14ac:dyDescent="0.3">
      <c r="A1683" s="1"/>
      <c r="B1683" s="1" t="str">
        <f>IFERROR(IF(LEFT(Sensitivität_bzw_Monte_Carlo_bei_Strom[[#This Row],[Source.Name]],SEARCH("aus_der",Sensitivität_bzw_Monte_Carlo_bei_Strom[[#This Row],[Source.Name]],1))="Auszahlung_a","Auszahlung",""),"")</f>
        <v/>
      </c>
      <c r="D1683" s="1"/>
    </row>
    <row r="1684" spans="1:4" x14ac:dyDescent="0.3">
      <c r="A1684" s="1"/>
      <c r="B1684" s="1" t="str">
        <f>IFERROR(IF(LEFT(Sensitivität_bzw_Monte_Carlo_bei_Strom[[#This Row],[Source.Name]],SEARCH("aus_der",Sensitivität_bzw_Monte_Carlo_bei_Strom[[#This Row],[Source.Name]],1))="Auszahlung_a","Auszahlung",""),"")</f>
        <v/>
      </c>
      <c r="D1684" s="1"/>
    </row>
    <row r="1685" spans="1:4" x14ac:dyDescent="0.3">
      <c r="A1685" s="1"/>
      <c r="B1685" s="1" t="str">
        <f>IFERROR(IF(LEFT(Sensitivität_bzw_Monte_Carlo_bei_Strom[[#This Row],[Source.Name]],SEARCH("aus_der",Sensitivität_bzw_Monte_Carlo_bei_Strom[[#This Row],[Source.Name]],1))="Auszahlung_a","Auszahlung",""),"")</f>
        <v/>
      </c>
      <c r="D1685" s="1"/>
    </row>
    <row r="1686" spans="1:4" x14ac:dyDescent="0.3">
      <c r="A1686" s="1"/>
      <c r="B1686" s="1" t="str">
        <f>IFERROR(IF(LEFT(Sensitivität_bzw_Monte_Carlo_bei_Strom[[#This Row],[Source.Name]],SEARCH("aus_der",Sensitivität_bzw_Monte_Carlo_bei_Strom[[#This Row],[Source.Name]],1))="Auszahlung_a","Auszahlung",""),"")</f>
        <v/>
      </c>
      <c r="D1686" s="1"/>
    </row>
    <row r="1687" spans="1:4" x14ac:dyDescent="0.3">
      <c r="A1687" s="1"/>
      <c r="B1687" s="1" t="str">
        <f>IFERROR(IF(LEFT(Sensitivität_bzw_Monte_Carlo_bei_Strom[[#This Row],[Source.Name]],SEARCH("aus_der",Sensitivität_bzw_Monte_Carlo_bei_Strom[[#This Row],[Source.Name]],1))="Auszahlung_a","Auszahlung",""),"")</f>
        <v/>
      </c>
      <c r="D1687" s="1"/>
    </row>
    <row r="1688" spans="1:4" x14ac:dyDescent="0.3">
      <c r="A1688" s="1"/>
      <c r="B1688" s="1" t="str">
        <f>IFERROR(IF(LEFT(Sensitivität_bzw_Monte_Carlo_bei_Strom[[#This Row],[Source.Name]],SEARCH("aus_der",Sensitivität_bzw_Monte_Carlo_bei_Strom[[#This Row],[Source.Name]],1))="Auszahlung_a","Auszahlung",""),"")</f>
        <v/>
      </c>
      <c r="D1688" s="1"/>
    </row>
    <row r="1689" spans="1:4" x14ac:dyDescent="0.3">
      <c r="A1689" s="1"/>
      <c r="B1689" s="1" t="str">
        <f>IFERROR(IF(LEFT(Sensitivität_bzw_Monte_Carlo_bei_Strom[[#This Row],[Source.Name]],SEARCH("aus_der",Sensitivität_bzw_Monte_Carlo_bei_Strom[[#This Row],[Source.Name]],1))="Auszahlung_a","Auszahlung",""),"")</f>
        <v/>
      </c>
      <c r="D1689" s="1"/>
    </row>
    <row r="1690" spans="1:4" x14ac:dyDescent="0.3">
      <c r="A1690" s="1"/>
      <c r="B1690" s="1" t="str">
        <f>IFERROR(IF(LEFT(Sensitivität_bzw_Monte_Carlo_bei_Strom[[#This Row],[Source.Name]],SEARCH("aus_der",Sensitivität_bzw_Monte_Carlo_bei_Strom[[#This Row],[Source.Name]],1))="Auszahlung_a","Auszahlung",""),"")</f>
        <v/>
      </c>
      <c r="D1690" s="1"/>
    </row>
    <row r="1691" spans="1:4" x14ac:dyDescent="0.3">
      <c r="A1691" s="1"/>
      <c r="B1691" s="1" t="str">
        <f>IFERROR(IF(LEFT(Sensitivität_bzw_Monte_Carlo_bei_Strom[[#This Row],[Source.Name]],SEARCH("aus_der",Sensitivität_bzw_Monte_Carlo_bei_Strom[[#This Row],[Source.Name]],1))="Auszahlung_a","Auszahlung",""),"")</f>
        <v/>
      </c>
      <c r="D1691" s="1"/>
    </row>
    <row r="1692" spans="1:4" x14ac:dyDescent="0.3">
      <c r="A1692" s="1"/>
      <c r="B1692" s="1" t="str">
        <f>IFERROR(IF(LEFT(Sensitivität_bzw_Monte_Carlo_bei_Strom[[#This Row],[Source.Name]],SEARCH("aus_der",Sensitivität_bzw_Monte_Carlo_bei_Strom[[#This Row],[Source.Name]],1))="Auszahlung_a","Auszahlung",""),"")</f>
        <v/>
      </c>
      <c r="D1692" s="1"/>
    </row>
    <row r="1693" spans="1:4" x14ac:dyDescent="0.3">
      <c r="A1693" s="1"/>
      <c r="B1693" s="1" t="str">
        <f>IFERROR(IF(LEFT(Sensitivität_bzw_Monte_Carlo_bei_Strom[[#This Row],[Source.Name]],SEARCH("aus_der",Sensitivität_bzw_Monte_Carlo_bei_Strom[[#This Row],[Source.Name]],1))="Auszahlung_a","Auszahlung",""),"")</f>
        <v/>
      </c>
      <c r="D1693" s="1"/>
    </row>
    <row r="1694" spans="1:4" x14ac:dyDescent="0.3">
      <c r="A1694" s="1"/>
      <c r="B1694" s="1" t="str">
        <f>IFERROR(IF(LEFT(Sensitivität_bzw_Monte_Carlo_bei_Strom[[#This Row],[Source.Name]],SEARCH("aus_der",Sensitivität_bzw_Monte_Carlo_bei_Strom[[#This Row],[Source.Name]],1))="Auszahlung_a","Auszahlung",""),"")</f>
        <v/>
      </c>
      <c r="D1694" s="1"/>
    </row>
    <row r="1695" spans="1:4" x14ac:dyDescent="0.3">
      <c r="A1695" s="1"/>
      <c r="B1695" s="1" t="str">
        <f>IFERROR(IF(LEFT(Sensitivität_bzw_Monte_Carlo_bei_Strom[[#This Row],[Source.Name]],SEARCH("aus_der",Sensitivität_bzw_Monte_Carlo_bei_Strom[[#This Row],[Source.Name]],1))="Auszahlung_a","Auszahlung",""),"")</f>
        <v/>
      </c>
      <c r="D1695" s="1"/>
    </row>
    <row r="1696" spans="1:4" x14ac:dyDescent="0.3">
      <c r="A1696" s="1"/>
      <c r="B1696" s="1" t="str">
        <f>IFERROR(IF(LEFT(Sensitivität_bzw_Monte_Carlo_bei_Strom[[#This Row],[Source.Name]],SEARCH("aus_der",Sensitivität_bzw_Monte_Carlo_bei_Strom[[#This Row],[Source.Name]],1))="Auszahlung_a","Auszahlung",""),"")</f>
        <v/>
      </c>
      <c r="D1696" s="1"/>
    </row>
    <row r="1697" spans="1:4" x14ac:dyDescent="0.3">
      <c r="A1697" s="1"/>
      <c r="B1697" s="1" t="str">
        <f>IFERROR(IF(LEFT(Sensitivität_bzw_Monte_Carlo_bei_Strom[[#This Row],[Source.Name]],SEARCH("aus_der",Sensitivität_bzw_Monte_Carlo_bei_Strom[[#This Row],[Source.Name]],1))="Auszahlung_a","Auszahlung",""),"")</f>
        <v/>
      </c>
      <c r="D1697" s="1"/>
    </row>
    <row r="1698" spans="1:4" x14ac:dyDescent="0.3">
      <c r="A1698" s="1"/>
      <c r="B1698" s="1" t="str">
        <f>IFERROR(IF(LEFT(Sensitivität_bzw_Monte_Carlo_bei_Strom[[#This Row],[Source.Name]],SEARCH("aus_der",Sensitivität_bzw_Monte_Carlo_bei_Strom[[#This Row],[Source.Name]],1))="Auszahlung_a","Auszahlung",""),"")</f>
        <v/>
      </c>
      <c r="D1698" s="1"/>
    </row>
    <row r="1699" spans="1:4" x14ac:dyDescent="0.3">
      <c r="A1699" s="1"/>
      <c r="B1699" s="1" t="str">
        <f>IFERROR(IF(LEFT(Sensitivität_bzw_Monte_Carlo_bei_Strom[[#This Row],[Source.Name]],SEARCH("aus_der",Sensitivität_bzw_Monte_Carlo_bei_Strom[[#This Row],[Source.Name]],1))="Auszahlung_a","Auszahlung",""),"")</f>
        <v/>
      </c>
      <c r="D1699" s="1"/>
    </row>
    <row r="1700" spans="1:4" x14ac:dyDescent="0.3">
      <c r="A1700" s="1"/>
      <c r="B1700" s="1" t="str">
        <f>IFERROR(IF(LEFT(Sensitivität_bzw_Monte_Carlo_bei_Strom[[#This Row],[Source.Name]],SEARCH("aus_der",Sensitivität_bzw_Monte_Carlo_bei_Strom[[#This Row],[Source.Name]],1))="Auszahlung_a","Auszahlung",""),"")</f>
        <v/>
      </c>
      <c r="D1700" s="1"/>
    </row>
    <row r="1701" spans="1:4" x14ac:dyDescent="0.3">
      <c r="A1701" s="1"/>
      <c r="B1701" s="1" t="str">
        <f>IFERROR(IF(LEFT(Sensitivität_bzw_Monte_Carlo_bei_Strom[[#This Row],[Source.Name]],SEARCH("aus_der",Sensitivität_bzw_Monte_Carlo_bei_Strom[[#This Row],[Source.Name]],1))="Auszahlung_a","Auszahlung",""),"")</f>
        <v/>
      </c>
      <c r="D1701" s="1"/>
    </row>
    <row r="1702" spans="1:4" x14ac:dyDescent="0.3">
      <c r="A1702" s="1"/>
      <c r="B1702" s="1" t="str">
        <f>IFERROR(IF(LEFT(Sensitivität_bzw_Monte_Carlo_bei_Strom[[#This Row],[Source.Name]],SEARCH("aus_der",Sensitivität_bzw_Monte_Carlo_bei_Strom[[#This Row],[Source.Name]],1))="Auszahlung_a","Auszahlung",""),"")</f>
        <v/>
      </c>
      <c r="D1702" s="1"/>
    </row>
    <row r="1703" spans="1:4" x14ac:dyDescent="0.3">
      <c r="A1703" s="1"/>
      <c r="B1703" s="1" t="str">
        <f>IFERROR(IF(LEFT(Sensitivität_bzw_Monte_Carlo_bei_Strom[[#This Row],[Source.Name]],SEARCH("aus_der",Sensitivität_bzw_Monte_Carlo_bei_Strom[[#This Row],[Source.Name]],1))="Auszahlung_a","Auszahlung",""),"")</f>
        <v/>
      </c>
      <c r="D1703" s="1"/>
    </row>
    <row r="1704" spans="1:4" x14ac:dyDescent="0.3">
      <c r="A1704" s="1"/>
      <c r="B1704" s="1" t="str">
        <f>IFERROR(IF(LEFT(Sensitivität_bzw_Monte_Carlo_bei_Strom[[#This Row],[Source.Name]],SEARCH("aus_der",Sensitivität_bzw_Monte_Carlo_bei_Strom[[#This Row],[Source.Name]],1))="Auszahlung_a","Auszahlung",""),"")</f>
        <v/>
      </c>
      <c r="D1704" s="1"/>
    </row>
    <row r="1705" spans="1:4" x14ac:dyDescent="0.3">
      <c r="A1705" s="1"/>
      <c r="B1705" s="1" t="str">
        <f>IFERROR(IF(LEFT(Sensitivität_bzw_Monte_Carlo_bei_Strom[[#This Row],[Source.Name]],SEARCH("aus_der",Sensitivität_bzw_Monte_Carlo_bei_Strom[[#This Row],[Source.Name]],1))="Auszahlung_a","Auszahlung",""),"")</f>
        <v/>
      </c>
      <c r="D1705" s="1"/>
    </row>
    <row r="1706" spans="1:4" x14ac:dyDescent="0.3">
      <c r="A1706" s="1"/>
      <c r="B1706" s="1" t="str">
        <f>IFERROR(IF(LEFT(Sensitivität_bzw_Monte_Carlo_bei_Strom[[#This Row],[Source.Name]],SEARCH("aus_der",Sensitivität_bzw_Monte_Carlo_bei_Strom[[#This Row],[Source.Name]],1))="Auszahlung_a","Auszahlung",""),"")</f>
        <v/>
      </c>
      <c r="D1706" s="1"/>
    </row>
    <row r="1707" spans="1:4" x14ac:dyDescent="0.3">
      <c r="A1707" s="1"/>
      <c r="B1707" s="1" t="str">
        <f>IFERROR(IF(LEFT(Sensitivität_bzw_Monte_Carlo_bei_Strom[[#This Row],[Source.Name]],SEARCH("aus_der",Sensitivität_bzw_Monte_Carlo_bei_Strom[[#This Row],[Source.Name]],1))="Auszahlung_a","Auszahlung",""),"")</f>
        <v/>
      </c>
      <c r="D1707" s="1"/>
    </row>
    <row r="1708" spans="1:4" x14ac:dyDescent="0.3">
      <c r="A1708" s="1"/>
      <c r="B1708" s="1" t="str">
        <f>IFERROR(IF(LEFT(Sensitivität_bzw_Monte_Carlo_bei_Strom[[#This Row],[Source.Name]],SEARCH("aus_der",Sensitivität_bzw_Monte_Carlo_bei_Strom[[#This Row],[Source.Name]],1))="Auszahlung_a","Auszahlung",""),"")</f>
        <v/>
      </c>
      <c r="D1708" s="1"/>
    </row>
    <row r="1709" spans="1:4" x14ac:dyDescent="0.3">
      <c r="A1709" s="1"/>
      <c r="B1709" s="1" t="str">
        <f>IFERROR(IF(LEFT(Sensitivität_bzw_Monte_Carlo_bei_Strom[[#This Row],[Source.Name]],SEARCH("aus_der",Sensitivität_bzw_Monte_Carlo_bei_Strom[[#This Row],[Source.Name]],1))="Auszahlung_a","Auszahlung",""),"")</f>
        <v/>
      </c>
      <c r="D1709" s="1"/>
    </row>
    <row r="1710" spans="1:4" x14ac:dyDescent="0.3">
      <c r="A1710" s="1"/>
      <c r="B1710" s="1" t="str">
        <f>IFERROR(IF(LEFT(Sensitivität_bzw_Monte_Carlo_bei_Strom[[#This Row],[Source.Name]],SEARCH("aus_der",Sensitivität_bzw_Monte_Carlo_bei_Strom[[#This Row],[Source.Name]],1))="Auszahlung_a","Auszahlung",""),"")</f>
        <v/>
      </c>
      <c r="D1710" s="1"/>
    </row>
    <row r="1711" spans="1:4" x14ac:dyDescent="0.3">
      <c r="A1711" s="1"/>
      <c r="B1711" s="1" t="str">
        <f>IFERROR(IF(LEFT(Sensitivität_bzw_Monte_Carlo_bei_Strom[[#This Row],[Source.Name]],SEARCH("aus_der",Sensitivität_bzw_Monte_Carlo_bei_Strom[[#This Row],[Source.Name]],1))="Auszahlung_a","Auszahlung",""),"")</f>
        <v/>
      </c>
      <c r="D1711" s="1"/>
    </row>
    <row r="1712" spans="1:4" x14ac:dyDescent="0.3">
      <c r="A1712" s="1"/>
      <c r="B1712" s="1" t="str">
        <f>IFERROR(IF(LEFT(Sensitivität_bzw_Monte_Carlo_bei_Strom[[#This Row],[Source.Name]],SEARCH("aus_der",Sensitivität_bzw_Monte_Carlo_bei_Strom[[#This Row],[Source.Name]],1))="Auszahlung_a","Auszahlung",""),"")</f>
        <v/>
      </c>
      <c r="D1712" s="1"/>
    </row>
    <row r="1713" spans="1:4" x14ac:dyDescent="0.3">
      <c r="A1713" s="1"/>
      <c r="B1713" s="1" t="str">
        <f>IFERROR(IF(LEFT(Sensitivität_bzw_Monte_Carlo_bei_Strom[[#This Row],[Source.Name]],SEARCH("aus_der",Sensitivität_bzw_Monte_Carlo_bei_Strom[[#This Row],[Source.Name]],1))="Auszahlung_a","Auszahlung",""),"")</f>
        <v/>
      </c>
      <c r="D1713" s="1"/>
    </row>
    <row r="1714" spans="1:4" x14ac:dyDescent="0.3">
      <c r="A1714" s="1"/>
      <c r="B1714" s="1" t="str">
        <f>IFERROR(IF(LEFT(Sensitivität_bzw_Monte_Carlo_bei_Strom[[#This Row],[Source.Name]],SEARCH("aus_der",Sensitivität_bzw_Monte_Carlo_bei_Strom[[#This Row],[Source.Name]],1))="Auszahlung_a","Auszahlung",""),"")</f>
        <v/>
      </c>
      <c r="D1714" s="1"/>
    </row>
    <row r="1715" spans="1:4" x14ac:dyDescent="0.3">
      <c r="A1715" s="1"/>
      <c r="B1715" s="1" t="str">
        <f>IFERROR(IF(LEFT(Sensitivität_bzw_Monte_Carlo_bei_Strom[[#This Row],[Source.Name]],SEARCH("aus_der",Sensitivität_bzw_Monte_Carlo_bei_Strom[[#This Row],[Source.Name]],1))="Auszahlung_a","Auszahlung",""),"")</f>
        <v/>
      </c>
      <c r="D1715" s="1"/>
    </row>
    <row r="1716" spans="1:4" x14ac:dyDescent="0.3">
      <c r="A1716" s="1"/>
      <c r="B1716" s="1" t="str">
        <f>IFERROR(IF(LEFT(Sensitivität_bzw_Monte_Carlo_bei_Strom[[#This Row],[Source.Name]],SEARCH("aus_der",Sensitivität_bzw_Monte_Carlo_bei_Strom[[#This Row],[Source.Name]],1))="Auszahlung_a","Auszahlung",""),"")</f>
        <v/>
      </c>
      <c r="D1716" s="1"/>
    </row>
    <row r="1717" spans="1:4" x14ac:dyDescent="0.3">
      <c r="A1717" s="1"/>
      <c r="B1717" s="1" t="str">
        <f>IFERROR(IF(LEFT(Sensitivität_bzw_Monte_Carlo_bei_Strom[[#This Row],[Source.Name]],SEARCH("aus_der",Sensitivität_bzw_Monte_Carlo_bei_Strom[[#This Row],[Source.Name]],1))="Auszahlung_a","Auszahlung",""),"")</f>
        <v/>
      </c>
      <c r="D1717" s="1"/>
    </row>
    <row r="1718" spans="1:4" x14ac:dyDescent="0.3">
      <c r="A1718" s="1"/>
      <c r="B1718" s="1" t="str">
        <f>IFERROR(IF(LEFT(Sensitivität_bzw_Monte_Carlo_bei_Strom[[#This Row],[Source.Name]],SEARCH("aus_der",Sensitivität_bzw_Monte_Carlo_bei_Strom[[#This Row],[Source.Name]],1))="Auszahlung_a","Auszahlung",""),"")</f>
        <v/>
      </c>
      <c r="D1718" s="1"/>
    </row>
    <row r="1719" spans="1:4" x14ac:dyDescent="0.3">
      <c r="A1719" s="1"/>
      <c r="B1719" s="1" t="str">
        <f>IFERROR(IF(LEFT(Sensitivität_bzw_Monte_Carlo_bei_Strom[[#This Row],[Source.Name]],SEARCH("aus_der",Sensitivität_bzw_Monte_Carlo_bei_Strom[[#This Row],[Source.Name]],1))="Auszahlung_a","Auszahlung",""),"")</f>
        <v/>
      </c>
      <c r="D1719" s="1"/>
    </row>
    <row r="1720" spans="1:4" x14ac:dyDescent="0.3">
      <c r="A1720" s="1"/>
      <c r="B1720" s="1" t="str">
        <f>IFERROR(IF(LEFT(Sensitivität_bzw_Monte_Carlo_bei_Strom[[#This Row],[Source.Name]],SEARCH("aus_der",Sensitivität_bzw_Monte_Carlo_bei_Strom[[#This Row],[Source.Name]],1))="Auszahlung_a","Auszahlung",""),"")</f>
        <v/>
      </c>
      <c r="D1720" s="1"/>
    </row>
    <row r="1721" spans="1:4" x14ac:dyDescent="0.3">
      <c r="A1721" s="1"/>
      <c r="B1721" s="1" t="str">
        <f>IFERROR(IF(LEFT(Sensitivität_bzw_Monte_Carlo_bei_Strom[[#This Row],[Source.Name]],SEARCH("aus_der",Sensitivität_bzw_Monte_Carlo_bei_Strom[[#This Row],[Source.Name]],1))="Auszahlung_a","Auszahlung",""),"")</f>
        <v/>
      </c>
      <c r="D1721" s="1"/>
    </row>
    <row r="1722" spans="1:4" x14ac:dyDescent="0.3">
      <c r="A1722" s="1"/>
      <c r="B1722" s="1" t="str">
        <f>IFERROR(IF(LEFT(Sensitivität_bzw_Monte_Carlo_bei_Strom[[#This Row],[Source.Name]],SEARCH("aus_der",Sensitivität_bzw_Monte_Carlo_bei_Strom[[#This Row],[Source.Name]],1))="Auszahlung_a","Auszahlung",""),"")</f>
        <v/>
      </c>
      <c r="D1722" s="1"/>
    </row>
    <row r="1723" spans="1:4" x14ac:dyDescent="0.3">
      <c r="A1723" s="1"/>
      <c r="B1723" s="1" t="str">
        <f>IFERROR(IF(LEFT(Sensitivität_bzw_Monte_Carlo_bei_Strom[[#This Row],[Source.Name]],SEARCH("aus_der",Sensitivität_bzw_Monte_Carlo_bei_Strom[[#This Row],[Source.Name]],1))="Auszahlung_a","Auszahlung",""),"")</f>
        <v/>
      </c>
      <c r="D1723" s="1"/>
    </row>
    <row r="1724" spans="1:4" x14ac:dyDescent="0.3">
      <c r="A1724" s="1"/>
      <c r="B1724" s="1" t="str">
        <f>IFERROR(IF(LEFT(Sensitivität_bzw_Monte_Carlo_bei_Strom[[#This Row],[Source.Name]],SEARCH("aus_der",Sensitivität_bzw_Monte_Carlo_bei_Strom[[#This Row],[Source.Name]],1))="Auszahlung_a","Auszahlung",""),"")</f>
        <v/>
      </c>
      <c r="D1724" s="1"/>
    </row>
    <row r="1725" spans="1:4" x14ac:dyDescent="0.3">
      <c r="A1725" s="1"/>
      <c r="B1725" s="1" t="str">
        <f>IFERROR(IF(LEFT(Sensitivität_bzw_Monte_Carlo_bei_Strom[[#This Row],[Source.Name]],SEARCH("aus_der",Sensitivität_bzw_Monte_Carlo_bei_Strom[[#This Row],[Source.Name]],1))="Auszahlung_a","Auszahlung",""),"")</f>
        <v/>
      </c>
      <c r="D1725" s="1"/>
    </row>
    <row r="1726" spans="1:4" x14ac:dyDescent="0.3">
      <c r="A1726" s="1"/>
      <c r="B1726" s="1" t="str">
        <f>IFERROR(IF(LEFT(Sensitivität_bzw_Monte_Carlo_bei_Strom[[#This Row],[Source.Name]],SEARCH("aus_der",Sensitivität_bzw_Monte_Carlo_bei_Strom[[#This Row],[Source.Name]],1))="Auszahlung_a","Auszahlung",""),"")</f>
        <v/>
      </c>
      <c r="D1726" s="1"/>
    </row>
    <row r="1727" spans="1:4" x14ac:dyDescent="0.3">
      <c r="A1727" s="1"/>
      <c r="B1727" s="1" t="str">
        <f>IFERROR(IF(LEFT(Sensitivität_bzw_Monte_Carlo_bei_Strom[[#This Row],[Source.Name]],SEARCH("aus_der",Sensitivität_bzw_Monte_Carlo_bei_Strom[[#This Row],[Source.Name]],1))="Auszahlung_a","Auszahlung",""),"")</f>
        <v/>
      </c>
      <c r="D1727" s="1"/>
    </row>
    <row r="1728" spans="1:4" x14ac:dyDescent="0.3">
      <c r="A1728" s="1"/>
      <c r="B1728" s="1" t="str">
        <f>IFERROR(IF(LEFT(Sensitivität_bzw_Monte_Carlo_bei_Strom[[#This Row],[Source.Name]],SEARCH("aus_der",Sensitivität_bzw_Monte_Carlo_bei_Strom[[#This Row],[Source.Name]],1))="Auszahlung_a","Auszahlung",""),"")</f>
        <v/>
      </c>
      <c r="D1728" s="1"/>
    </row>
    <row r="1729" spans="1:4" x14ac:dyDescent="0.3">
      <c r="A1729" s="1"/>
      <c r="B1729" s="1" t="str">
        <f>IFERROR(IF(LEFT(Sensitivität_bzw_Monte_Carlo_bei_Strom[[#This Row],[Source.Name]],SEARCH("aus_der",Sensitivität_bzw_Monte_Carlo_bei_Strom[[#This Row],[Source.Name]],1))="Auszahlung_a","Auszahlung",""),"")</f>
        <v/>
      </c>
      <c r="D1729" s="1"/>
    </row>
    <row r="1730" spans="1:4" x14ac:dyDescent="0.3">
      <c r="A1730" s="1"/>
      <c r="B1730" s="1" t="str">
        <f>IFERROR(IF(LEFT(Sensitivität_bzw_Monte_Carlo_bei_Strom[[#This Row],[Source.Name]],SEARCH("aus_der",Sensitivität_bzw_Monte_Carlo_bei_Strom[[#This Row],[Source.Name]],1))="Auszahlung_a","Auszahlung",""),"")</f>
        <v/>
      </c>
      <c r="D1730" s="1"/>
    </row>
    <row r="1731" spans="1:4" x14ac:dyDescent="0.3">
      <c r="A1731" s="1"/>
      <c r="B1731" s="1" t="str">
        <f>IFERROR(IF(LEFT(Sensitivität_bzw_Monte_Carlo_bei_Strom[[#This Row],[Source.Name]],SEARCH("aus_der",Sensitivität_bzw_Monte_Carlo_bei_Strom[[#This Row],[Source.Name]],1))="Auszahlung_a","Auszahlung",""),"")</f>
        <v/>
      </c>
      <c r="D1731" s="1"/>
    </row>
    <row r="1732" spans="1:4" x14ac:dyDescent="0.3">
      <c r="A1732" s="1"/>
      <c r="B1732" s="1" t="str">
        <f>IFERROR(IF(LEFT(Sensitivität_bzw_Monte_Carlo_bei_Strom[[#This Row],[Source.Name]],SEARCH("aus_der",Sensitivität_bzw_Monte_Carlo_bei_Strom[[#This Row],[Source.Name]],1))="Auszahlung_a","Auszahlung",""),"")</f>
        <v/>
      </c>
      <c r="D1732" s="1"/>
    </row>
    <row r="1733" spans="1:4" x14ac:dyDescent="0.3">
      <c r="A1733" s="1"/>
      <c r="B1733" s="1" t="str">
        <f>IFERROR(IF(LEFT(Sensitivität_bzw_Monte_Carlo_bei_Strom[[#This Row],[Source.Name]],SEARCH("aus_der",Sensitivität_bzw_Monte_Carlo_bei_Strom[[#This Row],[Source.Name]],1))="Auszahlung_a","Auszahlung",""),"")</f>
        <v/>
      </c>
      <c r="D1733" s="1"/>
    </row>
    <row r="1734" spans="1:4" x14ac:dyDescent="0.3">
      <c r="A1734" s="1"/>
      <c r="B1734" s="1" t="str">
        <f>IFERROR(IF(LEFT(Sensitivität_bzw_Monte_Carlo_bei_Strom[[#This Row],[Source.Name]],SEARCH("aus_der",Sensitivität_bzw_Monte_Carlo_bei_Strom[[#This Row],[Source.Name]],1))="Auszahlung_a","Auszahlung",""),"")</f>
        <v/>
      </c>
      <c r="D1734" s="1"/>
    </row>
    <row r="1735" spans="1:4" x14ac:dyDescent="0.3">
      <c r="A1735" s="1"/>
      <c r="B1735" s="1" t="str">
        <f>IFERROR(IF(LEFT(Sensitivität_bzw_Monte_Carlo_bei_Strom[[#This Row],[Source.Name]],SEARCH("aus_der",Sensitivität_bzw_Monte_Carlo_bei_Strom[[#This Row],[Source.Name]],1))="Auszahlung_a","Auszahlung",""),"")</f>
        <v/>
      </c>
      <c r="D1735" s="1"/>
    </row>
    <row r="1736" spans="1:4" x14ac:dyDescent="0.3">
      <c r="A1736" s="1"/>
      <c r="B1736" s="1" t="str">
        <f>IFERROR(IF(LEFT(Sensitivität_bzw_Monte_Carlo_bei_Strom[[#This Row],[Source.Name]],SEARCH("aus_der",Sensitivität_bzw_Monte_Carlo_bei_Strom[[#This Row],[Source.Name]],1))="Auszahlung_a","Auszahlung",""),"")</f>
        <v/>
      </c>
      <c r="D1736" s="1"/>
    </row>
    <row r="1737" spans="1:4" x14ac:dyDescent="0.3">
      <c r="A1737" s="1"/>
      <c r="B1737" s="1" t="str">
        <f>IFERROR(IF(LEFT(Sensitivität_bzw_Monte_Carlo_bei_Strom[[#This Row],[Source.Name]],SEARCH("aus_der",Sensitivität_bzw_Monte_Carlo_bei_Strom[[#This Row],[Source.Name]],1))="Auszahlung_a","Auszahlung",""),"")</f>
        <v/>
      </c>
      <c r="D1737" s="1"/>
    </row>
    <row r="1738" spans="1:4" x14ac:dyDescent="0.3">
      <c r="A1738" s="1"/>
      <c r="B1738" s="1" t="str">
        <f>IFERROR(IF(LEFT(Sensitivität_bzw_Monte_Carlo_bei_Strom[[#This Row],[Source.Name]],SEARCH("aus_der",Sensitivität_bzw_Monte_Carlo_bei_Strom[[#This Row],[Source.Name]],1))="Auszahlung_a","Auszahlung",""),"")</f>
        <v/>
      </c>
      <c r="D1738" s="1"/>
    </row>
    <row r="1739" spans="1:4" x14ac:dyDescent="0.3">
      <c r="A1739" s="1"/>
      <c r="B1739" s="1" t="str">
        <f>IFERROR(IF(LEFT(Sensitivität_bzw_Monte_Carlo_bei_Strom[[#This Row],[Source.Name]],SEARCH("aus_der",Sensitivität_bzw_Monte_Carlo_bei_Strom[[#This Row],[Source.Name]],1))="Auszahlung_a","Auszahlung",""),"")</f>
        <v/>
      </c>
      <c r="D1739" s="1"/>
    </row>
    <row r="1740" spans="1:4" x14ac:dyDescent="0.3">
      <c r="A1740" s="1"/>
      <c r="B1740" s="1" t="str">
        <f>IFERROR(IF(LEFT(Sensitivität_bzw_Monte_Carlo_bei_Strom[[#This Row],[Source.Name]],SEARCH("aus_der",Sensitivität_bzw_Monte_Carlo_bei_Strom[[#This Row],[Source.Name]],1))="Auszahlung_a","Auszahlung",""),"")</f>
        <v/>
      </c>
      <c r="D1740" s="1"/>
    </row>
    <row r="1741" spans="1:4" x14ac:dyDescent="0.3">
      <c r="A1741" s="1"/>
      <c r="B1741" s="1" t="str">
        <f>IFERROR(IF(LEFT(Sensitivität_bzw_Monte_Carlo_bei_Strom[[#This Row],[Source.Name]],SEARCH("aus_der",Sensitivität_bzw_Monte_Carlo_bei_Strom[[#This Row],[Source.Name]],1))="Auszahlung_a","Auszahlung",""),"")</f>
        <v/>
      </c>
      <c r="D1741" s="1"/>
    </row>
    <row r="1742" spans="1:4" x14ac:dyDescent="0.3">
      <c r="A1742" s="1"/>
      <c r="B1742" s="1" t="str">
        <f>IFERROR(IF(LEFT(Sensitivität_bzw_Monte_Carlo_bei_Strom[[#This Row],[Source.Name]],SEARCH("aus_der",Sensitivität_bzw_Monte_Carlo_bei_Strom[[#This Row],[Source.Name]],1))="Auszahlung_a","Auszahlung",""),"")</f>
        <v/>
      </c>
      <c r="D1742" s="1"/>
    </row>
    <row r="1743" spans="1:4" x14ac:dyDescent="0.3">
      <c r="A1743" s="1"/>
      <c r="B1743" s="1" t="str">
        <f>IFERROR(IF(LEFT(Sensitivität_bzw_Monte_Carlo_bei_Strom[[#This Row],[Source.Name]],SEARCH("aus_der",Sensitivität_bzw_Monte_Carlo_bei_Strom[[#This Row],[Source.Name]],1))="Auszahlung_a","Auszahlung",""),"")</f>
        <v/>
      </c>
      <c r="D1743" s="1"/>
    </row>
    <row r="1744" spans="1:4" x14ac:dyDescent="0.3">
      <c r="A1744" s="1"/>
      <c r="B1744" s="1" t="str">
        <f>IFERROR(IF(LEFT(Sensitivität_bzw_Monte_Carlo_bei_Strom[[#This Row],[Source.Name]],SEARCH("aus_der",Sensitivität_bzw_Monte_Carlo_bei_Strom[[#This Row],[Source.Name]],1))="Auszahlung_a","Auszahlung",""),"")</f>
        <v/>
      </c>
      <c r="D1744" s="1"/>
    </row>
    <row r="1745" spans="1:4" x14ac:dyDescent="0.3">
      <c r="A1745" s="1"/>
      <c r="B1745" s="1" t="str">
        <f>IFERROR(IF(LEFT(Sensitivität_bzw_Monte_Carlo_bei_Strom[[#This Row],[Source.Name]],SEARCH("aus_der",Sensitivität_bzw_Monte_Carlo_bei_Strom[[#This Row],[Source.Name]],1))="Auszahlung_a","Auszahlung",""),"")</f>
        <v/>
      </c>
      <c r="D1745" s="1"/>
    </row>
    <row r="1746" spans="1:4" x14ac:dyDescent="0.3">
      <c r="A1746" s="1"/>
      <c r="B1746" s="1" t="str">
        <f>IFERROR(IF(LEFT(Sensitivität_bzw_Monte_Carlo_bei_Strom[[#This Row],[Source.Name]],SEARCH("aus_der",Sensitivität_bzw_Monte_Carlo_bei_Strom[[#This Row],[Source.Name]],1))="Auszahlung_a","Auszahlung",""),"")</f>
        <v/>
      </c>
      <c r="D1746" s="1"/>
    </row>
    <row r="1747" spans="1:4" x14ac:dyDescent="0.3">
      <c r="A1747" s="1"/>
      <c r="B1747" s="1" t="str">
        <f>IFERROR(IF(LEFT(Sensitivität_bzw_Monte_Carlo_bei_Strom[[#This Row],[Source.Name]],SEARCH("aus_der",Sensitivität_bzw_Monte_Carlo_bei_Strom[[#This Row],[Source.Name]],1))="Auszahlung_a","Auszahlung",""),"")</f>
        <v/>
      </c>
      <c r="D1747" s="1"/>
    </row>
    <row r="1748" spans="1:4" x14ac:dyDescent="0.3">
      <c r="A1748" s="1"/>
      <c r="B1748" s="1" t="str">
        <f>IFERROR(IF(LEFT(Sensitivität_bzw_Monte_Carlo_bei_Strom[[#This Row],[Source.Name]],SEARCH("aus_der",Sensitivität_bzw_Monte_Carlo_bei_Strom[[#This Row],[Source.Name]],1))="Auszahlung_a","Auszahlung",""),"")</f>
        <v/>
      </c>
      <c r="D1748" s="1"/>
    </row>
    <row r="1749" spans="1:4" x14ac:dyDescent="0.3">
      <c r="A1749" s="1"/>
      <c r="B1749" s="1" t="str">
        <f>IFERROR(IF(LEFT(Sensitivität_bzw_Monte_Carlo_bei_Strom[[#This Row],[Source.Name]],SEARCH("aus_der",Sensitivität_bzw_Monte_Carlo_bei_Strom[[#This Row],[Source.Name]],1))="Auszahlung_a","Auszahlung",""),"")</f>
        <v/>
      </c>
      <c r="D1749" s="1"/>
    </row>
    <row r="1750" spans="1:4" x14ac:dyDescent="0.3">
      <c r="A1750" s="1"/>
      <c r="B1750" s="1" t="str">
        <f>IFERROR(IF(LEFT(Sensitivität_bzw_Monte_Carlo_bei_Strom[[#This Row],[Source.Name]],SEARCH("aus_der",Sensitivität_bzw_Monte_Carlo_bei_Strom[[#This Row],[Source.Name]],1))="Auszahlung_a","Auszahlung",""),"")</f>
        <v/>
      </c>
      <c r="D1750" s="1"/>
    </row>
    <row r="1751" spans="1:4" x14ac:dyDescent="0.3">
      <c r="A1751" s="1"/>
      <c r="B1751" s="1" t="str">
        <f>IFERROR(IF(LEFT(Sensitivität_bzw_Monte_Carlo_bei_Strom[[#This Row],[Source.Name]],SEARCH("aus_der",Sensitivität_bzw_Monte_Carlo_bei_Strom[[#This Row],[Source.Name]],1))="Auszahlung_a","Auszahlung",""),"")</f>
        <v/>
      </c>
      <c r="D1751" s="1"/>
    </row>
    <row r="1752" spans="1:4" x14ac:dyDescent="0.3">
      <c r="A1752" s="1"/>
      <c r="B1752" s="1" t="str">
        <f>IFERROR(IF(LEFT(Sensitivität_bzw_Monte_Carlo_bei_Strom[[#This Row],[Source.Name]],SEARCH("aus_der",Sensitivität_bzw_Monte_Carlo_bei_Strom[[#This Row],[Source.Name]],1))="Auszahlung_a","Auszahlung",""),"")</f>
        <v/>
      </c>
      <c r="D1752" s="1"/>
    </row>
    <row r="1753" spans="1:4" x14ac:dyDescent="0.3">
      <c r="A1753" s="1"/>
      <c r="B1753" s="1" t="str">
        <f>IFERROR(IF(LEFT(Sensitivität_bzw_Monte_Carlo_bei_Strom[[#This Row],[Source.Name]],SEARCH("aus_der",Sensitivität_bzw_Monte_Carlo_bei_Strom[[#This Row],[Source.Name]],1))="Auszahlung_a","Auszahlung",""),"")</f>
        <v/>
      </c>
      <c r="D1753" s="1"/>
    </row>
    <row r="1754" spans="1:4" x14ac:dyDescent="0.3">
      <c r="A1754" s="1"/>
      <c r="B1754" s="1" t="str">
        <f>IFERROR(IF(LEFT(Sensitivität_bzw_Monte_Carlo_bei_Strom[[#This Row],[Source.Name]],SEARCH("aus_der",Sensitivität_bzw_Monte_Carlo_bei_Strom[[#This Row],[Source.Name]],1))="Auszahlung_a","Auszahlung",""),"")</f>
        <v/>
      </c>
      <c r="D1754" s="1"/>
    </row>
    <row r="1755" spans="1:4" x14ac:dyDescent="0.3">
      <c r="A1755" s="1"/>
      <c r="B1755" s="1" t="str">
        <f>IFERROR(IF(LEFT(Sensitivität_bzw_Monte_Carlo_bei_Strom[[#This Row],[Source.Name]],SEARCH("aus_der",Sensitivität_bzw_Monte_Carlo_bei_Strom[[#This Row],[Source.Name]],1))="Auszahlung_a","Auszahlung",""),"")</f>
        <v/>
      </c>
      <c r="D1755" s="1"/>
    </row>
    <row r="1756" spans="1:4" x14ac:dyDescent="0.3">
      <c r="A1756" s="1"/>
      <c r="B1756" s="1" t="str">
        <f>IFERROR(IF(LEFT(Sensitivität_bzw_Monte_Carlo_bei_Strom[[#This Row],[Source.Name]],SEARCH("aus_der",Sensitivität_bzw_Monte_Carlo_bei_Strom[[#This Row],[Source.Name]],1))="Auszahlung_a","Auszahlung",""),"")</f>
        <v/>
      </c>
      <c r="D1756" s="1"/>
    </row>
    <row r="1757" spans="1:4" x14ac:dyDescent="0.3">
      <c r="A1757" s="1"/>
      <c r="B1757" s="1" t="str">
        <f>IFERROR(IF(LEFT(Sensitivität_bzw_Monte_Carlo_bei_Strom[[#This Row],[Source.Name]],SEARCH("aus_der",Sensitivität_bzw_Monte_Carlo_bei_Strom[[#This Row],[Source.Name]],1))="Auszahlung_a","Auszahlung",""),"")</f>
        <v/>
      </c>
      <c r="D1757" s="1"/>
    </row>
    <row r="1758" spans="1:4" x14ac:dyDescent="0.3">
      <c r="A1758" s="1"/>
      <c r="B1758" s="1" t="str">
        <f>IFERROR(IF(LEFT(Sensitivität_bzw_Monte_Carlo_bei_Strom[[#This Row],[Source.Name]],SEARCH("aus_der",Sensitivität_bzw_Monte_Carlo_bei_Strom[[#This Row],[Source.Name]],1))="Auszahlung_a","Auszahlung",""),"")</f>
        <v/>
      </c>
      <c r="D1758" s="1"/>
    </row>
    <row r="1759" spans="1:4" x14ac:dyDescent="0.3">
      <c r="A1759" s="1"/>
      <c r="B1759" s="1" t="str">
        <f>IFERROR(IF(LEFT(Sensitivität_bzw_Monte_Carlo_bei_Strom[[#This Row],[Source.Name]],SEARCH("aus_der",Sensitivität_bzw_Monte_Carlo_bei_Strom[[#This Row],[Source.Name]],1))="Auszahlung_a","Auszahlung",""),"")</f>
        <v/>
      </c>
      <c r="D1759" s="1"/>
    </row>
    <row r="1760" spans="1:4" x14ac:dyDescent="0.3">
      <c r="A1760" s="1"/>
      <c r="B1760" s="1" t="str">
        <f>IFERROR(IF(LEFT(Sensitivität_bzw_Monte_Carlo_bei_Strom[[#This Row],[Source.Name]],SEARCH("aus_der",Sensitivität_bzw_Monte_Carlo_bei_Strom[[#This Row],[Source.Name]],1))="Auszahlung_a","Auszahlung",""),"")</f>
        <v/>
      </c>
      <c r="D1760" s="1"/>
    </row>
    <row r="1761" spans="1:4" x14ac:dyDescent="0.3">
      <c r="A1761" s="1"/>
      <c r="B1761" s="1" t="str">
        <f>IFERROR(IF(LEFT(Sensitivität_bzw_Monte_Carlo_bei_Strom[[#This Row],[Source.Name]],SEARCH("aus_der",Sensitivität_bzw_Monte_Carlo_bei_Strom[[#This Row],[Source.Name]],1))="Auszahlung_a","Auszahlung",""),"")</f>
        <v/>
      </c>
      <c r="D1761" s="1"/>
    </row>
    <row r="1762" spans="1:4" x14ac:dyDescent="0.3">
      <c r="A1762" s="1"/>
      <c r="B1762" s="1" t="str">
        <f>IFERROR(IF(LEFT(Sensitivität_bzw_Monte_Carlo_bei_Strom[[#This Row],[Source.Name]],SEARCH("aus_der",Sensitivität_bzw_Monte_Carlo_bei_Strom[[#This Row],[Source.Name]],1))="Auszahlung_a","Auszahlung",""),"")</f>
        <v/>
      </c>
      <c r="D1762" s="1"/>
    </row>
    <row r="1763" spans="1:4" x14ac:dyDescent="0.3">
      <c r="A1763" s="1"/>
      <c r="B1763" s="1" t="str">
        <f>IFERROR(IF(LEFT(Sensitivität_bzw_Monte_Carlo_bei_Strom[[#This Row],[Source.Name]],SEARCH("aus_der",Sensitivität_bzw_Monte_Carlo_bei_Strom[[#This Row],[Source.Name]],1))="Auszahlung_a","Auszahlung",""),"")</f>
        <v/>
      </c>
      <c r="D1763" s="1"/>
    </row>
    <row r="1764" spans="1:4" x14ac:dyDescent="0.3">
      <c r="A1764" s="1"/>
      <c r="B1764" s="1" t="str">
        <f>IFERROR(IF(LEFT(Sensitivität_bzw_Monte_Carlo_bei_Strom[[#This Row],[Source.Name]],SEARCH("aus_der",Sensitivität_bzw_Monte_Carlo_bei_Strom[[#This Row],[Source.Name]],1))="Auszahlung_a","Auszahlung",""),"")</f>
        <v/>
      </c>
      <c r="D1764" s="1"/>
    </row>
    <row r="1765" spans="1:4" x14ac:dyDescent="0.3">
      <c r="A1765" s="1"/>
      <c r="B1765" s="1" t="str">
        <f>IFERROR(IF(LEFT(Sensitivität_bzw_Monte_Carlo_bei_Strom[[#This Row],[Source.Name]],SEARCH("aus_der",Sensitivität_bzw_Monte_Carlo_bei_Strom[[#This Row],[Source.Name]],1))="Auszahlung_a","Auszahlung",""),"")</f>
        <v/>
      </c>
      <c r="D1765" s="1"/>
    </row>
    <row r="1766" spans="1:4" x14ac:dyDescent="0.3">
      <c r="A1766" s="1"/>
      <c r="B1766" s="1" t="str">
        <f>IFERROR(IF(LEFT(Sensitivität_bzw_Monte_Carlo_bei_Strom[[#This Row],[Source.Name]],SEARCH("aus_der",Sensitivität_bzw_Monte_Carlo_bei_Strom[[#This Row],[Source.Name]],1))="Auszahlung_a","Auszahlung",""),"")</f>
        <v/>
      </c>
      <c r="D1766" s="1"/>
    </row>
    <row r="1767" spans="1:4" x14ac:dyDescent="0.3">
      <c r="A1767" s="1"/>
      <c r="B1767" s="1" t="str">
        <f>IFERROR(IF(LEFT(Sensitivität_bzw_Monte_Carlo_bei_Strom[[#This Row],[Source.Name]],SEARCH("aus_der",Sensitivität_bzw_Monte_Carlo_bei_Strom[[#This Row],[Source.Name]],1))="Auszahlung_a","Auszahlung",""),"")</f>
        <v/>
      </c>
      <c r="D1767" s="1"/>
    </row>
    <row r="1768" spans="1:4" x14ac:dyDescent="0.3">
      <c r="A1768" s="1"/>
      <c r="B1768" s="1" t="str">
        <f>IFERROR(IF(LEFT(Sensitivität_bzw_Monte_Carlo_bei_Strom[[#This Row],[Source.Name]],SEARCH("aus_der",Sensitivität_bzw_Monte_Carlo_bei_Strom[[#This Row],[Source.Name]],1))="Auszahlung_a","Auszahlung",""),"")</f>
        <v/>
      </c>
      <c r="D1768" s="1"/>
    </row>
    <row r="1769" spans="1:4" x14ac:dyDescent="0.3">
      <c r="A1769" s="1"/>
      <c r="B1769" s="1" t="str">
        <f>IFERROR(IF(LEFT(Sensitivität_bzw_Monte_Carlo_bei_Strom[[#This Row],[Source.Name]],SEARCH("aus_der",Sensitivität_bzw_Monte_Carlo_bei_Strom[[#This Row],[Source.Name]],1))="Auszahlung_a","Auszahlung",""),"")</f>
        <v/>
      </c>
      <c r="D1769" s="1"/>
    </row>
    <row r="1770" spans="1:4" x14ac:dyDescent="0.3">
      <c r="A1770" s="1"/>
      <c r="B1770" s="1" t="str">
        <f>IFERROR(IF(LEFT(Sensitivität_bzw_Monte_Carlo_bei_Strom[[#This Row],[Source.Name]],SEARCH("aus_der",Sensitivität_bzw_Monte_Carlo_bei_Strom[[#This Row],[Source.Name]],1))="Auszahlung_a","Auszahlung",""),"")</f>
        <v/>
      </c>
      <c r="D1770" s="1"/>
    </row>
    <row r="1771" spans="1:4" x14ac:dyDescent="0.3">
      <c r="A1771" s="1"/>
      <c r="B1771" s="1" t="str">
        <f>IFERROR(IF(LEFT(Sensitivität_bzw_Monte_Carlo_bei_Strom[[#This Row],[Source.Name]],SEARCH("aus_der",Sensitivität_bzw_Monte_Carlo_bei_Strom[[#This Row],[Source.Name]],1))="Auszahlung_a","Auszahlung",""),"")</f>
        <v/>
      </c>
      <c r="D1771" s="1"/>
    </row>
    <row r="1772" spans="1:4" x14ac:dyDescent="0.3">
      <c r="A1772" s="1"/>
      <c r="B1772" s="1" t="str">
        <f>IFERROR(IF(LEFT(Sensitivität_bzw_Monte_Carlo_bei_Strom[[#This Row],[Source.Name]],SEARCH("aus_der",Sensitivität_bzw_Monte_Carlo_bei_Strom[[#This Row],[Source.Name]],1))="Auszahlung_a","Auszahlung",""),"")</f>
        <v/>
      </c>
      <c r="D1772" s="1"/>
    </row>
    <row r="1773" spans="1:4" x14ac:dyDescent="0.3">
      <c r="A1773" s="1"/>
      <c r="B1773" s="1" t="str">
        <f>IFERROR(IF(LEFT(Sensitivität_bzw_Monte_Carlo_bei_Strom[[#This Row],[Source.Name]],SEARCH("aus_der",Sensitivität_bzw_Monte_Carlo_bei_Strom[[#This Row],[Source.Name]],1))="Auszahlung_a","Auszahlung",""),"")</f>
        <v/>
      </c>
      <c r="D1773" s="1"/>
    </row>
    <row r="1774" spans="1:4" x14ac:dyDescent="0.3">
      <c r="A1774" s="1"/>
      <c r="B1774" s="1" t="str">
        <f>IFERROR(IF(LEFT(Sensitivität_bzw_Monte_Carlo_bei_Strom[[#This Row],[Source.Name]],SEARCH("aus_der",Sensitivität_bzw_Monte_Carlo_bei_Strom[[#This Row],[Source.Name]],1))="Auszahlung_a","Auszahlung",""),"")</f>
        <v/>
      </c>
      <c r="D1774" s="1"/>
    </row>
    <row r="1775" spans="1:4" x14ac:dyDescent="0.3">
      <c r="A1775" s="1"/>
      <c r="B1775" s="1" t="str">
        <f>IFERROR(IF(LEFT(Sensitivität_bzw_Monte_Carlo_bei_Strom[[#This Row],[Source.Name]],SEARCH("aus_der",Sensitivität_bzw_Monte_Carlo_bei_Strom[[#This Row],[Source.Name]],1))="Auszahlung_a","Auszahlung",""),"")</f>
        <v/>
      </c>
      <c r="D1775" s="1"/>
    </row>
    <row r="1776" spans="1:4" x14ac:dyDescent="0.3">
      <c r="A1776" s="1"/>
      <c r="B1776" s="1" t="str">
        <f>IFERROR(IF(LEFT(Sensitivität_bzw_Monte_Carlo_bei_Strom[[#This Row],[Source.Name]],SEARCH("aus_der",Sensitivität_bzw_Monte_Carlo_bei_Strom[[#This Row],[Source.Name]],1))="Auszahlung_a","Auszahlung",""),"")</f>
        <v/>
      </c>
      <c r="D1776" s="1"/>
    </row>
    <row r="1777" spans="1:4" x14ac:dyDescent="0.3">
      <c r="A1777" s="1"/>
      <c r="B1777" s="1" t="str">
        <f>IFERROR(IF(LEFT(Sensitivität_bzw_Monte_Carlo_bei_Strom[[#This Row],[Source.Name]],SEARCH("aus_der",Sensitivität_bzw_Monte_Carlo_bei_Strom[[#This Row],[Source.Name]],1))="Auszahlung_a","Auszahlung",""),"")</f>
        <v/>
      </c>
      <c r="D1777" s="1"/>
    </row>
    <row r="1778" spans="1:4" x14ac:dyDescent="0.3">
      <c r="A1778" s="1"/>
      <c r="B1778" s="1" t="str">
        <f>IFERROR(IF(LEFT(Sensitivität_bzw_Monte_Carlo_bei_Strom[[#This Row],[Source.Name]],SEARCH("aus_der",Sensitivität_bzw_Monte_Carlo_bei_Strom[[#This Row],[Source.Name]],1))="Auszahlung_a","Auszahlung",""),"")</f>
        <v/>
      </c>
      <c r="D1778" s="1"/>
    </row>
    <row r="1779" spans="1:4" x14ac:dyDescent="0.3">
      <c r="A1779" s="1"/>
      <c r="B1779" s="1" t="str">
        <f>IFERROR(IF(LEFT(Sensitivität_bzw_Monte_Carlo_bei_Strom[[#This Row],[Source.Name]],SEARCH("aus_der",Sensitivität_bzw_Monte_Carlo_bei_Strom[[#This Row],[Source.Name]],1))="Auszahlung_a","Auszahlung",""),"")</f>
        <v/>
      </c>
      <c r="D1779" s="1"/>
    </row>
    <row r="1780" spans="1:4" x14ac:dyDescent="0.3">
      <c r="A1780" s="1"/>
      <c r="B1780" s="1" t="str">
        <f>IFERROR(IF(LEFT(Sensitivität_bzw_Monte_Carlo_bei_Strom[[#This Row],[Source.Name]],SEARCH("aus_der",Sensitivität_bzw_Monte_Carlo_bei_Strom[[#This Row],[Source.Name]],1))="Auszahlung_a","Auszahlung",""),"")</f>
        <v/>
      </c>
      <c r="D1780" s="1"/>
    </row>
    <row r="1781" spans="1:4" x14ac:dyDescent="0.3">
      <c r="A1781" s="1"/>
      <c r="B1781" s="1" t="str">
        <f>IFERROR(IF(LEFT(Sensitivität_bzw_Monte_Carlo_bei_Strom[[#This Row],[Source.Name]],SEARCH("aus_der",Sensitivität_bzw_Monte_Carlo_bei_Strom[[#This Row],[Source.Name]],1))="Auszahlung_a","Auszahlung",""),"")</f>
        <v/>
      </c>
      <c r="D1781" s="1"/>
    </row>
    <row r="1782" spans="1:4" x14ac:dyDescent="0.3">
      <c r="A1782" s="1"/>
      <c r="B1782" s="1" t="str">
        <f>IFERROR(IF(LEFT(Sensitivität_bzw_Monte_Carlo_bei_Strom[[#This Row],[Source.Name]],SEARCH("aus_der",Sensitivität_bzw_Monte_Carlo_bei_Strom[[#This Row],[Source.Name]],1))="Auszahlung_a","Auszahlung",""),"")</f>
        <v/>
      </c>
      <c r="D1782" s="1"/>
    </row>
    <row r="1783" spans="1:4" x14ac:dyDescent="0.3">
      <c r="A1783" s="1"/>
      <c r="B1783" s="1" t="str">
        <f>IFERROR(IF(LEFT(Sensitivität_bzw_Monte_Carlo_bei_Strom[[#This Row],[Source.Name]],SEARCH("aus_der",Sensitivität_bzw_Monte_Carlo_bei_Strom[[#This Row],[Source.Name]],1))="Auszahlung_a","Auszahlung",""),"")</f>
        <v/>
      </c>
      <c r="D1783" s="1"/>
    </row>
    <row r="1784" spans="1:4" x14ac:dyDescent="0.3">
      <c r="A1784" s="1"/>
      <c r="B1784" s="1" t="str">
        <f>IFERROR(IF(LEFT(Sensitivität_bzw_Monte_Carlo_bei_Strom[[#This Row],[Source.Name]],SEARCH("aus_der",Sensitivität_bzw_Monte_Carlo_bei_Strom[[#This Row],[Source.Name]],1))="Auszahlung_a","Auszahlung",""),"")</f>
        <v/>
      </c>
      <c r="D1784" s="1"/>
    </row>
    <row r="1785" spans="1:4" x14ac:dyDescent="0.3">
      <c r="A1785" s="1"/>
      <c r="B1785" s="1" t="str">
        <f>IFERROR(IF(LEFT(Sensitivität_bzw_Monte_Carlo_bei_Strom[[#This Row],[Source.Name]],SEARCH("aus_der",Sensitivität_bzw_Monte_Carlo_bei_Strom[[#This Row],[Source.Name]],1))="Auszahlung_a","Auszahlung",""),"")</f>
        <v/>
      </c>
      <c r="D1785" s="1"/>
    </row>
    <row r="1786" spans="1:4" x14ac:dyDescent="0.3">
      <c r="A1786" s="1"/>
      <c r="B1786" s="1" t="str">
        <f>IFERROR(IF(LEFT(Sensitivität_bzw_Monte_Carlo_bei_Strom[[#This Row],[Source.Name]],SEARCH("aus_der",Sensitivität_bzw_Monte_Carlo_bei_Strom[[#This Row],[Source.Name]],1))="Auszahlung_a","Auszahlung",""),"")</f>
        <v/>
      </c>
      <c r="D1786" s="1"/>
    </row>
    <row r="1787" spans="1:4" x14ac:dyDescent="0.3">
      <c r="A1787" s="1"/>
      <c r="B1787" s="1" t="str">
        <f>IFERROR(IF(LEFT(Sensitivität_bzw_Monte_Carlo_bei_Strom[[#This Row],[Source.Name]],SEARCH("aus_der",Sensitivität_bzw_Monte_Carlo_bei_Strom[[#This Row],[Source.Name]],1))="Auszahlung_a","Auszahlung",""),"")</f>
        <v/>
      </c>
      <c r="D1787" s="1"/>
    </row>
    <row r="1788" spans="1:4" x14ac:dyDescent="0.3">
      <c r="A1788" s="1"/>
      <c r="B1788" s="1" t="str">
        <f>IFERROR(IF(LEFT(Sensitivität_bzw_Monte_Carlo_bei_Strom[[#This Row],[Source.Name]],SEARCH("aus_der",Sensitivität_bzw_Monte_Carlo_bei_Strom[[#This Row],[Source.Name]],1))="Auszahlung_a","Auszahlung",""),"")</f>
        <v/>
      </c>
      <c r="D1788" s="1"/>
    </row>
    <row r="1789" spans="1:4" x14ac:dyDescent="0.3">
      <c r="A1789" s="1"/>
      <c r="B1789" s="1" t="str">
        <f>IFERROR(IF(LEFT(Sensitivität_bzw_Monte_Carlo_bei_Strom[[#This Row],[Source.Name]],SEARCH("aus_der",Sensitivität_bzw_Monte_Carlo_bei_Strom[[#This Row],[Source.Name]],1))="Auszahlung_a","Auszahlung",""),"")</f>
        <v/>
      </c>
      <c r="D1789" s="1"/>
    </row>
    <row r="1790" spans="1:4" x14ac:dyDescent="0.3">
      <c r="A1790" s="1"/>
      <c r="B1790" s="1" t="str">
        <f>IFERROR(IF(LEFT(Sensitivität_bzw_Monte_Carlo_bei_Strom[[#This Row],[Source.Name]],SEARCH("aus_der",Sensitivität_bzw_Monte_Carlo_bei_Strom[[#This Row],[Source.Name]],1))="Auszahlung_a","Auszahlung",""),"")</f>
        <v/>
      </c>
      <c r="D1790" s="1"/>
    </row>
    <row r="1791" spans="1:4" x14ac:dyDescent="0.3">
      <c r="A1791" s="1"/>
      <c r="B1791" s="1" t="str">
        <f>IFERROR(IF(LEFT(Sensitivität_bzw_Monte_Carlo_bei_Strom[[#This Row],[Source.Name]],SEARCH("aus_der",Sensitivität_bzw_Monte_Carlo_bei_Strom[[#This Row],[Source.Name]],1))="Auszahlung_a","Auszahlung",""),"")</f>
        <v/>
      </c>
      <c r="D1791" s="1"/>
    </row>
    <row r="1792" spans="1:4" x14ac:dyDescent="0.3">
      <c r="A1792" s="1"/>
      <c r="B1792" s="1" t="str">
        <f>IFERROR(IF(LEFT(Sensitivität_bzw_Monte_Carlo_bei_Strom[[#This Row],[Source.Name]],SEARCH("aus_der",Sensitivität_bzw_Monte_Carlo_bei_Strom[[#This Row],[Source.Name]],1))="Auszahlung_a","Auszahlung",""),"")</f>
        <v/>
      </c>
      <c r="D1792" s="1"/>
    </row>
    <row r="1793" spans="1:4" x14ac:dyDescent="0.3">
      <c r="A1793" s="1"/>
      <c r="B1793" s="1" t="str">
        <f>IFERROR(IF(LEFT(Sensitivität_bzw_Monte_Carlo_bei_Strom[[#This Row],[Source.Name]],SEARCH("aus_der",Sensitivität_bzw_Monte_Carlo_bei_Strom[[#This Row],[Source.Name]],1))="Auszahlung_a","Auszahlung",""),"")</f>
        <v/>
      </c>
      <c r="D1793" s="1"/>
    </row>
    <row r="1794" spans="1:4" x14ac:dyDescent="0.3">
      <c r="A1794" s="1"/>
      <c r="B1794" s="1" t="str">
        <f>IFERROR(IF(LEFT(Sensitivität_bzw_Monte_Carlo_bei_Strom[[#This Row],[Source.Name]],SEARCH("aus_der",Sensitivität_bzw_Monte_Carlo_bei_Strom[[#This Row],[Source.Name]],1))="Auszahlung_a","Auszahlung",""),"")</f>
        <v/>
      </c>
      <c r="D1794" s="1"/>
    </row>
    <row r="1795" spans="1:4" x14ac:dyDescent="0.3">
      <c r="A1795" s="1"/>
      <c r="B1795" s="1" t="str">
        <f>IFERROR(IF(LEFT(Sensitivität_bzw_Monte_Carlo_bei_Strom[[#This Row],[Source.Name]],SEARCH("aus_der",Sensitivität_bzw_Monte_Carlo_bei_Strom[[#This Row],[Source.Name]],1))="Auszahlung_a","Auszahlung",""),"")</f>
        <v/>
      </c>
      <c r="D1795" s="1"/>
    </row>
    <row r="1796" spans="1:4" x14ac:dyDescent="0.3">
      <c r="A1796" s="1"/>
      <c r="B1796" s="1" t="str">
        <f>IFERROR(IF(LEFT(Sensitivität_bzw_Monte_Carlo_bei_Strom[[#This Row],[Source.Name]],SEARCH("aus_der",Sensitivität_bzw_Monte_Carlo_bei_Strom[[#This Row],[Source.Name]],1))="Auszahlung_a","Auszahlung",""),"")</f>
        <v/>
      </c>
      <c r="D1796" s="1"/>
    </row>
    <row r="1797" spans="1:4" x14ac:dyDescent="0.3">
      <c r="A1797" s="1"/>
      <c r="B1797" s="1" t="str">
        <f>IFERROR(IF(LEFT(Sensitivität_bzw_Monte_Carlo_bei_Strom[[#This Row],[Source.Name]],SEARCH("aus_der",Sensitivität_bzw_Monte_Carlo_bei_Strom[[#This Row],[Source.Name]],1))="Auszahlung_a","Auszahlung",""),"")</f>
        <v/>
      </c>
      <c r="D1797" s="1"/>
    </row>
    <row r="1798" spans="1:4" x14ac:dyDescent="0.3">
      <c r="A1798" s="1"/>
      <c r="B1798" s="1" t="str">
        <f>IFERROR(IF(LEFT(Sensitivität_bzw_Monte_Carlo_bei_Strom[[#This Row],[Source.Name]],SEARCH("aus_der",Sensitivität_bzw_Monte_Carlo_bei_Strom[[#This Row],[Source.Name]],1))="Auszahlung_a","Auszahlung",""),"")</f>
        <v/>
      </c>
      <c r="D1798" s="1"/>
    </row>
    <row r="1799" spans="1:4" x14ac:dyDescent="0.3">
      <c r="A1799" s="1"/>
      <c r="B1799" s="1" t="str">
        <f>IFERROR(IF(LEFT(Sensitivität_bzw_Monte_Carlo_bei_Strom[[#This Row],[Source.Name]],SEARCH("aus_der",Sensitivität_bzw_Monte_Carlo_bei_Strom[[#This Row],[Source.Name]],1))="Auszahlung_a","Auszahlung",""),"")</f>
        <v/>
      </c>
      <c r="D1799" s="1"/>
    </row>
    <row r="1800" spans="1:4" x14ac:dyDescent="0.3">
      <c r="A1800" s="1"/>
      <c r="B1800" s="1" t="str">
        <f>IFERROR(IF(LEFT(Sensitivität_bzw_Monte_Carlo_bei_Strom[[#This Row],[Source.Name]],SEARCH("aus_der",Sensitivität_bzw_Monte_Carlo_bei_Strom[[#This Row],[Source.Name]],1))="Auszahlung_a","Auszahlung",""),"")</f>
        <v/>
      </c>
      <c r="D1800" s="1"/>
    </row>
    <row r="1801" spans="1:4" x14ac:dyDescent="0.3">
      <c r="A1801" s="1"/>
      <c r="B1801" s="1" t="str">
        <f>IFERROR(IF(LEFT(Sensitivität_bzw_Monte_Carlo_bei_Strom[[#This Row],[Source.Name]],SEARCH("aus_der",Sensitivität_bzw_Monte_Carlo_bei_Strom[[#This Row],[Source.Name]],1))="Auszahlung_a","Auszahlung",""),"")</f>
        <v/>
      </c>
      <c r="D1801" s="1"/>
    </row>
    <row r="1802" spans="1:4" x14ac:dyDescent="0.3">
      <c r="A1802" s="1"/>
      <c r="B1802" s="1" t="str">
        <f>IFERROR(IF(LEFT(Sensitivität_bzw_Monte_Carlo_bei_Strom[[#This Row],[Source.Name]],SEARCH("aus_der",Sensitivität_bzw_Monte_Carlo_bei_Strom[[#This Row],[Source.Name]],1))="Auszahlung_a","Auszahlung",""),"")</f>
        <v/>
      </c>
      <c r="D1802" s="1"/>
    </row>
    <row r="1803" spans="1:4" x14ac:dyDescent="0.3">
      <c r="A1803" s="1"/>
      <c r="B1803" s="1" t="str">
        <f>IFERROR(IF(LEFT(Sensitivität_bzw_Monte_Carlo_bei_Strom[[#This Row],[Source.Name]],SEARCH("aus_der",Sensitivität_bzw_Monte_Carlo_bei_Strom[[#This Row],[Source.Name]],1))="Auszahlung_a","Auszahlung",""),"")</f>
        <v/>
      </c>
      <c r="D1803" s="1"/>
    </row>
    <row r="1804" spans="1:4" x14ac:dyDescent="0.3">
      <c r="A1804" s="1"/>
      <c r="B1804" s="1" t="str">
        <f>IFERROR(IF(LEFT(Sensitivität_bzw_Monte_Carlo_bei_Strom[[#This Row],[Source.Name]],SEARCH("aus_der",Sensitivität_bzw_Monte_Carlo_bei_Strom[[#This Row],[Source.Name]],1))="Auszahlung_a","Auszahlung",""),"")</f>
        <v/>
      </c>
      <c r="D1804" s="1"/>
    </row>
    <row r="1805" spans="1:4" x14ac:dyDescent="0.3">
      <c r="A1805" s="1"/>
      <c r="B1805" s="1" t="str">
        <f>IFERROR(IF(LEFT(Sensitivität_bzw_Monte_Carlo_bei_Strom[[#This Row],[Source.Name]],SEARCH("aus_der",Sensitivität_bzw_Monte_Carlo_bei_Strom[[#This Row],[Source.Name]],1))="Auszahlung_a","Auszahlung",""),"")</f>
        <v/>
      </c>
      <c r="D1805" s="1"/>
    </row>
    <row r="1806" spans="1:4" x14ac:dyDescent="0.3">
      <c r="A1806" s="1"/>
      <c r="B1806" s="1" t="str">
        <f>IFERROR(IF(LEFT(Sensitivität_bzw_Monte_Carlo_bei_Strom[[#This Row],[Source.Name]],SEARCH("aus_der",Sensitivität_bzw_Monte_Carlo_bei_Strom[[#This Row],[Source.Name]],1))="Auszahlung_a","Auszahlung",""),"")</f>
        <v/>
      </c>
      <c r="D1806" s="1"/>
    </row>
    <row r="1807" spans="1:4" x14ac:dyDescent="0.3">
      <c r="A1807" s="1"/>
      <c r="B1807" s="1" t="str">
        <f>IFERROR(IF(LEFT(Sensitivität_bzw_Monte_Carlo_bei_Strom[[#This Row],[Source.Name]],SEARCH("aus_der",Sensitivität_bzw_Monte_Carlo_bei_Strom[[#This Row],[Source.Name]],1))="Auszahlung_a","Auszahlung",""),"")</f>
        <v/>
      </c>
      <c r="D1807" s="1"/>
    </row>
    <row r="1808" spans="1:4" x14ac:dyDescent="0.3">
      <c r="A1808" s="1"/>
      <c r="B1808" s="1" t="str">
        <f>IFERROR(IF(LEFT(Sensitivität_bzw_Monte_Carlo_bei_Strom[[#This Row],[Source.Name]],SEARCH("aus_der",Sensitivität_bzw_Monte_Carlo_bei_Strom[[#This Row],[Source.Name]],1))="Auszahlung_a","Auszahlung",""),"")</f>
        <v/>
      </c>
      <c r="D1808" s="1"/>
    </row>
    <row r="1809" spans="1:4" x14ac:dyDescent="0.3">
      <c r="A1809" s="1"/>
      <c r="B1809" s="1" t="str">
        <f>IFERROR(IF(LEFT(Sensitivität_bzw_Monte_Carlo_bei_Strom[[#This Row],[Source.Name]],SEARCH("aus_der",Sensitivität_bzw_Monte_Carlo_bei_Strom[[#This Row],[Source.Name]],1))="Auszahlung_a","Auszahlung",""),"")</f>
        <v/>
      </c>
      <c r="D1809" s="1"/>
    </row>
    <row r="1810" spans="1:4" x14ac:dyDescent="0.3">
      <c r="A1810" s="1"/>
      <c r="B1810" s="1" t="str">
        <f>IFERROR(IF(LEFT(Sensitivität_bzw_Monte_Carlo_bei_Strom[[#This Row],[Source.Name]],SEARCH("aus_der",Sensitivität_bzw_Monte_Carlo_bei_Strom[[#This Row],[Source.Name]],1))="Auszahlung_a","Auszahlung",""),"")</f>
        <v/>
      </c>
      <c r="D1810" s="1"/>
    </row>
    <row r="1811" spans="1:4" x14ac:dyDescent="0.3">
      <c r="A1811" s="1"/>
      <c r="B1811" s="1" t="str">
        <f>IFERROR(IF(LEFT(Sensitivität_bzw_Monte_Carlo_bei_Strom[[#This Row],[Source.Name]],SEARCH("aus_der",Sensitivität_bzw_Monte_Carlo_bei_Strom[[#This Row],[Source.Name]],1))="Auszahlung_a","Auszahlung",""),"")</f>
        <v/>
      </c>
      <c r="D1811" s="1"/>
    </row>
    <row r="1812" spans="1:4" x14ac:dyDescent="0.3">
      <c r="A1812" s="1"/>
      <c r="B1812" s="1" t="str">
        <f>IFERROR(IF(LEFT(Sensitivität_bzw_Monte_Carlo_bei_Strom[[#This Row],[Source.Name]],SEARCH("aus_der",Sensitivität_bzw_Monte_Carlo_bei_Strom[[#This Row],[Source.Name]],1))="Auszahlung_a","Auszahlung",""),"")</f>
        <v/>
      </c>
      <c r="D1812" s="1"/>
    </row>
    <row r="1813" spans="1:4" x14ac:dyDescent="0.3">
      <c r="A1813" s="1"/>
      <c r="B1813" s="1" t="str">
        <f>IFERROR(IF(LEFT(Sensitivität_bzw_Monte_Carlo_bei_Strom[[#This Row],[Source.Name]],SEARCH("aus_der",Sensitivität_bzw_Monte_Carlo_bei_Strom[[#This Row],[Source.Name]],1))="Auszahlung_a","Auszahlung",""),"")</f>
        <v/>
      </c>
      <c r="D1813" s="1"/>
    </row>
    <row r="1814" spans="1:4" x14ac:dyDescent="0.3">
      <c r="A1814" s="1"/>
      <c r="B1814" s="1" t="str">
        <f>IFERROR(IF(LEFT(Sensitivität_bzw_Monte_Carlo_bei_Strom[[#This Row],[Source.Name]],SEARCH("aus_der",Sensitivität_bzw_Monte_Carlo_bei_Strom[[#This Row],[Source.Name]],1))="Auszahlung_a","Auszahlung",""),"")</f>
        <v/>
      </c>
      <c r="D1814" s="1"/>
    </row>
    <row r="1815" spans="1:4" x14ac:dyDescent="0.3">
      <c r="A1815" s="1"/>
      <c r="B1815" s="1" t="str">
        <f>IFERROR(IF(LEFT(Sensitivität_bzw_Monte_Carlo_bei_Strom[[#This Row],[Source.Name]],SEARCH("aus_der",Sensitivität_bzw_Monte_Carlo_bei_Strom[[#This Row],[Source.Name]],1))="Auszahlung_a","Auszahlung",""),"")</f>
        <v/>
      </c>
      <c r="D1815" s="1"/>
    </row>
    <row r="1816" spans="1:4" x14ac:dyDescent="0.3">
      <c r="A1816" s="1"/>
      <c r="B1816" s="1" t="str">
        <f>IFERROR(IF(LEFT(Sensitivität_bzw_Monte_Carlo_bei_Strom[[#This Row],[Source.Name]],SEARCH("aus_der",Sensitivität_bzw_Monte_Carlo_bei_Strom[[#This Row],[Source.Name]],1))="Auszahlung_a","Auszahlung",""),"")</f>
        <v/>
      </c>
      <c r="D1816" s="1"/>
    </row>
    <row r="1817" spans="1:4" x14ac:dyDescent="0.3">
      <c r="A1817" s="1"/>
      <c r="B1817" s="1" t="str">
        <f>IFERROR(IF(LEFT(Sensitivität_bzw_Monte_Carlo_bei_Strom[[#This Row],[Source.Name]],SEARCH("aus_der",Sensitivität_bzw_Monte_Carlo_bei_Strom[[#This Row],[Source.Name]],1))="Auszahlung_a","Auszahlung",""),"")</f>
        <v/>
      </c>
      <c r="D1817" s="1"/>
    </row>
    <row r="1818" spans="1:4" x14ac:dyDescent="0.3">
      <c r="A1818" s="1"/>
      <c r="B1818" s="1" t="str">
        <f>IFERROR(IF(LEFT(Sensitivität_bzw_Monte_Carlo_bei_Strom[[#This Row],[Source.Name]],SEARCH("aus_der",Sensitivität_bzw_Monte_Carlo_bei_Strom[[#This Row],[Source.Name]],1))="Auszahlung_a","Auszahlung",""),"")</f>
        <v/>
      </c>
      <c r="D1818" s="1"/>
    </row>
    <row r="1819" spans="1:4" x14ac:dyDescent="0.3">
      <c r="A1819" s="1"/>
      <c r="B1819" s="1" t="str">
        <f>IFERROR(IF(LEFT(Sensitivität_bzw_Monte_Carlo_bei_Strom[[#This Row],[Source.Name]],SEARCH("aus_der",Sensitivität_bzw_Monte_Carlo_bei_Strom[[#This Row],[Source.Name]],1))="Auszahlung_a","Auszahlung",""),"")</f>
        <v/>
      </c>
      <c r="D1819" s="1"/>
    </row>
    <row r="1820" spans="1:4" x14ac:dyDescent="0.3">
      <c r="A1820" s="1"/>
      <c r="B1820" s="1" t="str">
        <f>IFERROR(IF(LEFT(Sensitivität_bzw_Monte_Carlo_bei_Strom[[#This Row],[Source.Name]],SEARCH("aus_der",Sensitivität_bzw_Monte_Carlo_bei_Strom[[#This Row],[Source.Name]],1))="Auszahlung_a","Auszahlung",""),"")</f>
        <v/>
      </c>
      <c r="D1820" s="1"/>
    </row>
    <row r="1821" spans="1:4" x14ac:dyDescent="0.3">
      <c r="A1821" s="1"/>
      <c r="B1821" s="1" t="str">
        <f>IFERROR(IF(LEFT(Sensitivität_bzw_Monte_Carlo_bei_Strom[[#This Row],[Source.Name]],SEARCH("aus_der",Sensitivität_bzw_Monte_Carlo_bei_Strom[[#This Row],[Source.Name]],1))="Auszahlung_a","Auszahlung",""),"")</f>
        <v/>
      </c>
      <c r="D1821" s="1"/>
    </row>
    <row r="1822" spans="1:4" x14ac:dyDescent="0.3">
      <c r="A1822" s="1"/>
      <c r="B1822" s="1" t="str">
        <f>IFERROR(IF(LEFT(Sensitivität_bzw_Monte_Carlo_bei_Strom[[#This Row],[Source.Name]],SEARCH("aus_der",Sensitivität_bzw_Monte_Carlo_bei_Strom[[#This Row],[Source.Name]],1))="Auszahlung_a","Auszahlung",""),"")</f>
        <v/>
      </c>
      <c r="D1822" s="1"/>
    </row>
    <row r="1823" spans="1:4" x14ac:dyDescent="0.3">
      <c r="A1823" s="1"/>
      <c r="B1823" s="1" t="str">
        <f>IFERROR(IF(LEFT(Sensitivität_bzw_Monte_Carlo_bei_Strom[[#This Row],[Source.Name]],SEARCH("aus_der",Sensitivität_bzw_Monte_Carlo_bei_Strom[[#This Row],[Source.Name]],1))="Auszahlung_a","Auszahlung",""),"")</f>
        <v/>
      </c>
      <c r="D1823" s="1"/>
    </row>
    <row r="1824" spans="1:4" x14ac:dyDescent="0.3">
      <c r="A1824" s="1"/>
      <c r="B1824" s="1" t="str">
        <f>IFERROR(IF(LEFT(Sensitivität_bzw_Monte_Carlo_bei_Strom[[#This Row],[Source.Name]],SEARCH("aus_der",Sensitivität_bzw_Monte_Carlo_bei_Strom[[#This Row],[Source.Name]],1))="Auszahlung_a","Auszahlung",""),"")</f>
        <v/>
      </c>
      <c r="D1824" s="1"/>
    </row>
    <row r="1825" spans="1:4" x14ac:dyDescent="0.3">
      <c r="A1825" s="1"/>
      <c r="B1825" s="1" t="str">
        <f>IFERROR(IF(LEFT(Sensitivität_bzw_Monte_Carlo_bei_Strom[[#This Row],[Source.Name]],SEARCH("aus_der",Sensitivität_bzw_Monte_Carlo_bei_Strom[[#This Row],[Source.Name]],1))="Auszahlung_a","Auszahlung",""),"")</f>
        <v/>
      </c>
      <c r="D1825" s="1"/>
    </row>
    <row r="1826" spans="1:4" x14ac:dyDescent="0.3">
      <c r="A1826" s="1"/>
      <c r="B1826" s="1" t="str">
        <f>IFERROR(IF(LEFT(Sensitivität_bzw_Monte_Carlo_bei_Strom[[#This Row],[Source.Name]],SEARCH("aus_der",Sensitivität_bzw_Monte_Carlo_bei_Strom[[#This Row],[Source.Name]],1))="Auszahlung_a","Auszahlung",""),"")</f>
        <v/>
      </c>
      <c r="D1826" s="1"/>
    </row>
    <row r="1827" spans="1:4" x14ac:dyDescent="0.3">
      <c r="A1827" s="1"/>
      <c r="B1827" s="1" t="str">
        <f>IFERROR(IF(LEFT(Sensitivität_bzw_Monte_Carlo_bei_Strom[[#This Row],[Source.Name]],SEARCH("aus_der",Sensitivität_bzw_Monte_Carlo_bei_Strom[[#This Row],[Source.Name]],1))="Auszahlung_a","Auszahlung",""),"")</f>
        <v/>
      </c>
      <c r="D1827" s="1"/>
    </row>
    <row r="1828" spans="1:4" x14ac:dyDescent="0.3">
      <c r="A1828" s="1"/>
      <c r="B1828" s="1" t="str">
        <f>IFERROR(IF(LEFT(Sensitivität_bzw_Monte_Carlo_bei_Strom[[#This Row],[Source.Name]],SEARCH("aus_der",Sensitivität_bzw_Monte_Carlo_bei_Strom[[#This Row],[Source.Name]],1))="Auszahlung_a","Auszahlung",""),"")</f>
        <v/>
      </c>
      <c r="D1828" s="1"/>
    </row>
    <row r="1829" spans="1:4" x14ac:dyDescent="0.3">
      <c r="A1829" s="1"/>
      <c r="B1829" s="1" t="str">
        <f>IFERROR(IF(LEFT(Sensitivität_bzw_Monte_Carlo_bei_Strom[[#This Row],[Source.Name]],SEARCH("aus_der",Sensitivität_bzw_Monte_Carlo_bei_Strom[[#This Row],[Source.Name]],1))="Auszahlung_a","Auszahlung",""),"")</f>
        <v/>
      </c>
      <c r="D1829" s="1"/>
    </row>
    <row r="1830" spans="1:4" x14ac:dyDescent="0.3">
      <c r="A1830" s="1"/>
      <c r="B1830" s="1" t="str">
        <f>IFERROR(IF(LEFT(Sensitivität_bzw_Monte_Carlo_bei_Strom[[#This Row],[Source.Name]],SEARCH("aus_der",Sensitivität_bzw_Monte_Carlo_bei_Strom[[#This Row],[Source.Name]],1))="Auszahlung_a","Auszahlung",""),"")</f>
        <v/>
      </c>
      <c r="D1830" s="1"/>
    </row>
    <row r="1831" spans="1:4" x14ac:dyDescent="0.3">
      <c r="A1831" s="1"/>
      <c r="B1831" s="1" t="str">
        <f>IFERROR(IF(LEFT(Sensitivität_bzw_Monte_Carlo_bei_Strom[[#This Row],[Source.Name]],SEARCH("aus_der",Sensitivität_bzw_Monte_Carlo_bei_Strom[[#This Row],[Source.Name]],1))="Auszahlung_a","Auszahlung",""),"")</f>
        <v/>
      </c>
      <c r="D1831" s="1"/>
    </row>
    <row r="1832" spans="1:4" x14ac:dyDescent="0.3">
      <c r="A1832" s="1"/>
      <c r="B1832" s="1" t="str">
        <f>IFERROR(IF(LEFT(Sensitivität_bzw_Monte_Carlo_bei_Strom[[#This Row],[Source.Name]],SEARCH("aus_der",Sensitivität_bzw_Monte_Carlo_bei_Strom[[#This Row],[Source.Name]],1))="Auszahlung_a","Auszahlung",""),"")</f>
        <v/>
      </c>
      <c r="D1832" s="1"/>
    </row>
    <row r="1833" spans="1:4" x14ac:dyDescent="0.3">
      <c r="A1833" s="1"/>
      <c r="B1833" s="1" t="str">
        <f>IFERROR(IF(LEFT(Sensitivität_bzw_Monte_Carlo_bei_Strom[[#This Row],[Source.Name]],SEARCH("aus_der",Sensitivität_bzw_Monte_Carlo_bei_Strom[[#This Row],[Source.Name]],1))="Auszahlung_a","Auszahlung",""),"")</f>
        <v/>
      </c>
      <c r="D1833" s="1"/>
    </row>
    <row r="1834" spans="1:4" x14ac:dyDescent="0.3">
      <c r="A1834" s="1"/>
      <c r="B1834" s="1" t="str">
        <f>IFERROR(IF(LEFT(Sensitivität_bzw_Monte_Carlo_bei_Strom[[#This Row],[Source.Name]],SEARCH("aus_der",Sensitivität_bzw_Monte_Carlo_bei_Strom[[#This Row],[Source.Name]],1))="Auszahlung_a","Auszahlung",""),"")</f>
        <v/>
      </c>
      <c r="D1834" s="1"/>
    </row>
    <row r="1835" spans="1:4" x14ac:dyDescent="0.3">
      <c r="A1835" s="1"/>
      <c r="B1835" s="1" t="str">
        <f>IFERROR(IF(LEFT(Sensitivität_bzw_Monte_Carlo_bei_Strom[[#This Row],[Source.Name]],SEARCH("aus_der",Sensitivität_bzw_Monte_Carlo_bei_Strom[[#This Row],[Source.Name]],1))="Auszahlung_a","Auszahlung",""),"")</f>
        <v/>
      </c>
      <c r="D1835" s="1"/>
    </row>
    <row r="1836" spans="1:4" x14ac:dyDescent="0.3">
      <c r="A1836" s="1"/>
      <c r="B1836" s="1" t="str">
        <f>IFERROR(IF(LEFT(Sensitivität_bzw_Monte_Carlo_bei_Strom[[#This Row],[Source.Name]],SEARCH("aus_der",Sensitivität_bzw_Monte_Carlo_bei_Strom[[#This Row],[Source.Name]],1))="Auszahlung_a","Auszahlung",""),"")</f>
        <v/>
      </c>
      <c r="D1836" s="1"/>
    </row>
    <row r="1837" spans="1:4" x14ac:dyDescent="0.3">
      <c r="A1837" s="1"/>
      <c r="B1837" s="1" t="str">
        <f>IFERROR(IF(LEFT(Sensitivität_bzw_Monte_Carlo_bei_Strom[[#This Row],[Source.Name]],SEARCH("aus_der",Sensitivität_bzw_Monte_Carlo_bei_Strom[[#This Row],[Source.Name]],1))="Auszahlung_a","Auszahlung",""),"")</f>
        <v/>
      </c>
      <c r="D1837" s="1"/>
    </row>
    <row r="1838" spans="1:4" x14ac:dyDescent="0.3">
      <c r="A1838" s="1"/>
      <c r="B1838" s="1" t="str">
        <f>IFERROR(IF(LEFT(Sensitivität_bzw_Monte_Carlo_bei_Strom[[#This Row],[Source.Name]],SEARCH("aus_der",Sensitivität_bzw_Monte_Carlo_bei_Strom[[#This Row],[Source.Name]],1))="Auszahlung_a","Auszahlung",""),"")</f>
        <v/>
      </c>
      <c r="D1838" s="1"/>
    </row>
    <row r="1839" spans="1:4" x14ac:dyDescent="0.3">
      <c r="A1839" s="1"/>
      <c r="B1839" s="1" t="str">
        <f>IFERROR(IF(LEFT(Sensitivität_bzw_Monte_Carlo_bei_Strom[[#This Row],[Source.Name]],SEARCH("aus_der",Sensitivität_bzw_Monte_Carlo_bei_Strom[[#This Row],[Source.Name]],1))="Auszahlung_a","Auszahlung",""),"")</f>
        <v/>
      </c>
      <c r="D1839" s="1"/>
    </row>
    <row r="1840" spans="1:4" x14ac:dyDescent="0.3">
      <c r="A1840" s="1"/>
      <c r="B1840" s="1" t="str">
        <f>IFERROR(IF(LEFT(Sensitivität_bzw_Monte_Carlo_bei_Strom[[#This Row],[Source.Name]],SEARCH("aus_der",Sensitivität_bzw_Monte_Carlo_bei_Strom[[#This Row],[Source.Name]],1))="Auszahlung_a","Auszahlung",""),"")</f>
        <v/>
      </c>
      <c r="D1840" s="1"/>
    </row>
    <row r="1841" spans="1:4" x14ac:dyDescent="0.3">
      <c r="A1841" s="1"/>
      <c r="B1841" s="1" t="str">
        <f>IFERROR(IF(LEFT(Sensitivität_bzw_Monte_Carlo_bei_Strom[[#This Row],[Source.Name]],SEARCH("aus_der",Sensitivität_bzw_Monte_Carlo_bei_Strom[[#This Row],[Source.Name]],1))="Auszahlung_a","Auszahlung",""),"")</f>
        <v/>
      </c>
      <c r="D1841" s="1"/>
    </row>
    <row r="1842" spans="1:4" x14ac:dyDescent="0.3">
      <c r="A1842" s="1"/>
      <c r="B1842" s="1" t="str">
        <f>IFERROR(IF(LEFT(Sensitivität_bzw_Monte_Carlo_bei_Strom[[#This Row],[Source.Name]],SEARCH("aus_der",Sensitivität_bzw_Monte_Carlo_bei_Strom[[#This Row],[Source.Name]],1))="Auszahlung_a","Auszahlung",""),"")</f>
        <v/>
      </c>
      <c r="D1842" s="1"/>
    </row>
    <row r="1843" spans="1:4" x14ac:dyDescent="0.3">
      <c r="A1843" s="1"/>
      <c r="B1843" s="1" t="str">
        <f>IFERROR(IF(LEFT(Sensitivität_bzw_Monte_Carlo_bei_Strom[[#This Row],[Source.Name]],SEARCH("aus_der",Sensitivität_bzw_Monte_Carlo_bei_Strom[[#This Row],[Source.Name]],1))="Auszahlung_a","Auszahlung",""),"")</f>
        <v/>
      </c>
      <c r="D1843" s="1"/>
    </row>
    <row r="1844" spans="1:4" x14ac:dyDescent="0.3">
      <c r="A1844" s="1"/>
      <c r="B1844" s="1" t="str">
        <f>IFERROR(IF(LEFT(Sensitivität_bzw_Monte_Carlo_bei_Strom[[#This Row],[Source.Name]],SEARCH("aus_der",Sensitivität_bzw_Monte_Carlo_bei_Strom[[#This Row],[Source.Name]],1))="Auszahlung_a","Auszahlung",""),"")</f>
        <v/>
      </c>
      <c r="D1844" s="1"/>
    </row>
    <row r="1845" spans="1:4" x14ac:dyDescent="0.3">
      <c r="A1845" s="1"/>
      <c r="B1845" s="1" t="str">
        <f>IFERROR(IF(LEFT(Sensitivität_bzw_Monte_Carlo_bei_Strom[[#This Row],[Source.Name]],SEARCH("aus_der",Sensitivität_bzw_Monte_Carlo_bei_Strom[[#This Row],[Source.Name]],1))="Auszahlung_a","Auszahlung",""),"")</f>
        <v/>
      </c>
      <c r="D1845" s="1"/>
    </row>
    <row r="1846" spans="1:4" x14ac:dyDescent="0.3">
      <c r="A1846" s="1"/>
      <c r="B1846" s="1" t="str">
        <f>IFERROR(IF(LEFT(Sensitivität_bzw_Monte_Carlo_bei_Strom[[#This Row],[Source.Name]],SEARCH("aus_der",Sensitivität_bzw_Monte_Carlo_bei_Strom[[#This Row],[Source.Name]],1))="Auszahlung_a","Auszahlung",""),"")</f>
        <v/>
      </c>
      <c r="D1846" s="1"/>
    </row>
    <row r="1847" spans="1:4" x14ac:dyDescent="0.3">
      <c r="A1847" s="1"/>
      <c r="B1847" s="1" t="str">
        <f>IFERROR(IF(LEFT(Sensitivität_bzw_Monte_Carlo_bei_Strom[[#This Row],[Source.Name]],SEARCH("aus_der",Sensitivität_bzw_Monte_Carlo_bei_Strom[[#This Row],[Source.Name]],1))="Auszahlung_a","Auszahlung",""),"")</f>
        <v/>
      </c>
      <c r="D1847" s="1"/>
    </row>
    <row r="1848" spans="1:4" x14ac:dyDescent="0.3">
      <c r="A1848" s="1"/>
      <c r="B1848" s="1" t="str">
        <f>IFERROR(IF(LEFT(Sensitivität_bzw_Monte_Carlo_bei_Strom[[#This Row],[Source.Name]],SEARCH("aus_der",Sensitivität_bzw_Monte_Carlo_bei_Strom[[#This Row],[Source.Name]],1))="Auszahlung_a","Auszahlung",""),"")</f>
        <v/>
      </c>
      <c r="D1848" s="1"/>
    </row>
    <row r="1849" spans="1:4" x14ac:dyDescent="0.3">
      <c r="A1849" s="1"/>
      <c r="B1849" s="1" t="str">
        <f>IFERROR(IF(LEFT(Sensitivität_bzw_Monte_Carlo_bei_Strom[[#This Row],[Source.Name]],SEARCH("aus_der",Sensitivität_bzw_Monte_Carlo_bei_Strom[[#This Row],[Source.Name]],1))="Auszahlung_a","Auszahlung",""),"")</f>
        <v/>
      </c>
      <c r="D1849" s="1"/>
    </row>
    <row r="1850" spans="1:4" x14ac:dyDescent="0.3">
      <c r="A1850" s="1"/>
      <c r="B1850" s="1" t="str">
        <f>IFERROR(IF(LEFT(Sensitivität_bzw_Monte_Carlo_bei_Strom[[#This Row],[Source.Name]],SEARCH("aus_der",Sensitivität_bzw_Monte_Carlo_bei_Strom[[#This Row],[Source.Name]],1))="Auszahlung_a","Auszahlung",""),"")</f>
        <v/>
      </c>
      <c r="D1850" s="1"/>
    </row>
    <row r="1851" spans="1:4" x14ac:dyDescent="0.3">
      <c r="A1851" s="1"/>
      <c r="B1851" s="1" t="str">
        <f>IFERROR(IF(LEFT(Sensitivität_bzw_Monte_Carlo_bei_Strom[[#This Row],[Source.Name]],SEARCH("aus_der",Sensitivität_bzw_Monte_Carlo_bei_Strom[[#This Row],[Source.Name]],1))="Auszahlung_a","Auszahlung",""),"")</f>
        <v/>
      </c>
      <c r="D1851" s="1"/>
    </row>
    <row r="1852" spans="1:4" x14ac:dyDescent="0.3">
      <c r="A1852" s="1"/>
      <c r="B1852" s="1" t="str">
        <f>IFERROR(IF(LEFT(Sensitivität_bzw_Monte_Carlo_bei_Strom[[#This Row],[Source.Name]],SEARCH("aus_der",Sensitivität_bzw_Monte_Carlo_bei_Strom[[#This Row],[Source.Name]],1))="Auszahlung_a","Auszahlung",""),"")</f>
        <v/>
      </c>
      <c r="D1852" s="1"/>
    </row>
    <row r="1853" spans="1:4" x14ac:dyDescent="0.3">
      <c r="A1853" s="1"/>
      <c r="B1853" s="1" t="str">
        <f>IFERROR(IF(LEFT(Sensitivität_bzw_Monte_Carlo_bei_Strom[[#This Row],[Source.Name]],SEARCH("aus_der",Sensitivität_bzw_Monte_Carlo_bei_Strom[[#This Row],[Source.Name]],1))="Auszahlung_a","Auszahlung",""),"")</f>
        <v/>
      </c>
      <c r="D1853" s="1"/>
    </row>
    <row r="1854" spans="1:4" x14ac:dyDescent="0.3">
      <c r="A1854" s="1"/>
      <c r="B1854" s="1" t="str">
        <f>IFERROR(IF(LEFT(Sensitivität_bzw_Monte_Carlo_bei_Strom[[#This Row],[Source.Name]],SEARCH("aus_der",Sensitivität_bzw_Monte_Carlo_bei_Strom[[#This Row],[Source.Name]],1))="Auszahlung_a","Auszahlung",""),"")</f>
        <v/>
      </c>
      <c r="D1854" s="1"/>
    </row>
    <row r="1855" spans="1:4" x14ac:dyDescent="0.3">
      <c r="A1855" s="1"/>
      <c r="B1855" s="1" t="str">
        <f>IFERROR(IF(LEFT(Sensitivität_bzw_Monte_Carlo_bei_Strom[[#This Row],[Source.Name]],SEARCH("aus_der",Sensitivität_bzw_Monte_Carlo_bei_Strom[[#This Row],[Source.Name]],1))="Auszahlung_a","Auszahlung",""),"")</f>
        <v/>
      </c>
      <c r="D1855" s="1"/>
    </row>
    <row r="1856" spans="1:4" x14ac:dyDescent="0.3">
      <c r="A1856" s="1"/>
      <c r="B1856" s="1" t="str">
        <f>IFERROR(IF(LEFT(Sensitivität_bzw_Monte_Carlo_bei_Strom[[#This Row],[Source.Name]],SEARCH("aus_der",Sensitivität_bzw_Monte_Carlo_bei_Strom[[#This Row],[Source.Name]],1))="Auszahlung_a","Auszahlung",""),"")</f>
        <v/>
      </c>
      <c r="D1856" s="1"/>
    </row>
    <row r="1857" spans="1:4" x14ac:dyDescent="0.3">
      <c r="A1857" s="1"/>
      <c r="B1857" s="1" t="str">
        <f>IFERROR(IF(LEFT(Sensitivität_bzw_Monte_Carlo_bei_Strom[[#This Row],[Source.Name]],SEARCH("aus_der",Sensitivität_bzw_Monte_Carlo_bei_Strom[[#This Row],[Source.Name]],1))="Auszahlung_a","Auszahlung",""),"")</f>
        <v/>
      </c>
      <c r="D1857" s="1"/>
    </row>
    <row r="1858" spans="1:4" x14ac:dyDescent="0.3">
      <c r="A1858" s="1"/>
      <c r="B1858" s="1" t="str">
        <f>IFERROR(IF(LEFT(Sensitivität_bzw_Monte_Carlo_bei_Strom[[#This Row],[Source.Name]],SEARCH("aus_der",Sensitivität_bzw_Monte_Carlo_bei_Strom[[#This Row],[Source.Name]],1))="Auszahlung_a","Auszahlung",""),"")</f>
        <v/>
      </c>
      <c r="D1858" s="1"/>
    </row>
    <row r="1859" spans="1:4" x14ac:dyDescent="0.3">
      <c r="A1859" s="1"/>
      <c r="B1859" s="1" t="str">
        <f>IFERROR(IF(LEFT(Sensitivität_bzw_Monte_Carlo_bei_Strom[[#This Row],[Source.Name]],SEARCH("aus_der",Sensitivität_bzw_Monte_Carlo_bei_Strom[[#This Row],[Source.Name]],1))="Auszahlung_a","Auszahlung",""),"")</f>
        <v/>
      </c>
      <c r="D1859" s="1"/>
    </row>
    <row r="1860" spans="1:4" x14ac:dyDescent="0.3">
      <c r="A1860" s="1"/>
      <c r="B1860" s="1" t="str">
        <f>IFERROR(IF(LEFT(Sensitivität_bzw_Monte_Carlo_bei_Strom[[#This Row],[Source.Name]],SEARCH("aus_der",Sensitivität_bzw_Monte_Carlo_bei_Strom[[#This Row],[Source.Name]],1))="Auszahlung_a","Auszahlung",""),"")</f>
        <v/>
      </c>
      <c r="D1860" s="1"/>
    </row>
    <row r="1861" spans="1:4" x14ac:dyDescent="0.3">
      <c r="A1861" s="1"/>
      <c r="B1861" s="1" t="str">
        <f>IFERROR(IF(LEFT(Sensitivität_bzw_Monte_Carlo_bei_Strom[[#This Row],[Source.Name]],SEARCH("aus_der",Sensitivität_bzw_Monte_Carlo_bei_Strom[[#This Row],[Source.Name]],1))="Auszahlung_a","Auszahlung",""),"")</f>
        <v/>
      </c>
      <c r="D1861" s="1"/>
    </row>
    <row r="1862" spans="1:4" x14ac:dyDescent="0.3">
      <c r="A1862" s="1"/>
      <c r="B1862" s="1" t="str">
        <f>IFERROR(IF(LEFT(Sensitivität_bzw_Monte_Carlo_bei_Strom[[#This Row],[Source.Name]],SEARCH("aus_der",Sensitivität_bzw_Monte_Carlo_bei_Strom[[#This Row],[Source.Name]],1))="Auszahlung_a","Auszahlung",""),"")</f>
        <v/>
      </c>
      <c r="D1862" s="1"/>
    </row>
    <row r="1863" spans="1:4" x14ac:dyDescent="0.3">
      <c r="A1863" s="1"/>
      <c r="B1863" s="1" t="str">
        <f>IFERROR(IF(LEFT(Sensitivität_bzw_Monte_Carlo_bei_Strom[[#This Row],[Source.Name]],SEARCH("aus_der",Sensitivität_bzw_Monte_Carlo_bei_Strom[[#This Row],[Source.Name]],1))="Auszahlung_a","Auszahlung",""),"")</f>
        <v/>
      </c>
      <c r="D1863" s="1"/>
    </row>
    <row r="1864" spans="1:4" x14ac:dyDescent="0.3">
      <c r="A1864" s="1"/>
      <c r="B1864" s="1" t="str">
        <f>IFERROR(IF(LEFT(Sensitivität_bzw_Monte_Carlo_bei_Strom[[#This Row],[Source.Name]],SEARCH("aus_der",Sensitivität_bzw_Monte_Carlo_bei_Strom[[#This Row],[Source.Name]],1))="Auszahlung_a","Auszahlung",""),"")</f>
        <v/>
      </c>
      <c r="D1864" s="1"/>
    </row>
    <row r="1865" spans="1:4" x14ac:dyDescent="0.3">
      <c r="A1865" s="1"/>
      <c r="B1865" s="1" t="str">
        <f>IFERROR(IF(LEFT(Sensitivität_bzw_Monte_Carlo_bei_Strom[[#This Row],[Source.Name]],SEARCH("aus_der",Sensitivität_bzw_Monte_Carlo_bei_Strom[[#This Row],[Source.Name]],1))="Auszahlung_a","Auszahlung",""),"")</f>
        <v/>
      </c>
      <c r="D1865" s="1"/>
    </row>
    <row r="1866" spans="1:4" x14ac:dyDescent="0.3">
      <c r="A1866" s="1"/>
      <c r="B1866" s="1" t="str">
        <f>IFERROR(IF(LEFT(Sensitivität_bzw_Monte_Carlo_bei_Strom[[#This Row],[Source.Name]],SEARCH("aus_der",Sensitivität_bzw_Monte_Carlo_bei_Strom[[#This Row],[Source.Name]],1))="Auszahlung_a","Auszahlung",""),"")</f>
        <v/>
      </c>
      <c r="D1866" s="1"/>
    </row>
    <row r="1867" spans="1:4" x14ac:dyDescent="0.3">
      <c r="A1867" s="1"/>
      <c r="B1867" s="1" t="str">
        <f>IFERROR(IF(LEFT(Sensitivität_bzw_Monte_Carlo_bei_Strom[[#This Row],[Source.Name]],SEARCH("aus_der",Sensitivität_bzw_Monte_Carlo_bei_Strom[[#This Row],[Source.Name]],1))="Auszahlung_a","Auszahlung",""),"")</f>
        <v/>
      </c>
      <c r="D1867" s="1"/>
    </row>
    <row r="1868" spans="1:4" x14ac:dyDescent="0.3">
      <c r="A1868" s="1"/>
      <c r="B1868" s="1" t="str">
        <f>IFERROR(IF(LEFT(Sensitivität_bzw_Monte_Carlo_bei_Strom[[#This Row],[Source.Name]],SEARCH("aus_der",Sensitivität_bzw_Monte_Carlo_bei_Strom[[#This Row],[Source.Name]],1))="Auszahlung_a","Auszahlung",""),"")</f>
        <v/>
      </c>
      <c r="D1868" s="1"/>
    </row>
    <row r="1869" spans="1:4" x14ac:dyDescent="0.3">
      <c r="A1869" s="1"/>
      <c r="B1869" s="1" t="str">
        <f>IFERROR(IF(LEFT(Sensitivität_bzw_Monte_Carlo_bei_Strom[[#This Row],[Source.Name]],SEARCH("aus_der",Sensitivität_bzw_Monte_Carlo_bei_Strom[[#This Row],[Source.Name]],1))="Auszahlung_a","Auszahlung",""),"")</f>
        <v/>
      </c>
      <c r="D1869" s="1"/>
    </row>
    <row r="1870" spans="1:4" x14ac:dyDescent="0.3">
      <c r="A1870" s="1"/>
      <c r="B1870" s="1" t="str">
        <f>IFERROR(IF(LEFT(Sensitivität_bzw_Monte_Carlo_bei_Strom[[#This Row],[Source.Name]],SEARCH("aus_der",Sensitivität_bzw_Monte_Carlo_bei_Strom[[#This Row],[Source.Name]],1))="Auszahlung_a","Auszahlung",""),"")</f>
        <v/>
      </c>
      <c r="D1870" s="1"/>
    </row>
    <row r="1871" spans="1:4" x14ac:dyDescent="0.3">
      <c r="A1871" s="1"/>
      <c r="B1871" s="1" t="str">
        <f>IFERROR(IF(LEFT(Sensitivität_bzw_Monte_Carlo_bei_Strom[[#This Row],[Source.Name]],SEARCH("aus_der",Sensitivität_bzw_Monte_Carlo_bei_Strom[[#This Row],[Source.Name]],1))="Auszahlung_a","Auszahlung",""),"")</f>
        <v/>
      </c>
      <c r="D1871" s="1"/>
    </row>
    <row r="1872" spans="1:4" x14ac:dyDescent="0.3">
      <c r="A1872" s="1"/>
      <c r="B1872" s="1" t="str">
        <f>IFERROR(IF(LEFT(Sensitivität_bzw_Monte_Carlo_bei_Strom[[#This Row],[Source.Name]],SEARCH("aus_der",Sensitivität_bzw_Monte_Carlo_bei_Strom[[#This Row],[Source.Name]],1))="Auszahlung_a","Auszahlung",""),"")</f>
        <v/>
      </c>
      <c r="D1872" s="1"/>
    </row>
    <row r="1873" spans="1:4" x14ac:dyDescent="0.3">
      <c r="A1873" s="1"/>
      <c r="B1873" s="1" t="str">
        <f>IFERROR(IF(LEFT(Sensitivität_bzw_Monte_Carlo_bei_Strom[[#This Row],[Source.Name]],SEARCH("aus_der",Sensitivität_bzw_Monte_Carlo_bei_Strom[[#This Row],[Source.Name]],1))="Auszahlung_a","Auszahlung",""),"")</f>
        <v/>
      </c>
      <c r="D1873" s="1"/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32E277-4C1E-43F9-BC3B-FEF519D13BEC}">
  <sheetPr codeName="Tabelle8"/>
  <dimension ref="A1:G1875"/>
  <sheetViews>
    <sheetView topLeftCell="A2" zoomScale="70" zoomScaleNormal="70" workbookViewId="0">
      <selection activeCell="G34" sqref="G34"/>
    </sheetView>
  </sheetViews>
  <sheetFormatPr baseColWidth="10" defaultRowHeight="14.4" x14ac:dyDescent="0.3"/>
  <cols>
    <col min="2" max="2" width="66.21875" bestFit="1" customWidth="1"/>
    <col min="3" max="3" width="11.5546875" style="2"/>
    <col min="4" max="4" width="17.77734375" bestFit="1" customWidth="1"/>
    <col min="7" max="7" width="18" bestFit="1" customWidth="1"/>
  </cols>
  <sheetData>
    <row r="1" spans="1:7" x14ac:dyDescent="0.3">
      <c r="A1" t="s">
        <v>17</v>
      </c>
      <c r="B1" t="s">
        <v>16</v>
      </c>
      <c r="C1" s="2" t="s">
        <v>15</v>
      </c>
      <c r="D1" t="s">
        <v>18</v>
      </c>
    </row>
    <row r="2" spans="1:7" x14ac:dyDescent="0.3">
      <c r="A2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" s="1" t="s">
        <v>104</v>
      </c>
      <c r="C2">
        <v>26601.550869983239</v>
      </c>
      <c r="D2">
        <v>4.0000000000000001E-3</v>
      </c>
    </row>
    <row r="3" spans="1:7" x14ac:dyDescent="0.3">
      <c r="A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" s="1" t="s">
        <v>104</v>
      </c>
      <c r="C3">
        <v>26500.1159403073</v>
      </c>
      <c r="D3">
        <v>4.0303030303030308E-3</v>
      </c>
    </row>
    <row r="4" spans="1:7" x14ac:dyDescent="0.3">
      <c r="A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" s="1" t="s">
        <v>104</v>
      </c>
      <c r="C4">
        <v>26398.640281480271</v>
      </c>
      <c r="D4">
        <v>4.0606060606060614E-3</v>
      </c>
      <c r="F4" t="s">
        <v>113</v>
      </c>
      <c r="G4" t="s">
        <v>114</v>
      </c>
    </row>
    <row r="5" spans="1:7" x14ac:dyDescent="0.3">
      <c r="A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" s="1" t="s">
        <v>104</v>
      </c>
      <c r="C5">
        <v>26336.419372869281</v>
      </c>
      <c r="D5">
        <v>4.0909090909090912E-3</v>
      </c>
      <c r="F5">
        <f>MIN(C2:C101)</f>
        <v>17927.484572164471</v>
      </c>
      <c r="G5">
        <f>MAX(C2:C101)</f>
        <v>26601.550869983239</v>
      </c>
    </row>
    <row r="6" spans="1:7" x14ac:dyDescent="0.3">
      <c r="A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" s="1" t="s">
        <v>104</v>
      </c>
      <c r="C6">
        <v>26234.86221142756</v>
      </c>
      <c r="D6">
        <v>4.121212121212121E-3</v>
      </c>
    </row>
    <row r="7" spans="1:7" x14ac:dyDescent="0.3">
      <c r="A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" s="1" t="s">
        <v>104</v>
      </c>
      <c r="C7">
        <v>26186.901430935992</v>
      </c>
      <c r="D7">
        <v>4.1515151515151517E-3</v>
      </c>
    </row>
    <row r="8" spans="1:7" x14ac:dyDescent="0.3">
      <c r="A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" s="1" t="s">
        <v>104</v>
      </c>
      <c r="C8">
        <v>26085.26270775394</v>
      </c>
      <c r="D8">
        <v>4.1818181818181824E-3</v>
      </c>
      <c r="F8" t="s">
        <v>113</v>
      </c>
      <c r="G8" t="s">
        <v>114</v>
      </c>
    </row>
    <row r="9" spans="1:7" x14ac:dyDescent="0.3">
      <c r="A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" s="1" t="s">
        <v>104</v>
      </c>
      <c r="C9">
        <v>25996.549246616589</v>
      </c>
      <c r="D9">
        <v>4.2121212121212122E-3</v>
      </c>
      <c r="F9">
        <f>MIN(C102:C201)</f>
        <v>4498.6615195094801</v>
      </c>
      <c r="G9">
        <f>MAX(C102:C201)</f>
        <v>13123.42140417006</v>
      </c>
    </row>
    <row r="10" spans="1:7" x14ac:dyDescent="0.3">
      <c r="A1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0" s="1" t="s">
        <v>104</v>
      </c>
      <c r="C10">
        <v>25894.82890251965</v>
      </c>
      <c r="D10">
        <v>4.2424242424242429E-3</v>
      </c>
    </row>
    <row r="11" spans="1:7" x14ac:dyDescent="0.3">
      <c r="A11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1" s="1" t="s">
        <v>104</v>
      </c>
      <c r="C11">
        <v>25807.802503829778</v>
      </c>
      <c r="D11">
        <v>4.2727272727272727E-3</v>
      </c>
    </row>
    <row r="12" spans="1:7" x14ac:dyDescent="0.3">
      <c r="A12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2" s="1" t="s">
        <v>104</v>
      </c>
      <c r="C12">
        <v>25731.57708584415</v>
      </c>
      <c r="D12">
        <v>4.3030303030303033E-3</v>
      </c>
      <c r="G12" s="3"/>
    </row>
    <row r="13" spans="1:7" x14ac:dyDescent="0.3">
      <c r="A1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3" s="1" t="s">
        <v>104</v>
      </c>
      <c r="C13">
        <v>25629.734199312239</v>
      </c>
      <c r="D13">
        <v>4.3333333333333331E-3</v>
      </c>
    </row>
    <row r="14" spans="1:7" x14ac:dyDescent="0.3">
      <c r="A1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4" s="1" t="s">
        <v>104</v>
      </c>
      <c r="C14">
        <v>25540.453234304201</v>
      </c>
      <c r="D14">
        <v>4.3636363636363638E-3</v>
      </c>
    </row>
    <row r="15" spans="1:7" x14ac:dyDescent="0.3">
      <c r="A1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5" s="1" t="s">
        <v>104</v>
      </c>
      <c r="C15">
        <v>25452.449282684331</v>
      </c>
      <c r="D15">
        <v>4.3939393939393936E-3</v>
      </c>
    </row>
    <row r="16" spans="1:7" x14ac:dyDescent="0.3">
      <c r="A1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6" s="1" t="s">
        <v>104</v>
      </c>
      <c r="C16">
        <v>25376.606664283041</v>
      </c>
      <c r="D16">
        <v>4.4242424242424243E-3</v>
      </c>
    </row>
    <row r="17" spans="1:4" x14ac:dyDescent="0.3">
      <c r="A1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7" s="1" t="s">
        <v>104</v>
      </c>
      <c r="C17">
        <v>25274.600180259029</v>
      </c>
      <c r="D17">
        <v>4.454545454545455E-3</v>
      </c>
    </row>
    <row r="18" spans="1:4" x14ac:dyDescent="0.3">
      <c r="A1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8" s="1" t="s">
        <v>104</v>
      </c>
      <c r="C18">
        <v>25200.203357216571</v>
      </c>
      <c r="D18">
        <v>4.4848484848484848E-3</v>
      </c>
    </row>
    <row r="19" spans="1:4" x14ac:dyDescent="0.3">
      <c r="A1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9" s="1" t="s">
        <v>104</v>
      </c>
      <c r="C19">
        <v>25138.451679533959</v>
      </c>
      <c r="D19">
        <v>4.5151515151515154E-3</v>
      </c>
    </row>
    <row r="20" spans="1:4" x14ac:dyDescent="0.3">
      <c r="A2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0" s="1" t="s">
        <v>104</v>
      </c>
      <c r="C20">
        <v>25052.141981615969</v>
      </c>
      <c r="D20">
        <v>4.5454545454545452E-3</v>
      </c>
    </row>
    <row r="21" spans="1:4" x14ac:dyDescent="0.3">
      <c r="A21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1" s="1" t="s">
        <v>104</v>
      </c>
      <c r="C21">
        <v>24963.695975002091</v>
      </c>
      <c r="D21">
        <v>4.5757575757575759E-3</v>
      </c>
    </row>
    <row r="22" spans="1:4" x14ac:dyDescent="0.3">
      <c r="A22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2" s="1" t="s">
        <v>104</v>
      </c>
      <c r="C22">
        <v>24887.239064836791</v>
      </c>
      <c r="D22">
        <v>4.6060606060606066E-3</v>
      </c>
    </row>
    <row r="23" spans="1:4" x14ac:dyDescent="0.3">
      <c r="A2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3" s="1" t="s">
        <v>104</v>
      </c>
      <c r="C23">
        <v>24799.308697048069</v>
      </c>
      <c r="D23">
        <v>4.6363636363636364E-3</v>
      </c>
    </row>
    <row r="24" spans="1:4" x14ac:dyDescent="0.3">
      <c r="A2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4" s="1" t="s">
        <v>104</v>
      </c>
      <c r="C24">
        <v>24709.79848698822</v>
      </c>
      <c r="D24">
        <v>4.6666666666666671E-3</v>
      </c>
    </row>
    <row r="25" spans="1:4" x14ac:dyDescent="0.3">
      <c r="A2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5" s="1" t="s">
        <v>104</v>
      </c>
      <c r="C25">
        <v>24607.464094779061</v>
      </c>
      <c r="D25">
        <v>4.6969696969696969E-3</v>
      </c>
    </row>
    <row r="26" spans="1:4" x14ac:dyDescent="0.3">
      <c r="A2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6" s="1" t="s">
        <v>104</v>
      </c>
      <c r="C26">
        <v>24517.513647062191</v>
      </c>
      <c r="D26">
        <v>4.7272727272727284E-3</v>
      </c>
    </row>
    <row r="27" spans="1:4" x14ac:dyDescent="0.3">
      <c r="A2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7" s="1" t="s">
        <v>104</v>
      </c>
      <c r="C27">
        <v>24428.43693137986</v>
      </c>
      <c r="D27">
        <v>4.7575757575757573E-3</v>
      </c>
    </row>
    <row r="28" spans="1:4" x14ac:dyDescent="0.3">
      <c r="A2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8" s="1" t="s">
        <v>104</v>
      </c>
      <c r="C28">
        <v>24338.945393023099</v>
      </c>
      <c r="D28">
        <v>4.787878787878788E-3</v>
      </c>
    </row>
    <row r="29" spans="1:4" x14ac:dyDescent="0.3">
      <c r="A2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29" s="1" t="s">
        <v>104</v>
      </c>
      <c r="C29">
        <v>24249.049487962879</v>
      </c>
      <c r="D29">
        <v>4.8181818181818187E-3</v>
      </c>
    </row>
    <row r="30" spans="1:4" x14ac:dyDescent="0.3">
      <c r="A3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0" s="1" t="s">
        <v>104</v>
      </c>
      <c r="C30">
        <v>24175.199858051499</v>
      </c>
      <c r="D30">
        <v>4.8484848484848476E-3</v>
      </c>
    </row>
    <row r="31" spans="1:4" x14ac:dyDescent="0.3">
      <c r="A31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1" s="1" t="s">
        <v>104</v>
      </c>
      <c r="C31">
        <v>24101.06651479557</v>
      </c>
      <c r="D31">
        <v>4.8787878787878792E-3</v>
      </c>
    </row>
    <row r="32" spans="1:4" x14ac:dyDescent="0.3">
      <c r="A32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2" s="1" t="s">
        <v>104</v>
      </c>
      <c r="C32">
        <v>24024.37916857026</v>
      </c>
      <c r="D32">
        <v>4.909090909090909E-3</v>
      </c>
    </row>
    <row r="33" spans="1:4" x14ac:dyDescent="0.3">
      <c r="A3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3" s="1" t="s">
        <v>104</v>
      </c>
      <c r="C33">
        <v>23934.14091456735</v>
      </c>
      <c r="D33">
        <v>4.9393939393939396E-3</v>
      </c>
    </row>
    <row r="34" spans="1:4" x14ac:dyDescent="0.3">
      <c r="A3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4" s="1" t="s">
        <v>104</v>
      </c>
      <c r="C34">
        <v>23831.436485629329</v>
      </c>
      <c r="D34">
        <v>4.9696969696969694E-3</v>
      </c>
    </row>
    <row r="35" spans="1:4" x14ac:dyDescent="0.3">
      <c r="A3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5" s="1" t="s">
        <v>104</v>
      </c>
      <c r="C35">
        <v>23742.415179302749</v>
      </c>
      <c r="D35">
        <v>5.0000000000000001E-3</v>
      </c>
    </row>
    <row r="36" spans="1:4" x14ac:dyDescent="0.3">
      <c r="A3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6" s="1" t="s">
        <v>104</v>
      </c>
      <c r="C36">
        <v>23653.748261395511</v>
      </c>
      <c r="D36">
        <v>5.0303030303030308E-3</v>
      </c>
    </row>
    <row r="37" spans="1:4" x14ac:dyDescent="0.3">
      <c r="A3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7" s="1" t="s">
        <v>104</v>
      </c>
      <c r="C37">
        <v>23576.489081632179</v>
      </c>
      <c r="D37">
        <v>5.0606060606060606E-3</v>
      </c>
    </row>
    <row r="38" spans="1:4" x14ac:dyDescent="0.3">
      <c r="A3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8" s="1" t="s">
        <v>104</v>
      </c>
      <c r="C38">
        <v>23486.959605773121</v>
      </c>
      <c r="D38">
        <v>5.0909090909090913E-3</v>
      </c>
    </row>
    <row r="39" spans="1:4" x14ac:dyDescent="0.3">
      <c r="A3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39" s="1" t="s">
        <v>104</v>
      </c>
      <c r="C39">
        <v>23396.474077683601</v>
      </c>
      <c r="D39">
        <v>5.1212121212121211E-3</v>
      </c>
    </row>
    <row r="40" spans="1:4" x14ac:dyDescent="0.3">
      <c r="A4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0" s="1" t="s">
        <v>104</v>
      </c>
      <c r="C40">
        <v>23321.040204436831</v>
      </c>
      <c r="D40">
        <v>5.1515151515151517E-3</v>
      </c>
    </row>
    <row r="41" spans="1:4" x14ac:dyDescent="0.3">
      <c r="A41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1" s="1" t="s">
        <v>104</v>
      </c>
      <c r="C41">
        <v>23218.047131813499</v>
      </c>
      <c r="D41">
        <v>5.1818181818181824E-3</v>
      </c>
    </row>
    <row r="42" spans="1:4" x14ac:dyDescent="0.3">
      <c r="A42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2" s="1" t="s">
        <v>104</v>
      </c>
      <c r="C42">
        <v>23141.695062363418</v>
      </c>
      <c r="D42">
        <v>5.2121212121212122E-3</v>
      </c>
    </row>
    <row r="43" spans="1:4" x14ac:dyDescent="0.3">
      <c r="A4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3" s="1" t="s">
        <v>104</v>
      </c>
      <c r="C43">
        <v>23052.941343301511</v>
      </c>
      <c r="D43">
        <v>5.2424242424242429E-3</v>
      </c>
    </row>
    <row r="44" spans="1:4" x14ac:dyDescent="0.3">
      <c r="A4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4" s="1" t="s">
        <v>104</v>
      </c>
      <c r="C44">
        <v>22977.80356589198</v>
      </c>
      <c r="D44">
        <v>5.2727272727272727E-3</v>
      </c>
    </row>
    <row r="45" spans="1:4" x14ac:dyDescent="0.3">
      <c r="A4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5" s="1" t="s">
        <v>104</v>
      </c>
      <c r="C45">
        <v>22887.611289241609</v>
      </c>
      <c r="D45">
        <v>5.3030303030303034E-3</v>
      </c>
    </row>
    <row r="46" spans="1:4" x14ac:dyDescent="0.3">
      <c r="A4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6" s="1" t="s">
        <v>104</v>
      </c>
      <c r="C46">
        <v>22810.757296641779</v>
      </c>
      <c r="D46">
        <v>5.3333333333333332E-3</v>
      </c>
    </row>
    <row r="47" spans="1:4" x14ac:dyDescent="0.3">
      <c r="A4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7" s="1" t="s">
        <v>104</v>
      </c>
      <c r="C47">
        <v>22707.51623019476</v>
      </c>
      <c r="D47">
        <v>5.3636363636363638E-3</v>
      </c>
    </row>
    <row r="48" spans="1:4" x14ac:dyDescent="0.3">
      <c r="A4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8" s="1" t="s">
        <v>104</v>
      </c>
      <c r="C48">
        <v>22617.01692038753</v>
      </c>
      <c r="D48">
        <v>5.3939393939393936E-3</v>
      </c>
    </row>
    <row r="49" spans="1:4" x14ac:dyDescent="0.3">
      <c r="A4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49" s="1" t="s">
        <v>104</v>
      </c>
      <c r="C49">
        <v>22540.757184041609</v>
      </c>
      <c r="D49">
        <v>5.4242424242424243E-3</v>
      </c>
    </row>
    <row r="50" spans="1:4" x14ac:dyDescent="0.3">
      <c r="A5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0" s="1" t="s">
        <v>104</v>
      </c>
      <c r="C50">
        <v>22437.391917745241</v>
      </c>
      <c r="D50">
        <v>5.454545454545455E-3</v>
      </c>
    </row>
    <row r="51" spans="1:4" x14ac:dyDescent="0.3">
      <c r="A51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1" s="1" t="s">
        <v>104</v>
      </c>
      <c r="C51">
        <v>22346.588020035801</v>
      </c>
      <c r="D51">
        <v>5.4848484848484848E-3</v>
      </c>
    </row>
    <row r="52" spans="1:4" x14ac:dyDescent="0.3">
      <c r="A52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2" s="1" t="s">
        <v>104</v>
      </c>
      <c r="C52">
        <v>22256.291484813239</v>
      </c>
      <c r="D52">
        <v>5.5151515151515146E-3</v>
      </c>
    </row>
    <row r="53" spans="1:4" x14ac:dyDescent="0.3">
      <c r="A5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3" s="1" t="s">
        <v>104</v>
      </c>
      <c r="C53">
        <v>22165.22688314812</v>
      </c>
      <c r="D53">
        <v>5.5454545454545453E-3</v>
      </c>
    </row>
    <row r="54" spans="1:4" x14ac:dyDescent="0.3">
      <c r="A5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4" s="1" t="s">
        <v>104</v>
      </c>
      <c r="C54">
        <v>22103.727406154831</v>
      </c>
      <c r="D54">
        <v>5.5757575757575759E-3</v>
      </c>
    </row>
    <row r="55" spans="1:4" x14ac:dyDescent="0.3">
      <c r="A5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5" s="1" t="s">
        <v>104</v>
      </c>
      <c r="C55">
        <v>22028.21243229647</v>
      </c>
      <c r="D55">
        <v>5.6060606060606057E-3</v>
      </c>
    </row>
    <row r="56" spans="1:4" x14ac:dyDescent="0.3">
      <c r="A5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6" s="1" t="s">
        <v>104</v>
      </c>
      <c r="C56">
        <v>21937.38150111369</v>
      </c>
      <c r="D56">
        <v>5.6363636363636364E-3</v>
      </c>
    </row>
    <row r="57" spans="1:4" x14ac:dyDescent="0.3">
      <c r="A5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7" s="1" t="s">
        <v>104</v>
      </c>
      <c r="C57">
        <v>21833.72590785315</v>
      </c>
      <c r="D57">
        <v>5.6666666666666671E-3</v>
      </c>
    </row>
    <row r="58" spans="1:4" x14ac:dyDescent="0.3">
      <c r="A5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8" s="1" t="s">
        <v>104</v>
      </c>
      <c r="C58">
        <v>21730.028778954329</v>
      </c>
      <c r="D58">
        <v>5.6969696969696969E-3</v>
      </c>
    </row>
    <row r="59" spans="1:4" x14ac:dyDescent="0.3">
      <c r="A5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59" s="1" t="s">
        <v>104</v>
      </c>
      <c r="C59">
        <v>21651.31789795278</v>
      </c>
      <c r="D59">
        <v>5.7272727272727284E-3</v>
      </c>
    </row>
    <row r="60" spans="1:4" x14ac:dyDescent="0.3">
      <c r="A6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0" s="1" t="s">
        <v>104</v>
      </c>
      <c r="C60">
        <v>21560.877454894919</v>
      </c>
      <c r="D60">
        <v>5.7575757575757574E-3</v>
      </c>
    </row>
    <row r="61" spans="1:4" x14ac:dyDescent="0.3">
      <c r="A61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1" s="1" t="s">
        <v>104</v>
      </c>
      <c r="C61">
        <v>21457.0556284056</v>
      </c>
      <c r="D61">
        <v>5.787878787878788E-3</v>
      </c>
    </row>
    <row r="62" spans="1:4" x14ac:dyDescent="0.3">
      <c r="A62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2" s="1" t="s">
        <v>104</v>
      </c>
      <c r="C62">
        <v>21380.26451604165</v>
      </c>
      <c r="D62">
        <v>5.8181818181818178E-3</v>
      </c>
    </row>
    <row r="63" spans="1:4" x14ac:dyDescent="0.3">
      <c r="A6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3" s="1" t="s">
        <v>104</v>
      </c>
      <c r="C63">
        <v>21303.049859801999</v>
      </c>
      <c r="D63">
        <v>5.8484848484848494E-3</v>
      </c>
    </row>
    <row r="64" spans="1:4" x14ac:dyDescent="0.3">
      <c r="A6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4" s="1" t="s">
        <v>104</v>
      </c>
      <c r="C64">
        <v>21226.208299214992</v>
      </c>
      <c r="D64">
        <v>5.8787878787878792E-3</v>
      </c>
    </row>
    <row r="65" spans="1:4" x14ac:dyDescent="0.3">
      <c r="A6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5" s="1" t="s">
        <v>104</v>
      </c>
      <c r="C65">
        <v>21122.21999745673</v>
      </c>
      <c r="D65">
        <v>5.909090909090909E-3</v>
      </c>
    </row>
    <row r="66" spans="1:4" x14ac:dyDescent="0.3">
      <c r="A6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6" s="1" t="s">
        <v>104</v>
      </c>
      <c r="C66">
        <v>21043.217837658689</v>
      </c>
      <c r="D66">
        <v>5.9393939393939396E-3</v>
      </c>
    </row>
    <row r="67" spans="1:4" x14ac:dyDescent="0.3">
      <c r="A6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7" s="1" t="s">
        <v>104</v>
      </c>
      <c r="C67">
        <v>20952.67689906104</v>
      </c>
      <c r="D67">
        <v>5.9696969696969703E-3</v>
      </c>
    </row>
    <row r="68" spans="1:4" x14ac:dyDescent="0.3">
      <c r="A6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8" s="1" t="s">
        <v>104</v>
      </c>
      <c r="C68">
        <v>20863.2983598387</v>
      </c>
      <c r="D68">
        <v>6.0000000000000001E-3</v>
      </c>
    </row>
    <row r="69" spans="1:4" x14ac:dyDescent="0.3">
      <c r="A6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69" s="1" t="s">
        <v>104</v>
      </c>
      <c r="C69">
        <v>20759.143340364739</v>
      </c>
      <c r="D69">
        <v>6.0303030303030299E-3</v>
      </c>
    </row>
    <row r="70" spans="1:4" x14ac:dyDescent="0.3">
      <c r="A7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0" s="1" t="s">
        <v>104</v>
      </c>
      <c r="C70">
        <v>20668.28640598066</v>
      </c>
      <c r="D70">
        <v>6.0606060606060606E-3</v>
      </c>
    </row>
    <row r="71" spans="1:4" x14ac:dyDescent="0.3">
      <c r="A71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1" s="1" t="s">
        <v>104</v>
      </c>
      <c r="C71">
        <v>20577.199542855331</v>
      </c>
      <c r="D71">
        <v>6.0909090909090913E-3</v>
      </c>
    </row>
    <row r="72" spans="1:4" x14ac:dyDescent="0.3">
      <c r="A72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2" s="1" t="s">
        <v>104</v>
      </c>
      <c r="C72">
        <v>20528.384896866621</v>
      </c>
      <c r="D72">
        <v>6.1212121212121211E-3</v>
      </c>
    </row>
    <row r="73" spans="1:4" x14ac:dyDescent="0.3">
      <c r="A7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3" s="1" t="s">
        <v>104</v>
      </c>
      <c r="C73">
        <v>20464.250212742911</v>
      </c>
      <c r="D73">
        <v>6.1515151515151517E-3</v>
      </c>
    </row>
    <row r="74" spans="1:4" x14ac:dyDescent="0.3">
      <c r="A7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4" s="1" t="s">
        <v>104</v>
      </c>
      <c r="C74">
        <v>20359.886454561929</v>
      </c>
      <c r="D74">
        <v>6.1818181818181824E-3</v>
      </c>
    </row>
    <row r="75" spans="1:4" x14ac:dyDescent="0.3">
      <c r="A7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5" s="1" t="s">
        <v>104</v>
      </c>
      <c r="C75">
        <v>20255.480903035059</v>
      </c>
      <c r="D75">
        <v>6.2121212121212122E-3</v>
      </c>
    </row>
    <row r="76" spans="1:4" x14ac:dyDescent="0.3">
      <c r="A7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6" s="1" t="s">
        <v>104</v>
      </c>
      <c r="C76">
        <v>20164.757855446402</v>
      </c>
      <c r="D76">
        <v>6.242424242424242E-3</v>
      </c>
    </row>
    <row r="77" spans="1:4" x14ac:dyDescent="0.3">
      <c r="A7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7" s="1" t="s">
        <v>104</v>
      </c>
      <c r="C77">
        <v>20074.189375551941</v>
      </c>
      <c r="D77">
        <v>6.2727272727272727E-3</v>
      </c>
    </row>
    <row r="78" spans="1:4" x14ac:dyDescent="0.3">
      <c r="A7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8" s="1" t="s">
        <v>104</v>
      </c>
      <c r="C78">
        <v>19984.185254396831</v>
      </c>
      <c r="D78">
        <v>6.3030303030303034E-3</v>
      </c>
    </row>
    <row r="79" spans="1:4" x14ac:dyDescent="0.3">
      <c r="A7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79" s="1" t="s">
        <v>104</v>
      </c>
      <c r="C79">
        <v>19905.568068938181</v>
      </c>
      <c r="D79">
        <v>6.3333333333333332E-3</v>
      </c>
    </row>
    <row r="80" spans="1:4" x14ac:dyDescent="0.3">
      <c r="A8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0" s="1" t="s">
        <v>104</v>
      </c>
      <c r="C80">
        <v>19826.33926248374</v>
      </c>
      <c r="D80">
        <v>6.3636363636363638E-3</v>
      </c>
    </row>
    <row r="81" spans="1:4" x14ac:dyDescent="0.3">
      <c r="A81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1" s="1" t="s">
        <v>104</v>
      </c>
      <c r="C81">
        <v>19761.140104902661</v>
      </c>
      <c r="D81">
        <v>6.3939393939393954E-3</v>
      </c>
    </row>
    <row r="82" spans="1:4" x14ac:dyDescent="0.3">
      <c r="A82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2" s="1" t="s">
        <v>104</v>
      </c>
      <c r="C82">
        <v>19656.441573521912</v>
      </c>
      <c r="D82">
        <v>6.4242424242424243E-3</v>
      </c>
    </row>
    <row r="83" spans="1:4" x14ac:dyDescent="0.3">
      <c r="A8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3" s="1" t="s">
        <v>104</v>
      </c>
      <c r="C83">
        <v>19551.701126882021</v>
      </c>
      <c r="D83">
        <v>6.4545454545454541E-3</v>
      </c>
    </row>
    <row r="84" spans="1:4" x14ac:dyDescent="0.3">
      <c r="A8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4" s="1" t="s">
        <v>104</v>
      </c>
      <c r="C84">
        <v>19461.24070781346</v>
      </c>
      <c r="D84">
        <v>6.4848484848484848E-3</v>
      </c>
    </row>
    <row r="85" spans="1:4" x14ac:dyDescent="0.3">
      <c r="A8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5" s="1" t="s">
        <v>104</v>
      </c>
      <c r="C85">
        <v>19356.416384844681</v>
      </c>
      <c r="D85">
        <v>6.5151515151515146E-3</v>
      </c>
    </row>
    <row r="86" spans="1:4" x14ac:dyDescent="0.3">
      <c r="A8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6" s="1" t="s">
        <v>104</v>
      </c>
      <c r="C86">
        <v>19263.975100793861</v>
      </c>
      <c r="D86">
        <v>6.5454545454545453E-3</v>
      </c>
    </row>
    <row r="87" spans="1:4" x14ac:dyDescent="0.3">
      <c r="A8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7" s="1" t="s">
        <v>104</v>
      </c>
      <c r="C87">
        <v>19159.066840373489</v>
      </c>
      <c r="D87">
        <v>6.5757575757575759E-3</v>
      </c>
    </row>
    <row r="88" spans="1:4" x14ac:dyDescent="0.3">
      <c r="A8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8" s="1" t="s">
        <v>104</v>
      </c>
      <c r="C88">
        <v>19094.44815753794</v>
      </c>
      <c r="D88">
        <v>6.6060606060606066E-3</v>
      </c>
    </row>
    <row r="89" spans="1:4" x14ac:dyDescent="0.3">
      <c r="A8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89" s="1" t="s">
        <v>104</v>
      </c>
      <c r="C89">
        <v>19003.575804269269</v>
      </c>
      <c r="D89">
        <v>6.6363636363636364E-3</v>
      </c>
    </row>
    <row r="90" spans="1:4" x14ac:dyDescent="0.3">
      <c r="A9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0" s="1" t="s">
        <v>104</v>
      </c>
      <c r="C90">
        <v>18925.231900558101</v>
      </c>
      <c r="D90">
        <v>6.6666666666666662E-3</v>
      </c>
    </row>
    <row r="91" spans="1:4" x14ac:dyDescent="0.3">
      <c r="A91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1" s="1" t="s">
        <v>104</v>
      </c>
      <c r="C91">
        <v>18846.837879599901</v>
      </c>
      <c r="D91">
        <v>6.6969696969696969E-3</v>
      </c>
    </row>
    <row r="92" spans="1:4" x14ac:dyDescent="0.3">
      <c r="A92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2" s="1" t="s">
        <v>104</v>
      </c>
      <c r="C92">
        <v>18767.48431025113</v>
      </c>
      <c r="D92">
        <v>6.7272727272727276E-3</v>
      </c>
    </row>
    <row r="93" spans="1:4" x14ac:dyDescent="0.3">
      <c r="A93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3" s="1" t="s">
        <v>104</v>
      </c>
      <c r="C93">
        <v>18676.244574210032</v>
      </c>
      <c r="D93">
        <v>6.7575757575757574E-3</v>
      </c>
    </row>
    <row r="94" spans="1:4" x14ac:dyDescent="0.3">
      <c r="A94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4" s="1" t="s">
        <v>104</v>
      </c>
      <c r="C94">
        <v>18571.04205062702</v>
      </c>
      <c r="D94">
        <v>6.787878787878788E-3</v>
      </c>
    </row>
    <row r="95" spans="1:4" x14ac:dyDescent="0.3">
      <c r="A95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5" s="1" t="s">
        <v>104</v>
      </c>
      <c r="C95">
        <v>18478.400226790771</v>
      </c>
      <c r="D95">
        <v>6.8181818181818187E-3</v>
      </c>
    </row>
    <row r="96" spans="1:4" x14ac:dyDescent="0.3">
      <c r="A96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6" s="1" t="s">
        <v>104</v>
      </c>
      <c r="C96">
        <v>18400.631409681129</v>
      </c>
      <c r="D96">
        <v>6.8484848484848494E-3</v>
      </c>
    </row>
    <row r="97" spans="1:4" x14ac:dyDescent="0.3">
      <c r="A97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7" s="1" t="s">
        <v>104</v>
      </c>
      <c r="C97">
        <v>18295.302543365549</v>
      </c>
      <c r="D97">
        <v>6.8787878787878783E-3</v>
      </c>
    </row>
    <row r="98" spans="1:4" x14ac:dyDescent="0.3">
      <c r="A98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8" s="1" t="s">
        <v>104</v>
      </c>
      <c r="C98">
        <v>18202.897597200219</v>
      </c>
      <c r="D98">
        <v>6.909090909090909E-3</v>
      </c>
    </row>
    <row r="99" spans="1:4" x14ac:dyDescent="0.3">
      <c r="A99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99" s="1" t="s">
        <v>104</v>
      </c>
      <c r="C99">
        <v>18125.285851511311</v>
      </c>
      <c r="D99">
        <v>6.9393939393939397E-3</v>
      </c>
    </row>
    <row r="100" spans="1:4" x14ac:dyDescent="0.3">
      <c r="A100" s="1" t="str">
        <f>IF(Tabelle25678[[#This Row],[Auszahlung_aus_der_Szenario_Range]]="","",IFERROR(MID(Sensitivität_bzw_Monte_Carlo_bei_Strom[[#This Row],[Source.Name]],FIND("1",Sensitivität_bzw_Monte_Carlo_bei_Strom[[#This Row],[Source.Name]],1),1),2))</f>
        <v>1</v>
      </c>
      <c r="B100" s="1" t="s">
        <v>104</v>
      </c>
      <c r="C100">
        <v>18019.830504243331</v>
      </c>
      <c r="D100">
        <v>6.9696969696969686E-3</v>
      </c>
    </row>
    <row r="101" spans="1:4" x14ac:dyDescent="0.3">
      <c r="A101" s="1">
        <f>IF(Tabelle25678[[#This Row],[Auszahlung_aus_der_Szenario_Range]]="","",IFERROR(MID(Sensitivität_bzw_Monte_Carlo_bei_Strom[[#This Row],[Source.Name]],FIND("1",Sensitivität_bzw_Monte_Carlo_bei_Strom[[#This Row],[Source.Name]],1),1),2))</f>
        <v>2</v>
      </c>
      <c r="B101" s="1" t="s">
        <v>104</v>
      </c>
      <c r="C101">
        <v>17927.484572164471</v>
      </c>
      <c r="D101">
        <v>7.0000000000000001E-3</v>
      </c>
    </row>
    <row r="102" spans="1:4" x14ac:dyDescent="0.3">
      <c r="A102" s="1"/>
      <c r="B102" s="1" t="s">
        <v>105</v>
      </c>
      <c r="C102">
        <v>13123.42140417006</v>
      </c>
      <c r="D102">
        <v>4.0000000000000001E-3</v>
      </c>
    </row>
    <row r="103" spans="1:4" x14ac:dyDescent="0.3">
      <c r="A103" s="1"/>
      <c r="B103" s="1" t="s">
        <v>105</v>
      </c>
      <c r="C103">
        <v>13036.02584425496</v>
      </c>
      <c r="D103">
        <v>4.0303030303030308E-3</v>
      </c>
    </row>
    <row r="104" spans="1:4" x14ac:dyDescent="0.3">
      <c r="A104" s="1"/>
      <c r="B104" s="1" t="s">
        <v>105</v>
      </c>
      <c r="C104">
        <v>12946.48750129484</v>
      </c>
      <c r="D104">
        <v>4.0606060606060614E-3</v>
      </c>
    </row>
    <row r="105" spans="1:4" x14ac:dyDescent="0.3">
      <c r="A105" s="1"/>
      <c r="B105" s="1" t="s">
        <v>105</v>
      </c>
      <c r="C105">
        <v>12884.603980444441</v>
      </c>
      <c r="D105">
        <v>4.0909090909090912E-3</v>
      </c>
    </row>
    <row r="106" spans="1:4" x14ac:dyDescent="0.3">
      <c r="A106" s="1"/>
      <c r="B106" s="1" t="s">
        <v>105</v>
      </c>
      <c r="C106">
        <v>12782.558830345321</v>
      </c>
      <c r="D106">
        <v>4.121212121212121E-3</v>
      </c>
    </row>
    <row r="107" spans="1:4" x14ac:dyDescent="0.3">
      <c r="A107" s="1"/>
      <c r="B107" s="1" t="s">
        <v>105</v>
      </c>
      <c r="C107">
        <v>12693.438819502409</v>
      </c>
      <c r="D107">
        <v>4.1515151515151517E-3</v>
      </c>
    </row>
    <row r="108" spans="1:4" x14ac:dyDescent="0.3">
      <c r="A108" s="1"/>
      <c r="B108" s="1" t="s">
        <v>105</v>
      </c>
      <c r="C108">
        <v>12605.23250683773</v>
      </c>
      <c r="D108">
        <v>4.1818181818181824E-3</v>
      </c>
    </row>
    <row r="109" spans="1:4" x14ac:dyDescent="0.3">
      <c r="A109" s="1"/>
      <c r="B109" s="1" t="s">
        <v>105</v>
      </c>
      <c r="C109">
        <v>12516.21614087343</v>
      </c>
      <c r="D109">
        <v>4.2121212121212122E-3</v>
      </c>
    </row>
    <row r="110" spans="1:4" x14ac:dyDescent="0.3">
      <c r="A110" s="1"/>
      <c r="B110" s="1" t="s">
        <v>105</v>
      </c>
      <c r="C110">
        <v>12428.127103994209</v>
      </c>
      <c r="D110">
        <v>4.2424242424242429E-3</v>
      </c>
    </row>
    <row r="111" spans="1:4" x14ac:dyDescent="0.3">
      <c r="A111" s="1"/>
      <c r="B111" s="1" t="s">
        <v>105</v>
      </c>
      <c r="C111">
        <v>12353.247805081781</v>
      </c>
      <c r="D111">
        <v>4.2727272727272727E-3</v>
      </c>
    </row>
    <row r="112" spans="1:4" x14ac:dyDescent="0.3">
      <c r="A112" s="1"/>
      <c r="B112" s="1" t="s">
        <v>105</v>
      </c>
      <c r="C112">
        <v>12276.899477999699</v>
      </c>
      <c r="D112">
        <v>4.3030303030303033E-3</v>
      </c>
    </row>
    <row r="113" spans="1:4" x14ac:dyDescent="0.3">
      <c r="A113" s="1"/>
      <c r="B113" s="1" t="s">
        <v>105</v>
      </c>
      <c r="C113">
        <v>12200.88136796244</v>
      </c>
      <c r="D113">
        <v>4.3333333333333331E-3</v>
      </c>
    </row>
    <row r="114" spans="1:4" x14ac:dyDescent="0.3">
      <c r="A114" s="1"/>
      <c r="B114" s="1" t="s">
        <v>105</v>
      </c>
      <c r="C114">
        <v>12098.50839470921</v>
      </c>
      <c r="D114">
        <v>4.3636363636363638E-3</v>
      </c>
    </row>
    <row r="115" spans="1:4" x14ac:dyDescent="0.3">
      <c r="A115" s="1"/>
      <c r="B115" s="1" t="s">
        <v>105</v>
      </c>
      <c r="C115">
        <v>12024.14064716706</v>
      </c>
      <c r="D115">
        <v>4.3939393939393936E-3</v>
      </c>
    </row>
    <row r="116" spans="1:4" x14ac:dyDescent="0.3">
      <c r="A116" s="1"/>
      <c r="B116" s="1" t="s">
        <v>105</v>
      </c>
      <c r="C116">
        <v>11934.65163432639</v>
      </c>
      <c r="D116">
        <v>4.4242424242424243E-3</v>
      </c>
    </row>
    <row r="117" spans="1:4" x14ac:dyDescent="0.3">
      <c r="A117" s="1"/>
      <c r="B117" s="1" t="s">
        <v>105</v>
      </c>
      <c r="C117">
        <v>11844.580481670469</v>
      </c>
      <c r="D117">
        <v>4.454545454545455E-3</v>
      </c>
    </row>
    <row r="118" spans="1:4" x14ac:dyDescent="0.3">
      <c r="A118" s="1"/>
      <c r="B118" s="1" t="s">
        <v>105</v>
      </c>
      <c r="C118">
        <v>11742.04323937928</v>
      </c>
      <c r="D118">
        <v>4.4848484848484848E-3</v>
      </c>
    </row>
    <row r="119" spans="1:4" x14ac:dyDescent="0.3">
      <c r="A119" s="1"/>
      <c r="B119" s="1" t="s">
        <v>105</v>
      </c>
      <c r="C119">
        <v>11667.77599605326</v>
      </c>
      <c r="D119">
        <v>4.5151515151515154E-3</v>
      </c>
    </row>
    <row r="120" spans="1:4" x14ac:dyDescent="0.3">
      <c r="A120" s="1"/>
      <c r="B120" s="1" t="s">
        <v>105</v>
      </c>
      <c r="C120">
        <v>11577.759328345781</v>
      </c>
      <c r="D120">
        <v>4.5454545454545452E-3</v>
      </c>
    </row>
    <row r="121" spans="1:4" x14ac:dyDescent="0.3">
      <c r="A121" s="1"/>
      <c r="B121" s="1" t="s">
        <v>105</v>
      </c>
      <c r="C121">
        <v>11487.881869099059</v>
      </c>
      <c r="D121">
        <v>4.5757575757575759E-3</v>
      </c>
    </row>
    <row r="122" spans="1:4" x14ac:dyDescent="0.3">
      <c r="A122" s="1"/>
      <c r="B122" s="1" t="s">
        <v>105</v>
      </c>
      <c r="C122">
        <v>11385.18011892787</v>
      </c>
      <c r="D122">
        <v>4.6060606060606066E-3</v>
      </c>
    </row>
    <row r="123" spans="1:4" x14ac:dyDescent="0.3">
      <c r="A123" s="1"/>
      <c r="B123" s="1" t="s">
        <v>105</v>
      </c>
      <c r="C123">
        <v>11295.777006868209</v>
      </c>
      <c r="D123">
        <v>4.6363636363636364E-3</v>
      </c>
    </row>
    <row r="124" spans="1:4" x14ac:dyDescent="0.3">
      <c r="A124" s="1"/>
      <c r="B124" s="1" t="s">
        <v>105</v>
      </c>
      <c r="C124">
        <v>11219.338617047069</v>
      </c>
      <c r="D124">
        <v>4.6666666666666671E-3</v>
      </c>
    </row>
    <row r="125" spans="1:4" x14ac:dyDescent="0.3">
      <c r="A125" s="1"/>
      <c r="B125" s="1" t="s">
        <v>105</v>
      </c>
      <c r="C125">
        <v>11143.010085770111</v>
      </c>
      <c r="D125">
        <v>4.6969696969696969E-3</v>
      </c>
    </row>
    <row r="126" spans="1:4" x14ac:dyDescent="0.3">
      <c r="A126" s="1"/>
      <c r="B126" s="1" t="s">
        <v>105</v>
      </c>
      <c r="C126">
        <v>11040.143588471879</v>
      </c>
      <c r="D126">
        <v>4.7272727272727284E-3</v>
      </c>
    </row>
    <row r="127" spans="1:4" ht="13.8" customHeight="1" x14ac:dyDescent="0.3">
      <c r="A127" s="1"/>
      <c r="B127" s="1" t="s">
        <v>105</v>
      </c>
      <c r="C127">
        <v>10979.741993238111</v>
      </c>
      <c r="D127">
        <v>4.7575757575757573E-3</v>
      </c>
    </row>
    <row r="128" spans="1:4" x14ac:dyDescent="0.3">
      <c r="A128" s="1"/>
      <c r="B128" s="1" t="s">
        <v>105</v>
      </c>
      <c r="C128">
        <v>10890.912938310939</v>
      </c>
      <c r="D128">
        <v>4.787878787878788E-3</v>
      </c>
    </row>
    <row r="129" spans="1:4" x14ac:dyDescent="0.3">
      <c r="A129" s="1"/>
      <c r="B129" s="1" t="s">
        <v>105</v>
      </c>
      <c r="C129">
        <v>10814.798642174839</v>
      </c>
      <c r="D129">
        <v>4.8181818181818187E-3</v>
      </c>
    </row>
    <row r="130" spans="1:4" x14ac:dyDescent="0.3">
      <c r="A130" s="1"/>
      <c r="B130" s="1" t="s">
        <v>105</v>
      </c>
      <c r="C130">
        <v>10724.550299643581</v>
      </c>
      <c r="D130">
        <v>4.8484848484848476E-3</v>
      </c>
    </row>
    <row r="131" spans="1:4" x14ac:dyDescent="0.3">
      <c r="A131" s="1"/>
      <c r="B131" s="1" t="s">
        <v>105</v>
      </c>
      <c r="C131">
        <v>10633.90253138492</v>
      </c>
      <c r="D131">
        <v>4.8787878787878792E-3</v>
      </c>
    </row>
    <row r="132" spans="1:4" x14ac:dyDescent="0.3">
      <c r="A132" s="1"/>
      <c r="B132" s="1" t="s">
        <v>105</v>
      </c>
      <c r="C132">
        <v>10530.788463930759</v>
      </c>
      <c r="D132">
        <v>4.909090909090909E-3</v>
      </c>
    </row>
    <row r="133" spans="1:4" x14ac:dyDescent="0.3">
      <c r="A133" s="1"/>
      <c r="B133" s="1" t="s">
        <v>105</v>
      </c>
      <c r="C133">
        <v>10427.63308226506</v>
      </c>
      <c r="D133">
        <v>4.9393939393939396E-3</v>
      </c>
    </row>
    <row r="134" spans="1:4" x14ac:dyDescent="0.3">
      <c r="A134" s="1"/>
      <c r="B134" s="1" t="s">
        <v>105</v>
      </c>
      <c r="C134">
        <v>10365.477016986961</v>
      </c>
      <c r="D134">
        <v>4.9696969696969694E-3</v>
      </c>
    </row>
    <row r="135" spans="1:4" x14ac:dyDescent="0.3">
      <c r="A135" s="1"/>
      <c r="B135" s="1" t="s">
        <v>105</v>
      </c>
      <c r="C135">
        <v>10289.163718569031</v>
      </c>
      <c r="D135">
        <v>5.0000000000000001E-3</v>
      </c>
    </row>
    <row r="136" spans="1:4" x14ac:dyDescent="0.3">
      <c r="A136" s="1"/>
      <c r="B136" s="1" t="s">
        <v>105</v>
      </c>
      <c r="C136">
        <v>10185.884304110899</v>
      </c>
      <c r="D136">
        <v>5.0303030303030308E-3</v>
      </c>
    </row>
    <row r="137" spans="1:4" x14ac:dyDescent="0.3">
      <c r="A137" s="1"/>
      <c r="B137" s="1" t="s">
        <v>105</v>
      </c>
      <c r="C137">
        <v>10096.09420700171</v>
      </c>
      <c r="D137">
        <v>5.0606060606060606E-3</v>
      </c>
    </row>
    <row r="138" spans="1:4" x14ac:dyDescent="0.3">
      <c r="A138" s="1"/>
      <c r="B138" s="1" t="s">
        <v>105</v>
      </c>
      <c r="C138">
        <v>10017.94017036175</v>
      </c>
      <c r="D138">
        <v>5.0909090909090913E-3</v>
      </c>
    </row>
    <row r="139" spans="1:4" x14ac:dyDescent="0.3">
      <c r="A139" s="1"/>
      <c r="B139" s="1" t="s">
        <v>105</v>
      </c>
      <c r="C139">
        <v>9941.6088979753877</v>
      </c>
      <c r="D139">
        <v>5.1212121212121211E-3</v>
      </c>
    </row>
    <row r="140" spans="1:4" x14ac:dyDescent="0.3">
      <c r="A140" s="1"/>
      <c r="B140" s="1" t="s">
        <v>105</v>
      </c>
      <c r="C140">
        <v>9838.1638958550266</v>
      </c>
      <c r="D140">
        <v>5.1515151515151517E-3</v>
      </c>
    </row>
    <row r="141" spans="1:4" x14ac:dyDescent="0.3">
      <c r="A141" s="1"/>
      <c r="B141" s="1" t="s">
        <v>105</v>
      </c>
      <c r="C141">
        <v>9734.6774591687845</v>
      </c>
      <c r="D141">
        <v>5.1818181818181824E-3</v>
      </c>
    </row>
    <row r="142" spans="1:4" x14ac:dyDescent="0.3">
      <c r="A142" s="1"/>
      <c r="B142" s="1" t="s">
        <v>105</v>
      </c>
      <c r="C142">
        <v>9656.7184365888206</v>
      </c>
      <c r="D142">
        <v>5.2121212121212122E-3</v>
      </c>
    </row>
    <row r="143" spans="1:4" x14ac:dyDescent="0.3">
      <c r="A143" s="1"/>
      <c r="B143" s="1" t="s">
        <v>105</v>
      </c>
      <c r="C143">
        <v>9566.8733980485376</v>
      </c>
      <c r="D143">
        <v>5.2424242424242429E-3</v>
      </c>
    </row>
    <row r="144" spans="1:4" x14ac:dyDescent="0.3">
      <c r="A144" s="1"/>
      <c r="B144" s="1" t="s">
        <v>105</v>
      </c>
      <c r="C144">
        <v>9489.0273696516215</v>
      </c>
      <c r="D144">
        <v>5.2727272727272727E-3</v>
      </c>
    </row>
    <row r="145" spans="1:4" x14ac:dyDescent="0.3">
      <c r="A145" s="1"/>
      <c r="B145" s="1" t="s">
        <v>105</v>
      </c>
      <c r="C145">
        <v>9414.4405787489395</v>
      </c>
      <c r="D145">
        <v>5.3030303030303034E-3</v>
      </c>
    </row>
    <row r="146" spans="1:4" x14ac:dyDescent="0.3">
      <c r="A146" s="1"/>
      <c r="B146" s="1" t="s">
        <v>105</v>
      </c>
      <c r="C146">
        <v>9339.1263432595497</v>
      </c>
      <c r="D146">
        <v>5.3333333333333332E-3</v>
      </c>
    </row>
    <row r="147" spans="1:4" x14ac:dyDescent="0.3">
      <c r="A147" s="1"/>
      <c r="B147" s="1" t="s">
        <v>105</v>
      </c>
      <c r="C147">
        <v>9235.3909824277216</v>
      </c>
      <c r="D147">
        <v>5.3636363636363638E-3</v>
      </c>
    </row>
    <row r="148" spans="1:4" x14ac:dyDescent="0.3">
      <c r="A148" s="1"/>
      <c r="B148" s="1" t="s">
        <v>105</v>
      </c>
      <c r="C148">
        <v>9144.7656876393194</v>
      </c>
      <c r="D148">
        <v>5.3939393939393936E-3</v>
      </c>
    </row>
    <row r="149" spans="1:4" x14ac:dyDescent="0.3">
      <c r="A149" s="1"/>
      <c r="B149" s="1" t="s">
        <v>105</v>
      </c>
      <c r="C149">
        <v>9053.5500299168452</v>
      </c>
      <c r="D149">
        <v>5.4242424242424243E-3</v>
      </c>
    </row>
    <row r="150" spans="1:4" x14ac:dyDescent="0.3">
      <c r="A150" s="1"/>
      <c r="B150" s="1" t="s">
        <v>105</v>
      </c>
      <c r="C150">
        <v>8977.7475965269296</v>
      </c>
      <c r="D150">
        <v>5.454545454545455E-3</v>
      </c>
    </row>
    <row r="151" spans="1:4" x14ac:dyDescent="0.3">
      <c r="A151" s="1"/>
      <c r="B151" s="1" t="s">
        <v>105</v>
      </c>
      <c r="C151">
        <v>8899.2370492336177</v>
      </c>
      <c r="D151">
        <v>5.4848484848484848E-3</v>
      </c>
    </row>
    <row r="152" spans="1:4" x14ac:dyDescent="0.3">
      <c r="A152" s="1"/>
      <c r="B152" s="1" t="s">
        <v>105</v>
      </c>
      <c r="C152">
        <v>8795.2938361235447</v>
      </c>
      <c r="D152">
        <v>5.5151515151515146E-3</v>
      </c>
    </row>
    <row r="153" spans="1:4" x14ac:dyDescent="0.3">
      <c r="A153" s="1"/>
      <c r="B153" s="1" t="s">
        <v>105</v>
      </c>
      <c r="C153">
        <v>8691.3090071553215</v>
      </c>
      <c r="D153">
        <v>5.5454545454545453E-3</v>
      </c>
    </row>
    <row r="154" spans="1:4" x14ac:dyDescent="0.3">
      <c r="A154" s="1"/>
      <c r="B154" s="1" t="s">
        <v>105</v>
      </c>
      <c r="C154">
        <v>8600.0656887217592</v>
      </c>
      <c r="D154">
        <v>5.5757575757575759E-3</v>
      </c>
    </row>
    <row r="155" spans="1:4" x14ac:dyDescent="0.3">
      <c r="A155" s="1"/>
      <c r="B155" s="1" t="s">
        <v>105</v>
      </c>
      <c r="C155">
        <v>8523.2580890163845</v>
      </c>
      <c r="D155">
        <v>5.6060606060606057E-3</v>
      </c>
    </row>
    <row r="156" spans="1:4" x14ac:dyDescent="0.3">
      <c r="A156" s="1"/>
      <c r="B156" s="1" t="s">
        <v>105</v>
      </c>
      <c r="C156">
        <v>8433.470279653644</v>
      </c>
      <c r="D156">
        <v>5.6363636363636364E-3</v>
      </c>
    </row>
    <row r="157" spans="1:4" x14ac:dyDescent="0.3">
      <c r="A157" s="1"/>
      <c r="B157" s="1" t="s">
        <v>105</v>
      </c>
      <c r="C157">
        <v>8355.6459468462745</v>
      </c>
      <c r="D157">
        <v>5.6666666666666671E-3</v>
      </c>
    </row>
    <row r="158" spans="1:4" x14ac:dyDescent="0.3">
      <c r="A158" s="1"/>
      <c r="B158" s="1" t="s">
        <v>105</v>
      </c>
      <c r="C158">
        <v>8277.0294174775318</v>
      </c>
      <c r="D158">
        <v>5.6969696969696969E-3</v>
      </c>
    </row>
    <row r="159" spans="1:4" x14ac:dyDescent="0.3">
      <c r="A159" s="1"/>
      <c r="B159" s="1" t="s">
        <v>105</v>
      </c>
      <c r="C159">
        <v>8172.7945750100298</v>
      </c>
      <c r="D159">
        <v>5.7272727272727284E-3</v>
      </c>
    </row>
    <row r="160" spans="1:4" x14ac:dyDescent="0.3">
      <c r="A160" s="1"/>
      <c r="B160" s="1" t="s">
        <v>105</v>
      </c>
      <c r="C160">
        <v>8081.4840756093099</v>
      </c>
      <c r="D160">
        <v>5.7575757575757574E-3</v>
      </c>
    </row>
    <row r="161" spans="1:4" x14ac:dyDescent="0.3">
      <c r="A161" s="1"/>
      <c r="B161" s="1" t="s">
        <v>105</v>
      </c>
      <c r="C161">
        <v>7977.1657738791446</v>
      </c>
      <c r="D161">
        <v>5.787878787878788E-3</v>
      </c>
    </row>
    <row r="162" spans="1:4" x14ac:dyDescent="0.3">
      <c r="A162" s="1"/>
      <c r="B162" s="1" t="s">
        <v>105</v>
      </c>
      <c r="C162">
        <v>7929.0138282981679</v>
      </c>
      <c r="D162">
        <v>5.8181818181818178E-3</v>
      </c>
    </row>
    <row r="163" spans="1:4" x14ac:dyDescent="0.3">
      <c r="A163" s="1"/>
      <c r="B163" s="1" t="s">
        <v>105</v>
      </c>
      <c r="C163">
        <v>7838.7319122828076</v>
      </c>
      <c r="D163">
        <v>5.8484848484848494E-3</v>
      </c>
    </row>
    <row r="164" spans="1:4" x14ac:dyDescent="0.3">
      <c r="A164" s="1"/>
      <c r="B164" s="1" t="s">
        <v>105</v>
      </c>
      <c r="C164">
        <v>7759.3161062870768</v>
      </c>
      <c r="D164">
        <v>5.8787878787878792E-3</v>
      </c>
    </row>
    <row r="165" spans="1:4" x14ac:dyDescent="0.3">
      <c r="A165" s="1"/>
      <c r="B165" s="1" t="s">
        <v>105</v>
      </c>
      <c r="C165">
        <v>7654.8307035815633</v>
      </c>
      <c r="D165">
        <v>5.909090909090909E-3</v>
      </c>
    </row>
    <row r="166" spans="1:4" x14ac:dyDescent="0.3">
      <c r="A166" s="1"/>
      <c r="B166" s="1" t="s">
        <v>105</v>
      </c>
      <c r="C166">
        <v>7563.6432900333384</v>
      </c>
      <c r="D166">
        <v>5.9393939393939396E-3</v>
      </c>
    </row>
    <row r="167" spans="1:4" x14ac:dyDescent="0.3">
      <c r="A167" s="1"/>
      <c r="B167" s="1" t="s">
        <v>105</v>
      </c>
      <c r="C167">
        <v>7459.074245512682</v>
      </c>
      <c r="D167">
        <v>5.9696969696969703E-3</v>
      </c>
    </row>
    <row r="168" spans="1:4" x14ac:dyDescent="0.3">
      <c r="A168" s="1"/>
      <c r="B168" s="1" t="s">
        <v>105</v>
      </c>
      <c r="C168">
        <v>7367.6149634817812</v>
      </c>
      <c r="D168">
        <v>6.0000000000000001E-3</v>
      </c>
    </row>
    <row r="169" spans="1:4" x14ac:dyDescent="0.3">
      <c r="A169" s="1"/>
      <c r="B169" s="1" t="s">
        <v>105</v>
      </c>
      <c r="C169">
        <v>7275.9282812943566</v>
      </c>
      <c r="D169">
        <v>6.0303030303030299E-3</v>
      </c>
    </row>
    <row r="170" spans="1:4" x14ac:dyDescent="0.3">
      <c r="A170" s="1"/>
      <c r="B170" s="1" t="s">
        <v>105</v>
      </c>
      <c r="C170">
        <v>7211.6618177756454</v>
      </c>
      <c r="D170">
        <v>6.0606060606060606E-3</v>
      </c>
    </row>
    <row r="171" spans="1:4" x14ac:dyDescent="0.3">
      <c r="A171" s="1"/>
      <c r="B171" s="1" t="s">
        <v>105</v>
      </c>
      <c r="C171">
        <v>7131.9531053584669</v>
      </c>
      <c r="D171">
        <v>6.0909090909090913E-3</v>
      </c>
    </row>
    <row r="172" spans="1:4" x14ac:dyDescent="0.3">
      <c r="A172" s="1"/>
      <c r="B172" s="1" t="s">
        <v>105</v>
      </c>
      <c r="C172">
        <v>7027.1746895187271</v>
      </c>
      <c r="D172">
        <v>6.1212121212121211E-3</v>
      </c>
    </row>
    <row r="173" spans="1:4" x14ac:dyDescent="0.3">
      <c r="A173" s="1"/>
      <c r="B173" s="1" t="s">
        <v>105</v>
      </c>
      <c r="C173">
        <v>6922.3543536301368</v>
      </c>
      <c r="D173">
        <v>6.1515151515151517E-3</v>
      </c>
    </row>
    <row r="174" spans="1:4" x14ac:dyDescent="0.3">
      <c r="A174" s="1"/>
      <c r="B174" s="1" t="s">
        <v>105</v>
      </c>
      <c r="C174">
        <v>6845.5496758417112</v>
      </c>
      <c r="D174">
        <v>6.1818181818181824E-3</v>
      </c>
    </row>
    <row r="175" spans="1:4" x14ac:dyDescent="0.3">
      <c r="A175" s="1"/>
      <c r="B175" s="1" t="s">
        <v>105</v>
      </c>
      <c r="C175">
        <v>6740.6454540196664</v>
      </c>
      <c r="D175">
        <v>6.2121212121212122E-3</v>
      </c>
    </row>
    <row r="176" spans="1:4" x14ac:dyDescent="0.3">
      <c r="A176" s="1"/>
      <c r="B176" s="1" t="s">
        <v>105</v>
      </c>
      <c r="C176">
        <v>6650.0212243973292</v>
      </c>
      <c r="D176">
        <v>6.242424242424242E-3</v>
      </c>
    </row>
    <row r="177" spans="1:4" x14ac:dyDescent="0.3">
      <c r="A177" s="1"/>
      <c r="B177" s="1" t="s">
        <v>105</v>
      </c>
      <c r="C177">
        <v>6570.7978579312739</v>
      </c>
      <c r="D177">
        <v>6.2727272727272727E-3</v>
      </c>
    </row>
    <row r="178" spans="1:4" x14ac:dyDescent="0.3">
      <c r="A178" s="1"/>
      <c r="B178" s="1" t="s">
        <v>105</v>
      </c>
      <c r="C178">
        <v>6517.2713040580766</v>
      </c>
      <c r="D178">
        <v>6.3030303030303034E-3</v>
      </c>
    </row>
    <row r="179" spans="1:4" x14ac:dyDescent="0.3">
      <c r="A179" s="1"/>
      <c r="B179" s="1" t="s">
        <v>105</v>
      </c>
      <c r="C179">
        <v>6427.1447559031794</v>
      </c>
      <c r="D179">
        <v>6.3333333333333332E-3</v>
      </c>
    </row>
    <row r="180" spans="1:4" x14ac:dyDescent="0.3">
      <c r="A180" s="1"/>
      <c r="B180" s="1" t="s">
        <v>105</v>
      </c>
      <c r="C180">
        <v>6336.1504573435004</v>
      </c>
      <c r="D180">
        <v>6.3636363636363638E-3</v>
      </c>
    </row>
    <row r="181" spans="1:4" x14ac:dyDescent="0.3">
      <c r="A181" s="1"/>
      <c r="B181" s="1" t="s">
        <v>105</v>
      </c>
      <c r="C181">
        <v>6230.994210565359</v>
      </c>
      <c r="D181">
        <v>6.3939393939393954E-3</v>
      </c>
    </row>
    <row r="182" spans="1:4" x14ac:dyDescent="0.3">
      <c r="A182" s="1"/>
      <c r="B182" s="1" t="s">
        <v>105</v>
      </c>
      <c r="C182">
        <v>6141.1723319101957</v>
      </c>
      <c r="D182">
        <v>6.4242424242424243E-3</v>
      </c>
    </row>
    <row r="183" spans="1:4" x14ac:dyDescent="0.3">
      <c r="A183" s="1"/>
      <c r="B183" s="1" t="s">
        <v>105</v>
      </c>
      <c r="C183">
        <v>6035.9319542580124</v>
      </c>
      <c r="D183">
        <v>6.4545454545454541E-3</v>
      </c>
    </row>
    <row r="184" spans="1:4" x14ac:dyDescent="0.3">
      <c r="A184" s="1"/>
      <c r="B184" s="1" t="s">
        <v>105</v>
      </c>
      <c r="C184">
        <v>5956.7988006633104</v>
      </c>
      <c r="D184">
        <v>6.4848484848484848E-3</v>
      </c>
    </row>
    <row r="185" spans="1:4" x14ac:dyDescent="0.3">
      <c r="A185" s="1"/>
      <c r="B185" s="1" t="s">
        <v>105</v>
      </c>
      <c r="C185">
        <v>5877.9977334010109</v>
      </c>
      <c r="D185">
        <v>6.5151515151515146E-3</v>
      </c>
    </row>
    <row r="186" spans="1:4" x14ac:dyDescent="0.3">
      <c r="A186" s="1"/>
      <c r="B186" s="1" t="s">
        <v>105</v>
      </c>
      <c r="C186">
        <v>5811.9109426956757</v>
      </c>
      <c r="D186">
        <v>6.5454545454545453E-3</v>
      </c>
    </row>
    <row r="187" spans="1:4" x14ac:dyDescent="0.3">
      <c r="A187" s="1"/>
      <c r="B187" s="1" t="s">
        <v>105</v>
      </c>
      <c r="C187">
        <v>5719.6537254056593</v>
      </c>
      <c r="D187">
        <v>6.5757575757575759E-3</v>
      </c>
    </row>
    <row r="188" spans="1:4" x14ac:dyDescent="0.3">
      <c r="A188" s="1"/>
      <c r="B188" s="1" t="s">
        <v>105</v>
      </c>
      <c r="C188">
        <v>5627.5425544413738</v>
      </c>
      <c r="D188">
        <v>6.6060606060606066E-3</v>
      </c>
    </row>
    <row r="189" spans="1:4" x14ac:dyDescent="0.3">
      <c r="A189" s="1"/>
      <c r="B189" s="1" t="s">
        <v>105</v>
      </c>
      <c r="C189">
        <v>5522.049415781571</v>
      </c>
      <c r="D189">
        <v>6.6363636363636364E-3</v>
      </c>
    </row>
    <row r="190" spans="1:4" x14ac:dyDescent="0.3">
      <c r="A190" s="1"/>
      <c r="B190" s="1" t="s">
        <v>105</v>
      </c>
      <c r="C190">
        <v>5431.2488745676092</v>
      </c>
      <c r="D190">
        <v>6.6666666666666662E-3</v>
      </c>
    </row>
    <row r="191" spans="1:4" x14ac:dyDescent="0.3">
      <c r="A191" s="1"/>
      <c r="B191" s="1" t="s">
        <v>105</v>
      </c>
      <c r="C191">
        <v>5354.1423744955491</v>
      </c>
      <c r="D191">
        <v>6.6969696969696969E-3</v>
      </c>
    </row>
    <row r="192" spans="1:4" x14ac:dyDescent="0.3">
      <c r="A192" s="1"/>
      <c r="B192" s="1" t="s">
        <v>105</v>
      </c>
      <c r="C192">
        <v>5248.522647796216</v>
      </c>
      <c r="D192">
        <v>6.7272727272727276E-3</v>
      </c>
    </row>
    <row r="193" spans="1:4" x14ac:dyDescent="0.3">
      <c r="A193" s="1"/>
      <c r="B193" s="1" t="s">
        <v>105</v>
      </c>
      <c r="C193">
        <v>5155.4634929387394</v>
      </c>
      <c r="D193">
        <v>6.7575757575757574E-3</v>
      </c>
    </row>
    <row r="194" spans="1:4" x14ac:dyDescent="0.3">
      <c r="A194" s="1"/>
      <c r="B194" s="1" t="s">
        <v>105</v>
      </c>
      <c r="C194">
        <v>5062.5424387714866</v>
      </c>
      <c r="D194">
        <v>6.787878787878788E-3</v>
      </c>
    </row>
    <row r="195" spans="1:4" x14ac:dyDescent="0.3">
      <c r="A195" s="1"/>
      <c r="B195" s="1" t="s">
        <v>105</v>
      </c>
      <c r="C195">
        <v>4969.762050544924</v>
      </c>
      <c r="D195">
        <v>6.8181818181818187E-3</v>
      </c>
    </row>
    <row r="196" spans="1:4" x14ac:dyDescent="0.3">
      <c r="A196" s="1"/>
      <c r="B196" s="1" t="s">
        <v>105</v>
      </c>
      <c r="C196">
        <v>4878.2952822784973</v>
      </c>
      <c r="D196">
        <v>6.8484848484848494E-3</v>
      </c>
    </row>
    <row r="197" spans="1:4" x14ac:dyDescent="0.3">
      <c r="A197" s="1"/>
      <c r="B197" s="1" t="s">
        <v>105</v>
      </c>
      <c r="C197">
        <v>4811.7651862052389</v>
      </c>
      <c r="D197">
        <v>6.8787878787878783E-3</v>
      </c>
    </row>
    <row r="198" spans="1:4" x14ac:dyDescent="0.3">
      <c r="A198" s="1"/>
      <c r="B198" s="1" t="s">
        <v>105</v>
      </c>
      <c r="C198">
        <v>4777.2288092653371</v>
      </c>
      <c r="D198">
        <v>6.909090909090909E-3</v>
      </c>
    </row>
    <row r="199" spans="1:4" x14ac:dyDescent="0.3">
      <c r="A199" s="1"/>
      <c r="B199" s="1" t="s">
        <v>105</v>
      </c>
      <c r="C199">
        <v>4671.3131712149934</v>
      </c>
      <c r="D199">
        <v>6.9393939393939397E-3</v>
      </c>
    </row>
    <row r="200" spans="1:4" x14ac:dyDescent="0.3">
      <c r="A200" s="1"/>
      <c r="B200" s="1" t="s">
        <v>105</v>
      </c>
      <c r="C200">
        <v>4577.9579970337691</v>
      </c>
      <c r="D200">
        <v>6.9696969696969686E-3</v>
      </c>
    </row>
    <row r="201" spans="1:4" x14ac:dyDescent="0.3">
      <c r="A201" s="1"/>
      <c r="B201" s="1" t="s">
        <v>105</v>
      </c>
      <c r="C201">
        <v>4498.6615195094801</v>
      </c>
      <c r="D201">
        <v>7.0000000000000001E-3</v>
      </c>
    </row>
    <row r="202" spans="1:4" x14ac:dyDescent="0.3">
      <c r="A202" s="1"/>
      <c r="B202" s="1" t="str">
        <f>IFERROR(IF(LEFT(Sensitivität_bzw_Monte_Carlo_bei_Strom[[#This Row],[Source.Name]],SEARCH("aus_der",Sensitivität_bzw_Monte_Carlo_bei_Strom[[#This Row],[Source.Name]],1))="Auszahlung_a","Auszahlung",""),"")</f>
        <v/>
      </c>
      <c r="D202" s="1"/>
    </row>
    <row r="203" spans="1:4" x14ac:dyDescent="0.3">
      <c r="A203" s="1"/>
      <c r="B203" s="1" t="str">
        <f>IFERROR(IF(LEFT(Sensitivität_bzw_Monte_Carlo_bei_Strom[[#This Row],[Source.Name]],SEARCH("aus_der",Sensitivität_bzw_Monte_Carlo_bei_Strom[[#This Row],[Source.Name]],1))="Auszahlung_a","Auszahlung",""),"")</f>
        <v/>
      </c>
      <c r="D203" s="1"/>
    </row>
    <row r="204" spans="1:4" x14ac:dyDescent="0.3">
      <c r="A204" s="1"/>
      <c r="B204" s="1" t="str">
        <f>IFERROR(IF(LEFT(Sensitivität_bzw_Monte_Carlo_bei_Strom[[#This Row],[Source.Name]],SEARCH("aus_der",Sensitivität_bzw_Monte_Carlo_bei_Strom[[#This Row],[Source.Name]],1))="Auszahlung_a","Auszahlung",""),"")</f>
        <v/>
      </c>
      <c r="D204" s="1"/>
    </row>
    <row r="205" spans="1:4" x14ac:dyDescent="0.3">
      <c r="A205" s="1"/>
      <c r="B205" s="1" t="str">
        <f>IFERROR(IF(LEFT(Sensitivität_bzw_Monte_Carlo_bei_Strom[[#This Row],[Source.Name]],SEARCH("aus_der",Sensitivität_bzw_Monte_Carlo_bei_Strom[[#This Row],[Source.Name]],1))="Auszahlung_a","Auszahlung",""),"")</f>
        <v/>
      </c>
      <c r="D205" s="1"/>
    </row>
    <row r="206" spans="1:4" x14ac:dyDescent="0.3">
      <c r="A206" s="1"/>
      <c r="B206" s="1" t="str">
        <f>IFERROR(IF(LEFT(Sensitivität_bzw_Monte_Carlo_bei_Strom[[#This Row],[Source.Name]],SEARCH("aus_der",Sensitivität_bzw_Monte_Carlo_bei_Strom[[#This Row],[Source.Name]],1))="Auszahlung_a","Auszahlung",""),"")</f>
        <v/>
      </c>
      <c r="D206" s="1"/>
    </row>
    <row r="207" spans="1:4" x14ac:dyDescent="0.3">
      <c r="A207" s="1"/>
      <c r="B207" s="1" t="str">
        <f>IFERROR(IF(LEFT(Sensitivität_bzw_Monte_Carlo_bei_Strom[[#This Row],[Source.Name]],SEARCH("aus_der",Sensitivität_bzw_Monte_Carlo_bei_Strom[[#This Row],[Source.Name]],1))="Auszahlung_a","Auszahlung",""),"")</f>
        <v/>
      </c>
      <c r="D207" s="1"/>
    </row>
    <row r="208" spans="1:4" x14ac:dyDescent="0.3">
      <c r="A208" s="1"/>
      <c r="B208" s="1" t="str">
        <f>IFERROR(IF(LEFT(Sensitivität_bzw_Monte_Carlo_bei_Strom[[#This Row],[Source.Name]],SEARCH("aus_der",Sensitivität_bzw_Monte_Carlo_bei_Strom[[#This Row],[Source.Name]],1))="Auszahlung_a","Auszahlung",""),"")</f>
        <v/>
      </c>
      <c r="D208" s="1"/>
    </row>
    <row r="209" spans="1:4" x14ac:dyDescent="0.3">
      <c r="A209" s="1"/>
      <c r="B209" s="1" t="str">
        <f>IFERROR(IF(LEFT(Sensitivität_bzw_Monte_Carlo_bei_Strom[[#This Row],[Source.Name]],SEARCH("aus_der",Sensitivität_bzw_Monte_Carlo_bei_Strom[[#This Row],[Source.Name]],1))="Auszahlung_a","Auszahlung",""),"")</f>
        <v/>
      </c>
      <c r="D209" s="1"/>
    </row>
    <row r="210" spans="1:4" x14ac:dyDescent="0.3">
      <c r="A210" s="1"/>
      <c r="B210" s="1" t="str">
        <f>IFERROR(IF(LEFT(Sensitivität_bzw_Monte_Carlo_bei_Strom[[#This Row],[Source.Name]],SEARCH("aus_der",Sensitivität_bzw_Monte_Carlo_bei_Strom[[#This Row],[Source.Name]],1))="Auszahlung_a","Auszahlung",""),"")</f>
        <v/>
      </c>
      <c r="D210" s="1"/>
    </row>
    <row r="211" spans="1:4" x14ac:dyDescent="0.3">
      <c r="A211" s="1"/>
      <c r="B211" s="1" t="str">
        <f>IFERROR(IF(LEFT(Sensitivität_bzw_Monte_Carlo_bei_Strom[[#This Row],[Source.Name]],SEARCH("aus_der",Sensitivität_bzw_Monte_Carlo_bei_Strom[[#This Row],[Source.Name]],1))="Auszahlung_a","Auszahlung",""),"")</f>
        <v/>
      </c>
      <c r="D211" s="1"/>
    </row>
    <row r="212" spans="1:4" x14ac:dyDescent="0.3">
      <c r="A212" s="1"/>
      <c r="B212" s="1" t="str">
        <f>IFERROR(IF(LEFT(Sensitivität_bzw_Monte_Carlo_bei_Strom[[#This Row],[Source.Name]],SEARCH("aus_der",Sensitivität_bzw_Monte_Carlo_bei_Strom[[#This Row],[Source.Name]],1))="Auszahlung_a","Auszahlung",""),"")</f>
        <v/>
      </c>
      <c r="D212" s="1"/>
    </row>
    <row r="213" spans="1:4" x14ac:dyDescent="0.3">
      <c r="A213" s="1"/>
      <c r="B213" s="1" t="str">
        <f>IFERROR(IF(LEFT(Sensitivität_bzw_Monte_Carlo_bei_Strom[[#This Row],[Source.Name]],SEARCH("aus_der",Sensitivität_bzw_Monte_Carlo_bei_Strom[[#This Row],[Source.Name]],1))="Auszahlung_a","Auszahlung",""),"")</f>
        <v/>
      </c>
      <c r="D213" s="1"/>
    </row>
    <row r="214" spans="1:4" x14ac:dyDescent="0.3">
      <c r="A214" s="1"/>
      <c r="B214" s="1" t="str">
        <f>IFERROR(IF(LEFT(Sensitivität_bzw_Monte_Carlo_bei_Strom[[#This Row],[Source.Name]],SEARCH("aus_der",Sensitivität_bzw_Monte_Carlo_bei_Strom[[#This Row],[Source.Name]],1))="Auszahlung_a","Auszahlung",""),"")</f>
        <v/>
      </c>
      <c r="D214" s="1"/>
    </row>
    <row r="215" spans="1:4" x14ac:dyDescent="0.3">
      <c r="A215" s="1"/>
      <c r="B215" s="1" t="str">
        <f>IFERROR(IF(LEFT(Sensitivität_bzw_Monte_Carlo_bei_Strom[[#This Row],[Source.Name]],SEARCH("aus_der",Sensitivität_bzw_Monte_Carlo_bei_Strom[[#This Row],[Source.Name]],1))="Auszahlung_a","Auszahlung",""),"")</f>
        <v/>
      </c>
      <c r="D215" s="1"/>
    </row>
    <row r="216" spans="1:4" x14ac:dyDescent="0.3">
      <c r="A216" s="1"/>
      <c r="B216" s="1" t="str">
        <f>IFERROR(IF(LEFT(Sensitivität_bzw_Monte_Carlo_bei_Strom[[#This Row],[Source.Name]],SEARCH("aus_der",Sensitivität_bzw_Monte_Carlo_bei_Strom[[#This Row],[Source.Name]],1))="Auszahlung_a","Auszahlung",""),"")</f>
        <v/>
      </c>
      <c r="D216" s="1"/>
    </row>
    <row r="217" spans="1:4" x14ac:dyDescent="0.3">
      <c r="A217" s="1"/>
      <c r="B217" s="1" t="str">
        <f>IFERROR(IF(LEFT(Sensitivität_bzw_Monte_Carlo_bei_Strom[[#This Row],[Source.Name]],SEARCH("aus_der",Sensitivität_bzw_Monte_Carlo_bei_Strom[[#This Row],[Source.Name]],1))="Auszahlung_a","Auszahlung",""),"")</f>
        <v/>
      </c>
      <c r="D217" s="1"/>
    </row>
    <row r="218" spans="1:4" x14ac:dyDescent="0.3">
      <c r="A218" s="1"/>
      <c r="B218" s="1" t="str">
        <f>IFERROR(IF(LEFT(Sensitivität_bzw_Monte_Carlo_bei_Strom[[#This Row],[Source.Name]],SEARCH("aus_der",Sensitivität_bzw_Monte_Carlo_bei_Strom[[#This Row],[Source.Name]],1))="Auszahlung_a","Auszahlung",""),"")</f>
        <v/>
      </c>
      <c r="D218" s="1"/>
    </row>
    <row r="219" spans="1:4" x14ac:dyDescent="0.3">
      <c r="A219" s="1"/>
      <c r="B219" s="1" t="str">
        <f>IFERROR(IF(LEFT(Sensitivität_bzw_Monte_Carlo_bei_Strom[[#This Row],[Source.Name]],SEARCH("aus_der",Sensitivität_bzw_Monte_Carlo_bei_Strom[[#This Row],[Source.Name]],1))="Auszahlung_a","Auszahlung",""),"")</f>
        <v/>
      </c>
      <c r="D219" s="1"/>
    </row>
    <row r="220" spans="1:4" x14ac:dyDescent="0.3">
      <c r="A220" s="1"/>
      <c r="B220" s="1" t="str">
        <f>IFERROR(IF(LEFT(Sensitivität_bzw_Monte_Carlo_bei_Strom[[#This Row],[Source.Name]],SEARCH("aus_der",Sensitivität_bzw_Monte_Carlo_bei_Strom[[#This Row],[Source.Name]],1))="Auszahlung_a","Auszahlung",""),"")</f>
        <v/>
      </c>
      <c r="D220" s="1"/>
    </row>
    <row r="221" spans="1:4" x14ac:dyDescent="0.3">
      <c r="A221" s="1"/>
      <c r="B221" s="1" t="str">
        <f>IFERROR(IF(LEFT(Sensitivität_bzw_Monte_Carlo_bei_Strom[[#This Row],[Source.Name]],SEARCH("aus_der",Sensitivität_bzw_Monte_Carlo_bei_Strom[[#This Row],[Source.Name]],1))="Auszahlung_a","Auszahlung",""),"")</f>
        <v/>
      </c>
      <c r="D221" s="1"/>
    </row>
    <row r="222" spans="1:4" x14ac:dyDescent="0.3">
      <c r="A222" s="1"/>
      <c r="B222" s="1" t="str">
        <f>IFERROR(IF(LEFT(Sensitivität_bzw_Monte_Carlo_bei_Strom[[#This Row],[Source.Name]],SEARCH("aus_der",Sensitivität_bzw_Monte_Carlo_bei_Strom[[#This Row],[Source.Name]],1))="Auszahlung_a","Auszahlung",""),"")</f>
        <v/>
      </c>
      <c r="D222" s="1"/>
    </row>
    <row r="223" spans="1:4" x14ac:dyDescent="0.3">
      <c r="A223" s="1"/>
      <c r="B223" s="1" t="str">
        <f>IFERROR(IF(LEFT(Sensitivität_bzw_Monte_Carlo_bei_Strom[[#This Row],[Source.Name]],SEARCH("aus_der",Sensitivität_bzw_Monte_Carlo_bei_Strom[[#This Row],[Source.Name]],1))="Auszahlung_a","Auszahlung",""),"")</f>
        <v/>
      </c>
      <c r="D223" s="1"/>
    </row>
    <row r="224" spans="1:4" x14ac:dyDescent="0.3">
      <c r="A224" s="1"/>
      <c r="B224" s="1" t="str">
        <f>IFERROR(IF(LEFT(Sensitivität_bzw_Monte_Carlo_bei_Strom[[#This Row],[Source.Name]],SEARCH("aus_der",Sensitivität_bzw_Monte_Carlo_bei_Strom[[#This Row],[Source.Name]],1))="Auszahlung_a","Auszahlung",""),"")</f>
        <v/>
      </c>
      <c r="D224" s="1"/>
    </row>
    <row r="225" spans="1:4" x14ac:dyDescent="0.3">
      <c r="A225" s="1"/>
      <c r="B225" s="1" t="str">
        <f>IFERROR(IF(LEFT(Sensitivität_bzw_Monte_Carlo_bei_Strom[[#This Row],[Source.Name]],SEARCH("aus_der",Sensitivität_bzw_Monte_Carlo_bei_Strom[[#This Row],[Source.Name]],1))="Auszahlung_a","Auszahlung",""),"")</f>
        <v/>
      </c>
      <c r="D225" s="1"/>
    </row>
    <row r="226" spans="1:4" x14ac:dyDescent="0.3">
      <c r="A226" s="1"/>
      <c r="B226" s="1" t="str">
        <f>IFERROR(IF(LEFT(Sensitivität_bzw_Monte_Carlo_bei_Strom[[#This Row],[Source.Name]],SEARCH("aus_der",Sensitivität_bzw_Monte_Carlo_bei_Strom[[#This Row],[Source.Name]],1))="Auszahlung_a","Auszahlung",""),"")</f>
        <v/>
      </c>
      <c r="D226" s="1"/>
    </row>
    <row r="227" spans="1:4" x14ac:dyDescent="0.3">
      <c r="A227" s="1"/>
      <c r="B227" s="1" t="str">
        <f>IFERROR(IF(LEFT(Sensitivität_bzw_Monte_Carlo_bei_Strom[[#This Row],[Source.Name]],SEARCH("aus_der",Sensitivität_bzw_Monte_Carlo_bei_Strom[[#This Row],[Source.Name]],1))="Auszahlung_a","Auszahlung",""),"")</f>
        <v/>
      </c>
      <c r="D227" s="1"/>
    </row>
    <row r="228" spans="1:4" x14ac:dyDescent="0.3">
      <c r="A228" s="1"/>
      <c r="B228" s="1" t="str">
        <f>IFERROR(IF(LEFT(Sensitivität_bzw_Monte_Carlo_bei_Strom[[#This Row],[Source.Name]],SEARCH("aus_der",Sensitivität_bzw_Monte_Carlo_bei_Strom[[#This Row],[Source.Name]],1))="Auszahlung_a","Auszahlung",""),"")</f>
        <v/>
      </c>
      <c r="D228" s="1"/>
    </row>
    <row r="229" spans="1:4" x14ac:dyDescent="0.3">
      <c r="A229" s="1"/>
      <c r="B229" s="1" t="str">
        <f>IFERROR(IF(LEFT(Sensitivität_bzw_Monte_Carlo_bei_Strom[[#This Row],[Source.Name]],SEARCH("aus_der",Sensitivität_bzw_Monte_Carlo_bei_Strom[[#This Row],[Source.Name]],1))="Auszahlung_a","Auszahlung",""),"")</f>
        <v/>
      </c>
      <c r="D229" s="1"/>
    </row>
    <row r="230" spans="1:4" x14ac:dyDescent="0.3">
      <c r="A230" s="1"/>
      <c r="B230" s="1" t="str">
        <f>IFERROR(IF(LEFT(Sensitivität_bzw_Monte_Carlo_bei_Strom[[#This Row],[Source.Name]],SEARCH("aus_der",Sensitivität_bzw_Monte_Carlo_bei_Strom[[#This Row],[Source.Name]],1))="Auszahlung_a","Auszahlung",""),"")</f>
        <v/>
      </c>
      <c r="D230" s="1"/>
    </row>
    <row r="231" spans="1:4" x14ac:dyDescent="0.3">
      <c r="A231" s="1"/>
      <c r="B231" s="1" t="str">
        <f>IFERROR(IF(LEFT(Sensitivität_bzw_Monte_Carlo_bei_Strom[[#This Row],[Source.Name]],SEARCH("aus_der",Sensitivität_bzw_Monte_Carlo_bei_Strom[[#This Row],[Source.Name]],1))="Auszahlung_a","Auszahlung",""),"")</f>
        <v/>
      </c>
      <c r="D231" s="1"/>
    </row>
    <row r="232" spans="1:4" x14ac:dyDescent="0.3">
      <c r="A232" s="1"/>
      <c r="B232" s="1" t="str">
        <f>IFERROR(IF(LEFT(Sensitivität_bzw_Monte_Carlo_bei_Strom[[#This Row],[Source.Name]],SEARCH("aus_der",Sensitivität_bzw_Monte_Carlo_bei_Strom[[#This Row],[Source.Name]],1))="Auszahlung_a","Auszahlung",""),"")</f>
        <v/>
      </c>
      <c r="D232" s="1"/>
    </row>
    <row r="233" spans="1:4" x14ac:dyDescent="0.3">
      <c r="A233" s="1"/>
      <c r="B233" s="1" t="str">
        <f>IFERROR(IF(LEFT(Sensitivität_bzw_Monte_Carlo_bei_Strom[[#This Row],[Source.Name]],SEARCH("aus_der",Sensitivität_bzw_Monte_Carlo_bei_Strom[[#This Row],[Source.Name]],1))="Auszahlung_a","Auszahlung",""),"")</f>
        <v/>
      </c>
      <c r="D233" s="1"/>
    </row>
    <row r="234" spans="1:4" x14ac:dyDescent="0.3">
      <c r="A234" s="1"/>
      <c r="B234" s="1" t="str">
        <f>IFERROR(IF(LEFT(Sensitivität_bzw_Monte_Carlo_bei_Strom[[#This Row],[Source.Name]],SEARCH("aus_der",Sensitivität_bzw_Monte_Carlo_bei_Strom[[#This Row],[Source.Name]],1))="Auszahlung_a","Auszahlung",""),"")</f>
        <v/>
      </c>
      <c r="D234" s="1"/>
    </row>
    <row r="235" spans="1:4" x14ac:dyDescent="0.3">
      <c r="A235" s="1"/>
      <c r="B235" s="1" t="str">
        <f>IFERROR(IF(LEFT(Sensitivität_bzw_Monte_Carlo_bei_Strom[[#This Row],[Source.Name]],SEARCH("aus_der",Sensitivität_bzw_Monte_Carlo_bei_Strom[[#This Row],[Source.Name]],1))="Auszahlung_a","Auszahlung",""),"")</f>
        <v/>
      </c>
      <c r="D235" s="1"/>
    </row>
    <row r="236" spans="1:4" x14ac:dyDescent="0.3">
      <c r="A236" s="1"/>
      <c r="B236" s="1" t="str">
        <f>IFERROR(IF(LEFT(Sensitivität_bzw_Monte_Carlo_bei_Strom[[#This Row],[Source.Name]],SEARCH("aus_der",Sensitivität_bzw_Monte_Carlo_bei_Strom[[#This Row],[Source.Name]],1))="Auszahlung_a","Auszahlung",""),"")</f>
        <v/>
      </c>
      <c r="D236" s="1"/>
    </row>
    <row r="237" spans="1:4" x14ac:dyDescent="0.3">
      <c r="A237" s="1"/>
      <c r="B237" s="1" t="str">
        <f>IFERROR(IF(LEFT(Sensitivität_bzw_Monte_Carlo_bei_Strom[[#This Row],[Source.Name]],SEARCH("aus_der",Sensitivität_bzw_Monte_Carlo_bei_Strom[[#This Row],[Source.Name]],1))="Auszahlung_a","Auszahlung",""),"")</f>
        <v/>
      </c>
      <c r="D237" s="1"/>
    </row>
    <row r="238" spans="1:4" x14ac:dyDescent="0.3">
      <c r="A238" s="1"/>
      <c r="B238" s="1" t="str">
        <f>IFERROR(IF(LEFT(Sensitivität_bzw_Monte_Carlo_bei_Strom[[#This Row],[Source.Name]],SEARCH("aus_der",Sensitivität_bzw_Monte_Carlo_bei_Strom[[#This Row],[Source.Name]],1))="Auszahlung_a","Auszahlung",""),"")</f>
        <v/>
      </c>
      <c r="D238" s="1"/>
    </row>
    <row r="239" spans="1:4" x14ac:dyDescent="0.3">
      <c r="A239" s="1"/>
      <c r="B239" s="1" t="str">
        <f>IFERROR(IF(LEFT(Sensitivität_bzw_Monte_Carlo_bei_Strom[[#This Row],[Source.Name]],SEARCH("aus_der",Sensitivität_bzw_Monte_Carlo_bei_Strom[[#This Row],[Source.Name]],1))="Auszahlung_a","Auszahlung",""),"")</f>
        <v/>
      </c>
      <c r="D239" s="1"/>
    </row>
    <row r="240" spans="1:4" x14ac:dyDescent="0.3">
      <c r="A240" s="1"/>
      <c r="B240" s="1" t="str">
        <f>IFERROR(IF(LEFT(Sensitivität_bzw_Monte_Carlo_bei_Strom[[#This Row],[Source.Name]],SEARCH("aus_der",Sensitivität_bzw_Monte_Carlo_bei_Strom[[#This Row],[Source.Name]],1))="Auszahlung_a","Auszahlung",""),"")</f>
        <v/>
      </c>
      <c r="D240" s="1"/>
    </row>
    <row r="241" spans="1:4" x14ac:dyDescent="0.3">
      <c r="A241" s="1"/>
      <c r="B241" s="1" t="str">
        <f>IFERROR(IF(LEFT(Sensitivität_bzw_Monte_Carlo_bei_Strom[[#This Row],[Source.Name]],SEARCH("aus_der",Sensitivität_bzw_Monte_Carlo_bei_Strom[[#This Row],[Source.Name]],1))="Auszahlung_a","Auszahlung",""),"")</f>
        <v/>
      </c>
      <c r="D241" s="1"/>
    </row>
    <row r="242" spans="1:4" x14ac:dyDescent="0.3">
      <c r="A242" s="1"/>
      <c r="B242" s="1" t="str">
        <f>IFERROR(IF(LEFT(Sensitivität_bzw_Monte_Carlo_bei_Strom[[#This Row],[Source.Name]],SEARCH("aus_der",Sensitivität_bzw_Monte_Carlo_bei_Strom[[#This Row],[Source.Name]],1))="Auszahlung_a","Auszahlung",""),"")</f>
        <v/>
      </c>
      <c r="D242" s="1"/>
    </row>
    <row r="243" spans="1:4" x14ac:dyDescent="0.3">
      <c r="A243" s="1"/>
      <c r="B243" s="1" t="str">
        <f>IFERROR(IF(LEFT(Sensitivität_bzw_Monte_Carlo_bei_Strom[[#This Row],[Source.Name]],SEARCH("aus_der",Sensitivität_bzw_Monte_Carlo_bei_Strom[[#This Row],[Source.Name]],1))="Auszahlung_a","Auszahlung",""),"")</f>
        <v/>
      </c>
      <c r="D243" s="1"/>
    </row>
    <row r="244" spans="1:4" x14ac:dyDescent="0.3">
      <c r="A244" s="1"/>
      <c r="B244" s="1" t="str">
        <f>IFERROR(IF(LEFT(Sensitivität_bzw_Monte_Carlo_bei_Strom[[#This Row],[Source.Name]],SEARCH("aus_der",Sensitivität_bzw_Monte_Carlo_bei_Strom[[#This Row],[Source.Name]],1))="Auszahlung_a","Auszahlung",""),"")</f>
        <v/>
      </c>
      <c r="D244" s="1"/>
    </row>
    <row r="245" spans="1:4" x14ac:dyDescent="0.3">
      <c r="A245" s="1"/>
      <c r="B245" s="1" t="str">
        <f>IFERROR(IF(LEFT(Sensitivität_bzw_Monte_Carlo_bei_Strom[[#This Row],[Source.Name]],SEARCH("aus_der",Sensitivität_bzw_Monte_Carlo_bei_Strom[[#This Row],[Source.Name]],1))="Auszahlung_a","Auszahlung",""),"")</f>
        <v/>
      </c>
      <c r="D245" s="1"/>
    </row>
    <row r="246" spans="1:4" x14ac:dyDescent="0.3">
      <c r="A246" s="1"/>
      <c r="B246" s="1" t="str">
        <f>IFERROR(IF(LEFT(Sensitivität_bzw_Monte_Carlo_bei_Strom[[#This Row],[Source.Name]],SEARCH("aus_der",Sensitivität_bzw_Monte_Carlo_bei_Strom[[#This Row],[Source.Name]],1))="Auszahlung_a","Auszahlung",""),"")</f>
        <v/>
      </c>
      <c r="D246" s="1"/>
    </row>
    <row r="247" spans="1:4" x14ac:dyDescent="0.3">
      <c r="A247" s="1"/>
      <c r="B247" s="1" t="str">
        <f>IFERROR(IF(LEFT(Sensitivität_bzw_Monte_Carlo_bei_Strom[[#This Row],[Source.Name]],SEARCH("aus_der",Sensitivität_bzw_Monte_Carlo_bei_Strom[[#This Row],[Source.Name]],1))="Auszahlung_a","Auszahlung",""),"")</f>
        <v/>
      </c>
      <c r="D247" s="1"/>
    </row>
    <row r="248" spans="1:4" x14ac:dyDescent="0.3">
      <c r="A248" s="1"/>
      <c r="B248" s="1" t="str">
        <f>IFERROR(IF(LEFT(Sensitivität_bzw_Monte_Carlo_bei_Strom[[#This Row],[Source.Name]],SEARCH("aus_der",Sensitivität_bzw_Monte_Carlo_bei_Strom[[#This Row],[Source.Name]],1))="Auszahlung_a","Auszahlung",""),"")</f>
        <v/>
      </c>
      <c r="D248" s="1"/>
    </row>
    <row r="249" spans="1:4" x14ac:dyDescent="0.3">
      <c r="A249" s="1"/>
      <c r="B249" s="1" t="str">
        <f>IFERROR(IF(LEFT(Sensitivität_bzw_Monte_Carlo_bei_Strom[[#This Row],[Source.Name]],SEARCH("aus_der",Sensitivität_bzw_Monte_Carlo_bei_Strom[[#This Row],[Source.Name]],1))="Auszahlung_a","Auszahlung",""),"")</f>
        <v/>
      </c>
      <c r="D249" s="1"/>
    </row>
    <row r="250" spans="1:4" x14ac:dyDescent="0.3">
      <c r="A250" s="1"/>
      <c r="B250" s="1" t="str">
        <f>IFERROR(IF(LEFT(Sensitivität_bzw_Monte_Carlo_bei_Strom[[#This Row],[Source.Name]],SEARCH("aus_der",Sensitivität_bzw_Monte_Carlo_bei_Strom[[#This Row],[Source.Name]],1))="Auszahlung_a","Auszahlung",""),"")</f>
        <v/>
      </c>
      <c r="D250" s="1"/>
    </row>
    <row r="251" spans="1:4" x14ac:dyDescent="0.3">
      <c r="A251" s="1"/>
      <c r="B251" s="1" t="str">
        <f>IFERROR(IF(LEFT(Sensitivität_bzw_Monte_Carlo_bei_Strom[[#This Row],[Source.Name]],SEARCH("aus_der",Sensitivität_bzw_Monte_Carlo_bei_Strom[[#This Row],[Source.Name]],1))="Auszahlung_a","Auszahlung",""),"")</f>
        <v/>
      </c>
      <c r="D251" s="1"/>
    </row>
    <row r="252" spans="1:4" x14ac:dyDescent="0.3">
      <c r="A252" s="1"/>
      <c r="B252" s="1" t="str">
        <f>IFERROR(IF(LEFT(Sensitivität_bzw_Monte_Carlo_bei_Strom[[#This Row],[Source.Name]],SEARCH("aus_der",Sensitivität_bzw_Monte_Carlo_bei_Strom[[#This Row],[Source.Name]],1))="Auszahlung_a","Auszahlung",""),"")</f>
        <v/>
      </c>
      <c r="D252" s="1"/>
    </row>
    <row r="253" spans="1:4" x14ac:dyDescent="0.3">
      <c r="A253" s="1"/>
      <c r="B253" s="1" t="str">
        <f>IFERROR(IF(LEFT(Sensitivität_bzw_Monte_Carlo_bei_Strom[[#This Row],[Source.Name]],SEARCH("aus_der",Sensitivität_bzw_Monte_Carlo_bei_Strom[[#This Row],[Source.Name]],1))="Auszahlung_a","Auszahlung",""),"")</f>
        <v/>
      </c>
      <c r="D253" s="1"/>
    </row>
    <row r="254" spans="1:4" x14ac:dyDescent="0.3">
      <c r="A254" s="1"/>
      <c r="B254" s="1" t="str">
        <f>IFERROR(IF(LEFT(Sensitivität_bzw_Monte_Carlo_bei_Strom[[#This Row],[Source.Name]],SEARCH("aus_der",Sensitivität_bzw_Monte_Carlo_bei_Strom[[#This Row],[Source.Name]],1))="Auszahlung_a","Auszahlung",""),"")</f>
        <v/>
      </c>
      <c r="D254" s="1"/>
    </row>
    <row r="255" spans="1:4" x14ac:dyDescent="0.3">
      <c r="A255" s="1"/>
      <c r="B255" s="1" t="str">
        <f>IFERROR(IF(LEFT(Sensitivität_bzw_Monte_Carlo_bei_Strom[[#This Row],[Source.Name]],SEARCH("aus_der",Sensitivität_bzw_Monte_Carlo_bei_Strom[[#This Row],[Source.Name]],1))="Auszahlung_a","Auszahlung",""),"")</f>
        <v/>
      </c>
      <c r="D255" s="1"/>
    </row>
    <row r="256" spans="1:4" x14ac:dyDescent="0.3">
      <c r="A256" s="1"/>
      <c r="B256" s="1" t="str">
        <f>IFERROR(IF(LEFT(Sensitivität_bzw_Monte_Carlo_bei_Strom[[#This Row],[Source.Name]],SEARCH("aus_der",Sensitivität_bzw_Monte_Carlo_bei_Strom[[#This Row],[Source.Name]],1))="Auszahlung_a","Auszahlung",""),"")</f>
        <v/>
      </c>
      <c r="D256" s="1"/>
    </row>
    <row r="257" spans="1:4" x14ac:dyDescent="0.3">
      <c r="A257" s="1"/>
      <c r="B257" s="1" t="str">
        <f>IFERROR(IF(LEFT(Sensitivität_bzw_Monte_Carlo_bei_Strom[[#This Row],[Source.Name]],SEARCH("aus_der",Sensitivität_bzw_Monte_Carlo_bei_Strom[[#This Row],[Source.Name]],1))="Auszahlung_a","Auszahlung",""),"")</f>
        <v/>
      </c>
      <c r="D257" s="1"/>
    </row>
    <row r="258" spans="1:4" x14ac:dyDescent="0.3">
      <c r="A258" s="1"/>
      <c r="B258" s="1" t="str">
        <f>IFERROR(IF(LEFT(Sensitivität_bzw_Monte_Carlo_bei_Strom[[#This Row],[Source.Name]],SEARCH("aus_der",Sensitivität_bzw_Monte_Carlo_bei_Strom[[#This Row],[Source.Name]],1))="Auszahlung_a","Auszahlung",""),"")</f>
        <v/>
      </c>
      <c r="D258" s="1"/>
    </row>
    <row r="259" spans="1:4" x14ac:dyDescent="0.3">
      <c r="A259" s="1"/>
      <c r="B259" s="1" t="str">
        <f>IFERROR(IF(LEFT(Sensitivität_bzw_Monte_Carlo_bei_Strom[[#This Row],[Source.Name]],SEARCH("aus_der",Sensitivität_bzw_Monte_Carlo_bei_Strom[[#This Row],[Source.Name]],1))="Auszahlung_a","Auszahlung",""),"")</f>
        <v/>
      </c>
      <c r="D259" s="1"/>
    </row>
    <row r="260" spans="1:4" x14ac:dyDescent="0.3">
      <c r="A260" s="1"/>
      <c r="B260" s="1" t="str">
        <f>IFERROR(IF(LEFT(Sensitivität_bzw_Monte_Carlo_bei_Strom[[#This Row],[Source.Name]],SEARCH("aus_der",Sensitivität_bzw_Monte_Carlo_bei_Strom[[#This Row],[Source.Name]],1))="Auszahlung_a","Auszahlung",""),"")</f>
        <v/>
      </c>
      <c r="D260" s="1"/>
    </row>
    <row r="261" spans="1:4" x14ac:dyDescent="0.3">
      <c r="A261" s="1"/>
      <c r="B261" s="1" t="str">
        <f>IFERROR(IF(LEFT(Sensitivität_bzw_Monte_Carlo_bei_Strom[[#This Row],[Source.Name]],SEARCH("aus_der",Sensitivität_bzw_Monte_Carlo_bei_Strom[[#This Row],[Source.Name]],1))="Auszahlung_a","Auszahlung",""),"")</f>
        <v/>
      </c>
      <c r="D261" s="1"/>
    </row>
    <row r="262" spans="1:4" x14ac:dyDescent="0.3">
      <c r="A262" s="1"/>
      <c r="B262" s="1" t="str">
        <f>IFERROR(IF(LEFT(Sensitivität_bzw_Monte_Carlo_bei_Strom[[#This Row],[Source.Name]],SEARCH("aus_der",Sensitivität_bzw_Monte_Carlo_bei_Strom[[#This Row],[Source.Name]],1))="Auszahlung_a","Auszahlung",""),"")</f>
        <v/>
      </c>
      <c r="D262" s="1"/>
    </row>
    <row r="263" spans="1:4" x14ac:dyDescent="0.3">
      <c r="A263" s="1"/>
      <c r="B263" s="1" t="str">
        <f>IFERROR(IF(LEFT(Sensitivität_bzw_Monte_Carlo_bei_Strom[[#This Row],[Source.Name]],SEARCH("aus_der",Sensitivität_bzw_Monte_Carlo_bei_Strom[[#This Row],[Source.Name]],1))="Auszahlung_a","Auszahlung",""),"")</f>
        <v/>
      </c>
      <c r="D263" s="1"/>
    </row>
    <row r="264" spans="1:4" x14ac:dyDescent="0.3">
      <c r="A264" s="1"/>
      <c r="B264" s="1" t="str">
        <f>IFERROR(IF(LEFT(Sensitivität_bzw_Monte_Carlo_bei_Strom[[#This Row],[Source.Name]],SEARCH("aus_der",Sensitivität_bzw_Monte_Carlo_bei_Strom[[#This Row],[Source.Name]],1))="Auszahlung_a","Auszahlung",""),"")</f>
        <v/>
      </c>
      <c r="D264" s="1"/>
    </row>
    <row r="265" spans="1:4" x14ac:dyDescent="0.3">
      <c r="A265" s="1"/>
      <c r="B265" s="1" t="str">
        <f>IFERROR(IF(LEFT(Sensitivität_bzw_Monte_Carlo_bei_Strom[[#This Row],[Source.Name]],SEARCH("aus_der",Sensitivität_bzw_Monte_Carlo_bei_Strom[[#This Row],[Source.Name]],1))="Auszahlung_a","Auszahlung",""),"")</f>
        <v/>
      </c>
      <c r="D265" s="1"/>
    </row>
    <row r="266" spans="1:4" x14ac:dyDescent="0.3">
      <c r="A266" s="1"/>
      <c r="B266" s="1" t="str">
        <f>IFERROR(IF(LEFT(Sensitivität_bzw_Monte_Carlo_bei_Strom[[#This Row],[Source.Name]],SEARCH("aus_der",Sensitivität_bzw_Monte_Carlo_bei_Strom[[#This Row],[Source.Name]],1))="Auszahlung_a","Auszahlung",""),"")</f>
        <v/>
      </c>
      <c r="D266" s="1"/>
    </row>
    <row r="267" spans="1:4" x14ac:dyDescent="0.3">
      <c r="A267" s="1"/>
      <c r="B267" s="1" t="str">
        <f>IFERROR(IF(LEFT(Sensitivität_bzw_Monte_Carlo_bei_Strom[[#This Row],[Source.Name]],SEARCH("aus_der",Sensitivität_bzw_Monte_Carlo_bei_Strom[[#This Row],[Source.Name]],1))="Auszahlung_a","Auszahlung",""),"")</f>
        <v/>
      </c>
      <c r="D267" s="1"/>
    </row>
    <row r="268" spans="1:4" x14ac:dyDescent="0.3">
      <c r="A268" s="1"/>
      <c r="B268" s="1" t="str">
        <f>IFERROR(IF(LEFT(Sensitivität_bzw_Monte_Carlo_bei_Strom[[#This Row],[Source.Name]],SEARCH("aus_der",Sensitivität_bzw_Monte_Carlo_bei_Strom[[#This Row],[Source.Name]],1))="Auszahlung_a","Auszahlung",""),"")</f>
        <v/>
      </c>
      <c r="D268" s="1"/>
    </row>
    <row r="269" spans="1:4" x14ac:dyDescent="0.3">
      <c r="A269" s="1"/>
      <c r="B269" s="1" t="str">
        <f>IFERROR(IF(LEFT(Sensitivität_bzw_Monte_Carlo_bei_Strom[[#This Row],[Source.Name]],SEARCH("aus_der",Sensitivität_bzw_Monte_Carlo_bei_Strom[[#This Row],[Source.Name]],1))="Auszahlung_a","Auszahlung",""),"")</f>
        <v/>
      </c>
      <c r="D269" s="1"/>
    </row>
    <row r="270" spans="1:4" x14ac:dyDescent="0.3">
      <c r="A270" s="1"/>
      <c r="B270" s="1" t="str">
        <f>IFERROR(IF(LEFT(Sensitivität_bzw_Monte_Carlo_bei_Strom[[#This Row],[Source.Name]],SEARCH("aus_der",Sensitivität_bzw_Monte_Carlo_bei_Strom[[#This Row],[Source.Name]],1))="Auszahlung_a","Auszahlung",""),"")</f>
        <v/>
      </c>
      <c r="D270" s="1"/>
    </row>
    <row r="271" spans="1:4" x14ac:dyDescent="0.3">
      <c r="A271" s="1"/>
      <c r="B271" s="1" t="str">
        <f>IFERROR(IF(LEFT(Sensitivität_bzw_Monte_Carlo_bei_Strom[[#This Row],[Source.Name]],SEARCH("aus_der",Sensitivität_bzw_Monte_Carlo_bei_Strom[[#This Row],[Source.Name]],1))="Auszahlung_a","Auszahlung",""),"")</f>
        <v/>
      </c>
      <c r="D271" s="1"/>
    </row>
    <row r="272" spans="1:4" x14ac:dyDescent="0.3">
      <c r="A272" s="1"/>
      <c r="B272" s="1" t="str">
        <f>IFERROR(IF(LEFT(Sensitivität_bzw_Monte_Carlo_bei_Strom[[#This Row],[Source.Name]],SEARCH("aus_der",Sensitivität_bzw_Monte_Carlo_bei_Strom[[#This Row],[Source.Name]],1))="Auszahlung_a","Auszahlung",""),"")</f>
        <v/>
      </c>
      <c r="D272" s="1"/>
    </row>
    <row r="273" spans="1:4" x14ac:dyDescent="0.3">
      <c r="A273" s="1"/>
      <c r="B273" s="1" t="str">
        <f>IFERROR(IF(LEFT(Sensitivität_bzw_Monte_Carlo_bei_Strom[[#This Row],[Source.Name]],SEARCH("aus_der",Sensitivität_bzw_Monte_Carlo_bei_Strom[[#This Row],[Source.Name]],1))="Auszahlung_a","Auszahlung",""),"")</f>
        <v/>
      </c>
      <c r="D273" s="1"/>
    </row>
    <row r="274" spans="1:4" x14ac:dyDescent="0.3">
      <c r="A274" s="1"/>
      <c r="B274" s="1" t="str">
        <f>IFERROR(IF(LEFT(Sensitivität_bzw_Monte_Carlo_bei_Strom[[#This Row],[Source.Name]],SEARCH("aus_der",Sensitivität_bzw_Monte_Carlo_bei_Strom[[#This Row],[Source.Name]],1))="Auszahlung_a","Auszahlung",""),"")</f>
        <v/>
      </c>
      <c r="D274" s="1"/>
    </row>
    <row r="275" spans="1:4" x14ac:dyDescent="0.3">
      <c r="A275" s="1"/>
      <c r="B275" s="1" t="str">
        <f>IFERROR(IF(LEFT(Sensitivität_bzw_Monte_Carlo_bei_Strom[[#This Row],[Source.Name]],SEARCH("aus_der",Sensitivität_bzw_Monte_Carlo_bei_Strom[[#This Row],[Source.Name]],1))="Auszahlung_a","Auszahlung",""),"")</f>
        <v/>
      </c>
      <c r="D275" s="1"/>
    </row>
    <row r="276" spans="1:4" x14ac:dyDescent="0.3">
      <c r="A276" s="1"/>
      <c r="B276" s="1" t="str">
        <f>IFERROR(IF(LEFT(Sensitivität_bzw_Monte_Carlo_bei_Strom[[#This Row],[Source.Name]],SEARCH("aus_der",Sensitivität_bzw_Monte_Carlo_bei_Strom[[#This Row],[Source.Name]],1))="Auszahlung_a","Auszahlung",""),"")</f>
        <v/>
      </c>
      <c r="D276" s="1"/>
    </row>
    <row r="277" spans="1:4" x14ac:dyDescent="0.3">
      <c r="A277" s="1"/>
      <c r="B277" s="1" t="str">
        <f>IFERROR(IF(LEFT(Sensitivität_bzw_Monte_Carlo_bei_Strom[[#This Row],[Source.Name]],SEARCH("aus_der",Sensitivität_bzw_Monte_Carlo_bei_Strom[[#This Row],[Source.Name]],1))="Auszahlung_a","Auszahlung",""),"")</f>
        <v/>
      </c>
      <c r="D277" s="1"/>
    </row>
    <row r="278" spans="1:4" x14ac:dyDescent="0.3">
      <c r="A278" s="1"/>
      <c r="B278" s="1" t="str">
        <f>IFERROR(IF(LEFT(Sensitivität_bzw_Monte_Carlo_bei_Strom[[#This Row],[Source.Name]],SEARCH("aus_der",Sensitivität_bzw_Monte_Carlo_bei_Strom[[#This Row],[Source.Name]],1))="Auszahlung_a","Auszahlung",""),"")</f>
        <v/>
      </c>
      <c r="D278" s="1"/>
    </row>
    <row r="279" spans="1:4" x14ac:dyDescent="0.3">
      <c r="A279" s="1"/>
      <c r="B279" s="1" t="str">
        <f>IFERROR(IF(LEFT(Sensitivität_bzw_Monte_Carlo_bei_Strom[[#This Row],[Source.Name]],SEARCH("aus_der",Sensitivität_bzw_Monte_Carlo_bei_Strom[[#This Row],[Source.Name]],1))="Auszahlung_a","Auszahlung",""),"")</f>
        <v/>
      </c>
      <c r="D279" s="1"/>
    </row>
    <row r="280" spans="1:4" x14ac:dyDescent="0.3">
      <c r="A280" s="1"/>
      <c r="B280" s="1" t="str">
        <f>IFERROR(IF(LEFT(Sensitivität_bzw_Monte_Carlo_bei_Strom[[#This Row],[Source.Name]],SEARCH("aus_der",Sensitivität_bzw_Monte_Carlo_bei_Strom[[#This Row],[Source.Name]],1))="Auszahlung_a","Auszahlung",""),"")</f>
        <v/>
      </c>
      <c r="D280" s="1"/>
    </row>
    <row r="281" spans="1:4" x14ac:dyDescent="0.3">
      <c r="A281" s="1"/>
      <c r="B281" s="1" t="str">
        <f>IFERROR(IF(LEFT(Sensitivität_bzw_Monte_Carlo_bei_Strom[[#This Row],[Source.Name]],SEARCH("aus_der",Sensitivität_bzw_Monte_Carlo_bei_Strom[[#This Row],[Source.Name]],1))="Auszahlung_a","Auszahlung",""),"")</f>
        <v/>
      </c>
      <c r="D281" s="1"/>
    </row>
    <row r="282" spans="1:4" x14ac:dyDescent="0.3">
      <c r="A282" s="1"/>
      <c r="B282" s="1" t="str">
        <f>IFERROR(IF(LEFT(Sensitivität_bzw_Monte_Carlo_bei_Strom[[#This Row],[Source.Name]],SEARCH("aus_der",Sensitivität_bzw_Monte_Carlo_bei_Strom[[#This Row],[Source.Name]],1))="Auszahlung_a","Auszahlung",""),"")</f>
        <v/>
      </c>
      <c r="D282" s="1"/>
    </row>
    <row r="283" spans="1:4" x14ac:dyDescent="0.3">
      <c r="A283" s="1"/>
      <c r="B283" s="1" t="str">
        <f>IFERROR(IF(LEFT(Sensitivität_bzw_Monte_Carlo_bei_Strom[[#This Row],[Source.Name]],SEARCH("aus_der",Sensitivität_bzw_Monte_Carlo_bei_Strom[[#This Row],[Source.Name]],1))="Auszahlung_a","Auszahlung",""),"")</f>
        <v/>
      </c>
      <c r="D283" s="1"/>
    </row>
    <row r="284" spans="1:4" x14ac:dyDescent="0.3">
      <c r="A284" s="1"/>
      <c r="B284" s="1" t="str">
        <f>IFERROR(IF(LEFT(Sensitivität_bzw_Monte_Carlo_bei_Strom[[#This Row],[Source.Name]],SEARCH("aus_der",Sensitivität_bzw_Monte_Carlo_bei_Strom[[#This Row],[Source.Name]],1))="Auszahlung_a","Auszahlung",""),"")</f>
        <v/>
      </c>
      <c r="D284" s="1"/>
    </row>
    <row r="285" spans="1:4" x14ac:dyDescent="0.3">
      <c r="A285" s="1"/>
      <c r="B285" s="1" t="str">
        <f>IFERROR(IF(LEFT(Sensitivität_bzw_Monte_Carlo_bei_Strom[[#This Row],[Source.Name]],SEARCH("aus_der",Sensitivität_bzw_Monte_Carlo_bei_Strom[[#This Row],[Source.Name]],1))="Auszahlung_a","Auszahlung",""),"")</f>
        <v/>
      </c>
      <c r="D285" s="1"/>
    </row>
    <row r="286" spans="1:4" x14ac:dyDescent="0.3">
      <c r="A286" s="1"/>
      <c r="B286" s="1" t="str">
        <f>IFERROR(IF(LEFT(Sensitivität_bzw_Monte_Carlo_bei_Strom[[#This Row],[Source.Name]],SEARCH("aus_der",Sensitivität_bzw_Monte_Carlo_bei_Strom[[#This Row],[Source.Name]],1))="Auszahlung_a","Auszahlung",""),"")</f>
        <v/>
      </c>
      <c r="D286" s="1"/>
    </row>
    <row r="287" spans="1:4" x14ac:dyDescent="0.3">
      <c r="A287" s="1"/>
      <c r="B287" s="1" t="str">
        <f>IFERROR(IF(LEFT(Sensitivität_bzw_Monte_Carlo_bei_Strom[[#This Row],[Source.Name]],SEARCH("aus_der",Sensitivität_bzw_Monte_Carlo_bei_Strom[[#This Row],[Source.Name]],1))="Auszahlung_a","Auszahlung",""),"")</f>
        <v/>
      </c>
      <c r="D287" s="1"/>
    </row>
    <row r="288" spans="1:4" x14ac:dyDescent="0.3">
      <c r="A288" s="1"/>
      <c r="B288" s="1" t="str">
        <f>IFERROR(IF(LEFT(Sensitivität_bzw_Monte_Carlo_bei_Strom[[#This Row],[Source.Name]],SEARCH("aus_der",Sensitivität_bzw_Monte_Carlo_bei_Strom[[#This Row],[Source.Name]],1))="Auszahlung_a","Auszahlung",""),"")</f>
        <v/>
      </c>
      <c r="D288" s="1"/>
    </row>
    <row r="289" spans="1:4" x14ac:dyDescent="0.3">
      <c r="A289" s="1"/>
      <c r="B289" s="1" t="str">
        <f>IFERROR(IF(LEFT(Sensitivität_bzw_Monte_Carlo_bei_Strom[[#This Row],[Source.Name]],SEARCH("aus_der",Sensitivität_bzw_Monte_Carlo_bei_Strom[[#This Row],[Source.Name]],1))="Auszahlung_a","Auszahlung",""),"")</f>
        <v/>
      </c>
      <c r="D289" s="1"/>
    </row>
    <row r="290" spans="1:4" x14ac:dyDescent="0.3">
      <c r="A290" s="1"/>
      <c r="B290" s="1" t="str">
        <f>IFERROR(IF(LEFT(Sensitivität_bzw_Monte_Carlo_bei_Strom[[#This Row],[Source.Name]],SEARCH("aus_der",Sensitivität_bzw_Monte_Carlo_bei_Strom[[#This Row],[Source.Name]],1))="Auszahlung_a","Auszahlung",""),"")</f>
        <v/>
      </c>
      <c r="D290" s="1"/>
    </row>
    <row r="291" spans="1:4" x14ac:dyDescent="0.3">
      <c r="A291" s="1"/>
      <c r="B291" s="1" t="str">
        <f>IFERROR(IF(LEFT(Sensitivität_bzw_Monte_Carlo_bei_Strom[[#This Row],[Source.Name]],SEARCH("aus_der",Sensitivität_bzw_Monte_Carlo_bei_Strom[[#This Row],[Source.Name]],1))="Auszahlung_a","Auszahlung",""),"")</f>
        <v/>
      </c>
      <c r="D291" s="1"/>
    </row>
    <row r="292" spans="1:4" x14ac:dyDescent="0.3">
      <c r="A292" s="1"/>
      <c r="B292" s="1" t="str">
        <f>IFERROR(IF(LEFT(Sensitivität_bzw_Monte_Carlo_bei_Strom[[#This Row],[Source.Name]],SEARCH("aus_der",Sensitivität_bzw_Monte_Carlo_bei_Strom[[#This Row],[Source.Name]],1))="Auszahlung_a","Auszahlung",""),"")</f>
        <v/>
      </c>
      <c r="D292" s="1"/>
    </row>
    <row r="293" spans="1:4" x14ac:dyDescent="0.3">
      <c r="A293" s="1"/>
      <c r="B293" s="1" t="str">
        <f>IFERROR(IF(LEFT(Sensitivität_bzw_Monte_Carlo_bei_Strom[[#This Row],[Source.Name]],SEARCH("aus_der",Sensitivität_bzw_Monte_Carlo_bei_Strom[[#This Row],[Source.Name]],1))="Auszahlung_a","Auszahlung",""),"")</f>
        <v/>
      </c>
      <c r="D293" s="1"/>
    </row>
    <row r="294" spans="1:4" x14ac:dyDescent="0.3">
      <c r="A294" s="1"/>
      <c r="B294" s="1" t="str">
        <f>IFERROR(IF(LEFT(Sensitivität_bzw_Monte_Carlo_bei_Strom[[#This Row],[Source.Name]],SEARCH("aus_der",Sensitivität_bzw_Monte_Carlo_bei_Strom[[#This Row],[Source.Name]],1))="Auszahlung_a","Auszahlung",""),"")</f>
        <v/>
      </c>
      <c r="D294" s="1"/>
    </row>
    <row r="295" spans="1:4" x14ac:dyDescent="0.3">
      <c r="A295" s="1"/>
      <c r="B295" s="1" t="str">
        <f>IFERROR(IF(LEFT(Sensitivität_bzw_Monte_Carlo_bei_Strom[[#This Row],[Source.Name]],SEARCH("aus_der",Sensitivität_bzw_Monte_Carlo_bei_Strom[[#This Row],[Source.Name]],1))="Auszahlung_a","Auszahlung",""),"")</f>
        <v/>
      </c>
      <c r="D295" s="1"/>
    </row>
    <row r="296" spans="1:4" x14ac:dyDescent="0.3">
      <c r="A296" s="1"/>
      <c r="B296" s="1" t="str">
        <f>IFERROR(IF(LEFT(Sensitivität_bzw_Monte_Carlo_bei_Strom[[#This Row],[Source.Name]],SEARCH("aus_der",Sensitivität_bzw_Monte_Carlo_bei_Strom[[#This Row],[Source.Name]],1))="Auszahlung_a","Auszahlung",""),"")</f>
        <v/>
      </c>
      <c r="D296" s="1"/>
    </row>
    <row r="297" spans="1:4" x14ac:dyDescent="0.3">
      <c r="A297" s="1"/>
      <c r="B297" s="1" t="str">
        <f>IFERROR(IF(LEFT(Sensitivität_bzw_Monte_Carlo_bei_Strom[[#This Row],[Source.Name]],SEARCH("aus_der",Sensitivität_bzw_Monte_Carlo_bei_Strom[[#This Row],[Source.Name]],1))="Auszahlung_a","Auszahlung",""),"")</f>
        <v/>
      </c>
      <c r="D297" s="1"/>
    </row>
    <row r="298" spans="1:4" x14ac:dyDescent="0.3">
      <c r="A298" s="1"/>
      <c r="B298" s="1" t="str">
        <f>IFERROR(IF(LEFT(Sensitivität_bzw_Monte_Carlo_bei_Strom[[#This Row],[Source.Name]],SEARCH("aus_der",Sensitivität_bzw_Monte_Carlo_bei_Strom[[#This Row],[Source.Name]],1))="Auszahlung_a","Auszahlung",""),"")</f>
        <v/>
      </c>
      <c r="D298" s="1"/>
    </row>
    <row r="299" spans="1:4" x14ac:dyDescent="0.3">
      <c r="A299" s="1"/>
      <c r="B299" s="1" t="str">
        <f>IFERROR(IF(LEFT(Sensitivität_bzw_Monte_Carlo_bei_Strom[[#This Row],[Source.Name]],SEARCH("aus_der",Sensitivität_bzw_Monte_Carlo_bei_Strom[[#This Row],[Source.Name]],1))="Auszahlung_a","Auszahlung",""),"")</f>
        <v/>
      </c>
      <c r="D299" s="1"/>
    </row>
    <row r="300" spans="1:4" x14ac:dyDescent="0.3">
      <c r="A300" s="1"/>
      <c r="B300" s="1" t="str">
        <f>IFERROR(IF(LEFT(Sensitivität_bzw_Monte_Carlo_bei_Strom[[#This Row],[Source.Name]],SEARCH("aus_der",Sensitivität_bzw_Monte_Carlo_bei_Strom[[#This Row],[Source.Name]],1))="Auszahlung_a","Auszahlung",""),"")</f>
        <v/>
      </c>
      <c r="D300" s="1"/>
    </row>
    <row r="301" spans="1:4" x14ac:dyDescent="0.3">
      <c r="A301" s="1"/>
      <c r="B301" s="1" t="str">
        <f>IFERROR(IF(LEFT(Sensitivität_bzw_Monte_Carlo_bei_Strom[[#This Row],[Source.Name]],SEARCH("aus_der",Sensitivität_bzw_Monte_Carlo_bei_Strom[[#This Row],[Source.Name]],1))="Auszahlung_a","Auszahlung",""),"")</f>
        <v/>
      </c>
      <c r="D301" s="1"/>
    </row>
    <row r="302" spans="1:4" x14ac:dyDescent="0.3">
      <c r="A302" s="1"/>
      <c r="B302" s="1" t="str">
        <f>IFERROR(IF(LEFT(Sensitivität_bzw_Monte_Carlo_bei_Strom[[#This Row],[Source.Name]],SEARCH("aus_der",Sensitivität_bzw_Monte_Carlo_bei_Strom[[#This Row],[Source.Name]],1))="Auszahlung_a","Auszahlung",""),"")</f>
        <v/>
      </c>
      <c r="D302" s="1"/>
    </row>
    <row r="303" spans="1:4" x14ac:dyDescent="0.3">
      <c r="A303" s="1"/>
      <c r="B303" s="1" t="str">
        <f>IFERROR(IF(LEFT(Sensitivität_bzw_Monte_Carlo_bei_Strom[[#This Row],[Source.Name]],SEARCH("aus_der",Sensitivität_bzw_Monte_Carlo_bei_Strom[[#This Row],[Source.Name]],1))="Auszahlung_a","Auszahlung",""),"")</f>
        <v/>
      </c>
      <c r="D303" s="1"/>
    </row>
    <row r="304" spans="1:4" x14ac:dyDescent="0.3">
      <c r="A304" s="1"/>
      <c r="B304" s="1" t="str">
        <f>IFERROR(IF(LEFT(Sensitivität_bzw_Monte_Carlo_bei_Strom[[#This Row],[Source.Name]],SEARCH("aus_der",Sensitivität_bzw_Monte_Carlo_bei_Strom[[#This Row],[Source.Name]],1))="Auszahlung_a","Auszahlung",""),"")</f>
        <v/>
      </c>
      <c r="D304" s="1"/>
    </row>
    <row r="305" spans="1:4" x14ac:dyDescent="0.3">
      <c r="A305" s="1"/>
      <c r="B305" s="1" t="str">
        <f>IFERROR(IF(LEFT(Sensitivität_bzw_Monte_Carlo_bei_Strom[[#This Row],[Source.Name]],SEARCH("aus_der",Sensitivität_bzw_Monte_Carlo_bei_Strom[[#This Row],[Source.Name]],1))="Auszahlung_a","Auszahlung",""),"")</f>
        <v/>
      </c>
      <c r="D305" s="1"/>
    </row>
    <row r="306" spans="1:4" x14ac:dyDescent="0.3">
      <c r="A306" s="1"/>
      <c r="B306" s="1" t="str">
        <f>IFERROR(IF(LEFT(Sensitivität_bzw_Monte_Carlo_bei_Strom[[#This Row],[Source.Name]],SEARCH("aus_der",Sensitivität_bzw_Monte_Carlo_bei_Strom[[#This Row],[Source.Name]],1))="Auszahlung_a","Auszahlung",""),"")</f>
        <v/>
      </c>
      <c r="D306" s="1"/>
    </row>
    <row r="307" spans="1:4" x14ac:dyDescent="0.3">
      <c r="A307" s="1"/>
      <c r="B307" s="1" t="str">
        <f>IFERROR(IF(LEFT(Sensitivität_bzw_Monte_Carlo_bei_Strom[[#This Row],[Source.Name]],SEARCH("aus_der",Sensitivität_bzw_Monte_Carlo_bei_Strom[[#This Row],[Source.Name]],1))="Auszahlung_a","Auszahlung",""),"")</f>
        <v/>
      </c>
      <c r="D307" s="1"/>
    </row>
    <row r="308" spans="1:4" x14ac:dyDescent="0.3">
      <c r="A308" s="1"/>
      <c r="B308" s="1" t="str">
        <f>IFERROR(IF(LEFT(Sensitivität_bzw_Monte_Carlo_bei_Strom[[#This Row],[Source.Name]],SEARCH("aus_der",Sensitivität_bzw_Monte_Carlo_bei_Strom[[#This Row],[Source.Name]],1))="Auszahlung_a","Auszahlung",""),"")</f>
        <v/>
      </c>
      <c r="D308" s="1"/>
    </row>
    <row r="309" spans="1:4" x14ac:dyDescent="0.3">
      <c r="A309" s="1"/>
      <c r="B309" s="1" t="str">
        <f>IFERROR(IF(LEFT(Sensitivität_bzw_Monte_Carlo_bei_Strom[[#This Row],[Source.Name]],SEARCH("aus_der",Sensitivität_bzw_Monte_Carlo_bei_Strom[[#This Row],[Source.Name]],1))="Auszahlung_a","Auszahlung",""),"")</f>
        <v/>
      </c>
      <c r="D309" s="1"/>
    </row>
    <row r="310" spans="1:4" x14ac:dyDescent="0.3">
      <c r="A310" s="1"/>
      <c r="B310" s="1" t="str">
        <f>IFERROR(IF(LEFT(Sensitivität_bzw_Monte_Carlo_bei_Strom[[#This Row],[Source.Name]],SEARCH("aus_der",Sensitivität_bzw_Monte_Carlo_bei_Strom[[#This Row],[Source.Name]],1))="Auszahlung_a","Auszahlung",""),"")</f>
        <v/>
      </c>
      <c r="D310" s="1"/>
    </row>
    <row r="311" spans="1:4" x14ac:dyDescent="0.3">
      <c r="A311" s="1"/>
      <c r="B311" s="1" t="str">
        <f>IFERROR(IF(LEFT(Sensitivität_bzw_Monte_Carlo_bei_Strom[[#This Row],[Source.Name]],SEARCH("aus_der",Sensitivität_bzw_Monte_Carlo_bei_Strom[[#This Row],[Source.Name]],1))="Auszahlung_a","Auszahlung",""),"")</f>
        <v/>
      </c>
      <c r="D311" s="1"/>
    </row>
    <row r="312" spans="1:4" x14ac:dyDescent="0.3">
      <c r="A312" s="1"/>
      <c r="B312" s="1" t="str">
        <f>IFERROR(IF(LEFT(Sensitivität_bzw_Monte_Carlo_bei_Strom[[#This Row],[Source.Name]],SEARCH("aus_der",Sensitivität_bzw_Monte_Carlo_bei_Strom[[#This Row],[Source.Name]],1))="Auszahlung_a","Auszahlung",""),"")</f>
        <v/>
      </c>
      <c r="D312" s="1"/>
    </row>
    <row r="313" spans="1:4" x14ac:dyDescent="0.3">
      <c r="A313" s="1"/>
      <c r="B313" s="1" t="str">
        <f>IFERROR(IF(LEFT(Sensitivität_bzw_Monte_Carlo_bei_Strom[[#This Row],[Source.Name]],SEARCH("aus_der",Sensitivität_bzw_Monte_Carlo_bei_Strom[[#This Row],[Source.Name]],1))="Auszahlung_a","Auszahlung",""),"")</f>
        <v/>
      </c>
      <c r="D313" s="1"/>
    </row>
    <row r="314" spans="1:4" x14ac:dyDescent="0.3">
      <c r="A314" s="1"/>
      <c r="B314" s="1" t="str">
        <f>IFERROR(IF(LEFT(Sensitivität_bzw_Monte_Carlo_bei_Strom[[#This Row],[Source.Name]],SEARCH("aus_der",Sensitivität_bzw_Monte_Carlo_bei_Strom[[#This Row],[Source.Name]],1))="Auszahlung_a","Auszahlung",""),"")</f>
        <v/>
      </c>
      <c r="D314" s="1"/>
    </row>
    <row r="315" spans="1:4" x14ac:dyDescent="0.3">
      <c r="A315" s="1"/>
      <c r="B315" s="1" t="str">
        <f>IFERROR(IF(LEFT(Sensitivität_bzw_Monte_Carlo_bei_Strom[[#This Row],[Source.Name]],SEARCH("aus_der",Sensitivität_bzw_Monte_Carlo_bei_Strom[[#This Row],[Source.Name]],1))="Auszahlung_a","Auszahlung",""),"")</f>
        <v/>
      </c>
      <c r="D315" s="1"/>
    </row>
    <row r="316" spans="1:4" x14ac:dyDescent="0.3">
      <c r="A316" s="1"/>
      <c r="B316" s="1" t="str">
        <f>IFERROR(IF(LEFT(Sensitivität_bzw_Monte_Carlo_bei_Strom[[#This Row],[Source.Name]],SEARCH("aus_der",Sensitivität_bzw_Monte_Carlo_bei_Strom[[#This Row],[Source.Name]],1))="Auszahlung_a","Auszahlung",""),"")</f>
        <v/>
      </c>
      <c r="D316" s="1"/>
    </row>
    <row r="317" spans="1:4" x14ac:dyDescent="0.3">
      <c r="A317" s="1"/>
      <c r="B317" s="1" t="str">
        <f>IFERROR(IF(LEFT(Sensitivität_bzw_Monte_Carlo_bei_Strom[[#This Row],[Source.Name]],SEARCH("aus_der",Sensitivität_bzw_Monte_Carlo_bei_Strom[[#This Row],[Source.Name]],1))="Auszahlung_a","Auszahlung",""),"")</f>
        <v/>
      </c>
      <c r="D317" s="1"/>
    </row>
    <row r="318" spans="1:4" x14ac:dyDescent="0.3">
      <c r="A318" s="1"/>
      <c r="B318" s="1" t="str">
        <f>IFERROR(IF(LEFT(Sensitivität_bzw_Monte_Carlo_bei_Strom[[#This Row],[Source.Name]],SEARCH("aus_der",Sensitivität_bzw_Monte_Carlo_bei_Strom[[#This Row],[Source.Name]],1))="Auszahlung_a","Auszahlung",""),"")</f>
        <v/>
      </c>
      <c r="D318" s="1"/>
    </row>
    <row r="319" spans="1:4" x14ac:dyDescent="0.3">
      <c r="A319" s="1"/>
      <c r="B319" s="1" t="str">
        <f>IFERROR(IF(LEFT(Sensitivität_bzw_Monte_Carlo_bei_Strom[[#This Row],[Source.Name]],SEARCH("aus_der",Sensitivität_bzw_Monte_Carlo_bei_Strom[[#This Row],[Source.Name]],1))="Auszahlung_a","Auszahlung",""),"")</f>
        <v/>
      </c>
      <c r="D319" s="1"/>
    </row>
    <row r="320" spans="1:4" x14ac:dyDescent="0.3">
      <c r="A320" s="1"/>
      <c r="B320" s="1" t="str">
        <f>IFERROR(IF(LEFT(Sensitivität_bzw_Monte_Carlo_bei_Strom[[#This Row],[Source.Name]],SEARCH("aus_der",Sensitivität_bzw_Monte_Carlo_bei_Strom[[#This Row],[Source.Name]],1))="Auszahlung_a","Auszahlung",""),"")</f>
        <v/>
      </c>
      <c r="D320" s="1"/>
    </row>
    <row r="321" spans="1:4" x14ac:dyDescent="0.3">
      <c r="A321" s="1"/>
      <c r="B321" s="1" t="str">
        <f>IFERROR(IF(LEFT(Sensitivität_bzw_Monte_Carlo_bei_Strom[[#This Row],[Source.Name]],SEARCH("aus_der",Sensitivität_bzw_Monte_Carlo_bei_Strom[[#This Row],[Source.Name]],1))="Auszahlung_a","Auszahlung",""),"")</f>
        <v/>
      </c>
      <c r="D321" s="1"/>
    </row>
    <row r="322" spans="1:4" x14ac:dyDescent="0.3">
      <c r="A322" s="1"/>
      <c r="B322" s="1" t="str">
        <f>IFERROR(IF(LEFT(Sensitivität_bzw_Monte_Carlo_bei_Strom[[#This Row],[Source.Name]],SEARCH("aus_der",Sensitivität_bzw_Monte_Carlo_bei_Strom[[#This Row],[Source.Name]],1))="Auszahlung_a","Auszahlung",""),"")</f>
        <v/>
      </c>
      <c r="D322" s="1"/>
    </row>
    <row r="323" spans="1:4" x14ac:dyDescent="0.3">
      <c r="A323" s="1"/>
      <c r="B323" s="1" t="str">
        <f>IFERROR(IF(LEFT(Sensitivität_bzw_Monte_Carlo_bei_Strom[[#This Row],[Source.Name]],SEARCH("aus_der",Sensitivität_bzw_Monte_Carlo_bei_Strom[[#This Row],[Source.Name]],1))="Auszahlung_a","Auszahlung",""),"")</f>
        <v/>
      </c>
      <c r="D323" s="1"/>
    </row>
    <row r="324" spans="1:4" x14ac:dyDescent="0.3">
      <c r="A324" s="1"/>
      <c r="B324" s="1" t="str">
        <f>IFERROR(IF(LEFT(Sensitivität_bzw_Monte_Carlo_bei_Strom[[#This Row],[Source.Name]],SEARCH("aus_der",Sensitivität_bzw_Monte_Carlo_bei_Strom[[#This Row],[Source.Name]],1))="Auszahlung_a","Auszahlung",""),"")</f>
        <v/>
      </c>
      <c r="D324" s="1"/>
    </row>
    <row r="325" spans="1:4" x14ac:dyDescent="0.3">
      <c r="A325" s="1"/>
      <c r="B325" s="1" t="str">
        <f>IFERROR(IF(LEFT(Sensitivität_bzw_Monte_Carlo_bei_Strom[[#This Row],[Source.Name]],SEARCH("aus_der",Sensitivität_bzw_Monte_Carlo_bei_Strom[[#This Row],[Source.Name]],1))="Auszahlung_a","Auszahlung",""),"")</f>
        <v/>
      </c>
      <c r="D325" s="1"/>
    </row>
    <row r="326" spans="1:4" x14ac:dyDescent="0.3">
      <c r="A326" s="1"/>
      <c r="B326" s="1" t="str">
        <f>IFERROR(IF(LEFT(Sensitivität_bzw_Monte_Carlo_bei_Strom[[#This Row],[Source.Name]],SEARCH("aus_der",Sensitivität_bzw_Monte_Carlo_bei_Strom[[#This Row],[Source.Name]],1))="Auszahlung_a","Auszahlung",""),"")</f>
        <v/>
      </c>
      <c r="D326" s="1"/>
    </row>
    <row r="327" spans="1:4" x14ac:dyDescent="0.3">
      <c r="A327" s="1"/>
      <c r="B327" s="1" t="str">
        <f>IFERROR(IF(LEFT(Sensitivität_bzw_Monte_Carlo_bei_Strom[[#This Row],[Source.Name]],SEARCH("aus_der",Sensitivität_bzw_Monte_Carlo_bei_Strom[[#This Row],[Source.Name]],1))="Auszahlung_a","Auszahlung",""),"")</f>
        <v/>
      </c>
      <c r="D327" s="1"/>
    </row>
    <row r="328" spans="1:4" x14ac:dyDescent="0.3">
      <c r="A328" s="1"/>
      <c r="B328" s="1" t="str">
        <f>IFERROR(IF(LEFT(Sensitivität_bzw_Monte_Carlo_bei_Strom[[#This Row],[Source.Name]],SEARCH("aus_der",Sensitivität_bzw_Monte_Carlo_bei_Strom[[#This Row],[Source.Name]],1))="Auszahlung_a","Auszahlung",""),"")</f>
        <v/>
      </c>
      <c r="D328" s="1"/>
    </row>
    <row r="329" spans="1:4" x14ac:dyDescent="0.3">
      <c r="A329" s="1"/>
      <c r="B329" s="1" t="str">
        <f>IFERROR(IF(LEFT(Sensitivität_bzw_Monte_Carlo_bei_Strom[[#This Row],[Source.Name]],SEARCH("aus_der",Sensitivität_bzw_Monte_Carlo_bei_Strom[[#This Row],[Source.Name]],1))="Auszahlung_a","Auszahlung",""),"")</f>
        <v/>
      </c>
      <c r="D329" s="1"/>
    </row>
    <row r="330" spans="1:4" x14ac:dyDescent="0.3">
      <c r="A330" s="1"/>
      <c r="B330" s="1" t="str">
        <f>IFERROR(IF(LEFT(Sensitivität_bzw_Monte_Carlo_bei_Strom[[#This Row],[Source.Name]],SEARCH("aus_der",Sensitivität_bzw_Monte_Carlo_bei_Strom[[#This Row],[Source.Name]],1))="Auszahlung_a","Auszahlung",""),"")</f>
        <v/>
      </c>
      <c r="D330" s="1"/>
    </row>
    <row r="331" spans="1:4" x14ac:dyDescent="0.3">
      <c r="A331" s="1"/>
      <c r="B331" s="1" t="str">
        <f>IFERROR(IF(LEFT(Sensitivität_bzw_Monte_Carlo_bei_Strom[[#This Row],[Source.Name]],SEARCH("aus_der",Sensitivität_bzw_Monte_Carlo_bei_Strom[[#This Row],[Source.Name]],1))="Auszahlung_a","Auszahlung",""),"")</f>
        <v/>
      </c>
      <c r="D331" s="1"/>
    </row>
    <row r="332" spans="1:4" x14ac:dyDescent="0.3">
      <c r="A332" s="1"/>
      <c r="B332" s="1" t="str">
        <f>IFERROR(IF(LEFT(Sensitivität_bzw_Monte_Carlo_bei_Strom[[#This Row],[Source.Name]],SEARCH("aus_der",Sensitivität_bzw_Monte_Carlo_bei_Strom[[#This Row],[Source.Name]],1))="Auszahlung_a","Auszahlung",""),"")</f>
        <v/>
      </c>
      <c r="D332" s="1"/>
    </row>
    <row r="333" spans="1:4" x14ac:dyDescent="0.3">
      <c r="A333" s="1"/>
      <c r="B333" s="1" t="str">
        <f>IFERROR(IF(LEFT(Sensitivität_bzw_Monte_Carlo_bei_Strom[[#This Row],[Source.Name]],SEARCH("aus_der",Sensitivität_bzw_Monte_Carlo_bei_Strom[[#This Row],[Source.Name]],1))="Auszahlung_a","Auszahlung",""),"")</f>
        <v/>
      </c>
      <c r="D333" s="1"/>
    </row>
    <row r="334" spans="1:4" x14ac:dyDescent="0.3">
      <c r="A334" s="1"/>
      <c r="B334" s="1" t="str">
        <f>IFERROR(IF(LEFT(Sensitivität_bzw_Monte_Carlo_bei_Strom[[#This Row],[Source.Name]],SEARCH("aus_der",Sensitivität_bzw_Monte_Carlo_bei_Strom[[#This Row],[Source.Name]],1))="Auszahlung_a","Auszahlung",""),"")</f>
        <v/>
      </c>
      <c r="D334" s="1"/>
    </row>
    <row r="335" spans="1:4" x14ac:dyDescent="0.3">
      <c r="A335" s="1"/>
      <c r="B335" s="1" t="str">
        <f>IFERROR(IF(LEFT(Sensitivität_bzw_Monte_Carlo_bei_Strom[[#This Row],[Source.Name]],SEARCH("aus_der",Sensitivität_bzw_Monte_Carlo_bei_Strom[[#This Row],[Source.Name]],1))="Auszahlung_a","Auszahlung",""),"")</f>
        <v/>
      </c>
      <c r="D335" s="1"/>
    </row>
    <row r="336" spans="1:4" x14ac:dyDescent="0.3">
      <c r="A336" s="1"/>
      <c r="B336" s="1" t="str">
        <f>IFERROR(IF(LEFT(Sensitivität_bzw_Monte_Carlo_bei_Strom[[#This Row],[Source.Name]],SEARCH("aus_der",Sensitivität_bzw_Monte_Carlo_bei_Strom[[#This Row],[Source.Name]],1))="Auszahlung_a","Auszahlung",""),"")</f>
        <v/>
      </c>
      <c r="D336" s="1"/>
    </row>
    <row r="337" spans="1:4" x14ac:dyDescent="0.3">
      <c r="A337" s="1"/>
      <c r="B337" s="1" t="str">
        <f>IFERROR(IF(LEFT(Sensitivität_bzw_Monte_Carlo_bei_Strom[[#This Row],[Source.Name]],SEARCH("aus_der",Sensitivität_bzw_Monte_Carlo_bei_Strom[[#This Row],[Source.Name]],1))="Auszahlung_a","Auszahlung",""),"")</f>
        <v/>
      </c>
      <c r="D337" s="1"/>
    </row>
    <row r="338" spans="1:4" x14ac:dyDescent="0.3">
      <c r="A338" s="1"/>
      <c r="B338" s="1" t="str">
        <f>IFERROR(IF(LEFT(Sensitivität_bzw_Monte_Carlo_bei_Strom[[#This Row],[Source.Name]],SEARCH("aus_der",Sensitivität_bzw_Monte_Carlo_bei_Strom[[#This Row],[Source.Name]],1))="Auszahlung_a","Auszahlung",""),"")</f>
        <v/>
      </c>
      <c r="D338" s="1"/>
    </row>
    <row r="339" spans="1:4" x14ac:dyDescent="0.3">
      <c r="A339" s="1"/>
      <c r="B339" s="1" t="str">
        <f>IFERROR(IF(LEFT(Sensitivität_bzw_Monte_Carlo_bei_Strom[[#This Row],[Source.Name]],SEARCH("aus_der",Sensitivität_bzw_Monte_Carlo_bei_Strom[[#This Row],[Source.Name]],1))="Auszahlung_a","Auszahlung",""),"")</f>
        <v/>
      </c>
      <c r="D339" s="1"/>
    </row>
    <row r="340" spans="1:4" x14ac:dyDescent="0.3">
      <c r="A340" s="1"/>
      <c r="B340" s="1" t="str">
        <f>IFERROR(IF(LEFT(Sensitivität_bzw_Monte_Carlo_bei_Strom[[#This Row],[Source.Name]],SEARCH("aus_der",Sensitivität_bzw_Monte_Carlo_bei_Strom[[#This Row],[Source.Name]],1))="Auszahlung_a","Auszahlung",""),"")</f>
        <v/>
      </c>
      <c r="D340" s="1"/>
    </row>
    <row r="341" spans="1:4" x14ac:dyDescent="0.3">
      <c r="A341" s="1"/>
      <c r="B341" s="1" t="str">
        <f>IFERROR(IF(LEFT(Sensitivität_bzw_Monte_Carlo_bei_Strom[[#This Row],[Source.Name]],SEARCH("aus_der",Sensitivität_bzw_Monte_Carlo_bei_Strom[[#This Row],[Source.Name]],1))="Auszahlung_a","Auszahlung",""),"")</f>
        <v/>
      </c>
      <c r="D341" s="1"/>
    </row>
    <row r="342" spans="1:4" x14ac:dyDescent="0.3">
      <c r="A342" s="1"/>
      <c r="B342" s="1" t="str">
        <f>IFERROR(IF(LEFT(Sensitivität_bzw_Monte_Carlo_bei_Strom[[#This Row],[Source.Name]],SEARCH("aus_der",Sensitivität_bzw_Monte_Carlo_bei_Strom[[#This Row],[Source.Name]],1))="Auszahlung_a","Auszahlung",""),"")</f>
        <v/>
      </c>
      <c r="D342" s="1"/>
    </row>
    <row r="343" spans="1:4" x14ac:dyDescent="0.3">
      <c r="A343" s="1"/>
      <c r="B343" s="1" t="str">
        <f>IFERROR(IF(LEFT(Sensitivität_bzw_Monte_Carlo_bei_Strom[[#This Row],[Source.Name]],SEARCH("aus_der",Sensitivität_bzw_Monte_Carlo_bei_Strom[[#This Row],[Source.Name]],1))="Auszahlung_a","Auszahlung",""),"")</f>
        <v/>
      </c>
      <c r="D343" s="1"/>
    </row>
    <row r="344" spans="1:4" x14ac:dyDescent="0.3">
      <c r="A344" s="1"/>
      <c r="B344" s="1" t="str">
        <f>IFERROR(IF(LEFT(Sensitivität_bzw_Monte_Carlo_bei_Strom[[#This Row],[Source.Name]],SEARCH("aus_der",Sensitivität_bzw_Monte_Carlo_bei_Strom[[#This Row],[Source.Name]],1))="Auszahlung_a","Auszahlung",""),"")</f>
        <v/>
      </c>
      <c r="D344" s="1"/>
    </row>
    <row r="345" spans="1:4" x14ac:dyDescent="0.3">
      <c r="A345" s="1"/>
      <c r="B345" s="1" t="str">
        <f>IFERROR(IF(LEFT(Sensitivität_bzw_Monte_Carlo_bei_Strom[[#This Row],[Source.Name]],SEARCH("aus_der",Sensitivität_bzw_Monte_Carlo_bei_Strom[[#This Row],[Source.Name]],1))="Auszahlung_a","Auszahlung",""),"")</f>
        <v/>
      </c>
      <c r="D345" s="1"/>
    </row>
    <row r="346" spans="1:4" x14ac:dyDescent="0.3">
      <c r="A346" s="1"/>
      <c r="B346" s="1" t="str">
        <f>IFERROR(IF(LEFT(Sensitivität_bzw_Monte_Carlo_bei_Strom[[#This Row],[Source.Name]],SEARCH("aus_der",Sensitivität_bzw_Monte_Carlo_bei_Strom[[#This Row],[Source.Name]],1))="Auszahlung_a","Auszahlung",""),"")</f>
        <v/>
      </c>
      <c r="D346" s="1"/>
    </row>
    <row r="347" spans="1:4" x14ac:dyDescent="0.3">
      <c r="A347" s="1"/>
      <c r="B347" s="1" t="str">
        <f>IFERROR(IF(LEFT(Sensitivität_bzw_Monte_Carlo_bei_Strom[[#This Row],[Source.Name]],SEARCH("aus_der",Sensitivität_bzw_Monte_Carlo_bei_Strom[[#This Row],[Source.Name]],1))="Auszahlung_a","Auszahlung",""),"")</f>
        <v/>
      </c>
      <c r="D347" s="1"/>
    </row>
    <row r="348" spans="1:4" x14ac:dyDescent="0.3">
      <c r="A348" s="1"/>
      <c r="B348" s="1" t="str">
        <f>IFERROR(IF(LEFT(Sensitivität_bzw_Monte_Carlo_bei_Strom[[#This Row],[Source.Name]],SEARCH("aus_der",Sensitivität_bzw_Monte_Carlo_bei_Strom[[#This Row],[Source.Name]],1))="Auszahlung_a","Auszahlung",""),"")</f>
        <v/>
      </c>
      <c r="D348" s="1"/>
    </row>
    <row r="349" spans="1:4" x14ac:dyDescent="0.3">
      <c r="A349" s="1"/>
      <c r="B349" s="1" t="str">
        <f>IFERROR(IF(LEFT(Sensitivität_bzw_Monte_Carlo_bei_Strom[[#This Row],[Source.Name]],SEARCH("aus_der",Sensitivität_bzw_Monte_Carlo_bei_Strom[[#This Row],[Source.Name]],1))="Auszahlung_a","Auszahlung",""),"")</f>
        <v/>
      </c>
      <c r="D349" s="1"/>
    </row>
    <row r="350" spans="1:4" x14ac:dyDescent="0.3">
      <c r="A350" s="1"/>
      <c r="B350" s="1" t="str">
        <f>IFERROR(IF(LEFT(Sensitivität_bzw_Monte_Carlo_bei_Strom[[#This Row],[Source.Name]],SEARCH("aus_der",Sensitivität_bzw_Monte_Carlo_bei_Strom[[#This Row],[Source.Name]],1))="Auszahlung_a","Auszahlung",""),"")</f>
        <v/>
      </c>
      <c r="D350" s="1"/>
    </row>
    <row r="351" spans="1:4" x14ac:dyDescent="0.3">
      <c r="A351" s="1"/>
      <c r="B351" s="1" t="str">
        <f>IFERROR(IF(LEFT(Sensitivität_bzw_Monte_Carlo_bei_Strom[[#This Row],[Source.Name]],SEARCH("aus_der",Sensitivität_bzw_Monte_Carlo_bei_Strom[[#This Row],[Source.Name]],1))="Auszahlung_a","Auszahlung",""),"")</f>
        <v/>
      </c>
      <c r="D351" s="1"/>
    </row>
    <row r="352" spans="1:4" x14ac:dyDescent="0.3">
      <c r="A352" s="1"/>
      <c r="B352" s="1" t="str">
        <f>IFERROR(IF(LEFT(Sensitivität_bzw_Monte_Carlo_bei_Strom[[#This Row],[Source.Name]],SEARCH("aus_der",Sensitivität_bzw_Monte_Carlo_bei_Strom[[#This Row],[Source.Name]],1))="Auszahlung_a","Auszahlung",""),"")</f>
        <v/>
      </c>
      <c r="D352" s="1"/>
    </row>
    <row r="353" spans="1:4" x14ac:dyDescent="0.3">
      <c r="A353" s="1"/>
      <c r="B353" s="1" t="str">
        <f>IFERROR(IF(LEFT(Sensitivität_bzw_Monte_Carlo_bei_Strom[[#This Row],[Source.Name]],SEARCH("aus_der",Sensitivität_bzw_Monte_Carlo_bei_Strom[[#This Row],[Source.Name]],1))="Auszahlung_a","Auszahlung",""),"")</f>
        <v/>
      </c>
      <c r="D353" s="1"/>
    </row>
    <row r="354" spans="1:4" x14ac:dyDescent="0.3">
      <c r="A354" s="1"/>
      <c r="B354" s="1" t="str">
        <f>IFERROR(IF(LEFT(Sensitivität_bzw_Monte_Carlo_bei_Strom[[#This Row],[Source.Name]],SEARCH("aus_der",Sensitivität_bzw_Monte_Carlo_bei_Strom[[#This Row],[Source.Name]],1))="Auszahlung_a","Auszahlung",""),"")</f>
        <v/>
      </c>
      <c r="D354" s="1"/>
    </row>
    <row r="355" spans="1:4" x14ac:dyDescent="0.3">
      <c r="A355" s="1"/>
      <c r="B355" s="1" t="str">
        <f>IFERROR(IF(LEFT(Sensitivität_bzw_Monte_Carlo_bei_Strom[[#This Row],[Source.Name]],SEARCH("aus_der",Sensitivität_bzw_Monte_Carlo_bei_Strom[[#This Row],[Source.Name]],1))="Auszahlung_a","Auszahlung",""),"")</f>
        <v/>
      </c>
      <c r="D355" s="1"/>
    </row>
    <row r="356" spans="1:4" x14ac:dyDescent="0.3">
      <c r="A356" s="1"/>
      <c r="B356" s="1" t="str">
        <f>IFERROR(IF(LEFT(Sensitivität_bzw_Monte_Carlo_bei_Strom[[#This Row],[Source.Name]],SEARCH("aus_der",Sensitivität_bzw_Monte_Carlo_bei_Strom[[#This Row],[Source.Name]],1))="Auszahlung_a","Auszahlung",""),"")</f>
        <v/>
      </c>
      <c r="D356" s="1"/>
    </row>
    <row r="357" spans="1:4" x14ac:dyDescent="0.3">
      <c r="A357" s="1"/>
      <c r="B357" s="1" t="str">
        <f>IFERROR(IF(LEFT(Sensitivität_bzw_Monte_Carlo_bei_Strom[[#This Row],[Source.Name]],SEARCH("aus_der",Sensitivität_bzw_Monte_Carlo_bei_Strom[[#This Row],[Source.Name]],1))="Auszahlung_a","Auszahlung",""),"")</f>
        <v/>
      </c>
      <c r="D357" s="1"/>
    </row>
    <row r="358" spans="1:4" x14ac:dyDescent="0.3">
      <c r="A358" s="1"/>
      <c r="B358" s="1" t="str">
        <f>IFERROR(IF(LEFT(Sensitivität_bzw_Monte_Carlo_bei_Strom[[#This Row],[Source.Name]],SEARCH("aus_der",Sensitivität_bzw_Monte_Carlo_bei_Strom[[#This Row],[Source.Name]],1))="Auszahlung_a","Auszahlung",""),"")</f>
        <v/>
      </c>
      <c r="D358" s="1"/>
    </row>
    <row r="359" spans="1:4" x14ac:dyDescent="0.3">
      <c r="A359" s="1"/>
      <c r="B359" s="1" t="str">
        <f>IFERROR(IF(LEFT(Sensitivität_bzw_Monte_Carlo_bei_Strom[[#This Row],[Source.Name]],SEARCH("aus_der",Sensitivität_bzw_Monte_Carlo_bei_Strom[[#This Row],[Source.Name]],1))="Auszahlung_a","Auszahlung",""),"")</f>
        <v/>
      </c>
      <c r="D359" s="1"/>
    </row>
    <row r="360" spans="1:4" x14ac:dyDescent="0.3">
      <c r="A360" s="1"/>
      <c r="B360" s="1" t="str">
        <f>IFERROR(IF(LEFT(Sensitivität_bzw_Monte_Carlo_bei_Strom[[#This Row],[Source.Name]],SEARCH("aus_der",Sensitivität_bzw_Monte_Carlo_bei_Strom[[#This Row],[Source.Name]],1))="Auszahlung_a","Auszahlung",""),"")</f>
        <v/>
      </c>
      <c r="D360" s="1"/>
    </row>
    <row r="361" spans="1:4" x14ac:dyDescent="0.3">
      <c r="A361" s="1"/>
      <c r="B361" s="1" t="str">
        <f>IFERROR(IF(LEFT(Sensitivität_bzw_Monte_Carlo_bei_Strom[[#This Row],[Source.Name]],SEARCH("aus_der",Sensitivität_bzw_Monte_Carlo_bei_Strom[[#This Row],[Source.Name]],1))="Auszahlung_a","Auszahlung",""),"")</f>
        <v/>
      </c>
      <c r="D361" s="1"/>
    </row>
    <row r="362" spans="1:4" x14ac:dyDescent="0.3">
      <c r="A362" s="1"/>
      <c r="B362" s="1" t="str">
        <f>IFERROR(IF(LEFT(Sensitivität_bzw_Monte_Carlo_bei_Strom[[#This Row],[Source.Name]],SEARCH("aus_der",Sensitivität_bzw_Monte_Carlo_bei_Strom[[#This Row],[Source.Name]],1))="Auszahlung_a","Auszahlung",""),"")</f>
        <v/>
      </c>
      <c r="D362" s="1"/>
    </row>
    <row r="363" spans="1:4" x14ac:dyDescent="0.3">
      <c r="A363" s="1"/>
      <c r="B363" s="1" t="str">
        <f>IFERROR(IF(LEFT(Sensitivität_bzw_Monte_Carlo_bei_Strom[[#This Row],[Source.Name]],SEARCH("aus_der",Sensitivität_bzw_Monte_Carlo_bei_Strom[[#This Row],[Source.Name]],1))="Auszahlung_a","Auszahlung",""),"")</f>
        <v/>
      </c>
      <c r="D363" s="1"/>
    </row>
    <row r="364" spans="1:4" x14ac:dyDescent="0.3">
      <c r="A364" s="1"/>
      <c r="B364" s="1" t="str">
        <f>IFERROR(IF(LEFT(Sensitivität_bzw_Monte_Carlo_bei_Strom[[#This Row],[Source.Name]],SEARCH("aus_der",Sensitivität_bzw_Monte_Carlo_bei_Strom[[#This Row],[Source.Name]],1))="Auszahlung_a","Auszahlung",""),"")</f>
        <v/>
      </c>
      <c r="D364" s="1"/>
    </row>
    <row r="365" spans="1:4" x14ac:dyDescent="0.3">
      <c r="A365" s="1"/>
      <c r="B365" s="1" t="str">
        <f>IFERROR(IF(LEFT(Sensitivität_bzw_Monte_Carlo_bei_Strom[[#This Row],[Source.Name]],SEARCH("aus_der",Sensitivität_bzw_Monte_Carlo_bei_Strom[[#This Row],[Source.Name]],1))="Auszahlung_a","Auszahlung",""),"")</f>
        <v/>
      </c>
      <c r="D365" s="1"/>
    </row>
    <row r="366" spans="1:4" x14ac:dyDescent="0.3">
      <c r="A366" s="1"/>
      <c r="B366" s="1" t="str">
        <f>IFERROR(IF(LEFT(Sensitivität_bzw_Monte_Carlo_bei_Strom[[#This Row],[Source.Name]],SEARCH("aus_der",Sensitivität_bzw_Monte_Carlo_bei_Strom[[#This Row],[Source.Name]],1))="Auszahlung_a","Auszahlung",""),"")</f>
        <v/>
      </c>
      <c r="D366" s="1"/>
    </row>
    <row r="367" spans="1:4" x14ac:dyDescent="0.3">
      <c r="A367" s="1"/>
      <c r="B367" s="1" t="str">
        <f>IFERROR(IF(LEFT(Sensitivität_bzw_Monte_Carlo_bei_Strom[[#This Row],[Source.Name]],SEARCH("aus_der",Sensitivität_bzw_Monte_Carlo_bei_Strom[[#This Row],[Source.Name]],1))="Auszahlung_a","Auszahlung",""),"")</f>
        <v/>
      </c>
      <c r="D367" s="1"/>
    </row>
    <row r="368" spans="1:4" x14ac:dyDescent="0.3">
      <c r="A368" s="1"/>
      <c r="B368" s="1" t="str">
        <f>IFERROR(IF(LEFT(Sensitivität_bzw_Monte_Carlo_bei_Strom[[#This Row],[Source.Name]],SEARCH("aus_der",Sensitivität_bzw_Monte_Carlo_bei_Strom[[#This Row],[Source.Name]],1))="Auszahlung_a","Auszahlung",""),"")</f>
        <v/>
      </c>
      <c r="D368" s="1"/>
    </row>
    <row r="369" spans="1:4" x14ac:dyDescent="0.3">
      <c r="A369" s="1"/>
      <c r="B369" s="1" t="str">
        <f>IFERROR(IF(LEFT(Sensitivität_bzw_Monte_Carlo_bei_Strom[[#This Row],[Source.Name]],SEARCH("aus_der",Sensitivität_bzw_Monte_Carlo_bei_Strom[[#This Row],[Source.Name]],1))="Auszahlung_a","Auszahlung",""),"")</f>
        <v/>
      </c>
      <c r="D369" s="1"/>
    </row>
    <row r="370" spans="1:4" x14ac:dyDescent="0.3">
      <c r="A370" s="1"/>
      <c r="B370" s="1" t="str">
        <f>IFERROR(IF(LEFT(Sensitivität_bzw_Monte_Carlo_bei_Strom[[#This Row],[Source.Name]],SEARCH("aus_der",Sensitivität_bzw_Monte_Carlo_bei_Strom[[#This Row],[Source.Name]],1))="Auszahlung_a","Auszahlung",""),"")</f>
        <v/>
      </c>
      <c r="D370" s="1"/>
    </row>
    <row r="371" spans="1:4" x14ac:dyDescent="0.3">
      <c r="A371" s="1"/>
      <c r="B371" s="1" t="str">
        <f>IFERROR(IF(LEFT(Sensitivität_bzw_Monte_Carlo_bei_Strom[[#This Row],[Source.Name]],SEARCH("aus_der",Sensitivität_bzw_Monte_Carlo_bei_Strom[[#This Row],[Source.Name]],1))="Auszahlung_a","Auszahlung",""),"")</f>
        <v/>
      </c>
      <c r="D371" s="1"/>
    </row>
    <row r="372" spans="1:4" x14ac:dyDescent="0.3">
      <c r="A372" s="1"/>
      <c r="B372" s="1" t="str">
        <f>IFERROR(IF(LEFT(Sensitivität_bzw_Monte_Carlo_bei_Strom[[#This Row],[Source.Name]],SEARCH("aus_der",Sensitivität_bzw_Monte_Carlo_bei_Strom[[#This Row],[Source.Name]],1))="Auszahlung_a","Auszahlung",""),"")</f>
        <v/>
      </c>
      <c r="D372" s="1"/>
    </row>
    <row r="373" spans="1:4" x14ac:dyDescent="0.3">
      <c r="A373" s="1"/>
      <c r="B373" s="1" t="str">
        <f>IFERROR(IF(LEFT(Sensitivität_bzw_Monte_Carlo_bei_Strom[[#This Row],[Source.Name]],SEARCH("aus_der",Sensitivität_bzw_Monte_Carlo_bei_Strom[[#This Row],[Source.Name]],1))="Auszahlung_a","Auszahlung",""),"")</f>
        <v/>
      </c>
      <c r="D373" s="1"/>
    </row>
    <row r="374" spans="1:4" x14ac:dyDescent="0.3">
      <c r="A374" s="1"/>
      <c r="B374" s="1" t="str">
        <f>IFERROR(IF(LEFT(Sensitivität_bzw_Monte_Carlo_bei_Strom[[#This Row],[Source.Name]],SEARCH("aus_der",Sensitivität_bzw_Monte_Carlo_bei_Strom[[#This Row],[Source.Name]],1))="Auszahlung_a","Auszahlung",""),"")</f>
        <v/>
      </c>
      <c r="D374" s="1"/>
    </row>
    <row r="375" spans="1:4" x14ac:dyDescent="0.3">
      <c r="A375" s="1"/>
      <c r="B375" s="1" t="str">
        <f>IFERROR(IF(LEFT(Sensitivität_bzw_Monte_Carlo_bei_Strom[[#This Row],[Source.Name]],SEARCH("aus_der",Sensitivität_bzw_Monte_Carlo_bei_Strom[[#This Row],[Source.Name]],1))="Auszahlung_a","Auszahlung",""),"")</f>
        <v/>
      </c>
      <c r="D375" s="1"/>
    </row>
    <row r="376" spans="1:4" x14ac:dyDescent="0.3">
      <c r="A376" s="1"/>
      <c r="B376" s="1" t="str">
        <f>IFERROR(IF(LEFT(Sensitivität_bzw_Monte_Carlo_bei_Strom[[#This Row],[Source.Name]],SEARCH("aus_der",Sensitivität_bzw_Monte_Carlo_bei_Strom[[#This Row],[Source.Name]],1))="Auszahlung_a","Auszahlung",""),"")</f>
        <v/>
      </c>
      <c r="D376" s="1"/>
    </row>
    <row r="377" spans="1:4" x14ac:dyDescent="0.3">
      <c r="A377" s="1"/>
      <c r="B377" s="1" t="str">
        <f>IFERROR(IF(LEFT(Sensitivität_bzw_Monte_Carlo_bei_Strom[[#This Row],[Source.Name]],SEARCH("aus_der",Sensitivität_bzw_Monte_Carlo_bei_Strom[[#This Row],[Source.Name]],1))="Auszahlung_a","Auszahlung",""),"")</f>
        <v/>
      </c>
      <c r="D377" s="1"/>
    </row>
    <row r="378" spans="1:4" x14ac:dyDescent="0.3">
      <c r="A378" s="1"/>
      <c r="B378" s="1" t="str">
        <f>IFERROR(IF(LEFT(Sensitivität_bzw_Monte_Carlo_bei_Strom[[#This Row],[Source.Name]],SEARCH("aus_der",Sensitivität_bzw_Monte_Carlo_bei_Strom[[#This Row],[Source.Name]],1))="Auszahlung_a","Auszahlung",""),"")</f>
        <v/>
      </c>
      <c r="D378" s="1"/>
    </row>
    <row r="379" spans="1:4" x14ac:dyDescent="0.3">
      <c r="A379" s="1"/>
      <c r="B379" s="1" t="str">
        <f>IFERROR(IF(LEFT(Sensitivität_bzw_Monte_Carlo_bei_Strom[[#This Row],[Source.Name]],SEARCH("aus_der",Sensitivität_bzw_Monte_Carlo_bei_Strom[[#This Row],[Source.Name]],1))="Auszahlung_a","Auszahlung",""),"")</f>
        <v/>
      </c>
      <c r="D379" s="1"/>
    </row>
    <row r="380" spans="1:4" x14ac:dyDescent="0.3">
      <c r="A380" s="1"/>
      <c r="B380" s="1" t="str">
        <f>IFERROR(IF(LEFT(Sensitivität_bzw_Monte_Carlo_bei_Strom[[#This Row],[Source.Name]],SEARCH("aus_der",Sensitivität_bzw_Monte_Carlo_bei_Strom[[#This Row],[Source.Name]],1))="Auszahlung_a","Auszahlung",""),"")</f>
        <v/>
      </c>
      <c r="D380" s="1"/>
    </row>
    <row r="381" spans="1:4" x14ac:dyDescent="0.3">
      <c r="A381" s="1"/>
      <c r="B381" s="1" t="str">
        <f>IFERROR(IF(LEFT(Sensitivität_bzw_Monte_Carlo_bei_Strom[[#This Row],[Source.Name]],SEARCH("aus_der",Sensitivität_bzw_Monte_Carlo_bei_Strom[[#This Row],[Source.Name]],1))="Auszahlung_a","Auszahlung",""),"")</f>
        <v/>
      </c>
      <c r="D381" s="1"/>
    </row>
    <row r="382" spans="1:4" x14ac:dyDescent="0.3">
      <c r="A382" s="1"/>
      <c r="B382" s="1" t="str">
        <f>IFERROR(IF(LEFT(Sensitivität_bzw_Monte_Carlo_bei_Strom[[#This Row],[Source.Name]],SEARCH("aus_der",Sensitivität_bzw_Monte_Carlo_bei_Strom[[#This Row],[Source.Name]],1))="Auszahlung_a","Auszahlung",""),"")</f>
        <v/>
      </c>
      <c r="D382" s="1"/>
    </row>
    <row r="383" spans="1:4" x14ac:dyDescent="0.3">
      <c r="A383" s="1"/>
      <c r="B383" s="1" t="str">
        <f>IFERROR(IF(LEFT(Sensitivität_bzw_Monte_Carlo_bei_Strom[[#This Row],[Source.Name]],SEARCH("aus_der",Sensitivität_bzw_Monte_Carlo_bei_Strom[[#This Row],[Source.Name]],1))="Auszahlung_a","Auszahlung",""),"")</f>
        <v/>
      </c>
      <c r="D383" s="1"/>
    </row>
    <row r="384" spans="1:4" x14ac:dyDescent="0.3">
      <c r="A384" s="1"/>
      <c r="B384" s="1" t="str">
        <f>IFERROR(IF(LEFT(Sensitivität_bzw_Monte_Carlo_bei_Strom[[#This Row],[Source.Name]],SEARCH("aus_der",Sensitivität_bzw_Monte_Carlo_bei_Strom[[#This Row],[Source.Name]],1))="Auszahlung_a","Auszahlung",""),"")</f>
        <v/>
      </c>
      <c r="D384" s="1"/>
    </row>
    <row r="385" spans="1:4" x14ac:dyDescent="0.3">
      <c r="A385" s="1"/>
      <c r="B385" s="1" t="str">
        <f>IFERROR(IF(LEFT(Sensitivität_bzw_Monte_Carlo_bei_Strom[[#This Row],[Source.Name]],SEARCH("aus_der",Sensitivität_bzw_Monte_Carlo_bei_Strom[[#This Row],[Source.Name]],1))="Auszahlung_a","Auszahlung",""),"")</f>
        <v/>
      </c>
      <c r="D385" s="1"/>
    </row>
    <row r="386" spans="1:4" x14ac:dyDescent="0.3">
      <c r="A386" s="1"/>
      <c r="B386" s="1" t="str">
        <f>IFERROR(IF(LEFT(Sensitivität_bzw_Monte_Carlo_bei_Strom[[#This Row],[Source.Name]],SEARCH("aus_der",Sensitivität_bzw_Monte_Carlo_bei_Strom[[#This Row],[Source.Name]],1))="Auszahlung_a","Auszahlung",""),"")</f>
        <v/>
      </c>
      <c r="D386" s="1"/>
    </row>
    <row r="387" spans="1:4" x14ac:dyDescent="0.3">
      <c r="A387" s="1"/>
      <c r="B387" s="1" t="str">
        <f>IFERROR(IF(LEFT(Sensitivität_bzw_Monte_Carlo_bei_Strom[[#This Row],[Source.Name]],SEARCH("aus_der",Sensitivität_bzw_Monte_Carlo_bei_Strom[[#This Row],[Source.Name]],1))="Auszahlung_a","Auszahlung",""),"")</f>
        <v/>
      </c>
      <c r="D387" s="1"/>
    </row>
    <row r="388" spans="1:4" x14ac:dyDescent="0.3">
      <c r="A388" s="1"/>
      <c r="B388" s="1" t="str">
        <f>IFERROR(IF(LEFT(Sensitivität_bzw_Monte_Carlo_bei_Strom[[#This Row],[Source.Name]],SEARCH("aus_der",Sensitivität_bzw_Monte_Carlo_bei_Strom[[#This Row],[Source.Name]],1))="Auszahlung_a","Auszahlung",""),"")</f>
        <v/>
      </c>
      <c r="D388" s="1"/>
    </row>
    <row r="389" spans="1:4" x14ac:dyDescent="0.3">
      <c r="A389" s="1"/>
      <c r="B389" s="1" t="str">
        <f>IFERROR(IF(LEFT(Sensitivität_bzw_Monte_Carlo_bei_Strom[[#This Row],[Source.Name]],SEARCH("aus_der",Sensitivität_bzw_Monte_Carlo_bei_Strom[[#This Row],[Source.Name]],1))="Auszahlung_a","Auszahlung",""),"")</f>
        <v/>
      </c>
      <c r="D389" s="1"/>
    </row>
    <row r="390" spans="1:4" x14ac:dyDescent="0.3">
      <c r="A390" s="1"/>
      <c r="B390" s="1" t="str">
        <f>IFERROR(IF(LEFT(Sensitivität_bzw_Monte_Carlo_bei_Strom[[#This Row],[Source.Name]],SEARCH("aus_der",Sensitivität_bzw_Monte_Carlo_bei_Strom[[#This Row],[Source.Name]],1))="Auszahlung_a","Auszahlung",""),"")</f>
        <v/>
      </c>
      <c r="D390" s="1"/>
    </row>
    <row r="391" spans="1:4" x14ac:dyDescent="0.3">
      <c r="A391" s="1"/>
      <c r="B391" s="1" t="str">
        <f>IFERROR(IF(LEFT(Sensitivität_bzw_Monte_Carlo_bei_Strom[[#This Row],[Source.Name]],SEARCH("aus_der",Sensitivität_bzw_Monte_Carlo_bei_Strom[[#This Row],[Source.Name]],1))="Auszahlung_a","Auszahlung",""),"")</f>
        <v/>
      </c>
      <c r="D391" s="1"/>
    </row>
    <row r="392" spans="1:4" x14ac:dyDescent="0.3">
      <c r="A392" s="1"/>
      <c r="B392" s="1" t="str">
        <f>IFERROR(IF(LEFT(Sensitivität_bzw_Monte_Carlo_bei_Strom[[#This Row],[Source.Name]],SEARCH("aus_der",Sensitivität_bzw_Monte_Carlo_bei_Strom[[#This Row],[Source.Name]],1))="Auszahlung_a","Auszahlung",""),"")</f>
        <v/>
      </c>
      <c r="D392" s="1"/>
    </row>
    <row r="393" spans="1:4" x14ac:dyDescent="0.3">
      <c r="A393" s="1"/>
      <c r="B393" s="1" t="str">
        <f>IFERROR(IF(LEFT(Sensitivität_bzw_Monte_Carlo_bei_Strom[[#This Row],[Source.Name]],SEARCH("aus_der",Sensitivität_bzw_Monte_Carlo_bei_Strom[[#This Row],[Source.Name]],1))="Auszahlung_a","Auszahlung",""),"")</f>
        <v/>
      </c>
      <c r="D393" s="1"/>
    </row>
    <row r="394" spans="1:4" x14ac:dyDescent="0.3">
      <c r="A394" s="1"/>
      <c r="B394" s="1" t="str">
        <f>IFERROR(IF(LEFT(Sensitivität_bzw_Monte_Carlo_bei_Strom[[#This Row],[Source.Name]],SEARCH("aus_der",Sensitivität_bzw_Monte_Carlo_bei_Strom[[#This Row],[Source.Name]],1))="Auszahlung_a","Auszahlung",""),"")</f>
        <v/>
      </c>
      <c r="D394" s="1"/>
    </row>
    <row r="395" spans="1:4" x14ac:dyDescent="0.3">
      <c r="A395" s="1"/>
      <c r="B395" s="1" t="str">
        <f>IFERROR(IF(LEFT(Sensitivität_bzw_Monte_Carlo_bei_Strom[[#This Row],[Source.Name]],SEARCH("aus_der",Sensitivität_bzw_Monte_Carlo_bei_Strom[[#This Row],[Source.Name]],1))="Auszahlung_a","Auszahlung",""),"")</f>
        <v/>
      </c>
      <c r="D395" s="1"/>
    </row>
    <row r="396" spans="1:4" x14ac:dyDescent="0.3">
      <c r="A396" s="1"/>
      <c r="B396" s="1" t="str">
        <f>IFERROR(IF(LEFT(Sensitivität_bzw_Monte_Carlo_bei_Strom[[#This Row],[Source.Name]],SEARCH("aus_der",Sensitivität_bzw_Monte_Carlo_bei_Strom[[#This Row],[Source.Name]],1))="Auszahlung_a","Auszahlung",""),"")</f>
        <v/>
      </c>
      <c r="D396" s="1"/>
    </row>
    <row r="397" spans="1:4" x14ac:dyDescent="0.3">
      <c r="A397" s="1"/>
      <c r="B397" s="1" t="str">
        <f>IFERROR(IF(LEFT(Sensitivität_bzw_Monte_Carlo_bei_Strom[[#This Row],[Source.Name]],SEARCH("aus_der",Sensitivität_bzw_Monte_Carlo_bei_Strom[[#This Row],[Source.Name]],1))="Auszahlung_a","Auszahlung",""),"")</f>
        <v/>
      </c>
      <c r="D397" s="1"/>
    </row>
    <row r="398" spans="1:4" x14ac:dyDescent="0.3">
      <c r="A398" s="1"/>
      <c r="B398" s="1" t="str">
        <f>IFERROR(IF(LEFT(Sensitivität_bzw_Monte_Carlo_bei_Strom[[#This Row],[Source.Name]],SEARCH("aus_der",Sensitivität_bzw_Monte_Carlo_bei_Strom[[#This Row],[Source.Name]],1))="Auszahlung_a","Auszahlung",""),"")</f>
        <v/>
      </c>
      <c r="D398" s="1"/>
    </row>
    <row r="399" spans="1:4" x14ac:dyDescent="0.3">
      <c r="A399" s="1"/>
      <c r="B399" s="1" t="str">
        <f>IFERROR(IF(LEFT(Sensitivität_bzw_Monte_Carlo_bei_Strom[[#This Row],[Source.Name]],SEARCH("aus_der",Sensitivität_bzw_Monte_Carlo_bei_Strom[[#This Row],[Source.Name]],1))="Auszahlung_a","Auszahlung",""),"")</f>
        <v/>
      </c>
      <c r="D399" s="1"/>
    </row>
    <row r="400" spans="1:4" x14ac:dyDescent="0.3">
      <c r="A400" s="1"/>
      <c r="B400" s="1" t="str">
        <f>IFERROR(IF(LEFT(Sensitivität_bzw_Monte_Carlo_bei_Strom[[#This Row],[Source.Name]],SEARCH("aus_der",Sensitivität_bzw_Monte_Carlo_bei_Strom[[#This Row],[Source.Name]],1))="Auszahlung_a","Auszahlung",""),"")</f>
        <v/>
      </c>
      <c r="D400" s="1"/>
    </row>
    <row r="401" spans="1:4" x14ac:dyDescent="0.3">
      <c r="A401" s="1"/>
      <c r="B401" s="1" t="str">
        <f>IFERROR(IF(LEFT(Sensitivität_bzw_Monte_Carlo_bei_Strom[[#This Row],[Source.Name]],SEARCH("aus_der",Sensitivität_bzw_Monte_Carlo_bei_Strom[[#This Row],[Source.Name]],1))="Auszahlung_a","Auszahlung",""),"")</f>
        <v/>
      </c>
      <c r="D401" s="1"/>
    </row>
    <row r="402" spans="1:4" x14ac:dyDescent="0.3">
      <c r="A402" s="1"/>
      <c r="B402" s="1" t="str">
        <f>IFERROR(IF(LEFT(Sensitivität_bzw_Monte_Carlo_bei_Strom[[#This Row],[Source.Name]],SEARCH("aus_der",Sensitivität_bzw_Monte_Carlo_bei_Strom[[#This Row],[Source.Name]],1))="Auszahlung_a","Auszahlung",""),"")</f>
        <v/>
      </c>
      <c r="D402" s="1"/>
    </row>
    <row r="403" spans="1:4" x14ac:dyDescent="0.3">
      <c r="A403" s="1"/>
      <c r="B403" s="1" t="str">
        <f>IFERROR(IF(LEFT(Sensitivität_bzw_Monte_Carlo_bei_Strom[[#This Row],[Source.Name]],SEARCH("aus_der",Sensitivität_bzw_Monte_Carlo_bei_Strom[[#This Row],[Source.Name]],1))="Auszahlung_a","Auszahlung",""),"")</f>
        <v/>
      </c>
      <c r="D403" s="1"/>
    </row>
    <row r="404" spans="1:4" x14ac:dyDescent="0.3">
      <c r="A404" s="1"/>
      <c r="B404" s="1" t="str">
        <f>IFERROR(IF(LEFT(Sensitivität_bzw_Monte_Carlo_bei_Strom[[#This Row],[Source.Name]],SEARCH("aus_der",Sensitivität_bzw_Monte_Carlo_bei_Strom[[#This Row],[Source.Name]],1))="Auszahlung_a","Auszahlung",""),"")</f>
        <v/>
      </c>
      <c r="D404" s="1"/>
    </row>
    <row r="405" spans="1:4" x14ac:dyDescent="0.3">
      <c r="A405" s="1"/>
      <c r="B405" s="1" t="str">
        <f>IFERROR(IF(LEFT(Sensitivität_bzw_Monte_Carlo_bei_Strom[[#This Row],[Source.Name]],SEARCH("aus_der",Sensitivität_bzw_Monte_Carlo_bei_Strom[[#This Row],[Source.Name]],1))="Auszahlung_a","Auszahlung",""),"")</f>
        <v/>
      </c>
      <c r="D405" s="1"/>
    </row>
    <row r="406" spans="1:4" x14ac:dyDescent="0.3">
      <c r="A406" s="1"/>
      <c r="B406" s="1" t="str">
        <f>IFERROR(IF(LEFT(Sensitivität_bzw_Monte_Carlo_bei_Strom[[#This Row],[Source.Name]],SEARCH("aus_der",Sensitivität_bzw_Monte_Carlo_bei_Strom[[#This Row],[Source.Name]],1))="Auszahlung_a","Auszahlung",""),"")</f>
        <v/>
      </c>
      <c r="D406" s="1"/>
    </row>
    <row r="407" spans="1:4" x14ac:dyDescent="0.3">
      <c r="A407" s="1"/>
      <c r="B407" s="1" t="str">
        <f>IFERROR(IF(LEFT(Sensitivität_bzw_Monte_Carlo_bei_Strom[[#This Row],[Source.Name]],SEARCH("aus_der",Sensitivität_bzw_Monte_Carlo_bei_Strom[[#This Row],[Source.Name]],1))="Auszahlung_a","Auszahlung",""),"")</f>
        <v/>
      </c>
      <c r="D407" s="1"/>
    </row>
    <row r="408" spans="1:4" x14ac:dyDescent="0.3">
      <c r="A408" s="1"/>
      <c r="B408" s="1" t="str">
        <f>IFERROR(IF(LEFT(Sensitivität_bzw_Monte_Carlo_bei_Strom[[#This Row],[Source.Name]],SEARCH("aus_der",Sensitivität_bzw_Monte_Carlo_bei_Strom[[#This Row],[Source.Name]],1))="Auszahlung_a","Auszahlung",""),"")</f>
        <v/>
      </c>
      <c r="D408" s="1"/>
    </row>
    <row r="409" spans="1:4" x14ac:dyDescent="0.3">
      <c r="A409" s="1"/>
      <c r="B409" s="1" t="str">
        <f>IFERROR(IF(LEFT(Sensitivität_bzw_Monte_Carlo_bei_Strom[[#This Row],[Source.Name]],SEARCH("aus_der",Sensitivität_bzw_Monte_Carlo_bei_Strom[[#This Row],[Source.Name]],1))="Auszahlung_a","Auszahlung",""),"")</f>
        <v/>
      </c>
      <c r="D409" s="1"/>
    </row>
    <row r="410" spans="1:4" x14ac:dyDescent="0.3">
      <c r="A410" s="1"/>
      <c r="B410" s="1" t="str">
        <f>IFERROR(IF(LEFT(Sensitivität_bzw_Monte_Carlo_bei_Strom[[#This Row],[Source.Name]],SEARCH("aus_der",Sensitivität_bzw_Monte_Carlo_bei_Strom[[#This Row],[Source.Name]],1))="Auszahlung_a","Auszahlung",""),"")</f>
        <v/>
      </c>
      <c r="D410" s="1"/>
    </row>
    <row r="411" spans="1:4" x14ac:dyDescent="0.3">
      <c r="A411" s="1"/>
      <c r="B411" s="1" t="str">
        <f>IFERROR(IF(LEFT(Sensitivität_bzw_Monte_Carlo_bei_Strom[[#This Row],[Source.Name]],SEARCH("aus_der",Sensitivität_bzw_Monte_Carlo_bei_Strom[[#This Row],[Source.Name]],1))="Auszahlung_a","Auszahlung",""),"")</f>
        <v/>
      </c>
      <c r="D411" s="1"/>
    </row>
    <row r="412" spans="1:4" x14ac:dyDescent="0.3">
      <c r="A412" s="1"/>
      <c r="B412" s="1" t="str">
        <f>IFERROR(IF(LEFT(Sensitivität_bzw_Monte_Carlo_bei_Strom[[#This Row],[Source.Name]],SEARCH("aus_der",Sensitivität_bzw_Monte_Carlo_bei_Strom[[#This Row],[Source.Name]],1))="Auszahlung_a","Auszahlung",""),"")</f>
        <v/>
      </c>
      <c r="D412" s="1"/>
    </row>
    <row r="413" spans="1:4" x14ac:dyDescent="0.3">
      <c r="A413" s="1"/>
      <c r="B413" s="1" t="str">
        <f>IFERROR(IF(LEFT(Sensitivität_bzw_Monte_Carlo_bei_Strom[[#This Row],[Source.Name]],SEARCH("aus_der",Sensitivität_bzw_Monte_Carlo_bei_Strom[[#This Row],[Source.Name]],1))="Auszahlung_a","Auszahlung",""),"")</f>
        <v/>
      </c>
      <c r="D413" s="1"/>
    </row>
    <row r="414" spans="1:4" x14ac:dyDescent="0.3">
      <c r="A414" s="1"/>
      <c r="B414" s="1" t="str">
        <f>IFERROR(IF(LEFT(Sensitivität_bzw_Monte_Carlo_bei_Strom[[#This Row],[Source.Name]],SEARCH("aus_der",Sensitivität_bzw_Monte_Carlo_bei_Strom[[#This Row],[Source.Name]],1))="Auszahlung_a","Auszahlung",""),"")</f>
        <v/>
      </c>
      <c r="D414" s="1"/>
    </row>
    <row r="415" spans="1:4" x14ac:dyDescent="0.3">
      <c r="A415" s="1"/>
      <c r="B415" s="1" t="str">
        <f>IFERROR(IF(LEFT(Sensitivität_bzw_Monte_Carlo_bei_Strom[[#This Row],[Source.Name]],SEARCH("aus_der",Sensitivität_bzw_Monte_Carlo_bei_Strom[[#This Row],[Source.Name]],1))="Auszahlung_a","Auszahlung",""),"")</f>
        <v/>
      </c>
      <c r="D415" s="1"/>
    </row>
    <row r="416" spans="1:4" x14ac:dyDescent="0.3">
      <c r="A416" s="1"/>
      <c r="B416" s="1" t="str">
        <f>IFERROR(IF(LEFT(Sensitivität_bzw_Monte_Carlo_bei_Strom[[#This Row],[Source.Name]],SEARCH("aus_der",Sensitivität_bzw_Monte_Carlo_bei_Strom[[#This Row],[Source.Name]],1))="Auszahlung_a","Auszahlung",""),"")</f>
        <v/>
      </c>
      <c r="D416" s="1"/>
    </row>
    <row r="417" spans="1:4" x14ac:dyDescent="0.3">
      <c r="A417" s="1"/>
      <c r="B417" s="1" t="str">
        <f>IFERROR(IF(LEFT(Sensitivität_bzw_Monte_Carlo_bei_Strom[[#This Row],[Source.Name]],SEARCH("aus_der",Sensitivität_bzw_Monte_Carlo_bei_Strom[[#This Row],[Source.Name]],1))="Auszahlung_a","Auszahlung",""),"")</f>
        <v/>
      </c>
      <c r="D417" s="1"/>
    </row>
    <row r="418" spans="1:4" x14ac:dyDescent="0.3">
      <c r="A418" s="1"/>
      <c r="B418" s="1" t="str">
        <f>IFERROR(IF(LEFT(Sensitivität_bzw_Monte_Carlo_bei_Strom[[#This Row],[Source.Name]],SEARCH("aus_der",Sensitivität_bzw_Monte_Carlo_bei_Strom[[#This Row],[Source.Name]],1))="Auszahlung_a","Auszahlung",""),"")</f>
        <v/>
      </c>
      <c r="D418" s="1"/>
    </row>
    <row r="419" spans="1:4" x14ac:dyDescent="0.3">
      <c r="A419" s="1"/>
      <c r="B419" s="1" t="str">
        <f>IFERROR(IF(LEFT(Sensitivität_bzw_Monte_Carlo_bei_Strom[[#This Row],[Source.Name]],SEARCH("aus_der",Sensitivität_bzw_Monte_Carlo_bei_Strom[[#This Row],[Source.Name]],1))="Auszahlung_a","Auszahlung",""),"")</f>
        <v/>
      </c>
      <c r="D419" s="1"/>
    </row>
    <row r="420" spans="1:4" x14ac:dyDescent="0.3">
      <c r="A420" s="1"/>
      <c r="B420" s="1" t="str">
        <f>IFERROR(IF(LEFT(Sensitivität_bzw_Monte_Carlo_bei_Strom[[#This Row],[Source.Name]],SEARCH("aus_der",Sensitivität_bzw_Monte_Carlo_bei_Strom[[#This Row],[Source.Name]],1))="Auszahlung_a","Auszahlung",""),"")</f>
        <v/>
      </c>
      <c r="D420" s="1"/>
    </row>
    <row r="421" spans="1:4" x14ac:dyDescent="0.3">
      <c r="A421" s="1"/>
      <c r="B421" s="1" t="str">
        <f>IFERROR(IF(LEFT(Sensitivität_bzw_Monte_Carlo_bei_Strom[[#This Row],[Source.Name]],SEARCH("aus_der",Sensitivität_bzw_Monte_Carlo_bei_Strom[[#This Row],[Source.Name]],1))="Auszahlung_a","Auszahlung",""),"")</f>
        <v/>
      </c>
      <c r="D421" s="1"/>
    </row>
    <row r="422" spans="1:4" x14ac:dyDescent="0.3">
      <c r="A422" s="1"/>
      <c r="B422" s="1" t="str">
        <f>IFERROR(IF(LEFT(Sensitivität_bzw_Monte_Carlo_bei_Strom[[#This Row],[Source.Name]],SEARCH("aus_der",Sensitivität_bzw_Monte_Carlo_bei_Strom[[#This Row],[Source.Name]],1))="Auszahlung_a","Auszahlung",""),"")</f>
        <v/>
      </c>
      <c r="D422" s="1"/>
    </row>
    <row r="423" spans="1:4" x14ac:dyDescent="0.3">
      <c r="A423" s="1"/>
      <c r="B423" s="1" t="str">
        <f>IFERROR(IF(LEFT(Sensitivität_bzw_Monte_Carlo_bei_Strom[[#This Row],[Source.Name]],SEARCH("aus_der",Sensitivität_bzw_Monte_Carlo_bei_Strom[[#This Row],[Source.Name]],1))="Auszahlung_a","Auszahlung",""),"")</f>
        <v/>
      </c>
      <c r="D423" s="1"/>
    </row>
    <row r="424" spans="1:4" x14ac:dyDescent="0.3">
      <c r="A424" s="1"/>
      <c r="B424" s="1" t="str">
        <f>IFERROR(IF(LEFT(Sensitivität_bzw_Monte_Carlo_bei_Strom[[#This Row],[Source.Name]],SEARCH("aus_der",Sensitivität_bzw_Monte_Carlo_bei_Strom[[#This Row],[Source.Name]],1))="Auszahlung_a","Auszahlung",""),"")</f>
        <v/>
      </c>
      <c r="D424" s="1"/>
    </row>
    <row r="425" spans="1:4" x14ac:dyDescent="0.3">
      <c r="A425" s="1"/>
      <c r="B425" s="1" t="str">
        <f>IFERROR(IF(LEFT(Sensitivität_bzw_Monte_Carlo_bei_Strom[[#This Row],[Source.Name]],SEARCH("aus_der",Sensitivität_bzw_Monte_Carlo_bei_Strom[[#This Row],[Source.Name]],1))="Auszahlung_a","Auszahlung",""),"")</f>
        <v/>
      </c>
      <c r="D425" s="1"/>
    </row>
    <row r="426" spans="1:4" x14ac:dyDescent="0.3">
      <c r="A426" s="1"/>
      <c r="B426" s="1" t="str">
        <f>IFERROR(IF(LEFT(Sensitivität_bzw_Monte_Carlo_bei_Strom[[#This Row],[Source.Name]],SEARCH("aus_der",Sensitivität_bzw_Monte_Carlo_bei_Strom[[#This Row],[Source.Name]],1))="Auszahlung_a","Auszahlung",""),"")</f>
        <v/>
      </c>
      <c r="D426" s="1"/>
    </row>
    <row r="427" spans="1:4" x14ac:dyDescent="0.3">
      <c r="A427" s="1"/>
      <c r="B427" s="1" t="str">
        <f>IFERROR(IF(LEFT(Sensitivität_bzw_Monte_Carlo_bei_Strom[[#This Row],[Source.Name]],SEARCH("aus_der",Sensitivität_bzw_Monte_Carlo_bei_Strom[[#This Row],[Source.Name]],1))="Auszahlung_a","Auszahlung",""),"")</f>
        <v/>
      </c>
      <c r="D427" s="1"/>
    </row>
    <row r="428" spans="1:4" x14ac:dyDescent="0.3">
      <c r="A428" s="1"/>
      <c r="B428" s="1" t="str">
        <f>IFERROR(IF(LEFT(Sensitivität_bzw_Monte_Carlo_bei_Strom[[#This Row],[Source.Name]],SEARCH("aus_der",Sensitivität_bzw_Monte_Carlo_bei_Strom[[#This Row],[Source.Name]],1))="Auszahlung_a","Auszahlung",""),"")</f>
        <v/>
      </c>
      <c r="D428" s="1"/>
    </row>
    <row r="429" spans="1:4" x14ac:dyDescent="0.3">
      <c r="A429" s="1"/>
      <c r="B429" s="1" t="str">
        <f>IFERROR(IF(LEFT(Sensitivität_bzw_Monte_Carlo_bei_Strom[[#This Row],[Source.Name]],SEARCH("aus_der",Sensitivität_bzw_Monte_Carlo_bei_Strom[[#This Row],[Source.Name]],1))="Auszahlung_a","Auszahlung",""),"")</f>
        <v/>
      </c>
      <c r="D429" s="1"/>
    </row>
    <row r="430" spans="1:4" x14ac:dyDescent="0.3">
      <c r="A430" s="1"/>
      <c r="B430" s="1" t="str">
        <f>IFERROR(IF(LEFT(Sensitivität_bzw_Monte_Carlo_bei_Strom[[#This Row],[Source.Name]],SEARCH("aus_der",Sensitivität_bzw_Monte_Carlo_bei_Strom[[#This Row],[Source.Name]],1))="Auszahlung_a","Auszahlung",""),"")</f>
        <v/>
      </c>
      <c r="D430" s="1"/>
    </row>
    <row r="431" spans="1:4" x14ac:dyDescent="0.3">
      <c r="A431" s="1"/>
      <c r="B431" s="1" t="str">
        <f>IFERROR(IF(LEFT(Sensitivität_bzw_Monte_Carlo_bei_Strom[[#This Row],[Source.Name]],SEARCH("aus_der",Sensitivität_bzw_Monte_Carlo_bei_Strom[[#This Row],[Source.Name]],1))="Auszahlung_a","Auszahlung",""),"")</f>
        <v/>
      </c>
      <c r="D431" s="1"/>
    </row>
    <row r="432" spans="1:4" x14ac:dyDescent="0.3">
      <c r="A432" s="1"/>
      <c r="B432" s="1" t="str">
        <f>IFERROR(IF(LEFT(Sensitivität_bzw_Monte_Carlo_bei_Strom[[#This Row],[Source.Name]],SEARCH("aus_der",Sensitivität_bzw_Monte_Carlo_bei_Strom[[#This Row],[Source.Name]],1))="Auszahlung_a","Auszahlung",""),"")</f>
        <v/>
      </c>
      <c r="D432" s="1"/>
    </row>
    <row r="433" spans="1:4" x14ac:dyDescent="0.3">
      <c r="A433" s="1"/>
      <c r="B433" s="1" t="str">
        <f>IFERROR(IF(LEFT(Sensitivität_bzw_Monte_Carlo_bei_Strom[[#This Row],[Source.Name]],SEARCH("aus_der",Sensitivität_bzw_Monte_Carlo_bei_Strom[[#This Row],[Source.Name]],1))="Auszahlung_a","Auszahlung",""),"")</f>
        <v/>
      </c>
      <c r="D433" s="1"/>
    </row>
    <row r="434" spans="1:4" x14ac:dyDescent="0.3">
      <c r="A434" s="1"/>
      <c r="B434" s="1" t="str">
        <f>IFERROR(IF(LEFT(Sensitivität_bzw_Monte_Carlo_bei_Strom[[#This Row],[Source.Name]],SEARCH("aus_der",Sensitivität_bzw_Monte_Carlo_bei_Strom[[#This Row],[Source.Name]],1))="Auszahlung_a","Auszahlung",""),"")</f>
        <v/>
      </c>
      <c r="D434" s="1"/>
    </row>
    <row r="435" spans="1:4" x14ac:dyDescent="0.3">
      <c r="A435" s="1"/>
      <c r="B435" s="1" t="str">
        <f>IFERROR(IF(LEFT(Sensitivität_bzw_Monte_Carlo_bei_Strom[[#This Row],[Source.Name]],SEARCH("aus_der",Sensitivität_bzw_Monte_Carlo_bei_Strom[[#This Row],[Source.Name]],1))="Auszahlung_a","Auszahlung",""),"")</f>
        <v/>
      </c>
      <c r="D435" s="1"/>
    </row>
    <row r="436" spans="1:4" x14ac:dyDescent="0.3">
      <c r="A436" s="1"/>
      <c r="B436" s="1" t="str">
        <f>IFERROR(IF(LEFT(Sensitivität_bzw_Monte_Carlo_bei_Strom[[#This Row],[Source.Name]],SEARCH("aus_der",Sensitivität_bzw_Monte_Carlo_bei_Strom[[#This Row],[Source.Name]],1))="Auszahlung_a","Auszahlung",""),"")</f>
        <v/>
      </c>
      <c r="D436" s="1"/>
    </row>
    <row r="437" spans="1:4" x14ac:dyDescent="0.3">
      <c r="A437" s="1"/>
      <c r="B437" s="1" t="str">
        <f>IFERROR(IF(LEFT(Sensitivität_bzw_Monte_Carlo_bei_Strom[[#This Row],[Source.Name]],SEARCH("aus_der",Sensitivität_bzw_Monte_Carlo_bei_Strom[[#This Row],[Source.Name]],1))="Auszahlung_a","Auszahlung",""),"")</f>
        <v/>
      </c>
      <c r="D437" s="1"/>
    </row>
    <row r="438" spans="1:4" x14ac:dyDescent="0.3">
      <c r="A438" s="1"/>
      <c r="B438" s="1" t="str">
        <f>IFERROR(IF(LEFT(Sensitivität_bzw_Monte_Carlo_bei_Strom[[#This Row],[Source.Name]],SEARCH("aus_der",Sensitivität_bzw_Monte_Carlo_bei_Strom[[#This Row],[Source.Name]],1))="Auszahlung_a","Auszahlung",""),"")</f>
        <v/>
      </c>
      <c r="D438" s="1"/>
    </row>
    <row r="439" spans="1:4" x14ac:dyDescent="0.3">
      <c r="A439" s="1"/>
      <c r="B439" s="1" t="str">
        <f>IFERROR(IF(LEFT(Sensitivität_bzw_Monte_Carlo_bei_Strom[[#This Row],[Source.Name]],SEARCH("aus_der",Sensitivität_bzw_Monte_Carlo_bei_Strom[[#This Row],[Source.Name]],1))="Auszahlung_a","Auszahlung",""),"")</f>
        <v/>
      </c>
      <c r="D439" s="1"/>
    </row>
    <row r="440" spans="1:4" x14ac:dyDescent="0.3">
      <c r="A440" s="1"/>
      <c r="B440" s="1" t="str">
        <f>IFERROR(IF(LEFT(Sensitivität_bzw_Monte_Carlo_bei_Strom[[#This Row],[Source.Name]],SEARCH("aus_der",Sensitivität_bzw_Monte_Carlo_bei_Strom[[#This Row],[Source.Name]],1))="Auszahlung_a","Auszahlung",""),"")</f>
        <v/>
      </c>
      <c r="D440" s="1"/>
    </row>
    <row r="441" spans="1:4" x14ac:dyDescent="0.3">
      <c r="A441" s="1"/>
      <c r="B441" s="1" t="str">
        <f>IFERROR(IF(LEFT(Sensitivität_bzw_Monte_Carlo_bei_Strom[[#This Row],[Source.Name]],SEARCH("aus_der",Sensitivität_bzw_Monte_Carlo_bei_Strom[[#This Row],[Source.Name]],1))="Auszahlung_a","Auszahlung",""),"")</f>
        <v/>
      </c>
      <c r="D441" s="1"/>
    </row>
    <row r="442" spans="1:4" x14ac:dyDescent="0.3">
      <c r="A442" s="1"/>
      <c r="B442" s="1" t="str">
        <f>IFERROR(IF(LEFT(Sensitivität_bzw_Monte_Carlo_bei_Strom[[#This Row],[Source.Name]],SEARCH("aus_der",Sensitivität_bzw_Monte_Carlo_bei_Strom[[#This Row],[Source.Name]],1))="Auszahlung_a","Auszahlung",""),"")</f>
        <v/>
      </c>
      <c r="D442" s="1"/>
    </row>
    <row r="443" spans="1:4" x14ac:dyDescent="0.3">
      <c r="A443" s="1"/>
      <c r="B443" s="1" t="str">
        <f>IFERROR(IF(LEFT(Sensitivität_bzw_Monte_Carlo_bei_Strom[[#This Row],[Source.Name]],SEARCH("aus_der",Sensitivität_bzw_Monte_Carlo_bei_Strom[[#This Row],[Source.Name]],1))="Auszahlung_a","Auszahlung",""),"")</f>
        <v/>
      </c>
      <c r="D443" s="1"/>
    </row>
    <row r="444" spans="1:4" x14ac:dyDescent="0.3">
      <c r="A444" s="1"/>
      <c r="B444" s="1" t="str">
        <f>IFERROR(IF(LEFT(Sensitivität_bzw_Monte_Carlo_bei_Strom[[#This Row],[Source.Name]],SEARCH("aus_der",Sensitivität_bzw_Monte_Carlo_bei_Strom[[#This Row],[Source.Name]],1))="Auszahlung_a","Auszahlung",""),"")</f>
        <v/>
      </c>
      <c r="D444" s="1"/>
    </row>
    <row r="445" spans="1:4" x14ac:dyDescent="0.3">
      <c r="A445" s="1"/>
      <c r="B445" s="1" t="str">
        <f>IFERROR(IF(LEFT(Sensitivität_bzw_Monte_Carlo_bei_Strom[[#This Row],[Source.Name]],SEARCH("aus_der",Sensitivität_bzw_Monte_Carlo_bei_Strom[[#This Row],[Source.Name]],1))="Auszahlung_a","Auszahlung",""),"")</f>
        <v/>
      </c>
      <c r="D445" s="1"/>
    </row>
    <row r="446" spans="1:4" x14ac:dyDescent="0.3">
      <c r="A446" s="1"/>
      <c r="B446" s="1" t="str">
        <f>IFERROR(IF(LEFT(Sensitivität_bzw_Monte_Carlo_bei_Strom[[#This Row],[Source.Name]],SEARCH("aus_der",Sensitivität_bzw_Monte_Carlo_bei_Strom[[#This Row],[Source.Name]],1))="Auszahlung_a","Auszahlung",""),"")</f>
        <v/>
      </c>
      <c r="D446" s="1"/>
    </row>
    <row r="447" spans="1:4" x14ac:dyDescent="0.3">
      <c r="A447" s="1"/>
      <c r="B447" s="1" t="str">
        <f>IFERROR(IF(LEFT(Sensitivität_bzw_Monte_Carlo_bei_Strom[[#This Row],[Source.Name]],SEARCH("aus_der",Sensitivität_bzw_Monte_Carlo_bei_Strom[[#This Row],[Source.Name]],1))="Auszahlung_a","Auszahlung",""),"")</f>
        <v/>
      </c>
      <c r="D447" s="1"/>
    </row>
    <row r="448" spans="1:4" x14ac:dyDescent="0.3">
      <c r="A448" s="1"/>
      <c r="B448" s="1" t="str">
        <f>IFERROR(IF(LEFT(Sensitivität_bzw_Monte_Carlo_bei_Strom[[#This Row],[Source.Name]],SEARCH("aus_der",Sensitivität_bzw_Monte_Carlo_bei_Strom[[#This Row],[Source.Name]],1))="Auszahlung_a","Auszahlung",""),"")</f>
        <v/>
      </c>
      <c r="D448" s="1"/>
    </row>
    <row r="449" spans="1:4" x14ac:dyDescent="0.3">
      <c r="A449" s="1"/>
      <c r="B449" s="1" t="str">
        <f>IFERROR(IF(LEFT(Sensitivität_bzw_Monte_Carlo_bei_Strom[[#This Row],[Source.Name]],SEARCH("aus_der",Sensitivität_bzw_Monte_Carlo_bei_Strom[[#This Row],[Source.Name]],1))="Auszahlung_a","Auszahlung",""),"")</f>
        <v/>
      </c>
      <c r="D449" s="1"/>
    </row>
    <row r="450" spans="1:4" x14ac:dyDescent="0.3">
      <c r="A450" s="1"/>
      <c r="B450" s="1" t="str">
        <f>IFERROR(IF(LEFT(Sensitivität_bzw_Monte_Carlo_bei_Strom[[#This Row],[Source.Name]],SEARCH("aus_der",Sensitivität_bzw_Monte_Carlo_bei_Strom[[#This Row],[Source.Name]],1))="Auszahlung_a","Auszahlung",""),"")</f>
        <v/>
      </c>
      <c r="D450" s="1"/>
    </row>
    <row r="451" spans="1:4" x14ac:dyDescent="0.3">
      <c r="A451" s="1"/>
      <c r="B451" s="1" t="str">
        <f>IFERROR(IF(LEFT(Sensitivität_bzw_Monte_Carlo_bei_Strom[[#This Row],[Source.Name]],SEARCH("aus_der",Sensitivität_bzw_Monte_Carlo_bei_Strom[[#This Row],[Source.Name]],1))="Auszahlung_a","Auszahlung",""),"")</f>
        <v/>
      </c>
      <c r="D451" s="1"/>
    </row>
    <row r="452" spans="1:4" x14ac:dyDescent="0.3">
      <c r="A452" s="1"/>
      <c r="B452" s="1" t="str">
        <f>IFERROR(IF(LEFT(Sensitivität_bzw_Monte_Carlo_bei_Strom[[#This Row],[Source.Name]],SEARCH("aus_der",Sensitivität_bzw_Monte_Carlo_bei_Strom[[#This Row],[Source.Name]],1))="Auszahlung_a","Auszahlung",""),"")</f>
        <v/>
      </c>
      <c r="D452" s="1"/>
    </row>
    <row r="453" spans="1:4" x14ac:dyDescent="0.3">
      <c r="A453" s="1"/>
      <c r="B453" s="1" t="str">
        <f>IFERROR(IF(LEFT(Sensitivität_bzw_Monte_Carlo_bei_Strom[[#This Row],[Source.Name]],SEARCH("aus_der",Sensitivität_bzw_Monte_Carlo_bei_Strom[[#This Row],[Source.Name]],1))="Auszahlung_a","Auszahlung",""),"")</f>
        <v/>
      </c>
      <c r="D453" s="1"/>
    </row>
    <row r="454" spans="1:4" x14ac:dyDescent="0.3">
      <c r="A454" s="1"/>
      <c r="B454" s="1" t="str">
        <f>IFERROR(IF(LEFT(Sensitivität_bzw_Monte_Carlo_bei_Strom[[#This Row],[Source.Name]],SEARCH("aus_der",Sensitivität_bzw_Monte_Carlo_bei_Strom[[#This Row],[Source.Name]],1))="Auszahlung_a","Auszahlung",""),"")</f>
        <v/>
      </c>
      <c r="D454" s="1"/>
    </row>
    <row r="455" spans="1:4" x14ac:dyDescent="0.3">
      <c r="A455" s="1"/>
      <c r="B455" s="1" t="str">
        <f>IFERROR(IF(LEFT(Sensitivität_bzw_Monte_Carlo_bei_Strom[[#This Row],[Source.Name]],SEARCH("aus_der",Sensitivität_bzw_Monte_Carlo_bei_Strom[[#This Row],[Source.Name]],1))="Auszahlung_a","Auszahlung",""),"")</f>
        <v/>
      </c>
      <c r="D455" s="1"/>
    </row>
    <row r="456" spans="1:4" x14ac:dyDescent="0.3">
      <c r="A456" s="1"/>
      <c r="B456" s="1" t="str">
        <f>IFERROR(IF(LEFT(Sensitivität_bzw_Monte_Carlo_bei_Strom[[#This Row],[Source.Name]],SEARCH("aus_der",Sensitivität_bzw_Monte_Carlo_bei_Strom[[#This Row],[Source.Name]],1))="Auszahlung_a","Auszahlung",""),"")</f>
        <v/>
      </c>
      <c r="D456" s="1"/>
    </row>
    <row r="457" spans="1:4" x14ac:dyDescent="0.3">
      <c r="A457" s="1"/>
      <c r="B457" s="1" t="str">
        <f>IFERROR(IF(LEFT(Sensitivität_bzw_Monte_Carlo_bei_Strom[[#This Row],[Source.Name]],SEARCH("aus_der",Sensitivität_bzw_Monte_Carlo_bei_Strom[[#This Row],[Source.Name]],1))="Auszahlung_a","Auszahlung",""),"")</f>
        <v/>
      </c>
      <c r="D457" s="1"/>
    </row>
    <row r="458" spans="1:4" x14ac:dyDescent="0.3">
      <c r="A458" s="1"/>
      <c r="B458" s="1" t="str">
        <f>IFERROR(IF(LEFT(Sensitivität_bzw_Monte_Carlo_bei_Strom[[#This Row],[Source.Name]],SEARCH("aus_der",Sensitivität_bzw_Monte_Carlo_bei_Strom[[#This Row],[Source.Name]],1))="Auszahlung_a","Auszahlung",""),"")</f>
        <v/>
      </c>
      <c r="D458" s="1"/>
    </row>
    <row r="459" spans="1:4" x14ac:dyDescent="0.3">
      <c r="A459" s="1"/>
      <c r="B459" s="1" t="str">
        <f>IFERROR(IF(LEFT(Sensitivität_bzw_Monte_Carlo_bei_Strom[[#This Row],[Source.Name]],SEARCH("aus_der",Sensitivität_bzw_Monte_Carlo_bei_Strom[[#This Row],[Source.Name]],1))="Auszahlung_a","Auszahlung",""),"")</f>
        <v/>
      </c>
      <c r="D459" s="1"/>
    </row>
    <row r="460" spans="1:4" x14ac:dyDescent="0.3">
      <c r="A460" s="1"/>
      <c r="B460" s="1" t="str">
        <f>IFERROR(IF(LEFT(Sensitivität_bzw_Monte_Carlo_bei_Strom[[#This Row],[Source.Name]],SEARCH("aus_der",Sensitivität_bzw_Monte_Carlo_bei_Strom[[#This Row],[Source.Name]],1))="Auszahlung_a","Auszahlung",""),"")</f>
        <v/>
      </c>
      <c r="D460" s="1"/>
    </row>
    <row r="461" spans="1:4" x14ac:dyDescent="0.3">
      <c r="A461" s="1"/>
      <c r="B461" s="1" t="str">
        <f>IFERROR(IF(LEFT(Sensitivität_bzw_Monte_Carlo_bei_Strom[[#This Row],[Source.Name]],SEARCH("aus_der",Sensitivität_bzw_Monte_Carlo_bei_Strom[[#This Row],[Source.Name]],1))="Auszahlung_a","Auszahlung",""),"")</f>
        <v/>
      </c>
      <c r="D461" s="1"/>
    </row>
    <row r="462" spans="1:4" x14ac:dyDescent="0.3">
      <c r="A462" s="1"/>
      <c r="B462" s="1" t="str">
        <f>IFERROR(IF(LEFT(Sensitivität_bzw_Monte_Carlo_bei_Strom[[#This Row],[Source.Name]],SEARCH("aus_der",Sensitivität_bzw_Monte_Carlo_bei_Strom[[#This Row],[Source.Name]],1))="Auszahlung_a","Auszahlung",""),"")</f>
        <v/>
      </c>
      <c r="D462" s="1"/>
    </row>
    <row r="463" spans="1:4" x14ac:dyDescent="0.3">
      <c r="A463" s="1"/>
      <c r="B463" s="1" t="str">
        <f>IFERROR(IF(LEFT(Sensitivität_bzw_Monte_Carlo_bei_Strom[[#This Row],[Source.Name]],SEARCH("aus_der",Sensitivität_bzw_Monte_Carlo_bei_Strom[[#This Row],[Source.Name]],1))="Auszahlung_a","Auszahlung",""),"")</f>
        <v/>
      </c>
      <c r="D463" s="1"/>
    </row>
    <row r="464" spans="1:4" x14ac:dyDescent="0.3">
      <c r="A464" s="1"/>
      <c r="B464" s="1" t="str">
        <f>IFERROR(IF(LEFT(Sensitivität_bzw_Monte_Carlo_bei_Strom[[#This Row],[Source.Name]],SEARCH("aus_der",Sensitivität_bzw_Monte_Carlo_bei_Strom[[#This Row],[Source.Name]],1))="Auszahlung_a","Auszahlung",""),"")</f>
        <v/>
      </c>
      <c r="D464" s="1"/>
    </row>
    <row r="465" spans="1:4" x14ac:dyDescent="0.3">
      <c r="A465" s="1"/>
      <c r="B465" s="1" t="str">
        <f>IFERROR(IF(LEFT(Sensitivität_bzw_Monte_Carlo_bei_Strom[[#This Row],[Source.Name]],SEARCH("aus_der",Sensitivität_bzw_Monte_Carlo_bei_Strom[[#This Row],[Source.Name]],1))="Auszahlung_a","Auszahlung",""),"")</f>
        <v/>
      </c>
      <c r="D465" s="1"/>
    </row>
    <row r="466" spans="1:4" x14ac:dyDescent="0.3">
      <c r="A466" s="1"/>
      <c r="B466" s="1" t="str">
        <f>IFERROR(IF(LEFT(Sensitivität_bzw_Monte_Carlo_bei_Strom[[#This Row],[Source.Name]],SEARCH("aus_der",Sensitivität_bzw_Monte_Carlo_bei_Strom[[#This Row],[Source.Name]],1))="Auszahlung_a","Auszahlung",""),"")</f>
        <v/>
      </c>
      <c r="D466" s="1"/>
    </row>
    <row r="467" spans="1:4" x14ac:dyDescent="0.3">
      <c r="A467" s="1"/>
      <c r="B467" s="1" t="str">
        <f>IFERROR(IF(LEFT(Sensitivität_bzw_Monte_Carlo_bei_Strom[[#This Row],[Source.Name]],SEARCH("aus_der",Sensitivität_bzw_Monte_Carlo_bei_Strom[[#This Row],[Source.Name]],1))="Auszahlung_a","Auszahlung",""),"")</f>
        <v/>
      </c>
      <c r="D467" s="1"/>
    </row>
    <row r="468" spans="1:4" x14ac:dyDescent="0.3">
      <c r="A468" s="1"/>
      <c r="B468" s="1" t="str">
        <f>IFERROR(IF(LEFT(Sensitivität_bzw_Monte_Carlo_bei_Strom[[#This Row],[Source.Name]],SEARCH("aus_der",Sensitivität_bzw_Monte_Carlo_bei_Strom[[#This Row],[Source.Name]],1))="Auszahlung_a","Auszahlung",""),"")</f>
        <v/>
      </c>
      <c r="D468" s="1"/>
    </row>
    <row r="469" spans="1:4" x14ac:dyDescent="0.3">
      <c r="A469" s="1"/>
      <c r="B469" s="1" t="str">
        <f>IFERROR(IF(LEFT(Sensitivität_bzw_Monte_Carlo_bei_Strom[[#This Row],[Source.Name]],SEARCH("aus_der",Sensitivität_bzw_Monte_Carlo_bei_Strom[[#This Row],[Source.Name]],1))="Auszahlung_a","Auszahlung",""),"")</f>
        <v/>
      </c>
      <c r="D469" s="1"/>
    </row>
    <row r="470" spans="1:4" x14ac:dyDescent="0.3">
      <c r="A470" s="1"/>
      <c r="B470" s="1" t="str">
        <f>IFERROR(IF(LEFT(Sensitivität_bzw_Monte_Carlo_bei_Strom[[#This Row],[Source.Name]],SEARCH("aus_der",Sensitivität_bzw_Monte_Carlo_bei_Strom[[#This Row],[Source.Name]],1))="Auszahlung_a","Auszahlung",""),"")</f>
        <v/>
      </c>
      <c r="D470" s="1"/>
    </row>
    <row r="471" spans="1:4" x14ac:dyDescent="0.3">
      <c r="A471" s="1"/>
      <c r="B471" s="1" t="str">
        <f>IFERROR(IF(LEFT(Sensitivität_bzw_Monte_Carlo_bei_Strom[[#This Row],[Source.Name]],SEARCH("aus_der",Sensitivität_bzw_Monte_Carlo_bei_Strom[[#This Row],[Source.Name]],1))="Auszahlung_a","Auszahlung",""),"")</f>
        <v/>
      </c>
      <c r="D471" s="1"/>
    </row>
    <row r="472" spans="1:4" x14ac:dyDescent="0.3">
      <c r="A472" s="1"/>
      <c r="B472" s="1" t="str">
        <f>IFERROR(IF(LEFT(Sensitivität_bzw_Monte_Carlo_bei_Strom[[#This Row],[Source.Name]],SEARCH("aus_der",Sensitivität_bzw_Monte_Carlo_bei_Strom[[#This Row],[Source.Name]],1))="Auszahlung_a","Auszahlung",""),"")</f>
        <v/>
      </c>
      <c r="D472" s="1"/>
    </row>
    <row r="473" spans="1:4" x14ac:dyDescent="0.3">
      <c r="A473" s="1"/>
      <c r="B473" s="1" t="str">
        <f>IFERROR(IF(LEFT(Sensitivität_bzw_Monte_Carlo_bei_Strom[[#This Row],[Source.Name]],SEARCH("aus_der",Sensitivität_bzw_Monte_Carlo_bei_Strom[[#This Row],[Source.Name]],1))="Auszahlung_a","Auszahlung",""),"")</f>
        <v/>
      </c>
      <c r="D473" s="1"/>
    </row>
    <row r="474" spans="1:4" x14ac:dyDescent="0.3">
      <c r="A474" s="1"/>
      <c r="B474" s="1" t="str">
        <f>IFERROR(IF(LEFT(Sensitivität_bzw_Monte_Carlo_bei_Strom[[#This Row],[Source.Name]],SEARCH("aus_der",Sensitivität_bzw_Monte_Carlo_bei_Strom[[#This Row],[Source.Name]],1))="Auszahlung_a","Auszahlung",""),"")</f>
        <v/>
      </c>
      <c r="D474" s="1"/>
    </row>
    <row r="475" spans="1:4" x14ac:dyDescent="0.3">
      <c r="A475" s="1"/>
      <c r="B475" s="1" t="str">
        <f>IFERROR(IF(LEFT(Sensitivität_bzw_Monte_Carlo_bei_Strom[[#This Row],[Source.Name]],SEARCH("aus_der",Sensitivität_bzw_Monte_Carlo_bei_Strom[[#This Row],[Source.Name]],1))="Auszahlung_a","Auszahlung",""),"")</f>
        <v/>
      </c>
      <c r="D475" s="1"/>
    </row>
    <row r="476" spans="1:4" x14ac:dyDescent="0.3">
      <c r="A476" s="1"/>
      <c r="B476" s="1" t="str">
        <f>IFERROR(IF(LEFT(Sensitivität_bzw_Monte_Carlo_bei_Strom[[#This Row],[Source.Name]],SEARCH("aus_der",Sensitivität_bzw_Monte_Carlo_bei_Strom[[#This Row],[Source.Name]],1))="Auszahlung_a","Auszahlung",""),"")</f>
        <v/>
      </c>
      <c r="D476" s="1"/>
    </row>
    <row r="477" spans="1:4" x14ac:dyDescent="0.3">
      <c r="A477" s="1"/>
      <c r="B477" s="1" t="str">
        <f>IFERROR(IF(LEFT(Sensitivität_bzw_Monte_Carlo_bei_Strom[[#This Row],[Source.Name]],SEARCH("aus_der",Sensitivität_bzw_Monte_Carlo_bei_Strom[[#This Row],[Source.Name]],1))="Auszahlung_a","Auszahlung",""),"")</f>
        <v/>
      </c>
      <c r="D477" s="1"/>
    </row>
    <row r="478" spans="1:4" x14ac:dyDescent="0.3">
      <c r="A478" s="1"/>
      <c r="B478" s="1" t="str">
        <f>IFERROR(IF(LEFT(Sensitivität_bzw_Monte_Carlo_bei_Strom[[#This Row],[Source.Name]],SEARCH("aus_der",Sensitivität_bzw_Monte_Carlo_bei_Strom[[#This Row],[Source.Name]],1))="Auszahlung_a","Auszahlung",""),"")</f>
        <v/>
      </c>
      <c r="D478" s="1"/>
    </row>
    <row r="479" spans="1:4" x14ac:dyDescent="0.3">
      <c r="A479" s="1"/>
      <c r="B479" s="1" t="str">
        <f>IFERROR(IF(LEFT(Sensitivität_bzw_Monte_Carlo_bei_Strom[[#This Row],[Source.Name]],SEARCH("aus_der",Sensitivität_bzw_Monte_Carlo_bei_Strom[[#This Row],[Source.Name]],1))="Auszahlung_a","Auszahlung",""),"")</f>
        <v/>
      </c>
      <c r="D479" s="1"/>
    </row>
    <row r="480" spans="1:4" x14ac:dyDescent="0.3">
      <c r="A480" s="1"/>
      <c r="B480" s="1" t="str">
        <f>IFERROR(IF(LEFT(Sensitivität_bzw_Monte_Carlo_bei_Strom[[#This Row],[Source.Name]],SEARCH("aus_der",Sensitivität_bzw_Monte_Carlo_bei_Strom[[#This Row],[Source.Name]],1))="Auszahlung_a","Auszahlung",""),"")</f>
        <v/>
      </c>
      <c r="D480" s="1"/>
    </row>
    <row r="481" spans="1:4" x14ac:dyDescent="0.3">
      <c r="A481" s="1"/>
      <c r="B481" s="1" t="str">
        <f>IFERROR(IF(LEFT(Sensitivität_bzw_Monte_Carlo_bei_Strom[[#This Row],[Source.Name]],SEARCH("aus_der",Sensitivität_bzw_Monte_Carlo_bei_Strom[[#This Row],[Source.Name]],1))="Auszahlung_a","Auszahlung",""),"")</f>
        <v/>
      </c>
      <c r="D481" s="1"/>
    </row>
    <row r="482" spans="1:4" x14ac:dyDescent="0.3">
      <c r="A482" s="1"/>
      <c r="B482" s="1" t="str">
        <f>IFERROR(IF(LEFT(Sensitivität_bzw_Monte_Carlo_bei_Strom[[#This Row],[Source.Name]],SEARCH("aus_der",Sensitivität_bzw_Monte_Carlo_bei_Strom[[#This Row],[Source.Name]],1))="Auszahlung_a","Auszahlung",""),"")</f>
        <v/>
      </c>
      <c r="D482" s="1"/>
    </row>
    <row r="483" spans="1:4" x14ac:dyDescent="0.3">
      <c r="A483" s="1"/>
      <c r="B483" s="1" t="str">
        <f>IFERROR(IF(LEFT(Sensitivität_bzw_Monte_Carlo_bei_Strom[[#This Row],[Source.Name]],SEARCH("aus_der",Sensitivität_bzw_Monte_Carlo_bei_Strom[[#This Row],[Source.Name]],1))="Auszahlung_a","Auszahlung",""),"")</f>
        <v/>
      </c>
      <c r="D483" s="1"/>
    </row>
    <row r="484" spans="1:4" x14ac:dyDescent="0.3">
      <c r="A484" s="1"/>
      <c r="B484" s="1" t="str">
        <f>IFERROR(IF(LEFT(Sensitivität_bzw_Monte_Carlo_bei_Strom[[#This Row],[Source.Name]],SEARCH("aus_der",Sensitivität_bzw_Monte_Carlo_bei_Strom[[#This Row],[Source.Name]],1))="Auszahlung_a","Auszahlung",""),"")</f>
        <v/>
      </c>
      <c r="D484" s="1"/>
    </row>
    <row r="485" spans="1:4" x14ac:dyDescent="0.3">
      <c r="A485" s="1"/>
      <c r="B485" s="1" t="str">
        <f>IFERROR(IF(LEFT(Sensitivität_bzw_Monte_Carlo_bei_Strom[[#This Row],[Source.Name]],SEARCH("aus_der",Sensitivität_bzw_Monte_Carlo_bei_Strom[[#This Row],[Source.Name]],1))="Auszahlung_a","Auszahlung",""),"")</f>
        <v/>
      </c>
      <c r="D485" s="1"/>
    </row>
    <row r="486" spans="1:4" x14ac:dyDescent="0.3">
      <c r="A486" s="1"/>
      <c r="B486" s="1" t="str">
        <f>IFERROR(IF(LEFT(Sensitivität_bzw_Monte_Carlo_bei_Strom[[#This Row],[Source.Name]],SEARCH("aus_der",Sensitivität_bzw_Monte_Carlo_bei_Strom[[#This Row],[Source.Name]],1))="Auszahlung_a","Auszahlung",""),"")</f>
        <v/>
      </c>
      <c r="D486" s="1"/>
    </row>
    <row r="487" spans="1:4" x14ac:dyDescent="0.3">
      <c r="A487" s="1"/>
      <c r="B487" s="1" t="str">
        <f>IFERROR(IF(LEFT(Sensitivität_bzw_Monte_Carlo_bei_Strom[[#This Row],[Source.Name]],SEARCH("aus_der",Sensitivität_bzw_Monte_Carlo_bei_Strom[[#This Row],[Source.Name]],1))="Auszahlung_a","Auszahlung",""),"")</f>
        <v/>
      </c>
      <c r="D487" s="1"/>
    </row>
    <row r="488" spans="1:4" x14ac:dyDescent="0.3">
      <c r="A488" s="1"/>
      <c r="B488" s="1" t="str">
        <f>IFERROR(IF(LEFT(Sensitivität_bzw_Monte_Carlo_bei_Strom[[#This Row],[Source.Name]],SEARCH("aus_der",Sensitivität_bzw_Monte_Carlo_bei_Strom[[#This Row],[Source.Name]],1))="Auszahlung_a","Auszahlung",""),"")</f>
        <v/>
      </c>
      <c r="D488" s="1"/>
    </row>
    <row r="489" spans="1:4" x14ac:dyDescent="0.3">
      <c r="A489" s="1"/>
      <c r="B489" s="1" t="str">
        <f>IFERROR(IF(LEFT(Sensitivität_bzw_Monte_Carlo_bei_Strom[[#This Row],[Source.Name]],SEARCH("aus_der",Sensitivität_bzw_Monte_Carlo_bei_Strom[[#This Row],[Source.Name]],1))="Auszahlung_a","Auszahlung",""),"")</f>
        <v/>
      </c>
      <c r="D489" s="1"/>
    </row>
    <row r="490" spans="1:4" x14ac:dyDescent="0.3">
      <c r="A490" s="1"/>
      <c r="B490" s="1" t="str">
        <f>IFERROR(IF(LEFT(Sensitivität_bzw_Monte_Carlo_bei_Strom[[#This Row],[Source.Name]],SEARCH("aus_der",Sensitivität_bzw_Monte_Carlo_bei_Strom[[#This Row],[Source.Name]],1))="Auszahlung_a","Auszahlung",""),"")</f>
        <v/>
      </c>
      <c r="D490" s="1"/>
    </row>
    <row r="491" spans="1:4" x14ac:dyDescent="0.3">
      <c r="A491" s="1"/>
      <c r="B491" s="1" t="str">
        <f>IFERROR(IF(LEFT(Sensitivität_bzw_Monte_Carlo_bei_Strom[[#This Row],[Source.Name]],SEARCH("aus_der",Sensitivität_bzw_Monte_Carlo_bei_Strom[[#This Row],[Source.Name]],1))="Auszahlung_a","Auszahlung",""),"")</f>
        <v/>
      </c>
      <c r="D491" s="1"/>
    </row>
    <row r="492" spans="1:4" x14ac:dyDescent="0.3">
      <c r="A492" s="1"/>
      <c r="B492" s="1" t="str">
        <f>IFERROR(IF(LEFT(Sensitivität_bzw_Monte_Carlo_bei_Strom[[#This Row],[Source.Name]],SEARCH("aus_der",Sensitivität_bzw_Monte_Carlo_bei_Strom[[#This Row],[Source.Name]],1))="Auszahlung_a","Auszahlung",""),"")</f>
        <v/>
      </c>
      <c r="D492" s="1"/>
    </row>
    <row r="493" spans="1:4" x14ac:dyDescent="0.3">
      <c r="A493" s="1"/>
      <c r="B493" s="1" t="str">
        <f>IFERROR(IF(LEFT(Sensitivität_bzw_Monte_Carlo_bei_Strom[[#This Row],[Source.Name]],SEARCH("aus_der",Sensitivität_bzw_Monte_Carlo_bei_Strom[[#This Row],[Source.Name]],1))="Auszahlung_a","Auszahlung",""),"")</f>
        <v/>
      </c>
      <c r="D493" s="1"/>
    </row>
    <row r="494" spans="1:4" x14ac:dyDescent="0.3">
      <c r="A494" s="1"/>
      <c r="B494" s="1" t="str">
        <f>IFERROR(IF(LEFT(Sensitivität_bzw_Monte_Carlo_bei_Strom[[#This Row],[Source.Name]],SEARCH("aus_der",Sensitivität_bzw_Monte_Carlo_bei_Strom[[#This Row],[Source.Name]],1))="Auszahlung_a","Auszahlung",""),"")</f>
        <v/>
      </c>
      <c r="D494" s="1"/>
    </row>
    <row r="495" spans="1:4" x14ac:dyDescent="0.3">
      <c r="A495" s="1"/>
      <c r="B495" s="1" t="str">
        <f>IFERROR(IF(LEFT(Sensitivität_bzw_Monte_Carlo_bei_Strom[[#This Row],[Source.Name]],SEARCH("aus_der",Sensitivität_bzw_Monte_Carlo_bei_Strom[[#This Row],[Source.Name]],1))="Auszahlung_a","Auszahlung",""),"")</f>
        <v/>
      </c>
      <c r="D495" s="1"/>
    </row>
    <row r="496" spans="1:4" x14ac:dyDescent="0.3">
      <c r="A496" s="1"/>
      <c r="B496" s="1" t="str">
        <f>IFERROR(IF(LEFT(Sensitivität_bzw_Monte_Carlo_bei_Strom[[#This Row],[Source.Name]],SEARCH("aus_der",Sensitivität_bzw_Monte_Carlo_bei_Strom[[#This Row],[Source.Name]],1))="Auszahlung_a","Auszahlung",""),"")</f>
        <v/>
      </c>
      <c r="D496" s="1"/>
    </row>
    <row r="497" spans="1:4" x14ac:dyDescent="0.3">
      <c r="A497" s="1"/>
      <c r="B497" s="1" t="str">
        <f>IFERROR(IF(LEFT(Sensitivität_bzw_Monte_Carlo_bei_Strom[[#This Row],[Source.Name]],SEARCH("aus_der",Sensitivität_bzw_Monte_Carlo_bei_Strom[[#This Row],[Source.Name]],1))="Auszahlung_a","Auszahlung",""),"")</f>
        <v/>
      </c>
      <c r="D497" s="1"/>
    </row>
    <row r="498" spans="1:4" x14ac:dyDescent="0.3">
      <c r="A498" s="1"/>
      <c r="B498" s="1" t="str">
        <f>IFERROR(IF(LEFT(Sensitivität_bzw_Monte_Carlo_bei_Strom[[#This Row],[Source.Name]],SEARCH("aus_der",Sensitivität_bzw_Monte_Carlo_bei_Strom[[#This Row],[Source.Name]],1))="Auszahlung_a","Auszahlung",""),"")</f>
        <v/>
      </c>
      <c r="D498" s="1"/>
    </row>
    <row r="499" spans="1:4" x14ac:dyDescent="0.3">
      <c r="A499" s="1"/>
      <c r="B499" s="1" t="str">
        <f>IFERROR(IF(LEFT(Sensitivität_bzw_Monte_Carlo_bei_Strom[[#This Row],[Source.Name]],SEARCH("aus_der",Sensitivität_bzw_Monte_Carlo_bei_Strom[[#This Row],[Source.Name]],1))="Auszahlung_a","Auszahlung",""),"")</f>
        <v/>
      </c>
      <c r="D499" s="1"/>
    </row>
    <row r="500" spans="1:4" x14ac:dyDescent="0.3">
      <c r="A500" s="1"/>
      <c r="B500" s="1" t="str">
        <f>IFERROR(IF(LEFT(Sensitivität_bzw_Monte_Carlo_bei_Strom[[#This Row],[Source.Name]],SEARCH("aus_der",Sensitivität_bzw_Monte_Carlo_bei_Strom[[#This Row],[Source.Name]],1))="Auszahlung_a","Auszahlung",""),"")</f>
        <v/>
      </c>
      <c r="D500" s="1"/>
    </row>
    <row r="501" spans="1:4" x14ac:dyDescent="0.3">
      <c r="A501" s="1"/>
      <c r="B501" s="1" t="str">
        <f>IFERROR(IF(LEFT(Sensitivität_bzw_Monte_Carlo_bei_Strom[[#This Row],[Source.Name]],SEARCH("aus_der",Sensitivität_bzw_Monte_Carlo_bei_Strom[[#This Row],[Source.Name]],1))="Auszahlung_a","Auszahlung",""),"")</f>
        <v/>
      </c>
      <c r="D501" s="1"/>
    </row>
    <row r="502" spans="1:4" x14ac:dyDescent="0.3">
      <c r="A502" s="1"/>
      <c r="B502" s="1" t="str">
        <f>IFERROR(IF(LEFT(Sensitivität_bzw_Monte_Carlo_bei_Strom[[#This Row],[Source.Name]],SEARCH("aus_der",Sensitivität_bzw_Monte_Carlo_bei_Strom[[#This Row],[Source.Name]],1))="Auszahlung_a","Auszahlung",""),"")</f>
        <v/>
      </c>
      <c r="D502" s="1"/>
    </row>
    <row r="503" spans="1:4" x14ac:dyDescent="0.3">
      <c r="A503" s="1"/>
      <c r="B503" s="1" t="str">
        <f>IFERROR(IF(LEFT(Sensitivität_bzw_Monte_Carlo_bei_Strom[[#This Row],[Source.Name]],SEARCH("aus_der",Sensitivität_bzw_Monte_Carlo_bei_Strom[[#This Row],[Source.Name]],1))="Auszahlung_a","Auszahlung",""),"")</f>
        <v/>
      </c>
      <c r="D503" s="1"/>
    </row>
    <row r="504" spans="1:4" x14ac:dyDescent="0.3">
      <c r="A504" s="1"/>
      <c r="B504" s="1" t="str">
        <f>IFERROR(IF(LEFT(Sensitivität_bzw_Monte_Carlo_bei_Strom[[#This Row],[Source.Name]],SEARCH("aus_der",Sensitivität_bzw_Monte_Carlo_bei_Strom[[#This Row],[Source.Name]],1))="Auszahlung_a","Auszahlung",""),"")</f>
        <v/>
      </c>
      <c r="D504" s="1"/>
    </row>
    <row r="505" spans="1:4" x14ac:dyDescent="0.3">
      <c r="A505" s="1"/>
      <c r="B505" s="1" t="str">
        <f>IFERROR(IF(LEFT(Sensitivität_bzw_Monte_Carlo_bei_Strom[[#This Row],[Source.Name]],SEARCH("aus_der",Sensitivität_bzw_Monte_Carlo_bei_Strom[[#This Row],[Source.Name]],1))="Auszahlung_a","Auszahlung",""),"")</f>
        <v/>
      </c>
      <c r="D505" s="1"/>
    </row>
    <row r="506" spans="1:4" x14ac:dyDescent="0.3">
      <c r="A506" s="1"/>
      <c r="B506" s="1" t="str">
        <f>IFERROR(IF(LEFT(Sensitivität_bzw_Monte_Carlo_bei_Strom[[#This Row],[Source.Name]],SEARCH("aus_der",Sensitivität_bzw_Monte_Carlo_bei_Strom[[#This Row],[Source.Name]],1))="Auszahlung_a","Auszahlung",""),"")</f>
        <v/>
      </c>
      <c r="D506" s="1"/>
    </row>
    <row r="507" spans="1:4" x14ac:dyDescent="0.3">
      <c r="A507" s="1"/>
      <c r="B507" s="1" t="str">
        <f>IFERROR(IF(LEFT(Sensitivität_bzw_Monte_Carlo_bei_Strom[[#This Row],[Source.Name]],SEARCH("aus_der",Sensitivität_bzw_Monte_Carlo_bei_Strom[[#This Row],[Source.Name]],1))="Auszahlung_a","Auszahlung",""),"")</f>
        <v/>
      </c>
      <c r="D507" s="1"/>
    </row>
    <row r="508" spans="1:4" x14ac:dyDescent="0.3">
      <c r="A508" s="1"/>
      <c r="B508" s="1" t="str">
        <f>IFERROR(IF(LEFT(Sensitivität_bzw_Monte_Carlo_bei_Strom[[#This Row],[Source.Name]],SEARCH("aus_der",Sensitivität_bzw_Monte_Carlo_bei_Strom[[#This Row],[Source.Name]],1))="Auszahlung_a","Auszahlung",""),"")</f>
        <v/>
      </c>
      <c r="D508" s="1"/>
    </row>
    <row r="509" spans="1:4" x14ac:dyDescent="0.3">
      <c r="A509" s="1"/>
      <c r="B509" s="1" t="str">
        <f>IFERROR(IF(LEFT(Sensitivität_bzw_Monte_Carlo_bei_Strom[[#This Row],[Source.Name]],SEARCH("aus_der",Sensitivität_bzw_Monte_Carlo_bei_Strom[[#This Row],[Source.Name]],1))="Auszahlung_a","Auszahlung",""),"")</f>
        <v/>
      </c>
      <c r="D509" s="1"/>
    </row>
    <row r="510" spans="1:4" x14ac:dyDescent="0.3">
      <c r="A510" s="1"/>
      <c r="B510" s="1" t="str">
        <f>IFERROR(IF(LEFT(Sensitivität_bzw_Monte_Carlo_bei_Strom[[#This Row],[Source.Name]],SEARCH("aus_der",Sensitivität_bzw_Monte_Carlo_bei_Strom[[#This Row],[Source.Name]],1))="Auszahlung_a","Auszahlung",""),"")</f>
        <v/>
      </c>
      <c r="D510" s="1"/>
    </row>
    <row r="511" spans="1:4" x14ac:dyDescent="0.3">
      <c r="A511" s="1"/>
      <c r="B511" s="1" t="str">
        <f>IFERROR(IF(LEFT(Sensitivität_bzw_Monte_Carlo_bei_Strom[[#This Row],[Source.Name]],SEARCH("aus_der",Sensitivität_bzw_Monte_Carlo_bei_Strom[[#This Row],[Source.Name]],1))="Auszahlung_a","Auszahlung",""),"")</f>
        <v/>
      </c>
      <c r="D511" s="1"/>
    </row>
    <row r="512" spans="1:4" x14ac:dyDescent="0.3">
      <c r="A512" s="1"/>
      <c r="B512" s="1" t="str">
        <f>IFERROR(IF(LEFT(Sensitivität_bzw_Monte_Carlo_bei_Strom[[#This Row],[Source.Name]],SEARCH("aus_der",Sensitivität_bzw_Monte_Carlo_bei_Strom[[#This Row],[Source.Name]],1))="Auszahlung_a","Auszahlung",""),"")</f>
        <v/>
      </c>
      <c r="D512" s="1"/>
    </row>
    <row r="513" spans="1:4" x14ac:dyDescent="0.3">
      <c r="A513" s="1"/>
      <c r="B513" s="1" t="str">
        <f>IFERROR(IF(LEFT(Sensitivität_bzw_Monte_Carlo_bei_Strom[[#This Row],[Source.Name]],SEARCH("aus_der",Sensitivität_bzw_Monte_Carlo_bei_Strom[[#This Row],[Source.Name]],1))="Auszahlung_a","Auszahlung",""),"")</f>
        <v/>
      </c>
      <c r="D513" s="1"/>
    </row>
    <row r="514" spans="1:4" x14ac:dyDescent="0.3">
      <c r="A514" s="1"/>
      <c r="B514" s="1" t="str">
        <f>IFERROR(IF(LEFT(Sensitivität_bzw_Monte_Carlo_bei_Strom[[#This Row],[Source.Name]],SEARCH("aus_der",Sensitivität_bzw_Monte_Carlo_bei_Strom[[#This Row],[Source.Name]],1))="Auszahlung_a","Auszahlung",""),"")</f>
        <v/>
      </c>
      <c r="D514" s="1"/>
    </row>
    <row r="515" spans="1:4" x14ac:dyDescent="0.3">
      <c r="A515" s="1"/>
      <c r="B515" s="1" t="str">
        <f>IFERROR(IF(LEFT(Sensitivität_bzw_Monte_Carlo_bei_Strom[[#This Row],[Source.Name]],SEARCH("aus_der",Sensitivität_bzw_Monte_Carlo_bei_Strom[[#This Row],[Source.Name]],1))="Auszahlung_a","Auszahlung",""),"")</f>
        <v/>
      </c>
      <c r="D515" s="1"/>
    </row>
    <row r="516" spans="1:4" x14ac:dyDescent="0.3">
      <c r="A516" s="1"/>
      <c r="B516" s="1" t="str">
        <f>IFERROR(IF(LEFT(Sensitivität_bzw_Monte_Carlo_bei_Strom[[#This Row],[Source.Name]],SEARCH("aus_der",Sensitivität_bzw_Monte_Carlo_bei_Strom[[#This Row],[Source.Name]],1))="Auszahlung_a","Auszahlung",""),"")</f>
        <v/>
      </c>
      <c r="D516" s="1"/>
    </row>
    <row r="517" spans="1:4" x14ac:dyDescent="0.3">
      <c r="A517" s="1"/>
      <c r="B517" s="1" t="str">
        <f>IFERROR(IF(LEFT(Sensitivität_bzw_Monte_Carlo_bei_Strom[[#This Row],[Source.Name]],SEARCH("aus_der",Sensitivität_bzw_Monte_Carlo_bei_Strom[[#This Row],[Source.Name]],1))="Auszahlung_a","Auszahlung",""),"")</f>
        <v/>
      </c>
      <c r="D517" s="1"/>
    </row>
    <row r="518" spans="1:4" x14ac:dyDescent="0.3">
      <c r="A518" s="1"/>
      <c r="B518" s="1" t="str">
        <f>IFERROR(IF(LEFT(Sensitivität_bzw_Monte_Carlo_bei_Strom[[#This Row],[Source.Name]],SEARCH("aus_der",Sensitivität_bzw_Monte_Carlo_bei_Strom[[#This Row],[Source.Name]],1))="Auszahlung_a","Auszahlung",""),"")</f>
        <v/>
      </c>
      <c r="D518" s="1"/>
    </row>
    <row r="519" spans="1:4" x14ac:dyDescent="0.3">
      <c r="A519" s="1"/>
      <c r="B519" s="1" t="str">
        <f>IFERROR(IF(LEFT(Sensitivität_bzw_Monte_Carlo_bei_Strom[[#This Row],[Source.Name]],SEARCH("aus_der",Sensitivität_bzw_Monte_Carlo_bei_Strom[[#This Row],[Source.Name]],1))="Auszahlung_a","Auszahlung",""),"")</f>
        <v/>
      </c>
      <c r="D519" s="1"/>
    </row>
    <row r="520" spans="1:4" x14ac:dyDescent="0.3">
      <c r="A520" s="1"/>
      <c r="B520" s="1" t="str">
        <f>IFERROR(IF(LEFT(Sensitivität_bzw_Monte_Carlo_bei_Strom[[#This Row],[Source.Name]],SEARCH("aus_der",Sensitivität_bzw_Monte_Carlo_bei_Strom[[#This Row],[Source.Name]],1))="Auszahlung_a","Auszahlung",""),"")</f>
        <v/>
      </c>
      <c r="D520" s="1"/>
    </row>
    <row r="521" spans="1:4" x14ac:dyDescent="0.3">
      <c r="A521" s="1"/>
      <c r="B521" s="1" t="str">
        <f>IFERROR(IF(LEFT(Sensitivität_bzw_Monte_Carlo_bei_Strom[[#This Row],[Source.Name]],SEARCH("aus_der",Sensitivität_bzw_Monte_Carlo_bei_Strom[[#This Row],[Source.Name]],1))="Auszahlung_a","Auszahlung",""),"")</f>
        <v/>
      </c>
      <c r="D521" s="1"/>
    </row>
    <row r="522" spans="1:4" x14ac:dyDescent="0.3">
      <c r="A522" s="1"/>
      <c r="B522" s="1" t="str">
        <f>IFERROR(IF(LEFT(Sensitivität_bzw_Monte_Carlo_bei_Strom[[#This Row],[Source.Name]],SEARCH("aus_der",Sensitivität_bzw_Monte_Carlo_bei_Strom[[#This Row],[Source.Name]],1))="Auszahlung_a","Auszahlung",""),"")</f>
        <v/>
      </c>
      <c r="D522" s="1"/>
    </row>
    <row r="523" spans="1:4" x14ac:dyDescent="0.3">
      <c r="A523" s="1"/>
      <c r="B523" s="1" t="str">
        <f>IFERROR(IF(LEFT(Sensitivität_bzw_Monte_Carlo_bei_Strom[[#This Row],[Source.Name]],SEARCH("aus_der",Sensitivität_bzw_Monte_Carlo_bei_Strom[[#This Row],[Source.Name]],1))="Auszahlung_a","Auszahlung",""),"")</f>
        <v/>
      </c>
      <c r="D523" s="1"/>
    </row>
    <row r="524" spans="1:4" x14ac:dyDescent="0.3">
      <c r="A524" s="1"/>
      <c r="B524" s="1" t="str">
        <f>IFERROR(IF(LEFT(Sensitivität_bzw_Monte_Carlo_bei_Strom[[#This Row],[Source.Name]],SEARCH("aus_der",Sensitivität_bzw_Monte_Carlo_bei_Strom[[#This Row],[Source.Name]],1))="Auszahlung_a","Auszahlung",""),"")</f>
        <v/>
      </c>
      <c r="D524" s="1"/>
    </row>
    <row r="525" spans="1:4" x14ac:dyDescent="0.3">
      <c r="A525" s="1"/>
      <c r="B525" s="1" t="str">
        <f>IFERROR(IF(LEFT(Sensitivität_bzw_Monte_Carlo_bei_Strom[[#This Row],[Source.Name]],SEARCH("aus_der",Sensitivität_bzw_Monte_Carlo_bei_Strom[[#This Row],[Source.Name]],1))="Auszahlung_a","Auszahlung",""),"")</f>
        <v/>
      </c>
      <c r="D525" s="1"/>
    </row>
    <row r="526" spans="1:4" x14ac:dyDescent="0.3">
      <c r="A526" s="1"/>
      <c r="B526" s="1" t="str">
        <f>IFERROR(IF(LEFT(Sensitivität_bzw_Monte_Carlo_bei_Strom[[#This Row],[Source.Name]],SEARCH("aus_der",Sensitivität_bzw_Monte_Carlo_bei_Strom[[#This Row],[Source.Name]],1))="Auszahlung_a","Auszahlung",""),"")</f>
        <v/>
      </c>
      <c r="D526" s="1"/>
    </row>
    <row r="527" spans="1:4" x14ac:dyDescent="0.3">
      <c r="A527" s="1"/>
      <c r="B527" s="1" t="str">
        <f>IFERROR(IF(LEFT(Sensitivität_bzw_Monte_Carlo_bei_Strom[[#This Row],[Source.Name]],SEARCH("aus_der",Sensitivität_bzw_Monte_Carlo_bei_Strom[[#This Row],[Source.Name]],1))="Auszahlung_a","Auszahlung",""),"")</f>
        <v/>
      </c>
      <c r="D527" s="1"/>
    </row>
    <row r="528" spans="1:4" x14ac:dyDescent="0.3">
      <c r="A528" s="1"/>
      <c r="B528" s="1" t="str">
        <f>IFERROR(IF(LEFT(Sensitivität_bzw_Monte_Carlo_bei_Strom[[#This Row],[Source.Name]],SEARCH("aus_der",Sensitivität_bzw_Monte_Carlo_bei_Strom[[#This Row],[Source.Name]],1))="Auszahlung_a","Auszahlung",""),"")</f>
        <v/>
      </c>
      <c r="D528" s="1"/>
    </row>
    <row r="529" spans="1:4" x14ac:dyDescent="0.3">
      <c r="A529" s="1"/>
      <c r="B529" s="1" t="str">
        <f>IFERROR(IF(LEFT(Sensitivität_bzw_Monte_Carlo_bei_Strom[[#This Row],[Source.Name]],SEARCH("aus_der",Sensitivität_bzw_Monte_Carlo_bei_Strom[[#This Row],[Source.Name]],1))="Auszahlung_a","Auszahlung",""),"")</f>
        <v/>
      </c>
      <c r="D529" s="1"/>
    </row>
    <row r="530" spans="1:4" x14ac:dyDescent="0.3">
      <c r="A530" s="1"/>
      <c r="B530" s="1" t="str">
        <f>IFERROR(IF(LEFT(Sensitivität_bzw_Monte_Carlo_bei_Strom[[#This Row],[Source.Name]],SEARCH("aus_der",Sensitivität_bzw_Monte_Carlo_bei_Strom[[#This Row],[Source.Name]],1))="Auszahlung_a","Auszahlung",""),"")</f>
        <v/>
      </c>
      <c r="D530" s="1"/>
    </row>
    <row r="531" spans="1:4" x14ac:dyDescent="0.3">
      <c r="A531" s="1"/>
      <c r="B531" s="1" t="str">
        <f>IFERROR(IF(LEFT(Sensitivität_bzw_Monte_Carlo_bei_Strom[[#This Row],[Source.Name]],SEARCH("aus_der",Sensitivität_bzw_Monte_Carlo_bei_Strom[[#This Row],[Source.Name]],1))="Auszahlung_a","Auszahlung",""),"")</f>
        <v/>
      </c>
      <c r="D531" s="1"/>
    </row>
    <row r="532" spans="1:4" x14ac:dyDescent="0.3">
      <c r="A532" s="1"/>
      <c r="B532" s="1" t="str">
        <f>IFERROR(IF(LEFT(Sensitivität_bzw_Monte_Carlo_bei_Strom[[#This Row],[Source.Name]],SEARCH("aus_der",Sensitivität_bzw_Monte_Carlo_bei_Strom[[#This Row],[Source.Name]],1))="Auszahlung_a","Auszahlung",""),"")</f>
        <v/>
      </c>
      <c r="D532" s="1"/>
    </row>
    <row r="533" spans="1:4" x14ac:dyDescent="0.3">
      <c r="A533" s="1"/>
      <c r="B533" s="1" t="str">
        <f>IFERROR(IF(LEFT(Sensitivität_bzw_Monte_Carlo_bei_Strom[[#This Row],[Source.Name]],SEARCH("aus_der",Sensitivität_bzw_Monte_Carlo_bei_Strom[[#This Row],[Source.Name]],1))="Auszahlung_a","Auszahlung",""),"")</f>
        <v/>
      </c>
      <c r="D533" s="1"/>
    </row>
    <row r="534" spans="1:4" x14ac:dyDescent="0.3">
      <c r="A534" s="1"/>
      <c r="B534" s="1" t="str">
        <f>IFERROR(IF(LEFT(Sensitivität_bzw_Monte_Carlo_bei_Strom[[#This Row],[Source.Name]],SEARCH("aus_der",Sensitivität_bzw_Monte_Carlo_bei_Strom[[#This Row],[Source.Name]],1))="Auszahlung_a","Auszahlung",""),"")</f>
        <v/>
      </c>
      <c r="D534" s="1"/>
    </row>
    <row r="535" spans="1:4" x14ac:dyDescent="0.3">
      <c r="A535" s="1"/>
      <c r="B535" s="1" t="str">
        <f>IFERROR(IF(LEFT(Sensitivität_bzw_Monte_Carlo_bei_Strom[[#This Row],[Source.Name]],SEARCH("aus_der",Sensitivität_bzw_Monte_Carlo_bei_Strom[[#This Row],[Source.Name]],1))="Auszahlung_a","Auszahlung",""),"")</f>
        <v/>
      </c>
      <c r="D535" s="1"/>
    </row>
    <row r="536" spans="1:4" x14ac:dyDescent="0.3">
      <c r="A536" s="1"/>
      <c r="B536" s="1" t="str">
        <f>IFERROR(IF(LEFT(Sensitivität_bzw_Monte_Carlo_bei_Strom[[#This Row],[Source.Name]],SEARCH("aus_der",Sensitivität_bzw_Monte_Carlo_bei_Strom[[#This Row],[Source.Name]],1))="Auszahlung_a","Auszahlung",""),"")</f>
        <v/>
      </c>
      <c r="D536" s="1"/>
    </row>
    <row r="537" spans="1:4" x14ac:dyDescent="0.3">
      <c r="A537" s="1"/>
      <c r="B537" s="1" t="str">
        <f>IFERROR(IF(LEFT(Sensitivität_bzw_Monte_Carlo_bei_Strom[[#This Row],[Source.Name]],SEARCH("aus_der",Sensitivität_bzw_Monte_Carlo_bei_Strom[[#This Row],[Source.Name]],1))="Auszahlung_a","Auszahlung",""),"")</f>
        <v/>
      </c>
      <c r="D537" s="1"/>
    </row>
    <row r="538" spans="1:4" x14ac:dyDescent="0.3">
      <c r="A538" s="1"/>
      <c r="B538" s="1" t="str">
        <f>IFERROR(IF(LEFT(Sensitivität_bzw_Monte_Carlo_bei_Strom[[#This Row],[Source.Name]],SEARCH("aus_der",Sensitivität_bzw_Monte_Carlo_bei_Strom[[#This Row],[Source.Name]],1))="Auszahlung_a","Auszahlung",""),"")</f>
        <v/>
      </c>
      <c r="D538" s="1"/>
    </row>
    <row r="539" spans="1:4" x14ac:dyDescent="0.3">
      <c r="A539" s="1"/>
      <c r="B539" s="1" t="str">
        <f>IFERROR(IF(LEFT(Sensitivität_bzw_Monte_Carlo_bei_Strom[[#This Row],[Source.Name]],SEARCH("aus_der",Sensitivität_bzw_Monte_Carlo_bei_Strom[[#This Row],[Source.Name]],1))="Auszahlung_a","Auszahlung",""),"")</f>
        <v/>
      </c>
      <c r="D539" s="1"/>
    </row>
    <row r="540" spans="1:4" x14ac:dyDescent="0.3">
      <c r="A540" s="1"/>
      <c r="B540" s="1" t="str">
        <f>IFERROR(IF(LEFT(Sensitivität_bzw_Monte_Carlo_bei_Strom[[#This Row],[Source.Name]],SEARCH("aus_der",Sensitivität_bzw_Monte_Carlo_bei_Strom[[#This Row],[Source.Name]],1))="Auszahlung_a","Auszahlung",""),"")</f>
        <v/>
      </c>
      <c r="D540" s="1"/>
    </row>
    <row r="541" spans="1:4" x14ac:dyDescent="0.3">
      <c r="A541" s="1"/>
      <c r="B541" s="1" t="str">
        <f>IFERROR(IF(LEFT(Sensitivität_bzw_Monte_Carlo_bei_Strom[[#This Row],[Source.Name]],SEARCH("aus_der",Sensitivität_bzw_Monte_Carlo_bei_Strom[[#This Row],[Source.Name]],1))="Auszahlung_a","Auszahlung",""),"")</f>
        <v/>
      </c>
      <c r="D541" s="1"/>
    </row>
    <row r="542" spans="1:4" x14ac:dyDescent="0.3">
      <c r="A542" s="1"/>
      <c r="B542" s="1" t="str">
        <f>IFERROR(IF(LEFT(Sensitivität_bzw_Monte_Carlo_bei_Strom[[#This Row],[Source.Name]],SEARCH("aus_der",Sensitivität_bzw_Monte_Carlo_bei_Strom[[#This Row],[Source.Name]],1))="Auszahlung_a","Auszahlung",""),"")</f>
        <v/>
      </c>
      <c r="D542" s="1"/>
    </row>
    <row r="543" spans="1:4" x14ac:dyDescent="0.3">
      <c r="A543" s="1"/>
      <c r="B543" s="1" t="str">
        <f>IFERROR(IF(LEFT(Sensitivität_bzw_Monte_Carlo_bei_Strom[[#This Row],[Source.Name]],SEARCH("aus_der",Sensitivität_bzw_Monte_Carlo_bei_Strom[[#This Row],[Source.Name]],1))="Auszahlung_a","Auszahlung",""),"")</f>
        <v/>
      </c>
      <c r="D543" s="1"/>
    </row>
    <row r="544" spans="1:4" x14ac:dyDescent="0.3">
      <c r="A544" s="1"/>
      <c r="B544" s="1" t="str">
        <f>IFERROR(IF(LEFT(Sensitivität_bzw_Monte_Carlo_bei_Strom[[#This Row],[Source.Name]],SEARCH("aus_der",Sensitivität_bzw_Monte_Carlo_bei_Strom[[#This Row],[Source.Name]],1))="Auszahlung_a","Auszahlung",""),"")</f>
        <v/>
      </c>
      <c r="D544" s="1"/>
    </row>
    <row r="545" spans="1:4" x14ac:dyDescent="0.3">
      <c r="A545" s="1"/>
      <c r="B545" s="1" t="str">
        <f>IFERROR(IF(LEFT(Sensitivität_bzw_Monte_Carlo_bei_Strom[[#This Row],[Source.Name]],SEARCH("aus_der",Sensitivität_bzw_Monte_Carlo_bei_Strom[[#This Row],[Source.Name]],1))="Auszahlung_a","Auszahlung",""),"")</f>
        <v/>
      </c>
      <c r="D545" s="1"/>
    </row>
    <row r="546" spans="1:4" x14ac:dyDescent="0.3">
      <c r="A546" s="1"/>
      <c r="B546" s="1" t="str">
        <f>IFERROR(IF(LEFT(Sensitivität_bzw_Monte_Carlo_bei_Strom[[#This Row],[Source.Name]],SEARCH("aus_der",Sensitivität_bzw_Monte_Carlo_bei_Strom[[#This Row],[Source.Name]],1))="Auszahlung_a","Auszahlung",""),"")</f>
        <v/>
      </c>
      <c r="D546" s="1"/>
    </row>
    <row r="547" spans="1:4" x14ac:dyDescent="0.3">
      <c r="A547" s="1"/>
      <c r="B547" s="1" t="str">
        <f>IFERROR(IF(LEFT(Sensitivität_bzw_Monte_Carlo_bei_Strom[[#This Row],[Source.Name]],SEARCH("aus_der",Sensitivität_bzw_Monte_Carlo_bei_Strom[[#This Row],[Source.Name]],1))="Auszahlung_a","Auszahlung",""),"")</f>
        <v/>
      </c>
      <c r="D547" s="1"/>
    </row>
    <row r="548" spans="1:4" x14ac:dyDescent="0.3">
      <c r="A548" s="1"/>
      <c r="B548" s="1" t="str">
        <f>IFERROR(IF(LEFT(Sensitivität_bzw_Monte_Carlo_bei_Strom[[#This Row],[Source.Name]],SEARCH("aus_der",Sensitivität_bzw_Monte_Carlo_bei_Strom[[#This Row],[Source.Name]],1))="Auszahlung_a","Auszahlung",""),"")</f>
        <v/>
      </c>
      <c r="D548" s="1"/>
    </row>
    <row r="549" spans="1:4" x14ac:dyDescent="0.3">
      <c r="A549" s="1"/>
      <c r="B549" s="1" t="str">
        <f>IFERROR(IF(LEFT(Sensitivität_bzw_Monte_Carlo_bei_Strom[[#This Row],[Source.Name]],SEARCH("aus_der",Sensitivität_bzw_Monte_Carlo_bei_Strom[[#This Row],[Source.Name]],1))="Auszahlung_a","Auszahlung",""),"")</f>
        <v/>
      </c>
      <c r="D549" s="1"/>
    </row>
    <row r="550" spans="1:4" x14ac:dyDescent="0.3">
      <c r="A550" s="1"/>
      <c r="B550" s="1" t="str">
        <f>IFERROR(IF(LEFT(Sensitivität_bzw_Monte_Carlo_bei_Strom[[#This Row],[Source.Name]],SEARCH("aus_der",Sensitivität_bzw_Monte_Carlo_bei_Strom[[#This Row],[Source.Name]],1))="Auszahlung_a","Auszahlung",""),"")</f>
        <v/>
      </c>
      <c r="D550" s="1"/>
    </row>
    <row r="551" spans="1:4" x14ac:dyDescent="0.3">
      <c r="A551" s="1"/>
      <c r="B551" s="1" t="str">
        <f>IFERROR(IF(LEFT(Sensitivität_bzw_Monte_Carlo_bei_Strom[[#This Row],[Source.Name]],SEARCH("aus_der",Sensitivität_bzw_Monte_Carlo_bei_Strom[[#This Row],[Source.Name]],1))="Auszahlung_a","Auszahlung",""),"")</f>
        <v/>
      </c>
      <c r="D551" s="1"/>
    </row>
    <row r="552" spans="1:4" x14ac:dyDescent="0.3">
      <c r="A552" s="1"/>
      <c r="B552" s="1" t="str">
        <f>IFERROR(IF(LEFT(Sensitivität_bzw_Monte_Carlo_bei_Strom[[#This Row],[Source.Name]],SEARCH("aus_der",Sensitivität_bzw_Monte_Carlo_bei_Strom[[#This Row],[Source.Name]],1))="Auszahlung_a","Auszahlung",""),"")</f>
        <v/>
      </c>
      <c r="D552" s="1"/>
    </row>
    <row r="553" spans="1:4" x14ac:dyDescent="0.3">
      <c r="A553" s="1"/>
      <c r="B553" s="1" t="str">
        <f>IFERROR(IF(LEFT(Sensitivität_bzw_Monte_Carlo_bei_Strom[[#This Row],[Source.Name]],SEARCH("aus_der",Sensitivität_bzw_Monte_Carlo_bei_Strom[[#This Row],[Source.Name]],1))="Auszahlung_a","Auszahlung",""),"")</f>
        <v/>
      </c>
      <c r="D553" s="1"/>
    </row>
    <row r="554" spans="1:4" x14ac:dyDescent="0.3">
      <c r="A554" s="1"/>
      <c r="B554" s="1" t="str">
        <f>IFERROR(IF(LEFT(Sensitivität_bzw_Monte_Carlo_bei_Strom[[#This Row],[Source.Name]],SEARCH("aus_der",Sensitivität_bzw_Monte_Carlo_bei_Strom[[#This Row],[Source.Name]],1))="Auszahlung_a","Auszahlung",""),"")</f>
        <v/>
      </c>
      <c r="D554" s="1"/>
    </row>
    <row r="555" spans="1:4" x14ac:dyDescent="0.3">
      <c r="A555" s="1"/>
      <c r="B555" s="1" t="str">
        <f>IFERROR(IF(LEFT(Sensitivität_bzw_Monte_Carlo_bei_Strom[[#This Row],[Source.Name]],SEARCH("aus_der",Sensitivität_bzw_Monte_Carlo_bei_Strom[[#This Row],[Source.Name]],1))="Auszahlung_a","Auszahlung",""),"")</f>
        <v/>
      </c>
      <c r="D555" s="1"/>
    </row>
    <row r="556" spans="1:4" x14ac:dyDescent="0.3">
      <c r="A556" s="1"/>
      <c r="B556" s="1" t="str">
        <f>IFERROR(IF(LEFT(Sensitivität_bzw_Monte_Carlo_bei_Strom[[#This Row],[Source.Name]],SEARCH("aus_der",Sensitivität_bzw_Monte_Carlo_bei_Strom[[#This Row],[Source.Name]],1))="Auszahlung_a","Auszahlung",""),"")</f>
        <v/>
      </c>
      <c r="D556" s="1"/>
    </row>
    <row r="557" spans="1:4" x14ac:dyDescent="0.3">
      <c r="A557" s="1"/>
      <c r="B557" s="1" t="str">
        <f>IFERROR(IF(LEFT(Sensitivität_bzw_Monte_Carlo_bei_Strom[[#This Row],[Source.Name]],SEARCH("aus_der",Sensitivität_bzw_Monte_Carlo_bei_Strom[[#This Row],[Source.Name]],1))="Auszahlung_a","Auszahlung",""),"")</f>
        <v/>
      </c>
      <c r="D557" s="1"/>
    </row>
    <row r="558" spans="1:4" x14ac:dyDescent="0.3">
      <c r="A558" s="1"/>
      <c r="B558" s="1" t="str">
        <f>IFERROR(IF(LEFT(Sensitivität_bzw_Monte_Carlo_bei_Strom[[#This Row],[Source.Name]],SEARCH("aus_der",Sensitivität_bzw_Monte_Carlo_bei_Strom[[#This Row],[Source.Name]],1))="Auszahlung_a","Auszahlung",""),"")</f>
        <v/>
      </c>
      <c r="D558" s="1"/>
    </row>
    <row r="559" spans="1:4" x14ac:dyDescent="0.3">
      <c r="A559" s="1"/>
      <c r="B559" s="1" t="str">
        <f>IFERROR(IF(LEFT(Sensitivität_bzw_Monte_Carlo_bei_Strom[[#This Row],[Source.Name]],SEARCH("aus_der",Sensitivität_bzw_Monte_Carlo_bei_Strom[[#This Row],[Source.Name]],1))="Auszahlung_a","Auszahlung",""),"")</f>
        <v/>
      </c>
      <c r="D559" s="1"/>
    </row>
    <row r="560" spans="1:4" x14ac:dyDescent="0.3">
      <c r="A560" s="1"/>
      <c r="B560" s="1" t="str">
        <f>IFERROR(IF(LEFT(Sensitivität_bzw_Monte_Carlo_bei_Strom[[#This Row],[Source.Name]],SEARCH("aus_der",Sensitivität_bzw_Monte_Carlo_bei_Strom[[#This Row],[Source.Name]],1))="Auszahlung_a","Auszahlung",""),"")</f>
        <v/>
      </c>
      <c r="D560" s="1"/>
    </row>
    <row r="561" spans="1:4" x14ac:dyDescent="0.3">
      <c r="A561" s="1"/>
      <c r="B561" s="1" t="str">
        <f>IFERROR(IF(LEFT(Sensitivität_bzw_Monte_Carlo_bei_Strom[[#This Row],[Source.Name]],SEARCH("aus_der",Sensitivität_bzw_Monte_Carlo_bei_Strom[[#This Row],[Source.Name]],1))="Auszahlung_a","Auszahlung",""),"")</f>
        <v/>
      </c>
      <c r="D561" s="1"/>
    </row>
    <row r="562" spans="1:4" x14ac:dyDescent="0.3">
      <c r="A562" s="1"/>
      <c r="B562" s="1" t="str">
        <f>IFERROR(IF(LEFT(Sensitivität_bzw_Monte_Carlo_bei_Strom[[#This Row],[Source.Name]],SEARCH("aus_der",Sensitivität_bzw_Monte_Carlo_bei_Strom[[#This Row],[Source.Name]],1))="Auszahlung_a","Auszahlung",""),"")</f>
        <v/>
      </c>
      <c r="D562" s="1"/>
    </row>
    <row r="563" spans="1:4" x14ac:dyDescent="0.3">
      <c r="A563" s="1"/>
      <c r="B563" s="1" t="str">
        <f>IFERROR(IF(LEFT(Sensitivität_bzw_Monte_Carlo_bei_Strom[[#This Row],[Source.Name]],SEARCH("aus_der",Sensitivität_bzw_Monte_Carlo_bei_Strom[[#This Row],[Source.Name]],1))="Auszahlung_a","Auszahlung",""),"")</f>
        <v/>
      </c>
      <c r="D563" s="1"/>
    </row>
    <row r="564" spans="1:4" x14ac:dyDescent="0.3">
      <c r="A564" s="1"/>
      <c r="B564" s="1" t="str">
        <f>IFERROR(IF(LEFT(Sensitivität_bzw_Monte_Carlo_bei_Strom[[#This Row],[Source.Name]],SEARCH("aus_der",Sensitivität_bzw_Monte_Carlo_bei_Strom[[#This Row],[Source.Name]],1))="Auszahlung_a","Auszahlung",""),"")</f>
        <v/>
      </c>
      <c r="D564" s="1"/>
    </row>
    <row r="565" spans="1:4" x14ac:dyDescent="0.3">
      <c r="A565" s="1"/>
      <c r="B565" s="1" t="str">
        <f>IFERROR(IF(LEFT(Sensitivität_bzw_Monte_Carlo_bei_Strom[[#This Row],[Source.Name]],SEARCH("aus_der",Sensitivität_bzw_Monte_Carlo_bei_Strom[[#This Row],[Source.Name]],1))="Auszahlung_a","Auszahlung",""),"")</f>
        <v/>
      </c>
      <c r="D565" s="1"/>
    </row>
    <row r="566" spans="1:4" x14ac:dyDescent="0.3">
      <c r="A566" s="1"/>
      <c r="B566" s="1" t="str">
        <f>IFERROR(IF(LEFT(Sensitivität_bzw_Monte_Carlo_bei_Strom[[#This Row],[Source.Name]],SEARCH("aus_der",Sensitivität_bzw_Monte_Carlo_bei_Strom[[#This Row],[Source.Name]],1))="Auszahlung_a","Auszahlung",""),"")</f>
        <v/>
      </c>
      <c r="D566" s="1"/>
    </row>
    <row r="567" spans="1:4" x14ac:dyDescent="0.3">
      <c r="A567" s="1"/>
      <c r="B567" s="1" t="str">
        <f>IFERROR(IF(LEFT(Sensitivität_bzw_Monte_Carlo_bei_Strom[[#This Row],[Source.Name]],SEARCH("aus_der",Sensitivität_bzw_Monte_Carlo_bei_Strom[[#This Row],[Source.Name]],1))="Auszahlung_a","Auszahlung",""),"")</f>
        <v/>
      </c>
      <c r="D567" s="1"/>
    </row>
    <row r="568" spans="1:4" x14ac:dyDescent="0.3">
      <c r="A568" s="1"/>
      <c r="B568" s="1" t="str">
        <f>IFERROR(IF(LEFT(Sensitivität_bzw_Monte_Carlo_bei_Strom[[#This Row],[Source.Name]],SEARCH("aus_der",Sensitivität_bzw_Monte_Carlo_bei_Strom[[#This Row],[Source.Name]],1))="Auszahlung_a","Auszahlung",""),"")</f>
        <v/>
      </c>
      <c r="D568" s="1"/>
    </row>
    <row r="569" spans="1:4" x14ac:dyDescent="0.3">
      <c r="A569" s="1"/>
      <c r="B569" s="1" t="str">
        <f>IFERROR(IF(LEFT(Sensitivität_bzw_Monte_Carlo_bei_Strom[[#This Row],[Source.Name]],SEARCH("aus_der",Sensitivität_bzw_Monte_Carlo_bei_Strom[[#This Row],[Source.Name]],1))="Auszahlung_a","Auszahlung",""),"")</f>
        <v/>
      </c>
      <c r="D569" s="1"/>
    </row>
    <row r="570" spans="1:4" x14ac:dyDescent="0.3">
      <c r="A570" s="1"/>
      <c r="B570" s="1" t="str">
        <f>IFERROR(IF(LEFT(Sensitivität_bzw_Monte_Carlo_bei_Strom[[#This Row],[Source.Name]],SEARCH("aus_der",Sensitivität_bzw_Monte_Carlo_bei_Strom[[#This Row],[Source.Name]],1))="Auszahlung_a","Auszahlung",""),"")</f>
        <v/>
      </c>
      <c r="D570" s="1"/>
    </row>
    <row r="571" spans="1:4" x14ac:dyDescent="0.3">
      <c r="A571" s="1"/>
      <c r="B571" s="1" t="str">
        <f>IFERROR(IF(LEFT(Sensitivität_bzw_Monte_Carlo_bei_Strom[[#This Row],[Source.Name]],SEARCH("aus_der",Sensitivität_bzw_Monte_Carlo_bei_Strom[[#This Row],[Source.Name]],1))="Auszahlung_a","Auszahlung",""),"")</f>
        <v/>
      </c>
      <c r="D571" s="1"/>
    </row>
    <row r="572" spans="1:4" x14ac:dyDescent="0.3">
      <c r="A572" s="1"/>
      <c r="B572" s="1" t="str">
        <f>IFERROR(IF(LEFT(Sensitivität_bzw_Monte_Carlo_bei_Strom[[#This Row],[Source.Name]],SEARCH("aus_der",Sensitivität_bzw_Monte_Carlo_bei_Strom[[#This Row],[Source.Name]],1))="Auszahlung_a","Auszahlung",""),"")</f>
        <v/>
      </c>
      <c r="D572" s="1"/>
    </row>
    <row r="573" spans="1:4" x14ac:dyDescent="0.3">
      <c r="A573" s="1"/>
      <c r="B573" s="1" t="str">
        <f>IFERROR(IF(LEFT(Sensitivität_bzw_Monte_Carlo_bei_Strom[[#This Row],[Source.Name]],SEARCH("aus_der",Sensitivität_bzw_Monte_Carlo_bei_Strom[[#This Row],[Source.Name]],1))="Auszahlung_a","Auszahlung",""),"")</f>
        <v/>
      </c>
      <c r="D573" s="1"/>
    </row>
    <row r="574" spans="1:4" x14ac:dyDescent="0.3">
      <c r="A574" s="1"/>
      <c r="B574" s="1" t="str">
        <f>IFERROR(IF(LEFT(Sensitivität_bzw_Monte_Carlo_bei_Strom[[#This Row],[Source.Name]],SEARCH("aus_der",Sensitivität_bzw_Monte_Carlo_bei_Strom[[#This Row],[Source.Name]],1))="Auszahlung_a","Auszahlung",""),"")</f>
        <v/>
      </c>
      <c r="D574" s="1"/>
    </row>
    <row r="575" spans="1:4" x14ac:dyDescent="0.3">
      <c r="A575" s="1"/>
      <c r="B575" s="1" t="str">
        <f>IFERROR(IF(LEFT(Sensitivität_bzw_Monte_Carlo_bei_Strom[[#This Row],[Source.Name]],SEARCH("aus_der",Sensitivität_bzw_Monte_Carlo_bei_Strom[[#This Row],[Source.Name]],1))="Auszahlung_a","Auszahlung",""),"")</f>
        <v/>
      </c>
      <c r="D575" s="1"/>
    </row>
    <row r="576" spans="1:4" x14ac:dyDescent="0.3">
      <c r="A576" s="1"/>
      <c r="B576" s="1" t="str">
        <f>IFERROR(IF(LEFT(Sensitivität_bzw_Monte_Carlo_bei_Strom[[#This Row],[Source.Name]],SEARCH("aus_der",Sensitivität_bzw_Monte_Carlo_bei_Strom[[#This Row],[Source.Name]],1))="Auszahlung_a","Auszahlung",""),"")</f>
        <v/>
      </c>
      <c r="D576" s="1"/>
    </row>
    <row r="577" spans="1:4" x14ac:dyDescent="0.3">
      <c r="A577" s="1"/>
      <c r="B577" s="1" t="str">
        <f>IFERROR(IF(LEFT(Sensitivität_bzw_Monte_Carlo_bei_Strom[[#This Row],[Source.Name]],SEARCH("aus_der",Sensitivität_bzw_Monte_Carlo_bei_Strom[[#This Row],[Source.Name]],1))="Auszahlung_a","Auszahlung",""),"")</f>
        <v/>
      </c>
      <c r="D577" s="1"/>
    </row>
    <row r="578" spans="1:4" x14ac:dyDescent="0.3">
      <c r="A578" s="1"/>
      <c r="B578" s="1" t="str">
        <f>IFERROR(IF(LEFT(Sensitivität_bzw_Monte_Carlo_bei_Strom[[#This Row],[Source.Name]],SEARCH("aus_der",Sensitivität_bzw_Monte_Carlo_bei_Strom[[#This Row],[Source.Name]],1))="Auszahlung_a","Auszahlung",""),"")</f>
        <v/>
      </c>
      <c r="D578" s="1"/>
    </row>
    <row r="579" spans="1:4" x14ac:dyDescent="0.3">
      <c r="A579" s="1"/>
      <c r="B579" s="1" t="str">
        <f>IFERROR(IF(LEFT(Sensitivität_bzw_Monte_Carlo_bei_Strom[[#This Row],[Source.Name]],SEARCH("aus_der",Sensitivität_bzw_Monte_Carlo_bei_Strom[[#This Row],[Source.Name]],1))="Auszahlung_a","Auszahlung",""),"")</f>
        <v/>
      </c>
      <c r="D579" s="1"/>
    </row>
    <row r="580" spans="1:4" x14ac:dyDescent="0.3">
      <c r="A580" s="1"/>
      <c r="B580" s="1" t="str">
        <f>IFERROR(IF(LEFT(Sensitivität_bzw_Monte_Carlo_bei_Strom[[#This Row],[Source.Name]],SEARCH("aus_der",Sensitivität_bzw_Monte_Carlo_bei_Strom[[#This Row],[Source.Name]],1))="Auszahlung_a","Auszahlung",""),"")</f>
        <v/>
      </c>
      <c r="D580" s="1"/>
    </row>
    <row r="581" spans="1:4" x14ac:dyDescent="0.3">
      <c r="A581" s="1"/>
      <c r="B581" s="1" t="str">
        <f>IFERROR(IF(LEFT(Sensitivität_bzw_Monte_Carlo_bei_Strom[[#This Row],[Source.Name]],SEARCH("aus_der",Sensitivität_bzw_Monte_Carlo_bei_Strom[[#This Row],[Source.Name]],1))="Auszahlung_a","Auszahlung",""),"")</f>
        <v/>
      </c>
      <c r="D581" s="1"/>
    </row>
    <row r="582" spans="1:4" x14ac:dyDescent="0.3">
      <c r="A582" s="1"/>
      <c r="B582" s="1" t="str">
        <f>IFERROR(IF(LEFT(Sensitivität_bzw_Monte_Carlo_bei_Strom[[#This Row],[Source.Name]],SEARCH("aus_der",Sensitivität_bzw_Monte_Carlo_bei_Strom[[#This Row],[Source.Name]],1))="Auszahlung_a","Auszahlung",""),"")</f>
        <v/>
      </c>
      <c r="D582" s="1"/>
    </row>
    <row r="583" spans="1:4" x14ac:dyDescent="0.3">
      <c r="A583" s="1"/>
      <c r="B583" s="1" t="str">
        <f>IFERROR(IF(LEFT(Sensitivität_bzw_Monte_Carlo_bei_Strom[[#This Row],[Source.Name]],SEARCH("aus_der",Sensitivität_bzw_Monte_Carlo_bei_Strom[[#This Row],[Source.Name]],1))="Auszahlung_a","Auszahlung",""),"")</f>
        <v/>
      </c>
      <c r="D583" s="1"/>
    </row>
    <row r="584" spans="1:4" x14ac:dyDescent="0.3">
      <c r="A584" s="1"/>
      <c r="B584" s="1" t="str">
        <f>IFERROR(IF(LEFT(Sensitivität_bzw_Monte_Carlo_bei_Strom[[#This Row],[Source.Name]],SEARCH("aus_der",Sensitivität_bzw_Monte_Carlo_bei_Strom[[#This Row],[Source.Name]],1))="Auszahlung_a","Auszahlung",""),"")</f>
        <v/>
      </c>
      <c r="D584" s="1"/>
    </row>
    <row r="585" spans="1:4" x14ac:dyDescent="0.3">
      <c r="A585" s="1"/>
      <c r="B585" s="1" t="str">
        <f>IFERROR(IF(LEFT(Sensitivität_bzw_Monte_Carlo_bei_Strom[[#This Row],[Source.Name]],SEARCH("aus_der",Sensitivität_bzw_Monte_Carlo_bei_Strom[[#This Row],[Source.Name]],1))="Auszahlung_a","Auszahlung",""),"")</f>
        <v/>
      </c>
      <c r="D585" s="1"/>
    </row>
    <row r="586" spans="1:4" x14ac:dyDescent="0.3">
      <c r="A586" s="1"/>
      <c r="B586" s="1" t="str">
        <f>IFERROR(IF(LEFT(Sensitivität_bzw_Monte_Carlo_bei_Strom[[#This Row],[Source.Name]],SEARCH("aus_der",Sensitivität_bzw_Monte_Carlo_bei_Strom[[#This Row],[Source.Name]],1))="Auszahlung_a","Auszahlung",""),"")</f>
        <v/>
      </c>
      <c r="D586" s="1"/>
    </row>
    <row r="587" spans="1:4" x14ac:dyDescent="0.3">
      <c r="A587" s="1"/>
      <c r="B587" s="1" t="str">
        <f>IFERROR(IF(LEFT(Sensitivität_bzw_Monte_Carlo_bei_Strom[[#This Row],[Source.Name]],SEARCH("aus_der",Sensitivität_bzw_Monte_Carlo_bei_Strom[[#This Row],[Source.Name]],1))="Auszahlung_a","Auszahlung",""),"")</f>
        <v/>
      </c>
      <c r="D587" s="1"/>
    </row>
    <row r="588" spans="1:4" x14ac:dyDescent="0.3">
      <c r="A588" s="1"/>
      <c r="B588" s="1" t="str">
        <f>IFERROR(IF(LEFT(Sensitivität_bzw_Monte_Carlo_bei_Strom[[#This Row],[Source.Name]],SEARCH("aus_der",Sensitivität_bzw_Monte_Carlo_bei_Strom[[#This Row],[Source.Name]],1))="Auszahlung_a","Auszahlung",""),"")</f>
        <v/>
      </c>
      <c r="D588" s="1"/>
    </row>
    <row r="589" spans="1:4" x14ac:dyDescent="0.3">
      <c r="A589" s="1"/>
      <c r="B589" s="1" t="str">
        <f>IFERROR(IF(LEFT(Sensitivität_bzw_Monte_Carlo_bei_Strom[[#This Row],[Source.Name]],SEARCH("aus_der",Sensitivität_bzw_Monte_Carlo_bei_Strom[[#This Row],[Source.Name]],1))="Auszahlung_a","Auszahlung",""),"")</f>
        <v/>
      </c>
      <c r="D589" s="1"/>
    </row>
    <row r="590" spans="1:4" x14ac:dyDescent="0.3">
      <c r="A590" s="1"/>
      <c r="B590" s="1" t="str">
        <f>IFERROR(IF(LEFT(Sensitivität_bzw_Monte_Carlo_bei_Strom[[#This Row],[Source.Name]],SEARCH("aus_der",Sensitivität_bzw_Monte_Carlo_bei_Strom[[#This Row],[Source.Name]],1))="Auszahlung_a","Auszahlung",""),"")</f>
        <v/>
      </c>
      <c r="D590" s="1"/>
    </row>
    <row r="591" spans="1:4" x14ac:dyDescent="0.3">
      <c r="A591" s="1"/>
      <c r="B591" s="1" t="str">
        <f>IFERROR(IF(LEFT(Sensitivität_bzw_Monte_Carlo_bei_Strom[[#This Row],[Source.Name]],SEARCH("aus_der",Sensitivität_bzw_Monte_Carlo_bei_Strom[[#This Row],[Source.Name]],1))="Auszahlung_a","Auszahlung",""),"")</f>
        <v/>
      </c>
      <c r="D591" s="1"/>
    </row>
    <row r="592" spans="1:4" x14ac:dyDescent="0.3">
      <c r="A592" s="1"/>
      <c r="B592" s="1" t="str">
        <f>IFERROR(IF(LEFT(Sensitivität_bzw_Monte_Carlo_bei_Strom[[#This Row],[Source.Name]],SEARCH("aus_der",Sensitivität_bzw_Monte_Carlo_bei_Strom[[#This Row],[Source.Name]],1))="Auszahlung_a","Auszahlung",""),"")</f>
        <v/>
      </c>
      <c r="D592" s="1"/>
    </row>
    <row r="593" spans="1:4" x14ac:dyDescent="0.3">
      <c r="A593" s="1"/>
      <c r="B593" s="1" t="str">
        <f>IFERROR(IF(LEFT(Sensitivität_bzw_Monte_Carlo_bei_Strom[[#This Row],[Source.Name]],SEARCH("aus_der",Sensitivität_bzw_Monte_Carlo_bei_Strom[[#This Row],[Source.Name]],1))="Auszahlung_a","Auszahlung",""),"")</f>
        <v/>
      </c>
      <c r="D593" s="1"/>
    </row>
    <row r="594" spans="1:4" x14ac:dyDescent="0.3">
      <c r="A594" s="1"/>
      <c r="B594" s="1" t="str">
        <f>IFERROR(IF(LEFT(Sensitivität_bzw_Monte_Carlo_bei_Strom[[#This Row],[Source.Name]],SEARCH("aus_der",Sensitivität_bzw_Monte_Carlo_bei_Strom[[#This Row],[Source.Name]],1))="Auszahlung_a","Auszahlung",""),"")</f>
        <v/>
      </c>
      <c r="D594" s="1"/>
    </row>
    <row r="595" spans="1:4" x14ac:dyDescent="0.3">
      <c r="A595" s="1"/>
      <c r="B595" s="1" t="str">
        <f>IFERROR(IF(LEFT(Sensitivität_bzw_Monte_Carlo_bei_Strom[[#This Row],[Source.Name]],SEARCH("aus_der",Sensitivität_bzw_Monte_Carlo_bei_Strom[[#This Row],[Source.Name]],1))="Auszahlung_a","Auszahlung",""),"")</f>
        <v/>
      </c>
      <c r="D595" s="1"/>
    </row>
    <row r="596" spans="1:4" x14ac:dyDescent="0.3">
      <c r="A596" s="1"/>
      <c r="B596" s="1" t="str">
        <f>IFERROR(IF(LEFT(Sensitivität_bzw_Monte_Carlo_bei_Strom[[#This Row],[Source.Name]],SEARCH("aus_der",Sensitivität_bzw_Monte_Carlo_bei_Strom[[#This Row],[Source.Name]],1))="Auszahlung_a","Auszahlung",""),"")</f>
        <v/>
      </c>
      <c r="D596" s="1"/>
    </row>
    <row r="597" spans="1:4" x14ac:dyDescent="0.3">
      <c r="A597" s="1"/>
      <c r="B597" s="1" t="str">
        <f>IFERROR(IF(LEFT(Sensitivität_bzw_Monte_Carlo_bei_Strom[[#This Row],[Source.Name]],SEARCH("aus_der",Sensitivität_bzw_Monte_Carlo_bei_Strom[[#This Row],[Source.Name]],1))="Auszahlung_a","Auszahlung",""),"")</f>
        <v/>
      </c>
      <c r="D597" s="1"/>
    </row>
    <row r="598" spans="1:4" x14ac:dyDescent="0.3">
      <c r="A598" s="1"/>
      <c r="B598" s="1" t="str">
        <f>IFERROR(IF(LEFT(Sensitivität_bzw_Monte_Carlo_bei_Strom[[#This Row],[Source.Name]],SEARCH("aus_der",Sensitivität_bzw_Monte_Carlo_bei_Strom[[#This Row],[Source.Name]],1))="Auszahlung_a","Auszahlung",""),"")</f>
        <v/>
      </c>
      <c r="D598" s="1"/>
    </row>
    <row r="599" spans="1:4" x14ac:dyDescent="0.3">
      <c r="A599" s="1"/>
      <c r="B599" s="1" t="str">
        <f>IFERROR(IF(LEFT(Sensitivität_bzw_Monte_Carlo_bei_Strom[[#This Row],[Source.Name]],SEARCH("aus_der",Sensitivität_bzw_Monte_Carlo_bei_Strom[[#This Row],[Source.Name]],1))="Auszahlung_a","Auszahlung",""),"")</f>
        <v/>
      </c>
      <c r="D599" s="1"/>
    </row>
    <row r="600" spans="1:4" x14ac:dyDescent="0.3">
      <c r="A600" s="1"/>
      <c r="B600" s="1" t="str">
        <f>IFERROR(IF(LEFT(Sensitivität_bzw_Monte_Carlo_bei_Strom[[#This Row],[Source.Name]],SEARCH("aus_der",Sensitivität_bzw_Monte_Carlo_bei_Strom[[#This Row],[Source.Name]],1))="Auszahlung_a","Auszahlung",""),"")</f>
        <v/>
      </c>
      <c r="D600" s="1"/>
    </row>
    <row r="601" spans="1:4" x14ac:dyDescent="0.3">
      <c r="A601" s="1"/>
      <c r="B601" s="1" t="str">
        <f>IFERROR(IF(LEFT(Sensitivität_bzw_Monte_Carlo_bei_Strom[[#This Row],[Source.Name]],SEARCH("aus_der",Sensitivität_bzw_Monte_Carlo_bei_Strom[[#This Row],[Source.Name]],1))="Auszahlung_a","Auszahlung",""),"")</f>
        <v/>
      </c>
      <c r="D601" s="1"/>
    </row>
    <row r="602" spans="1:4" x14ac:dyDescent="0.3">
      <c r="A602" s="1"/>
      <c r="B602" s="1" t="str">
        <f>IFERROR(IF(LEFT(Sensitivität_bzw_Monte_Carlo_bei_Strom[[#This Row],[Source.Name]],SEARCH("aus_der",Sensitivität_bzw_Monte_Carlo_bei_Strom[[#This Row],[Source.Name]],1))="Auszahlung_a","Auszahlung",""),"")</f>
        <v/>
      </c>
      <c r="D602" s="1"/>
    </row>
    <row r="603" spans="1:4" x14ac:dyDescent="0.3">
      <c r="A603" s="1"/>
      <c r="B603" s="1" t="str">
        <f>IFERROR(IF(LEFT(Sensitivität_bzw_Monte_Carlo_bei_Strom[[#This Row],[Source.Name]],SEARCH("aus_der",Sensitivität_bzw_Monte_Carlo_bei_Strom[[#This Row],[Source.Name]],1))="Auszahlung_a","Auszahlung",""),"")</f>
        <v/>
      </c>
      <c r="D603" s="1"/>
    </row>
    <row r="604" spans="1:4" x14ac:dyDescent="0.3">
      <c r="A604" s="1"/>
      <c r="B604" s="1" t="str">
        <f>IFERROR(IF(LEFT(Sensitivität_bzw_Monte_Carlo_bei_Strom[[#This Row],[Source.Name]],SEARCH("aus_der",Sensitivität_bzw_Monte_Carlo_bei_Strom[[#This Row],[Source.Name]],1))="Auszahlung_a","Auszahlung",""),"")</f>
        <v/>
      </c>
      <c r="D604" s="1"/>
    </row>
    <row r="605" spans="1:4" x14ac:dyDescent="0.3">
      <c r="A605" s="1"/>
      <c r="B605" s="1" t="str">
        <f>IFERROR(IF(LEFT(Sensitivität_bzw_Monte_Carlo_bei_Strom[[#This Row],[Source.Name]],SEARCH("aus_der",Sensitivität_bzw_Monte_Carlo_bei_Strom[[#This Row],[Source.Name]],1))="Auszahlung_a","Auszahlung",""),"")</f>
        <v/>
      </c>
      <c r="D605" s="1"/>
    </row>
    <row r="606" spans="1:4" x14ac:dyDescent="0.3">
      <c r="A606" s="1"/>
      <c r="B606" s="1" t="str">
        <f>IFERROR(IF(LEFT(Sensitivität_bzw_Monte_Carlo_bei_Strom[[#This Row],[Source.Name]],SEARCH("aus_der",Sensitivität_bzw_Monte_Carlo_bei_Strom[[#This Row],[Source.Name]],1))="Auszahlung_a","Auszahlung",""),"")</f>
        <v/>
      </c>
      <c r="D606" s="1"/>
    </row>
    <row r="607" spans="1:4" x14ac:dyDescent="0.3">
      <c r="A607" s="1"/>
      <c r="B607" s="1" t="str">
        <f>IFERROR(IF(LEFT(Sensitivität_bzw_Monte_Carlo_bei_Strom[[#This Row],[Source.Name]],SEARCH("aus_der",Sensitivität_bzw_Monte_Carlo_bei_Strom[[#This Row],[Source.Name]],1))="Auszahlung_a","Auszahlung",""),"")</f>
        <v/>
      </c>
      <c r="D607" s="1"/>
    </row>
    <row r="608" spans="1:4" x14ac:dyDescent="0.3">
      <c r="A608" s="1"/>
      <c r="B608" s="1" t="str">
        <f>IFERROR(IF(LEFT(Sensitivität_bzw_Monte_Carlo_bei_Strom[[#This Row],[Source.Name]],SEARCH("aus_der",Sensitivität_bzw_Monte_Carlo_bei_Strom[[#This Row],[Source.Name]],1))="Auszahlung_a","Auszahlung",""),"")</f>
        <v/>
      </c>
      <c r="D608" s="1"/>
    </row>
    <row r="609" spans="1:4" x14ac:dyDescent="0.3">
      <c r="A609" s="1"/>
      <c r="B609" s="1" t="str">
        <f>IFERROR(IF(LEFT(Sensitivität_bzw_Monte_Carlo_bei_Strom[[#This Row],[Source.Name]],SEARCH("aus_der",Sensitivität_bzw_Monte_Carlo_bei_Strom[[#This Row],[Source.Name]],1))="Auszahlung_a","Auszahlung",""),"")</f>
        <v/>
      </c>
      <c r="D609" s="1"/>
    </row>
    <row r="610" spans="1:4" x14ac:dyDescent="0.3">
      <c r="A610" s="1"/>
      <c r="B610" s="1" t="str">
        <f>IFERROR(IF(LEFT(Sensitivität_bzw_Monte_Carlo_bei_Strom[[#This Row],[Source.Name]],SEARCH("aus_der",Sensitivität_bzw_Monte_Carlo_bei_Strom[[#This Row],[Source.Name]],1))="Auszahlung_a","Auszahlung",""),"")</f>
        <v/>
      </c>
      <c r="D610" s="1"/>
    </row>
    <row r="611" spans="1:4" x14ac:dyDescent="0.3">
      <c r="A611" s="1"/>
      <c r="B611" s="1" t="str">
        <f>IFERROR(IF(LEFT(Sensitivität_bzw_Monte_Carlo_bei_Strom[[#This Row],[Source.Name]],SEARCH("aus_der",Sensitivität_bzw_Monte_Carlo_bei_Strom[[#This Row],[Source.Name]],1))="Auszahlung_a","Auszahlung",""),"")</f>
        <v/>
      </c>
      <c r="D611" s="1"/>
    </row>
    <row r="612" spans="1:4" x14ac:dyDescent="0.3">
      <c r="A612" s="1"/>
      <c r="B612" s="1" t="str">
        <f>IFERROR(IF(LEFT(Sensitivität_bzw_Monte_Carlo_bei_Strom[[#This Row],[Source.Name]],SEARCH("aus_der",Sensitivität_bzw_Monte_Carlo_bei_Strom[[#This Row],[Source.Name]],1))="Auszahlung_a","Auszahlung",""),"")</f>
        <v/>
      </c>
      <c r="D612" s="1"/>
    </row>
    <row r="613" spans="1:4" x14ac:dyDescent="0.3">
      <c r="A613" s="1"/>
      <c r="B613" s="1" t="str">
        <f>IFERROR(IF(LEFT(Sensitivität_bzw_Monte_Carlo_bei_Strom[[#This Row],[Source.Name]],SEARCH("aus_der",Sensitivität_bzw_Monte_Carlo_bei_Strom[[#This Row],[Source.Name]],1))="Auszahlung_a","Auszahlung",""),"")</f>
        <v/>
      </c>
      <c r="D613" s="1"/>
    </row>
    <row r="614" spans="1:4" x14ac:dyDescent="0.3">
      <c r="A614" s="1"/>
      <c r="B614" s="1" t="str">
        <f>IFERROR(IF(LEFT(Sensitivität_bzw_Monte_Carlo_bei_Strom[[#This Row],[Source.Name]],SEARCH("aus_der",Sensitivität_bzw_Monte_Carlo_bei_Strom[[#This Row],[Source.Name]],1))="Auszahlung_a","Auszahlung",""),"")</f>
        <v/>
      </c>
      <c r="D614" s="1"/>
    </row>
    <row r="615" spans="1:4" x14ac:dyDescent="0.3">
      <c r="A615" s="1"/>
      <c r="B615" s="1" t="str">
        <f>IFERROR(IF(LEFT(Sensitivität_bzw_Monte_Carlo_bei_Strom[[#This Row],[Source.Name]],SEARCH("aus_der",Sensitivität_bzw_Monte_Carlo_bei_Strom[[#This Row],[Source.Name]],1))="Auszahlung_a","Auszahlung",""),"")</f>
        <v/>
      </c>
      <c r="D615" s="1"/>
    </row>
    <row r="616" spans="1:4" x14ac:dyDescent="0.3">
      <c r="A616" s="1"/>
      <c r="B616" s="1" t="str">
        <f>IFERROR(IF(LEFT(Sensitivität_bzw_Monte_Carlo_bei_Strom[[#This Row],[Source.Name]],SEARCH("aus_der",Sensitivität_bzw_Monte_Carlo_bei_Strom[[#This Row],[Source.Name]],1))="Auszahlung_a","Auszahlung",""),"")</f>
        <v/>
      </c>
      <c r="D616" s="1"/>
    </row>
    <row r="617" spans="1:4" x14ac:dyDescent="0.3">
      <c r="A617" s="1"/>
      <c r="B617" s="1" t="str">
        <f>IFERROR(IF(LEFT(Sensitivität_bzw_Monte_Carlo_bei_Strom[[#This Row],[Source.Name]],SEARCH("aus_der",Sensitivität_bzw_Monte_Carlo_bei_Strom[[#This Row],[Source.Name]],1))="Auszahlung_a","Auszahlung",""),"")</f>
        <v/>
      </c>
      <c r="D617" s="1"/>
    </row>
    <row r="618" spans="1:4" x14ac:dyDescent="0.3">
      <c r="A618" s="1"/>
      <c r="B618" s="1" t="str">
        <f>IFERROR(IF(LEFT(Sensitivität_bzw_Monte_Carlo_bei_Strom[[#This Row],[Source.Name]],SEARCH("aus_der",Sensitivität_bzw_Monte_Carlo_bei_Strom[[#This Row],[Source.Name]],1))="Auszahlung_a","Auszahlung",""),"")</f>
        <v/>
      </c>
      <c r="D618" s="1"/>
    </row>
    <row r="619" spans="1:4" x14ac:dyDescent="0.3">
      <c r="A619" s="1"/>
      <c r="B619" s="1" t="str">
        <f>IFERROR(IF(LEFT(Sensitivität_bzw_Monte_Carlo_bei_Strom[[#This Row],[Source.Name]],SEARCH("aus_der",Sensitivität_bzw_Monte_Carlo_bei_Strom[[#This Row],[Source.Name]],1))="Auszahlung_a","Auszahlung",""),"")</f>
        <v/>
      </c>
      <c r="D619" s="1"/>
    </row>
    <row r="620" spans="1:4" x14ac:dyDescent="0.3">
      <c r="A620" s="1"/>
      <c r="B620" s="1" t="str">
        <f>IFERROR(IF(LEFT(Sensitivität_bzw_Monte_Carlo_bei_Strom[[#This Row],[Source.Name]],SEARCH("aus_der",Sensitivität_bzw_Monte_Carlo_bei_Strom[[#This Row],[Source.Name]],1))="Auszahlung_a","Auszahlung",""),"")</f>
        <v/>
      </c>
      <c r="D620" s="1"/>
    </row>
    <row r="621" spans="1:4" x14ac:dyDescent="0.3">
      <c r="A621" s="1"/>
      <c r="B621" s="1" t="str">
        <f>IFERROR(IF(LEFT(Sensitivität_bzw_Monte_Carlo_bei_Strom[[#This Row],[Source.Name]],SEARCH("aus_der",Sensitivität_bzw_Monte_Carlo_bei_Strom[[#This Row],[Source.Name]],1))="Auszahlung_a","Auszahlung",""),"")</f>
        <v/>
      </c>
      <c r="D621" s="1"/>
    </row>
    <row r="622" spans="1:4" x14ac:dyDescent="0.3">
      <c r="A622" s="1"/>
      <c r="B622" s="1" t="str">
        <f>IFERROR(IF(LEFT(Sensitivität_bzw_Monte_Carlo_bei_Strom[[#This Row],[Source.Name]],SEARCH("aus_der",Sensitivität_bzw_Monte_Carlo_bei_Strom[[#This Row],[Source.Name]],1))="Auszahlung_a","Auszahlung",""),"")</f>
        <v/>
      </c>
      <c r="D622" s="1"/>
    </row>
    <row r="623" spans="1:4" x14ac:dyDescent="0.3">
      <c r="A623" s="1"/>
      <c r="B623" s="1" t="str">
        <f>IFERROR(IF(LEFT(Sensitivität_bzw_Monte_Carlo_bei_Strom[[#This Row],[Source.Name]],SEARCH("aus_der",Sensitivität_bzw_Monte_Carlo_bei_Strom[[#This Row],[Source.Name]],1))="Auszahlung_a","Auszahlung",""),"")</f>
        <v/>
      </c>
      <c r="D623" s="1"/>
    </row>
    <row r="624" spans="1:4" x14ac:dyDescent="0.3">
      <c r="A624" s="1"/>
      <c r="B624" s="1" t="str">
        <f>IFERROR(IF(LEFT(Sensitivität_bzw_Monte_Carlo_bei_Strom[[#This Row],[Source.Name]],SEARCH("aus_der",Sensitivität_bzw_Monte_Carlo_bei_Strom[[#This Row],[Source.Name]],1))="Auszahlung_a","Auszahlung",""),"")</f>
        <v/>
      </c>
      <c r="D624" s="1"/>
    </row>
    <row r="625" spans="1:4" x14ac:dyDescent="0.3">
      <c r="A625" s="1"/>
      <c r="B625" s="1" t="str">
        <f>IFERROR(IF(LEFT(Sensitivität_bzw_Monte_Carlo_bei_Strom[[#This Row],[Source.Name]],SEARCH("aus_der",Sensitivität_bzw_Monte_Carlo_bei_Strom[[#This Row],[Source.Name]],1))="Auszahlung_a","Auszahlung",""),"")</f>
        <v/>
      </c>
      <c r="D625" s="1"/>
    </row>
    <row r="626" spans="1:4" x14ac:dyDescent="0.3">
      <c r="A626" s="1"/>
      <c r="B626" s="1" t="str">
        <f>IFERROR(IF(LEFT(Sensitivität_bzw_Monte_Carlo_bei_Strom[[#This Row],[Source.Name]],SEARCH("aus_der",Sensitivität_bzw_Monte_Carlo_bei_Strom[[#This Row],[Source.Name]],1))="Auszahlung_a","Auszahlung",""),"")</f>
        <v/>
      </c>
      <c r="D626" s="1"/>
    </row>
    <row r="627" spans="1:4" x14ac:dyDescent="0.3">
      <c r="A627" s="1"/>
      <c r="B627" s="1" t="str">
        <f>IFERROR(IF(LEFT(Sensitivität_bzw_Monte_Carlo_bei_Strom[[#This Row],[Source.Name]],SEARCH("aus_der",Sensitivität_bzw_Monte_Carlo_bei_Strom[[#This Row],[Source.Name]],1))="Auszahlung_a","Auszahlung",""),"")</f>
        <v/>
      </c>
      <c r="D627" s="1"/>
    </row>
    <row r="628" spans="1:4" x14ac:dyDescent="0.3">
      <c r="A628" s="1"/>
      <c r="B628" s="1" t="str">
        <f>IFERROR(IF(LEFT(Sensitivität_bzw_Monte_Carlo_bei_Strom[[#This Row],[Source.Name]],SEARCH("aus_der",Sensitivität_bzw_Monte_Carlo_bei_Strom[[#This Row],[Source.Name]],1))="Auszahlung_a","Auszahlung",""),"")</f>
        <v/>
      </c>
      <c r="D628" s="1"/>
    </row>
    <row r="629" spans="1:4" x14ac:dyDescent="0.3">
      <c r="A629" s="1"/>
      <c r="B629" s="1" t="str">
        <f>IFERROR(IF(LEFT(Sensitivität_bzw_Monte_Carlo_bei_Strom[[#This Row],[Source.Name]],SEARCH("aus_der",Sensitivität_bzw_Monte_Carlo_bei_Strom[[#This Row],[Source.Name]],1))="Auszahlung_a","Auszahlung",""),"")</f>
        <v/>
      </c>
      <c r="D629" s="1"/>
    </row>
    <row r="630" spans="1:4" x14ac:dyDescent="0.3">
      <c r="A630" s="1"/>
      <c r="B630" s="1" t="str">
        <f>IFERROR(IF(LEFT(Sensitivität_bzw_Monte_Carlo_bei_Strom[[#This Row],[Source.Name]],SEARCH("aus_der",Sensitivität_bzw_Monte_Carlo_bei_Strom[[#This Row],[Source.Name]],1))="Auszahlung_a","Auszahlung",""),"")</f>
        <v/>
      </c>
      <c r="D630" s="1"/>
    </row>
    <row r="631" spans="1:4" x14ac:dyDescent="0.3">
      <c r="A631" s="1"/>
      <c r="B631" s="1" t="str">
        <f>IFERROR(IF(LEFT(Sensitivität_bzw_Monte_Carlo_bei_Strom[[#This Row],[Source.Name]],SEARCH("aus_der",Sensitivität_bzw_Monte_Carlo_bei_Strom[[#This Row],[Source.Name]],1))="Auszahlung_a","Auszahlung",""),"")</f>
        <v/>
      </c>
      <c r="D631" s="1"/>
    </row>
    <row r="632" spans="1:4" x14ac:dyDescent="0.3">
      <c r="A632" s="1"/>
      <c r="B632" s="1" t="str">
        <f>IFERROR(IF(LEFT(Sensitivität_bzw_Monte_Carlo_bei_Strom[[#This Row],[Source.Name]],SEARCH("aus_der",Sensitivität_bzw_Monte_Carlo_bei_Strom[[#This Row],[Source.Name]],1))="Auszahlung_a","Auszahlung",""),"")</f>
        <v/>
      </c>
      <c r="D632" s="1"/>
    </row>
    <row r="633" spans="1:4" x14ac:dyDescent="0.3">
      <c r="A633" s="1"/>
      <c r="B633" s="1" t="str">
        <f>IFERROR(IF(LEFT(Sensitivität_bzw_Monte_Carlo_bei_Strom[[#This Row],[Source.Name]],SEARCH("aus_der",Sensitivität_bzw_Monte_Carlo_bei_Strom[[#This Row],[Source.Name]],1))="Auszahlung_a","Auszahlung",""),"")</f>
        <v/>
      </c>
      <c r="D633" s="1"/>
    </row>
    <row r="634" spans="1:4" x14ac:dyDescent="0.3">
      <c r="A634" s="1"/>
      <c r="B634" s="1" t="str">
        <f>IFERROR(IF(LEFT(Sensitivität_bzw_Monte_Carlo_bei_Strom[[#This Row],[Source.Name]],SEARCH("aus_der",Sensitivität_bzw_Monte_Carlo_bei_Strom[[#This Row],[Source.Name]],1))="Auszahlung_a","Auszahlung",""),"")</f>
        <v/>
      </c>
      <c r="D634" s="1"/>
    </row>
    <row r="635" spans="1:4" x14ac:dyDescent="0.3">
      <c r="A635" s="1"/>
      <c r="B635" s="1" t="str">
        <f>IFERROR(IF(LEFT(Sensitivität_bzw_Monte_Carlo_bei_Strom[[#This Row],[Source.Name]],SEARCH("aus_der",Sensitivität_bzw_Monte_Carlo_bei_Strom[[#This Row],[Source.Name]],1))="Auszahlung_a","Auszahlung",""),"")</f>
        <v/>
      </c>
      <c r="D635" s="1"/>
    </row>
    <row r="636" spans="1:4" x14ac:dyDescent="0.3">
      <c r="A636" s="1"/>
      <c r="B636" s="1" t="str">
        <f>IFERROR(IF(LEFT(Sensitivität_bzw_Monte_Carlo_bei_Strom[[#This Row],[Source.Name]],SEARCH("aus_der",Sensitivität_bzw_Monte_Carlo_bei_Strom[[#This Row],[Source.Name]],1))="Auszahlung_a","Auszahlung",""),"")</f>
        <v/>
      </c>
      <c r="D636" s="1"/>
    </row>
    <row r="637" spans="1:4" x14ac:dyDescent="0.3">
      <c r="A637" s="1"/>
      <c r="B637" s="1" t="str">
        <f>IFERROR(IF(LEFT(Sensitivität_bzw_Monte_Carlo_bei_Strom[[#This Row],[Source.Name]],SEARCH("aus_der",Sensitivität_bzw_Monte_Carlo_bei_Strom[[#This Row],[Source.Name]],1))="Auszahlung_a","Auszahlung",""),"")</f>
        <v/>
      </c>
      <c r="D637" s="1"/>
    </row>
    <row r="638" spans="1:4" x14ac:dyDescent="0.3">
      <c r="A638" s="1"/>
      <c r="B638" s="1" t="str">
        <f>IFERROR(IF(LEFT(Sensitivität_bzw_Monte_Carlo_bei_Strom[[#This Row],[Source.Name]],SEARCH("aus_der",Sensitivität_bzw_Monte_Carlo_bei_Strom[[#This Row],[Source.Name]],1))="Auszahlung_a","Auszahlung",""),"")</f>
        <v/>
      </c>
      <c r="D638" s="1"/>
    </row>
    <row r="639" spans="1:4" x14ac:dyDescent="0.3">
      <c r="A639" s="1"/>
      <c r="B639" s="1" t="str">
        <f>IFERROR(IF(LEFT(Sensitivität_bzw_Monte_Carlo_bei_Strom[[#This Row],[Source.Name]],SEARCH("aus_der",Sensitivität_bzw_Monte_Carlo_bei_Strom[[#This Row],[Source.Name]],1))="Auszahlung_a","Auszahlung",""),"")</f>
        <v/>
      </c>
      <c r="D639" s="1"/>
    </row>
    <row r="640" spans="1:4" x14ac:dyDescent="0.3">
      <c r="A640" s="1"/>
      <c r="B640" s="1" t="str">
        <f>IFERROR(IF(LEFT(Sensitivität_bzw_Monte_Carlo_bei_Strom[[#This Row],[Source.Name]],SEARCH("aus_der",Sensitivität_bzw_Monte_Carlo_bei_Strom[[#This Row],[Source.Name]],1))="Auszahlung_a","Auszahlung",""),"")</f>
        <v/>
      </c>
      <c r="D640" s="1"/>
    </row>
    <row r="641" spans="1:4" x14ac:dyDescent="0.3">
      <c r="A641" s="1"/>
      <c r="B641" s="1" t="str">
        <f>IFERROR(IF(LEFT(Sensitivität_bzw_Monte_Carlo_bei_Strom[[#This Row],[Source.Name]],SEARCH("aus_der",Sensitivität_bzw_Monte_Carlo_bei_Strom[[#This Row],[Source.Name]],1))="Auszahlung_a","Auszahlung",""),"")</f>
        <v/>
      </c>
      <c r="D641" s="1"/>
    </row>
    <row r="642" spans="1:4" x14ac:dyDescent="0.3">
      <c r="A642" s="1"/>
      <c r="B642" s="1" t="str">
        <f>IFERROR(IF(LEFT(Sensitivität_bzw_Monte_Carlo_bei_Strom[[#This Row],[Source.Name]],SEARCH("aus_der",Sensitivität_bzw_Monte_Carlo_bei_Strom[[#This Row],[Source.Name]],1))="Auszahlung_a","Auszahlung",""),"")</f>
        <v/>
      </c>
      <c r="D642" s="1"/>
    </row>
    <row r="643" spans="1:4" x14ac:dyDescent="0.3">
      <c r="A643" s="1"/>
      <c r="B643" s="1" t="str">
        <f>IFERROR(IF(LEFT(Sensitivität_bzw_Monte_Carlo_bei_Strom[[#This Row],[Source.Name]],SEARCH("aus_der",Sensitivität_bzw_Monte_Carlo_bei_Strom[[#This Row],[Source.Name]],1))="Auszahlung_a","Auszahlung",""),"")</f>
        <v/>
      </c>
      <c r="D643" s="1"/>
    </row>
    <row r="644" spans="1:4" x14ac:dyDescent="0.3">
      <c r="A644" s="1"/>
      <c r="B644" s="1" t="str">
        <f>IFERROR(IF(LEFT(Sensitivität_bzw_Monte_Carlo_bei_Strom[[#This Row],[Source.Name]],SEARCH("aus_der",Sensitivität_bzw_Monte_Carlo_bei_Strom[[#This Row],[Source.Name]],1))="Auszahlung_a","Auszahlung",""),"")</f>
        <v/>
      </c>
      <c r="D644" s="1"/>
    </row>
    <row r="645" spans="1:4" x14ac:dyDescent="0.3">
      <c r="A645" s="1"/>
      <c r="B645" s="1" t="str">
        <f>IFERROR(IF(LEFT(Sensitivität_bzw_Monte_Carlo_bei_Strom[[#This Row],[Source.Name]],SEARCH("aus_der",Sensitivität_bzw_Monte_Carlo_bei_Strom[[#This Row],[Source.Name]],1))="Auszahlung_a","Auszahlung",""),"")</f>
        <v/>
      </c>
      <c r="D645" s="1"/>
    </row>
    <row r="646" spans="1:4" x14ac:dyDescent="0.3">
      <c r="A646" s="1"/>
      <c r="B646" s="1" t="str">
        <f>IFERROR(IF(LEFT(Sensitivität_bzw_Monte_Carlo_bei_Strom[[#This Row],[Source.Name]],SEARCH("aus_der",Sensitivität_bzw_Monte_Carlo_bei_Strom[[#This Row],[Source.Name]],1))="Auszahlung_a","Auszahlung",""),"")</f>
        <v/>
      </c>
      <c r="D646" s="1"/>
    </row>
    <row r="647" spans="1:4" x14ac:dyDescent="0.3">
      <c r="A647" s="1"/>
      <c r="B647" s="1" t="str">
        <f>IFERROR(IF(LEFT(Sensitivität_bzw_Monte_Carlo_bei_Strom[[#This Row],[Source.Name]],SEARCH("aus_der",Sensitivität_bzw_Monte_Carlo_bei_Strom[[#This Row],[Source.Name]],1))="Auszahlung_a","Auszahlung",""),"")</f>
        <v/>
      </c>
      <c r="D647" s="1"/>
    </row>
    <row r="648" spans="1:4" x14ac:dyDescent="0.3">
      <c r="A648" s="1"/>
      <c r="B648" s="1" t="str">
        <f>IFERROR(IF(LEFT(Sensitivität_bzw_Monte_Carlo_bei_Strom[[#This Row],[Source.Name]],SEARCH("aus_der",Sensitivität_bzw_Monte_Carlo_bei_Strom[[#This Row],[Source.Name]],1))="Auszahlung_a","Auszahlung",""),"")</f>
        <v/>
      </c>
      <c r="D648" s="1"/>
    </row>
    <row r="649" spans="1:4" x14ac:dyDescent="0.3">
      <c r="A649" s="1"/>
      <c r="B649" s="1" t="str">
        <f>IFERROR(IF(LEFT(Sensitivität_bzw_Monte_Carlo_bei_Strom[[#This Row],[Source.Name]],SEARCH("aus_der",Sensitivität_bzw_Monte_Carlo_bei_Strom[[#This Row],[Source.Name]],1))="Auszahlung_a","Auszahlung",""),"")</f>
        <v/>
      </c>
      <c r="D649" s="1"/>
    </row>
    <row r="650" spans="1:4" x14ac:dyDescent="0.3">
      <c r="A650" s="1"/>
      <c r="B650" s="1" t="str">
        <f>IFERROR(IF(LEFT(Sensitivität_bzw_Monte_Carlo_bei_Strom[[#This Row],[Source.Name]],SEARCH("aus_der",Sensitivität_bzw_Monte_Carlo_bei_Strom[[#This Row],[Source.Name]],1))="Auszahlung_a","Auszahlung",""),"")</f>
        <v/>
      </c>
      <c r="D650" s="1"/>
    </row>
    <row r="651" spans="1:4" x14ac:dyDescent="0.3">
      <c r="A651" s="1"/>
      <c r="B651" s="1" t="str">
        <f>IFERROR(IF(LEFT(Sensitivität_bzw_Monte_Carlo_bei_Strom[[#This Row],[Source.Name]],SEARCH("aus_der",Sensitivität_bzw_Monte_Carlo_bei_Strom[[#This Row],[Source.Name]],1))="Auszahlung_a","Auszahlung",""),"")</f>
        <v/>
      </c>
      <c r="D651" s="1"/>
    </row>
    <row r="652" spans="1:4" x14ac:dyDescent="0.3">
      <c r="A652" s="1"/>
      <c r="B652" s="1" t="str">
        <f>IFERROR(IF(LEFT(Sensitivität_bzw_Monte_Carlo_bei_Strom[[#This Row],[Source.Name]],SEARCH("aus_der",Sensitivität_bzw_Monte_Carlo_bei_Strom[[#This Row],[Source.Name]],1))="Auszahlung_a","Auszahlung",""),"")</f>
        <v/>
      </c>
      <c r="D652" s="1"/>
    </row>
    <row r="653" spans="1:4" x14ac:dyDescent="0.3">
      <c r="A653" s="1"/>
      <c r="B653" s="1" t="str">
        <f>IFERROR(IF(LEFT(Sensitivität_bzw_Monte_Carlo_bei_Strom[[#This Row],[Source.Name]],SEARCH("aus_der",Sensitivität_bzw_Monte_Carlo_bei_Strom[[#This Row],[Source.Name]],1))="Auszahlung_a","Auszahlung",""),"")</f>
        <v/>
      </c>
      <c r="D653" s="1"/>
    </row>
    <row r="654" spans="1:4" x14ac:dyDescent="0.3">
      <c r="A654" s="1"/>
      <c r="B654" s="1" t="str">
        <f>IFERROR(IF(LEFT(Sensitivität_bzw_Monte_Carlo_bei_Strom[[#This Row],[Source.Name]],SEARCH("aus_der",Sensitivität_bzw_Monte_Carlo_bei_Strom[[#This Row],[Source.Name]],1))="Auszahlung_a","Auszahlung",""),"")</f>
        <v/>
      </c>
      <c r="D654" s="1"/>
    </row>
    <row r="655" spans="1:4" x14ac:dyDescent="0.3">
      <c r="A655" s="1"/>
      <c r="B655" s="1" t="str">
        <f>IFERROR(IF(LEFT(Sensitivität_bzw_Monte_Carlo_bei_Strom[[#This Row],[Source.Name]],SEARCH("aus_der",Sensitivität_bzw_Monte_Carlo_bei_Strom[[#This Row],[Source.Name]],1))="Auszahlung_a","Auszahlung",""),"")</f>
        <v/>
      </c>
      <c r="D655" s="1"/>
    </row>
    <row r="656" spans="1:4" x14ac:dyDescent="0.3">
      <c r="A656" s="1"/>
      <c r="B656" s="1" t="str">
        <f>IFERROR(IF(LEFT(Sensitivität_bzw_Monte_Carlo_bei_Strom[[#This Row],[Source.Name]],SEARCH("aus_der",Sensitivität_bzw_Monte_Carlo_bei_Strom[[#This Row],[Source.Name]],1))="Auszahlung_a","Auszahlung",""),"")</f>
        <v/>
      </c>
      <c r="D656" s="1"/>
    </row>
    <row r="657" spans="1:4" x14ac:dyDescent="0.3">
      <c r="A657" s="1"/>
      <c r="B657" s="1" t="str">
        <f>IFERROR(IF(LEFT(Sensitivität_bzw_Monte_Carlo_bei_Strom[[#This Row],[Source.Name]],SEARCH("aus_der",Sensitivität_bzw_Monte_Carlo_bei_Strom[[#This Row],[Source.Name]],1))="Auszahlung_a","Auszahlung",""),"")</f>
        <v/>
      </c>
      <c r="D657" s="1"/>
    </row>
    <row r="658" spans="1:4" x14ac:dyDescent="0.3">
      <c r="A658" s="1"/>
      <c r="B658" s="1" t="str">
        <f>IFERROR(IF(LEFT(Sensitivität_bzw_Monte_Carlo_bei_Strom[[#This Row],[Source.Name]],SEARCH("aus_der",Sensitivität_bzw_Monte_Carlo_bei_Strom[[#This Row],[Source.Name]],1))="Auszahlung_a","Auszahlung",""),"")</f>
        <v/>
      </c>
      <c r="D658" s="1"/>
    </row>
    <row r="659" spans="1:4" x14ac:dyDescent="0.3">
      <c r="A659" s="1"/>
      <c r="B659" s="1" t="str">
        <f>IFERROR(IF(LEFT(Sensitivität_bzw_Monte_Carlo_bei_Strom[[#This Row],[Source.Name]],SEARCH("aus_der",Sensitivität_bzw_Monte_Carlo_bei_Strom[[#This Row],[Source.Name]],1))="Auszahlung_a","Auszahlung",""),"")</f>
        <v/>
      </c>
      <c r="D659" s="1"/>
    </row>
    <row r="660" spans="1:4" x14ac:dyDescent="0.3">
      <c r="A660" s="1"/>
      <c r="B660" s="1" t="str">
        <f>IFERROR(IF(LEFT(Sensitivität_bzw_Monte_Carlo_bei_Strom[[#This Row],[Source.Name]],SEARCH("aus_der",Sensitivität_bzw_Monte_Carlo_bei_Strom[[#This Row],[Source.Name]],1))="Auszahlung_a","Auszahlung",""),"")</f>
        <v/>
      </c>
      <c r="D660" s="1"/>
    </row>
    <row r="661" spans="1:4" x14ac:dyDescent="0.3">
      <c r="A661" s="1"/>
      <c r="B661" s="1" t="str">
        <f>IFERROR(IF(LEFT(Sensitivität_bzw_Monte_Carlo_bei_Strom[[#This Row],[Source.Name]],SEARCH("aus_der",Sensitivität_bzw_Monte_Carlo_bei_Strom[[#This Row],[Source.Name]],1))="Auszahlung_a","Auszahlung",""),"")</f>
        <v/>
      </c>
      <c r="D661" s="1"/>
    </row>
    <row r="662" spans="1:4" x14ac:dyDescent="0.3">
      <c r="A662" s="1"/>
      <c r="B662" s="1" t="str">
        <f>IFERROR(IF(LEFT(Sensitivität_bzw_Monte_Carlo_bei_Strom[[#This Row],[Source.Name]],SEARCH("aus_der",Sensitivität_bzw_Monte_Carlo_bei_Strom[[#This Row],[Source.Name]],1))="Auszahlung_a","Auszahlung",""),"")</f>
        <v/>
      </c>
      <c r="D662" s="1"/>
    </row>
    <row r="663" spans="1:4" x14ac:dyDescent="0.3">
      <c r="A663" s="1"/>
      <c r="B663" s="1" t="str">
        <f>IFERROR(IF(LEFT(Sensitivität_bzw_Monte_Carlo_bei_Strom[[#This Row],[Source.Name]],SEARCH("aus_der",Sensitivität_bzw_Monte_Carlo_bei_Strom[[#This Row],[Source.Name]],1))="Auszahlung_a","Auszahlung",""),"")</f>
        <v/>
      </c>
      <c r="D663" s="1"/>
    </row>
    <row r="664" spans="1:4" x14ac:dyDescent="0.3">
      <c r="A664" s="1"/>
      <c r="B664" s="1" t="str">
        <f>IFERROR(IF(LEFT(Sensitivität_bzw_Monte_Carlo_bei_Strom[[#This Row],[Source.Name]],SEARCH("aus_der",Sensitivität_bzw_Monte_Carlo_bei_Strom[[#This Row],[Source.Name]],1))="Auszahlung_a","Auszahlung",""),"")</f>
        <v/>
      </c>
      <c r="D664" s="1"/>
    </row>
    <row r="665" spans="1:4" x14ac:dyDescent="0.3">
      <c r="A665" s="1"/>
      <c r="B665" s="1" t="str">
        <f>IFERROR(IF(LEFT(Sensitivität_bzw_Monte_Carlo_bei_Strom[[#This Row],[Source.Name]],SEARCH("aus_der",Sensitivität_bzw_Monte_Carlo_bei_Strom[[#This Row],[Source.Name]],1))="Auszahlung_a","Auszahlung",""),"")</f>
        <v/>
      </c>
      <c r="D665" s="1"/>
    </row>
    <row r="666" spans="1:4" x14ac:dyDescent="0.3">
      <c r="A666" s="1"/>
      <c r="B666" s="1" t="str">
        <f>IFERROR(IF(LEFT(Sensitivität_bzw_Monte_Carlo_bei_Strom[[#This Row],[Source.Name]],SEARCH("aus_der",Sensitivität_bzw_Monte_Carlo_bei_Strom[[#This Row],[Source.Name]],1))="Auszahlung_a","Auszahlung",""),"")</f>
        <v/>
      </c>
      <c r="D666" s="1"/>
    </row>
    <row r="667" spans="1:4" x14ac:dyDescent="0.3">
      <c r="A667" s="1"/>
      <c r="B667" s="1" t="str">
        <f>IFERROR(IF(LEFT(Sensitivität_bzw_Monte_Carlo_bei_Strom[[#This Row],[Source.Name]],SEARCH("aus_der",Sensitivität_bzw_Monte_Carlo_bei_Strom[[#This Row],[Source.Name]],1))="Auszahlung_a","Auszahlung",""),"")</f>
        <v/>
      </c>
      <c r="D667" s="1"/>
    </row>
    <row r="668" spans="1:4" x14ac:dyDescent="0.3">
      <c r="A668" s="1"/>
      <c r="B668" s="1" t="str">
        <f>IFERROR(IF(LEFT(Sensitivität_bzw_Monte_Carlo_bei_Strom[[#This Row],[Source.Name]],SEARCH("aus_der",Sensitivität_bzw_Monte_Carlo_bei_Strom[[#This Row],[Source.Name]],1))="Auszahlung_a","Auszahlung",""),"")</f>
        <v/>
      </c>
      <c r="D668" s="1"/>
    </row>
    <row r="669" spans="1:4" x14ac:dyDescent="0.3">
      <c r="A669" s="1"/>
      <c r="B669" s="1" t="str">
        <f>IFERROR(IF(LEFT(Sensitivität_bzw_Monte_Carlo_bei_Strom[[#This Row],[Source.Name]],SEARCH("aus_der",Sensitivität_bzw_Monte_Carlo_bei_Strom[[#This Row],[Source.Name]],1))="Auszahlung_a","Auszahlung",""),"")</f>
        <v/>
      </c>
      <c r="D669" s="1"/>
    </row>
    <row r="670" spans="1:4" x14ac:dyDescent="0.3">
      <c r="A670" s="1"/>
      <c r="B670" s="1" t="str">
        <f>IFERROR(IF(LEFT(Sensitivität_bzw_Monte_Carlo_bei_Strom[[#This Row],[Source.Name]],SEARCH("aus_der",Sensitivität_bzw_Monte_Carlo_bei_Strom[[#This Row],[Source.Name]],1))="Auszahlung_a","Auszahlung",""),"")</f>
        <v/>
      </c>
      <c r="D670" s="1"/>
    </row>
    <row r="671" spans="1:4" x14ac:dyDescent="0.3">
      <c r="A671" s="1"/>
      <c r="B671" s="1" t="str">
        <f>IFERROR(IF(LEFT(Sensitivität_bzw_Monte_Carlo_bei_Strom[[#This Row],[Source.Name]],SEARCH("aus_der",Sensitivität_bzw_Monte_Carlo_bei_Strom[[#This Row],[Source.Name]],1))="Auszahlung_a","Auszahlung",""),"")</f>
        <v/>
      </c>
      <c r="D671" s="1"/>
    </row>
    <row r="672" spans="1:4" x14ac:dyDescent="0.3">
      <c r="A672" s="1"/>
      <c r="B672" s="1" t="str">
        <f>IFERROR(IF(LEFT(Sensitivität_bzw_Monte_Carlo_bei_Strom[[#This Row],[Source.Name]],SEARCH("aus_der",Sensitivität_bzw_Monte_Carlo_bei_Strom[[#This Row],[Source.Name]],1))="Auszahlung_a","Auszahlung",""),"")</f>
        <v/>
      </c>
      <c r="D672" s="1"/>
    </row>
    <row r="673" spans="1:4" x14ac:dyDescent="0.3">
      <c r="A673" s="1"/>
      <c r="B673" s="1" t="str">
        <f>IFERROR(IF(LEFT(Sensitivität_bzw_Monte_Carlo_bei_Strom[[#This Row],[Source.Name]],SEARCH("aus_der",Sensitivität_bzw_Monte_Carlo_bei_Strom[[#This Row],[Source.Name]],1))="Auszahlung_a","Auszahlung",""),"")</f>
        <v/>
      </c>
      <c r="D673" s="1"/>
    </row>
    <row r="674" spans="1:4" x14ac:dyDescent="0.3">
      <c r="A674" s="1"/>
      <c r="B674" s="1" t="str">
        <f>IFERROR(IF(LEFT(Sensitivität_bzw_Monte_Carlo_bei_Strom[[#This Row],[Source.Name]],SEARCH("aus_der",Sensitivität_bzw_Monte_Carlo_bei_Strom[[#This Row],[Source.Name]],1))="Auszahlung_a","Auszahlung",""),"")</f>
        <v/>
      </c>
      <c r="D674" s="1"/>
    </row>
    <row r="675" spans="1:4" x14ac:dyDescent="0.3">
      <c r="A675" s="1"/>
      <c r="B675" s="1" t="str">
        <f>IFERROR(IF(LEFT(Sensitivität_bzw_Monte_Carlo_bei_Strom[[#This Row],[Source.Name]],SEARCH("aus_der",Sensitivität_bzw_Monte_Carlo_bei_Strom[[#This Row],[Source.Name]],1))="Auszahlung_a","Auszahlung",""),"")</f>
        <v/>
      </c>
      <c r="D675" s="1"/>
    </row>
    <row r="676" spans="1:4" x14ac:dyDescent="0.3">
      <c r="A676" s="1"/>
      <c r="B676" s="1" t="str">
        <f>IFERROR(IF(LEFT(Sensitivität_bzw_Monte_Carlo_bei_Strom[[#This Row],[Source.Name]],SEARCH("aus_der",Sensitivität_bzw_Monte_Carlo_bei_Strom[[#This Row],[Source.Name]],1))="Auszahlung_a","Auszahlung",""),"")</f>
        <v/>
      </c>
      <c r="D676" s="1"/>
    </row>
    <row r="677" spans="1:4" x14ac:dyDescent="0.3">
      <c r="A677" s="1"/>
      <c r="B677" s="1" t="str">
        <f>IFERROR(IF(LEFT(Sensitivität_bzw_Monte_Carlo_bei_Strom[[#This Row],[Source.Name]],SEARCH("aus_der",Sensitivität_bzw_Monte_Carlo_bei_Strom[[#This Row],[Source.Name]],1))="Auszahlung_a","Auszahlung",""),"")</f>
        <v/>
      </c>
      <c r="D677" s="1"/>
    </row>
    <row r="678" spans="1:4" x14ac:dyDescent="0.3">
      <c r="A678" s="1"/>
      <c r="B678" s="1" t="str">
        <f>IFERROR(IF(LEFT(Sensitivität_bzw_Monte_Carlo_bei_Strom[[#This Row],[Source.Name]],SEARCH("aus_der",Sensitivität_bzw_Monte_Carlo_bei_Strom[[#This Row],[Source.Name]],1))="Auszahlung_a","Auszahlung",""),"")</f>
        <v/>
      </c>
      <c r="D678" s="1"/>
    </row>
    <row r="679" spans="1:4" x14ac:dyDescent="0.3">
      <c r="A679" s="1"/>
      <c r="B679" s="1" t="str">
        <f>IFERROR(IF(LEFT(Sensitivität_bzw_Monte_Carlo_bei_Strom[[#This Row],[Source.Name]],SEARCH("aus_der",Sensitivität_bzw_Monte_Carlo_bei_Strom[[#This Row],[Source.Name]],1))="Auszahlung_a","Auszahlung",""),"")</f>
        <v/>
      </c>
      <c r="D679" s="1"/>
    </row>
    <row r="680" spans="1:4" x14ac:dyDescent="0.3">
      <c r="A680" s="1"/>
      <c r="B680" s="1" t="str">
        <f>IFERROR(IF(LEFT(Sensitivität_bzw_Monte_Carlo_bei_Strom[[#This Row],[Source.Name]],SEARCH("aus_der",Sensitivität_bzw_Monte_Carlo_bei_Strom[[#This Row],[Source.Name]],1))="Auszahlung_a","Auszahlung",""),"")</f>
        <v/>
      </c>
      <c r="D680" s="1"/>
    </row>
    <row r="681" spans="1:4" x14ac:dyDescent="0.3">
      <c r="A681" s="1"/>
      <c r="B681" s="1" t="str">
        <f>IFERROR(IF(LEFT(Sensitivität_bzw_Monte_Carlo_bei_Strom[[#This Row],[Source.Name]],SEARCH("aus_der",Sensitivität_bzw_Monte_Carlo_bei_Strom[[#This Row],[Source.Name]],1))="Auszahlung_a","Auszahlung",""),"")</f>
        <v/>
      </c>
      <c r="D681" s="1"/>
    </row>
    <row r="682" spans="1:4" x14ac:dyDescent="0.3">
      <c r="A682" s="1"/>
      <c r="B682" s="1" t="str">
        <f>IFERROR(IF(LEFT(Sensitivität_bzw_Monte_Carlo_bei_Strom[[#This Row],[Source.Name]],SEARCH("aus_der",Sensitivität_bzw_Monte_Carlo_bei_Strom[[#This Row],[Source.Name]],1))="Auszahlung_a","Auszahlung",""),"")</f>
        <v/>
      </c>
      <c r="D682" s="1"/>
    </row>
    <row r="683" spans="1:4" x14ac:dyDescent="0.3">
      <c r="A683" s="1"/>
      <c r="B683" s="1" t="str">
        <f>IFERROR(IF(LEFT(Sensitivität_bzw_Monte_Carlo_bei_Strom[[#This Row],[Source.Name]],SEARCH("aus_der",Sensitivität_bzw_Monte_Carlo_bei_Strom[[#This Row],[Source.Name]],1))="Auszahlung_a","Auszahlung",""),"")</f>
        <v/>
      </c>
      <c r="D683" s="1"/>
    </row>
    <row r="684" spans="1:4" x14ac:dyDescent="0.3">
      <c r="A684" s="1"/>
      <c r="B684" s="1" t="str">
        <f>IFERROR(IF(LEFT(Sensitivität_bzw_Monte_Carlo_bei_Strom[[#This Row],[Source.Name]],SEARCH("aus_der",Sensitivität_bzw_Monte_Carlo_bei_Strom[[#This Row],[Source.Name]],1))="Auszahlung_a","Auszahlung",""),"")</f>
        <v/>
      </c>
      <c r="D684" s="1"/>
    </row>
    <row r="685" spans="1:4" x14ac:dyDescent="0.3">
      <c r="A685" s="1"/>
      <c r="B685" s="1" t="str">
        <f>IFERROR(IF(LEFT(Sensitivität_bzw_Monte_Carlo_bei_Strom[[#This Row],[Source.Name]],SEARCH("aus_der",Sensitivität_bzw_Monte_Carlo_bei_Strom[[#This Row],[Source.Name]],1))="Auszahlung_a","Auszahlung",""),"")</f>
        <v/>
      </c>
      <c r="D685" s="1"/>
    </row>
    <row r="686" spans="1:4" x14ac:dyDescent="0.3">
      <c r="A686" s="1"/>
      <c r="B686" s="1" t="str">
        <f>IFERROR(IF(LEFT(Sensitivität_bzw_Monte_Carlo_bei_Strom[[#This Row],[Source.Name]],SEARCH("aus_der",Sensitivität_bzw_Monte_Carlo_bei_Strom[[#This Row],[Source.Name]],1))="Auszahlung_a","Auszahlung",""),"")</f>
        <v/>
      </c>
      <c r="D686" s="1"/>
    </row>
    <row r="687" spans="1:4" x14ac:dyDescent="0.3">
      <c r="A687" s="1"/>
      <c r="B687" s="1" t="str">
        <f>IFERROR(IF(LEFT(Sensitivität_bzw_Monte_Carlo_bei_Strom[[#This Row],[Source.Name]],SEARCH("aus_der",Sensitivität_bzw_Monte_Carlo_bei_Strom[[#This Row],[Source.Name]],1))="Auszahlung_a","Auszahlung",""),"")</f>
        <v/>
      </c>
      <c r="D687" s="1"/>
    </row>
    <row r="688" spans="1:4" x14ac:dyDescent="0.3">
      <c r="A688" s="1"/>
      <c r="B688" s="1" t="str">
        <f>IFERROR(IF(LEFT(Sensitivität_bzw_Monte_Carlo_bei_Strom[[#This Row],[Source.Name]],SEARCH("aus_der",Sensitivität_bzw_Monte_Carlo_bei_Strom[[#This Row],[Source.Name]],1))="Auszahlung_a","Auszahlung",""),"")</f>
        <v/>
      </c>
      <c r="D688" s="1"/>
    </row>
    <row r="689" spans="1:4" x14ac:dyDescent="0.3">
      <c r="A689" s="1"/>
      <c r="B689" s="1" t="str">
        <f>IFERROR(IF(LEFT(Sensitivität_bzw_Monte_Carlo_bei_Strom[[#This Row],[Source.Name]],SEARCH("aus_der",Sensitivität_bzw_Monte_Carlo_bei_Strom[[#This Row],[Source.Name]],1))="Auszahlung_a","Auszahlung",""),"")</f>
        <v/>
      </c>
      <c r="D689" s="1"/>
    </row>
    <row r="690" spans="1:4" x14ac:dyDescent="0.3">
      <c r="A690" s="1"/>
      <c r="B690" s="1" t="str">
        <f>IFERROR(IF(LEFT(Sensitivität_bzw_Monte_Carlo_bei_Strom[[#This Row],[Source.Name]],SEARCH("aus_der",Sensitivität_bzw_Monte_Carlo_bei_Strom[[#This Row],[Source.Name]],1))="Auszahlung_a","Auszahlung",""),"")</f>
        <v/>
      </c>
      <c r="D690" s="1"/>
    </row>
    <row r="691" spans="1:4" x14ac:dyDescent="0.3">
      <c r="A691" s="1"/>
      <c r="B691" s="1" t="str">
        <f>IFERROR(IF(LEFT(Sensitivität_bzw_Monte_Carlo_bei_Strom[[#This Row],[Source.Name]],SEARCH("aus_der",Sensitivität_bzw_Monte_Carlo_bei_Strom[[#This Row],[Source.Name]],1))="Auszahlung_a","Auszahlung",""),"")</f>
        <v/>
      </c>
      <c r="D691" s="1"/>
    </row>
    <row r="692" spans="1:4" x14ac:dyDescent="0.3">
      <c r="A692" s="1"/>
      <c r="B692" s="1" t="str">
        <f>IFERROR(IF(LEFT(Sensitivität_bzw_Monte_Carlo_bei_Strom[[#This Row],[Source.Name]],SEARCH("aus_der",Sensitivität_bzw_Monte_Carlo_bei_Strom[[#This Row],[Source.Name]],1))="Auszahlung_a","Auszahlung",""),"")</f>
        <v/>
      </c>
      <c r="D692" s="1"/>
    </row>
    <row r="693" spans="1:4" x14ac:dyDescent="0.3">
      <c r="A693" s="1"/>
      <c r="B693" s="1" t="str">
        <f>IFERROR(IF(LEFT(Sensitivität_bzw_Monte_Carlo_bei_Strom[[#This Row],[Source.Name]],SEARCH("aus_der",Sensitivität_bzw_Monte_Carlo_bei_Strom[[#This Row],[Source.Name]],1))="Auszahlung_a","Auszahlung",""),"")</f>
        <v/>
      </c>
      <c r="D693" s="1"/>
    </row>
    <row r="694" spans="1:4" x14ac:dyDescent="0.3">
      <c r="A694" s="1"/>
      <c r="B694" s="1" t="str">
        <f>IFERROR(IF(LEFT(Sensitivität_bzw_Monte_Carlo_bei_Strom[[#This Row],[Source.Name]],SEARCH("aus_der",Sensitivität_bzw_Monte_Carlo_bei_Strom[[#This Row],[Source.Name]],1))="Auszahlung_a","Auszahlung",""),"")</f>
        <v/>
      </c>
      <c r="D694" s="1"/>
    </row>
    <row r="695" spans="1:4" x14ac:dyDescent="0.3">
      <c r="A695" s="1"/>
      <c r="B695" s="1" t="str">
        <f>IFERROR(IF(LEFT(Sensitivität_bzw_Monte_Carlo_bei_Strom[[#This Row],[Source.Name]],SEARCH("aus_der",Sensitivität_bzw_Monte_Carlo_bei_Strom[[#This Row],[Source.Name]],1))="Auszahlung_a","Auszahlung",""),"")</f>
        <v/>
      </c>
      <c r="D695" s="1"/>
    </row>
    <row r="696" spans="1:4" x14ac:dyDescent="0.3">
      <c r="A696" s="1"/>
      <c r="B696" s="1" t="str">
        <f>IFERROR(IF(LEFT(Sensitivität_bzw_Monte_Carlo_bei_Strom[[#This Row],[Source.Name]],SEARCH("aus_der",Sensitivität_bzw_Monte_Carlo_bei_Strom[[#This Row],[Source.Name]],1))="Auszahlung_a","Auszahlung",""),"")</f>
        <v/>
      </c>
      <c r="D696" s="1"/>
    </row>
    <row r="697" spans="1:4" x14ac:dyDescent="0.3">
      <c r="A697" s="1"/>
      <c r="B697" s="1" t="str">
        <f>IFERROR(IF(LEFT(Sensitivität_bzw_Monte_Carlo_bei_Strom[[#This Row],[Source.Name]],SEARCH("aus_der",Sensitivität_bzw_Monte_Carlo_bei_Strom[[#This Row],[Source.Name]],1))="Auszahlung_a","Auszahlung",""),"")</f>
        <v/>
      </c>
      <c r="D697" s="1"/>
    </row>
    <row r="698" spans="1:4" x14ac:dyDescent="0.3">
      <c r="A698" s="1"/>
      <c r="B698" s="1" t="str">
        <f>IFERROR(IF(LEFT(Sensitivität_bzw_Monte_Carlo_bei_Strom[[#This Row],[Source.Name]],SEARCH("aus_der",Sensitivität_bzw_Monte_Carlo_bei_Strom[[#This Row],[Source.Name]],1))="Auszahlung_a","Auszahlung",""),"")</f>
        <v/>
      </c>
      <c r="D698" s="1"/>
    </row>
    <row r="699" spans="1:4" x14ac:dyDescent="0.3">
      <c r="A699" s="1"/>
      <c r="B699" s="1" t="str">
        <f>IFERROR(IF(LEFT(Sensitivität_bzw_Monte_Carlo_bei_Strom[[#This Row],[Source.Name]],SEARCH("aus_der",Sensitivität_bzw_Monte_Carlo_bei_Strom[[#This Row],[Source.Name]],1))="Auszahlung_a","Auszahlung",""),"")</f>
        <v/>
      </c>
      <c r="D699" s="1"/>
    </row>
    <row r="700" spans="1:4" x14ac:dyDescent="0.3">
      <c r="A700" s="1"/>
      <c r="B700" s="1" t="str">
        <f>IFERROR(IF(LEFT(Sensitivität_bzw_Monte_Carlo_bei_Strom[[#This Row],[Source.Name]],SEARCH("aus_der",Sensitivität_bzw_Monte_Carlo_bei_Strom[[#This Row],[Source.Name]],1))="Auszahlung_a","Auszahlung",""),"")</f>
        <v/>
      </c>
      <c r="D700" s="1"/>
    </row>
    <row r="701" spans="1:4" x14ac:dyDescent="0.3">
      <c r="A701" s="1"/>
      <c r="B701" s="1" t="str">
        <f>IFERROR(IF(LEFT(Sensitivität_bzw_Monte_Carlo_bei_Strom[[#This Row],[Source.Name]],SEARCH("aus_der",Sensitivität_bzw_Monte_Carlo_bei_Strom[[#This Row],[Source.Name]],1))="Auszahlung_a","Auszahlung",""),"")</f>
        <v/>
      </c>
      <c r="D701" s="1"/>
    </row>
    <row r="702" spans="1:4" x14ac:dyDescent="0.3">
      <c r="A702" s="1"/>
      <c r="B702" s="1" t="str">
        <f>IFERROR(IF(LEFT(Sensitivität_bzw_Monte_Carlo_bei_Strom[[#This Row],[Source.Name]],SEARCH("aus_der",Sensitivität_bzw_Monte_Carlo_bei_Strom[[#This Row],[Source.Name]],1))="Auszahlung_a","Auszahlung",""),"")</f>
        <v/>
      </c>
      <c r="D702" s="1"/>
    </row>
    <row r="703" spans="1:4" x14ac:dyDescent="0.3">
      <c r="A703" s="1"/>
      <c r="B703" s="1" t="str">
        <f>IFERROR(IF(LEFT(Sensitivität_bzw_Monte_Carlo_bei_Strom[[#This Row],[Source.Name]],SEARCH("aus_der",Sensitivität_bzw_Monte_Carlo_bei_Strom[[#This Row],[Source.Name]],1))="Auszahlung_a","Auszahlung",""),"")</f>
        <v/>
      </c>
      <c r="D703" s="1"/>
    </row>
    <row r="704" spans="1:4" x14ac:dyDescent="0.3">
      <c r="A704" s="1"/>
      <c r="B704" s="1" t="str">
        <f>IFERROR(IF(LEFT(Sensitivität_bzw_Monte_Carlo_bei_Strom[[#This Row],[Source.Name]],SEARCH("aus_der",Sensitivität_bzw_Monte_Carlo_bei_Strom[[#This Row],[Source.Name]],1))="Auszahlung_a","Auszahlung",""),"")</f>
        <v/>
      </c>
      <c r="D704" s="1"/>
    </row>
    <row r="705" spans="1:4" x14ac:dyDescent="0.3">
      <c r="A705" s="1"/>
      <c r="B705" s="1" t="str">
        <f>IFERROR(IF(LEFT(Sensitivität_bzw_Monte_Carlo_bei_Strom[[#This Row],[Source.Name]],SEARCH("aus_der",Sensitivität_bzw_Monte_Carlo_bei_Strom[[#This Row],[Source.Name]],1))="Auszahlung_a","Auszahlung",""),"")</f>
        <v/>
      </c>
      <c r="D705" s="1"/>
    </row>
    <row r="706" spans="1:4" x14ac:dyDescent="0.3">
      <c r="A706" s="1"/>
      <c r="B706" s="1" t="str">
        <f>IFERROR(IF(LEFT(Sensitivität_bzw_Monte_Carlo_bei_Strom[[#This Row],[Source.Name]],SEARCH("aus_der",Sensitivität_bzw_Monte_Carlo_bei_Strom[[#This Row],[Source.Name]],1))="Auszahlung_a","Auszahlung",""),"")</f>
        <v/>
      </c>
      <c r="D706" s="1"/>
    </row>
    <row r="707" spans="1:4" x14ac:dyDescent="0.3">
      <c r="A707" s="1"/>
      <c r="B707" s="1" t="str">
        <f>IFERROR(IF(LEFT(Sensitivität_bzw_Monte_Carlo_bei_Strom[[#This Row],[Source.Name]],SEARCH("aus_der",Sensitivität_bzw_Monte_Carlo_bei_Strom[[#This Row],[Source.Name]],1))="Auszahlung_a","Auszahlung",""),"")</f>
        <v/>
      </c>
      <c r="D707" s="1"/>
    </row>
    <row r="708" spans="1:4" x14ac:dyDescent="0.3">
      <c r="A708" s="1"/>
      <c r="B708" s="1" t="str">
        <f>IFERROR(IF(LEFT(Sensitivität_bzw_Monte_Carlo_bei_Strom[[#This Row],[Source.Name]],SEARCH("aus_der",Sensitivität_bzw_Monte_Carlo_bei_Strom[[#This Row],[Source.Name]],1))="Auszahlung_a","Auszahlung",""),"")</f>
        <v/>
      </c>
      <c r="D708" s="1"/>
    </row>
    <row r="709" spans="1:4" x14ac:dyDescent="0.3">
      <c r="A709" s="1"/>
      <c r="B709" s="1" t="str">
        <f>IFERROR(IF(LEFT(Sensitivität_bzw_Monte_Carlo_bei_Strom[[#This Row],[Source.Name]],SEARCH("aus_der",Sensitivität_bzw_Monte_Carlo_bei_Strom[[#This Row],[Source.Name]],1))="Auszahlung_a","Auszahlung",""),"")</f>
        <v/>
      </c>
      <c r="D709" s="1"/>
    </row>
    <row r="710" spans="1:4" x14ac:dyDescent="0.3">
      <c r="A710" s="1"/>
      <c r="B710" s="1" t="str">
        <f>IFERROR(IF(LEFT(Sensitivität_bzw_Monte_Carlo_bei_Strom[[#This Row],[Source.Name]],SEARCH("aus_der",Sensitivität_bzw_Monte_Carlo_bei_Strom[[#This Row],[Source.Name]],1))="Auszahlung_a","Auszahlung",""),"")</f>
        <v/>
      </c>
      <c r="D710" s="1"/>
    </row>
    <row r="711" spans="1:4" x14ac:dyDescent="0.3">
      <c r="A711" s="1"/>
      <c r="B711" s="1" t="str">
        <f>IFERROR(IF(LEFT(Sensitivität_bzw_Monte_Carlo_bei_Strom[[#This Row],[Source.Name]],SEARCH("aus_der",Sensitivität_bzw_Monte_Carlo_bei_Strom[[#This Row],[Source.Name]],1))="Auszahlung_a","Auszahlung",""),"")</f>
        <v/>
      </c>
      <c r="D711" s="1"/>
    </row>
    <row r="712" spans="1:4" x14ac:dyDescent="0.3">
      <c r="A712" s="1"/>
      <c r="B712" s="1" t="str">
        <f>IFERROR(IF(LEFT(Sensitivität_bzw_Monte_Carlo_bei_Strom[[#This Row],[Source.Name]],SEARCH("aus_der",Sensitivität_bzw_Monte_Carlo_bei_Strom[[#This Row],[Source.Name]],1))="Auszahlung_a","Auszahlung",""),"")</f>
        <v/>
      </c>
      <c r="D712" s="1"/>
    </row>
    <row r="713" spans="1:4" x14ac:dyDescent="0.3">
      <c r="A713" s="1"/>
      <c r="B713" s="1" t="str">
        <f>IFERROR(IF(LEFT(Sensitivität_bzw_Monte_Carlo_bei_Strom[[#This Row],[Source.Name]],SEARCH("aus_der",Sensitivität_bzw_Monte_Carlo_bei_Strom[[#This Row],[Source.Name]],1))="Auszahlung_a","Auszahlung",""),"")</f>
        <v/>
      </c>
      <c r="D713" s="1"/>
    </row>
    <row r="714" spans="1:4" x14ac:dyDescent="0.3">
      <c r="A714" s="1"/>
      <c r="B714" s="1" t="str">
        <f>IFERROR(IF(LEFT(Sensitivität_bzw_Monte_Carlo_bei_Strom[[#This Row],[Source.Name]],SEARCH("aus_der",Sensitivität_bzw_Monte_Carlo_bei_Strom[[#This Row],[Source.Name]],1))="Auszahlung_a","Auszahlung",""),"")</f>
        <v/>
      </c>
      <c r="D714" s="1"/>
    </row>
    <row r="715" spans="1:4" x14ac:dyDescent="0.3">
      <c r="A715" s="1"/>
      <c r="B715" s="1" t="str">
        <f>IFERROR(IF(LEFT(Sensitivität_bzw_Monte_Carlo_bei_Strom[[#This Row],[Source.Name]],SEARCH("aus_der",Sensitivität_bzw_Monte_Carlo_bei_Strom[[#This Row],[Source.Name]],1))="Auszahlung_a","Auszahlung",""),"")</f>
        <v/>
      </c>
      <c r="D715" s="1"/>
    </row>
    <row r="716" spans="1:4" x14ac:dyDescent="0.3">
      <c r="A716" s="1"/>
      <c r="B716" s="1" t="str">
        <f>IFERROR(IF(LEFT(Sensitivität_bzw_Monte_Carlo_bei_Strom[[#This Row],[Source.Name]],SEARCH("aus_der",Sensitivität_bzw_Monte_Carlo_bei_Strom[[#This Row],[Source.Name]],1))="Auszahlung_a","Auszahlung",""),"")</f>
        <v/>
      </c>
      <c r="D716" s="1"/>
    </row>
    <row r="717" spans="1:4" x14ac:dyDescent="0.3">
      <c r="A717" s="1"/>
      <c r="B717" s="1" t="str">
        <f>IFERROR(IF(LEFT(Sensitivität_bzw_Monte_Carlo_bei_Strom[[#This Row],[Source.Name]],SEARCH("aus_der",Sensitivität_bzw_Monte_Carlo_bei_Strom[[#This Row],[Source.Name]],1))="Auszahlung_a","Auszahlung",""),"")</f>
        <v/>
      </c>
      <c r="D717" s="1"/>
    </row>
    <row r="718" spans="1:4" x14ac:dyDescent="0.3">
      <c r="A718" s="1"/>
      <c r="B718" s="1" t="str">
        <f>IFERROR(IF(LEFT(Sensitivität_bzw_Monte_Carlo_bei_Strom[[#This Row],[Source.Name]],SEARCH("aus_der",Sensitivität_bzw_Monte_Carlo_bei_Strom[[#This Row],[Source.Name]],1))="Auszahlung_a","Auszahlung",""),"")</f>
        <v/>
      </c>
      <c r="D718" s="1"/>
    </row>
    <row r="719" spans="1:4" x14ac:dyDescent="0.3">
      <c r="A719" s="1"/>
      <c r="B719" s="1" t="str">
        <f>IFERROR(IF(LEFT(Sensitivität_bzw_Monte_Carlo_bei_Strom[[#This Row],[Source.Name]],SEARCH("aus_der",Sensitivität_bzw_Monte_Carlo_bei_Strom[[#This Row],[Source.Name]],1))="Auszahlung_a","Auszahlung",""),"")</f>
        <v/>
      </c>
      <c r="D719" s="1"/>
    </row>
    <row r="720" spans="1:4" x14ac:dyDescent="0.3">
      <c r="A720" s="1"/>
      <c r="B720" s="1" t="str">
        <f>IFERROR(IF(LEFT(Sensitivität_bzw_Monte_Carlo_bei_Strom[[#This Row],[Source.Name]],SEARCH("aus_der",Sensitivität_bzw_Monte_Carlo_bei_Strom[[#This Row],[Source.Name]],1))="Auszahlung_a","Auszahlung",""),"")</f>
        <v/>
      </c>
      <c r="D720" s="1"/>
    </row>
    <row r="721" spans="1:4" x14ac:dyDescent="0.3">
      <c r="A721" s="1"/>
      <c r="B721" s="1" t="str">
        <f>IFERROR(IF(LEFT(Sensitivität_bzw_Monte_Carlo_bei_Strom[[#This Row],[Source.Name]],SEARCH("aus_der",Sensitivität_bzw_Monte_Carlo_bei_Strom[[#This Row],[Source.Name]],1))="Auszahlung_a","Auszahlung",""),"")</f>
        <v/>
      </c>
      <c r="D721" s="1"/>
    </row>
    <row r="722" spans="1:4" x14ac:dyDescent="0.3">
      <c r="A722" s="1"/>
      <c r="B722" s="1" t="str">
        <f>IFERROR(IF(LEFT(Sensitivität_bzw_Monte_Carlo_bei_Strom[[#This Row],[Source.Name]],SEARCH("aus_der",Sensitivität_bzw_Monte_Carlo_bei_Strom[[#This Row],[Source.Name]],1))="Auszahlung_a","Auszahlung",""),"")</f>
        <v/>
      </c>
      <c r="D722" s="1"/>
    </row>
    <row r="723" spans="1:4" x14ac:dyDescent="0.3">
      <c r="A723" s="1"/>
      <c r="B723" s="1" t="str">
        <f>IFERROR(IF(LEFT(Sensitivität_bzw_Monte_Carlo_bei_Strom[[#This Row],[Source.Name]],SEARCH("aus_der",Sensitivität_bzw_Monte_Carlo_bei_Strom[[#This Row],[Source.Name]],1))="Auszahlung_a","Auszahlung",""),"")</f>
        <v/>
      </c>
      <c r="D723" s="1"/>
    </row>
    <row r="724" spans="1:4" x14ac:dyDescent="0.3">
      <c r="A724" s="1"/>
      <c r="B724" s="1" t="str">
        <f>IFERROR(IF(LEFT(Sensitivität_bzw_Monte_Carlo_bei_Strom[[#This Row],[Source.Name]],SEARCH("aus_der",Sensitivität_bzw_Monte_Carlo_bei_Strom[[#This Row],[Source.Name]],1))="Auszahlung_a","Auszahlung",""),"")</f>
        <v/>
      </c>
      <c r="D724" s="1"/>
    </row>
    <row r="725" spans="1:4" x14ac:dyDescent="0.3">
      <c r="A725" s="1"/>
      <c r="B725" s="1" t="str">
        <f>IFERROR(IF(LEFT(Sensitivität_bzw_Monte_Carlo_bei_Strom[[#This Row],[Source.Name]],SEARCH("aus_der",Sensitivität_bzw_Monte_Carlo_bei_Strom[[#This Row],[Source.Name]],1))="Auszahlung_a","Auszahlung",""),"")</f>
        <v/>
      </c>
      <c r="D725" s="1"/>
    </row>
    <row r="726" spans="1:4" x14ac:dyDescent="0.3">
      <c r="A726" s="1"/>
      <c r="B726" s="1" t="str">
        <f>IFERROR(IF(LEFT(Sensitivität_bzw_Monte_Carlo_bei_Strom[[#This Row],[Source.Name]],SEARCH("aus_der",Sensitivität_bzw_Monte_Carlo_bei_Strom[[#This Row],[Source.Name]],1))="Auszahlung_a","Auszahlung",""),"")</f>
        <v/>
      </c>
      <c r="D726" s="1"/>
    </row>
    <row r="727" spans="1:4" x14ac:dyDescent="0.3">
      <c r="A727" s="1"/>
      <c r="B727" s="1" t="str">
        <f>IFERROR(IF(LEFT(Sensitivität_bzw_Monte_Carlo_bei_Strom[[#This Row],[Source.Name]],SEARCH("aus_der",Sensitivität_bzw_Monte_Carlo_bei_Strom[[#This Row],[Source.Name]],1))="Auszahlung_a","Auszahlung",""),"")</f>
        <v/>
      </c>
      <c r="D727" s="1"/>
    </row>
    <row r="728" spans="1:4" x14ac:dyDescent="0.3">
      <c r="A728" s="1"/>
      <c r="B728" s="1" t="str">
        <f>IFERROR(IF(LEFT(Sensitivität_bzw_Monte_Carlo_bei_Strom[[#This Row],[Source.Name]],SEARCH("aus_der",Sensitivität_bzw_Monte_Carlo_bei_Strom[[#This Row],[Source.Name]],1))="Auszahlung_a","Auszahlung",""),"")</f>
        <v/>
      </c>
      <c r="D728" s="1"/>
    </row>
    <row r="729" spans="1:4" x14ac:dyDescent="0.3">
      <c r="A729" s="1"/>
      <c r="B729" s="1" t="str">
        <f>IFERROR(IF(LEFT(Sensitivität_bzw_Monte_Carlo_bei_Strom[[#This Row],[Source.Name]],SEARCH("aus_der",Sensitivität_bzw_Monte_Carlo_bei_Strom[[#This Row],[Source.Name]],1))="Auszahlung_a","Auszahlung",""),"")</f>
        <v/>
      </c>
      <c r="D729" s="1"/>
    </row>
    <row r="730" spans="1:4" x14ac:dyDescent="0.3">
      <c r="A730" s="1"/>
      <c r="B730" s="1" t="str">
        <f>IFERROR(IF(LEFT(Sensitivität_bzw_Monte_Carlo_bei_Strom[[#This Row],[Source.Name]],SEARCH("aus_der",Sensitivität_bzw_Monte_Carlo_bei_Strom[[#This Row],[Source.Name]],1))="Auszahlung_a","Auszahlung",""),"")</f>
        <v/>
      </c>
      <c r="D730" s="1"/>
    </row>
    <row r="731" spans="1:4" x14ac:dyDescent="0.3">
      <c r="A731" s="1"/>
      <c r="B731" s="1" t="str">
        <f>IFERROR(IF(LEFT(Sensitivität_bzw_Monte_Carlo_bei_Strom[[#This Row],[Source.Name]],SEARCH("aus_der",Sensitivität_bzw_Monte_Carlo_bei_Strom[[#This Row],[Source.Name]],1))="Auszahlung_a","Auszahlung",""),"")</f>
        <v/>
      </c>
      <c r="D731" s="1"/>
    </row>
    <row r="732" spans="1:4" x14ac:dyDescent="0.3">
      <c r="A732" s="1"/>
      <c r="B732" s="1" t="str">
        <f>IFERROR(IF(LEFT(Sensitivität_bzw_Monte_Carlo_bei_Strom[[#This Row],[Source.Name]],SEARCH("aus_der",Sensitivität_bzw_Monte_Carlo_bei_Strom[[#This Row],[Source.Name]],1))="Auszahlung_a","Auszahlung",""),"")</f>
        <v/>
      </c>
      <c r="D732" s="1"/>
    </row>
    <row r="733" spans="1:4" x14ac:dyDescent="0.3">
      <c r="A733" s="1"/>
      <c r="B733" s="1" t="str">
        <f>IFERROR(IF(LEFT(Sensitivität_bzw_Monte_Carlo_bei_Strom[[#This Row],[Source.Name]],SEARCH("aus_der",Sensitivität_bzw_Monte_Carlo_bei_Strom[[#This Row],[Source.Name]],1))="Auszahlung_a","Auszahlung",""),"")</f>
        <v/>
      </c>
      <c r="D733" s="1"/>
    </row>
    <row r="734" spans="1:4" x14ac:dyDescent="0.3">
      <c r="A734" s="1"/>
      <c r="B734" s="1" t="str">
        <f>IFERROR(IF(LEFT(Sensitivität_bzw_Monte_Carlo_bei_Strom[[#This Row],[Source.Name]],SEARCH("aus_der",Sensitivität_bzw_Monte_Carlo_bei_Strom[[#This Row],[Source.Name]],1))="Auszahlung_a","Auszahlung",""),"")</f>
        <v/>
      </c>
      <c r="D734" s="1"/>
    </row>
    <row r="735" spans="1:4" x14ac:dyDescent="0.3">
      <c r="A735" s="1"/>
      <c r="B735" s="1" t="str">
        <f>IFERROR(IF(LEFT(Sensitivität_bzw_Monte_Carlo_bei_Strom[[#This Row],[Source.Name]],SEARCH("aus_der",Sensitivität_bzw_Monte_Carlo_bei_Strom[[#This Row],[Source.Name]],1))="Auszahlung_a","Auszahlung",""),"")</f>
        <v/>
      </c>
      <c r="D735" s="1"/>
    </row>
    <row r="736" spans="1:4" x14ac:dyDescent="0.3">
      <c r="A736" s="1"/>
      <c r="B736" s="1" t="str">
        <f>IFERROR(IF(LEFT(Sensitivität_bzw_Monte_Carlo_bei_Strom[[#This Row],[Source.Name]],SEARCH("aus_der",Sensitivität_bzw_Monte_Carlo_bei_Strom[[#This Row],[Source.Name]],1))="Auszahlung_a","Auszahlung",""),"")</f>
        <v/>
      </c>
      <c r="D736" s="1"/>
    </row>
    <row r="737" spans="1:4" x14ac:dyDescent="0.3">
      <c r="A737" s="1"/>
      <c r="B737" s="1" t="str">
        <f>IFERROR(IF(LEFT(Sensitivität_bzw_Monte_Carlo_bei_Strom[[#This Row],[Source.Name]],SEARCH("aus_der",Sensitivität_bzw_Monte_Carlo_bei_Strom[[#This Row],[Source.Name]],1))="Auszahlung_a","Auszahlung",""),"")</f>
        <v/>
      </c>
      <c r="D737" s="1"/>
    </row>
    <row r="738" spans="1:4" x14ac:dyDescent="0.3">
      <c r="A738" s="1"/>
      <c r="B738" s="1" t="str">
        <f>IFERROR(IF(LEFT(Sensitivität_bzw_Monte_Carlo_bei_Strom[[#This Row],[Source.Name]],SEARCH("aus_der",Sensitivität_bzw_Monte_Carlo_bei_Strom[[#This Row],[Source.Name]],1))="Auszahlung_a","Auszahlung",""),"")</f>
        <v/>
      </c>
      <c r="D738" s="1"/>
    </row>
    <row r="739" spans="1:4" x14ac:dyDescent="0.3">
      <c r="A739" s="1"/>
      <c r="B739" s="1" t="str">
        <f>IFERROR(IF(LEFT(Sensitivität_bzw_Monte_Carlo_bei_Strom[[#This Row],[Source.Name]],SEARCH("aus_der",Sensitivität_bzw_Monte_Carlo_bei_Strom[[#This Row],[Source.Name]],1))="Auszahlung_a","Auszahlung",""),"")</f>
        <v/>
      </c>
      <c r="D739" s="1"/>
    </row>
    <row r="740" spans="1:4" x14ac:dyDescent="0.3">
      <c r="A740" s="1"/>
      <c r="B740" s="1" t="str">
        <f>IFERROR(IF(LEFT(Sensitivität_bzw_Monte_Carlo_bei_Strom[[#This Row],[Source.Name]],SEARCH("aus_der",Sensitivität_bzw_Monte_Carlo_bei_Strom[[#This Row],[Source.Name]],1))="Auszahlung_a","Auszahlung",""),"")</f>
        <v/>
      </c>
      <c r="D740" s="1"/>
    </row>
    <row r="741" spans="1:4" x14ac:dyDescent="0.3">
      <c r="A741" s="1"/>
      <c r="B741" s="1" t="str">
        <f>IFERROR(IF(LEFT(Sensitivität_bzw_Monte_Carlo_bei_Strom[[#This Row],[Source.Name]],SEARCH("aus_der",Sensitivität_bzw_Monte_Carlo_bei_Strom[[#This Row],[Source.Name]],1))="Auszahlung_a","Auszahlung",""),"")</f>
        <v/>
      </c>
      <c r="D741" s="1"/>
    </row>
    <row r="742" spans="1:4" x14ac:dyDescent="0.3">
      <c r="A742" s="1"/>
      <c r="B742" s="1" t="str">
        <f>IFERROR(IF(LEFT(Sensitivität_bzw_Monte_Carlo_bei_Strom[[#This Row],[Source.Name]],SEARCH("aus_der",Sensitivität_bzw_Monte_Carlo_bei_Strom[[#This Row],[Source.Name]],1))="Auszahlung_a","Auszahlung",""),"")</f>
        <v/>
      </c>
      <c r="D742" s="1"/>
    </row>
    <row r="743" spans="1:4" x14ac:dyDescent="0.3">
      <c r="A743" s="1"/>
      <c r="B743" s="1" t="str">
        <f>IFERROR(IF(LEFT(Sensitivität_bzw_Monte_Carlo_bei_Strom[[#This Row],[Source.Name]],SEARCH("aus_der",Sensitivität_bzw_Monte_Carlo_bei_Strom[[#This Row],[Source.Name]],1))="Auszahlung_a","Auszahlung",""),"")</f>
        <v/>
      </c>
      <c r="D743" s="1"/>
    </row>
    <row r="744" spans="1:4" x14ac:dyDescent="0.3">
      <c r="A744" s="1"/>
      <c r="B744" s="1" t="str">
        <f>IFERROR(IF(LEFT(Sensitivität_bzw_Monte_Carlo_bei_Strom[[#This Row],[Source.Name]],SEARCH("aus_der",Sensitivität_bzw_Monte_Carlo_bei_Strom[[#This Row],[Source.Name]],1))="Auszahlung_a","Auszahlung",""),"")</f>
        <v/>
      </c>
      <c r="D744" s="1"/>
    </row>
    <row r="745" spans="1:4" x14ac:dyDescent="0.3">
      <c r="A745" s="1"/>
      <c r="B745" s="1" t="str">
        <f>IFERROR(IF(LEFT(Sensitivität_bzw_Monte_Carlo_bei_Strom[[#This Row],[Source.Name]],SEARCH("aus_der",Sensitivität_bzw_Monte_Carlo_bei_Strom[[#This Row],[Source.Name]],1))="Auszahlung_a","Auszahlung",""),"")</f>
        <v/>
      </c>
      <c r="D745" s="1"/>
    </row>
    <row r="746" spans="1:4" x14ac:dyDescent="0.3">
      <c r="A746" s="1"/>
      <c r="B746" s="1" t="str">
        <f>IFERROR(IF(LEFT(Sensitivität_bzw_Monte_Carlo_bei_Strom[[#This Row],[Source.Name]],SEARCH("aus_der",Sensitivität_bzw_Monte_Carlo_bei_Strom[[#This Row],[Source.Name]],1))="Auszahlung_a","Auszahlung",""),"")</f>
        <v/>
      </c>
      <c r="D746" s="1"/>
    </row>
    <row r="747" spans="1:4" x14ac:dyDescent="0.3">
      <c r="A747" s="1"/>
      <c r="B747" s="1" t="str">
        <f>IFERROR(IF(LEFT(Sensitivität_bzw_Monte_Carlo_bei_Strom[[#This Row],[Source.Name]],SEARCH("aus_der",Sensitivität_bzw_Monte_Carlo_bei_Strom[[#This Row],[Source.Name]],1))="Auszahlung_a","Auszahlung",""),"")</f>
        <v/>
      </c>
      <c r="D747" s="1"/>
    </row>
    <row r="748" spans="1:4" x14ac:dyDescent="0.3">
      <c r="A748" s="1"/>
      <c r="B748" s="1" t="str">
        <f>IFERROR(IF(LEFT(Sensitivität_bzw_Monte_Carlo_bei_Strom[[#This Row],[Source.Name]],SEARCH("aus_der",Sensitivität_bzw_Monte_Carlo_bei_Strom[[#This Row],[Source.Name]],1))="Auszahlung_a","Auszahlung",""),"")</f>
        <v/>
      </c>
      <c r="D748" s="1"/>
    </row>
    <row r="749" spans="1:4" x14ac:dyDescent="0.3">
      <c r="A749" s="1"/>
      <c r="B749" s="1" t="str">
        <f>IFERROR(IF(LEFT(Sensitivität_bzw_Monte_Carlo_bei_Strom[[#This Row],[Source.Name]],SEARCH("aus_der",Sensitivität_bzw_Monte_Carlo_bei_Strom[[#This Row],[Source.Name]],1))="Auszahlung_a","Auszahlung",""),"")</f>
        <v/>
      </c>
      <c r="D749" s="1"/>
    </row>
    <row r="750" spans="1:4" x14ac:dyDescent="0.3">
      <c r="A750" s="1"/>
      <c r="B750" s="1" t="str">
        <f>IFERROR(IF(LEFT(Sensitivität_bzw_Monte_Carlo_bei_Strom[[#This Row],[Source.Name]],SEARCH("aus_der",Sensitivität_bzw_Monte_Carlo_bei_Strom[[#This Row],[Source.Name]],1))="Auszahlung_a","Auszahlung",""),"")</f>
        <v/>
      </c>
      <c r="D750" s="1"/>
    </row>
    <row r="751" spans="1:4" x14ac:dyDescent="0.3">
      <c r="A751" s="1"/>
      <c r="B751" s="1" t="str">
        <f>IFERROR(IF(LEFT(Sensitivität_bzw_Monte_Carlo_bei_Strom[[#This Row],[Source.Name]],SEARCH("aus_der",Sensitivität_bzw_Monte_Carlo_bei_Strom[[#This Row],[Source.Name]],1))="Auszahlung_a","Auszahlung",""),"")</f>
        <v/>
      </c>
      <c r="D751" s="1"/>
    </row>
    <row r="752" spans="1:4" x14ac:dyDescent="0.3">
      <c r="A752" s="1"/>
      <c r="B752" s="1" t="str">
        <f>IFERROR(IF(LEFT(Sensitivität_bzw_Monte_Carlo_bei_Strom[[#This Row],[Source.Name]],SEARCH("aus_der",Sensitivität_bzw_Monte_Carlo_bei_Strom[[#This Row],[Source.Name]],1))="Auszahlung_a","Auszahlung",""),"")</f>
        <v/>
      </c>
      <c r="D752" s="1"/>
    </row>
    <row r="753" spans="1:4" x14ac:dyDescent="0.3">
      <c r="A753" s="1"/>
      <c r="B753" s="1" t="str">
        <f>IFERROR(IF(LEFT(Sensitivität_bzw_Monte_Carlo_bei_Strom[[#This Row],[Source.Name]],SEARCH("aus_der",Sensitivität_bzw_Monte_Carlo_bei_Strom[[#This Row],[Source.Name]],1))="Auszahlung_a","Auszahlung",""),"")</f>
        <v/>
      </c>
      <c r="D753" s="1"/>
    </row>
    <row r="754" spans="1:4" x14ac:dyDescent="0.3">
      <c r="A754" s="1"/>
      <c r="B754" s="1" t="str">
        <f>IFERROR(IF(LEFT(Sensitivität_bzw_Monte_Carlo_bei_Strom[[#This Row],[Source.Name]],SEARCH("aus_der",Sensitivität_bzw_Monte_Carlo_bei_Strom[[#This Row],[Source.Name]],1))="Auszahlung_a","Auszahlung",""),"")</f>
        <v/>
      </c>
      <c r="D754" s="1"/>
    </row>
    <row r="755" spans="1:4" x14ac:dyDescent="0.3">
      <c r="A755" s="1"/>
      <c r="B755" s="1" t="str">
        <f>IFERROR(IF(LEFT(Sensitivität_bzw_Monte_Carlo_bei_Strom[[#This Row],[Source.Name]],SEARCH("aus_der",Sensitivität_bzw_Monte_Carlo_bei_Strom[[#This Row],[Source.Name]],1))="Auszahlung_a","Auszahlung",""),"")</f>
        <v/>
      </c>
      <c r="D755" s="1"/>
    </row>
    <row r="756" spans="1:4" x14ac:dyDescent="0.3">
      <c r="A756" s="1"/>
      <c r="B756" s="1" t="str">
        <f>IFERROR(IF(LEFT(Sensitivität_bzw_Monte_Carlo_bei_Strom[[#This Row],[Source.Name]],SEARCH("aus_der",Sensitivität_bzw_Monte_Carlo_bei_Strom[[#This Row],[Source.Name]],1))="Auszahlung_a","Auszahlung",""),"")</f>
        <v/>
      </c>
      <c r="D756" s="1"/>
    </row>
    <row r="757" spans="1:4" x14ac:dyDescent="0.3">
      <c r="A757" s="1"/>
      <c r="B757" s="1" t="str">
        <f>IFERROR(IF(LEFT(Sensitivität_bzw_Monte_Carlo_bei_Strom[[#This Row],[Source.Name]],SEARCH("aus_der",Sensitivität_bzw_Monte_Carlo_bei_Strom[[#This Row],[Source.Name]],1))="Auszahlung_a","Auszahlung",""),"")</f>
        <v/>
      </c>
      <c r="D757" s="1"/>
    </row>
    <row r="758" spans="1:4" x14ac:dyDescent="0.3">
      <c r="A758" s="1"/>
      <c r="B758" s="1" t="str">
        <f>IFERROR(IF(LEFT(Sensitivität_bzw_Monte_Carlo_bei_Strom[[#This Row],[Source.Name]],SEARCH("aus_der",Sensitivität_bzw_Monte_Carlo_bei_Strom[[#This Row],[Source.Name]],1))="Auszahlung_a","Auszahlung",""),"")</f>
        <v/>
      </c>
      <c r="D758" s="1"/>
    </row>
    <row r="759" spans="1:4" x14ac:dyDescent="0.3">
      <c r="A759" s="1"/>
      <c r="B759" s="1" t="str">
        <f>IFERROR(IF(LEFT(Sensitivität_bzw_Monte_Carlo_bei_Strom[[#This Row],[Source.Name]],SEARCH("aus_der",Sensitivität_bzw_Monte_Carlo_bei_Strom[[#This Row],[Source.Name]],1))="Auszahlung_a","Auszahlung",""),"")</f>
        <v/>
      </c>
      <c r="D759" s="1"/>
    </row>
    <row r="760" spans="1:4" x14ac:dyDescent="0.3">
      <c r="A760" s="1"/>
      <c r="B760" s="1" t="str">
        <f>IFERROR(IF(LEFT(Sensitivität_bzw_Monte_Carlo_bei_Strom[[#This Row],[Source.Name]],SEARCH("aus_der",Sensitivität_bzw_Monte_Carlo_bei_Strom[[#This Row],[Source.Name]],1))="Auszahlung_a","Auszahlung",""),"")</f>
        <v/>
      </c>
      <c r="D760" s="1"/>
    </row>
    <row r="761" spans="1:4" x14ac:dyDescent="0.3">
      <c r="A761" s="1"/>
      <c r="B761" s="1" t="str">
        <f>IFERROR(IF(LEFT(Sensitivität_bzw_Monte_Carlo_bei_Strom[[#This Row],[Source.Name]],SEARCH("aus_der",Sensitivität_bzw_Monte_Carlo_bei_Strom[[#This Row],[Source.Name]],1))="Auszahlung_a","Auszahlung",""),"")</f>
        <v/>
      </c>
      <c r="D761" s="1"/>
    </row>
    <row r="762" spans="1:4" x14ac:dyDescent="0.3">
      <c r="A762" s="1"/>
      <c r="B762" s="1" t="str">
        <f>IFERROR(IF(LEFT(Sensitivität_bzw_Monte_Carlo_bei_Strom[[#This Row],[Source.Name]],SEARCH("aus_der",Sensitivität_bzw_Monte_Carlo_bei_Strom[[#This Row],[Source.Name]],1))="Auszahlung_a","Auszahlung",""),"")</f>
        <v/>
      </c>
      <c r="D762" s="1"/>
    </row>
    <row r="763" spans="1:4" x14ac:dyDescent="0.3">
      <c r="A763" s="1"/>
      <c r="B763" s="1" t="str">
        <f>IFERROR(IF(LEFT(Sensitivität_bzw_Monte_Carlo_bei_Strom[[#This Row],[Source.Name]],SEARCH("aus_der",Sensitivität_bzw_Monte_Carlo_bei_Strom[[#This Row],[Source.Name]],1))="Auszahlung_a","Auszahlung",""),"")</f>
        <v/>
      </c>
      <c r="D763" s="1"/>
    </row>
    <row r="764" spans="1:4" x14ac:dyDescent="0.3">
      <c r="A764" s="1"/>
      <c r="B764" s="1" t="str">
        <f>IFERROR(IF(LEFT(Sensitivität_bzw_Monte_Carlo_bei_Strom[[#This Row],[Source.Name]],SEARCH("aus_der",Sensitivität_bzw_Monte_Carlo_bei_Strom[[#This Row],[Source.Name]],1))="Auszahlung_a","Auszahlung",""),"")</f>
        <v/>
      </c>
      <c r="D764" s="1"/>
    </row>
    <row r="765" spans="1:4" x14ac:dyDescent="0.3">
      <c r="A765" s="1"/>
      <c r="B765" s="1" t="str">
        <f>IFERROR(IF(LEFT(Sensitivität_bzw_Monte_Carlo_bei_Strom[[#This Row],[Source.Name]],SEARCH("aus_der",Sensitivität_bzw_Monte_Carlo_bei_Strom[[#This Row],[Source.Name]],1))="Auszahlung_a","Auszahlung",""),"")</f>
        <v/>
      </c>
      <c r="D765" s="1"/>
    </row>
    <row r="766" spans="1:4" x14ac:dyDescent="0.3">
      <c r="A766" s="1"/>
      <c r="B766" s="1" t="str">
        <f>IFERROR(IF(LEFT(Sensitivität_bzw_Monte_Carlo_bei_Strom[[#This Row],[Source.Name]],SEARCH("aus_der",Sensitivität_bzw_Monte_Carlo_bei_Strom[[#This Row],[Source.Name]],1))="Auszahlung_a","Auszahlung",""),"")</f>
        <v/>
      </c>
      <c r="D766" s="1"/>
    </row>
    <row r="767" spans="1:4" x14ac:dyDescent="0.3">
      <c r="A767" s="1"/>
      <c r="B767" s="1" t="str">
        <f>IFERROR(IF(LEFT(Sensitivität_bzw_Monte_Carlo_bei_Strom[[#This Row],[Source.Name]],SEARCH("aus_der",Sensitivität_bzw_Monte_Carlo_bei_Strom[[#This Row],[Source.Name]],1))="Auszahlung_a","Auszahlung",""),"")</f>
        <v/>
      </c>
      <c r="D767" s="1"/>
    </row>
    <row r="768" spans="1:4" x14ac:dyDescent="0.3">
      <c r="A768" s="1"/>
      <c r="B768" s="1" t="str">
        <f>IFERROR(IF(LEFT(Sensitivität_bzw_Monte_Carlo_bei_Strom[[#This Row],[Source.Name]],SEARCH("aus_der",Sensitivität_bzw_Monte_Carlo_bei_Strom[[#This Row],[Source.Name]],1))="Auszahlung_a","Auszahlung",""),"")</f>
        <v/>
      </c>
      <c r="D768" s="1"/>
    </row>
    <row r="769" spans="1:4" x14ac:dyDescent="0.3">
      <c r="A769" s="1"/>
      <c r="B769" s="1" t="str">
        <f>IFERROR(IF(LEFT(Sensitivität_bzw_Monte_Carlo_bei_Strom[[#This Row],[Source.Name]],SEARCH("aus_der",Sensitivität_bzw_Monte_Carlo_bei_Strom[[#This Row],[Source.Name]],1))="Auszahlung_a","Auszahlung",""),"")</f>
        <v/>
      </c>
      <c r="D769" s="1"/>
    </row>
    <row r="770" spans="1:4" x14ac:dyDescent="0.3">
      <c r="A770" s="1"/>
      <c r="B770" s="1" t="str">
        <f>IFERROR(IF(LEFT(Sensitivität_bzw_Monte_Carlo_bei_Strom[[#This Row],[Source.Name]],SEARCH("aus_der",Sensitivität_bzw_Monte_Carlo_bei_Strom[[#This Row],[Source.Name]],1))="Auszahlung_a","Auszahlung",""),"")</f>
        <v/>
      </c>
      <c r="D770" s="1"/>
    </row>
    <row r="771" spans="1:4" x14ac:dyDescent="0.3">
      <c r="A771" s="1"/>
      <c r="B771" s="1" t="str">
        <f>IFERROR(IF(LEFT(Sensitivität_bzw_Monte_Carlo_bei_Strom[[#This Row],[Source.Name]],SEARCH("aus_der",Sensitivität_bzw_Monte_Carlo_bei_Strom[[#This Row],[Source.Name]],1))="Auszahlung_a","Auszahlung",""),"")</f>
        <v/>
      </c>
      <c r="D771" s="1"/>
    </row>
    <row r="772" spans="1:4" x14ac:dyDescent="0.3">
      <c r="A772" s="1"/>
      <c r="B772" s="1" t="str">
        <f>IFERROR(IF(LEFT(Sensitivität_bzw_Monte_Carlo_bei_Strom[[#This Row],[Source.Name]],SEARCH("aus_der",Sensitivität_bzw_Monte_Carlo_bei_Strom[[#This Row],[Source.Name]],1))="Auszahlung_a","Auszahlung",""),"")</f>
        <v/>
      </c>
      <c r="D772" s="1"/>
    </row>
    <row r="773" spans="1:4" x14ac:dyDescent="0.3">
      <c r="A773" s="1"/>
      <c r="B773" s="1" t="str">
        <f>IFERROR(IF(LEFT(Sensitivität_bzw_Monte_Carlo_bei_Strom[[#This Row],[Source.Name]],SEARCH("aus_der",Sensitivität_bzw_Monte_Carlo_bei_Strom[[#This Row],[Source.Name]],1))="Auszahlung_a","Auszahlung",""),"")</f>
        <v/>
      </c>
      <c r="D773" s="1"/>
    </row>
    <row r="774" spans="1:4" x14ac:dyDescent="0.3">
      <c r="A774" s="1"/>
      <c r="B774" s="1" t="str">
        <f>IFERROR(IF(LEFT(Sensitivität_bzw_Monte_Carlo_bei_Strom[[#This Row],[Source.Name]],SEARCH("aus_der",Sensitivität_bzw_Monte_Carlo_bei_Strom[[#This Row],[Source.Name]],1))="Auszahlung_a","Auszahlung",""),"")</f>
        <v/>
      </c>
      <c r="D774" s="1"/>
    </row>
    <row r="775" spans="1:4" x14ac:dyDescent="0.3">
      <c r="A775" s="1"/>
      <c r="B775" s="1" t="str">
        <f>IFERROR(IF(LEFT(Sensitivität_bzw_Monte_Carlo_bei_Strom[[#This Row],[Source.Name]],SEARCH("aus_der",Sensitivität_bzw_Monte_Carlo_bei_Strom[[#This Row],[Source.Name]],1))="Auszahlung_a","Auszahlung",""),"")</f>
        <v/>
      </c>
      <c r="D775" s="1"/>
    </row>
    <row r="776" spans="1:4" x14ac:dyDescent="0.3">
      <c r="A776" s="1"/>
      <c r="B776" s="1" t="str">
        <f>IFERROR(IF(LEFT(Sensitivität_bzw_Monte_Carlo_bei_Strom[[#This Row],[Source.Name]],SEARCH("aus_der",Sensitivität_bzw_Monte_Carlo_bei_Strom[[#This Row],[Source.Name]],1))="Auszahlung_a","Auszahlung",""),"")</f>
        <v/>
      </c>
      <c r="D776" s="1"/>
    </row>
    <row r="777" spans="1:4" x14ac:dyDescent="0.3">
      <c r="A777" s="1"/>
      <c r="B777" s="1" t="str">
        <f>IFERROR(IF(LEFT(Sensitivität_bzw_Monte_Carlo_bei_Strom[[#This Row],[Source.Name]],SEARCH("aus_der",Sensitivität_bzw_Monte_Carlo_bei_Strom[[#This Row],[Source.Name]],1))="Auszahlung_a","Auszahlung",""),"")</f>
        <v/>
      </c>
      <c r="D777" s="1"/>
    </row>
    <row r="778" spans="1:4" x14ac:dyDescent="0.3">
      <c r="A778" s="1"/>
      <c r="B778" s="1" t="str">
        <f>IFERROR(IF(LEFT(Sensitivität_bzw_Monte_Carlo_bei_Strom[[#This Row],[Source.Name]],SEARCH("aus_der",Sensitivität_bzw_Monte_Carlo_bei_Strom[[#This Row],[Source.Name]],1))="Auszahlung_a","Auszahlung",""),"")</f>
        <v/>
      </c>
      <c r="D778" s="1"/>
    </row>
    <row r="779" spans="1:4" x14ac:dyDescent="0.3">
      <c r="A779" s="1"/>
      <c r="B779" s="1" t="str">
        <f>IFERROR(IF(LEFT(Sensitivität_bzw_Monte_Carlo_bei_Strom[[#This Row],[Source.Name]],SEARCH("aus_der",Sensitivität_bzw_Monte_Carlo_bei_Strom[[#This Row],[Source.Name]],1))="Auszahlung_a","Auszahlung",""),"")</f>
        <v/>
      </c>
      <c r="D779" s="1"/>
    </row>
    <row r="780" spans="1:4" x14ac:dyDescent="0.3">
      <c r="A780" s="1"/>
      <c r="B780" s="1" t="str">
        <f>IFERROR(IF(LEFT(Sensitivität_bzw_Monte_Carlo_bei_Strom[[#This Row],[Source.Name]],SEARCH("aus_der",Sensitivität_bzw_Monte_Carlo_bei_Strom[[#This Row],[Source.Name]],1))="Auszahlung_a","Auszahlung",""),"")</f>
        <v/>
      </c>
      <c r="D780" s="1"/>
    </row>
    <row r="781" spans="1:4" x14ac:dyDescent="0.3">
      <c r="A781" s="1"/>
      <c r="B781" s="1" t="str">
        <f>IFERROR(IF(LEFT(Sensitivität_bzw_Monte_Carlo_bei_Strom[[#This Row],[Source.Name]],SEARCH("aus_der",Sensitivität_bzw_Monte_Carlo_bei_Strom[[#This Row],[Source.Name]],1))="Auszahlung_a","Auszahlung",""),"")</f>
        <v/>
      </c>
      <c r="D781" s="1"/>
    </row>
    <row r="782" spans="1:4" x14ac:dyDescent="0.3">
      <c r="A782" s="1"/>
      <c r="B782" s="1" t="str">
        <f>IFERROR(IF(LEFT(Sensitivität_bzw_Monte_Carlo_bei_Strom[[#This Row],[Source.Name]],SEARCH("aus_der",Sensitivität_bzw_Monte_Carlo_bei_Strom[[#This Row],[Source.Name]],1))="Auszahlung_a","Auszahlung",""),"")</f>
        <v/>
      </c>
      <c r="D782" s="1"/>
    </row>
    <row r="783" spans="1:4" x14ac:dyDescent="0.3">
      <c r="A783" s="1"/>
      <c r="B783" s="1" t="str">
        <f>IFERROR(IF(LEFT(Sensitivität_bzw_Monte_Carlo_bei_Strom[[#This Row],[Source.Name]],SEARCH("aus_der",Sensitivität_bzw_Monte_Carlo_bei_Strom[[#This Row],[Source.Name]],1))="Auszahlung_a","Auszahlung",""),"")</f>
        <v/>
      </c>
      <c r="D783" s="1"/>
    </row>
    <row r="784" spans="1:4" x14ac:dyDescent="0.3">
      <c r="A784" s="1"/>
      <c r="B784" s="1" t="str">
        <f>IFERROR(IF(LEFT(Sensitivität_bzw_Monte_Carlo_bei_Strom[[#This Row],[Source.Name]],SEARCH("aus_der",Sensitivität_bzw_Monte_Carlo_bei_Strom[[#This Row],[Source.Name]],1))="Auszahlung_a","Auszahlung",""),"")</f>
        <v/>
      </c>
      <c r="D784" s="1"/>
    </row>
    <row r="785" spans="1:4" x14ac:dyDescent="0.3">
      <c r="A785" s="1"/>
      <c r="B785" s="1" t="str">
        <f>IFERROR(IF(LEFT(Sensitivität_bzw_Monte_Carlo_bei_Strom[[#This Row],[Source.Name]],SEARCH("aus_der",Sensitivität_bzw_Monte_Carlo_bei_Strom[[#This Row],[Source.Name]],1))="Auszahlung_a","Auszahlung",""),"")</f>
        <v/>
      </c>
      <c r="D785" s="1"/>
    </row>
    <row r="786" spans="1:4" x14ac:dyDescent="0.3">
      <c r="A786" s="1"/>
      <c r="B786" s="1" t="str">
        <f>IFERROR(IF(LEFT(Sensitivität_bzw_Monte_Carlo_bei_Strom[[#This Row],[Source.Name]],SEARCH("aus_der",Sensitivität_bzw_Monte_Carlo_bei_Strom[[#This Row],[Source.Name]],1))="Auszahlung_a","Auszahlung",""),"")</f>
        <v/>
      </c>
      <c r="D786" s="1"/>
    </row>
    <row r="787" spans="1:4" x14ac:dyDescent="0.3">
      <c r="A787" s="1"/>
      <c r="B787" s="1" t="str">
        <f>IFERROR(IF(LEFT(Sensitivität_bzw_Monte_Carlo_bei_Strom[[#This Row],[Source.Name]],SEARCH("aus_der",Sensitivität_bzw_Monte_Carlo_bei_Strom[[#This Row],[Source.Name]],1))="Auszahlung_a","Auszahlung",""),"")</f>
        <v/>
      </c>
      <c r="D787" s="1"/>
    </row>
    <row r="788" spans="1:4" x14ac:dyDescent="0.3">
      <c r="A788" s="1"/>
      <c r="B788" s="1" t="str">
        <f>IFERROR(IF(LEFT(Sensitivität_bzw_Monte_Carlo_bei_Strom[[#This Row],[Source.Name]],SEARCH("aus_der",Sensitivität_bzw_Monte_Carlo_bei_Strom[[#This Row],[Source.Name]],1))="Auszahlung_a","Auszahlung",""),"")</f>
        <v/>
      </c>
      <c r="D788" s="1"/>
    </row>
    <row r="789" spans="1:4" x14ac:dyDescent="0.3">
      <c r="A789" s="1"/>
      <c r="B789" s="1" t="str">
        <f>IFERROR(IF(LEFT(Sensitivität_bzw_Monte_Carlo_bei_Strom[[#This Row],[Source.Name]],SEARCH("aus_der",Sensitivität_bzw_Monte_Carlo_bei_Strom[[#This Row],[Source.Name]],1))="Auszahlung_a","Auszahlung",""),"")</f>
        <v/>
      </c>
      <c r="D789" s="1"/>
    </row>
    <row r="790" spans="1:4" x14ac:dyDescent="0.3">
      <c r="A790" s="1"/>
      <c r="B790" s="1" t="str">
        <f>IFERROR(IF(LEFT(Sensitivität_bzw_Monte_Carlo_bei_Strom[[#This Row],[Source.Name]],SEARCH("aus_der",Sensitivität_bzw_Monte_Carlo_bei_Strom[[#This Row],[Source.Name]],1))="Auszahlung_a","Auszahlung",""),"")</f>
        <v/>
      </c>
      <c r="D790" s="1"/>
    </row>
    <row r="791" spans="1:4" x14ac:dyDescent="0.3">
      <c r="A791" s="1"/>
      <c r="B791" s="1" t="str">
        <f>IFERROR(IF(LEFT(Sensitivität_bzw_Monte_Carlo_bei_Strom[[#This Row],[Source.Name]],SEARCH("aus_der",Sensitivität_bzw_Monte_Carlo_bei_Strom[[#This Row],[Source.Name]],1))="Auszahlung_a","Auszahlung",""),"")</f>
        <v/>
      </c>
      <c r="D791" s="1"/>
    </row>
    <row r="792" spans="1:4" x14ac:dyDescent="0.3">
      <c r="A792" s="1"/>
      <c r="B792" s="1" t="str">
        <f>IFERROR(IF(LEFT(Sensitivität_bzw_Monte_Carlo_bei_Strom[[#This Row],[Source.Name]],SEARCH("aus_der",Sensitivität_bzw_Monte_Carlo_bei_Strom[[#This Row],[Source.Name]],1))="Auszahlung_a","Auszahlung",""),"")</f>
        <v/>
      </c>
      <c r="D792" s="1"/>
    </row>
    <row r="793" spans="1:4" x14ac:dyDescent="0.3">
      <c r="A793" s="1"/>
      <c r="B793" s="1" t="str">
        <f>IFERROR(IF(LEFT(Sensitivität_bzw_Monte_Carlo_bei_Strom[[#This Row],[Source.Name]],SEARCH("aus_der",Sensitivität_bzw_Monte_Carlo_bei_Strom[[#This Row],[Source.Name]],1))="Auszahlung_a","Auszahlung",""),"")</f>
        <v/>
      </c>
      <c r="D793" s="1"/>
    </row>
    <row r="794" spans="1:4" x14ac:dyDescent="0.3">
      <c r="A794" s="1"/>
      <c r="B794" s="1" t="str">
        <f>IFERROR(IF(LEFT(Sensitivität_bzw_Monte_Carlo_bei_Strom[[#This Row],[Source.Name]],SEARCH("aus_der",Sensitivität_bzw_Monte_Carlo_bei_Strom[[#This Row],[Source.Name]],1))="Auszahlung_a","Auszahlung",""),"")</f>
        <v/>
      </c>
      <c r="D794" s="1"/>
    </row>
    <row r="795" spans="1:4" x14ac:dyDescent="0.3">
      <c r="A795" s="1"/>
      <c r="B795" s="1" t="str">
        <f>IFERROR(IF(LEFT(Sensitivität_bzw_Monte_Carlo_bei_Strom[[#This Row],[Source.Name]],SEARCH("aus_der",Sensitivität_bzw_Monte_Carlo_bei_Strom[[#This Row],[Source.Name]],1))="Auszahlung_a","Auszahlung",""),"")</f>
        <v/>
      </c>
      <c r="D795" s="1"/>
    </row>
    <row r="796" spans="1:4" x14ac:dyDescent="0.3">
      <c r="A796" s="1"/>
      <c r="B796" s="1" t="str">
        <f>IFERROR(IF(LEFT(Sensitivität_bzw_Monte_Carlo_bei_Strom[[#This Row],[Source.Name]],SEARCH("aus_der",Sensitivität_bzw_Monte_Carlo_bei_Strom[[#This Row],[Source.Name]],1))="Auszahlung_a","Auszahlung",""),"")</f>
        <v/>
      </c>
      <c r="D796" s="1"/>
    </row>
    <row r="797" spans="1:4" x14ac:dyDescent="0.3">
      <c r="A797" s="1"/>
      <c r="B797" s="1" t="str">
        <f>IFERROR(IF(LEFT(Sensitivität_bzw_Monte_Carlo_bei_Strom[[#This Row],[Source.Name]],SEARCH("aus_der",Sensitivität_bzw_Monte_Carlo_bei_Strom[[#This Row],[Source.Name]],1))="Auszahlung_a","Auszahlung",""),"")</f>
        <v/>
      </c>
      <c r="D797" s="1"/>
    </row>
    <row r="798" spans="1:4" x14ac:dyDescent="0.3">
      <c r="A798" s="1"/>
      <c r="B798" s="1" t="str">
        <f>IFERROR(IF(LEFT(Sensitivität_bzw_Monte_Carlo_bei_Strom[[#This Row],[Source.Name]],SEARCH("aus_der",Sensitivität_bzw_Monte_Carlo_bei_Strom[[#This Row],[Source.Name]],1))="Auszahlung_a","Auszahlung",""),"")</f>
        <v/>
      </c>
      <c r="D798" s="1"/>
    </row>
    <row r="799" spans="1:4" x14ac:dyDescent="0.3">
      <c r="A799" s="1"/>
      <c r="B799" s="1" t="str">
        <f>IFERROR(IF(LEFT(Sensitivität_bzw_Monte_Carlo_bei_Strom[[#This Row],[Source.Name]],SEARCH("aus_der",Sensitivität_bzw_Monte_Carlo_bei_Strom[[#This Row],[Source.Name]],1))="Auszahlung_a","Auszahlung",""),"")</f>
        <v/>
      </c>
      <c r="D799" s="1"/>
    </row>
    <row r="800" spans="1:4" x14ac:dyDescent="0.3">
      <c r="A800" s="1"/>
      <c r="B800" s="1" t="str">
        <f>IFERROR(IF(LEFT(Sensitivität_bzw_Monte_Carlo_bei_Strom[[#This Row],[Source.Name]],SEARCH("aus_der",Sensitivität_bzw_Monte_Carlo_bei_Strom[[#This Row],[Source.Name]],1))="Auszahlung_a","Auszahlung",""),"")</f>
        <v/>
      </c>
      <c r="D800" s="1"/>
    </row>
    <row r="801" spans="1:4" x14ac:dyDescent="0.3">
      <c r="A801" s="1"/>
      <c r="B801" s="1" t="str">
        <f>IFERROR(IF(LEFT(Sensitivität_bzw_Monte_Carlo_bei_Strom[[#This Row],[Source.Name]],SEARCH("aus_der",Sensitivität_bzw_Monte_Carlo_bei_Strom[[#This Row],[Source.Name]],1))="Auszahlung_a","Auszahlung",""),"")</f>
        <v/>
      </c>
      <c r="D801" s="1"/>
    </row>
    <row r="802" spans="1:4" x14ac:dyDescent="0.3">
      <c r="A802" s="1"/>
      <c r="B802" s="1" t="str">
        <f>IFERROR(IF(LEFT(Sensitivität_bzw_Monte_Carlo_bei_Strom[[#This Row],[Source.Name]],SEARCH("aus_der",Sensitivität_bzw_Monte_Carlo_bei_Strom[[#This Row],[Source.Name]],1))="Auszahlung_a","Auszahlung",""),"")</f>
        <v/>
      </c>
      <c r="D802" s="1"/>
    </row>
    <row r="803" spans="1:4" x14ac:dyDescent="0.3">
      <c r="A803" s="1"/>
      <c r="B803" s="1" t="str">
        <f>IFERROR(IF(LEFT(Sensitivität_bzw_Monte_Carlo_bei_Strom[[#This Row],[Source.Name]],SEARCH("aus_der",Sensitivität_bzw_Monte_Carlo_bei_Strom[[#This Row],[Source.Name]],1))="Auszahlung_a","Auszahlung",""),"")</f>
        <v/>
      </c>
      <c r="D803" s="1"/>
    </row>
    <row r="804" spans="1:4" x14ac:dyDescent="0.3">
      <c r="A804" s="1"/>
      <c r="B804" s="1" t="str">
        <f>IFERROR(IF(LEFT(Sensitivität_bzw_Monte_Carlo_bei_Strom[[#This Row],[Source.Name]],SEARCH("aus_der",Sensitivität_bzw_Monte_Carlo_bei_Strom[[#This Row],[Source.Name]],1))="Auszahlung_a","Auszahlung",""),"")</f>
        <v/>
      </c>
      <c r="D804" s="1"/>
    </row>
    <row r="805" spans="1:4" x14ac:dyDescent="0.3">
      <c r="A805" s="1"/>
      <c r="B805" s="1" t="str">
        <f>IFERROR(IF(LEFT(Sensitivität_bzw_Monte_Carlo_bei_Strom[[#This Row],[Source.Name]],SEARCH("aus_der",Sensitivität_bzw_Monte_Carlo_bei_Strom[[#This Row],[Source.Name]],1))="Auszahlung_a","Auszahlung",""),"")</f>
        <v/>
      </c>
      <c r="D805" s="1"/>
    </row>
    <row r="806" spans="1:4" x14ac:dyDescent="0.3">
      <c r="A806" s="1"/>
      <c r="B806" s="1" t="str">
        <f>IFERROR(IF(LEFT(Sensitivität_bzw_Monte_Carlo_bei_Strom[[#This Row],[Source.Name]],SEARCH("aus_der",Sensitivität_bzw_Monte_Carlo_bei_Strom[[#This Row],[Source.Name]],1))="Auszahlung_a","Auszahlung",""),"")</f>
        <v/>
      </c>
      <c r="D806" s="1"/>
    </row>
    <row r="807" spans="1:4" x14ac:dyDescent="0.3">
      <c r="A807" s="1"/>
      <c r="B807" s="1" t="str">
        <f>IFERROR(IF(LEFT(Sensitivität_bzw_Monte_Carlo_bei_Strom[[#This Row],[Source.Name]],SEARCH("aus_der",Sensitivität_bzw_Monte_Carlo_bei_Strom[[#This Row],[Source.Name]],1))="Auszahlung_a","Auszahlung",""),"")</f>
        <v/>
      </c>
      <c r="D807" s="1"/>
    </row>
    <row r="808" spans="1:4" x14ac:dyDescent="0.3">
      <c r="A808" s="1"/>
      <c r="B808" s="1" t="str">
        <f>IFERROR(IF(LEFT(Sensitivität_bzw_Monte_Carlo_bei_Strom[[#This Row],[Source.Name]],SEARCH("aus_der",Sensitivität_bzw_Monte_Carlo_bei_Strom[[#This Row],[Source.Name]],1))="Auszahlung_a","Auszahlung",""),"")</f>
        <v/>
      </c>
      <c r="D808" s="1"/>
    </row>
    <row r="809" spans="1:4" x14ac:dyDescent="0.3">
      <c r="A809" s="1"/>
      <c r="B809" s="1" t="str">
        <f>IFERROR(IF(LEFT(Sensitivität_bzw_Monte_Carlo_bei_Strom[[#This Row],[Source.Name]],SEARCH("aus_der",Sensitivität_bzw_Monte_Carlo_bei_Strom[[#This Row],[Source.Name]],1))="Auszahlung_a","Auszahlung",""),"")</f>
        <v/>
      </c>
      <c r="D809" s="1"/>
    </row>
    <row r="810" spans="1:4" x14ac:dyDescent="0.3">
      <c r="A810" s="1"/>
      <c r="B810" s="1" t="str">
        <f>IFERROR(IF(LEFT(Sensitivität_bzw_Monte_Carlo_bei_Strom[[#This Row],[Source.Name]],SEARCH("aus_der",Sensitivität_bzw_Monte_Carlo_bei_Strom[[#This Row],[Source.Name]],1))="Auszahlung_a","Auszahlung",""),"")</f>
        <v/>
      </c>
      <c r="D810" s="1"/>
    </row>
    <row r="811" spans="1:4" x14ac:dyDescent="0.3">
      <c r="A811" s="1"/>
      <c r="B811" s="1" t="str">
        <f>IFERROR(IF(LEFT(Sensitivität_bzw_Monte_Carlo_bei_Strom[[#This Row],[Source.Name]],SEARCH("aus_der",Sensitivität_bzw_Monte_Carlo_bei_Strom[[#This Row],[Source.Name]],1))="Auszahlung_a","Auszahlung",""),"")</f>
        <v/>
      </c>
      <c r="D811" s="1"/>
    </row>
    <row r="812" spans="1:4" x14ac:dyDescent="0.3">
      <c r="A812" s="1"/>
      <c r="B812" s="1" t="str">
        <f>IFERROR(IF(LEFT(Sensitivität_bzw_Monte_Carlo_bei_Strom[[#This Row],[Source.Name]],SEARCH("aus_der",Sensitivität_bzw_Monte_Carlo_bei_Strom[[#This Row],[Source.Name]],1))="Auszahlung_a","Auszahlung",""),"")</f>
        <v/>
      </c>
      <c r="D812" s="1"/>
    </row>
    <row r="813" spans="1:4" x14ac:dyDescent="0.3">
      <c r="A813" s="1"/>
      <c r="B813" s="1" t="str">
        <f>IFERROR(IF(LEFT(Sensitivität_bzw_Monte_Carlo_bei_Strom[[#This Row],[Source.Name]],SEARCH("aus_der",Sensitivität_bzw_Monte_Carlo_bei_Strom[[#This Row],[Source.Name]],1))="Auszahlung_a","Auszahlung",""),"")</f>
        <v/>
      </c>
      <c r="D813" s="1"/>
    </row>
    <row r="814" spans="1:4" x14ac:dyDescent="0.3">
      <c r="A814" s="1"/>
      <c r="B814" s="1" t="str">
        <f>IFERROR(IF(LEFT(Sensitivität_bzw_Monte_Carlo_bei_Strom[[#This Row],[Source.Name]],SEARCH("aus_der",Sensitivität_bzw_Monte_Carlo_bei_Strom[[#This Row],[Source.Name]],1))="Auszahlung_a","Auszahlung",""),"")</f>
        <v/>
      </c>
      <c r="D814" s="1"/>
    </row>
    <row r="815" spans="1:4" x14ac:dyDescent="0.3">
      <c r="A815" s="1"/>
      <c r="B815" s="1" t="str">
        <f>IFERROR(IF(LEFT(Sensitivität_bzw_Monte_Carlo_bei_Strom[[#This Row],[Source.Name]],SEARCH("aus_der",Sensitivität_bzw_Monte_Carlo_bei_Strom[[#This Row],[Source.Name]],1))="Auszahlung_a","Auszahlung",""),"")</f>
        <v/>
      </c>
      <c r="D815" s="1"/>
    </row>
    <row r="816" spans="1:4" x14ac:dyDescent="0.3">
      <c r="A816" s="1"/>
      <c r="B816" s="1" t="str">
        <f>IFERROR(IF(LEFT(Sensitivität_bzw_Monte_Carlo_bei_Strom[[#This Row],[Source.Name]],SEARCH("aus_der",Sensitivität_bzw_Monte_Carlo_bei_Strom[[#This Row],[Source.Name]],1))="Auszahlung_a","Auszahlung",""),"")</f>
        <v/>
      </c>
      <c r="D816" s="1"/>
    </row>
    <row r="817" spans="1:4" x14ac:dyDescent="0.3">
      <c r="A817" s="1"/>
      <c r="B817" s="1" t="str">
        <f>IFERROR(IF(LEFT(Sensitivität_bzw_Monte_Carlo_bei_Strom[[#This Row],[Source.Name]],SEARCH("aus_der",Sensitivität_bzw_Monte_Carlo_bei_Strom[[#This Row],[Source.Name]],1))="Auszahlung_a","Auszahlung",""),"")</f>
        <v/>
      </c>
      <c r="D817" s="1"/>
    </row>
    <row r="818" spans="1:4" x14ac:dyDescent="0.3">
      <c r="A818" s="1"/>
      <c r="B818" s="1" t="str">
        <f>IFERROR(IF(LEFT(Sensitivität_bzw_Monte_Carlo_bei_Strom[[#This Row],[Source.Name]],SEARCH("aus_der",Sensitivität_bzw_Monte_Carlo_bei_Strom[[#This Row],[Source.Name]],1))="Auszahlung_a","Auszahlung",""),"")</f>
        <v/>
      </c>
      <c r="D818" s="1"/>
    </row>
    <row r="819" spans="1:4" x14ac:dyDescent="0.3">
      <c r="A819" s="1"/>
      <c r="B819" s="1" t="str">
        <f>IFERROR(IF(LEFT(Sensitivität_bzw_Monte_Carlo_bei_Strom[[#This Row],[Source.Name]],SEARCH("aus_der",Sensitivität_bzw_Monte_Carlo_bei_Strom[[#This Row],[Source.Name]],1))="Auszahlung_a","Auszahlung",""),"")</f>
        <v/>
      </c>
      <c r="D819" s="1"/>
    </row>
    <row r="820" spans="1:4" x14ac:dyDescent="0.3">
      <c r="A820" s="1"/>
      <c r="B820" s="1" t="str">
        <f>IFERROR(IF(LEFT(Sensitivität_bzw_Monte_Carlo_bei_Strom[[#This Row],[Source.Name]],SEARCH("aus_der",Sensitivität_bzw_Monte_Carlo_bei_Strom[[#This Row],[Source.Name]],1))="Auszahlung_a","Auszahlung",""),"")</f>
        <v/>
      </c>
      <c r="D820" s="1"/>
    </row>
    <row r="821" spans="1:4" x14ac:dyDescent="0.3">
      <c r="A821" s="1"/>
      <c r="B821" s="1" t="str">
        <f>IFERROR(IF(LEFT(Sensitivität_bzw_Monte_Carlo_bei_Strom[[#This Row],[Source.Name]],SEARCH("aus_der",Sensitivität_bzw_Monte_Carlo_bei_Strom[[#This Row],[Source.Name]],1))="Auszahlung_a","Auszahlung",""),"")</f>
        <v/>
      </c>
      <c r="D821" s="1"/>
    </row>
    <row r="822" spans="1:4" x14ac:dyDescent="0.3">
      <c r="A822" s="1"/>
      <c r="B822" s="1" t="str">
        <f>IFERROR(IF(LEFT(Sensitivität_bzw_Monte_Carlo_bei_Strom[[#This Row],[Source.Name]],SEARCH("aus_der",Sensitivität_bzw_Monte_Carlo_bei_Strom[[#This Row],[Source.Name]],1))="Auszahlung_a","Auszahlung",""),"")</f>
        <v/>
      </c>
      <c r="D822" s="1"/>
    </row>
    <row r="823" spans="1:4" x14ac:dyDescent="0.3">
      <c r="A823" s="1"/>
      <c r="B823" s="1" t="str">
        <f>IFERROR(IF(LEFT(Sensitivität_bzw_Monte_Carlo_bei_Strom[[#This Row],[Source.Name]],SEARCH("aus_der",Sensitivität_bzw_Monte_Carlo_bei_Strom[[#This Row],[Source.Name]],1))="Auszahlung_a","Auszahlung",""),"")</f>
        <v/>
      </c>
      <c r="D823" s="1"/>
    </row>
    <row r="824" spans="1:4" x14ac:dyDescent="0.3">
      <c r="A824" s="1"/>
      <c r="B824" s="1" t="str">
        <f>IFERROR(IF(LEFT(Sensitivität_bzw_Monte_Carlo_bei_Strom[[#This Row],[Source.Name]],SEARCH("aus_der",Sensitivität_bzw_Monte_Carlo_bei_Strom[[#This Row],[Source.Name]],1))="Auszahlung_a","Auszahlung",""),"")</f>
        <v/>
      </c>
      <c r="D824" s="1"/>
    </row>
    <row r="825" spans="1:4" x14ac:dyDescent="0.3">
      <c r="A825" s="1"/>
      <c r="B825" s="1" t="str">
        <f>IFERROR(IF(LEFT(Sensitivität_bzw_Monte_Carlo_bei_Strom[[#This Row],[Source.Name]],SEARCH("aus_der",Sensitivität_bzw_Monte_Carlo_bei_Strom[[#This Row],[Source.Name]],1))="Auszahlung_a","Auszahlung",""),"")</f>
        <v/>
      </c>
      <c r="D825" s="1"/>
    </row>
    <row r="826" spans="1:4" x14ac:dyDescent="0.3">
      <c r="A826" s="1"/>
      <c r="B826" s="1" t="str">
        <f>IFERROR(IF(LEFT(Sensitivität_bzw_Monte_Carlo_bei_Strom[[#This Row],[Source.Name]],SEARCH("aus_der",Sensitivität_bzw_Monte_Carlo_bei_Strom[[#This Row],[Source.Name]],1))="Auszahlung_a","Auszahlung",""),"")</f>
        <v/>
      </c>
      <c r="D826" s="1"/>
    </row>
    <row r="827" spans="1:4" x14ac:dyDescent="0.3">
      <c r="A827" s="1"/>
      <c r="B827" s="1" t="str">
        <f>IFERROR(IF(LEFT(Sensitivität_bzw_Monte_Carlo_bei_Strom[[#This Row],[Source.Name]],SEARCH("aus_der",Sensitivität_bzw_Monte_Carlo_bei_Strom[[#This Row],[Source.Name]],1))="Auszahlung_a","Auszahlung",""),"")</f>
        <v/>
      </c>
      <c r="D827" s="1"/>
    </row>
    <row r="828" spans="1:4" x14ac:dyDescent="0.3">
      <c r="A828" s="1"/>
      <c r="B828" s="1" t="str">
        <f>IFERROR(IF(LEFT(Sensitivität_bzw_Monte_Carlo_bei_Strom[[#This Row],[Source.Name]],SEARCH("aus_der",Sensitivität_bzw_Monte_Carlo_bei_Strom[[#This Row],[Source.Name]],1))="Auszahlung_a","Auszahlung",""),"")</f>
        <v/>
      </c>
      <c r="D828" s="1"/>
    </row>
    <row r="829" spans="1:4" x14ac:dyDescent="0.3">
      <c r="A829" s="1"/>
      <c r="B829" s="1" t="str">
        <f>IFERROR(IF(LEFT(Sensitivität_bzw_Monte_Carlo_bei_Strom[[#This Row],[Source.Name]],SEARCH("aus_der",Sensitivität_bzw_Monte_Carlo_bei_Strom[[#This Row],[Source.Name]],1))="Auszahlung_a","Auszahlung",""),"")</f>
        <v/>
      </c>
      <c r="D829" s="1"/>
    </row>
    <row r="830" spans="1:4" x14ac:dyDescent="0.3">
      <c r="A830" s="1"/>
      <c r="B830" s="1" t="str">
        <f>IFERROR(IF(LEFT(Sensitivität_bzw_Monte_Carlo_bei_Strom[[#This Row],[Source.Name]],SEARCH("aus_der",Sensitivität_bzw_Monte_Carlo_bei_Strom[[#This Row],[Source.Name]],1))="Auszahlung_a","Auszahlung",""),"")</f>
        <v/>
      </c>
      <c r="D830" s="1"/>
    </row>
    <row r="831" spans="1:4" x14ac:dyDescent="0.3">
      <c r="A831" s="1"/>
      <c r="B831" s="1" t="str">
        <f>IFERROR(IF(LEFT(Sensitivität_bzw_Monte_Carlo_bei_Strom[[#This Row],[Source.Name]],SEARCH("aus_der",Sensitivität_bzw_Monte_Carlo_bei_Strom[[#This Row],[Source.Name]],1))="Auszahlung_a","Auszahlung",""),"")</f>
        <v/>
      </c>
      <c r="D831" s="1"/>
    </row>
    <row r="832" spans="1:4" x14ac:dyDescent="0.3">
      <c r="A832" s="1"/>
      <c r="B832" s="1" t="str">
        <f>IFERROR(IF(LEFT(Sensitivität_bzw_Monte_Carlo_bei_Strom[[#This Row],[Source.Name]],SEARCH("aus_der",Sensitivität_bzw_Monte_Carlo_bei_Strom[[#This Row],[Source.Name]],1))="Auszahlung_a","Auszahlung",""),"")</f>
        <v/>
      </c>
      <c r="D832" s="1"/>
    </row>
    <row r="833" spans="1:4" x14ac:dyDescent="0.3">
      <c r="A833" s="1"/>
      <c r="B833" s="1" t="str">
        <f>IFERROR(IF(LEFT(Sensitivität_bzw_Monte_Carlo_bei_Strom[[#This Row],[Source.Name]],SEARCH("aus_der",Sensitivität_bzw_Monte_Carlo_bei_Strom[[#This Row],[Source.Name]],1))="Auszahlung_a","Auszahlung",""),"")</f>
        <v/>
      </c>
      <c r="D833" s="1"/>
    </row>
    <row r="834" spans="1:4" x14ac:dyDescent="0.3">
      <c r="A834" s="1"/>
      <c r="B834" s="1" t="str">
        <f>IFERROR(IF(LEFT(Sensitivität_bzw_Monte_Carlo_bei_Strom[[#This Row],[Source.Name]],SEARCH("aus_der",Sensitivität_bzw_Monte_Carlo_bei_Strom[[#This Row],[Source.Name]],1))="Auszahlung_a","Auszahlung",""),"")</f>
        <v/>
      </c>
      <c r="D834" s="1"/>
    </row>
    <row r="835" spans="1:4" x14ac:dyDescent="0.3">
      <c r="A835" s="1"/>
      <c r="B835" s="1" t="str">
        <f>IFERROR(IF(LEFT(Sensitivität_bzw_Monte_Carlo_bei_Strom[[#This Row],[Source.Name]],SEARCH("aus_der",Sensitivität_bzw_Monte_Carlo_bei_Strom[[#This Row],[Source.Name]],1))="Auszahlung_a","Auszahlung",""),"")</f>
        <v/>
      </c>
      <c r="D835" s="1"/>
    </row>
    <row r="836" spans="1:4" x14ac:dyDescent="0.3">
      <c r="A836" s="1"/>
      <c r="B836" s="1" t="str">
        <f>IFERROR(IF(LEFT(Sensitivität_bzw_Monte_Carlo_bei_Strom[[#This Row],[Source.Name]],SEARCH("aus_der",Sensitivität_bzw_Monte_Carlo_bei_Strom[[#This Row],[Source.Name]],1))="Auszahlung_a","Auszahlung",""),"")</f>
        <v/>
      </c>
      <c r="D836" s="1"/>
    </row>
    <row r="837" spans="1:4" x14ac:dyDescent="0.3">
      <c r="A837" s="1"/>
      <c r="B837" s="1" t="str">
        <f>IFERROR(IF(LEFT(Sensitivität_bzw_Monte_Carlo_bei_Strom[[#This Row],[Source.Name]],SEARCH("aus_der",Sensitivität_bzw_Monte_Carlo_bei_Strom[[#This Row],[Source.Name]],1))="Auszahlung_a","Auszahlung",""),"")</f>
        <v/>
      </c>
      <c r="D837" s="1"/>
    </row>
    <row r="838" spans="1:4" x14ac:dyDescent="0.3">
      <c r="A838" s="1"/>
      <c r="B838" s="1" t="str">
        <f>IFERROR(IF(LEFT(Sensitivität_bzw_Monte_Carlo_bei_Strom[[#This Row],[Source.Name]],SEARCH("aus_der",Sensitivität_bzw_Monte_Carlo_bei_Strom[[#This Row],[Source.Name]],1))="Auszahlung_a","Auszahlung",""),"")</f>
        <v/>
      </c>
      <c r="D838" s="1"/>
    </row>
    <row r="839" spans="1:4" x14ac:dyDescent="0.3">
      <c r="A839" s="1"/>
      <c r="B839" s="1" t="str">
        <f>IFERROR(IF(LEFT(Sensitivität_bzw_Monte_Carlo_bei_Strom[[#This Row],[Source.Name]],SEARCH("aus_der",Sensitivität_bzw_Monte_Carlo_bei_Strom[[#This Row],[Source.Name]],1))="Auszahlung_a","Auszahlung",""),"")</f>
        <v/>
      </c>
      <c r="D839" s="1"/>
    </row>
    <row r="840" spans="1:4" x14ac:dyDescent="0.3">
      <c r="A840" s="1"/>
      <c r="B840" s="1" t="str">
        <f>IFERROR(IF(LEFT(Sensitivität_bzw_Monte_Carlo_bei_Strom[[#This Row],[Source.Name]],SEARCH("aus_der",Sensitivität_bzw_Monte_Carlo_bei_Strom[[#This Row],[Source.Name]],1))="Auszahlung_a","Auszahlung",""),"")</f>
        <v/>
      </c>
      <c r="D840" s="1"/>
    </row>
    <row r="841" spans="1:4" x14ac:dyDescent="0.3">
      <c r="A841" s="1"/>
      <c r="B841" s="1" t="str">
        <f>IFERROR(IF(LEFT(Sensitivität_bzw_Monte_Carlo_bei_Strom[[#This Row],[Source.Name]],SEARCH("aus_der",Sensitivität_bzw_Monte_Carlo_bei_Strom[[#This Row],[Source.Name]],1))="Auszahlung_a","Auszahlung",""),"")</f>
        <v/>
      </c>
      <c r="D841" s="1"/>
    </row>
    <row r="842" spans="1:4" x14ac:dyDescent="0.3">
      <c r="A842" s="1"/>
      <c r="B842" s="1" t="str">
        <f>IFERROR(IF(LEFT(Sensitivität_bzw_Monte_Carlo_bei_Strom[[#This Row],[Source.Name]],SEARCH("aus_der",Sensitivität_bzw_Monte_Carlo_bei_Strom[[#This Row],[Source.Name]],1))="Auszahlung_a","Auszahlung",""),"")</f>
        <v/>
      </c>
      <c r="D842" s="1"/>
    </row>
    <row r="843" spans="1:4" x14ac:dyDescent="0.3">
      <c r="A843" s="1"/>
      <c r="B843" s="1" t="str">
        <f>IFERROR(IF(LEFT(Sensitivität_bzw_Monte_Carlo_bei_Strom[[#This Row],[Source.Name]],SEARCH("aus_der",Sensitivität_bzw_Monte_Carlo_bei_Strom[[#This Row],[Source.Name]],1))="Auszahlung_a","Auszahlung",""),"")</f>
        <v/>
      </c>
      <c r="D843" s="1"/>
    </row>
    <row r="844" spans="1:4" x14ac:dyDescent="0.3">
      <c r="A844" s="1"/>
      <c r="B844" s="1" t="str">
        <f>IFERROR(IF(LEFT(Sensitivität_bzw_Monte_Carlo_bei_Strom[[#This Row],[Source.Name]],SEARCH("aus_der",Sensitivität_bzw_Monte_Carlo_bei_Strom[[#This Row],[Source.Name]],1))="Auszahlung_a","Auszahlung",""),"")</f>
        <v/>
      </c>
      <c r="D844" s="1"/>
    </row>
    <row r="845" spans="1:4" x14ac:dyDescent="0.3">
      <c r="A845" s="1"/>
      <c r="B845" s="1" t="str">
        <f>IFERROR(IF(LEFT(Sensitivität_bzw_Monte_Carlo_bei_Strom[[#This Row],[Source.Name]],SEARCH("aus_der",Sensitivität_bzw_Monte_Carlo_bei_Strom[[#This Row],[Source.Name]],1))="Auszahlung_a","Auszahlung",""),"")</f>
        <v/>
      </c>
      <c r="D845" s="1"/>
    </row>
    <row r="846" spans="1:4" x14ac:dyDescent="0.3">
      <c r="A846" s="1"/>
      <c r="B846" s="1" t="str">
        <f>IFERROR(IF(LEFT(Sensitivität_bzw_Monte_Carlo_bei_Strom[[#This Row],[Source.Name]],SEARCH("aus_der",Sensitivität_bzw_Monte_Carlo_bei_Strom[[#This Row],[Source.Name]],1))="Auszahlung_a","Auszahlung",""),"")</f>
        <v/>
      </c>
      <c r="D846" s="1"/>
    </row>
    <row r="847" spans="1:4" x14ac:dyDescent="0.3">
      <c r="A847" s="1"/>
      <c r="B847" s="1" t="str">
        <f>IFERROR(IF(LEFT(Sensitivität_bzw_Monte_Carlo_bei_Strom[[#This Row],[Source.Name]],SEARCH("aus_der",Sensitivität_bzw_Monte_Carlo_bei_Strom[[#This Row],[Source.Name]],1))="Auszahlung_a","Auszahlung",""),"")</f>
        <v/>
      </c>
      <c r="D847" s="1"/>
    </row>
    <row r="848" spans="1:4" x14ac:dyDescent="0.3">
      <c r="A848" s="1"/>
      <c r="B848" s="1" t="str">
        <f>IFERROR(IF(LEFT(Sensitivität_bzw_Monte_Carlo_bei_Strom[[#This Row],[Source.Name]],SEARCH("aus_der",Sensitivität_bzw_Monte_Carlo_bei_Strom[[#This Row],[Source.Name]],1))="Auszahlung_a","Auszahlung",""),"")</f>
        <v/>
      </c>
      <c r="D848" s="1"/>
    </row>
    <row r="849" spans="1:4" x14ac:dyDescent="0.3">
      <c r="A849" s="1"/>
      <c r="B849" s="1" t="str">
        <f>IFERROR(IF(LEFT(Sensitivität_bzw_Monte_Carlo_bei_Strom[[#This Row],[Source.Name]],SEARCH("aus_der",Sensitivität_bzw_Monte_Carlo_bei_Strom[[#This Row],[Source.Name]],1))="Auszahlung_a","Auszahlung",""),"")</f>
        <v/>
      </c>
      <c r="D849" s="1"/>
    </row>
    <row r="850" spans="1:4" x14ac:dyDescent="0.3">
      <c r="A850" s="1"/>
      <c r="B850" s="1" t="str">
        <f>IFERROR(IF(LEFT(Sensitivität_bzw_Monte_Carlo_bei_Strom[[#This Row],[Source.Name]],SEARCH("aus_der",Sensitivität_bzw_Monte_Carlo_bei_Strom[[#This Row],[Source.Name]],1))="Auszahlung_a","Auszahlung",""),"")</f>
        <v/>
      </c>
      <c r="D850" s="1"/>
    </row>
    <row r="851" spans="1:4" x14ac:dyDescent="0.3">
      <c r="A851" s="1"/>
      <c r="B851" s="1" t="str">
        <f>IFERROR(IF(LEFT(Sensitivität_bzw_Monte_Carlo_bei_Strom[[#This Row],[Source.Name]],SEARCH("aus_der",Sensitivität_bzw_Monte_Carlo_bei_Strom[[#This Row],[Source.Name]],1))="Auszahlung_a","Auszahlung",""),"")</f>
        <v/>
      </c>
      <c r="D851" s="1"/>
    </row>
    <row r="852" spans="1:4" x14ac:dyDescent="0.3">
      <c r="A852" s="1"/>
      <c r="B852" s="1" t="str">
        <f>IFERROR(IF(LEFT(Sensitivität_bzw_Monte_Carlo_bei_Strom[[#This Row],[Source.Name]],SEARCH("aus_der",Sensitivität_bzw_Monte_Carlo_bei_Strom[[#This Row],[Source.Name]],1))="Auszahlung_a","Auszahlung",""),"")</f>
        <v/>
      </c>
      <c r="D852" s="1"/>
    </row>
    <row r="853" spans="1:4" x14ac:dyDescent="0.3">
      <c r="A853" s="1"/>
      <c r="B853" s="1" t="str">
        <f>IFERROR(IF(LEFT(Sensitivität_bzw_Monte_Carlo_bei_Strom[[#This Row],[Source.Name]],SEARCH("aus_der",Sensitivität_bzw_Monte_Carlo_bei_Strom[[#This Row],[Source.Name]],1))="Auszahlung_a","Auszahlung",""),"")</f>
        <v/>
      </c>
      <c r="D853" s="1"/>
    </row>
    <row r="854" spans="1:4" x14ac:dyDescent="0.3">
      <c r="A854" s="1"/>
      <c r="B854" s="1" t="str">
        <f>IFERROR(IF(LEFT(Sensitivität_bzw_Monte_Carlo_bei_Strom[[#This Row],[Source.Name]],SEARCH("aus_der",Sensitivität_bzw_Monte_Carlo_bei_Strom[[#This Row],[Source.Name]],1))="Auszahlung_a","Auszahlung",""),"")</f>
        <v/>
      </c>
      <c r="D854" s="1"/>
    </row>
    <row r="855" spans="1:4" x14ac:dyDescent="0.3">
      <c r="A855" s="1"/>
      <c r="B855" s="1" t="str">
        <f>IFERROR(IF(LEFT(Sensitivität_bzw_Monte_Carlo_bei_Strom[[#This Row],[Source.Name]],SEARCH("aus_der",Sensitivität_bzw_Monte_Carlo_bei_Strom[[#This Row],[Source.Name]],1))="Auszahlung_a","Auszahlung",""),"")</f>
        <v/>
      </c>
      <c r="D855" s="1"/>
    </row>
    <row r="856" spans="1:4" x14ac:dyDescent="0.3">
      <c r="A856" s="1"/>
      <c r="B856" s="1" t="str">
        <f>IFERROR(IF(LEFT(Sensitivität_bzw_Monte_Carlo_bei_Strom[[#This Row],[Source.Name]],SEARCH("aus_der",Sensitivität_bzw_Monte_Carlo_bei_Strom[[#This Row],[Source.Name]],1))="Auszahlung_a","Auszahlung",""),"")</f>
        <v/>
      </c>
      <c r="D856" s="1"/>
    </row>
    <row r="857" spans="1:4" x14ac:dyDescent="0.3">
      <c r="A857" s="1"/>
      <c r="B857" s="1" t="str">
        <f>IFERROR(IF(LEFT(Sensitivität_bzw_Monte_Carlo_bei_Strom[[#This Row],[Source.Name]],SEARCH("aus_der",Sensitivität_bzw_Monte_Carlo_bei_Strom[[#This Row],[Source.Name]],1))="Auszahlung_a","Auszahlung",""),"")</f>
        <v/>
      </c>
      <c r="D857" s="1"/>
    </row>
    <row r="858" spans="1:4" x14ac:dyDescent="0.3">
      <c r="A858" s="1"/>
      <c r="B858" s="1" t="str">
        <f>IFERROR(IF(LEFT(Sensitivität_bzw_Monte_Carlo_bei_Strom[[#This Row],[Source.Name]],SEARCH("aus_der",Sensitivität_bzw_Monte_Carlo_bei_Strom[[#This Row],[Source.Name]],1))="Auszahlung_a","Auszahlung",""),"")</f>
        <v/>
      </c>
      <c r="D858" s="1"/>
    </row>
    <row r="859" spans="1:4" x14ac:dyDescent="0.3">
      <c r="A859" s="1"/>
      <c r="B859" s="1" t="str">
        <f>IFERROR(IF(LEFT(Sensitivität_bzw_Monte_Carlo_bei_Strom[[#This Row],[Source.Name]],SEARCH("aus_der",Sensitivität_bzw_Monte_Carlo_bei_Strom[[#This Row],[Source.Name]],1))="Auszahlung_a","Auszahlung",""),"")</f>
        <v/>
      </c>
      <c r="D859" s="1"/>
    </row>
    <row r="860" spans="1:4" x14ac:dyDescent="0.3">
      <c r="A860" s="1"/>
      <c r="B860" s="1" t="str">
        <f>IFERROR(IF(LEFT(Sensitivität_bzw_Monte_Carlo_bei_Strom[[#This Row],[Source.Name]],SEARCH("aus_der",Sensitivität_bzw_Monte_Carlo_bei_Strom[[#This Row],[Source.Name]],1))="Auszahlung_a","Auszahlung",""),"")</f>
        <v/>
      </c>
      <c r="D860" s="1"/>
    </row>
    <row r="861" spans="1:4" x14ac:dyDescent="0.3">
      <c r="A861" s="1"/>
      <c r="B861" s="1" t="str">
        <f>IFERROR(IF(LEFT(Sensitivität_bzw_Monte_Carlo_bei_Strom[[#This Row],[Source.Name]],SEARCH("aus_der",Sensitivität_bzw_Monte_Carlo_bei_Strom[[#This Row],[Source.Name]],1))="Auszahlung_a","Auszahlung",""),"")</f>
        <v/>
      </c>
      <c r="D861" s="1"/>
    </row>
    <row r="862" spans="1:4" x14ac:dyDescent="0.3">
      <c r="A862" s="1"/>
      <c r="B862" s="1" t="str">
        <f>IFERROR(IF(LEFT(Sensitivität_bzw_Monte_Carlo_bei_Strom[[#This Row],[Source.Name]],SEARCH("aus_der",Sensitivität_bzw_Monte_Carlo_bei_Strom[[#This Row],[Source.Name]],1))="Auszahlung_a","Auszahlung",""),"")</f>
        <v/>
      </c>
      <c r="D862" s="1"/>
    </row>
    <row r="863" spans="1:4" x14ac:dyDescent="0.3">
      <c r="A863" s="1"/>
      <c r="B863" s="1" t="str">
        <f>IFERROR(IF(LEFT(Sensitivität_bzw_Monte_Carlo_bei_Strom[[#This Row],[Source.Name]],SEARCH("aus_der",Sensitivität_bzw_Monte_Carlo_bei_Strom[[#This Row],[Source.Name]],1))="Auszahlung_a","Auszahlung",""),"")</f>
        <v/>
      </c>
      <c r="D863" s="1"/>
    </row>
    <row r="864" spans="1:4" x14ac:dyDescent="0.3">
      <c r="A864" s="1"/>
      <c r="B864" s="1" t="str">
        <f>IFERROR(IF(LEFT(Sensitivität_bzw_Monte_Carlo_bei_Strom[[#This Row],[Source.Name]],SEARCH("aus_der",Sensitivität_bzw_Monte_Carlo_bei_Strom[[#This Row],[Source.Name]],1))="Auszahlung_a","Auszahlung",""),"")</f>
        <v/>
      </c>
      <c r="D864" s="1"/>
    </row>
    <row r="865" spans="1:4" x14ac:dyDescent="0.3">
      <c r="A865" s="1"/>
      <c r="B865" s="1" t="str">
        <f>IFERROR(IF(LEFT(Sensitivität_bzw_Monte_Carlo_bei_Strom[[#This Row],[Source.Name]],SEARCH("aus_der",Sensitivität_bzw_Monte_Carlo_bei_Strom[[#This Row],[Source.Name]],1))="Auszahlung_a","Auszahlung",""),"")</f>
        <v/>
      </c>
      <c r="D865" s="1"/>
    </row>
    <row r="866" spans="1:4" x14ac:dyDescent="0.3">
      <c r="A866" s="1"/>
      <c r="B866" s="1" t="str">
        <f>IFERROR(IF(LEFT(Sensitivität_bzw_Monte_Carlo_bei_Strom[[#This Row],[Source.Name]],SEARCH("aus_der",Sensitivität_bzw_Monte_Carlo_bei_Strom[[#This Row],[Source.Name]],1))="Auszahlung_a","Auszahlung",""),"")</f>
        <v/>
      </c>
      <c r="D866" s="1"/>
    </row>
    <row r="867" spans="1:4" x14ac:dyDescent="0.3">
      <c r="A867" s="1"/>
      <c r="B867" s="1" t="str">
        <f>IFERROR(IF(LEFT(Sensitivität_bzw_Monte_Carlo_bei_Strom[[#This Row],[Source.Name]],SEARCH("aus_der",Sensitivität_bzw_Monte_Carlo_bei_Strom[[#This Row],[Source.Name]],1))="Auszahlung_a","Auszahlung",""),"")</f>
        <v/>
      </c>
      <c r="D867" s="1"/>
    </row>
    <row r="868" spans="1:4" x14ac:dyDescent="0.3">
      <c r="A868" s="1"/>
      <c r="B868" s="1" t="str">
        <f>IFERROR(IF(LEFT(Sensitivität_bzw_Monte_Carlo_bei_Strom[[#This Row],[Source.Name]],SEARCH("aus_der",Sensitivität_bzw_Monte_Carlo_bei_Strom[[#This Row],[Source.Name]],1))="Auszahlung_a","Auszahlung",""),"")</f>
        <v/>
      </c>
      <c r="D868" s="1"/>
    </row>
    <row r="869" spans="1:4" x14ac:dyDescent="0.3">
      <c r="A869" s="1"/>
      <c r="B869" s="1" t="str">
        <f>IFERROR(IF(LEFT(Sensitivität_bzw_Monte_Carlo_bei_Strom[[#This Row],[Source.Name]],SEARCH("aus_der",Sensitivität_bzw_Monte_Carlo_bei_Strom[[#This Row],[Source.Name]],1))="Auszahlung_a","Auszahlung",""),"")</f>
        <v/>
      </c>
      <c r="D869" s="1"/>
    </row>
    <row r="870" spans="1:4" x14ac:dyDescent="0.3">
      <c r="A870" s="1"/>
      <c r="B870" s="1" t="str">
        <f>IFERROR(IF(LEFT(Sensitivität_bzw_Monte_Carlo_bei_Strom[[#This Row],[Source.Name]],SEARCH("aus_der",Sensitivität_bzw_Monte_Carlo_bei_Strom[[#This Row],[Source.Name]],1))="Auszahlung_a","Auszahlung",""),"")</f>
        <v/>
      </c>
      <c r="D870" s="1"/>
    </row>
    <row r="871" spans="1:4" x14ac:dyDescent="0.3">
      <c r="A871" s="1"/>
      <c r="B871" s="1" t="str">
        <f>IFERROR(IF(LEFT(Sensitivität_bzw_Monte_Carlo_bei_Strom[[#This Row],[Source.Name]],SEARCH("aus_der",Sensitivität_bzw_Monte_Carlo_bei_Strom[[#This Row],[Source.Name]],1))="Auszahlung_a","Auszahlung",""),"")</f>
        <v/>
      </c>
      <c r="D871" s="1"/>
    </row>
    <row r="872" spans="1:4" x14ac:dyDescent="0.3">
      <c r="A872" s="1"/>
      <c r="B872" s="1" t="str">
        <f>IFERROR(IF(LEFT(Sensitivität_bzw_Monte_Carlo_bei_Strom[[#This Row],[Source.Name]],SEARCH("aus_der",Sensitivität_bzw_Monte_Carlo_bei_Strom[[#This Row],[Source.Name]],1))="Auszahlung_a","Auszahlung",""),"")</f>
        <v/>
      </c>
      <c r="D872" s="1"/>
    </row>
    <row r="873" spans="1:4" x14ac:dyDescent="0.3">
      <c r="A873" s="1"/>
      <c r="B873" s="1" t="str">
        <f>IFERROR(IF(LEFT(Sensitivität_bzw_Monte_Carlo_bei_Strom[[#This Row],[Source.Name]],SEARCH("aus_der",Sensitivität_bzw_Monte_Carlo_bei_Strom[[#This Row],[Source.Name]],1))="Auszahlung_a","Auszahlung",""),"")</f>
        <v/>
      </c>
      <c r="D873" s="1"/>
    </row>
    <row r="874" spans="1:4" x14ac:dyDescent="0.3">
      <c r="A874" s="1"/>
      <c r="B874" s="1" t="str">
        <f>IFERROR(IF(LEFT(Sensitivität_bzw_Monte_Carlo_bei_Strom[[#This Row],[Source.Name]],SEARCH("aus_der",Sensitivität_bzw_Monte_Carlo_bei_Strom[[#This Row],[Source.Name]],1))="Auszahlung_a","Auszahlung",""),"")</f>
        <v/>
      </c>
      <c r="D874" s="1"/>
    </row>
    <row r="875" spans="1:4" x14ac:dyDescent="0.3">
      <c r="A875" s="1"/>
      <c r="B875" s="1" t="str">
        <f>IFERROR(IF(LEFT(Sensitivität_bzw_Monte_Carlo_bei_Strom[[#This Row],[Source.Name]],SEARCH("aus_der",Sensitivität_bzw_Monte_Carlo_bei_Strom[[#This Row],[Source.Name]],1))="Auszahlung_a","Auszahlung",""),"")</f>
        <v/>
      </c>
      <c r="D875" s="1"/>
    </row>
    <row r="876" spans="1:4" x14ac:dyDescent="0.3">
      <c r="A876" s="1"/>
      <c r="B876" s="1" t="str">
        <f>IFERROR(IF(LEFT(Sensitivität_bzw_Monte_Carlo_bei_Strom[[#This Row],[Source.Name]],SEARCH("aus_der",Sensitivität_bzw_Monte_Carlo_bei_Strom[[#This Row],[Source.Name]],1))="Auszahlung_a","Auszahlung",""),"")</f>
        <v/>
      </c>
      <c r="D876" s="1"/>
    </row>
    <row r="877" spans="1:4" x14ac:dyDescent="0.3">
      <c r="A877" s="1"/>
      <c r="B877" s="1" t="str">
        <f>IFERROR(IF(LEFT(Sensitivität_bzw_Monte_Carlo_bei_Strom[[#This Row],[Source.Name]],SEARCH("aus_der",Sensitivität_bzw_Monte_Carlo_bei_Strom[[#This Row],[Source.Name]],1))="Auszahlung_a","Auszahlung",""),"")</f>
        <v/>
      </c>
      <c r="D877" s="1"/>
    </row>
    <row r="878" spans="1:4" x14ac:dyDescent="0.3">
      <c r="A878" s="1"/>
      <c r="B878" s="1" t="str">
        <f>IFERROR(IF(LEFT(Sensitivität_bzw_Monte_Carlo_bei_Strom[[#This Row],[Source.Name]],SEARCH("aus_der",Sensitivität_bzw_Monte_Carlo_bei_Strom[[#This Row],[Source.Name]],1))="Auszahlung_a","Auszahlung",""),"")</f>
        <v/>
      </c>
      <c r="D878" s="1"/>
    </row>
    <row r="879" spans="1:4" x14ac:dyDescent="0.3">
      <c r="A879" s="1"/>
      <c r="B879" s="1" t="str">
        <f>IFERROR(IF(LEFT(Sensitivität_bzw_Monte_Carlo_bei_Strom[[#This Row],[Source.Name]],SEARCH("aus_der",Sensitivität_bzw_Monte_Carlo_bei_Strom[[#This Row],[Source.Name]],1))="Auszahlung_a","Auszahlung",""),"")</f>
        <v/>
      </c>
      <c r="D879" s="1"/>
    </row>
    <row r="880" spans="1:4" x14ac:dyDescent="0.3">
      <c r="A880" s="1"/>
      <c r="B880" s="1" t="str">
        <f>IFERROR(IF(LEFT(Sensitivität_bzw_Monte_Carlo_bei_Strom[[#This Row],[Source.Name]],SEARCH("aus_der",Sensitivität_bzw_Monte_Carlo_bei_Strom[[#This Row],[Source.Name]],1))="Auszahlung_a","Auszahlung",""),"")</f>
        <v/>
      </c>
      <c r="D880" s="1"/>
    </row>
    <row r="881" spans="1:4" x14ac:dyDescent="0.3">
      <c r="A881" s="1"/>
      <c r="B881" s="1" t="str">
        <f>IFERROR(IF(LEFT(Sensitivität_bzw_Monte_Carlo_bei_Strom[[#This Row],[Source.Name]],SEARCH("aus_der",Sensitivität_bzw_Monte_Carlo_bei_Strom[[#This Row],[Source.Name]],1))="Auszahlung_a","Auszahlung",""),"")</f>
        <v/>
      </c>
      <c r="D881" s="1"/>
    </row>
    <row r="882" spans="1:4" x14ac:dyDescent="0.3">
      <c r="A882" s="1"/>
      <c r="B882" s="1" t="str">
        <f>IFERROR(IF(LEFT(Sensitivität_bzw_Monte_Carlo_bei_Strom[[#This Row],[Source.Name]],SEARCH("aus_der",Sensitivität_bzw_Monte_Carlo_bei_Strom[[#This Row],[Source.Name]],1))="Auszahlung_a","Auszahlung",""),"")</f>
        <v/>
      </c>
      <c r="D882" s="1"/>
    </row>
    <row r="883" spans="1:4" x14ac:dyDescent="0.3">
      <c r="A883" s="1"/>
      <c r="B883" s="1" t="str">
        <f>IFERROR(IF(LEFT(Sensitivität_bzw_Monte_Carlo_bei_Strom[[#This Row],[Source.Name]],SEARCH("aus_der",Sensitivität_bzw_Monte_Carlo_bei_Strom[[#This Row],[Source.Name]],1))="Auszahlung_a","Auszahlung",""),"")</f>
        <v/>
      </c>
      <c r="D883" s="1"/>
    </row>
    <row r="884" spans="1:4" x14ac:dyDescent="0.3">
      <c r="A884" s="1"/>
      <c r="B884" s="1" t="str">
        <f>IFERROR(IF(LEFT(Sensitivität_bzw_Monte_Carlo_bei_Strom[[#This Row],[Source.Name]],SEARCH("aus_der",Sensitivität_bzw_Monte_Carlo_bei_Strom[[#This Row],[Source.Name]],1))="Auszahlung_a","Auszahlung",""),"")</f>
        <v/>
      </c>
      <c r="D884" s="1"/>
    </row>
    <row r="885" spans="1:4" x14ac:dyDescent="0.3">
      <c r="A885" s="1"/>
      <c r="B885" s="1" t="str">
        <f>IFERROR(IF(LEFT(Sensitivität_bzw_Monte_Carlo_bei_Strom[[#This Row],[Source.Name]],SEARCH("aus_der",Sensitivität_bzw_Monte_Carlo_bei_Strom[[#This Row],[Source.Name]],1))="Auszahlung_a","Auszahlung",""),"")</f>
        <v/>
      </c>
      <c r="D885" s="1"/>
    </row>
    <row r="886" spans="1:4" x14ac:dyDescent="0.3">
      <c r="A886" s="1"/>
      <c r="B886" s="1" t="str">
        <f>IFERROR(IF(LEFT(Sensitivität_bzw_Monte_Carlo_bei_Strom[[#This Row],[Source.Name]],SEARCH("aus_der",Sensitivität_bzw_Monte_Carlo_bei_Strom[[#This Row],[Source.Name]],1))="Auszahlung_a","Auszahlung",""),"")</f>
        <v/>
      </c>
      <c r="D886" s="1"/>
    </row>
    <row r="887" spans="1:4" x14ac:dyDescent="0.3">
      <c r="A887" s="1"/>
      <c r="B887" s="1" t="str">
        <f>IFERROR(IF(LEFT(Sensitivität_bzw_Monte_Carlo_bei_Strom[[#This Row],[Source.Name]],SEARCH("aus_der",Sensitivität_bzw_Monte_Carlo_bei_Strom[[#This Row],[Source.Name]],1))="Auszahlung_a","Auszahlung",""),"")</f>
        <v/>
      </c>
      <c r="D887" s="1"/>
    </row>
    <row r="888" spans="1:4" x14ac:dyDescent="0.3">
      <c r="A888" s="1"/>
      <c r="B888" s="1" t="str">
        <f>IFERROR(IF(LEFT(Sensitivität_bzw_Monte_Carlo_bei_Strom[[#This Row],[Source.Name]],SEARCH("aus_der",Sensitivität_bzw_Monte_Carlo_bei_Strom[[#This Row],[Source.Name]],1))="Auszahlung_a","Auszahlung",""),"")</f>
        <v/>
      </c>
      <c r="D888" s="1"/>
    </row>
    <row r="889" spans="1:4" x14ac:dyDescent="0.3">
      <c r="A889" s="1"/>
      <c r="B889" s="1" t="str">
        <f>IFERROR(IF(LEFT(Sensitivität_bzw_Monte_Carlo_bei_Strom[[#This Row],[Source.Name]],SEARCH("aus_der",Sensitivität_bzw_Monte_Carlo_bei_Strom[[#This Row],[Source.Name]],1))="Auszahlung_a","Auszahlung",""),"")</f>
        <v/>
      </c>
      <c r="D889" s="1"/>
    </row>
    <row r="890" spans="1:4" x14ac:dyDescent="0.3">
      <c r="A890" s="1"/>
      <c r="B890" s="1" t="str">
        <f>IFERROR(IF(LEFT(Sensitivität_bzw_Monte_Carlo_bei_Strom[[#This Row],[Source.Name]],SEARCH("aus_der",Sensitivität_bzw_Monte_Carlo_bei_Strom[[#This Row],[Source.Name]],1))="Auszahlung_a","Auszahlung",""),"")</f>
        <v/>
      </c>
      <c r="D890" s="1"/>
    </row>
    <row r="891" spans="1:4" x14ac:dyDescent="0.3">
      <c r="A891" s="1"/>
      <c r="B891" s="1" t="str">
        <f>IFERROR(IF(LEFT(Sensitivität_bzw_Monte_Carlo_bei_Strom[[#This Row],[Source.Name]],SEARCH("aus_der",Sensitivität_bzw_Monte_Carlo_bei_Strom[[#This Row],[Source.Name]],1))="Auszahlung_a","Auszahlung",""),"")</f>
        <v/>
      </c>
      <c r="D891" s="1"/>
    </row>
    <row r="892" spans="1:4" x14ac:dyDescent="0.3">
      <c r="A892" s="1"/>
      <c r="B892" s="1" t="str">
        <f>IFERROR(IF(LEFT(Sensitivität_bzw_Monte_Carlo_bei_Strom[[#This Row],[Source.Name]],SEARCH("aus_der",Sensitivität_bzw_Monte_Carlo_bei_Strom[[#This Row],[Source.Name]],1))="Auszahlung_a","Auszahlung",""),"")</f>
        <v/>
      </c>
      <c r="D892" s="1"/>
    </row>
    <row r="893" spans="1:4" x14ac:dyDescent="0.3">
      <c r="A893" s="1"/>
      <c r="B893" s="1" t="str">
        <f>IFERROR(IF(LEFT(Sensitivität_bzw_Monte_Carlo_bei_Strom[[#This Row],[Source.Name]],SEARCH("aus_der",Sensitivität_bzw_Monte_Carlo_bei_Strom[[#This Row],[Source.Name]],1))="Auszahlung_a","Auszahlung",""),"")</f>
        <v/>
      </c>
      <c r="D893" s="1"/>
    </row>
    <row r="894" spans="1:4" x14ac:dyDescent="0.3">
      <c r="A894" s="1"/>
      <c r="B894" s="1" t="str">
        <f>IFERROR(IF(LEFT(Sensitivität_bzw_Monte_Carlo_bei_Strom[[#This Row],[Source.Name]],SEARCH("aus_der",Sensitivität_bzw_Monte_Carlo_bei_Strom[[#This Row],[Source.Name]],1))="Auszahlung_a","Auszahlung",""),"")</f>
        <v/>
      </c>
      <c r="D894" s="1"/>
    </row>
    <row r="895" spans="1:4" x14ac:dyDescent="0.3">
      <c r="A895" s="1"/>
      <c r="B895" s="1" t="str">
        <f>IFERROR(IF(LEFT(Sensitivität_bzw_Monte_Carlo_bei_Strom[[#This Row],[Source.Name]],SEARCH("aus_der",Sensitivität_bzw_Monte_Carlo_bei_Strom[[#This Row],[Source.Name]],1))="Auszahlung_a","Auszahlung",""),"")</f>
        <v/>
      </c>
      <c r="D895" s="1"/>
    </row>
    <row r="896" spans="1:4" x14ac:dyDescent="0.3">
      <c r="A896" s="1"/>
      <c r="B896" s="1" t="str">
        <f>IFERROR(IF(LEFT(Sensitivität_bzw_Monte_Carlo_bei_Strom[[#This Row],[Source.Name]],SEARCH("aus_der",Sensitivität_bzw_Monte_Carlo_bei_Strom[[#This Row],[Source.Name]],1))="Auszahlung_a","Auszahlung",""),"")</f>
        <v/>
      </c>
      <c r="D896" s="1"/>
    </row>
    <row r="897" spans="1:4" x14ac:dyDescent="0.3">
      <c r="A897" s="1"/>
      <c r="B897" s="1" t="str">
        <f>IFERROR(IF(LEFT(Sensitivität_bzw_Monte_Carlo_bei_Strom[[#This Row],[Source.Name]],SEARCH("aus_der",Sensitivität_bzw_Monte_Carlo_bei_Strom[[#This Row],[Source.Name]],1))="Auszahlung_a","Auszahlung",""),"")</f>
        <v/>
      </c>
      <c r="D897" s="1"/>
    </row>
    <row r="898" spans="1:4" x14ac:dyDescent="0.3">
      <c r="A898" s="1"/>
      <c r="B898" s="1" t="str">
        <f>IFERROR(IF(LEFT(Sensitivität_bzw_Monte_Carlo_bei_Strom[[#This Row],[Source.Name]],SEARCH("aus_der",Sensitivität_bzw_Monte_Carlo_bei_Strom[[#This Row],[Source.Name]],1))="Auszahlung_a","Auszahlung",""),"")</f>
        <v/>
      </c>
      <c r="D898" s="1"/>
    </row>
    <row r="899" spans="1:4" x14ac:dyDescent="0.3">
      <c r="A899" s="1"/>
      <c r="B899" s="1" t="str">
        <f>IFERROR(IF(LEFT(Sensitivität_bzw_Monte_Carlo_bei_Strom[[#This Row],[Source.Name]],SEARCH("aus_der",Sensitivität_bzw_Monte_Carlo_bei_Strom[[#This Row],[Source.Name]],1))="Auszahlung_a","Auszahlung",""),"")</f>
        <v/>
      </c>
      <c r="D899" s="1"/>
    </row>
    <row r="900" spans="1:4" x14ac:dyDescent="0.3">
      <c r="A900" s="1"/>
      <c r="B900" s="1" t="str">
        <f>IFERROR(IF(LEFT(Sensitivität_bzw_Monte_Carlo_bei_Strom[[#This Row],[Source.Name]],SEARCH("aus_der",Sensitivität_bzw_Monte_Carlo_bei_Strom[[#This Row],[Source.Name]],1))="Auszahlung_a","Auszahlung",""),"")</f>
        <v/>
      </c>
      <c r="D900" s="1"/>
    </row>
    <row r="901" spans="1:4" x14ac:dyDescent="0.3">
      <c r="A901" s="1"/>
      <c r="B901" s="1" t="str">
        <f>IFERROR(IF(LEFT(Sensitivität_bzw_Monte_Carlo_bei_Strom[[#This Row],[Source.Name]],SEARCH("aus_der",Sensitivität_bzw_Monte_Carlo_bei_Strom[[#This Row],[Source.Name]],1))="Auszahlung_a","Auszahlung",""),"")</f>
        <v/>
      </c>
      <c r="D901" s="1"/>
    </row>
    <row r="902" spans="1:4" x14ac:dyDescent="0.3">
      <c r="A902" s="1"/>
      <c r="B902" s="1" t="str">
        <f>IFERROR(IF(LEFT(Sensitivität_bzw_Monte_Carlo_bei_Strom[[#This Row],[Source.Name]],SEARCH("aus_der",Sensitivität_bzw_Monte_Carlo_bei_Strom[[#This Row],[Source.Name]],1))="Auszahlung_a","Auszahlung",""),"")</f>
        <v/>
      </c>
      <c r="D902" s="1"/>
    </row>
    <row r="903" spans="1:4" x14ac:dyDescent="0.3">
      <c r="A903" s="1"/>
      <c r="B903" s="1" t="str">
        <f>IFERROR(IF(LEFT(Sensitivität_bzw_Monte_Carlo_bei_Strom[[#This Row],[Source.Name]],SEARCH("aus_der",Sensitivität_bzw_Monte_Carlo_bei_Strom[[#This Row],[Source.Name]],1))="Auszahlung_a","Auszahlung",""),"")</f>
        <v/>
      </c>
      <c r="D903" s="1"/>
    </row>
    <row r="904" spans="1:4" x14ac:dyDescent="0.3">
      <c r="A904" s="1"/>
      <c r="B904" s="1" t="str">
        <f>IFERROR(IF(LEFT(Sensitivität_bzw_Monte_Carlo_bei_Strom[[#This Row],[Source.Name]],SEARCH("aus_der",Sensitivität_bzw_Monte_Carlo_bei_Strom[[#This Row],[Source.Name]],1))="Auszahlung_a","Auszahlung",""),"")</f>
        <v/>
      </c>
      <c r="D904" s="1"/>
    </row>
    <row r="905" spans="1:4" x14ac:dyDescent="0.3">
      <c r="A905" s="1"/>
      <c r="B905" s="1" t="str">
        <f>IFERROR(IF(LEFT(Sensitivität_bzw_Monte_Carlo_bei_Strom[[#This Row],[Source.Name]],SEARCH("aus_der",Sensitivität_bzw_Monte_Carlo_bei_Strom[[#This Row],[Source.Name]],1))="Auszahlung_a","Auszahlung",""),"")</f>
        <v/>
      </c>
      <c r="D905" s="1"/>
    </row>
    <row r="906" spans="1:4" x14ac:dyDescent="0.3">
      <c r="A906" s="1"/>
      <c r="B906" s="1" t="str">
        <f>IFERROR(IF(LEFT(Sensitivität_bzw_Monte_Carlo_bei_Strom[[#This Row],[Source.Name]],SEARCH("aus_der",Sensitivität_bzw_Monte_Carlo_bei_Strom[[#This Row],[Source.Name]],1))="Auszahlung_a","Auszahlung",""),"")</f>
        <v/>
      </c>
      <c r="D906" s="1"/>
    </row>
    <row r="907" spans="1:4" x14ac:dyDescent="0.3">
      <c r="A907" s="1"/>
      <c r="B907" s="1" t="str">
        <f>IFERROR(IF(LEFT(Sensitivität_bzw_Monte_Carlo_bei_Strom[[#This Row],[Source.Name]],SEARCH("aus_der",Sensitivität_bzw_Monte_Carlo_bei_Strom[[#This Row],[Source.Name]],1))="Auszahlung_a","Auszahlung",""),"")</f>
        <v/>
      </c>
      <c r="D907" s="1"/>
    </row>
    <row r="908" spans="1:4" x14ac:dyDescent="0.3">
      <c r="A908" s="1"/>
      <c r="B908" s="1" t="str">
        <f>IFERROR(IF(LEFT(Sensitivität_bzw_Monte_Carlo_bei_Strom[[#This Row],[Source.Name]],SEARCH("aus_der",Sensitivität_bzw_Monte_Carlo_bei_Strom[[#This Row],[Source.Name]],1))="Auszahlung_a","Auszahlung",""),"")</f>
        <v/>
      </c>
      <c r="D908" s="1"/>
    </row>
    <row r="909" spans="1:4" x14ac:dyDescent="0.3">
      <c r="A909" s="1"/>
      <c r="B909" s="1" t="str">
        <f>IFERROR(IF(LEFT(Sensitivität_bzw_Monte_Carlo_bei_Strom[[#This Row],[Source.Name]],SEARCH("aus_der",Sensitivität_bzw_Monte_Carlo_bei_Strom[[#This Row],[Source.Name]],1))="Auszahlung_a","Auszahlung",""),"")</f>
        <v/>
      </c>
      <c r="D909" s="1"/>
    </row>
    <row r="910" spans="1:4" x14ac:dyDescent="0.3">
      <c r="A910" s="1"/>
      <c r="B910" s="1" t="str">
        <f>IFERROR(IF(LEFT(Sensitivität_bzw_Monte_Carlo_bei_Strom[[#This Row],[Source.Name]],SEARCH("aus_der",Sensitivität_bzw_Monte_Carlo_bei_Strom[[#This Row],[Source.Name]],1))="Auszahlung_a","Auszahlung",""),"")</f>
        <v/>
      </c>
      <c r="D910" s="1"/>
    </row>
    <row r="911" spans="1:4" x14ac:dyDescent="0.3">
      <c r="A911" s="1"/>
      <c r="B911" s="1" t="str">
        <f>IFERROR(IF(LEFT(Sensitivität_bzw_Monte_Carlo_bei_Strom[[#This Row],[Source.Name]],SEARCH("aus_der",Sensitivität_bzw_Monte_Carlo_bei_Strom[[#This Row],[Source.Name]],1))="Auszahlung_a","Auszahlung",""),"")</f>
        <v/>
      </c>
      <c r="D911" s="1"/>
    </row>
    <row r="912" spans="1:4" x14ac:dyDescent="0.3">
      <c r="A912" s="1"/>
      <c r="B912" s="1" t="str">
        <f>IFERROR(IF(LEFT(Sensitivität_bzw_Monte_Carlo_bei_Strom[[#This Row],[Source.Name]],SEARCH("aus_der",Sensitivität_bzw_Monte_Carlo_bei_Strom[[#This Row],[Source.Name]],1))="Auszahlung_a","Auszahlung",""),"")</f>
        <v/>
      </c>
      <c r="D912" s="1"/>
    </row>
    <row r="913" spans="1:4" x14ac:dyDescent="0.3">
      <c r="A913" s="1"/>
      <c r="B913" s="1" t="str">
        <f>IFERROR(IF(LEFT(Sensitivität_bzw_Monte_Carlo_bei_Strom[[#This Row],[Source.Name]],SEARCH("aus_der",Sensitivität_bzw_Monte_Carlo_bei_Strom[[#This Row],[Source.Name]],1))="Auszahlung_a","Auszahlung",""),"")</f>
        <v/>
      </c>
      <c r="D913" s="1"/>
    </row>
    <row r="914" spans="1:4" x14ac:dyDescent="0.3">
      <c r="A914" s="1"/>
      <c r="B914" s="1" t="str">
        <f>IFERROR(IF(LEFT(Sensitivität_bzw_Monte_Carlo_bei_Strom[[#This Row],[Source.Name]],SEARCH("aus_der",Sensitivität_bzw_Monte_Carlo_bei_Strom[[#This Row],[Source.Name]],1))="Auszahlung_a","Auszahlung",""),"")</f>
        <v/>
      </c>
      <c r="D914" s="1"/>
    </row>
    <row r="915" spans="1:4" x14ac:dyDescent="0.3">
      <c r="A915" s="1"/>
      <c r="B915" s="1" t="str">
        <f>IFERROR(IF(LEFT(Sensitivität_bzw_Monte_Carlo_bei_Strom[[#This Row],[Source.Name]],SEARCH("aus_der",Sensitivität_bzw_Monte_Carlo_bei_Strom[[#This Row],[Source.Name]],1))="Auszahlung_a","Auszahlung",""),"")</f>
        <v/>
      </c>
      <c r="D915" s="1"/>
    </row>
    <row r="916" spans="1:4" x14ac:dyDescent="0.3">
      <c r="A916" s="1"/>
      <c r="B916" s="1" t="str">
        <f>IFERROR(IF(LEFT(Sensitivität_bzw_Monte_Carlo_bei_Strom[[#This Row],[Source.Name]],SEARCH("aus_der",Sensitivität_bzw_Monte_Carlo_bei_Strom[[#This Row],[Source.Name]],1))="Auszahlung_a","Auszahlung",""),"")</f>
        <v/>
      </c>
      <c r="D916" s="1"/>
    </row>
    <row r="917" spans="1:4" x14ac:dyDescent="0.3">
      <c r="A917" s="1"/>
      <c r="B917" s="1" t="str">
        <f>IFERROR(IF(LEFT(Sensitivität_bzw_Monte_Carlo_bei_Strom[[#This Row],[Source.Name]],SEARCH("aus_der",Sensitivität_bzw_Monte_Carlo_bei_Strom[[#This Row],[Source.Name]],1))="Auszahlung_a","Auszahlung",""),"")</f>
        <v/>
      </c>
      <c r="D917" s="1"/>
    </row>
    <row r="918" spans="1:4" x14ac:dyDescent="0.3">
      <c r="A918" s="1"/>
      <c r="B918" s="1" t="str">
        <f>IFERROR(IF(LEFT(Sensitivität_bzw_Monte_Carlo_bei_Strom[[#This Row],[Source.Name]],SEARCH("aus_der",Sensitivität_bzw_Monte_Carlo_bei_Strom[[#This Row],[Source.Name]],1))="Auszahlung_a","Auszahlung",""),"")</f>
        <v/>
      </c>
      <c r="D918" s="1"/>
    </row>
    <row r="919" spans="1:4" x14ac:dyDescent="0.3">
      <c r="A919" s="1"/>
      <c r="B919" s="1" t="str">
        <f>IFERROR(IF(LEFT(Sensitivität_bzw_Monte_Carlo_bei_Strom[[#This Row],[Source.Name]],SEARCH("aus_der",Sensitivität_bzw_Monte_Carlo_bei_Strom[[#This Row],[Source.Name]],1))="Auszahlung_a","Auszahlung",""),"")</f>
        <v/>
      </c>
      <c r="D919" s="1"/>
    </row>
    <row r="920" spans="1:4" x14ac:dyDescent="0.3">
      <c r="A920" s="1"/>
      <c r="B920" s="1" t="str">
        <f>IFERROR(IF(LEFT(Sensitivität_bzw_Monte_Carlo_bei_Strom[[#This Row],[Source.Name]],SEARCH("aus_der",Sensitivität_bzw_Monte_Carlo_bei_Strom[[#This Row],[Source.Name]],1))="Auszahlung_a","Auszahlung",""),"")</f>
        <v/>
      </c>
      <c r="D920" s="1"/>
    </row>
    <row r="921" spans="1:4" x14ac:dyDescent="0.3">
      <c r="A921" s="1"/>
      <c r="B921" s="1" t="str">
        <f>IFERROR(IF(LEFT(Sensitivität_bzw_Monte_Carlo_bei_Strom[[#This Row],[Source.Name]],SEARCH("aus_der",Sensitivität_bzw_Monte_Carlo_bei_Strom[[#This Row],[Source.Name]],1))="Auszahlung_a","Auszahlung",""),"")</f>
        <v/>
      </c>
      <c r="D921" s="1"/>
    </row>
    <row r="922" spans="1:4" x14ac:dyDescent="0.3">
      <c r="A922" s="1"/>
      <c r="B922" s="1" t="str">
        <f>IFERROR(IF(LEFT(Sensitivität_bzw_Monte_Carlo_bei_Strom[[#This Row],[Source.Name]],SEARCH("aus_der",Sensitivität_bzw_Monte_Carlo_bei_Strom[[#This Row],[Source.Name]],1))="Auszahlung_a","Auszahlung",""),"")</f>
        <v/>
      </c>
      <c r="D922" s="1"/>
    </row>
    <row r="923" spans="1:4" x14ac:dyDescent="0.3">
      <c r="A923" s="1"/>
      <c r="B923" s="1" t="str">
        <f>IFERROR(IF(LEFT(Sensitivität_bzw_Monte_Carlo_bei_Strom[[#This Row],[Source.Name]],SEARCH("aus_der",Sensitivität_bzw_Monte_Carlo_bei_Strom[[#This Row],[Source.Name]],1))="Auszahlung_a","Auszahlung",""),"")</f>
        <v/>
      </c>
      <c r="D923" s="1"/>
    </row>
    <row r="924" spans="1:4" x14ac:dyDescent="0.3">
      <c r="A924" s="1"/>
      <c r="B924" s="1" t="str">
        <f>IFERROR(IF(LEFT(Sensitivität_bzw_Monte_Carlo_bei_Strom[[#This Row],[Source.Name]],SEARCH("aus_der",Sensitivität_bzw_Monte_Carlo_bei_Strom[[#This Row],[Source.Name]],1))="Auszahlung_a","Auszahlung",""),"")</f>
        <v/>
      </c>
      <c r="D924" s="1"/>
    </row>
    <row r="925" spans="1:4" x14ac:dyDescent="0.3">
      <c r="A925" s="1"/>
      <c r="B925" s="1" t="str">
        <f>IFERROR(IF(LEFT(Sensitivität_bzw_Monte_Carlo_bei_Strom[[#This Row],[Source.Name]],SEARCH("aus_der",Sensitivität_bzw_Monte_Carlo_bei_Strom[[#This Row],[Source.Name]],1))="Auszahlung_a","Auszahlung",""),"")</f>
        <v/>
      </c>
      <c r="D925" s="1"/>
    </row>
    <row r="926" spans="1:4" x14ac:dyDescent="0.3">
      <c r="A926" s="1"/>
      <c r="B926" s="1" t="str">
        <f>IFERROR(IF(LEFT(Sensitivität_bzw_Monte_Carlo_bei_Strom[[#This Row],[Source.Name]],SEARCH("aus_der",Sensitivität_bzw_Monte_Carlo_bei_Strom[[#This Row],[Source.Name]],1))="Auszahlung_a","Auszahlung",""),"")</f>
        <v/>
      </c>
      <c r="D926" s="1"/>
    </row>
    <row r="927" spans="1:4" x14ac:dyDescent="0.3">
      <c r="A927" s="1"/>
      <c r="B927" s="1" t="str">
        <f>IFERROR(IF(LEFT(Sensitivität_bzw_Monte_Carlo_bei_Strom[[#This Row],[Source.Name]],SEARCH("aus_der",Sensitivität_bzw_Monte_Carlo_bei_Strom[[#This Row],[Source.Name]],1))="Auszahlung_a","Auszahlung",""),"")</f>
        <v/>
      </c>
      <c r="D927" s="1"/>
    </row>
    <row r="928" spans="1:4" x14ac:dyDescent="0.3">
      <c r="A928" s="1"/>
      <c r="B928" s="1" t="str">
        <f>IFERROR(IF(LEFT(Sensitivität_bzw_Monte_Carlo_bei_Strom[[#This Row],[Source.Name]],SEARCH("aus_der",Sensitivität_bzw_Monte_Carlo_bei_Strom[[#This Row],[Source.Name]],1))="Auszahlung_a","Auszahlung",""),"")</f>
        <v/>
      </c>
      <c r="D928" s="1"/>
    </row>
    <row r="929" spans="1:4" x14ac:dyDescent="0.3">
      <c r="A929" s="1"/>
      <c r="B929" s="1" t="str">
        <f>IFERROR(IF(LEFT(Sensitivität_bzw_Monte_Carlo_bei_Strom[[#This Row],[Source.Name]],SEARCH("aus_der",Sensitivität_bzw_Monte_Carlo_bei_Strom[[#This Row],[Source.Name]],1))="Auszahlung_a","Auszahlung",""),"")</f>
        <v/>
      </c>
      <c r="D929" s="1"/>
    </row>
    <row r="930" spans="1:4" x14ac:dyDescent="0.3">
      <c r="A930" s="1"/>
      <c r="B930" s="1" t="str">
        <f>IFERROR(IF(LEFT(Sensitivität_bzw_Monte_Carlo_bei_Strom[[#This Row],[Source.Name]],SEARCH("aus_der",Sensitivität_bzw_Monte_Carlo_bei_Strom[[#This Row],[Source.Name]],1))="Auszahlung_a","Auszahlung",""),"")</f>
        <v/>
      </c>
      <c r="D930" s="1"/>
    </row>
    <row r="931" spans="1:4" x14ac:dyDescent="0.3">
      <c r="A931" s="1"/>
      <c r="B931" s="1" t="str">
        <f>IFERROR(IF(LEFT(Sensitivität_bzw_Monte_Carlo_bei_Strom[[#This Row],[Source.Name]],SEARCH("aus_der",Sensitivität_bzw_Monte_Carlo_bei_Strom[[#This Row],[Source.Name]],1))="Auszahlung_a","Auszahlung",""),"")</f>
        <v/>
      </c>
      <c r="D931" s="1"/>
    </row>
    <row r="932" spans="1:4" x14ac:dyDescent="0.3">
      <c r="A932" s="1"/>
      <c r="B932" s="1" t="str">
        <f>IFERROR(IF(LEFT(Sensitivität_bzw_Monte_Carlo_bei_Strom[[#This Row],[Source.Name]],SEARCH("aus_der",Sensitivität_bzw_Monte_Carlo_bei_Strom[[#This Row],[Source.Name]],1))="Auszahlung_a","Auszahlung",""),"")</f>
        <v/>
      </c>
      <c r="D932" s="1"/>
    </row>
    <row r="933" spans="1:4" x14ac:dyDescent="0.3">
      <c r="A933" s="1"/>
      <c r="B933" s="1" t="str">
        <f>IFERROR(IF(LEFT(Sensitivität_bzw_Monte_Carlo_bei_Strom[[#This Row],[Source.Name]],SEARCH("aus_der",Sensitivität_bzw_Monte_Carlo_bei_Strom[[#This Row],[Source.Name]],1))="Auszahlung_a","Auszahlung",""),"")</f>
        <v/>
      </c>
      <c r="D933" s="1"/>
    </row>
    <row r="934" spans="1:4" x14ac:dyDescent="0.3">
      <c r="A934" s="1"/>
      <c r="B934" s="1" t="str">
        <f>IFERROR(IF(LEFT(Sensitivität_bzw_Monte_Carlo_bei_Strom[[#This Row],[Source.Name]],SEARCH("aus_der",Sensitivität_bzw_Monte_Carlo_bei_Strom[[#This Row],[Source.Name]],1))="Auszahlung_a","Auszahlung",""),"")</f>
        <v/>
      </c>
      <c r="D934" s="1"/>
    </row>
    <row r="935" spans="1:4" x14ac:dyDescent="0.3">
      <c r="A935" s="1"/>
      <c r="B935" s="1" t="str">
        <f>IFERROR(IF(LEFT(Sensitivität_bzw_Monte_Carlo_bei_Strom[[#This Row],[Source.Name]],SEARCH("aus_der",Sensitivität_bzw_Monte_Carlo_bei_Strom[[#This Row],[Source.Name]],1))="Auszahlung_a","Auszahlung",""),"")</f>
        <v/>
      </c>
      <c r="D935" s="1"/>
    </row>
    <row r="936" spans="1:4" x14ac:dyDescent="0.3">
      <c r="A936" s="1"/>
      <c r="B936" s="1" t="str">
        <f>IFERROR(IF(LEFT(Sensitivität_bzw_Monte_Carlo_bei_Strom[[#This Row],[Source.Name]],SEARCH("aus_der",Sensitivität_bzw_Monte_Carlo_bei_Strom[[#This Row],[Source.Name]],1))="Auszahlung_a","Auszahlung",""),"")</f>
        <v/>
      </c>
      <c r="D936" s="1"/>
    </row>
    <row r="937" spans="1:4" x14ac:dyDescent="0.3">
      <c r="A937" s="1"/>
      <c r="B937" s="1" t="str">
        <f>IFERROR(IF(LEFT(Sensitivität_bzw_Monte_Carlo_bei_Strom[[#This Row],[Source.Name]],SEARCH("aus_der",Sensitivität_bzw_Monte_Carlo_bei_Strom[[#This Row],[Source.Name]],1))="Auszahlung_a","Auszahlung",""),"")</f>
        <v/>
      </c>
      <c r="D937" s="1"/>
    </row>
    <row r="938" spans="1:4" x14ac:dyDescent="0.3">
      <c r="A938" s="1"/>
      <c r="B938" s="1" t="str">
        <f>IFERROR(IF(LEFT(Sensitivität_bzw_Monte_Carlo_bei_Strom[[#This Row],[Source.Name]],SEARCH("aus_der",Sensitivität_bzw_Monte_Carlo_bei_Strom[[#This Row],[Source.Name]],1))="Auszahlung_a","Auszahlung",""),"")</f>
        <v/>
      </c>
      <c r="D938" s="1"/>
    </row>
    <row r="939" spans="1:4" x14ac:dyDescent="0.3">
      <c r="A939" s="1"/>
      <c r="B939" s="1" t="str">
        <f>IFERROR(IF(LEFT(Sensitivität_bzw_Monte_Carlo_bei_Strom[[#This Row],[Source.Name]],SEARCH("aus_der",Sensitivität_bzw_Monte_Carlo_bei_Strom[[#This Row],[Source.Name]],1))="Auszahlung_a","Auszahlung",""),"")</f>
        <v/>
      </c>
      <c r="D939" s="1"/>
    </row>
    <row r="940" spans="1:4" x14ac:dyDescent="0.3">
      <c r="A940" s="1"/>
      <c r="B940" s="1" t="str">
        <f>IFERROR(IF(LEFT(Sensitivität_bzw_Monte_Carlo_bei_Strom[[#This Row],[Source.Name]],SEARCH("aus_der",Sensitivität_bzw_Monte_Carlo_bei_Strom[[#This Row],[Source.Name]],1))="Auszahlung_a","Auszahlung",""),"")</f>
        <v/>
      </c>
      <c r="D940" s="1"/>
    </row>
    <row r="941" spans="1:4" x14ac:dyDescent="0.3">
      <c r="A941" s="1"/>
      <c r="B941" s="1" t="str">
        <f>IFERROR(IF(LEFT(Sensitivität_bzw_Monte_Carlo_bei_Strom[[#This Row],[Source.Name]],SEARCH("aus_der",Sensitivität_bzw_Monte_Carlo_bei_Strom[[#This Row],[Source.Name]],1))="Auszahlung_a","Auszahlung",""),"")</f>
        <v/>
      </c>
      <c r="D941" s="1"/>
    </row>
    <row r="942" spans="1:4" x14ac:dyDescent="0.3">
      <c r="A942" s="1"/>
      <c r="B942" s="1" t="str">
        <f>IFERROR(IF(LEFT(Sensitivität_bzw_Monte_Carlo_bei_Strom[[#This Row],[Source.Name]],SEARCH("aus_der",Sensitivität_bzw_Monte_Carlo_bei_Strom[[#This Row],[Source.Name]],1))="Auszahlung_a","Auszahlung",""),"")</f>
        <v/>
      </c>
      <c r="D942" s="1"/>
    </row>
    <row r="943" spans="1:4" x14ac:dyDescent="0.3">
      <c r="A943" s="1"/>
      <c r="B943" s="1" t="str">
        <f>IFERROR(IF(LEFT(Sensitivität_bzw_Monte_Carlo_bei_Strom[[#This Row],[Source.Name]],SEARCH("aus_der",Sensitivität_bzw_Monte_Carlo_bei_Strom[[#This Row],[Source.Name]],1))="Auszahlung_a","Auszahlung",""),"")</f>
        <v/>
      </c>
      <c r="D943" s="1"/>
    </row>
    <row r="944" spans="1:4" x14ac:dyDescent="0.3">
      <c r="A944" s="1"/>
      <c r="B944" s="1" t="str">
        <f>IFERROR(IF(LEFT(Sensitivität_bzw_Monte_Carlo_bei_Strom[[#This Row],[Source.Name]],SEARCH("aus_der",Sensitivität_bzw_Monte_Carlo_bei_Strom[[#This Row],[Source.Name]],1))="Auszahlung_a","Auszahlung",""),"")</f>
        <v/>
      </c>
      <c r="D944" s="1"/>
    </row>
    <row r="945" spans="1:4" x14ac:dyDescent="0.3">
      <c r="A945" s="1"/>
      <c r="B945" s="1" t="str">
        <f>IFERROR(IF(LEFT(Sensitivität_bzw_Monte_Carlo_bei_Strom[[#This Row],[Source.Name]],SEARCH("aus_der",Sensitivität_bzw_Monte_Carlo_bei_Strom[[#This Row],[Source.Name]],1))="Auszahlung_a","Auszahlung",""),"")</f>
        <v/>
      </c>
      <c r="D945" s="1"/>
    </row>
    <row r="946" spans="1:4" x14ac:dyDescent="0.3">
      <c r="A946" s="1"/>
      <c r="B946" s="1" t="str">
        <f>IFERROR(IF(LEFT(Sensitivität_bzw_Monte_Carlo_bei_Strom[[#This Row],[Source.Name]],SEARCH("aus_der",Sensitivität_bzw_Monte_Carlo_bei_Strom[[#This Row],[Source.Name]],1))="Auszahlung_a","Auszahlung",""),"")</f>
        <v/>
      </c>
      <c r="D946" s="1"/>
    </row>
    <row r="947" spans="1:4" x14ac:dyDescent="0.3">
      <c r="A947" s="1"/>
      <c r="B947" s="1" t="str">
        <f>IFERROR(IF(LEFT(Sensitivität_bzw_Monte_Carlo_bei_Strom[[#This Row],[Source.Name]],SEARCH("aus_der",Sensitivität_bzw_Monte_Carlo_bei_Strom[[#This Row],[Source.Name]],1))="Auszahlung_a","Auszahlung",""),"")</f>
        <v/>
      </c>
      <c r="D947" s="1"/>
    </row>
    <row r="948" spans="1:4" x14ac:dyDescent="0.3">
      <c r="A948" s="1"/>
      <c r="B948" s="1" t="str">
        <f>IFERROR(IF(LEFT(Sensitivität_bzw_Monte_Carlo_bei_Strom[[#This Row],[Source.Name]],SEARCH("aus_der",Sensitivität_bzw_Monte_Carlo_bei_Strom[[#This Row],[Source.Name]],1))="Auszahlung_a","Auszahlung",""),"")</f>
        <v/>
      </c>
      <c r="D948" s="1"/>
    </row>
    <row r="949" spans="1:4" x14ac:dyDescent="0.3">
      <c r="A949" s="1"/>
      <c r="B949" s="1" t="str">
        <f>IFERROR(IF(LEFT(Sensitivität_bzw_Monte_Carlo_bei_Strom[[#This Row],[Source.Name]],SEARCH("aus_der",Sensitivität_bzw_Monte_Carlo_bei_Strom[[#This Row],[Source.Name]],1))="Auszahlung_a","Auszahlung",""),"")</f>
        <v/>
      </c>
      <c r="D949" s="1"/>
    </row>
    <row r="950" spans="1:4" x14ac:dyDescent="0.3">
      <c r="A950" s="1"/>
      <c r="B950" s="1" t="str">
        <f>IFERROR(IF(LEFT(Sensitivität_bzw_Monte_Carlo_bei_Strom[[#This Row],[Source.Name]],SEARCH("aus_der",Sensitivität_bzw_Monte_Carlo_bei_Strom[[#This Row],[Source.Name]],1))="Auszahlung_a","Auszahlung",""),"")</f>
        <v/>
      </c>
      <c r="D950" s="1"/>
    </row>
    <row r="951" spans="1:4" x14ac:dyDescent="0.3">
      <c r="A951" s="1"/>
      <c r="B951" s="1" t="str">
        <f>IFERROR(IF(LEFT(Sensitivität_bzw_Monte_Carlo_bei_Strom[[#This Row],[Source.Name]],SEARCH("aus_der",Sensitivität_bzw_Monte_Carlo_bei_Strom[[#This Row],[Source.Name]],1))="Auszahlung_a","Auszahlung",""),"")</f>
        <v/>
      </c>
      <c r="D951" s="1"/>
    </row>
    <row r="952" spans="1:4" x14ac:dyDescent="0.3">
      <c r="A952" s="1"/>
      <c r="B952" s="1" t="str">
        <f>IFERROR(IF(LEFT(Sensitivität_bzw_Monte_Carlo_bei_Strom[[#This Row],[Source.Name]],SEARCH("aus_der",Sensitivität_bzw_Monte_Carlo_bei_Strom[[#This Row],[Source.Name]],1))="Auszahlung_a","Auszahlung",""),"")</f>
        <v/>
      </c>
      <c r="D952" s="1"/>
    </row>
    <row r="953" spans="1:4" x14ac:dyDescent="0.3">
      <c r="A953" s="1"/>
      <c r="B953" s="1" t="str">
        <f>IFERROR(IF(LEFT(Sensitivität_bzw_Monte_Carlo_bei_Strom[[#This Row],[Source.Name]],SEARCH("aus_der",Sensitivität_bzw_Monte_Carlo_bei_Strom[[#This Row],[Source.Name]],1))="Auszahlung_a","Auszahlung",""),"")</f>
        <v/>
      </c>
      <c r="D953" s="1"/>
    </row>
    <row r="954" spans="1:4" x14ac:dyDescent="0.3">
      <c r="A954" s="1"/>
      <c r="B954" s="1" t="str">
        <f>IFERROR(IF(LEFT(Sensitivität_bzw_Monte_Carlo_bei_Strom[[#This Row],[Source.Name]],SEARCH("aus_der",Sensitivität_bzw_Monte_Carlo_bei_Strom[[#This Row],[Source.Name]],1))="Auszahlung_a","Auszahlung",""),"")</f>
        <v/>
      </c>
      <c r="D954" s="1"/>
    </row>
    <row r="955" spans="1:4" x14ac:dyDescent="0.3">
      <c r="A955" s="1"/>
      <c r="B955" s="1" t="str">
        <f>IFERROR(IF(LEFT(Sensitivität_bzw_Monte_Carlo_bei_Strom[[#This Row],[Source.Name]],SEARCH("aus_der",Sensitivität_bzw_Monte_Carlo_bei_Strom[[#This Row],[Source.Name]],1))="Auszahlung_a","Auszahlung",""),"")</f>
        <v/>
      </c>
      <c r="D955" s="1"/>
    </row>
    <row r="956" spans="1:4" x14ac:dyDescent="0.3">
      <c r="A956" s="1"/>
      <c r="B956" s="1" t="str">
        <f>IFERROR(IF(LEFT(Sensitivität_bzw_Monte_Carlo_bei_Strom[[#This Row],[Source.Name]],SEARCH("aus_der",Sensitivität_bzw_Monte_Carlo_bei_Strom[[#This Row],[Source.Name]],1))="Auszahlung_a","Auszahlung",""),"")</f>
        <v/>
      </c>
      <c r="D956" s="1"/>
    </row>
    <row r="957" spans="1:4" x14ac:dyDescent="0.3">
      <c r="A957" s="1"/>
      <c r="B957" s="1" t="str">
        <f>IFERROR(IF(LEFT(Sensitivität_bzw_Monte_Carlo_bei_Strom[[#This Row],[Source.Name]],SEARCH("aus_der",Sensitivität_bzw_Monte_Carlo_bei_Strom[[#This Row],[Source.Name]],1))="Auszahlung_a","Auszahlung",""),"")</f>
        <v/>
      </c>
      <c r="D957" s="1"/>
    </row>
    <row r="958" spans="1:4" x14ac:dyDescent="0.3">
      <c r="A958" s="1"/>
      <c r="B958" s="1" t="str">
        <f>IFERROR(IF(LEFT(Sensitivität_bzw_Monte_Carlo_bei_Strom[[#This Row],[Source.Name]],SEARCH("aus_der",Sensitivität_bzw_Monte_Carlo_bei_Strom[[#This Row],[Source.Name]],1))="Auszahlung_a","Auszahlung",""),"")</f>
        <v/>
      </c>
      <c r="D958" s="1"/>
    </row>
    <row r="959" spans="1:4" x14ac:dyDescent="0.3">
      <c r="A959" s="1"/>
      <c r="B959" s="1" t="str">
        <f>IFERROR(IF(LEFT(Sensitivität_bzw_Monte_Carlo_bei_Strom[[#This Row],[Source.Name]],SEARCH("aus_der",Sensitivität_bzw_Monte_Carlo_bei_Strom[[#This Row],[Source.Name]],1))="Auszahlung_a","Auszahlung",""),"")</f>
        <v/>
      </c>
      <c r="D959" s="1"/>
    </row>
    <row r="960" spans="1:4" x14ac:dyDescent="0.3">
      <c r="A960" s="1"/>
      <c r="B960" s="1" t="str">
        <f>IFERROR(IF(LEFT(Sensitivität_bzw_Monte_Carlo_bei_Strom[[#This Row],[Source.Name]],SEARCH("aus_der",Sensitivität_bzw_Monte_Carlo_bei_Strom[[#This Row],[Source.Name]],1))="Auszahlung_a","Auszahlung",""),"")</f>
        <v/>
      </c>
      <c r="D960" s="1"/>
    </row>
    <row r="961" spans="1:4" x14ac:dyDescent="0.3">
      <c r="A961" s="1"/>
      <c r="B961" s="1" t="str">
        <f>IFERROR(IF(LEFT(Sensitivität_bzw_Monte_Carlo_bei_Strom[[#This Row],[Source.Name]],SEARCH("aus_der",Sensitivität_bzw_Monte_Carlo_bei_Strom[[#This Row],[Source.Name]],1))="Auszahlung_a","Auszahlung",""),"")</f>
        <v/>
      </c>
      <c r="D961" s="1"/>
    </row>
    <row r="962" spans="1:4" x14ac:dyDescent="0.3">
      <c r="A962" s="1"/>
      <c r="B962" s="1" t="str">
        <f>IFERROR(IF(LEFT(Sensitivität_bzw_Monte_Carlo_bei_Strom[[#This Row],[Source.Name]],SEARCH("aus_der",Sensitivität_bzw_Monte_Carlo_bei_Strom[[#This Row],[Source.Name]],1))="Auszahlung_a","Auszahlung",""),"")</f>
        <v/>
      </c>
      <c r="D962" s="1"/>
    </row>
    <row r="963" spans="1:4" x14ac:dyDescent="0.3">
      <c r="A963" s="1"/>
      <c r="B963" s="1" t="str">
        <f>IFERROR(IF(LEFT(Sensitivität_bzw_Monte_Carlo_bei_Strom[[#This Row],[Source.Name]],SEARCH("aus_der",Sensitivität_bzw_Monte_Carlo_bei_Strom[[#This Row],[Source.Name]],1))="Auszahlung_a","Auszahlung",""),"")</f>
        <v/>
      </c>
      <c r="D963" s="1"/>
    </row>
    <row r="964" spans="1:4" x14ac:dyDescent="0.3">
      <c r="A964" s="1"/>
      <c r="B964" s="1" t="str">
        <f>IFERROR(IF(LEFT(Sensitivität_bzw_Monte_Carlo_bei_Strom[[#This Row],[Source.Name]],SEARCH("aus_der",Sensitivität_bzw_Monte_Carlo_bei_Strom[[#This Row],[Source.Name]],1))="Auszahlung_a","Auszahlung",""),"")</f>
        <v/>
      </c>
      <c r="D964" s="1"/>
    </row>
    <row r="965" spans="1:4" x14ac:dyDescent="0.3">
      <c r="A965" s="1"/>
      <c r="B965" s="1" t="str">
        <f>IFERROR(IF(LEFT(Sensitivität_bzw_Monte_Carlo_bei_Strom[[#This Row],[Source.Name]],SEARCH("aus_der",Sensitivität_bzw_Monte_Carlo_bei_Strom[[#This Row],[Source.Name]],1))="Auszahlung_a","Auszahlung",""),"")</f>
        <v/>
      </c>
      <c r="D965" s="1"/>
    </row>
    <row r="966" spans="1:4" x14ac:dyDescent="0.3">
      <c r="A966" s="1"/>
      <c r="B966" s="1" t="str">
        <f>IFERROR(IF(LEFT(Sensitivität_bzw_Monte_Carlo_bei_Strom[[#This Row],[Source.Name]],SEARCH("aus_der",Sensitivität_bzw_Monte_Carlo_bei_Strom[[#This Row],[Source.Name]],1))="Auszahlung_a","Auszahlung",""),"")</f>
        <v/>
      </c>
      <c r="D966" s="1"/>
    </row>
    <row r="967" spans="1:4" x14ac:dyDescent="0.3">
      <c r="A967" s="1"/>
      <c r="B967" s="1" t="str">
        <f>IFERROR(IF(LEFT(Sensitivität_bzw_Monte_Carlo_bei_Strom[[#This Row],[Source.Name]],SEARCH("aus_der",Sensitivität_bzw_Monte_Carlo_bei_Strom[[#This Row],[Source.Name]],1))="Auszahlung_a","Auszahlung",""),"")</f>
        <v/>
      </c>
      <c r="D967" s="1"/>
    </row>
    <row r="968" spans="1:4" x14ac:dyDescent="0.3">
      <c r="A968" s="1"/>
      <c r="B968" s="1" t="str">
        <f>IFERROR(IF(LEFT(Sensitivität_bzw_Monte_Carlo_bei_Strom[[#This Row],[Source.Name]],SEARCH("aus_der",Sensitivität_bzw_Monte_Carlo_bei_Strom[[#This Row],[Source.Name]],1))="Auszahlung_a","Auszahlung",""),"")</f>
        <v/>
      </c>
      <c r="D968" s="1"/>
    </row>
    <row r="969" spans="1:4" x14ac:dyDescent="0.3">
      <c r="A969" s="1"/>
      <c r="B969" s="1" t="str">
        <f>IFERROR(IF(LEFT(Sensitivität_bzw_Monte_Carlo_bei_Strom[[#This Row],[Source.Name]],SEARCH("aus_der",Sensitivität_bzw_Monte_Carlo_bei_Strom[[#This Row],[Source.Name]],1))="Auszahlung_a","Auszahlung",""),"")</f>
        <v/>
      </c>
      <c r="D969" s="1"/>
    </row>
    <row r="970" spans="1:4" x14ac:dyDescent="0.3">
      <c r="A970" s="1"/>
      <c r="B970" s="1" t="str">
        <f>IFERROR(IF(LEFT(Sensitivität_bzw_Monte_Carlo_bei_Strom[[#This Row],[Source.Name]],SEARCH("aus_der",Sensitivität_bzw_Monte_Carlo_bei_Strom[[#This Row],[Source.Name]],1))="Auszahlung_a","Auszahlung",""),"")</f>
        <v/>
      </c>
      <c r="D970" s="1"/>
    </row>
    <row r="971" spans="1:4" x14ac:dyDescent="0.3">
      <c r="A971" s="1"/>
      <c r="B971" s="1" t="str">
        <f>IFERROR(IF(LEFT(Sensitivität_bzw_Monte_Carlo_bei_Strom[[#This Row],[Source.Name]],SEARCH("aus_der",Sensitivität_bzw_Monte_Carlo_bei_Strom[[#This Row],[Source.Name]],1))="Auszahlung_a","Auszahlung",""),"")</f>
        <v/>
      </c>
      <c r="D971" s="1"/>
    </row>
    <row r="972" spans="1:4" x14ac:dyDescent="0.3">
      <c r="A972" s="1"/>
      <c r="B972" s="1" t="str">
        <f>IFERROR(IF(LEFT(Sensitivität_bzw_Monte_Carlo_bei_Strom[[#This Row],[Source.Name]],SEARCH("aus_der",Sensitivität_bzw_Monte_Carlo_bei_Strom[[#This Row],[Source.Name]],1))="Auszahlung_a","Auszahlung",""),"")</f>
        <v/>
      </c>
      <c r="D972" s="1"/>
    </row>
    <row r="973" spans="1:4" x14ac:dyDescent="0.3">
      <c r="A973" s="1"/>
      <c r="B973" s="1" t="str">
        <f>IFERROR(IF(LEFT(Sensitivität_bzw_Monte_Carlo_bei_Strom[[#This Row],[Source.Name]],SEARCH("aus_der",Sensitivität_bzw_Monte_Carlo_bei_Strom[[#This Row],[Source.Name]],1))="Auszahlung_a","Auszahlung",""),"")</f>
        <v/>
      </c>
      <c r="D973" s="1"/>
    </row>
    <row r="974" spans="1:4" x14ac:dyDescent="0.3">
      <c r="A974" s="1"/>
      <c r="B974" s="1" t="str">
        <f>IFERROR(IF(LEFT(Sensitivität_bzw_Monte_Carlo_bei_Strom[[#This Row],[Source.Name]],SEARCH("aus_der",Sensitivität_bzw_Monte_Carlo_bei_Strom[[#This Row],[Source.Name]],1))="Auszahlung_a","Auszahlung",""),"")</f>
        <v/>
      </c>
      <c r="D974" s="1"/>
    </row>
    <row r="975" spans="1:4" x14ac:dyDescent="0.3">
      <c r="A975" s="1"/>
      <c r="B975" s="1" t="str">
        <f>IFERROR(IF(LEFT(Sensitivität_bzw_Monte_Carlo_bei_Strom[[#This Row],[Source.Name]],SEARCH("aus_der",Sensitivität_bzw_Monte_Carlo_bei_Strom[[#This Row],[Source.Name]],1))="Auszahlung_a","Auszahlung",""),"")</f>
        <v/>
      </c>
      <c r="D975" s="1"/>
    </row>
    <row r="976" spans="1:4" x14ac:dyDescent="0.3">
      <c r="A976" s="1"/>
      <c r="B976" s="1" t="str">
        <f>IFERROR(IF(LEFT(Sensitivität_bzw_Monte_Carlo_bei_Strom[[#This Row],[Source.Name]],SEARCH("aus_der",Sensitivität_bzw_Monte_Carlo_bei_Strom[[#This Row],[Source.Name]],1))="Auszahlung_a","Auszahlung",""),"")</f>
        <v/>
      </c>
      <c r="D976" s="1"/>
    </row>
    <row r="977" spans="1:4" x14ac:dyDescent="0.3">
      <c r="A977" s="1"/>
      <c r="B977" s="1" t="str">
        <f>IFERROR(IF(LEFT(Sensitivität_bzw_Monte_Carlo_bei_Strom[[#This Row],[Source.Name]],SEARCH("aus_der",Sensitivität_bzw_Monte_Carlo_bei_Strom[[#This Row],[Source.Name]],1))="Auszahlung_a","Auszahlung",""),"")</f>
        <v/>
      </c>
      <c r="D977" s="1"/>
    </row>
    <row r="978" spans="1:4" x14ac:dyDescent="0.3">
      <c r="A978" s="1"/>
      <c r="B978" s="1" t="str">
        <f>IFERROR(IF(LEFT(Sensitivität_bzw_Monte_Carlo_bei_Strom[[#This Row],[Source.Name]],SEARCH("aus_der",Sensitivität_bzw_Monte_Carlo_bei_Strom[[#This Row],[Source.Name]],1))="Auszahlung_a","Auszahlung",""),"")</f>
        <v/>
      </c>
      <c r="D978" s="1"/>
    </row>
    <row r="979" spans="1:4" x14ac:dyDescent="0.3">
      <c r="A979" s="1"/>
      <c r="B979" s="1" t="str">
        <f>IFERROR(IF(LEFT(Sensitivität_bzw_Monte_Carlo_bei_Strom[[#This Row],[Source.Name]],SEARCH("aus_der",Sensitivität_bzw_Monte_Carlo_bei_Strom[[#This Row],[Source.Name]],1))="Auszahlung_a","Auszahlung",""),"")</f>
        <v/>
      </c>
      <c r="D979" s="1"/>
    </row>
    <row r="980" spans="1:4" x14ac:dyDescent="0.3">
      <c r="A980" s="1"/>
      <c r="B980" s="1" t="str">
        <f>IFERROR(IF(LEFT(Sensitivität_bzw_Monte_Carlo_bei_Strom[[#This Row],[Source.Name]],SEARCH("aus_der",Sensitivität_bzw_Monte_Carlo_bei_Strom[[#This Row],[Source.Name]],1))="Auszahlung_a","Auszahlung",""),"")</f>
        <v/>
      </c>
      <c r="D980" s="1"/>
    </row>
    <row r="981" spans="1:4" x14ac:dyDescent="0.3">
      <c r="A981" s="1"/>
      <c r="B981" s="1" t="str">
        <f>IFERROR(IF(LEFT(Sensitivität_bzw_Monte_Carlo_bei_Strom[[#This Row],[Source.Name]],SEARCH("aus_der",Sensitivität_bzw_Monte_Carlo_bei_Strom[[#This Row],[Source.Name]],1))="Auszahlung_a","Auszahlung",""),"")</f>
        <v/>
      </c>
      <c r="D981" s="1"/>
    </row>
    <row r="982" spans="1:4" x14ac:dyDescent="0.3">
      <c r="A982" s="1"/>
      <c r="B982" s="1" t="str">
        <f>IFERROR(IF(LEFT(Sensitivität_bzw_Monte_Carlo_bei_Strom[[#This Row],[Source.Name]],SEARCH("aus_der",Sensitivität_bzw_Monte_Carlo_bei_Strom[[#This Row],[Source.Name]],1))="Auszahlung_a","Auszahlung",""),"")</f>
        <v/>
      </c>
      <c r="D982" s="1"/>
    </row>
    <row r="983" spans="1:4" x14ac:dyDescent="0.3">
      <c r="A983" s="1"/>
      <c r="B983" s="1" t="str">
        <f>IFERROR(IF(LEFT(Sensitivität_bzw_Monte_Carlo_bei_Strom[[#This Row],[Source.Name]],SEARCH("aus_der",Sensitivität_bzw_Monte_Carlo_bei_Strom[[#This Row],[Source.Name]],1))="Auszahlung_a","Auszahlung",""),"")</f>
        <v/>
      </c>
      <c r="D983" s="1"/>
    </row>
    <row r="984" spans="1:4" x14ac:dyDescent="0.3">
      <c r="A984" s="1"/>
      <c r="B984" s="1" t="str">
        <f>IFERROR(IF(LEFT(Sensitivität_bzw_Monte_Carlo_bei_Strom[[#This Row],[Source.Name]],SEARCH("aus_der",Sensitivität_bzw_Monte_Carlo_bei_Strom[[#This Row],[Source.Name]],1))="Auszahlung_a","Auszahlung",""),"")</f>
        <v/>
      </c>
      <c r="D984" s="1"/>
    </row>
    <row r="985" spans="1:4" x14ac:dyDescent="0.3">
      <c r="A985" s="1"/>
      <c r="B985" s="1" t="str">
        <f>IFERROR(IF(LEFT(Sensitivität_bzw_Monte_Carlo_bei_Strom[[#This Row],[Source.Name]],SEARCH("aus_der",Sensitivität_bzw_Monte_Carlo_bei_Strom[[#This Row],[Source.Name]],1))="Auszahlung_a","Auszahlung",""),"")</f>
        <v/>
      </c>
      <c r="D985" s="1"/>
    </row>
    <row r="986" spans="1:4" x14ac:dyDescent="0.3">
      <c r="A986" s="1"/>
      <c r="B986" s="1" t="str">
        <f>IFERROR(IF(LEFT(Sensitivität_bzw_Monte_Carlo_bei_Strom[[#This Row],[Source.Name]],SEARCH("aus_der",Sensitivität_bzw_Monte_Carlo_bei_Strom[[#This Row],[Source.Name]],1))="Auszahlung_a","Auszahlung",""),"")</f>
        <v/>
      </c>
      <c r="D986" s="1"/>
    </row>
    <row r="987" spans="1:4" x14ac:dyDescent="0.3">
      <c r="A987" s="1"/>
      <c r="B987" s="1" t="str">
        <f>IFERROR(IF(LEFT(Sensitivität_bzw_Monte_Carlo_bei_Strom[[#This Row],[Source.Name]],SEARCH("aus_der",Sensitivität_bzw_Monte_Carlo_bei_Strom[[#This Row],[Source.Name]],1))="Auszahlung_a","Auszahlung",""),"")</f>
        <v/>
      </c>
      <c r="D987" s="1"/>
    </row>
    <row r="988" spans="1:4" x14ac:dyDescent="0.3">
      <c r="A988" s="1"/>
      <c r="B988" s="1" t="str">
        <f>IFERROR(IF(LEFT(Sensitivität_bzw_Monte_Carlo_bei_Strom[[#This Row],[Source.Name]],SEARCH("aus_der",Sensitivität_bzw_Monte_Carlo_bei_Strom[[#This Row],[Source.Name]],1))="Auszahlung_a","Auszahlung",""),"")</f>
        <v/>
      </c>
      <c r="D988" s="1"/>
    </row>
    <row r="989" spans="1:4" x14ac:dyDescent="0.3">
      <c r="A989" s="1"/>
      <c r="B989" s="1" t="str">
        <f>IFERROR(IF(LEFT(Sensitivität_bzw_Monte_Carlo_bei_Strom[[#This Row],[Source.Name]],SEARCH("aus_der",Sensitivität_bzw_Monte_Carlo_bei_Strom[[#This Row],[Source.Name]],1))="Auszahlung_a","Auszahlung",""),"")</f>
        <v/>
      </c>
      <c r="D989" s="1"/>
    </row>
    <row r="990" spans="1:4" x14ac:dyDescent="0.3">
      <c r="A990" s="1"/>
      <c r="B990" s="1" t="str">
        <f>IFERROR(IF(LEFT(Sensitivität_bzw_Monte_Carlo_bei_Strom[[#This Row],[Source.Name]],SEARCH("aus_der",Sensitivität_bzw_Monte_Carlo_bei_Strom[[#This Row],[Source.Name]],1))="Auszahlung_a","Auszahlung",""),"")</f>
        <v/>
      </c>
      <c r="D990" s="1"/>
    </row>
    <row r="991" spans="1:4" x14ac:dyDescent="0.3">
      <c r="A991" s="1"/>
      <c r="B991" s="1" t="str">
        <f>IFERROR(IF(LEFT(Sensitivität_bzw_Monte_Carlo_bei_Strom[[#This Row],[Source.Name]],SEARCH("aus_der",Sensitivität_bzw_Monte_Carlo_bei_Strom[[#This Row],[Source.Name]],1))="Auszahlung_a","Auszahlung",""),"")</f>
        <v/>
      </c>
      <c r="D991" s="1"/>
    </row>
    <row r="992" spans="1:4" x14ac:dyDescent="0.3">
      <c r="A992" s="1"/>
      <c r="B992" s="1" t="str">
        <f>IFERROR(IF(LEFT(Sensitivität_bzw_Monte_Carlo_bei_Strom[[#This Row],[Source.Name]],SEARCH("aus_der",Sensitivität_bzw_Monte_Carlo_bei_Strom[[#This Row],[Source.Name]],1))="Auszahlung_a","Auszahlung",""),"")</f>
        <v/>
      </c>
      <c r="D992" s="1"/>
    </row>
    <row r="993" spans="1:4" x14ac:dyDescent="0.3">
      <c r="A993" s="1"/>
      <c r="B993" s="1" t="str">
        <f>IFERROR(IF(LEFT(Sensitivität_bzw_Monte_Carlo_bei_Strom[[#This Row],[Source.Name]],SEARCH("aus_der",Sensitivität_bzw_Monte_Carlo_bei_Strom[[#This Row],[Source.Name]],1))="Auszahlung_a","Auszahlung",""),"")</f>
        <v/>
      </c>
      <c r="D993" s="1"/>
    </row>
    <row r="994" spans="1:4" x14ac:dyDescent="0.3">
      <c r="A994" s="1"/>
      <c r="B994" s="1" t="str">
        <f>IFERROR(IF(LEFT(Sensitivität_bzw_Monte_Carlo_bei_Strom[[#This Row],[Source.Name]],SEARCH("aus_der",Sensitivität_bzw_Monte_Carlo_bei_Strom[[#This Row],[Source.Name]],1))="Auszahlung_a","Auszahlung",""),"")</f>
        <v/>
      </c>
      <c r="D994" s="1"/>
    </row>
    <row r="995" spans="1:4" x14ac:dyDescent="0.3">
      <c r="A995" s="1"/>
      <c r="B995" s="1" t="str">
        <f>IFERROR(IF(LEFT(Sensitivität_bzw_Monte_Carlo_bei_Strom[[#This Row],[Source.Name]],SEARCH("aus_der",Sensitivität_bzw_Monte_Carlo_bei_Strom[[#This Row],[Source.Name]],1))="Auszahlung_a","Auszahlung",""),"")</f>
        <v/>
      </c>
      <c r="D995" s="1"/>
    </row>
    <row r="996" spans="1:4" x14ac:dyDescent="0.3">
      <c r="A996" s="1"/>
      <c r="B996" s="1" t="str">
        <f>IFERROR(IF(LEFT(Sensitivität_bzw_Monte_Carlo_bei_Strom[[#This Row],[Source.Name]],SEARCH("aus_der",Sensitivität_bzw_Monte_Carlo_bei_Strom[[#This Row],[Source.Name]],1))="Auszahlung_a","Auszahlung",""),"")</f>
        <v/>
      </c>
      <c r="D996" s="1"/>
    </row>
    <row r="997" spans="1:4" x14ac:dyDescent="0.3">
      <c r="A997" s="1"/>
      <c r="B997" s="1" t="str">
        <f>IFERROR(IF(LEFT(Sensitivität_bzw_Monte_Carlo_bei_Strom[[#This Row],[Source.Name]],SEARCH("aus_der",Sensitivität_bzw_Monte_Carlo_bei_Strom[[#This Row],[Source.Name]],1))="Auszahlung_a","Auszahlung",""),"")</f>
        <v/>
      </c>
      <c r="D997" s="1"/>
    </row>
    <row r="998" spans="1:4" x14ac:dyDescent="0.3">
      <c r="A998" s="1"/>
      <c r="B998" s="1" t="str">
        <f>IFERROR(IF(LEFT(Sensitivität_bzw_Monte_Carlo_bei_Strom[[#This Row],[Source.Name]],SEARCH("aus_der",Sensitivität_bzw_Monte_Carlo_bei_Strom[[#This Row],[Source.Name]],1))="Auszahlung_a","Auszahlung",""),"")</f>
        <v/>
      </c>
      <c r="D998" s="1"/>
    </row>
    <row r="999" spans="1:4" x14ac:dyDescent="0.3">
      <c r="A999" s="1"/>
      <c r="B999" s="1" t="str">
        <f>IFERROR(IF(LEFT(Sensitivität_bzw_Monte_Carlo_bei_Strom[[#This Row],[Source.Name]],SEARCH("aus_der",Sensitivität_bzw_Monte_Carlo_bei_Strom[[#This Row],[Source.Name]],1))="Auszahlung_a","Auszahlung",""),"")</f>
        <v/>
      </c>
      <c r="D999" s="1"/>
    </row>
    <row r="1000" spans="1:4" x14ac:dyDescent="0.3">
      <c r="A1000" s="1"/>
      <c r="B1000" s="1" t="str">
        <f>IFERROR(IF(LEFT(Sensitivität_bzw_Monte_Carlo_bei_Strom[[#This Row],[Source.Name]],SEARCH("aus_der",Sensitivität_bzw_Monte_Carlo_bei_Strom[[#This Row],[Source.Name]],1))="Auszahlung_a","Auszahlung",""),"")</f>
        <v/>
      </c>
      <c r="D1000" s="1"/>
    </row>
    <row r="1001" spans="1:4" x14ac:dyDescent="0.3">
      <c r="A1001" s="1"/>
      <c r="B1001" s="1" t="str">
        <f>IFERROR(IF(LEFT(Sensitivität_bzw_Monte_Carlo_bei_Strom[[#This Row],[Source.Name]],SEARCH("aus_der",Sensitivität_bzw_Monte_Carlo_bei_Strom[[#This Row],[Source.Name]],1))="Auszahlung_a","Auszahlung",""),"")</f>
        <v/>
      </c>
      <c r="D1001" s="1"/>
    </row>
    <row r="1002" spans="1:4" x14ac:dyDescent="0.3">
      <c r="A1002" s="1"/>
      <c r="B1002" s="1" t="str">
        <f>IFERROR(IF(LEFT(Sensitivität_bzw_Monte_Carlo_bei_Strom[[#This Row],[Source.Name]],SEARCH("aus_der",Sensitivität_bzw_Monte_Carlo_bei_Strom[[#This Row],[Source.Name]],1))="Auszahlung_a","Auszahlung",""),"")</f>
        <v/>
      </c>
      <c r="D1002" s="1"/>
    </row>
    <row r="1003" spans="1:4" x14ac:dyDescent="0.3">
      <c r="A1003" s="1"/>
      <c r="B1003" s="1" t="str">
        <f>IFERROR(IF(LEFT(Sensitivität_bzw_Monte_Carlo_bei_Strom[[#This Row],[Source.Name]],SEARCH("aus_der",Sensitivität_bzw_Monte_Carlo_bei_Strom[[#This Row],[Source.Name]],1))="Auszahlung_a","Auszahlung",""),"")</f>
        <v/>
      </c>
      <c r="D1003" s="1"/>
    </row>
    <row r="1004" spans="1:4" x14ac:dyDescent="0.3">
      <c r="A1004" s="1"/>
      <c r="B1004" s="1" t="str">
        <f>IFERROR(IF(LEFT(Sensitivität_bzw_Monte_Carlo_bei_Strom[[#This Row],[Source.Name]],SEARCH("aus_der",Sensitivität_bzw_Monte_Carlo_bei_Strom[[#This Row],[Source.Name]],1))="Auszahlung_a","Auszahlung",""),"")</f>
        <v/>
      </c>
      <c r="D1004" s="1"/>
    </row>
    <row r="1005" spans="1:4" x14ac:dyDescent="0.3">
      <c r="A1005" s="1"/>
      <c r="B1005" s="1" t="str">
        <f>IFERROR(IF(LEFT(Sensitivität_bzw_Monte_Carlo_bei_Strom[[#This Row],[Source.Name]],SEARCH("aus_der",Sensitivität_bzw_Monte_Carlo_bei_Strom[[#This Row],[Source.Name]],1))="Auszahlung_a","Auszahlung",""),"")</f>
        <v/>
      </c>
      <c r="D1005" s="1"/>
    </row>
    <row r="1006" spans="1:4" x14ac:dyDescent="0.3">
      <c r="A1006" s="1"/>
      <c r="B1006" s="1" t="str">
        <f>IFERROR(IF(LEFT(Sensitivität_bzw_Monte_Carlo_bei_Strom[[#This Row],[Source.Name]],SEARCH("aus_der",Sensitivität_bzw_Monte_Carlo_bei_Strom[[#This Row],[Source.Name]],1))="Auszahlung_a","Auszahlung",""),"")</f>
        <v/>
      </c>
      <c r="D1006" s="1"/>
    </row>
    <row r="1007" spans="1:4" x14ac:dyDescent="0.3">
      <c r="A1007" s="1"/>
      <c r="B1007" s="1" t="str">
        <f>IFERROR(IF(LEFT(Sensitivität_bzw_Monte_Carlo_bei_Strom[[#This Row],[Source.Name]],SEARCH("aus_der",Sensitivität_bzw_Monte_Carlo_bei_Strom[[#This Row],[Source.Name]],1))="Auszahlung_a","Auszahlung",""),"")</f>
        <v/>
      </c>
      <c r="D1007" s="1"/>
    </row>
    <row r="1008" spans="1:4" x14ac:dyDescent="0.3">
      <c r="A1008" s="1"/>
      <c r="B1008" s="1" t="str">
        <f>IFERROR(IF(LEFT(Sensitivität_bzw_Monte_Carlo_bei_Strom[[#This Row],[Source.Name]],SEARCH("aus_der",Sensitivität_bzw_Monte_Carlo_bei_Strom[[#This Row],[Source.Name]],1))="Auszahlung_a","Auszahlung",""),"")</f>
        <v/>
      </c>
      <c r="D1008" s="1"/>
    </row>
    <row r="1009" spans="1:4" x14ac:dyDescent="0.3">
      <c r="A1009" s="1"/>
      <c r="B1009" s="1" t="str">
        <f>IFERROR(IF(LEFT(Sensitivität_bzw_Monte_Carlo_bei_Strom[[#This Row],[Source.Name]],SEARCH("aus_der",Sensitivität_bzw_Monte_Carlo_bei_Strom[[#This Row],[Source.Name]],1))="Auszahlung_a","Auszahlung",""),"")</f>
        <v/>
      </c>
      <c r="D1009" s="1"/>
    </row>
    <row r="1010" spans="1:4" x14ac:dyDescent="0.3">
      <c r="A1010" s="1"/>
      <c r="B1010" s="1" t="str">
        <f>IFERROR(IF(LEFT(Sensitivität_bzw_Monte_Carlo_bei_Strom[[#This Row],[Source.Name]],SEARCH("aus_der",Sensitivität_bzw_Monte_Carlo_bei_Strom[[#This Row],[Source.Name]],1))="Auszahlung_a","Auszahlung",""),"")</f>
        <v/>
      </c>
      <c r="D1010" s="1"/>
    </row>
    <row r="1011" spans="1:4" x14ac:dyDescent="0.3">
      <c r="A1011" s="1"/>
      <c r="B1011" s="1" t="str">
        <f>IFERROR(IF(LEFT(Sensitivität_bzw_Monte_Carlo_bei_Strom[[#This Row],[Source.Name]],SEARCH("aus_der",Sensitivität_bzw_Monte_Carlo_bei_Strom[[#This Row],[Source.Name]],1))="Auszahlung_a","Auszahlung",""),"")</f>
        <v/>
      </c>
      <c r="D1011" s="1"/>
    </row>
    <row r="1012" spans="1:4" x14ac:dyDescent="0.3">
      <c r="A1012" s="1"/>
      <c r="B1012" s="1" t="str">
        <f>IFERROR(IF(LEFT(Sensitivität_bzw_Monte_Carlo_bei_Strom[[#This Row],[Source.Name]],SEARCH("aus_der",Sensitivität_bzw_Monte_Carlo_bei_Strom[[#This Row],[Source.Name]],1))="Auszahlung_a","Auszahlung",""),"")</f>
        <v/>
      </c>
      <c r="D1012" s="1"/>
    </row>
    <row r="1013" spans="1:4" x14ac:dyDescent="0.3">
      <c r="A1013" s="1"/>
      <c r="B1013" s="1" t="str">
        <f>IFERROR(IF(LEFT(Sensitivität_bzw_Monte_Carlo_bei_Strom[[#This Row],[Source.Name]],SEARCH("aus_der",Sensitivität_bzw_Monte_Carlo_bei_Strom[[#This Row],[Source.Name]],1))="Auszahlung_a","Auszahlung",""),"")</f>
        <v/>
      </c>
      <c r="D1013" s="1"/>
    </row>
    <row r="1014" spans="1:4" x14ac:dyDescent="0.3">
      <c r="A1014" s="1"/>
      <c r="B1014" s="1" t="str">
        <f>IFERROR(IF(LEFT(Sensitivität_bzw_Monte_Carlo_bei_Strom[[#This Row],[Source.Name]],SEARCH("aus_der",Sensitivität_bzw_Monte_Carlo_bei_Strom[[#This Row],[Source.Name]],1))="Auszahlung_a","Auszahlung",""),"")</f>
        <v/>
      </c>
      <c r="D1014" s="1"/>
    </row>
    <row r="1015" spans="1:4" x14ac:dyDescent="0.3">
      <c r="A1015" s="1"/>
      <c r="B1015" s="1" t="str">
        <f>IFERROR(IF(LEFT(Sensitivität_bzw_Monte_Carlo_bei_Strom[[#This Row],[Source.Name]],SEARCH("aus_der",Sensitivität_bzw_Monte_Carlo_bei_Strom[[#This Row],[Source.Name]],1))="Auszahlung_a","Auszahlung",""),"")</f>
        <v/>
      </c>
      <c r="D1015" s="1"/>
    </row>
    <row r="1016" spans="1:4" x14ac:dyDescent="0.3">
      <c r="A1016" s="1"/>
      <c r="B1016" s="1" t="str">
        <f>IFERROR(IF(LEFT(Sensitivität_bzw_Monte_Carlo_bei_Strom[[#This Row],[Source.Name]],SEARCH("aus_der",Sensitivität_bzw_Monte_Carlo_bei_Strom[[#This Row],[Source.Name]],1))="Auszahlung_a","Auszahlung",""),"")</f>
        <v/>
      </c>
      <c r="D1016" s="1"/>
    </row>
    <row r="1017" spans="1:4" x14ac:dyDescent="0.3">
      <c r="A1017" s="1"/>
      <c r="B1017" s="1" t="str">
        <f>IFERROR(IF(LEFT(Sensitivität_bzw_Monte_Carlo_bei_Strom[[#This Row],[Source.Name]],SEARCH("aus_der",Sensitivität_bzw_Monte_Carlo_bei_Strom[[#This Row],[Source.Name]],1))="Auszahlung_a","Auszahlung",""),"")</f>
        <v/>
      </c>
      <c r="D1017" s="1"/>
    </row>
    <row r="1018" spans="1:4" x14ac:dyDescent="0.3">
      <c r="A1018" s="1"/>
      <c r="B1018" s="1" t="str">
        <f>IFERROR(IF(LEFT(Sensitivität_bzw_Monte_Carlo_bei_Strom[[#This Row],[Source.Name]],SEARCH("aus_der",Sensitivität_bzw_Monte_Carlo_bei_Strom[[#This Row],[Source.Name]],1))="Auszahlung_a","Auszahlung",""),"")</f>
        <v/>
      </c>
      <c r="D1018" s="1"/>
    </row>
    <row r="1019" spans="1:4" x14ac:dyDescent="0.3">
      <c r="A1019" s="1"/>
      <c r="B1019" s="1" t="str">
        <f>IFERROR(IF(LEFT(Sensitivität_bzw_Monte_Carlo_bei_Strom[[#This Row],[Source.Name]],SEARCH("aus_der",Sensitivität_bzw_Monte_Carlo_bei_Strom[[#This Row],[Source.Name]],1))="Auszahlung_a","Auszahlung",""),"")</f>
        <v/>
      </c>
      <c r="D1019" s="1"/>
    </row>
    <row r="1020" spans="1:4" x14ac:dyDescent="0.3">
      <c r="A1020" s="1"/>
      <c r="B1020" s="1" t="str">
        <f>IFERROR(IF(LEFT(Sensitivität_bzw_Monte_Carlo_bei_Strom[[#This Row],[Source.Name]],SEARCH("aus_der",Sensitivität_bzw_Monte_Carlo_bei_Strom[[#This Row],[Source.Name]],1))="Auszahlung_a","Auszahlung",""),"")</f>
        <v/>
      </c>
      <c r="D1020" s="1"/>
    </row>
    <row r="1021" spans="1:4" x14ac:dyDescent="0.3">
      <c r="A1021" s="1"/>
      <c r="B1021" s="1" t="str">
        <f>IFERROR(IF(LEFT(Sensitivität_bzw_Monte_Carlo_bei_Strom[[#This Row],[Source.Name]],SEARCH("aus_der",Sensitivität_bzw_Monte_Carlo_bei_Strom[[#This Row],[Source.Name]],1))="Auszahlung_a","Auszahlung",""),"")</f>
        <v/>
      </c>
      <c r="D1021" s="1"/>
    </row>
    <row r="1022" spans="1:4" x14ac:dyDescent="0.3">
      <c r="A1022" s="1"/>
      <c r="B1022" s="1" t="str">
        <f>IFERROR(IF(LEFT(Sensitivität_bzw_Monte_Carlo_bei_Strom[[#This Row],[Source.Name]],SEARCH("aus_der",Sensitivität_bzw_Monte_Carlo_bei_Strom[[#This Row],[Source.Name]],1))="Auszahlung_a","Auszahlung",""),"")</f>
        <v/>
      </c>
      <c r="D1022" s="1"/>
    </row>
    <row r="1023" spans="1:4" x14ac:dyDescent="0.3">
      <c r="A1023" s="1"/>
      <c r="B1023" s="1" t="str">
        <f>IFERROR(IF(LEFT(Sensitivität_bzw_Monte_Carlo_bei_Strom[[#This Row],[Source.Name]],SEARCH("aus_der",Sensitivität_bzw_Monte_Carlo_bei_Strom[[#This Row],[Source.Name]],1))="Auszahlung_a","Auszahlung",""),"")</f>
        <v/>
      </c>
      <c r="D1023" s="1"/>
    </row>
    <row r="1024" spans="1:4" x14ac:dyDescent="0.3">
      <c r="A1024" s="1"/>
      <c r="B1024" s="1" t="str">
        <f>IFERROR(IF(LEFT(Sensitivität_bzw_Monte_Carlo_bei_Strom[[#This Row],[Source.Name]],SEARCH("aus_der",Sensitivität_bzw_Monte_Carlo_bei_Strom[[#This Row],[Source.Name]],1))="Auszahlung_a","Auszahlung",""),"")</f>
        <v/>
      </c>
      <c r="D1024" s="1"/>
    </row>
    <row r="1025" spans="1:4" x14ac:dyDescent="0.3">
      <c r="A1025" s="1"/>
      <c r="B1025" s="1" t="str">
        <f>IFERROR(IF(LEFT(Sensitivität_bzw_Monte_Carlo_bei_Strom[[#This Row],[Source.Name]],SEARCH("aus_der",Sensitivität_bzw_Monte_Carlo_bei_Strom[[#This Row],[Source.Name]],1))="Auszahlung_a","Auszahlung",""),"")</f>
        <v/>
      </c>
      <c r="D1025" s="1"/>
    </row>
    <row r="1026" spans="1:4" x14ac:dyDescent="0.3">
      <c r="A1026" s="1"/>
      <c r="B1026" s="1" t="str">
        <f>IFERROR(IF(LEFT(Sensitivität_bzw_Monte_Carlo_bei_Strom[[#This Row],[Source.Name]],SEARCH("aus_der",Sensitivität_bzw_Monte_Carlo_bei_Strom[[#This Row],[Source.Name]],1))="Auszahlung_a","Auszahlung",""),"")</f>
        <v/>
      </c>
      <c r="D1026" s="1"/>
    </row>
    <row r="1027" spans="1:4" x14ac:dyDescent="0.3">
      <c r="A1027" s="1"/>
      <c r="B1027" s="1" t="str">
        <f>IFERROR(IF(LEFT(Sensitivität_bzw_Monte_Carlo_bei_Strom[[#This Row],[Source.Name]],SEARCH("aus_der",Sensitivität_bzw_Monte_Carlo_bei_Strom[[#This Row],[Source.Name]],1))="Auszahlung_a","Auszahlung",""),"")</f>
        <v/>
      </c>
      <c r="D1027" s="1"/>
    </row>
    <row r="1028" spans="1:4" x14ac:dyDescent="0.3">
      <c r="A1028" s="1"/>
      <c r="B1028" s="1" t="str">
        <f>IFERROR(IF(LEFT(Sensitivität_bzw_Monte_Carlo_bei_Strom[[#This Row],[Source.Name]],SEARCH("aus_der",Sensitivität_bzw_Monte_Carlo_bei_Strom[[#This Row],[Source.Name]],1))="Auszahlung_a","Auszahlung",""),"")</f>
        <v/>
      </c>
      <c r="D1028" s="1"/>
    </row>
    <row r="1029" spans="1:4" x14ac:dyDescent="0.3">
      <c r="A1029" s="1"/>
      <c r="B1029" s="1" t="str">
        <f>IFERROR(IF(LEFT(Sensitivität_bzw_Monte_Carlo_bei_Strom[[#This Row],[Source.Name]],SEARCH("aus_der",Sensitivität_bzw_Monte_Carlo_bei_Strom[[#This Row],[Source.Name]],1))="Auszahlung_a","Auszahlung",""),"")</f>
        <v/>
      </c>
      <c r="D1029" s="1"/>
    </row>
    <row r="1030" spans="1:4" x14ac:dyDescent="0.3">
      <c r="A1030" s="1"/>
      <c r="B1030" s="1" t="str">
        <f>IFERROR(IF(LEFT(Sensitivität_bzw_Monte_Carlo_bei_Strom[[#This Row],[Source.Name]],SEARCH("aus_der",Sensitivität_bzw_Monte_Carlo_bei_Strom[[#This Row],[Source.Name]],1))="Auszahlung_a","Auszahlung",""),"")</f>
        <v/>
      </c>
      <c r="D1030" s="1"/>
    </row>
    <row r="1031" spans="1:4" x14ac:dyDescent="0.3">
      <c r="A1031" s="1"/>
      <c r="B1031" s="1" t="str">
        <f>IFERROR(IF(LEFT(Sensitivität_bzw_Monte_Carlo_bei_Strom[[#This Row],[Source.Name]],SEARCH("aus_der",Sensitivität_bzw_Monte_Carlo_bei_Strom[[#This Row],[Source.Name]],1))="Auszahlung_a","Auszahlung",""),"")</f>
        <v/>
      </c>
      <c r="D1031" s="1"/>
    </row>
    <row r="1032" spans="1:4" x14ac:dyDescent="0.3">
      <c r="A1032" s="1"/>
      <c r="B1032" s="1" t="str">
        <f>IFERROR(IF(LEFT(Sensitivität_bzw_Monte_Carlo_bei_Strom[[#This Row],[Source.Name]],SEARCH("aus_der",Sensitivität_bzw_Monte_Carlo_bei_Strom[[#This Row],[Source.Name]],1))="Auszahlung_a","Auszahlung",""),"")</f>
        <v/>
      </c>
      <c r="D1032" s="1"/>
    </row>
    <row r="1033" spans="1:4" x14ac:dyDescent="0.3">
      <c r="A1033" s="1"/>
      <c r="B1033" s="1" t="str">
        <f>IFERROR(IF(LEFT(Sensitivität_bzw_Monte_Carlo_bei_Strom[[#This Row],[Source.Name]],SEARCH("aus_der",Sensitivität_bzw_Monte_Carlo_bei_Strom[[#This Row],[Source.Name]],1))="Auszahlung_a","Auszahlung",""),"")</f>
        <v/>
      </c>
      <c r="D1033" s="1"/>
    </row>
    <row r="1034" spans="1:4" x14ac:dyDescent="0.3">
      <c r="A1034" s="1"/>
      <c r="B1034" s="1" t="str">
        <f>IFERROR(IF(LEFT(Sensitivität_bzw_Monte_Carlo_bei_Strom[[#This Row],[Source.Name]],SEARCH("aus_der",Sensitivität_bzw_Monte_Carlo_bei_Strom[[#This Row],[Source.Name]],1))="Auszahlung_a","Auszahlung",""),"")</f>
        <v/>
      </c>
      <c r="D1034" s="1"/>
    </row>
    <row r="1035" spans="1:4" x14ac:dyDescent="0.3">
      <c r="A1035" s="1"/>
      <c r="B1035" s="1" t="str">
        <f>IFERROR(IF(LEFT(Sensitivität_bzw_Monte_Carlo_bei_Strom[[#This Row],[Source.Name]],SEARCH("aus_der",Sensitivität_bzw_Monte_Carlo_bei_Strom[[#This Row],[Source.Name]],1))="Auszahlung_a","Auszahlung",""),"")</f>
        <v/>
      </c>
      <c r="D1035" s="1"/>
    </row>
    <row r="1036" spans="1:4" x14ac:dyDescent="0.3">
      <c r="A1036" s="1"/>
      <c r="B1036" s="1" t="str">
        <f>IFERROR(IF(LEFT(Sensitivität_bzw_Monte_Carlo_bei_Strom[[#This Row],[Source.Name]],SEARCH("aus_der",Sensitivität_bzw_Monte_Carlo_bei_Strom[[#This Row],[Source.Name]],1))="Auszahlung_a","Auszahlung",""),"")</f>
        <v/>
      </c>
      <c r="D1036" s="1"/>
    </row>
    <row r="1037" spans="1:4" x14ac:dyDescent="0.3">
      <c r="A1037" s="1"/>
      <c r="B1037" s="1" t="str">
        <f>IFERROR(IF(LEFT(Sensitivität_bzw_Monte_Carlo_bei_Strom[[#This Row],[Source.Name]],SEARCH("aus_der",Sensitivität_bzw_Monte_Carlo_bei_Strom[[#This Row],[Source.Name]],1))="Auszahlung_a","Auszahlung",""),"")</f>
        <v/>
      </c>
      <c r="D1037" s="1"/>
    </row>
    <row r="1038" spans="1:4" x14ac:dyDescent="0.3">
      <c r="A1038" s="1"/>
      <c r="B1038" s="1" t="str">
        <f>IFERROR(IF(LEFT(Sensitivität_bzw_Monte_Carlo_bei_Strom[[#This Row],[Source.Name]],SEARCH("aus_der",Sensitivität_bzw_Monte_Carlo_bei_Strom[[#This Row],[Source.Name]],1))="Auszahlung_a","Auszahlung",""),"")</f>
        <v/>
      </c>
      <c r="D1038" s="1"/>
    </row>
    <row r="1039" spans="1:4" x14ac:dyDescent="0.3">
      <c r="A1039" s="1"/>
      <c r="B1039" s="1" t="str">
        <f>IFERROR(IF(LEFT(Sensitivität_bzw_Monte_Carlo_bei_Strom[[#This Row],[Source.Name]],SEARCH("aus_der",Sensitivität_bzw_Monte_Carlo_bei_Strom[[#This Row],[Source.Name]],1))="Auszahlung_a","Auszahlung",""),"")</f>
        <v/>
      </c>
      <c r="D1039" s="1"/>
    </row>
    <row r="1040" spans="1:4" x14ac:dyDescent="0.3">
      <c r="A1040" s="1"/>
      <c r="B1040" s="1" t="str">
        <f>IFERROR(IF(LEFT(Sensitivität_bzw_Monte_Carlo_bei_Strom[[#This Row],[Source.Name]],SEARCH("aus_der",Sensitivität_bzw_Monte_Carlo_bei_Strom[[#This Row],[Source.Name]],1))="Auszahlung_a","Auszahlung",""),"")</f>
        <v/>
      </c>
      <c r="D1040" s="1"/>
    </row>
    <row r="1041" spans="1:4" x14ac:dyDescent="0.3">
      <c r="A1041" s="1"/>
      <c r="B1041" s="1" t="str">
        <f>IFERROR(IF(LEFT(Sensitivität_bzw_Monte_Carlo_bei_Strom[[#This Row],[Source.Name]],SEARCH("aus_der",Sensitivität_bzw_Monte_Carlo_bei_Strom[[#This Row],[Source.Name]],1))="Auszahlung_a","Auszahlung",""),"")</f>
        <v/>
      </c>
      <c r="D1041" s="1"/>
    </row>
    <row r="1042" spans="1:4" x14ac:dyDescent="0.3">
      <c r="A1042" s="1"/>
      <c r="B1042" s="1" t="str">
        <f>IFERROR(IF(LEFT(Sensitivität_bzw_Monte_Carlo_bei_Strom[[#This Row],[Source.Name]],SEARCH("aus_der",Sensitivität_bzw_Monte_Carlo_bei_Strom[[#This Row],[Source.Name]],1))="Auszahlung_a","Auszahlung",""),"")</f>
        <v/>
      </c>
      <c r="D1042" s="1"/>
    </row>
    <row r="1043" spans="1:4" x14ac:dyDescent="0.3">
      <c r="A1043" s="1"/>
      <c r="B1043" s="1" t="str">
        <f>IFERROR(IF(LEFT(Sensitivität_bzw_Monte_Carlo_bei_Strom[[#This Row],[Source.Name]],SEARCH("aus_der",Sensitivität_bzw_Monte_Carlo_bei_Strom[[#This Row],[Source.Name]],1))="Auszahlung_a","Auszahlung",""),"")</f>
        <v/>
      </c>
      <c r="D1043" s="1"/>
    </row>
    <row r="1044" spans="1:4" x14ac:dyDescent="0.3">
      <c r="A1044" s="1"/>
      <c r="B1044" s="1" t="str">
        <f>IFERROR(IF(LEFT(Sensitivität_bzw_Monte_Carlo_bei_Strom[[#This Row],[Source.Name]],SEARCH("aus_der",Sensitivität_bzw_Monte_Carlo_bei_Strom[[#This Row],[Source.Name]],1))="Auszahlung_a","Auszahlung",""),"")</f>
        <v/>
      </c>
      <c r="D1044" s="1"/>
    </row>
    <row r="1045" spans="1:4" x14ac:dyDescent="0.3">
      <c r="A1045" s="1"/>
      <c r="B1045" s="1" t="str">
        <f>IFERROR(IF(LEFT(Sensitivität_bzw_Monte_Carlo_bei_Strom[[#This Row],[Source.Name]],SEARCH("aus_der",Sensitivität_bzw_Monte_Carlo_bei_Strom[[#This Row],[Source.Name]],1))="Auszahlung_a","Auszahlung",""),"")</f>
        <v/>
      </c>
      <c r="D1045" s="1"/>
    </row>
    <row r="1046" spans="1:4" x14ac:dyDescent="0.3">
      <c r="A1046" s="1"/>
      <c r="B1046" s="1" t="str">
        <f>IFERROR(IF(LEFT(Sensitivität_bzw_Monte_Carlo_bei_Strom[[#This Row],[Source.Name]],SEARCH("aus_der",Sensitivität_bzw_Monte_Carlo_bei_Strom[[#This Row],[Source.Name]],1))="Auszahlung_a","Auszahlung",""),"")</f>
        <v/>
      </c>
      <c r="D1046" s="1"/>
    </row>
    <row r="1047" spans="1:4" x14ac:dyDescent="0.3">
      <c r="A1047" s="1"/>
      <c r="B1047" s="1" t="str">
        <f>IFERROR(IF(LEFT(Sensitivität_bzw_Monte_Carlo_bei_Strom[[#This Row],[Source.Name]],SEARCH("aus_der",Sensitivität_bzw_Monte_Carlo_bei_Strom[[#This Row],[Source.Name]],1))="Auszahlung_a","Auszahlung",""),"")</f>
        <v/>
      </c>
      <c r="D1047" s="1"/>
    </row>
    <row r="1048" spans="1:4" x14ac:dyDescent="0.3">
      <c r="A1048" s="1"/>
      <c r="B1048" s="1" t="str">
        <f>IFERROR(IF(LEFT(Sensitivität_bzw_Monte_Carlo_bei_Strom[[#This Row],[Source.Name]],SEARCH("aus_der",Sensitivität_bzw_Monte_Carlo_bei_Strom[[#This Row],[Source.Name]],1))="Auszahlung_a","Auszahlung",""),"")</f>
        <v/>
      </c>
      <c r="D1048" s="1"/>
    </row>
    <row r="1049" spans="1:4" x14ac:dyDescent="0.3">
      <c r="A1049" s="1"/>
      <c r="B1049" s="1" t="str">
        <f>IFERROR(IF(LEFT(Sensitivität_bzw_Monte_Carlo_bei_Strom[[#This Row],[Source.Name]],SEARCH("aus_der",Sensitivität_bzw_Monte_Carlo_bei_Strom[[#This Row],[Source.Name]],1))="Auszahlung_a","Auszahlung",""),"")</f>
        <v/>
      </c>
      <c r="D1049" s="1"/>
    </row>
    <row r="1050" spans="1:4" x14ac:dyDescent="0.3">
      <c r="A1050" s="1"/>
      <c r="B1050" s="1" t="str">
        <f>IFERROR(IF(LEFT(Sensitivität_bzw_Monte_Carlo_bei_Strom[[#This Row],[Source.Name]],SEARCH("aus_der",Sensitivität_bzw_Monte_Carlo_bei_Strom[[#This Row],[Source.Name]],1))="Auszahlung_a","Auszahlung",""),"")</f>
        <v/>
      </c>
      <c r="D1050" s="1"/>
    </row>
    <row r="1051" spans="1:4" x14ac:dyDescent="0.3">
      <c r="A1051" s="1"/>
      <c r="B1051" s="1" t="str">
        <f>IFERROR(IF(LEFT(Sensitivität_bzw_Monte_Carlo_bei_Strom[[#This Row],[Source.Name]],SEARCH("aus_der",Sensitivität_bzw_Monte_Carlo_bei_Strom[[#This Row],[Source.Name]],1))="Auszahlung_a","Auszahlung",""),"")</f>
        <v/>
      </c>
      <c r="D1051" s="1"/>
    </row>
    <row r="1052" spans="1:4" x14ac:dyDescent="0.3">
      <c r="A1052" s="1"/>
      <c r="B1052" s="1" t="str">
        <f>IFERROR(IF(LEFT(Sensitivität_bzw_Monte_Carlo_bei_Strom[[#This Row],[Source.Name]],SEARCH("aus_der",Sensitivität_bzw_Monte_Carlo_bei_Strom[[#This Row],[Source.Name]],1))="Auszahlung_a","Auszahlung",""),"")</f>
        <v/>
      </c>
      <c r="D1052" s="1"/>
    </row>
    <row r="1053" spans="1:4" x14ac:dyDescent="0.3">
      <c r="A1053" s="1"/>
      <c r="B1053" s="1" t="str">
        <f>IFERROR(IF(LEFT(Sensitivität_bzw_Monte_Carlo_bei_Strom[[#This Row],[Source.Name]],SEARCH("aus_der",Sensitivität_bzw_Monte_Carlo_bei_Strom[[#This Row],[Source.Name]],1))="Auszahlung_a","Auszahlung",""),"")</f>
        <v/>
      </c>
      <c r="D1053" s="1"/>
    </row>
    <row r="1054" spans="1:4" x14ac:dyDescent="0.3">
      <c r="A1054" s="1"/>
      <c r="B1054" s="1" t="str">
        <f>IFERROR(IF(LEFT(Sensitivität_bzw_Monte_Carlo_bei_Strom[[#This Row],[Source.Name]],SEARCH("aus_der",Sensitivität_bzw_Monte_Carlo_bei_Strom[[#This Row],[Source.Name]],1))="Auszahlung_a","Auszahlung",""),"")</f>
        <v/>
      </c>
      <c r="D1054" s="1"/>
    </row>
    <row r="1055" spans="1:4" x14ac:dyDescent="0.3">
      <c r="A1055" s="1"/>
      <c r="B1055" s="1" t="str">
        <f>IFERROR(IF(LEFT(Sensitivität_bzw_Monte_Carlo_bei_Strom[[#This Row],[Source.Name]],SEARCH("aus_der",Sensitivität_bzw_Monte_Carlo_bei_Strom[[#This Row],[Source.Name]],1))="Auszahlung_a","Auszahlung",""),"")</f>
        <v/>
      </c>
      <c r="D1055" s="1"/>
    </row>
    <row r="1056" spans="1:4" x14ac:dyDescent="0.3">
      <c r="A1056" s="1"/>
      <c r="B1056" s="1" t="str">
        <f>IFERROR(IF(LEFT(Sensitivität_bzw_Monte_Carlo_bei_Strom[[#This Row],[Source.Name]],SEARCH("aus_der",Sensitivität_bzw_Monte_Carlo_bei_Strom[[#This Row],[Source.Name]],1))="Auszahlung_a","Auszahlung",""),"")</f>
        <v/>
      </c>
      <c r="D1056" s="1"/>
    </row>
    <row r="1057" spans="1:4" x14ac:dyDescent="0.3">
      <c r="A1057" s="1"/>
      <c r="B1057" s="1" t="str">
        <f>IFERROR(IF(LEFT(Sensitivität_bzw_Monte_Carlo_bei_Strom[[#This Row],[Source.Name]],SEARCH("aus_der",Sensitivität_bzw_Monte_Carlo_bei_Strom[[#This Row],[Source.Name]],1))="Auszahlung_a","Auszahlung",""),"")</f>
        <v/>
      </c>
      <c r="D1057" s="1"/>
    </row>
    <row r="1058" spans="1:4" x14ac:dyDescent="0.3">
      <c r="A1058" s="1"/>
      <c r="B1058" s="1" t="str">
        <f>IFERROR(IF(LEFT(Sensitivität_bzw_Monte_Carlo_bei_Strom[[#This Row],[Source.Name]],SEARCH("aus_der",Sensitivität_bzw_Monte_Carlo_bei_Strom[[#This Row],[Source.Name]],1))="Auszahlung_a","Auszahlung",""),"")</f>
        <v/>
      </c>
      <c r="D1058" s="1"/>
    </row>
    <row r="1059" spans="1:4" x14ac:dyDescent="0.3">
      <c r="A1059" s="1"/>
      <c r="B1059" s="1" t="str">
        <f>IFERROR(IF(LEFT(Sensitivität_bzw_Monte_Carlo_bei_Strom[[#This Row],[Source.Name]],SEARCH("aus_der",Sensitivität_bzw_Monte_Carlo_bei_Strom[[#This Row],[Source.Name]],1))="Auszahlung_a","Auszahlung",""),"")</f>
        <v/>
      </c>
      <c r="D1059" s="1"/>
    </row>
    <row r="1060" spans="1:4" x14ac:dyDescent="0.3">
      <c r="A1060" s="1"/>
      <c r="B1060" s="1" t="str">
        <f>IFERROR(IF(LEFT(Sensitivität_bzw_Monte_Carlo_bei_Strom[[#This Row],[Source.Name]],SEARCH("aus_der",Sensitivität_bzw_Monte_Carlo_bei_Strom[[#This Row],[Source.Name]],1))="Auszahlung_a","Auszahlung",""),"")</f>
        <v/>
      </c>
      <c r="D1060" s="1"/>
    </row>
    <row r="1061" spans="1:4" x14ac:dyDescent="0.3">
      <c r="A1061" s="1"/>
      <c r="B1061" s="1" t="str">
        <f>IFERROR(IF(LEFT(Sensitivität_bzw_Monte_Carlo_bei_Strom[[#This Row],[Source.Name]],SEARCH("aus_der",Sensitivität_bzw_Monte_Carlo_bei_Strom[[#This Row],[Source.Name]],1))="Auszahlung_a","Auszahlung",""),"")</f>
        <v/>
      </c>
      <c r="D1061" s="1"/>
    </row>
    <row r="1062" spans="1:4" x14ac:dyDescent="0.3">
      <c r="A1062" s="1"/>
      <c r="B1062" s="1" t="str">
        <f>IFERROR(IF(LEFT(Sensitivität_bzw_Monte_Carlo_bei_Strom[[#This Row],[Source.Name]],SEARCH("aus_der",Sensitivität_bzw_Monte_Carlo_bei_Strom[[#This Row],[Source.Name]],1))="Auszahlung_a","Auszahlung",""),"")</f>
        <v/>
      </c>
      <c r="D1062" s="1"/>
    </row>
    <row r="1063" spans="1:4" x14ac:dyDescent="0.3">
      <c r="A1063" s="1"/>
      <c r="B1063" s="1" t="str">
        <f>IFERROR(IF(LEFT(Sensitivität_bzw_Monte_Carlo_bei_Strom[[#This Row],[Source.Name]],SEARCH("aus_der",Sensitivität_bzw_Monte_Carlo_bei_Strom[[#This Row],[Source.Name]],1))="Auszahlung_a","Auszahlung",""),"")</f>
        <v/>
      </c>
      <c r="D1063" s="1"/>
    </row>
    <row r="1064" spans="1:4" x14ac:dyDescent="0.3">
      <c r="A1064" s="1"/>
      <c r="B1064" s="1" t="str">
        <f>IFERROR(IF(LEFT(Sensitivität_bzw_Monte_Carlo_bei_Strom[[#This Row],[Source.Name]],SEARCH("aus_der",Sensitivität_bzw_Monte_Carlo_bei_Strom[[#This Row],[Source.Name]],1))="Auszahlung_a","Auszahlung",""),"")</f>
        <v/>
      </c>
      <c r="D1064" s="1"/>
    </row>
    <row r="1065" spans="1:4" x14ac:dyDescent="0.3">
      <c r="A1065" s="1"/>
      <c r="B1065" s="1" t="str">
        <f>IFERROR(IF(LEFT(Sensitivität_bzw_Monte_Carlo_bei_Strom[[#This Row],[Source.Name]],SEARCH("aus_der",Sensitivität_bzw_Monte_Carlo_bei_Strom[[#This Row],[Source.Name]],1))="Auszahlung_a","Auszahlung",""),"")</f>
        <v/>
      </c>
      <c r="D1065" s="1"/>
    </row>
    <row r="1066" spans="1:4" x14ac:dyDescent="0.3">
      <c r="A1066" s="1"/>
      <c r="B1066" s="1" t="str">
        <f>IFERROR(IF(LEFT(Sensitivität_bzw_Monte_Carlo_bei_Strom[[#This Row],[Source.Name]],SEARCH("aus_der",Sensitivität_bzw_Monte_Carlo_bei_Strom[[#This Row],[Source.Name]],1))="Auszahlung_a","Auszahlung",""),"")</f>
        <v/>
      </c>
      <c r="D1066" s="1"/>
    </row>
    <row r="1067" spans="1:4" x14ac:dyDescent="0.3">
      <c r="A1067" s="1"/>
      <c r="B1067" s="1" t="str">
        <f>IFERROR(IF(LEFT(Sensitivität_bzw_Monte_Carlo_bei_Strom[[#This Row],[Source.Name]],SEARCH("aus_der",Sensitivität_bzw_Monte_Carlo_bei_Strom[[#This Row],[Source.Name]],1))="Auszahlung_a","Auszahlung",""),"")</f>
        <v/>
      </c>
      <c r="D1067" s="1"/>
    </row>
    <row r="1068" spans="1:4" x14ac:dyDescent="0.3">
      <c r="A1068" s="1"/>
      <c r="B1068" s="1" t="str">
        <f>IFERROR(IF(LEFT(Sensitivität_bzw_Monte_Carlo_bei_Strom[[#This Row],[Source.Name]],SEARCH("aus_der",Sensitivität_bzw_Monte_Carlo_bei_Strom[[#This Row],[Source.Name]],1))="Auszahlung_a","Auszahlung",""),"")</f>
        <v/>
      </c>
      <c r="D1068" s="1"/>
    </row>
    <row r="1069" spans="1:4" x14ac:dyDescent="0.3">
      <c r="A1069" s="1"/>
      <c r="B1069" s="1" t="str">
        <f>IFERROR(IF(LEFT(Sensitivität_bzw_Monte_Carlo_bei_Strom[[#This Row],[Source.Name]],SEARCH("aus_der",Sensitivität_bzw_Monte_Carlo_bei_Strom[[#This Row],[Source.Name]],1))="Auszahlung_a","Auszahlung",""),"")</f>
        <v/>
      </c>
      <c r="D1069" s="1"/>
    </row>
    <row r="1070" spans="1:4" x14ac:dyDescent="0.3">
      <c r="A1070" s="1"/>
      <c r="B1070" s="1" t="str">
        <f>IFERROR(IF(LEFT(Sensitivität_bzw_Monte_Carlo_bei_Strom[[#This Row],[Source.Name]],SEARCH("aus_der",Sensitivität_bzw_Monte_Carlo_bei_Strom[[#This Row],[Source.Name]],1))="Auszahlung_a","Auszahlung",""),"")</f>
        <v/>
      </c>
      <c r="D1070" s="1"/>
    </row>
    <row r="1071" spans="1:4" x14ac:dyDescent="0.3">
      <c r="A1071" s="1"/>
      <c r="B1071" s="1" t="str">
        <f>IFERROR(IF(LEFT(Sensitivität_bzw_Monte_Carlo_bei_Strom[[#This Row],[Source.Name]],SEARCH("aus_der",Sensitivität_bzw_Monte_Carlo_bei_Strom[[#This Row],[Source.Name]],1))="Auszahlung_a","Auszahlung",""),"")</f>
        <v/>
      </c>
      <c r="D1071" s="1"/>
    </row>
    <row r="1072" spans="1:4" x14ac:dyDescent="0.3">
      <c r="A1072" s="1"/>
      <c r="B1072" s="1" t="str">
        <f>IFERROR(IF(LEFT(Sensitivität_bzw_Monte_Carlo_bei_Strom[[#This Row],[Source.Name]],SEARCH("aus_der",Sensitivität_bzw_Monte_Carlo_bei_Strom[[#This Row],[Source.Name]],1))="Auszahlung_a","Auszahlung",""),"")</f>
        <v/>
      </c>
      <c r="D1072" s="1"/>
    </row>
    <row r="1073" spans="1:4" x14ac:dyDescent="0.3">
      <c r="A1073" s="1"/>
      <c r="B1073" s="1" t="str">
        <f>IFERROR(IF(LEFT(Sensitivität_bzw_Monte_Carlo_bei_Strom[[#This Row],[Source.Name]],SEARCH("aus_der",Sensitivität_bzw_Monte_Carlo_bei_Strom[[#This Row],[Source.Name]],1))="Auszahlung_a","Auszahlung",""),"")</f>
        <v/>
      </c>
      <c r="D1073" s="1"/>
    </row>
    <row r="1074" spans="1:4" x14ac:dyDescent="0.3">
      <c r="A1074" s="1"/>
      <c r="B1074" s="1" t="str">
        <f>IFERROR(IF(LEFT(Sensitivität_bzw_Monte_Carlo_bei_Strom[[#This Row],[Source.Name]],SEARCH("aus_der",Sensitivität_bzw_Monte_Carlo_bei_Strom[[#This Row],[Source.Name]],1))="Auszahlung_a","Auszahlung",""),"")</f>
        <v/>
      </c>
      <c r="D1074" s="1"/>
    </row>
    <row r="1075" spans="1:4" x14ac:dyDescent="0.3">
      <c r="A1075" s="1"/>
      <c r="B1075" s="1" t="str">
        <f>IFERROR(IF(LEFT(Sensitivität_bzw_Monte_Carlo_bei_Strom[[#This Row],[Source.Name]],SEARCH("aus_der",Sensitivität_bzw_Monte_Carlo_bei_Strom[[#This Row],[Source.Name]],1))="Auszahlung_a","Auszahlung",""),"")</f>
        <v/>
      </c>
      <c r="D1075" s="1"/>
    </row>
    <row r="1076" spans="1:4" x14ac:dyDescent="0.3">
      <c r="A1076" s="1"/>
      <c r="B1076" s="1" t="str">
        <f>IFERROR(IF(LEFT(Sensitivität_bzw_Monte_Carlo_bei_Strom[[#This Row],[Source.Name]],SEARCH("aus_der",Sensitivität_bzw_Monte_Carlo_bei_Strom[[#This Row],[Source.Name]],1))="Auszahlung_a","Auszahlung",""),"")</f>
        <v/>
      </c>
      <c r="D1076" s="1"/>
    </row>
    <row r="1077" spans="1:4" x14ac:dyDescent="0.3">
      <c r="A1077" s="1"/>
      <c r="B1077" s="1" t="str">
        <f>IFERROR(IF(LEFT(Sensitivität_bzw_Monte_Carlo_bei_Strom[[#This Row],[Source.Name]],SEARCH("aus_der",Sensitivität_bzw_Monte_Carlo_bei_Strom[[#This Row],[Source.Name]],1))="Auszahlung_a","Auszahlung",""),"")</f>
        <v/>
      </c>
      <c r="D1077" s="1"/>
    </row>
    <row r="1078" spans="1:4" x14ac:dyDescent="0.3">
      <c r="A1078" s="1"/>
      <c r="B1078" s="1" t="str">
        <f>IFERROR(IF(LEFT(Sensitivität_bzw_Monte_Carlo_bei_Strom[[#This Row],[Source.Name]],SEARCH("aus_der",Sensitivität_bzw_Monte_Carlo_bei_Strom[[#This Row],[Source.Name]],1))="Auszahlung_a","Auszahlung",""),"")</f>
        <v/>
      </c>
      <c r="D1078" s="1"/>
    </row>
    <row r="1079" spans="1:4" x14ac:dyDescent="0.3">
      <c r="A1079" s="1"/>
      <c r="B1079" s="1" t="str">
        <f>IFERROR(IF(LEFT(Sensitivität_bzw_Monte_Carlo_bei_Strom[[#This Row],[Source.Name]],SEARCH("aus_der",Sensitivität_bzw_Monte_Carlo_bei_Strom[[#This Row],[Source.Name]],1))="Auszahlung_a","Auszahlung",""),"")</f>
        <v/>
      </c>
      <c r="D1079" s="1"/>
    </row>
    <row r="1080" spans="1:4" x14ac:dyDescent="0.3">
      <c r="A1080" s="1"/>
      <c r="B1080" s="1" t="str">
        <f>IFERROR(IF(LEFT(Sensitivität_bzw_Monte_Carlo_bei_Strom[[#This Row],[Source.Name]],SEARCH("aus_der",Sensitivität_bzw_Monte_Carlo_bei_Strom[[#This Row],[Source.Name]],1))="Auszahlung_a","Auszahlung",""),"")</f>
        <v/>
      </c>
      <c r="D1080" s="1"/>
    </row>
    <row r="1081" spans="1:4" x14ac:dyDescent="0.3">
      <c r="A1081" s="1"/>
      <c r="B1081" s="1" t="str">
        <f>IFERROR(IF(LEFT(Sensitivität_bzw_Monte_Carlo_bei_Strom[[#This Row],[Source.Name]],SEARCH("aus_der",Sensitivität_bzw_Monte_Carlo_bei_Strom[[#This Row],[Source.Name]],1))="Auszahlung_a","Auszahlung",""),"")</f>
        <v/>
      </c>
      <c r="D1081" s="1"/>
    </row>
    <row r="1082" spans="1:4" x14ac:dyDescent="0.3">
      <c r="A1082" s="1"/>
      <c r="B1082" s="1" t="str">
        <f>IFERROR(IF(LEFT(Sensitivität_bzw_Monte_Carlo_bei_Strom[[#This Row],[Source.Name]],SEARCH("aus_der",Sensitivität_bzw_Monte_Carlo_bei_Strom[[#This Row],[Source.Name]],1))="Auszahlung_a","Auszahlung",""),"")</f>
        <v/>
      </c>
      <c r="D1082" s="1"/>
    </row>
    <row r="1083" spans="1:4" x14ac:dyDescent="0.3">
      <c r="A1083" s="1"/>
      <c r="B1083" s="1" t="str">
        <f>IFERROR(IF(LEFT(Sensitivität_bzw_Monte_Carlo_bei_Strom[[#This Row],[Source.Name]],SEARCH("aus_der",Sensitivität_bzw_Monte_Carlo_bei_Strom[[#This Row],[Source.Name]],1))="Auszahlung_a","Auszahlung",""),"")</f>
        <v/>
      </c>
      <c r="D1083" s="1"/>
    </row>
    <row r="1084" spans="1:4" x14ac:dyDescent="0.3">
      <c r="A1084" s="1"/>
      <c r="B1084" s="1" t="str">
        <f>IFERROR(IF(LEFT(Sensitivität_bzw_Monte_Carlo_bei_Strom[[#This Row],[Source.Name]],SEARCH("aus_der",Sensitivität_bzw_Monte_Carlo_bei_Strom[[#This Row],[Source.Name]],1))="Auszahlung_a","Auszahlung",""),"")</f>
        <v/>
      </c>
      <c r="D1084" s="1"/>
    </row>
    <row r="1085" spans="1:4" x14ac:dyDescent="0.3">
      <c r="A1085" s="1"/>
      <c r="B1085" s="1" t="str">
        <f>IFERROR(IF(LEFT(Sensitivität_bzw_Monte_Carlo_bei_Strom[[#This Row],[Source.Name]],SEARCH("aus_der",Sensitivität_bzw_Monte_Carlo_bei_Strom[[#This Row],[Source.Name]],1))="Auszahlung_a","Auszahlung",""),"")</f>
        <v/>
      </c>
      <c r="D1085" s="1"/>
    </row>
    <row r="1086" spans="1:4" x14ac:dyDescent="0.3">
      <c r="A1086" s="1"/>
      <c r="B1086" s="1" t="str">
        <f>IFERROR(IF(LEFT(Sensitivität_bzw_Monte_Carlo_bei_Strom[[#This Row],[Source.Name]],SEARCH("aus_der",Sensitivität_bzw_Monte_Carlo_bei_Strom[[#This Row],[Source.Name]],1))="Auszahlung_a","Auszahlung",""),"")</f>
        <v/>
      </c>
      <c r="D1086" s="1"/>
    </row>
    <row r="1087" spans="1:4" x14ac:dyDescent="0.3">
      <c r="A1087" s="1"/>
      <c r="B1087" s="1" t="str">
        <f>IFERROR(IF(LEFT(Sensitivität_bzw_Monte_Carlo_bei_Strom[[#This Row],[Source.Name]],SEARCH("aus_der",Sensitivität_bzw_Monte_Carlo_bei_Strom[[#This Row],[Source.Name]],1))="Auszahlung_a","Auszahlung",""),"")</f>
        <v/>
      </c>
      <c r="D1087" s="1"/>
    </row>
    <row r="1088" spans="1:4" x14ac:dyDescent="0.3">
      <c r="A1088" s="1"/>
      <c r="B1088" s="1" t="str">
        <f>IFERROR(IF(LEFT(Sensitivität_bzw_Monte_Carlo_bei_Strom[[#This Row],[Source.Name]],SEARCH("aus_der",Sensitivität_bzw_Monte_Carlo_bei_Strom[[#This Row],[Source.Name]],1))="Auszahlung_a","Auszahlung",""),"")</f>
        <v/>
      </c>
      <c r="D1088" s="1"/>
    </row>
    <row r="1089" spans="1:4" x14ac:dyDescent="0.3">
      <c r="A1089" s="1"/>
      <c r="B1089" s="1" t="str">
        <f>IFERROR(IF(LEFT(Sensitivität_bzw_Monte_Carlo_bei_Strom[[#This Row],[Source.Name]],SEARCH("aus_der",Sensitivität_bzw_Monte_Carlo_bei_Strom[[#This Row],[Source.Name]],1))="Auszahlung_a","Auszahlung",""),"")</f>
        <v/>
      </c>
      <c r="D1089" s="1"/>
    </row>
    <row r="1090" spans="1:4" x14ac:dyDescent="0.3">
      <c r="A1090" s="1"/>
      <c r="B1090" s="1" t="str">
        <f>IFERROR(IF(LEFT(Sensitivität_bzw_Monte_Carlo_bei_Strom[[#This Row],[Source.Name]],SEARCH("aus_der",Sensitivität_bzw_Monte_Carlo_bei_Strom[[#This Row],[Source.Name]],1))="Auszahlung_a","Auszahlung",""),"")</f>
        <v/>
      </c>
      <c r="D1090" s="1"/>
    </row>
    <row r="1091" spans="1:4" x14ac:dyDescent="0.3">
      <c r="A1091" s="1"/>
      <c r="B1091" s="1" t="str">
        <f>IFERROR(IF(LEFT(Sensitivität_bzw_Monte_Carlo_bei_Strom[[#This Row],[Source.Name]],SEARCH("aus_der",Sensitivität_bzw_Monte_Carlo_bei_Strom[[#This Row],[Source.Name]],1))="Auszahlung_a","Auszahlung",""),"")</f>
        <v/>
      </c>
      <c r="D1091" s="1"/>
    </row>
    <row r="1092" spans="1:4" x14ac:dyDescent="0.3">
      <c r="A1092" s="1"/>
      <c r="B1092" s="1" t="str">
        <f>IFERROR(IF(LEFT(Sensitivität_bzw_Monte_Carlo_bei_Strom[[#This Row],[Source.Name]],SEARCH("aus_der",Sensitivität_bzw_Monte_Carlo_bei_Strom[[#This Row],[Source.Name]],1))="Auszahlung_a","Auszahlung",""),"")</f>
        <v/>
      </c>
      <c r="D1092" s="1"/>
    </row>
    <row r="1093" spans="1:4" x14ac:dyDescent="0.3">
      <c r="A1093" s="1"/>
      <c r="B1093" s="1" t="str">
        <f>IFERROR(IF(LEFT(Sensitivität_bzw_Monte_Carlo_bei_Strom[[#This Row],[Source.Name]],SEARCH("aus_der",Sensitivität_bzw_Monte_Carlo_bei_Strom[[#This Row],[Source.Name]],1))="Auszahlung_a","Auszahlung",""),"")</f>
        <v/>
      </c>
      <c r="D1093" s="1"/>
    </row>
    <row r="1094" spans="1:4" x14ac:dyDescent="0.3">
      <c r="A1094" s="1"/>
      <c r="B1094" s="1" t="str">
        <f>IFERROR(IF(LEFT(Sensitivität_bzw_Monte_Carlo_bei_Strom[[#This Row],[Source.Name]],SEARCH("aus_der",Sensitivität_bzw_Monte_Carlo_bei_Strom[[#This Row],[Source.Name]],1))="Auszahlung_a","Auszahlung",""),"")</f>
        <v/>
      </c>
      <c r="D1094" s="1"/>
    </row>
    <row r="1095" spans="1:4" x14ac:dyDescent="0.3">
      <c r="A1095" s="1"/>
      <c r="B1095" s="1" t="str">
        <f>IFERROR(IF(LEFT(Sensitivität_bzw_Monte_Carlo_bei_Strom[[#This Row],[Source.Name]],SEARCH("aus_der",Sensitivität_bzw_Monte_Carlo_bei_Strom[[#This Row],[Source.Name]],1))="Auszahlung_a","Auszahlung",""),"")</f>
        <v/>
      </c>
      <c r="D1095" s="1"/>
    </row>
    <row r="1096" spans="1:4" x14ac:dyDescent="0.3">
      <c r="A1096" s="1"/>
      <c r="B1096" s="1" t="str">
        <f>IFERROR(IF(LEFT(Sensitivität_bzw_Monte_Carlo_bei_Strom[[#This Row],[Source.Name]],SEARCH("aus_der",Sensitivität_bzw_Monte_Carlo_bei_Strom[[#This Row],[Source.Name]],1))="Auszahlung_a","Auszahlung",""),"")</f>
        <v/>
      </c>
      <c r="D1096" s="1"/>
    </row>
    <row r="1097" spans="1:4" x14ac:dyDescent="0.3">
      <c r="A1097" s="1"/>
      <c r="B1097" s="1" t="str">
        <f>IFERROR(IF(LEFT(Sensitivität_bzw_Monte_Carlo_bei_Strom[[#This Row],[Source.Name]],SEARCH("aus_der",Sensitivität_bzw_Monte_Carlo_bei_Strom[[#This Row],[Source.Name]],1))="Auszahlung_a","Auszahlung",""),"")</f>
        <v/>
      </c>
      <c r="D1097" s="1"/>
    </row>
    <row r="1098" spans="1:4" x14ac:dyDescent="0.3">
      <c r="A1098" s="1"/>
      <c r="B1098" s="1" t="str">
        <f>IFERROR(IF(LEFT(Sensitivität_bzw_Monte_Carlo_bei_Strom[[#This Row],[Source.Name]],SEARCH("aus_der",Sensitivität_bzw_Monte_Carlo_bei_Strom[[#This Row],[Source.Name]],1))="Auszahlung_a","Auszahlung",""),"")</f>
        <v/>
      </c>
      <c r="D1098" s="1"/>
    </row>
    <row r="1099" spans="1:4" x14ac:dyDescent="0.3">
      <c r="A1099" s="1"/>
      <c r="B1099" s="1" t="str">
        <f>IFERROR(IF(LEFT(Sensitivität_bzw_Monte_Carlo_bei_Strom[[#This Row],[Source.Name]],SEARCH("aus_der",Sensitivität_bzw_Monte_Carlo_bei_Strom[[#This Row],[Source.Name]],1))="Auszahlung_a","Auszahlung",""),"")</f>
        <v/>
      </c>
      <c r="D1099" s="1"/>
    </row>
    <row r="1100" spans="1:4" x14ac:dyDescent="0.3">
      <c r="A1100" s="1"/>
      <c r="B1100" s="1" t="str">
        <f>IFERROR(IF(LEFT(Sensitivität_bzw_Monte_Carlo_bei_Strom[[#This Row],[Source.Name]],SEARCH("aus_der",Sensitivität_bzw_Monte_Carlo_bei_Strom[[#This Row],[Source.Name]],1))="Auszahlung_a","Auszahlung",""),"")</f>
        <v/>
      </c>
      <c r="D1100" s="1"/>
    </row>
    <row r="1101" spans="1:4" x14ac:dyDescent="0.3">
      <c r="A1101" s="1"/>
      <c r="B1101" s="1" t="str">
        <f>IFERROR(IF(LEFT(Sensitivität_bzw_Monte_Carlo_bei_Strom[[#This Row],[Source.Name]],SEARCH("aus_der",Sensitivität_bzw_Monte_Carlo_bei_Strom[[#This Row],[Source.Name]],1))="Auszahlung_a","Auszahlung",""),"")</f>
        <v/>
      </c>
      <c r="D1101" s="1"/>
    </row>
    <row r="1102" spans="1:4" x14ac:dyDescent="0.3">
      <c r="A1102" s="1"/>
      <c r="B1102" s="1" t="str">
        <f>IFERROR(IF(LEFT(Sensitivität_bzw_Monte_Carlo_bei_Strom[[#This Row],[Source.Name]],SEARCH("aus_der",Sensitivität_bzw_Monte_Carlo_bei_Strom[[#This Row],[Source.Name]],1))="Auszahlung_a","Auszahlung",""),"")</f>
        <v/>
      </c>
      <c r="D1102" s="1"/>
    </row>
    <row r="1103" spans="1:4" x14ac:dyDescent="0.3">
      <c r="A1103" s="1"/>
      <c r="B1103" s="1" t="str">
        <f>IFERROR(IF(LEFT(Sensitivität_bzw_Monte_Carlo_bei_Strom[[#This Row],[Source.Name]],SEARCH("aus_der",Sensitivität_bzw_Monte_Carlo_bei_Strom[[#This Row],[Source.Name]],1))="Auszahlung_a","Auszahlung",""),"")</f>
        <v/>
      </c>
      <c r="D1103" s="1"/>
    </row>
    <row r="1104" spans="1:4" x14ac:dyDescent="0.3">
      <c r="A1104" s="1"/>
      <c r="B1104" s="1" t="str">
        <f>IFERROR(IF(LEFT(Sensitivität_bzw_Monte_Carlo_bei_Strom[[#This Row],[Source.Name]],SEARCH("aus_der",Sensitivität_bzw_Monte_Carlo_bei_Strom[[#This Row],[Source.Name]],1))="Auszahlung_a","Auszahlung",""),"")</f>
        <v/>
      </c>
      <c r="D1104" s="1"/>
    </row>
    <row r="1105" spans="1:4" x14ac:dyDescent="0.3">
      <c r="A1105" s="1"/>
      <c r="B1105" s="1" t="str">
        <f>IFERROR(IF(LEFT(Sensitivität_bzw_Monte_Carlo_bei_Strom[[#This Row],[Source.Name]],SEARCH("aus_der",Sensitivität_bzw_Monte_Carlo_bei_Strom[[#This Row],[Source.Name]],1))="Auszahlung_a","Auszahlung",""),"")</f>
        <v/>
      </c>
      <c r="D1105" s="1"/>
    </row>
    <row r="1106" spans="1:4" x14ac:dyDescent="0.3">
      <c r="A1106" s="1"/>
      <c r="B1106" s="1" t="str">
        <f>IFERROR(IF(LEFT(Sensitivität_bzw_Monte_Carlo_bei_Strom[[#This Row],[Source.Name]],SEARCH("aus_der",Sensitivität_bzw_Monte_Carlo_bei_Strom[[#This Row],[Source.Name]],1))="Auszahlung_a","Auszahlung",""),"")</f>
        <v/>
      </c>
      <c r="D1106" s="1"/>
    </row>
    <row r="1107" spans="1:4" x14ac:dyDescent="0.3">
      <c r="A1107" s="1"/>
      <c r="B1107" s="1" t="str">
        <f>IFERROR(IF(LEFT(Sensitivität_bzw_Monte_Carlo_bei_Strom[[#This Row],[Source.Name]],SEARCH("aus_der",Sensitivität_bzw_Monte_Carlo_bei_Strom[[#This Row],[Source.Name]],1))="Auszahlung_a","Auszahlung",""),"")</f>
        <v/>
      </c>
      <c r="D1107" s="1"/>
    </row>
    <row r="1108" spans="1:4" x14ac:dyDescent="0.3">
      <c r="A1108" s="1"/>
      <c r="B1108" s="1" t="str">
        <f>IFERROR(IF(LEFT(Sensitivität_bzw_Monte_Carlo_bei_Strom[[#This Row],[Source.Name]],SEARCH("aus_der",Sensitivität_bzw_Monte_Carlo_bei_Strom[[#This Row],[Source.Name]],1))="Auszahlung_a","Auszahlung",""),"")</f>
        <v/>
      </c>
      <c r="D1108" s="1"/>
    </row>
    <row r="1109" spans="1:4" x14ac:dyDescent="0.3">
      <c r="A1109" s="1"/>
      <c r="B1109" s="1" t="str">
        <f>IFERROR(IF(LEFT(Sensitivität_bzw_Monte_Carlo_bei_Strom[[#This Row],[Source.Name]],SEARCH("aus_der",Sensitivität_bzw_Monte_Carlo_bei_Strom[[#This Row],[Source.Name]],1))="Auszahlung_a","Auszahlung",""),"")</f>
        <v/>
      </c>
      <c r="D1109" s="1"/>
    </row>
    <row r="1110" spans="1:4" x14ac:dyDescent="0.3">
      <c r="A1110" s="1"/>
      <c r="B1110" s="1" t="str">
        <f>IFERROR(IF(LEFT(Sensitivität_bzw_Monte_Carlo_bei_Strom[[#This Row],[Source.Name]],SEARCH("aus_der",Sensitivität_bzw_Monte_Carlo_bei_Strom[[#This Row],[Source.Name]],1))="Auszahlung_a","Auszahlung",""),"")</f>
        <v/>
      </c>
      <c r="D1110" s="1"/>
    </row>
    <row r="1111" spans="1:4" x14ac:dyDescent="0.3">
      <c r="A1111" s="1"/>
      <c r="B1111" s="1" t="str">
        <f>IFERROR(IF(LEFT(Sensitivität_bzw_Monte_Carlo_bei_Strom[[#This Row],[Source.Name]],SEARCH("aus_der",Sensitivität_bzw_Monte_Carlo_bei_Strom[[#This Row],[Source.Name]],1))="Auszahlung_a","Auszahlung",""),"")</f>
        <v/>
      </c>
      <c r="D1111" s="1"/>
    </row>
    <row r="1112" spans="1:4" x14ac:dyDescent="0.3">
      <c r="A1112" s="1"/>
      <c r="B1112" s="1" t="str">
        <f>IFERROR(IF(LEFT(Sensitivität_bzw_Monte_Carlo_bei_Strom[[#This Row],[Source.Name]],SEARCH("aus_der",Sensitivität_bzw_Monte_Carlo_bei_Strom[[#This Row],[Source.Name]],1))="Auszahlung_a","Auszahlung",""),"")</f>
        <v/>
      </c>
      <c r="D1112" s="1"/>
    </row>
    <row r="1113" spans="1:4" x14ac:dyDescent="0.3">
      <c r="A1113" s="1"/>
      <c r="B1113" s="1" t="str">
        <f>IFERROR(IF(LEFT(Sensitivität_bzw_Monte_Carlo_bei_Strom[[#This Row],[Source.Name]],SEARCH("aus_der",Sensitivität_bzw_Monte_Carlo_bei_Strom[[#This Row],[Source.Name]],1))="Auszahlung_a","Auszahlung",""),"")</f>
        <v/>
      </c>
      <c r="D1113" s="1"/>
    </row>
    <row r="1114" spans="1:4" x14ac:dyDescent="0.3">
      <c r="A1114" s="1"/>
      <c r="B1114" s="1" t="str">
        <f>IFERROR(IF(LEFT(Sensitivität_bzw_Monte_Carlo_bei_Strom[[#This Row],[Source.Name]],SEARCH("aus_der",Sensitivität_bzw_Monte_Carlo_bei_Strom[[#This Row],[Source.Name]],1))="Auszahlung_a","Auszahlung",""),"")</f>
        <v/>
      </c>
      <c r="D1114" s="1"/>
    </row>
    <row r="1115" spans="1:4" x14ac:dyDescent="0.3">
      <c r="A1115" s="1"/>
      <c r="B1115" s="1" t="str">
        <f>IFERROR(IF(LEFT(Sensitivität_bzw_Monte_Carlo_bei_Strom[[#This Row],[Source.Name]],SEARCH("aus_der",Sensitivität_bzw_Monte_Carlo_bei_Strom[[#This Row],[Source.Name]],1))="Auszahlung_a","Auszahlung",""),"")</f>
        <v/>
      </c>
      <c r="D1115" s="1"/>
    </row>
    <row r="1116" spans="1:4" x14ac:dyDescent="0.3">
      <c r="A1116" s="1"/>
      <c r="B1116" s="1" t="str">
        <f>IFERROR(IF(LEFT(Sensitivität_bzw_Monte_Carlo_bei_Strom[[#This Row],[Source.Name]],SEARCH("aus_der",Sensitivität_bzw_Monte_Carlo_bei_Strom[[#This Row],[Source.Name]],1))="Auszahlung_a","Auszahlung",""),"")</f>
        <v/>
      </c>
      <c r="D1116" s="1"/>
    </row>
    <row r="1117" spans="1:4" x14ac:dyDescent="0.3">
      <c r="A1117" s="1"/>
      <c r="B1117" s="1" t="str">
        <f>IFERROR(IF(LEFT(Sensitivität_bzw_Monte_Carlo_bei_Strom[[#This Row],[Source.Name]],SEARCH("aus_der",Sensitivität_bzw_Monte_Carlo_bei_Strom[[#This Row],[Source.Name]],1))="Auszahlung_a","Auszahlung",""),"")</f>
        <v/>
      </c>
      <c r="D1117" s="1"/>
    </row>
    <row r="1118" spans="1:4" x14ac:dyDescent="0.3">
      <c r="A1118" s="1"/>
      <c r="B1118" s="1" t="str">
        <f>IFERROR(IF(LEFT(Sensitivität_bzw_Monte_Carlo_bei_Strom[[#This Row],[Source.Name]],SEARCH("aus_der",Sensitivität_bzw_Monte_Carlo_bei_Strom[[#This Row],[Source.Name]],1))="Auszahlung_a","Auszahlung",""),"")</f>
        <v/>
      </c>
      <c r="D1118" s="1"/>
    </row>
    <row r="1119" spans="1:4" x14ac:dyDescent="0.3">
      <c r="A1119" s="1"/>
      <c r="B1119" s="1" t="str">
        <f>IFERROR(IF(LEFT(Sensitivität_bzw_Monte_Carlo_bei_Strom[[#This Row],[Source.Name]],SEARCH("aus_der",Sensitivität_bzw_Monte_Carlo_bei_Strom[[#This Row],[Source.Name]],1))="Auszahlung_a","Auszahlung",""),"")</f>
        <v/>
      </c>
      <c r="D1119" s="1"/>
    </row>
    <row r="1120" spans="1:4" x14ac:dyDescent="0.3">
      <c r="A1120" s="1"/>
      <c r="B1120" s="1" t="str">
        <f>IFERROR(IF(LEFT(Sensitivität_bzw_Monte_Carlo_bei_Strom[[#This Row],[Source.Name]],SEARCH("aus_der",Sensitivität_bzw_Monte_Carlo_bei_Strom[[#This Row],[Source.Name]],1))="Auszahlung_a","Auszahlung",""),"")</f>
        <v/>
      </c>
      <c r="D1120" s="1"/>
    </row>
    <row r="1121" spans="1:4" x14ac:dyDescent="0.3">
      <c r="A1121" s="1"/>
      <c r="B1121" s="1" t="str">
        <f>IFERROR(IF(LEFT(Sensitivität_bzw_Monte_Carlo_bei_Strom[[#This Row],[Source.Name]],SEARCH("aus_der",Sensitivität_bzw_Monte_Carlo_bei_Strom[[#This Row],[Source.Name]],1))="Auszahlung_a","Auszahlung",""),"")</f>
        <v/>
      </c>
      <c r="D1121" s="1"/>
    </row>
    <row r="1122" spans="1:4" x14ac:dyDescent="0.3">
      <c r="A1122" s="1"/>
      <c r="B1122" s="1" t="str">
        <f>IFERROR(IF(LEFT(Sensitivität_bzw_Monte_Carlo_bei_Strom[[#This Row],[Source.Name]],SEARCH("aus_der",Sensitivität_bzw_Monte_Carlo_bei_Strom[[#This Row],[Source.Name]],1))="Auszahlung_a","Auszahlung",""),"")</f>
        <v/>
      </c>
      <c r="D1122" s="1"/>
    </row>
    <row r="1123" spans="1:4" x14ac:dyDescent="0.3">
      <c r="A1123" s="1"/>
      <c r="B1123" s="1" t="str">
        <f>IFERROR(IF(LEFT(Sensitivität_bzw_Monte_Carlo_bei_Strom[[#This Row],[Source.Name]],SEARCH("aus_der",Sensitivität_bzw_Monte_Carlo_bei_Strom[[#This Row],[Source.Name]],1))="Auszahlung_a","Auszahlung",""),"")</f>
        <v/>
      </c>
      <c r="D1123" s="1"/>
    </row>
    <row r="1124" spans="1:4" x14ac:dyDescent="0.3">
      <c r="A1124" s="1"/>
      <c r="B1124" s="1" t="str">
        <f>IFERROR(IF(LEFT(Sensitivität_bzw_Monte_Carlo_bei_Strom[[#This Row],[Source.Name]],SEARCH("aus_der",Sensitivität_bzw_Monte_Carlo_bei_Strom[[#This Row],[Source.Name]],1))="Auszahlung_a","Auszahlung",""),"")</f>
        <v/>
      </c>
      <c r="D1124" s="1"/>
    </row>
    <row r="1125" spans="1:4" x14ac:dyDescent="0.3">
      <c r="A1125" s="1"/>
      <c r="B1125" s="1" t="str">
        <f>IFERROR(IF(LEFT(Sensitivität_bzw_Monte_Carlo_bei_Strom[[#This Row],[Source.Name]],SEARCH("aus_der",Sensitivität_bzw_Monte_Carlo_bei_Strom[[#This Row],[Source.Name]],1))="Auszahlung_a","Auszahlung",""),"")</f>
        <v/>
      </c>
      <c r="D1125" s="1"/>
    </row>
    <row r="1126" spans="1:4" x14ac:dyDescent="0.3">
      <c r="A1126" s="1"/>
      <c r="B1126" s="1" t="str">
        <f>IFERROR(IF(LEFT(Sensitivität_bzw_Monte_Carlo_bei_Strom[[#This Row],[Source.Name]],SEARCH("aus_der",Sensitivität_bzw_Monte_Carlo_bei_Strom[[#This Row],[Source.Name]],1))="Auszahlung_a","Auszahlung",""),"")</f>
        <v/>
      </c>
      <c r="D1126" s="1"/>
    </row>
    <row r="1127" spans="1:4" x14ac:dyDescent="0.3">
      <c r="A1127" s="1"/>
      <c r="B1127" s="1" t="str">
        <f>IFERROR(IF(LEFT(Sensitivität_bzw_Monte_Carlo_bei_Strom[[#This Row],[Source.Name]],SEARCH("aus_der",Sensitivität_bzw_Monte_Carlo_bei_Strom[[#This Row],[Source.Name]],1))="Auszahlung_a","Auszahlung",""),"")</f>
        <v/>
      </c>
      <c r="D1127" s="1"/>
    </row>
    <row r="1128" spans="1:4" x14ac:dyDescent="0.3">
      <c r="A1128" s="1"/>
      <c r="B1128" s="1" t="str">
        <f>IFERROR(IF(LEFT(Sensitivität_bzw_Monte_Carlo_bei_Strom[[#This Row],[Source.Name]],SEARCH("aus_der",Sensitivität_bzw_Monte_Carlo_bei_Strom[[#This Row],[Source.Name]],1))="Auszahlung_a","Auszahlung",""),"")</f>
        <v/>
      </c>
      <c r="D1128" s="1"/>
    </row>
    <row r="1129" spans="1:4" x14ac:dyDescent="0.3">
      <c r="A1129" s="1"/>
      <c r="B1129" s="1" t="str">
        <f>IFERROR(IF(LEFT(Sensitivität_bzw_Monte_Carlo_bei_Strom[[#This Row],[Source.Name]],SEARCH("aus_der",Sensitivität_bzw_Monte_Carlo_bei_Strom[[#This Row],[Source.Name]],1))="Auszahlung_a","Auszahlung",""),"")</f>
        <v/>
      </c>
      <c r="D1129" s="1"/>
    </row>
    <row r="1130" spans="1:4" x14ac:dyDescent="0.3">
      <c r="A1130" s="1"/>
      <c r="B1130" s="1" t="str">
        <f>IFERROR(IF(LEFT(Sensitivität_bzw_Monte_Carlo_bei_Strom[[#This Row],[Source.Name]],SEARCH("aus_der",Sensitivität_bzw_Monte_Carlo_bei_Strom[[#This Row],[Source.Name]],1))="Auszahlung_a","Auszahlung",""),"")</f>
        <v/>
      </c>
      <c r="D1130" s="1"/>
    </row>
    <row r="1131" spans="1:4" x14ac:dyDescent="0.3">
      <c r="A1131" s="1"/>
      <c r="B1131" s="1" t="str">
        <f>IFERROR(IF(LEFT(Sensitivität_bzw_Monte_Carlo_bei_Strom[[#This Row],[Source.Name]],SEARCH("aus_der",Sensitivität_bzw_Monte_Carlo_bei_Strom[[#This Row],[Source.Name]],1))="Auszahlung_a","Auszahlung",""),"")</f>
        <v/>
      </c>
      <c r="D1131" s="1"/>
    </row>
    <row r="1132" spans="1:4" x14ac:dyDescent="0.3">
      <c r="A1132" s="1"/>
      <c r="B1132" s="1" t="str">
        <f>IFERROR(IF(LEFT(Sensitivität_bzw_Monte_Carlo_bei_Strom[[#This Row],[Source.Name]],SEARCH("aus_der",Sensitivität_bzw_Monte_Carlo_bei_Strom[[#This Row],[Source.Name]],1))="Auszahlung_a","Auszahlung",""),"")</f>
        <v/>
      </c>
      <c r="D1132" s="1"/>
    </row>
    <row r="1133" spans="1:4" x14ac:dyDescent="0.3">
      <c r="A1133" s="1"/>
      <c r="B1133" s="1" t="str">
        <f>IFERROR(IF(LEFT(Sensitivität_bzw_Monte_Carlo_bei_Strom[[#This Row],[Source.Name]],SEARCH("aus_der",Sensitivität_bzw_Monte_Carlo_bei_Strom[[#This Row],[Source.Name]],1))="Auszahlung_a","Auszahlung",""),"")</f>
        <v/>
      </c>
      <c r="D1133" s="1"/>
    </row>
    <row r="1134" spans="1:4" x14ac:dyDescent="0.3">
      <c r="A1134" s="1"/>
      <c r="B1134" s="1" t="str">
        <f>IFERROR(IF(LEFT(Sensitivität_bzw_Monte_Carlo_bei_Strom[[#This Row],[Source.Name]],SEARCH("aus_der",Sensitivität_bzw_Monte_Carlo_bei_Strom[[#This Row],[Source.Name]],1))="Auszahlung_a","Auszahlung",""),"")</f>
        <v/>
      </c>
      <c r="D1134" s="1"/>
    </row>
    <row r="1135" spans="1:4" x14ac:dyDescent="0.3">
      <c r="A1135" s="1"/>
      <c r="B1135" s="1" t="str">
        <f>IFERROR(IF(LEFT(Sensitivität_bzw_Monte_Carlo_bei_Strom[[#This Row],[Source.Name]],SEARCH("aus_der",Sensitivität_bzw_Monte_Carlo_bei_Strom[[#This Row],[Source.Name]],1))="Auszahlung_a","Auszahlung",""),"")</f>
        <v/>
      </c>
      <c r="D1135" s="1"/>
    </row>
    <row r="1136" spans="1:4" x14ac:dyDescent="0.3">
      <c r="A1136" s="1"/>
      <c r="B1136" s="1" t="str">
        <f>IFERROR(IF(LEFT(Sensitivität_bzw_Monte_Carlo_bei_Strom[[#This Row],[Source.Name]],SEARCH("aus_der",Sensitivität_bzw_Monte_Carlo_bei_Strom[[#This Row],[Source.Name]],1))="Auszahlung_a","Auszahlung",""),"")</f>
        <v/>
      </c>
      <c r="D1136" s="1"/>
    </row>
    <row r="1137" spans="1:4" x14ac:dyDescent="0.3">
      <c r="A1137" s="1"/>
      <c r="B1137" s="1" t="str">
        <f>IFERROR(IF(LEFT(Sensitivität_bzw_Monte_Carlo_bei_Strom[[#This Row],[Source.Name]],SEARCH("aus_der",Sensitivität_bzw_Monte_Carlo_bei_Strom[[#This Row],[Source.Name]],1))="Auszahlung_a","Auszahlung",""),"")</f>
        <v/>
      </c>
      <c r="D1137" s="1"/>
    </row>
    <row r="1138" spans="1:4" x14ac:dyDescent="0.3">
      <c r="A1138" s="1"/>
      <c r="B1138" s="1" t="str">
        <f>IFERROR(IF(LEFT(Sensitivität_bzw_Monte_Carlo_bei_Strom[[#This Row],[Source.Name]],SEARCH("aus_der",Sensitivität_bzw_Monte_Carlo_bei_Strom[[#This Row],[Source.Name]],1))="Auszahlung_a","Auszahlung",""),"")</f>
        <v/>
      </c>
      <c r="D1138" s="1"/>
    </row>
    <row r="1139" spans="1:4" x14ac:dyDescent="0.3">
      <c r="A1139" s="1"/>
      <c r="B1139" s="1" t="str">
        <f>IFERROR(IF(LEFT(Sensitivität_bzw_Monte_Carlo_bei_Strom[[#This Row],[Source.Name]],SEARCH("aus_der",Sensitivität_bzw_Monte_Carlo_bei_Strom[[#This Row],[Source.Name]],1))="Auszahlung_a","Auszahlung",""),"")</f>
        <v/>
      </c>
      <c r="D1139" s="1"/>
    </row>
    <row r="1140" spans="1:4" x14ac:dyDescent="0.3">
      <c r="A1140" s="1"/>
      <c r="B1140" s="1" t="str">
        <f>IFERROR(IF(LEFT(Sensitivität_bzw_Monte_Carlo_bei_Strom[[#This Row],[Source.Name]],SEARCH("aus_der",Sensitivität_bzw_Monte_Carlo_bei_Strom[[#This Row],[Source.Name]],1))="Auszahlung_a","Auszahlung",""),"")</f>
        <v/>
      </c>
      <c r="D1140" s="1"/>
    </row>
    <row r="1141" spans="1:4" x14ac:dyDescent="0.3">
      <c r="A1141" s="1"/>
      <c r="B1141" s="1" t="str">
        <f>IFERROR(IF(LEFT(Sensitivität_bzw_Monte_Carlo_bei_Strom[[#This Row],[Source.Name]],SEARCH("aus_der",Sensitivität_bzw_Monte_Carlo_bei_Strom[[#This Row],[Source.Name]],1))="Auszahlung_a","Auszahlung",""),"")</f>
        <v/>
      </c>
      <c r="D1141" s="1"/>
    </row>
    <row r="1142" spans="1:4" x14ac:dyDescent="0.3">
      <c r="A1142" s="1"/>
      <c r="B1142" s="1" t="str">
        <f>IFERROR(IF(LEFT(Sensitivität_bzw_Monte_Carlo_bei_Strom[[#This Row],[Source.Name]],SEARCH("aus_der",Sensitivität_bzw_Monte_Carlo_bei_Strom[[#This Row],[Source.Name]],1))="Auszahlung_a","Auszahlung",""),"")</f>
        <v/>
      </c>
      <c r="D1142" s="1"/>
    </row>
    <row r="1143" spans="1:4" x14ac:dyDescent="0.3">
      <c r="A1143" s="1"/>
      <c r="B1143" s="1" t="str">
        <f>IFERROR(IF(LEFT(Sensitivität_bzw_Monte_Carlo_bei_Strom[[#This Row],[Source.Name]],SEARCH("aus_der",Sensitivität_bzw_Monte_Carlo_bei_Strom[[#This Row],[Source.Name]],1))="Auszahlung_a","Auszahlung",""),"")</f>
        <v/>
      </c>
      <c r="D1143" s="1"/>
    </row>
    <row r="1144" spans="1:4" x14ac:dyDescent="0.3">
      <c r="A1144" s="1"/>
      <c r="B1144" s="1" t="str">
        <f>IFERROR(IF(LEFT(Sensitivität_bzw_Monte_Carlo_bei_Strom[[#This Row],[Source.Name]],SEARCH("aus_der",Sensitivität_bzw_Monte_Carlo_bei_Strom[[#This Row],[Source.Name]],1))="Auszahlung_a","Auszahlung",""),"")</f>
        <v/>
      </c>
      <c r="D1144" s="1"/>
    </row>
    <row r="1145" spans="1:4" x14ac:dyDescent="0.3">
      <c r="A1145" s="1"/>
      <c r="B1145" s="1" t="str">
        <f>IFERROR(IF(LEFT(Sensitivität_bzw_Monte_Carlo_bei_Strom[[#This Row],[Source.Name]],SEARCH("aus_der",Sensitivität_bzw_Monte_Carlo_bei_Strom[[#This Row],[Source.Name]],1))="Auszahlung_a","Auszahlung",""),"")</f>
        <v/>
      </c>
      <c r="D1145" s="1"/>
    </row>
    <row r="1146" spans="1:4" x14ac:dyDescent="0.3">
      <c r="A1146" s="1"/>
      <c r="B1146" s="1" t="str">
        <f>IFERROR(IF(LEFT(Sensitivität_bzw_Monte_Carlo_bei_Strom[[#This Row],[Source.Name]],SEARCH("aus_der",Sensitivität_bzw_Monte_Carlo_bei_Strom[[#This Row],[Source.Name]],1))="Auszahlung_a","Auszahlung",""),"")</f>
        <v/>
      </c>
      <c r="D1146" s="1"/>
    </row>
    <row r="1147" spans="1:4" x14ac:dyDescent="0.3">
      <c r="A1147" s="1"/>
      <c r="B1147" s="1" t="str">
        <f>IFERROR(IF(LEFT(Sensitivität_bzw_Monte_Carlo_bei_Strom[[#This Row],[Source.Name]],SEARCH("aus_der",Sensitivität_bzw_Monte_Carlo_bei_Strom[[#This Row],[Source.Name]],1))="Auszahlung_a","Auszahlung",""),"")</f>
        <v/>
      </c>
      <c r="D1147" s="1"/>
    </row>
    <row r="1148" spans="1:4" x14ac:dyDescent="0.3">
      <c r="A1148" s="1"/>
      <c r="B1148" s="1" t="str">
        <f>IFERROR(IF(LEFT(Sensitivität_bzw_Monte_Carlo_bei_Strom[[#This Row],[Source.Name]],SEARCH("aus_der",Sensitivität_bzw_Monte_Carlo_bei_Strom[[#This Row],[Source.Name]],1))="Auszahlung_a","Auszahlung",""),"")</f>
        <v/>
      </c>
      <c r="D1148" s="1"/>
    </row>
    <row r="1149" spans="1:4" x14ac:dyDescent="0.3">
      <c r="A1149" s="1"/>
      <c r="B1149" s="1" t="str">
        <f>IFERROR(IF(LEFT(Sensitivität_bzw_Monte_Carlo_bei_Strom[[#This Row],[Source.Name]],SEARCH("aus_der",Sensitivität_bzw_Monte_Carlo_bei_Strom[[#This Row],[Source.Name]],1))="Auszahlung_a","Auszahlung",""),"")</f>
        <v/>
      </c>
      <c r="D1149" s="1"/>
    </row>
    <row r="1150" spans="1:4" x14ac:dyDescent="0.3">
      <c r="A1150" s="1"/>
      <c r="B1150" s="1" t="str">
        <f>IFERROR(IF(LEFT(Sensitivität_bzw_Monte_Carlo_bei_Strom[[#This Row],[Source.Name]],SEARCH("aus_der",Sensitivität_bzw_Monte_Carlo_bei_Strom[[#This Row],[Source.Name]],1))="Auszahlung_a","Auszahlung",""),"")</f>
        <v/>
      </c>
      <c r="D1150" s="1"/>
    </row>
    <row r="1151" spans="1:4" x14ac:dyDescent="0.3">
      <c r="A1151" s="1"/>
      <c r="B1151" s="1" t="str">
        <f>IFERROR(IF(LEFT(Sensitivität_bzw_Monte_Carlo_bei_Strom[[#This Row],[Source.Name]],SEARCH("aus_der",Sensitivität_bzw_Monte_Carlo_bei_Strom[[#This Row],[Source.Name]],1))="Auszahlung_a","Auszahlung",""),"")</f>
        <v/>
      </c>
      <c r="D1151" s="1"/>
    </row>
    <row r="1152" spans="1:4" x14ac:dyDescent="0.3">
      <c r="A1152" s="1"/>
      <c r="B1152" s="1" t="str">
        <f>IFERROR(IF(LEFT(Sensitivität_bzw_Monte_Carlo_bei_Strom[[#This Row],[Source.Name]],SEARCH("aus_der",Sensitivität_bzw_Monte_Carlo_bei_Strom[[#This Row],[Source.Name]],1))="Auszahlung_a","Auszahlung",""),"")</f>
        <v/>
      </c>
      <c r="D1152" s="1"/>
    </row>
    <row r="1153" spans="1:4" x14ac:dyDescent="0.3">
      <c r="A1153" s="1"/>
      <c r="B1153" s="1" t="str">
        <f>IFERROR(IF(LEFT(Sensitivität_bzw_Monte_Carlo_bei_Strom[[#This Row],[Source.Name]],SEARCH("aus_der",Sensitivität_bzw_Monte_Carlo_bei_Strom[[#This Row],[Source.Name]],1))="Auszahlung_a","Auszahlung",""),"")</f>
        <v/>
      </c>
      <c r="D1153" s="1"/>
    </row>
    <row r="1154" spans="1:4" x14ac:dyDescent="0.3">
      <c r="A1154" s="1"/>
      <c r="B1154" s="1" t="str">
        <f>IFERROR(IF(LEFT(Sensitivität_bzw_Monte_Carlo_bei_Strom[[#This Row],[Source.Name]],SEARCH("aus_der",Sensitivität_bzw_Monte_Carlo_bei_Strom[[#This Row],[Source.Name]],1))="Auszahlung_a","Auszahlung",""),"")</f>
        <v/>
      </c>
      <c r="D1154" s="1"/>
    </row>
    <row r="1155" spans="1:4" x14ac:dyDescent="0.3">
      <c r="A1155" s="1"/>
      <c r="B1155" s="1" t="str">
        <f>IFERROR(IF(LEFT(Sensitivität_bzw_Monte_Carlo_bei_Strom[[#This Row],[Source.Name]],SEARCH("aus_der",Sensitivität_bzw_Monte_Carlo_bei_Strom[[#This Row],[Source.Name]],1))="Auszahlung_a","Auszahlung",""),"")</f>
        <v/>
      </c>
      <c r="D1155" s="1"/>
    </row>
    <row r="1156" spans="1:4" x14ac:dyDescent="0.3">
      <c r="A1156" s="1"/>
      <c r="B1156" s="1" t="str">
        <f>IFERROR(IF(LEFT(Sensitivität_bzw_Monte_Carlo_bei_Strom[[#This Row],[Source.Name]],SEARCH("aus_der",Sensitivität_bzw_Monte_Carlo_bei_Strom[[#This Row],[Source.Name]],1))="Auszahlung_a","Auszahlung",""),"")</f>
        <v/>
      </c>
      <c r="D1156" s="1"/>
    </row>
    <row r="1157" spans="1:4" x14ac:dyDescent="0.3">
      <c r="A1157" s="1"/>
      <c r="B1157" s="1" t="str">
        <f>IFERROR(IF(LEFT(Sensitivität_bzw_Monte_Carlo_bei_Strom[[#This Row],[Source.Name]],SEARCH("aus_der",Sensitivität_bzw_Monte_Carlo_bei_Strom[[#This Row],[Source.Name]],1))="Auszahlung_a","Auszahlung",""),"")</f>
        <v/>
      </c>
      <c r="D1157" s="1"/>
    </row>
    <row r="1158" spans="1:4" x14ac:dyDescent="0.3">
      <c r="A1158" s="1"/>
      <c r="B1158" s="1" t="str">
        <f>IFERROR(IF(LEFT(Sensitivität_bzw_Monte_Carlo_bei_Strom[[#This Row],[Source.Name]],SEARCH("aus_der",Sensitivität_bzw_Monte_Carlo_bei_Strom[[#This Row],[Source.Name]],1))="Auszahlung_a","Auszahlung",""),"")</f>
        <v/>
      </c>
      <c r="D1158" s="1"/>
    </row>
    <row r="1159" spans="1:4" x14ac:dyDescent="0.3">
      <c r="A1159" s="1"/>
      <c r="B1159" s="1" t="str">
        <f>IFERROR(IF(LEFT(Sensitivität_bzw_Monte_Carlo_bei_Strom[[#This Row],[Source.Name]],SEARCH("aus_der",Sensitivität_bzw_Monte_Carlo_bei_Strom[[#This Row],[Source.Name]],1))="Auszahlung_a","Auszahlung",""),"")</f>
        <v/>
      </c>
      <c r="D1159" s="1"/>
    </row>
    <row r="1160" spans="1:4" x14ac:dyDescent="0.3">
      <c r="A1160" s="1"/>
      <c r="B1160" s="1" t="str">
        <f>IFERROR(IF(LEFT(Sensitivität_bzw_Monte_Carlo_bei_Strom[[#This Row],[Source.Name]],SEARCH("aus_der",Sensitivität_bzw_Monte_Carlo_bei_Strom[[#This Row],[Source.Name]],1))="Auszahlung_a","Auszahlung",""),"")</f>
        <v/>
      </c>
      <c r="D1160" s="1"/>
    </row>
    <row r="1161" spans="1:4" x14ac:dyDescent="0.3">
      <c r="A1161" s="1"/>
      <c r="B1161" s="1" t="str">
        <f>IFERROR(IF(LEFT(Sensitivität_bzw_Monte_Carlo_bei_Strom[[#This Row],[Source.Name]],SEARCH("aus_der",Sensitivität_bzw_Monte_Carlo_bei_Strom[[#This Row],[Source.Name]],1))="Auszahlung_a","Auszahlung",""),"")</f>
        <v/>
      </c>
      <c r="D1161" s="1"/>
    </row>
    <row r="1162" spans="1:4" x14ac:dyDescent="0.3">
      <c r="A1162" s="1"/>
      <c r="B1162" s="1" t="str">
        <f>IFERROR(IF(LEFT(Sensitivität_bzw_Monte_Carlo_bei_Strom[[#This Row],[Source.Name]],SEARCH("aus_der",Sensitivität_bzw_Monte_Carlo_bei_Strom[[#This Row],[Source.Name]],1))="Auszahlung_a","Auszahlung",""),"")</f>
        <v/>
      </c>
      <c r="D1162" s="1"/>
    </row>
    <row r="1163" spans="1:4" x14ac:dyDescent="0.3">
      <c r="A1163" s="1"/>
      <c r="B1163" s="1" t="str">
        <f>IFERROR(IF(LEFT(Sensitivität_bzw_Monte_Carlo_bei_Strom[[#This Row],[Source.Name]],SEARCH("aus_der",Sensitivität_bzw_Monte_Carlo_bei_Strom[[#This Row],[Source.Name]],1))="Auszahlung_a","Auszahlung",""),"")</f>
        <v/>
      </c>
      <c r="D1163" s="1"/>
    </row>
    <row r="1164" spans="1:4" x14ac:dyDescent="0.3">
      <c r="A1164" s="1"/>
      <c r="B1164" s="1" t="str">
        <f>IFERROR(IF(LEFT(Sensitivität_bzw_Monte_Carlo_bei_Strom[[#This Row],[Source.Name]],SEARCH("aus_der",Sensitivität_bzw_Monte_Carlo_bei_Strom[[#This Row],[Source.Name]],1))="Auszahlung_a","Auszahlung",""),"")</f>
        <v/>
      </c>
      <c r="D1164" s="1"/>
    </row>
    <row r="1165" spans="1:4" x14ac:dyDescent="0.3">
      <c r="A1165" s="1"/>
      <c r="B1165" s="1" t="str">
        <f>IFERROR(IF(LEFT(Sensitivität_bzw_Monte_Carlo_bei_Strom[[#This Row],[Source.Name]],SEARCH("aus_der",Sensitivität_bzw_Monte_Carlo_bei_Strom[[#This Row],[Source.Name]],1))="Auszahlung_a","Auszahlung",""),"")</f>
        <v/>
      </c>
      <c r="D1165" s="1"/>
    </row>
    <row r="1166" spans="1:4" x14ac:dyDescent="0.3">
      <c r="A1166" s="1"/>
      <c r="B1166" s="1" t="str">
        <f>IFERROR(IF(LEFT(Sensitivität_bzw_Monte_Carlo_bei_Strom[[#This Row],[Source.Name]],SEARCH("aus_der",Sensitivität_bzw_Monte_Carlo_bei_Strom[[#This Row],[Source.Name]],1))="Auszahlung_a","Auszahlung",""),"")</f>
        <v/>
      </c>
      <c r="D1166" s="1"/>
    </row>
    <row r="1167" spans="1:4" x14ac:dyDescent="0.3">
      <c r="A1167" s="1"/>
      <c r="B1167" s="1" t="str">
        <f>IFERROR(IF(LEFT(Sensitivität_bzw_Monte_Carlo_bei_Strom[[#This Row],[Source.Name]],SEARCH("aus_der",Sensitivität_bzw_Monte_Carlo_bei_Strom[[#This Row],[Source.Name]],1))="Auszahlung_a","Auszahlung",""),"")</f>
        <v/>
      </c>
      <c r="D1167" s="1"/>
    </row>
    <row r="1168" spans="1:4" x14ac:dyDescent="0.3">
      <c r="A1168" s="1"/>
      <c r="B1168" s="1" t="str">
        <f>IFERROR(IF(LEFT(Sensitivität_bzw_Monte_Carlo_bei_Strom[[#This Row],[Source.Name]],SEARCH("aus_der",Sensitivität_bzw_Monte_Carlo_bei_Strom[[#This Row],[Source.Name]],1))="Auszahlung_a","Auszahlung",""),"")</f>
        <v/>
      </c>
      <c r="D1168" s="1"/>
    </row>
    <row r="1169" spans="1:4" x14ac:dyDescent="0.3">
      <c r="A1169" s="1"/>
      <c r="B1169" s="1" t="str">
        <f>IFERROR(IF(LEFT(Sensitivität_bzw_Monte_Carlo_bei_Strom[[#This Row],[Source.Name]],SEARCH("aus_der",Sensitivität_bzw_Monte_Carlo_bei_Strom[[#This Row],[Source.Name]],1))="Auszahlung_a","Auszahlung",""),"")</f>
        <v/>
      </c>
      <c r="D1169" s="1"/>
    </row>
    <row r="1170" spans="1:4" x14ac:dyDescent="0.3">
      <c r="A1170" s="1"/>
      <c r="B1170" s="1" t="str">
        <f>IFERROR(IF(LEFT(Sensitivität_bzw_Monte_Carlo_bei_Strom[[#This Row],[Source.Name]],SEARCH("aus_der",Sensitivität_bzw_Monte_Carlo_bei_Strom[[#This Row],[Source.Name]],1))="Auszahlung_a","Auszahlung",""),"")</f>
        <v/>
      </c>
      <c r="D1170" s="1"/>
    </row>
    <row r="1171" spans="1:4" x14ac:dyDescent="0.3">
      <c r="A1171" s="1"/>
      <c r="B1171" s="1" t="str">
        <f>IFERROR(IF(LEFT(Sensitivität_bzw_Monte_Carlo_bei_Strom[[#This Row],[Source.Name]],SEARCH("aus_der",Sensitivität_bzw_Monte_Carlo_bei_Strom[[#This Row],[Source.Name]],1))="Auszahlung_a","Auszahlung",""),"")</f>
        <v/>
      </c>
      <c r="D1171" s="1"/>
    </row>
    <row r="1172" spans="1:4" x14ac:dyDescent="0.3">
      <c r="A1172" s="1"/>
      <c r="B1172" s="1" t="str">
        <f>IFERROR(IF(LEFT(Sensitivität_bzw_Monte_Carlo_bei_Strom[[#This Row],[Source.Name]],SEARCH("aus_der",Sensitivität_bzw_Monte_Carlo_bei_Strom[[#This Row],[Source.Name]],1))="Auszahlung_a","Auszahlung",""),"")</f>
        <v/>
      </c>
      <c r="D1172" s="1"/>
    </row>
    <row r="1173" spans="1:4" x14ac:dyDescent="0.3">
      <c r="A1173" s="1"/>
      <c r="B1173" s="1" t="str">
        <f>IFERROR(IF(LEFT(Sensitivität_bzw_Monte_Carlo_bei_Strom[[#This Row],[Source.Name]],SEARCH("aus_der",Sensitivität_bzw_Monte_Carlo_bei_Strom[[#This Row],[Source.Name]],1))="Auszahlung_a","Auszahlung",""),"")</f>
        <v/>
      </c>
      <c r="D1173" s="1"/>
    </row>
    <row r="1174" spans="1:4" x14ac:dyDescent="0.3">
      <c r="A1174" s="1"/>
      <c r="B1174" s="1" t="str">
        <f>IFERROR(IF(LEFT(Sensitivität_bzw_Monte_Carlo_bei_Strom[[#This Row],[Source.Name]],SEARCH("aus_der",Sensitivität_bzw_Monte_Carlo_bei_Strom[[#This Row],[Source.Name]],1))="Auszahlung_a","Auszahlung",""),"")</f>
        <v/>
      </c>
      <c r="D1174" s="1"/>
    </row>
    <row r="1175" spans="1:4" x14ac:dyDescent="0.3">
      <c r="A1175" s="1"/>
      <c r="B1175" s="1" t="str">
        <f>IFERROR(IF(LEFT(Sensitivität_bzw_Monte_Carlo_bei_Strom[[#This Row],[Source.Name]],SEARCH("aus_der",Sensitivität_bzw_Monte_Carlo_bei_Strom[[#This Row],[Source.Name]],1))="Auszahlung_a","Auszahlung",""),"")</f>
        <v/>
      </c>
      <c r="D1175" s="1"/>
    </row>
    <row r="1176" spans="1:4" x14ac:dyDescent="0.3">
      <c r="A1176" s="1"/>
      <c r="B1176" s="1" t="str">
        <f>IFERROR(IF(LEFT(Sensitivität_bzw_Monte_Carlo_bei_Strom[[#This Row],[Source.Name]],SEARCH("aus_der",Sensitivität_bzw_Monte_Carlo_bei_Strom[[#This Row],[Source.Name]],1))="Auszahlung_a","Auszahlung",""),"")</f>
        <v/>
      </c>
      <c r="D1176" s="1"/>
    </row>
    <row r="1177" spans="1:4" x14ac:dyDescent="0.3">
      <c r="A1177" s="1"/>
      <c r="B1177" s="1" t="str">
        <f>IFERROR(IF(LEFT(Sensitivität_bzw_Monte_Carlo_bei_Strom[[#This Row],[Source.Name]],SEARCH("aus_der",Sensitivität_bzw_Monte_Carlo_bei_Strom[[#This Row],[Source.Name]],1))="Auszahlung_a","Auszahlung",""),"")</f>
        <v/>
      </c>
      <c r="D1177" s="1"/>
    </row>
    <row r="1178" spans="1:4" x14ac:dyDescent="0.3">
      <c r="A1178" s="1"/>
      <c r="B1178" s="1" t="str">
        <f>IFERROR(IF(LEFT(Sensitivität_bzw_Monte_Carlo_bei_Strom[[#This Row],[Source.Name]],SEARCH("aus_der",Sensitivität_bzw_Monte_Carlo_bei_Strom[[#This Row],[Source.Name]],1))="Auszahlung_a","Auszahlung",""),"")</f>
        <v/>
      </c>
      <c r="D1178" s="1"/>
    </row>
    <row r="1179" spans="1:4" x14ac:dyDescent="0.3">
      <c r="A1179" s="1"/>
      <c r="B1179" s="1" t="str">
        <f>IFERROR(IF(LEFT(Sensitivität_bzw_Monte_Carlo_bei_Strom[[#This Row],[Source.Name]],SEARCH("aus_der",Sensitivität_bzw_Monte_Carlo_bei_Strom[[#This Row],[Source.Name]],1))="Auszahlung_a","Auszahlung",""),"")</f>
        <v/>
      </c>
      <c r="D1179" s="1"/>
    </row>
    <row r="1180" spans="1:4" x14ac:dyDescent="0.3">
      <c r="A1180" s="1"/>
      <c r="B1180" s="1" t="str">
        <f>IFERROR(IF(LEFT(Sensitivität_bzw_Monte_Carlo_bei_Strom[[#This Row],[Source.Name]],SEARCH("aus_der",Sensitivität_bzw_Monte_Carlo_bei_Strom[[#This Row],[Source.Name]],1))="Auszahlung_a","Auszahlung",""),"")</f>
        <v/>
      </c>
      <c r="D1180" s="1"/>
    </row>
    <row r="1181" spans="1:4" x14ac:dyDescent="0.3">
      <c r="A1181" s="1"/>
      <c r="B1181" s="1" t="str">
        <f>IFERROR(IF(LEFT(Sensitivität_bzw_Monte_Carlo_bei_Strom[[#This Row],[Source.Name]],SEARCH("aus_der",Sensitivität_bzw_Monte_Carlo_bei_Strom[[#This Row],[Source.Name]],1))="Auszahlung_a","Auszahlung",""),"")</f>
        <v/>
      </c>
      <c r="D1181" s="1"/>
    </row>
    <row r="1182" spans="1:4" x14ac:dyDescent="0.3">
      <c r="A1182" s="1"/>
      <c r="B1182" s="1" t="str">
        <f>IFERROR(IF(LEFT(Sensitivität_bzw_Monte_Carlo_bei_Strom[[#This Row],[Source.Name]],SEARCH("aus_der",Sensitivität_bzw_Monte_Carlo_bei_Strom[[#This Row],[Source.Name]],1))="Auszahlung_a","Auszahlung",""),"")</f>
        <v/>
      </c>
      <c r="D1182" s="1"/>
    </row>
    <row r="1183" spans="1:4" x14ac:dyDescent="0.3">
      <c r="A1183" s="1"/>
      <c r="B1183" s="1" t="str">
        <f>IFERROR(IF(LEFT(Sensitivität_bzw_Monte_Carlo_bei_Strom[[#This Row],[Source.Name]],SEARCH("aus_der",Sensitivität_bzw_Monte_Carlo_bei_Strom[[#This Row],[Source.Name]],1))="Auszahlung_a","Auszahlung",""),"")</f>
        <v/>
      </c>
      <c r="D1183" s="1"/>
    </row>
    <row r="1184" spans="1:4" x14ac:dyDescent="0.3">
      <c r="A1184" s="1"/>
      <c r="B1184" s="1" t="str">
        <f>IFERROR(IF(LEFT(Sensitivität_bzw_Monte_Carlo_bei_Strom[[#This Row],[Source.Name]],SEARCH("aus_der",Sensitivität_bzw_Monte_Carlo_bei_Strom[[#This Row],[Source.Name]],1))="Auszahlung_a","Auszahlung",""),"")</f>
        <v/>
      </c>
      <c r="D1184" s="1"/>
    </row>
    <row r="1185" spans="1:4" x14ac:dyDescent="0.3">
      <c r="A1185" s="1"/>
      <c r="B1185" s="1" t="str">
        <f>IFERROR(IF(LEFT(Sensitivität_bzw_Monte_Carlo_bei_Strom[[#This Row],[Source.Name]],SEARCH("aus_der",Sensitivität_bzw_Monte_Carlo_bei_Strom[[#This Row],[Source.Name]],1))="Auszahlung_a","Auszahlung",""),"")</f>
        <v/>
      </c>
      <c r="D1185" s="1"/>
    </row>
    <row r="1186" spans="1:4" x14ac:dyDescent="0.3">
      <c r="A1186" s="1"/>
      <c r="B1186" s="1" t="str">
        <f>IFERROR(IF(LEFT(Sensitivität_bzw_Monte_Carlo_bei_Strom[[#This Row],[Source.Name]],SEARCH("aus_der",Sensitivität_bzw_Monte_Carlo_bei_Strom[[#This Row],[Source.Name]],1))="Auszahlung_a","Auszahlung",""),"")</f>
        <v/>
      </c>
      <c r="D1186" s="1"/>
    </row>
    <row r="1187" spans="1:4" x14ac:dyDescent="0.3">
      <c r="A1187" s="1"/>
      <c r="B1187" s="1" t="str">
        <f>IFERROR(IF(LEFT(Sensitivität_bzw_Monte_Carlo_bei_Strom[[#This Row],[Source.Name]],SEARCH("aus_der",Sensitivität_bzw_Monte_Carlo_bei_Strom[[#This Row],[Source.Name]],1))="Auszahlung_a","Auszahlung",""),"")</f>
        <v/>
      </c>
      <c r="D1187" s="1"/>
    </row>
    <row r="1188" spans="1:4" x14ac:dyDescent="0.3">
      <c r="A1188" s="1"/>
      <c r="B1188" s="1" t="str">
        <f>IFERROR(IF(LEFT(Sensitivität_bzw_Monte_Carlo_bei_Strom[[#This Row],[Source.Name]],SEARCH("aus_der",Sensitivität_bzw_Monte_Carlo_bei_Strom[[#This Row],[Source.Name]],1))="Auszahlung_a","Auszahlung",""),"")</f>
        <v/>
      </c>
      <c r="D1188" s="1"/>
    </row>
    <row r="1189" spans="1:4" x14ac:dyDescent="0.3">
      <c r="A1189" s="1"/>
      <c r="B1189" s="1" t="str">
        <f>IFERROR(IF(LEFT(Sensitivität_bzw_Monte_Carlo_bei_Strom[[#This Row],[Source.Name]],SEARCH("aus_der",Sensitivität_bzw_Monte_Carlo_bei_Strom[[#This Row],[Source.Name]],1))="Auszahlung_a","Auszahlung",""),"")</f>
        <v/>
      </c>
      <c r="D1189" s="1"/>
    </row>
    <row r="1190" spans="1:4" x14ac:dyDescent="0.3">
      <c r="A1190" s="1"/>
      <c r="B1190" s="1" t="str">
        <f>IFERROR(IF(LEFT(Sensitivität_bzw_Monte_Carlo_bei_Strom[[#This Row],[Source.Name]],SEARCH("aus_der",Sensitivität_bzw_Monte_Carlo_bei_Strom[[#This Row],[Source.Name]],1))="Auszahlung_a","Auszahlung",""),"")</f>
        <v/>
      </c>
      <c r="D1190" s="1"/>
    </row>
    <row r="1191" spans="1:4" x14ac:dyDescent="0.3">
      <c r="A1191" s="1"/>
      <c r="B1191" s="1" t="str">
        <f>IFERROR(IF(LEFT(Sensitivität_bzw_Monte_Carlo_bei_Strom[[#This Row],[Source.Name]],SEARCH("aus_der",Sensitivität_bzw_Monte_Carlo_bei_Strom[[#This Row],[Source.Name]],1))="Auszahlung_a","Auszahlung",""),"")</f>
        <v/>
      </c>
      <c r="D1191" s="1"/>
    </row>
    <row r="1192" spans="1:4" x14ac:dyDescent="0.3">
      <c r="A1192" s="1"/>
      <c r="B1192" s="1" t="str">
        <f>IFERROR(IF(LEFT(Sensitivität_bzw_Monte_Carlo_bei_Strom[[#This Row],[Source.Name]],SEARCH("aus_der",Sensitivität_bzw_Monte_Carlo_bei_Strom[[#This Row],[Source.Name]],1))="Auszahlung_a","Auszahlung",""),"")</f>
        <v/>
      </c>
      <c r="D1192" s="1"/>
    </row>
    <row r="1193" spans="1:4" x14ac:dyDescent="0.3">
      <c r="A1193" s="1"/>
      <c r="B1193" s="1" t="str">
        <f>IFERROR(IF(LEFT(Sensitivität_bzw_Monte_Carlo_bei_Strom[[#This Row],[Source.Name]],SEARCH("aus_der",Sensitivität_bzw_Monte_Carlo_bei_Strom[[#This Row],[Source.Name]],1))="Auszahlung_a","Auszahlung",""),"")</f>
        <v/>
      </c>
      <c r="D1193" s="1"/>
    </row>
    <row r="1194" spans="1:4" x14ac:dyDescent="0.3">
      <c r="A1194" s="1"/>
      <c r="B1194" s="1" t="str">
        <f>IFERROR(IF(LEFT(Sensitivität_bzw_Monte_Carlo_bei_Strom[[#This Row],[Source.Name]],SEARCH("aus_der",Sensitivität_bzw_Monte_Carlo_bei_Strom[[#This Row],[Source.Name]],1))="Auszahlung_a","Auszahlung",""),"")</f>
        <v/>
      </c>
      <c r="D1194" s="1"/>
    </row>
    <row r="1195" spans="1:4" x14ac:dyDescent="0.3">
      <c r="A1195" s="1"/>
      <c r="B1195" s="1" t="str">
        <f>IFERROR(IF(LEFT(Sensitivität_bzw_Monte_Carlo_bei_Strom[[#This Row],[Source.Name]],SEARCH("aus_der",Sensitivität_bzw_Monte_Carlo_bei_Strom[[#This Row],[Source.Name]],1))="Auszahlung_a","Auszahlung",""),"")</f>
        <v/>
      </c>
      <c r="D1195" s="1"/>
    </row>
    <row r="1196" spans="1:4" x14ac:dyDescent="0.3">
      <c r="A1196" s="1"/>
      <c r="B1196" s="1" t="str">
        <f>IFERROR(IF(LEFT(Sensitivität_bzw_Monte_Carlo_bei_Strom[[#This Row],[Source.Name]],SEARCH("aus_der",Sensitivität_bzw_Monte_Carlo_bei_Strom[[#This Row],[Source.Name]],1))="Auszahlung_a","Auszahlung",""),"")</f>
        <v/>
      </c>
      <c r="D1196" s="1"/>
    </row>
    <row r="1197" spans="1:4" x14ac:dyDescent="0.3">
      <c r="A1197" s="1"/>
      <c r="B1197" s="1" t="str">
        <f>IFERROR(IF(LEFT(Sensitivität_bzw_Monte_Carlo_bei_Strom[[#This Row],[Source.Name]],SEARCH("aus_der",Sensitivität_bzw_Monte_Carlo_bei_Strom[[#This Row],[Source.Name]],1))="Auszahlung_a","Auszahlung",""),"")</f>
        <v/>
      </c>
      <c r="D1197" s="1"/>
    </row>
    <row r="1198" spans="1:4" x14ac:dyDescent="0.3">
      <c r="A1198" s="1"/>
      <c r="B1198" s="1" t="str">
        <f>IFERROR(IF(LEFT(Sensitivität_bzw_Monte_Carlo_bei_Strom[[#This Row],[Source.Name]],SEARCH("aus_der",Sensitivität_bzw_Monte_Carlo_bei_Strom[[#This Row],[Source.Name]],1))="Auszahlung_a","Auszahlung",""),"")</f>
        <v/>
      </c>
      <c r="D1198" s="1"/>
    </row>
    <row r="1199" spans="1:4" x14ac:dyDescent="0.3">
      <c r="A1199" s="1"/>
      <c r="B1199" s="1" t="str">
        <f>IFERROR(IF(LEFT(Sensitivität_bzw_Monte_Carlo_bei_Strom[[#This Row],[Source.Name]],SEARCH("aus_der",Sensitivität_bzw_Monte_Carlo_bei_Strom[[#This Row],[Source.Name]],1))="Auszahlung_a","Auszahlung",""),"")</f>
        <v/>
      </c>
      <c r="D1199" s="1"/>
    </row>
    <row r="1200" spans="1:4" x14ac:dyDescent="0.3">
      <c r="A1200" s="1"/>
      <c r="B1200" s="1" t="str">
        <f>IFERROR(IF(LEFT(Sensitivität_bzw_Monte_Carlo_bei_Strom[[#This Row],[Source.Name]],SEARCH("aus_der",Sensitivität_bzw_Monte_Carlo_bei_Strom[[#This Row],[Source.Name]],1))="Auszahlung_a","Auszahlung",""),"")</f>
        <v/>
      </c>
      <c r="D1200" s="1"/>
    </row>
    <row r="1201" spans="1:4" x14ac:dyDescent="0.3">
      <c r="A1201" s="1"/>
      <c r="B1201" s="1" t="str">
        <f>IFERROR(IF(LEFT(Sensitivität_bzw_Monte_Carlo_bei_Strom[[#This Row],[Source.Name]],SEARCH("aus_der",Sensitivität_bzw_Monte_Carlo_bei_Strom[[#This Row],[Source.Name]],1))="Auszahlung_a","Auszahlung",""),"")</f>
        <v/>
      </c>
      <c r="D1201" s="1"/>
    </row>
    <row r="1202" spans="1:4" x14ac:dyDescent="0.3">
      <c r="A1202" s="1"/>
      <c r="B1202" s="1" t="str">
        <f>IFERROR(IF(LEFT(Sensitivität_bzw_Monte_Carlo_bei_Strom[[#This Row],[Source.Name]],SEARCH("aus_der",Sensitivität_bzw_Monte_Carlo_bei_Strom[[#This Row],[Source.Name]],1))="Auszahlung_a","Auszahlung",""),"")</f>
        <v/>
      </c>
      <c r="D1202" s="1"/>
    </row>
    <row r="1203" spans="1:4" x14ac:dyDescent="0.3">
      <c r="A1203" s="1"/>
      <c r="B1203" s="1" t="str">
        <f>IFERROR(IF(LEFT(Sensitivität_bzw_Monte_Carlo_bei_Strom[[#This Row],[Source.Name]],SEARCH("aus_der",Sensitivität_bzw_Monte_Carlo_bei_Strom[[#This Row],[Source.Name]],1))="Auszahlung_a","Auszahlung",""),"")</f>
        <v/>
      </c>
      <c r="D1203" s="1"/>
    </row>
    <row r="1204" spans="1:4" x14ac:dyDescent="0.3">
      <c r="A1204" s="1"/>
      <c r="B1204" s="1" t="str">
        <f>IFERROR(IF(LEFT(Sensitivität_bzw_Monte_Carlo_bei_Strom[[#This Row],[Source.Name]],SEARCH("aus_der",Sensitivität_bzw_Monte_Carlo_bei_Strom[[#This Row],[Source.Name]],1))="Auszahlung_a","Auszahlung",""),"")</f>
        <v/>
      </c>
      <c r="D1204" s="1"/>
    </row>
    <row r="1205" spans="1:4" x14ac:dyDescent="0.3">
      <c r="A1205" s="1"/>
      <c r="B1205" s="1" t="str">
        <f>IFERROR(IF(LEFT(Sensitivität_bzw_Monte_Carlo_bei_Strom[[#This Row],[Source.Name]],SEARCH("aus_der",Sensitivität_bzw_Monte_Carlo_bei_Strom[[#This Row],[Source.Name]],1))="Auszahlung_a","Auszahlung",""),"")</f>
        <v/>
      </c>
      <c r="D1205" s="1"/>
    </row>
    <row r="1206" spans="1:4" x14ac:dyDescent="0.3">
      <c r="A1206" s="1"/>
      <c r="B1206" s="1" t="str">
        <f>IFERROR(IF(LEFT(Sensitivität_bzw_Monte_Carlo_bei_Strom[[#This Row],[Source.Name]],SEARCH("aus_der",Sensitivität_bzw_Monte_Carlo_bei_Strom[[#This Row],[Source.Name]],1))="Auszahlung_a","Auszahlung",""),"")</f>
        <v/>
      </c>
      <c r="D1206" s="1"/>
    </row>
    <row r="1207" spans="1:4" x14ac:dyDescent="0.3">
      <c r="A1207" s="1"/>
      <c r="B1207" s="1" t="str">
        <f>IFERROR(IF(LEFT(Sensitivität_bzw_Monte_Carlo_bei_Strom[[#This Row],[Source.Name]],SEARCH("aus_der",Sensitivität_bzw_Monte_Carlo_bei_Strom[[#This Row],[Source.Name]],1))="Auszahlung_a","Auszahlung",""),"")</f>
        <v/>
      </c>
      <c r="D1207" s="1"/>
    </row>
    <row r="1208" spans="1:4" x14ac:dyDescent="0.3">
      <c r="A1208" s="1"/>
      <c r="B1208" s="1" t="str">
        <f>IFERROR(IF(LEFT(Sensitivität_bzw_Monte_Carlo_bei_Strom[[#This Row],[Source.Name]],SEARCH("aus_der",Sensitivität_bzw_Monte_Carlo_bei_Strom[[#This Row],[Source.Name]],1))="Auszahlung_a","Auszahlung",""),"")</f>
        <v/>
      </c>
      <c r="D1208" s="1"/>
    </row>
    <row r="1209" spans="1:4" x14ac:dyDescent="0.3">
      <c r="A1209" s="1"/>
      <c r="B1209" s="1" t="str">
        <f>IFERROR(IF(LEFT(Sensitivität_bzw_Monte_Carlo_bei_Strom[[#This Row],[Source.Name]],SEARCH("aus_der",Sensitivität_bzw_Monte_Carlo_bei_Strom[[#This Row],[Source.Name]],1))="Auszahlung_a","Auszahlung",""),"")</f>
        <v/>
      </c>
      <c r="D1209" s="1"/>
    </row>
    <row r="1210" spans="1:4" x14ac:dyDescent="0.3">
      <c r="A1210" s="1"/>
      <c r="B1210" s="1" t="str">
        <f>IFERROR(IF(LEFT(Sensitivität_bzw_Monte_Carlo_bei_Strom[[#This Row],[Source.Name]],SEARCH("aus_der",Sensitivität_bzw_Monte_Carlo_bei_Strom[[#This Row],[Source.Name]],1))="Auszahlung_a","Auszahlung",""),"")</f>
        <v/>
      </c>
      <c r="D1210" s="1"/>
    </row>
    <row r="1211" spans="1:4" x14ac:dyDescent="0.3">
      <c r="A1211" s="1"/>
      <c r="B1211" s="1" t="str">
        <f>IFERROR(IF(LEFT(Sensitivität_bzw_Monte_Carlo_bei_Strom[[#This Row],[Source.Name]],SEARCH("aus_der",Sensitivität_bzw_Monte_Carlo_bei_Strom[[#This Row],[Source.Name]],1))="Auszahlung_a","Auszahlung",""),"")</f>
        <v/>
      </c>
      <c r="D1211" s="1"/>
    </row>
    <row r="1212" spans="1:4" x14ac:dyDescent="0.3">
      <c r="A1212" s="1"/>
      <c r="B1212" s="1" t="str">
        <f>IFERROR(IF(LEFT(Sensitivität_bzw_Monte_Carlo_bei_Strom[[#This Row],[Source.Name]],SEARCH("aus_der",Sensitivität_bzw_Monte_Carlo_bei_Strom[[#This Row],[Source.Name]],1))="Auszahlung_a","Auszahlung",""),"")</f>
        <v/>
      </c>
      <c r="D1212" s="1"/>
    </row>
    <row r="1213" spans="1:4" x14ac:dyDescent="0.3">
      <c r="A1213" s="1"/>
      <c r="B1213" s="1" t="str">
        <f>IFERROR(IF(LEFT(Sensitivität_bzw_Monte_Carlo_bei_Strom[[#This Row],[Source.Name]],SEARCH("aus_der",Sensitivität_bzw_Monte_Carlo_bei_Strom[[#This Row],[Source.Name]],1))="Auszahlung_a","Auszahlung",""),"")</f>
        <v/>
      </c>
      <c r="D1213" s="1"/>
    </row>
    <row r="1214" spans="1:4" x14ac:dyDescent="0.3">
      <c r="A1214" s="1"/>
      <c r="B1214" s="1" t="str">
        <f>IFERROR(IF(LEFT(Sensitivität_bzw_Monte_Carlo_bei_Strom[[#This Row],[Source.Name]],SEARCH("aus_der",Sensitivität_bzw_Monte_Carlo_bei_Strom[[#This Row],[Source.Name]],1))="Auszahlung_a","Auszahlung",""),"")</f>
        <v/>
      </c>
      <c r="D1214" s="1"/>
    </row>
    <row r="1215" spans="1:4" x14ac:dyDescent="0.3">
      <c r="A1215" s="1"/>
      <c r="B1215" s="1" t="str">
        <f>IFERROR(IF(LEFT(Sensitivität_bzw_Monte_Carlo_bei_Strom[[#This Row],[Source.Name]],SEARCH("aus_der",Sensitivität_bzw_Monte_Carlo_bei_Strom[[#This Row],[Source.Name]],1))="Auszahlung_a","Auszahlung",""),"")</f>
        <v/>
      </c>
      <c r="D1215" s="1"/>
    </row>
    <row r="1216" spans="1:4" x14ac:dyDescent="0.3">
      <c r="A1216" s="1"/>
      <c r="B1216" s="1" t="str">
        <f>IFERROR(IF(LEFT(Sensitivität_bzw_Monte_Carlo_bei_Strom[[#This Row],[Source.Name]],SEARCH("aus_der",Sensitivität_bzw_Monte_Carlo_bei_Strom[[#This Row],[Source.Name]],1))="Auszahlung_a","Auszahlung",""),"")</f>
        <v/>
      </c>
      <c r="D1216" s="1"/>
    </row>
    <row r="1217" spans="1:4" x14ac:dyDescent="0.3">
      <c r="A1217" s="1"/>
      <c r="B1217" s="1" t="str">
        <f>IFERROR(IF(LEFT(Sensitivität_bzw_Monte_Carlo_bei_Strom[[#This Row],[Source.Name]],SEARCH("aus_der",Sensitivität_bzw_Monte_Carlo_bei_Strom[[#This Row],[Source.Name]],1))="Auszahlung_a","Auszahlung",""),"")</f>
        <v/>
      </c>
      <c r="D1217" s="1"/>
    </row>
    <row r="1218" spans="1:4" x14ac:dyDescent="0.3">
      <c r="A1218" s="1"/>
      <c r="B1218" s="1" t="str">
        <f>IFERROR(IF(LEFT(Sensitivität_bzw_Monte_Carlo_bei_Strom[[#This Row],[Source.Name]],SEARCH("aus_der",Sensitivität_bzw_Monte_Carlo_bei_Strom[[#This Row],[Source.Name]],1))="Auszahlung_a","Auszahlung",""),"")</f>
        <v/>
      </c>
      <c r="D1218" s="1"/>
    </row>
    <row r="1219" spans="1:4" x14ac:dyDescent="0.3">
      <c r="A1219" s="1"/>
      <c r="B1219" s="1" t="str">
        <f>IFERROR(IF(LEFT(Sensitivität_bzw_Monte_Carlo_bei_Strom[[#This Row],[Source.Name]],SEARCH("aus_der",Sensitivität_bzw_Monte_Carlo_bei_Strom[[#This Row],[Source.Name]],1))="Auszahlung_a","Auszahlung",""),"")</f>
        <v/>
      </c>
      <c r="D1219" s="1"/>
    </row>
    <row r="1220" spans="1:4" x14ac:dyDescent="0.3">
      <c r="A1220" s="1"/>
      <c r="B1220" s="1" t="str">
        <f>IFERROR(IF(LEFT(Sensitivität_bzw_Monte_Carlo_bei_Strom[[#This Row],[Source.Name]],SEARCH("aus_der",Sensitivität_bzw_Monte_Carlo_bei_Strom[[#This Row],[Source.Name]],1))="Auszahlung_a","Auszahlung",""),"")</f>
        <v/>
      </c>
      <c r="D1220" s="1"/>
    </row>
    <row r="1221" spans="1:4" x14ac:dyDescent="0.3">
      <c r="A1221" s="1"/>
      <c r="B1221" s="1" t="str">
        <f>IFERROR(IF(LEFT(Sensitivität_bzw_Monte_Carlo_bei_Strom[[#This Row],[Source.Name]],SEARCH("aus_der",Sensitivität_bzw_Monte_Carlo_bei_Strom[[#This Row],[Source.Name]],1))="Auszahlung_a","Auszahlung",""),"")</f>
        <v/>
      </c>
      <c r="D1221" s="1"/>
    </row>
    <row r="1222" spans="1:4" x14ac:dyDescent="0.3">
      <c r="A1222" s="1"/>
      <c r="B1222" s="1" t="str">
        <f>IFERROR(IF(LEFT(Sensitivität_bzw_Monte_Carlo_bei_Strom[[#This Row],[Source.Name]],SEARCH("aus_der",Sensitivität_bzw_Monte_Carlo_bei_Strom[[#This Row],[Source.Name]],1))="Auszahlung_a","Auszahlung",""),"")</f>
        <v/>
      </c>
      <c r="D1222" s="1"/>
    </row>
    <row r="1223" spans="1:4" x14ac:dyDescent="0.3">
      <c r="A1223" s="1"/>
      <c r="B1223" s="1" t="str">
        <f>IFERROR(IF(LEFT(Sensitivität_bzw_Monte_Carlo_bei_Strom[[#This Row],[Source.Name]],SEARCH("aus_der",Sensitivität_bzw_Monte_Carlo_bei_Strom[[#This Row],[Source.Name]],1))="Auszahlung_a","Auszahlung",""),"")</f>
        <v/>
      </c>
      <c r="D1223" s="1"/>
    </row>
    <row r="1224" spans="1:4" x14ac:dyDescent="0.3">
      <c r="A1224" s="1"/>
      <c r="B1224" s="1" t="str">
        <f>IFERROR(IF(LEFT(Sensitivität_bzw_Monte_Carlo_bei_Strom[[#This Row],[Source.Name]],SEARCH("aus_der",Sensitivität_bzw_Monte_Carlo_bei_Strom[[#This Row],[Source.Name]],1))="Auszahlung_a","Auszahlung",""),"")</f>
        <v/>
      </c>
      <c r="D1224" s="1"/>
    </row>
    <row r="1225" spans="1:4" x14ac:dyDescent="0.3">
      <c r="A1225" s="1"/>
      <c r="B1225" s="1" t="str">
        <f>IFERROR(IF(LEFT(Sensitivität_bzw_Monte_Carlo_bei_Strom[[#This Row],[Source.Name]],SEARCH("aus_der",Sensitivität_bzw_Monte_Carlo_bei_Strom[[#This Row],[Source.Name]],1))="Auszahlung_a","Auszahlung",""),"")</f>
        <v/>
      </c>
      <c r="D1225" s="1"/>
    </row>
    <row r="1226" spans="1:4" x14ac:dyDescent="0.3">
      <c r="A1226" s="1"/>
      <c r="B1226" s="1" t="str">
        <f>IFERROR(IF(LEFT(Sensitivität_bzw_Monte_Carlo_bei_Strom[[#This Row],[Source.Name]],SEARCH("aus_der",Sensitivität_bzw_Monte_Carlo_bei_Strom[[#This Row],[Source.Name]],1))="Auszahlung_a","Auszahlung",""),"")</f>
        <v/>
      </c>
      <c r="D1226" s="1"/>
    </row>
    <row r="1227" spans="1:4" x14ac:dyDescent="0.3">
      <c r="A1227" s="1"/>
      <c r="B1227" s="1" t="str">
        <f>IFERROR(IF(LEFT(Sensitivität_bzw_Monte_Carlo_bei_Strom[[#This Row],[Source.Name]],SEARCH("aus_der",Sensitivität_bzw_Monte_Carlo_bei_Strom[[#This Row],[Source.Name]],1))="Auszahlung_a","Auszahlung",""),"")</f>
        <v/>
      </c>
      <c r="D1227" s="1"/>
    </row>
    <row r="1228" spans="1:4" x14ac:dyDescent="0.3">
      <c r="A1228" s="1"/>
      <c r="B1228" s="1" t="str">
        <f>IFERROR(IF(LEFT(Sensitivität_bzw_Monte_Carlo_bei_Strom[[#This Row],[Source.Name]],SEARCH("aus_der",Sensitivität_bzw_Monte_Carlo_bei_Strom[[#This Row],[Source.Name]],1))="Auszahlung_a","Auszahlung",""),"")</f>
        <v/>
      </c>
      <c r="D1228" s="1"/>
    </row>
    <row r="1229" spans="1:4" x14ac:dyDescent="0.3">
      <c r="A1229" s="1"/>
      <c r="B1229" s="1" t="str">
        <f>IFERROR(IF(LEFT(Sensitivität_bzw_Monte_Carlo_bei_Strom[[#This Row],[Source.Name]],SEARCH("aus_der",Sensitivität_bzw_Monte_Carlo_bei_Strom[[#This Row],[Source.Name]],1))="Auszahlung_a","Auszahlung",""),"")</f>
        <v/>
      </c>
      <c r="D1229" s="1"/>
    </row>
    <row r="1230" spans="1:4" x14ac:dyDescent="0.3">
      <c r="A1230" s="1"/>
      <c r="B1230" s="1" t="str">
        <f>IFERROR(IF(LEFT(Sensitivität_bzw_Monte_Carlo_bei_Strom[[#This Row],[Source.Name]],SEARCH("aus_der",Sensitivität_bzw_Monte_Carlo_bei_Strom[[#This Row],[Source.Name]],1))="Auszahlung_a","Auszahlung",""),"")</f>
        <v/>
      </c>
      <c r="D1230" s="1"/>
    </row>
    <row r="1231" spans="1:4" x14ac:dyDescent="0.3">
      <c r="A1231" s="1"/>
      <c r="B1231" s="1" t="str">
        <f>IFERROR(IF(LEFT(Sensitivität_bzw_Monte_Carlo_bei_Strom[[#This Row],[Source.Name]],SEARCH("aus_der",Sensitivität_bzw_Monte_Carlo_bei_Strom[[#This Row],[Source.Name]],1))="Auszahlung_a","Auszahlung",""),"")</f>
        <v/>
      </c>
      <c r="D1231" s="1"/>
    </row>
    <row r="1232" spans="1:4" x14ac:dyDescent="0.3">
      <c r="A1232" s="1"/>
      <c r="B1232" s="1" t="str">
        <f>IFERROR(IF(LEFT(Sensitivität_bzw_Monte_Carlo_bei_Strom[[#This Row],[Source.Name]],SEARCH("aus_der",Sensitivität_bzw_Monte_Carlo_bei_Strom[[#This Row],[Source.Name]],1))="Auszahlung_a","Auszahlung",""),"")</f>
        <v/>
      </c>
      <c r="D1232" s="1"/>
    </row>
    <row r="1233" spans="1:4" x14ac:dyDescent="0.3">
      <c r="A1233" s="1"/>
      <c r="B1233" s="1" t="str">
        <f>IFERROR(IF(LEFT(Sensitivität_bzw_Monte_Carlo_bei_Strom[[#This Row],[Source.Name]],SEARCH("aus_der",Sensitivität_bzw_Monte_Carlo_bei_Strom[[#This Row],[Source.Name]],1))="Auszahlung_a","Auszahlung",""),"")</f>
        <v/>
      </c>
      <c r="D1233" s="1"/>
    </row>
    <row r="1234" spans="1:4" x14ac:dyDescent="0.3">
      <c r="A1234" s="1"/>
      <c r="B1234" s="1" t="str">
        <f>IFERROR(IF(LEFT(Sensitivität_bzw_Monte_Carlo_bei_Strom[[#This Row],[Source.Name]],SEARCH("aus_der",Sensitivität_bzw_Monte_Carlo_bei_Strom[[#This Row],[Source.Name]],1))="Auszahlung_a","Auszahlung",""),"")</f>
        <v/>
      </c>
      <c r="D1234" s="1"/>
    </row>
    <row r="1235" spans="1:4" x14ac:dyDescent="0.3">
      <c r="A1235" s="1"/>
      <c r="B1235" s="1" t="str">
        <f>IFERROR(IF(LEFT(Sensitivität_bzw_Monte_Carlo_bei_Strom[[#This Row],[Source.Name]],SEARCH("aus_der",Sensitivität_bzw_Monte_Carlo_bei_Strom[[#This Row],[Source.Name]],1))="Auszahlung_a","Auszahlung",""),"")</f>
        <v/>
      </c>
      <c r="D1235" s="1"/>
    </row>
    <row r="1236" spans="1:4" x14ac:dyDescent="0.3">
      <c r="A1236" s="1"/>
      <c r="B1236" s="1" t="str">
        <f>IFERROR(IF(LEFT(Sensitivität_bzw_Monte_Carlo_bei_Strom[[#This Row],[Source.Name]],SEARCH("aus_der",Sensitivität_bzw_Monte_Carlo_bei_Strom[[#This Row],[Source.Name]],1))="Auszahlung_a","Auszahlung",""),"")</f>
        <v/>
      </c>
      <c r="D1236" s="1"/>
    </row>
    <row r="1237" spans="1:4" x14ac:dyDescent="0.3">
      <c r="A1237" s="1"/>
      <c r="B1237" s="1" t="str">
        <f>IFERROR(IF(LEFT(Sensitivität_bzw_Monte_Carlo_bei_Strom[[#This Row],[Source.Name]],SEARCH("aus_der",Sensitivität_bzw_Monte_Carlo_bei_Strom[[#This Row],[Source.Name]],1))="Auszahlung_a","Auszahlung",""),"")</f>
        <v/>
      </c>
      <c r="D1237" s="1"/>
    </row>
    <row r="1238" spans="1:4" x14ac:dyDescent="0.3">
      <c r="A1238" s="1"/>
      <c r="B1238" s="1" t="str">
        <f>IFERROR(IF(LEFT(Sensitivität_bzw_Monte_Carlo_bei_Strom[[#This Row],[Source.Name]],SEARCH("aus_der",Sensitivität_bzw_Monte_Carlo_bei_Strom[[#This Row],[Source.Name]],1))="Auszahlung_a","Auszahlung",""),"")</f>
        <v/>
      </c>
      <c r="D1238" s="1"/>
    </row>
    <row r="1239" spans="1:4" x14ac:dyDescent="0.3">
      <c r="A1239" s="1"/>
      <c r="B1239" s="1" t="str">
        <f>IFERROR(IF(LEFT(Sensitivität_bzw_Monte_Carlo_bei_Strom[[#This Row],[Source.Name]],SEARCH("aus_der",Sensitivität_bzw_Monte_Carlo_bei_Strom[[#This Row],[Source.Name]],1))="Auszahlung_a","Auszahlung",""),"")</f>
        <v/>
      </c>
      <c r="D1239" s="1"/>
    </row>
    <row r="1240" spans="1:4" x14ac:dyDescent="0.3">
      <c r="A1240" s="1"/>
      <c r="B1240" s="1" t="str">
        <f>IFERROR(IF(LEFT(Sensitivität_bzw_Monte_Carlo_bei_Strom[[#This Row],[Source.Name]],SEARCH("aus_der",Sensitivität_bzw_Monte_Carlo_bei_Strom[[#This Row],[Source.Name]],1))="Auszahlung_a","Auszahlung",""),"")</f>
        <v/>
      </c>
      <c r="D1240" s="1"/>
    </row>
    <row r="1241" spans="1:4" x14ac:dyDescent="0.3">
      <c r="A1241" s="1"/>
      <c r="B1241" s="1" t="str">
        <f>IFERROR(IF(LEFT(Sensitivität_bzw_Monte_Carlo_bei_Strom[[#This Row],[Source.Name]],SEARCH("aus_der",Sensitivität_bzw_Monte_Carlo_bei_Strom[[#This Row],[Source.Name]],1))="Auszahlung_a","Auszahlung",""),"")</f>
        <v/>
      </c>
      <c r="D1241" s="1"/>
    </row>
    <row r="1242" spans="1:4" x14ac:dyDescent="0.3">
      <c r="A1242" s="1"/>
      <c r="B1242" s="1" t="str">
        <f>IFERROR(IF(LEFT(Sensitivität_bzw_Monte_Carlo_bei_Strom[[#This Row],[Source.Name]],SEARCH("aus_der",Sensitivität_bzw_Monte_Carlo_bei_Strom[[#This Row],[Source.Name]],1))="Auszahlung_a","Auszahlung",""),"")</f>
        <v/>
      </c>
      <c r="D1242" s="1"/>
    </row>
    <row r="1243" spans="1:4" x14ac:dyDescent="0.3">
      <c r="A1243" s="1"/>
      <c r="B1243" s="1" t="str">
        <f>IFERROR(IF(LEFT(Sensitivität_bzw_Monte_Carlo_bei_Strom[[#This Row],[Source.Name]],SEARCH("aus_der",Sensitivität_bzw_Monte_Carlo_bei_Strom[[#This Row],[Source.Name]],1))="Auszahlung_a","Auszahlung",""),"")</f>
        <v/>
      </c>
      <c r="D1243" s="1"/>
    </row>
    <row r="1244" spans="1:4" x14ac:dyDescent="0.3">
      <c r="A1244" s="1"/>
      <c r="B1244" s="1" t="str">
        <f>IFERROR(IF(LEFT(Sensitivität_bzw_Monte_Carlo_bei_Strom[[#This Row],[Source.Name]],SEARCH("aus_der",Sensitivität_bzw_Monte_Carlo_bei_Strom[[#This Row],[Source.Name]],1))="Auszahlung_a","Auszahlung",""),"")</f>
        <v/>
      </c>
      <c r="D1244" s="1"/>
    </row>
    <row r="1245" spans="1:4" x14ac:dyDescent="0.3">
      <c r="A1245" s="1"/>
      <c r="B1245" s="1" t="str">
        <f>IFERROR(IF(LEFT(Sensitivität_bzw_Monte_Carlo_bei_Strom[[#This Row],[Source.Name]],SEARCH("aus_der",Sensitivität_bzw_Monte_Carlo_bei_Strom[[#This Row],[Source.Name]],1))="Auszahlung_a","Auszahlung",""),"")</f>
        <v/>
      </c>
      <c r="D1245" s="1"/>
    </row>
    <row r="1246" spans="1:4" x14ac:dyDescent="0.3">
      <c r="A1246" s="1"/>
      <c r="B1246" s="1" t="str">
        <f>IFERROR(IF(LEFT(Sensitivität_bzw_Monte_Carlo_bei_Strom[[#This Row],[Source.Name]],SEARCH("aus_der",Sensitivität_bzw_Monte_Carlo_bei_Strom[[#This Row],[Source.Name]],1))="Auszahlung_a","Auszahlung",""),"")</f>
        <v/>
      </c>
      <c r="D1246" s="1"/>
    </row>
    <row r="1247" spans="1:4" x14ac:dyDescent="0.3">
      <c r="A1247" s="1"/>
      <c r="B1247" s="1" t="str">
        <f>IFERROR(IF(LEFT(Sensitivität_bzw_Monte_Carlo_bei_Strom[[#This Row],[Source.Name]],SEARCH("aus_der",Sensitivität_bzw_Monte_Carlo_bei_Strom[[#This Row],[Source.Name]],1))="Auszahlung_a","Auszahlung",""),"")</f>
        <v/>
      </c>
      <c r="D1247" s="1"/>
    </row>
    <row r="1248" spans="1:4" x14ac:dyDescent="0.3">
      <c r="A1248" s="1"/>
      <c r="B1248" s="1" t="str">
        <f>IFERROR(IF(LEFT(Sensitivität_bzw_Monte_Carlo_bei_Strom[[#This Row],[Source.Name]],SEARCH("aus_der",Sensitivität_bzw_Monte_Carlo_bei_Strom[[#This Row],[Source.Name]],1))="Auszahlung_a","Auszahlung",""),"")</f>
        <v/>
      </c>
      <c r="D1248" s="1"/>
    </row>
    <row r="1249" spans="1:4" x14ac:dyDescent="0.3">
      <c r="A1249" s="1"/>
      <c r="B1249" s="1" t="str">
        <f>IFERROR(IF(LEFT(Sensitivität_bzw_Monte_Carlo_bei_Strom[[#This Row],[Source.Name]],SEARCH("aus_der",Sensitivität_bzw_Monte_Carlo_bei_Strom[[#This Row],[Source.Name]],1))="Auszahlung_a","Auszahlung",""),"")</f>
        <v/>
      </c>
      <c r="D1249" s="1"/>
    </row>
    <row r="1250" spans="1:4" x14ac:dyDescent="0.3">
      <c r="A1250" s="1"/>
      <c r="B1250" s="1" t="str">
        <f>IFERROR(IF(LEFT(Sensitivität_bzw_Monte_Carlo_bei_Strom[[#This Row],[Source.Name]],SEARCH("aus_der",Sensitivität_bzw_Monte_Carlo_bei_Strom[[#This Row],[Source.Name]],1))="Auszahlung_a","Auszahlung",""),"")</f>
        <v/>
      </c>
      <c r="D1250" s="1"/>
    </row>
    <row r="1251" spans="1:4" x14ac:dyDescent="0.3">
      <c r="A1251" s="1"/>
      <c r="B1251" s="1" t="str">
        <f>IFERROR(IF(LEFT(Sensitivität_bzw_Monte_Carlo_bei_Strom[[#This Row],[Source.Name]],SEARCH("aus_der",Sensitivität_bzw_Monte_Carlo_bei_Strom[[#This Row],[Source.Name]],1))="Auszahlung_a","Auszahlung",""),"")</f>
        <v/>
      </c>
      <c r="D1251" s="1"/>
    </row>
    <row r="1252" spans="1:4" x14ac:dyDescent="0.3">
      <c r="A1252" s="1"/>
      <c r="B1252" s="1" t="str">
        <f>IFERROR(IF(LEFT(Sensitivität_bzw_Monte_Carlo_bei_Strom[[#This Row],[Source.Name]],SEARCH("aus_der",Sensitivität_bzw_Monte_Carlo_bei_Strom[[#This Row],[Source.Name]],1))="Auszahlung_a","Auszahlung",""),"")</f>
        <v/>
      </c>
      <c r="D1252" s="1"/>
    </row>
    <row r="1253" spans="1:4" x14ac:dyDescent="0.3">
      <c r="A1253" s="1"/>
      <c r="B1253" s="1" t="str">
        <f>IFERROR(IF(LEFT(Sensitivität_bzw_Monte_Carlo_bei_Strom[[#This Row],[Source.Name]],SEARCH("aus_der",Sensitivität_bzw_Monte_Carlo_bei_Strom[[#This Row],[Source.Name]],1))="Auszahlung_a","Auszahlung",""),"")</f>
        <v/>
      </c>
      <c r="D1253" s="1"/>
    </row>
    <row r="1254" spans="1:4" x14ac:dyDescent="0.3">
      <c r="A1254" s="1"/>
      <c r="B1254" s="1" t="str">
        <f>IFERROR(IF(LEFT(Sensitivität_bzw_Monte_Carlo_bei_Strom[[#This Row],[Source.Name]],SEARCH("aus_der",Sensitivität_bzw_Monte_Carlo_bei_Strom[[#This Row],[Source.Name]],1))="Auszahlung_a","Auszahlung",""),"")</f>
        <v/>
      </c>
      <c r="D1254" s="1"/>
    </row>
    <row r="1255" spans="1:4" x14ac:dyDescent="0.3">
      <c r="A1255" s="1"/>
      <c r="B1255" s="1" t="str">
        <f>IFERROR(IF(LEFT(Sensitivität_bzw_Monte_Carlo_bei_Strom[[#This Row],[Source.Name]],SEARCH("aus_der",Sensitivität_bzw_Monte_Carlo_bei_Strom[[#This Row],[Source.Name]],1))="Auszahlung_a","Auszahlung",""),"")</f>
        <v/>
      </c>
      <c r="D1255" s="1"/>
    </row>
    <row r="1256" spans="1:4" x14ac:dyDescent="0.3">
      <c r="A1256" s="1"/>
      <c r="B1256" s="1" t="str">
        <f>IFERROR(IF(LEFT(Sensitivität_bzw_Monte_Carlo_bei_Strom[[#This Row],[Source.Name]],SEARCH("aus_der",Sensitivität_bzw_Monte_Carlo_bei_Strom[[#This Row],[Source.Name]],1))="Auszahlung_a","Auszahlung",""),"")</f>
        <v/>
      </c>
      <c r="D1256" s="1"/>
    </row>
    <row r="1257" spans="1:4" x14ac:dyDescent="0.3">
      <c r="A1257" s="1"/>
      <c r="B1257" s="1" t="str">
        <f>IFERROR(IF(LEFT(Sensitivität_bzw_Monte_Carlo_bei_Strom[[#This Row],[Source.Name]],SEARCH("aus_der",Sensitivität_bzw_Monte_Carlo_bei_Strom[[#This Row],[Source.Name]],1))="Auszahlung_a","Auszahlung",""),"")</f>
        <v/>
      </c>
      <c r="D1257" s="1"/>
    </row>
    <row r="1258" spans="1:4" x14ac:dyDescent="0.3">
      <c r="A1258" s="1"/>
      <c r="B1258" s="1" t="str">
        <f>IFERROR(IF(LEFT(Sensitivität_bzw_Monte_Carlo_bei_Strom[[#This Row],[Source.Name]],SEARCH("aus_der",Sensitivität_bzw_Monte_Carlo_bei_Strom[[#This Row],[Source.Name]],1))="Auszahlung_a","Auszahlung",""),"")</f>
        <v/>
      </c>
      <c r="D1258" s="1"/>
    </row>
    <row r="1259" spans="1:4" x14ac:dyDescent="0.3">
      <c r="A1259" s="1"/>
      <c r="B1259" s="1" t="str">
        <f>IFERROR(IF(LEFT(Sensitivität_bzw_Monte_Carlo_bei_Strom[[#This Row],[Source.Name]],SEARCH("aus_der",Sensitivität_bzw_Monte_Carlo_bei_Strom[[#This Row],[Source.Name]],1))="Auszahlung_a","Auszahlung",""),"")</f>
        <v/>
      </c>
      <c r="D1259" s="1"/>
    </row>
    <row r="1260" spans="1:4" x14ac:dyDescent="0.3">
      <c r="A1260" s="1"/>
      <c r="B1260" s="1" t="str">
        <f>IFERROR(IF(LEFT(Sensitivität_bzw_Monte_Carlo_bei_Strom[[#This Row],[Source.Name]],SEARCH("aus_der",Sensitivität_bzw_Monte_Carlo_bei_Strom[[#This Row],[Source.Name]],1))="Auszahlung_a","Auszahlung",""),"")</f>
        <v/>
      </c>
      <c r="D1260" s="1"/>
    </row>
    <row r="1261" spans="1:4" x14ac:dyDescent="0.3">
      <c r="A1261" s="1"/>
      <c r="B1261" s="1" t="str">
        <f>IFERROR(IF(LEFT(Sensitivität_bzw_Monte_Carlo_bei_Strom[[#This Row],[Source.Name]],SEARCH("aus_der",Sensitivität_bzw_Monte_Carlo_bei_Strom[[#This Row],[Source.Name]],1))="Auszahlung_a","Auszahlung",""),"")</f>
        <v/>
      </c>
      <c r="D1261" s="1"/>
    </row>
    <row r="1262" spans="1:4" x14ac:dyDescent="0.3">
      <c r="A1262" s="1"/>
      <c r="B1262" s="1" t="str">
        <f>IFERROR(IF(LEFT(Sensitivität_bzw_Monte_Carlo_bei_Strom[[#This Row],[Source.Name]],SEARCH("aus_der",Sensitivität_bzw_Monte_Carlo_bei_Strom[[#This Row],[Source.Name]],1))="Auszahlung_a","Auszahlung",""),"")</f>
        <v/>
      </c>
      <c r="D1262" s="1"/>
    </row>
    <row r="1263" spans="1:4" x14ac:dyDescent="0.3">
      <c r="A1263" s="1"/>
      <c r="B1263" s="1" t="str">
        <f>IFERROR(IF(LEFT(Sensitivität_bzw_Monte_Carlo_bei_Strom[[#This Row],[Source.Name]],SEARCH("aus_der",Sensitivität_bzw_Monte_Carlo_bei_Strom[[#This Row],[Source.Name]],1))="Auszahlung_a","Auszahlung",""),"")</f>
        <v/>
      </c>
      <c r="D1263" s="1"/>
    </row>
    <row r="1264" spans="1:4" x14ac:dyDescent="0.3">
      <c r="A1264" s="1"/>
      <c r="B1264" s="1" t="str">
        <f>IFERROR(IF(LEFT(Sensitivität_bzw_Monte_Carlo_bei_Strom[[#This Row],[Source.Name]],SEARCH("aus_der",Sensitivität_bzw_Monte_Carlo_bei_Strom[[#This Row],[Source.Name]],1))="Auszahlung_a","Auszahlung",""),"")</f>
        <v/>
      </c>
      <c r="D1264" s="1"/>
    </row>
    <row r="1265" spans="1:4" x14ac:dyDescent="0.3">
      <c r="A1265" s="1"/>
      <c r="B1265" s="1" t="str">
        <f>IFERROR(IF(LEFT(Sensitivität_bzw_Monte_Carlo_bei_Strom[[#This Row],[Source.Name]],SEARCH("aus_der",Sensitivität_bzw_Monte_Carlo_bei_Strom[[#This Row],[Source.Name]],1))="Auszahlung_a","Auszahlung",""),"")</f>
        <v/>
      </c>
      <c r="D1265" s="1"/>
    </row>
    <row r="1266" spans="1:4" x14ac:dyDescent="0.3">
      <c r="A1266" s="1"/>
      <c r="B1266" s="1" t="str">
        <f>IFERROR(IF(LEFT(Sensitivität_bzw_Monte_Carlo_bei_Strom[[#This Row],[Source.Name]],SEARCH("aus_der",Sensitivität_bzw_Monte_Carlo_bei_Strom[[#This Row],[Source.Name]],1))="Auszahlung_a","Auszahlung",""),"")</f>
        <v/>
      </c>
      <c r="D1266" s="1"/>
    </row>
    <row r="1267" spans="1:4" x14ac:dyDescent="0.3">
      <c r="A1267" s="1"/>
      <c r="B1267" s="1" t="str">
        <f>IFERROR(IF(LEFT(Sensitivität_bzw_Monte_Carlo_bei_Strom[[#This Row],[Source.Name]],SEARCH("aus_der",Sensitivität_bzw_Monte_Carlo_bei_Strom[[#This Row],[Source.Name]],1))="Auszahlung_a","Auszahlung",""),"")</f>
        <v/>
      </c>
      <c r="D1267" s="1"/>
    </row>
    <row r="1268" spans="1:4" x14ac:dyDescent="0.3">
      <c r="A1268" s="1"/>
      <c r="B1268" s="1" t="str">
        <f>IFERROR(IF(LEFT(Sensitivität_bzw_Monte_Carlo_bei_Strom[[#This Row],[Source.Name]],SEARCH("aus_der",Sensitivität_bzw_Monte_Carlo_bei_Strom[[#This Row],[Source.Name]],1))="Auszahlung_a","Auszahlung",""),"")</f>
        <v/>
      </c>
      <c r="D1268" s="1"/>
    </row>
    <row r="1269" spans="1:4" x14ac:dyDescent="0.3">
      <c r="A1269" s="1"/>
      <c r="B1269" s="1" t="str">
        <f>IFERROR(IF(LEFT(Sensitivität_bzw_Monte_Carlo_bei_Strom[[#This Row],[Source.Name]],SEARCH("aus_der",Sensitivität_bzw_Monte_Carlo_bei_Strom[[#This Row],[Source.Name]],1))="Auszahlung_a","Auszahlung",""),"")</f>
        <v/>
      </c>
      <c r="D1269" s="1"/>
    </row>
    <row r="1270" spans="1:4" x14ac:dyDescent="0.3">
      <c r="A1270" s="1"/>
      <c r="B1270" s="1" t="str">
        <f>IFERROR(IF(LEFT(Sensitivität_bzw_Monte_Carlo_bei_Strom[[#This Row],[Source.Name]],SEARCH("aus_der",Sensitivität_bzw_Monte_Carlo_bei_Strom[[#This Row],[Source.Name]],1))="Auszahlung_a","Auszahlung",""),"")</f>
        <v/>
      </c>
      <c r="D1270" s="1"/>
    </row>
    <row r="1271" spans="1:4" x14ac:dyDescent="0.3">
      <c r="A1271" s="1"/>
      <c r="B1271" s="1" t="str">
        <f>IFERROR(IF(LEFT(Sensitivität_bzw_Monte_Carlo_bei_Strom[[#This Row],[Source.Name]],SEARCH("aus_der",Sensitivität_bzw_Monte_Carlo_bei_Strom[[#This Row],[Source.Name]],1))="Auszahlung_a","Auszahlung",""),"")</f>
        <v/>
      </c>
      <c r="D1271" s="1"/>
    </row>
    <row r="1272" spans="1:4" x14ac:dyDescent="0.3">
      <c r="A1272" s="1"/>
      <c r="B1272" s="1" t="str">
        <f>IFERROR(IF(LEFT(Sensitivität_bzw_Monte_Carlo_bei_Strom[[#This Row],[Source.Name]],SEARCH("aus_der",Sensitivität_bzw_Monte_Carlo_bei_Strom[[#This Row],[Source.Name]],1))="Auszahlung_a","Auszahlung",""),"")</f>
        <v/>
      </c>
      <c r="D1272" s="1"/>
    </row>
    <row r="1273" spans="1:4" x14ac:dyDescent="0.3">
      <c r="A1273" s="1"/>
      <c r="B1273" s="1" t="str">
        <f>IFERROR(IF(LEFT(Sensitivität_bzw_Monte_Carlo_bei_Strom[[#This Row],[Source.Name]],SEARCH("aus_der",Sensitivität_bzw_Monte_Carlo_bei_Strom[[#This Row],[Source.Name]],1))="Auszahlung_a","Auszahlung",""),"")</f>
        <v/>
      </c>
      <c r="D1273" s="1"/>
    </row>
    <row r="1274" spans="1:4" x14ac:dyDescent="0.3">
      <c r="A1274" s="1"/>
      <c r="B1274" s="1" t="str">
        <f>IFERROR(IF(LEFT(Sensitivität_bzw_Monte_Carlo_bei_Strom[[#This Row],[Source.Name]],SEARCH("aus_der",Sensitivität_bzw_Monte_Carlo_bei_Strom[[#This Row],[Source.Name]],1))="Auszahlung_a","Auszahlung",""),"")</f>
        <v/>
      </c>
      <c r="D1274" s="1"/>
    </row>
    <row r="1275" spans="1:4" x14ac:dyDescent="0.3">
      <c r="A1275" s="1"/>
      <c r="B1275" s="1" t="str">
        <f>IFERROR(IF(LEFT(Sensitivität_bzw_Monte_Carlo_bei_Strom[[#This Row],[Source.Name]],SEARCH("aus_der",Sensitivität_bzw_Monte_Carlo_bei_Strom[[#This Row],[Source.Name]],1))="Auszahlung_a","Auszahlung",""),"")</f>
        <v/>
      </c>
      <c r="D1275" s="1"/>
    </row>
    <row r="1276" spans="1:4" x14ac:dyDescent="0.3">
      <c r="A1276" s="1"/>
      <c r="B1276" s="1" t="str">
        <f>IFERROR(IF(LEFT(Sensitivität_bzw_Monte_Carlo_bei_Strom[[#This Row],[Source.Name]],SEARCH("aus_der",Sensitivität_bzw_Monte_Carlo_bei_Strom[[#This Row],[Source.Name]],1))="Auszahlung_a","Auszahlung",""),"")</f>
        <v/>
      </c>
      <c r="D1276" s="1"/>
    </row>
    <row r="1277" spans="1:4" x14ac:dyDescent="0.3">
      <c r="A1277" s="1"/>
      <c r="B1277" s="1" t="str">
        <f>IFERROR(IF(LEFT(Sensitivität_bzw_Monte_Carlo_bei_Strom[[#This Row],[Source.Name]],SEARCH("aus_der",Sensitivität_bzw_Monte_Carlo_bei_Strom[[#This Row],[Source.Name]],1))="Auszahlung_a","Auszahlung",""),"")</f>
        <v/>
      </c>
      <c r="D1277" s="1"/>
    </row>
    <row r="1278" spans="1:4" x14ac:dyDescent="0.3">
      <c r="A1278" s="1"/>
      <c r="B1278" s="1" t="str">
        <f>IFERROR(IF(LEFT(Sensitivität_bzw_Monte_Carlo_bei_Strom[[#This Row],[Source.Name]],SEARCH("aus_der",Sensitivität_bzw_Monte_Carlo_bei_Strom[[#This Row],[Source.Name]],1))="Auszahlung_a","Auszahlung",""),"")</f>
        <v/>
      </c>
      <c r="D1278" s="1"/>
    </row>
    <row r="1279" spans="1:4" x14ac:dyDescent="0.3">
      <c r="A1279" s="1"/>
      <c r="B1279" s="1" t="str">
        <f>IFERROR(IF(LEFT(Sensitivität_bzw_Monte_Carlo_bei_Strom[[#This Row],[Source.Name]],SEARCH("aus_der",Sensitivität_bzw_Monte_Carlo_bei_Strom[[#This Row],[Source.Name]],1))="Auszahlung_a","Auszahlung",""),"")</f>
        <v/>
      </c>
      <c r="D1279" s="1"/>
    </row>
    <row r="1280" spans="1:4" x14ac:dyDescent="0.3">
      <c r="A1280" s="1"/>
      <c r="B1280" s="1" t="str">
        <f>IFERROR(IF(LEFT(Sensitivität_bzw_Monte_Carlo_bei_Strom[[#This Row],[Source.Name]],SEARCH("aus_der",Sensitivität_bzw_Monte_Carlo_bei_Strom[[#This Row],[Source.Name]],1))="Auszahlung_a","Auszahlung",""),"")</f>
        <v/>
      </c>
      <c r="D1280" s="1"/>
    </row>
    <row r="1281" spans="1:4" x14ac:dyDescent="0.3">
      <c r="A1281" s="1"/>
      <c r="B1281" s="1" t="str">
        <f>IFERROR(IF(LEFT(Sensitivität_bzw_Monte_Carlo_bei_Strom[[#This Row],[Source.Name]],SEARCH("aus_der",Sensitivität_bzw_Monte_Carlo_bei_Strom[[#This Row],[Source.Name]],1))="Auszahlung_a","Auszahlung",""),"")</f>
        <v/>
      </c>
      <c r="D1281" s="1"/>
    </row>
    <row r="1282" spans="1:4" x14ac:dyDescent="0.3">
      <c r="A1282" s="1"/>
      <c r="B1282" s="1" t="str">
        <f>IFERROR(IF(LEFT(Sensitivität_bzw_Monte_Carlo_bei_Strom[[#This Row],[Source.Name]],SEARCH("aus_der",Sensitivität_bzw_Monte_Carlo_bei_Strom[[#This Row],[Source.Name]],1))="Auszahlung_a","Auszahlung",""),"")</f>
        <v/>
      </c>
      <c r="D1282" s="1"/>
    </row>
    <row r="1283" spans="1:4" x14ac:dyDescent="0.3">
      <c r="A1283" s="1"/>
      <c r="B1283" s="1" t="str">
        <f>IFERROR(IF(LEFT(Sensitivität_bzw_Monte_Carlo_bei_Strom[[#This Row],[Source.Name]],SEARCH("aus_der",Sensitivität_bzw_Monte_Carlo_bei_Strom[[#This Row],[Source.Name]],1))="Auszahlung_a","Auszahlung",""),"")</f>
        <v/>
      </c>
      <c r="D1283" s="1"/>
    </row>
    <row r="1284" spans="1:4" x14ac:dyDescent="0.3">
      <c r="A1284" s="1"/>
      <c r="B1284" s="1" t="str">
        <f>IFERROR(IF(LEFT(Sensitivität_bzw_Monte_Carlo_bei_Strom[[#This Row],[Source.Name]],SEARCH("aus_der",Sensitivität_bzw_Monte_Carlo_bei_Strom[[#This Row],[Source.Name]],1))="Auszahlung_a","Auszahlung",""),"")</f>
        <v/>
      </c>
      <c r="D1284" s="1"/>
    </row>
    <row r="1285" spans="1:4" x14ac:dyDescent="0.3">
      <c r="A1285" s="1"/>
      <c r="B1285" s="1" t="str">
        <f>IFERROR(IF(LEFT(Sensitivität_bzw_Monte_Carlo_bei_Strom[[#This Row],[Source.Name]],SEARCH("aus_der",Sensitivität_bzw_Monte_Carlo_bei_Strom[[#This Row],[Source.Name]],1))="Auszahlung_a","Auszahlung",""),"")</f>
        <v/>
      </c>
      <c r="D1285" s="1"/>
    </row>
    <row r="1286" spans="1:4" x14ac:dyDescent="0.3">
      <c r="A1286" s="1"/>
      <c r="B1286" s="1" t="str">
        <f>IFERROR(IF(LEFT(Sensitivität_bzw_Monte_Carlo_bei_Strom[[#This Row],[Source.Name]],SEARCH("aus_der",Sensitivität_bzw_Monte_Carlo_bei_Strom[[#This Row],[Source.Name]],1))="Auszahlung_a","Auszahlung",""),"")</f>
        <v/>
      </c>
      <c r="D1286" s="1"/>
    </row>
    <row r="1287" spans="1:4" x14ac:dyDescent="0.3">
      <c r="A1287" s="1"/>
      <c r="B1287" s="1" t="str">
        <f>IFERROR(IF(LEFT(Sensitivität_bzw_Monte_Carlo_bei_Strom[[#This Row],[Source.Name]],SEARCH("aus_der",Sensitivität_bzw_Monte_Carlo_bei_Strom[[#This Row],[Source.Name]],1))="Auszahlung_a","Auszahlung",""),"")</f>
        <v/>
      </c>
      <c r="D1287" s="1"/>
    </row>
    <row r="1288" spans="1:4" x14ac:dyDescent="0.3">
      <c r="A1288" s="1"/>
      <c r="B1288" s="1" t="str">
        <f>IFERROR(IF(LEFT(Sensitivität_bzw_Monte_Carlo_bei_Strom[[#This Row],[Source.Name]],SEARCH("aus_der",Sensitivität_bzw_Monte_Carlo_bei_Strom[[#This Row],[Source.Name]],1))="Auszahlung_a","Auszahlung",""),"")</f>
        <v/>
      </c>
      <c r="D1288" s="1"/>
    </row>
    <row r="1289" spans="1:4" x14ac:dyDescent="0.3">
      <c r="A1289" s="1"/>
      <c r="B1289" s="1" t="str">
        <f>IFERROR(IF(LEFT(Sensitivität_bzw_Monte_Carlo_bei_Strom[[#This Row],[Source.Name]],SEARCH("aus_der",Sensitivität_bzw_Monte_Carlo_bei_Strom[[#This Row],[Source.Name]],1))="Auszahlung_a","Auszahlung",""),"")</f>
        <v/>
      </c>
      <c r="D1289" s="1"/>
    </row>
    <row r="1290" spans="1:4" x14ac:dyDescent="0.3">
      <c r="A1290" s="1"/>
      <c r="B1290" s="1" t="str">
        <f>IFERROR(IF(LEFT(Sensitivität_bzw_Monte_Carlo_bei_Strom[[#This Row],[Source.Name]],SEARCH("aus_der",Sensitivität_bzw_Monte_Carlo_bei_Strom[[#This Row],[Source.Name]],1))="Auszahlung_a","Auszahlung",""),"")</f>
        <v/>
      </c>
      <c r="D1290" s="1"/>
    </row>
    <row r="1291" spans="1:4" x14ac:dyDescent="0.3">
      <c r="A1291" s="1"/>
      <c r="B1291" s="1" t="str">
        <f>IFERROR(IF(LEFT(Sensitivität_bzw_Monte_Carlo_bei_Strom[[#This Row],[Source.Name]],SEARCH("aus_der",Sensitivität_bzw_Monte_Carlo_bei_Strom[[#This Row],[Source.Name]],1))="Auszahlung_a","Auszahlung",""),"")</f>
        <v/>
      </c>
      <c r="D1291" s="1"/>
    </row>
    <row r="1292" spans="1:4" x14ac:dyDescent="0.3">
      <c r="A1292" s="1"/>
      <c r="B1292" s="1" t="str">
        <f>IFERROR(IF(LEFT(Sensitivität_bzw_Monte_Carlo_bei_Strom[[#This Row],[Source.Name]],SEARCH("aus_der",Sensitivität_bzw_Monte_Carlo_bei_Strom[[#This Row],[Source.Name]],1))="Auszahlung_a","Auszahlung",""),"")</f>
        <v/>
      </c>
      <c r="D1292" s="1"/>
    </row>
    <row r="1293" spans="1:4" x14ac:dyDescent="0.3">
      <c r="A1293" s="1"/>
      <c r="B1293" s="1" t="str">
        <f>IFERROR(IF(LEFT(Sensitivität_bzw_Monte_Carlo_bei_Strom[[#This Row],[Source.Name]],SEARCH("aus_der",Sensitivität_bzw_Monte_Carlo_bei_Strom[[#This Row],[Source.Name]],1))="Auszahlung_a","Auszahlung",""),"")</f>
        <v/>
      </c>
      <c r="D1293" s="1"/>
    </row>
    <row r="1294" spans="1:4" x14ac:dyDescent="0.3">
      <c r="A1294" s="1"/>
      <c r="B1294" s="1" t="str">
        <f>IFERROR(IF(LEFT(Sensitivität_bzw_Monte_Carlo_bei_Strom[[#This Row],[Source.Name]],SEARCH("aus_der",Sensitivität_bzw_Monte_Carlo_bei_Strom[[#This Row],[Source.Name]],1))="Auszahlung_a","Auszahlung",""),"")</f>
        <v/>
      </c>
      <c r="D1294" s="1"/>
    </row>
    <row r="1295" spans="1:4" x14ac:dyDescent="0.3">
      <c r="A1295" s="1"/>
      <c r="B1295" s="1" t="str">
        <f>IFERROR(IF(LEFT(Sensitivität_bzw_Monte_Carlo_bei_Strom[[#This Row],[Source.Name]],SEARCH("aus_der",Sensitivität_bzw_Monte_Carlo_bei_Strom[[#This Row],[Source.Name]],1))="Auszahlung_a","Auszahlung",""),"")</f>
        <v/>
      </c>
      <c r="D1295" s="1"/>
    </row>
    <row r="1296" spans="1:4" x14ac:dyDescent="0.3">
      <c r="A1296" s="1"/>
      <c r="B1296" s="1" t="str">
        <f>IFERROR(IF(LEFT(Sensitivität_bzw_Monte_Carlo_bei_Strom[[#This Row],[Source.Name]],SEARCH("aus_der",Sensitivität_bzw_Monte_Carlo_bei_Strom[[#This Row],[Source.Name]],1))="Auszahlung_a","Auszahlung",""),"")</f>
        <v/>
      </c>
      <c r="D1296" s="1"/>
    </row>
    <row r="1297" spans="1:4" x14ac:dyDescent="0.3">
      <c r="A1297" s="1"/>
      <c r="B1297" s="1" t="str">
        <f>IFERROR(IF(LEFT(Sensitivität_bzw_Monte_Carlo_bei_Strom[[#This Row],[Source.Name]],SEARCH("aus_der",Sensitivität_bzw_Monte_Carlo_bei_Strom[[#This Row],[Source.Name]],1))="Auszahlung_a","Auszahlung",""),"")</f>
        <v/>
      </c>
      <c r="D1297" s="1"/>
    </row>
    <row r="1298" spans="1:4" x14ac:dyDescent="0.3">
      <c r="A1298" s="1"/>
      <c r="B1298" s="1" t="str">
        <f>IFERROR(IF(LEFT(Sensitivität_bzw_Monte_Carlo_bei_Strom[[#This Row],[Source.Name]],SEARCH("aus_der",Sensitivität_bzw_Monte_Carlo_bei_Strom[[#This Row],[Source.Name]],1))="Auszahlung_a","Auszahlung",""),"")</f>
        <v/>
      </c>
      <c r="D1298" s="1"/>
    </row>
    <row r="1299" spans="1:4" x14ac:dyDescent="0.3">
      <c r="A1299" s="1"/>
      <c r="B1299" s="1" t="str">
        <f>IFERROR(IF(LEFT(Sensitivität_bzw_Monte_Carlo_bei_Strom[[#This Row],[Source.Name]],SEARCH("aus_der",Sensitivität_bzw_Monte_Carlo_bei_Strom[[#This Row],[Source.Name]],1))="Auszahlung_a","Auszahlung",""),"")</f>
        <v/>
      </c>
      <c r="D1299" s="1"/>
    </row>
    <row r="1300" spans="1:4" x14ac:dyDescent="0.3">
      <c r="A1300" s="1"/>
      <c r="B1300" s="1" t="str">
        <f>IFERROR(IF(LEFT(Sensitivität_bzw_Monte_Carlo_bei_Strom[[#This Row],[Source.Name]],SEARCH("aus_der",Sensitivität_bzw_Monte_Carlo_bei_Strom[[#This Row],[Source.Name]],1))="Auszahlung_a","Auszahlung",""),"")</f>
        <v/>
      </c>
      <c r="D1300" s="1"/>
    </row>
    <row r="1301" spans="1:4" x14ac:dyDescent="0.3">
      <c r="A1301" s="1"/>
      <c r="B1301" s="1" t="str">
        <f>IFERROR(IF(LEFT(Sensitivität_bzw_Monte_Carlo_bei_Strom[[#This Row],[Source.Name]],SEARCH("aus_der",Sensitivität_bzw_Monte_Carlo_bei_Strom[[#This Row],[Source.Name]],1))="Auszahlung_a","Auszahlung",""),"")</f>
        <v/>
      </c>
      <c r="D1301" s="1"/>
    </row>
    <row r="1302" spans="1:4" x14ac:dyDescent="0.3">
      <c r="A1302" s="1"/>
      <c r="B1302" s="1" t="str">
        <f>IFERROR(IF(LEFT(Sensitivität_bzw_Monte_Carlo_bei_Strom[[#This Row],[Source.Name]],SEARCH("aus_der",Sensitivität_bzw_Monte_Carlo_bei_Strom[[#This Row],[Source.Name]],1))="Auszahlung_a","Auszahlung",""),"")</f>
        <v/>
      </c>
      <c r="D1302" s="1"/>
    </row>
    <row r="1303" spans="1:4" x14ac:dyDescent="0.3">
      <c r="A1303" s="1"/>
      <c r="B1303" s="1" t="str">
        <f>IFERROR(IF(LEFT(Sensitivität_bzw_Monte_Carlo_bei_Strom[[#This Row],[Source.Name]],SEARCH("aus_der",Sensitivität_bzw_Monte_Carlo_bei_Strom[[#This Row],[Source.Name]],1))="Auszahlung_a","Auszahlung",""),"")</f>
        <v/>
      </c>
      <c r="D1303" s="1"/>
    </row>
    <row r="1304" spans="1:4" x14ac:dyDescent="0.3">
      <c r="A1304" s="1"/>
      <c r="B1304" s="1" t="str">
        <f>IFERROR(IF(LEFT(Sensitivität_bzw_Monte_Carlo_bei_Strom[[#This Row],[Source.Name]],SEARCH("aus_der",Sensitivität_bzw_Monte_Carlo_bei_Strom[[#This Row],[Source.Name]],1))="Auszahlung_a","Auszahlung",""),"")</f>
        <v/>
      </c>
      <c r="D1304" s="1"/>
    </row>
    <row r="1305" spans="1:4" x14ac:dyDescent="0.3">
      <c r="A1305" s="1"/>
      <c r="B1305" s="1" t="str">
        <f>IFERROR(IF(LEFT(Sensitivität_bzw_Monte_Carlo_bei_Strom[[#This Row],[Source.Name]],SEARCH("aus_der",Sensitivität_bzw_Monte_Carlo_bei_Strom[[#This Row],[Source.Name]],1))="Auszahlung_a","Auszahlung",""),"")</f>
        <v/>
      </c>
      <c r="D1305" s="1"/>
    </row>
    <row r="1306" spans="1:4" x14ac:dyDescent="0.3">
      <c r="A1306" s="1"/>
      <c r="B1306" s="1" t="str">
        <f>IFERROR(IF(LEFT(Sensitivität_bzw_Monte_Carlo_bei_Strom[[#This Row],[Source.Name]],SEARCH("aus_der",Sensitivität_bzw_Monte_Carlo_bei_Strom[[#This Row],[Source.Name]],1))="Auszahlung_a","Auszahlung",""),"")</f>
        <v/>
      </c>
      <c r="D1306" s="1"/>
    </row>
    <row r="1307" spans="1:4" x14ac:dyDescent="0.3">
      <c r="A1307" s="1"/>
      <c r="B1307" s="1" t="str">
        <f>IFERROR(IF(LEFT(Sensitivität_bzw_Monte_Carlo_bei_Strom[[#This Row],[Source.Name]],SEARCH("aus_der",Sensitivität_bzw_Monte_Carlo_bei_Strom[[#This Row],[Source.Name]],1))="Auszahlung_a","Auszahlung",""),"")</f>
        <v/>
      </c>
      <c r="D1307" s="1"/>
    </row>
    <row r="1308" spans="1:4" x14ac:dyDescent="0.3">
      <c r="A1308" s="1"/>
      <c r="B1308" s="1" t="str">
        <f>IFERROR(IF(LEFT(Sensitivität_bzw_Monte_Carlo_bei_Strom[[#This Row],[Source.Name]],SEARCH("aus_der",Sensitivität_bzw_Monte_Carlo_bei_Strom[[#This Row],[Source.Name]],1))="Auszahlung_a","Auszahlung",""),"")</f>
        <v/>
      </c>
      <c r="D1308" s="1"/>
    </row>
    <row r="1309" spans="1:4" x14ac:dyDescent="0.3">
      <c r="A1309" s="1"/>
      <c r="B1309" s="1" t="str">
        <f>IFERROR(IF(LEFT(Sensitivität_bzw_Monte_Carlo_bei_Strom[[#This Row],[Source.Name]],SEARCH("aus_der",Sensitivität_bzw_Monte_Carlo_bei_Strom[[#This Row],[Source.Name]],1))="Auszahlung_a","Auszahlung",""),"")</f>
        <v/>
      </c>
      <c r="D1309" s="1"/>
    </row>
    <row r="1310" spans="1:4" x14ac:dyDescent="0.3">
      <c r="A1310" s="1"/>
      <c r="B1310" s="1" t="str">
        <f>IFERROR(IF(LEFT(Sensitivität_bzw_Monte_Carlo_bei_Strom[[#This Row],[Source.Name]],SEARCH("aus_der",Sensitivität_bzw_Monte_Carlo_bei_Strom[[#This Row],[Source.Name]],1))="Auszahlung_a","Auszahlung",""),"")</f>
        <v/>
      </c>
      <c r="D1310" s="1"/>
    </row>
    <row r="1311" spans="1:4" x14ac:dyDescent="0.3">
      <c r="A1311" s="1"/>
      <c r="B1311" s="1" t="str">
        <f>IFERROR(IF(LEFT(Sensitivität_bzw_Monte_Carlo_bei_Strom[[#This Row],[Source.Name]],SEARCH("aus_der",Sensitivität_bzw_Monte_Carlo_bei_Strom[[#This Row],[Source.Name]],1))="Auszahlung_a","Auszahlung",""),"")</f>
        <v/>
      </c>
      <c r="D1311" s="1"/>
    </row>
    <row r="1312" spans="1:4" x14ac:dyDescent="0.3">
      <c r="A1312" s="1"/>
      <c r="B1312" s="1" t="str">
        <f>IFERROR(IF(LEFT(Sensitivität_bzw_Monte_Carlo_bei_Strom[[#This Row],[Source.Name]],SEARCH("aus_der",Sensitivität_bzw_Monte_Carlo_bei_Strom[[#This Row],[Source.Name]],1))="Auszahlung_a","Auszahlung",""),"")</f>
        <v/>
      </c>
      <c r="D1312" s="1"/>
    </row>
    <row r="1313" spans="1:4" x14ac:dyDescent="0.3">
      <c r="A1313" s="1"/>
      <c r="B1313" s="1" t="str">
        <f>IFERROR(IF(LEFT(Sensitivität_bzw_Monte_Carlo_bei_Strom[[#This Row],[Source.Name]],SEARCH("aus_der",Sensitivität_bzw_Monte_Carlo_bei_Strom[[#This Row],[Source.Name]],1))="Auszahlung_a","Auszahlung",""),"")</f>
        <v/>
      </c>
      <c r="D1313" s="1"/>
    </row>
    <row r="1314" spans="1:4" x14ac:dyDescent="0.3">
      <c r="A1314" s="1"/>
      <c r="B1314" s="1" t="str">
        <f>IFERROR(IF(LEFT(Sensitivität_bzw_Monte_Carlo_bei_Strom[[#This Row],[Source.Name]],SEARCH("aus_der",Sensitivität_bzw_Monte_Carlo_bei_Strom[[#This Row],[Source.Name]],1))="Auszahlung_a","Auszahlung",""),"")</f>
        <v/>
      </c>
      <c r="D1314" s="1"/>
    </row>
    <row r="1315" spans="1:4" x14ac:dyDescent="0.3">
      <c r="A1315" s="1"/>
      <c r="B1315" s="1" t="str">
        <f>IFERROR(IF(LEFT(Sensitivität_bzw_Monte_Carlo_bei_Strom[[#This Row],[Source.Name]],SEARCH("aus_der",Sensitivität_bzw_Monte_Carlo_bei_Strom[[#This Row],[Source.Name]],1))="Auszahlung_a","Auszahlung",""),"")</f>
        <v/>
      </c>
      <c r="D1315" s="1"/>
    </row>
    <row r="1316" spans="1:4" x14ac:dyDescent="0.3">
      <c r="A1316" s="1"/>
      <c r="B1316" s="1" t="str">
        <f>IFERROR(IF(LEFT(Sensitivität_bzw_Monte_Carlo_bei_Strom[[#This Row],[Source.Name]],SEARCH("aus_der",Sensitivität_bzw_Monte_Carlo_bei_Strom[[#This Row],[Source.Name]],1))="Auszahlung_a","Auszahlung",""),"")</f>
        <v/>
      </c>
      <c r="D1316" s="1"/>
    </row>
    <row r="1317" spans="1:4" x14ac:dyDescent="0.3">
      <c r="A1317" s="1"/>
      <c r="B1317" s="1" t="str">
        <f>IFERROR(IF(LEFT(Sensitivität_bzw_Monte_Carlo_bei_Strom[[#This Row],[Source.Name]],SEARCH("aus_der",Sensitivität_bzw_Monte_Carlo_bei_Strom[[#This Row],[Source.Name]],1))="Auszahlung_a","Auszahlung",""),"")</f>
        <v/>
      </c>
      <c r="D1317" s="1"/>
    </row>
    <row r="1318" spans="1:4" x14ac:dyDescent="0.3">
      <c r="A1318" s="1"/>
      <c r="B1318" s="1" t="str">
        <f>IFERROR(IF(LEFT(Sensitivität_bzw_Monte_Carlo_bei_Strom[[#This Row],[Source.Name]],SEARCH("aus_der",Sensitivität_bzw_Monte_Carlo_bei_Strom[[#This Row],[Source.Name]],1))="Auszahlung_a","Auszahlung",""),"")</f>
        <v/>
      </c>
      <c r="D1318" s="1"/>
    </row>
    <row r="1319" spans="1:4" x14ac:dyDescent="0.3">
      <c r="A1319" s="1"/>
      <c r="B1319" s="1" t="str">
        <f>IFERROR(IF(LEFT(Sensitivität_bzw_Monte_Carlo_bei_Strom[[#This Row],[Source.Name]],SEARCH("aus_der",Sensitivität_bzw_Monte_Carlo_bei_Strom[[#This Row],[Source.Name]],1))="Auszahlung_a","Auszahlung",""),"")</f>
        <v/>
      </c>
      <c r="D1319" s="1"/>
    </row>
    <row r="1320" spans="1:4" x14ac:dyDescent="0.3">
      <c r="A1320" s="1"/>
      <c r="B1320" s="1" t="str">
        <f>IFERROR(IF(LEFT(Sensitivität_bzw_Monte_Carlo_bei_Strom[[#This Row],[Source.Name]],SEARCH("aus_der",Sensitivität_bzw_Monte_Carlo_bei_Strom[[#This Row],[Source.Name]],1))="Auszahlung_a","Auszahlung",""),"")</f>
        <v/>
      </c>
      <c r="D1320" s="1"/>
    </row>
    <row r="1321" spans="1:4" x14ac:dyDescent="0.3">
      <c r="A1321" s="1"/>
      <c r="B1321" s="1" t="str">
        <f>IFERROR(IF(LEFT(Sensitivität_bzw_Monte_Carlo_bei_Strom[[#This Row],[Source.Name]],SEARCH("aus_der",Sensitivität_bzw_Monte_Carlo_bei_Strom[[#This Row],[Source.Name]],1))="Auszahlung_a","Auszahlung",""),"")</f>
        <v/>
      </c>
      <c r="D1321" s="1"/>
    </row>
    <row r="1322" spans="1:4" x14ac:dyDescent="0.3">
      <c r="A1322" s="1"/>
      <c r="B1322" s="1" t="str">
        <f>IFERROR(IF(LEFT(Sensitivität_bzw_Monte_Carlo_bei_Strom[[#This Row],[Source.Name]],SEARCH("aus_der",Sensitivität_bzw_Monte_Carlo_bei_Strom[[#This Row],[Source.Name]],1))="Auszahlung_a","Auszahlung",""),"")</f>
        <v/>
      </c>
      <c r="D1322" s="1"/>
    </row>
    <row r="1323" spans="1:4" x14ac:dyDescent="0.3">
      <c r="A1323" s="1"/>
      <c r="B1323" s="1" t="str">
        <f>IFERROR(IF(LEFT(Sensitivität_bzw_Monte_Carlo_bei_Strom[[#This Row],[Source.Name]],SEARCH("aus_der",Sensitivität_bzw_Monte_Carlo_bei_Strom[[#This Row],[Source.Name]],1))="Auszahlung_a","Auszahlung",""),"")</f>
        <v/>
      </c>
      <c r="D1323" s="1"/>
    </row>
    <row r="1324" spans="1:4" x14ac:dyDescent="0.3">
      <c r="A1324" s="1"/>
      <c r="B1324" s="1" t="str">
        <f>IFERROR(IF(LEFT(Sensitivität_bzw_Monte_Carlo_bei_Strom[[#This Row],[Source.Name]],SEARCH("aus_der",Sensitivität_bzw_Monte_Carlo_bei_Strom[[#This Row],[Source.Name]],1))="Auszahlung_a","Auszahlung",""),"")</f>
        <v/>
      </c>
      <c r="D1324" s="1"/>
    </row>
    <row r="1325" spans="1:4" x14ac:dyDescent="0.3">
      <c r="A1325" s="1"/>
      <c r="B1325" s="1" t="str">
        <f>IFERROR(IF(LEFT(Sensitivität_bzw_Monte_Carlo_bei_Strom[[#This Row],[Source.Name]],SEARCH("aus_der",Sensitivität_bzw_Monte_Carlo_bei_Strom[[#This Row],[Source.Name]],1))="Auszahlung_a","Auszahlung",""),"")</f>
        <v/>
      </c>
      <c r="D1325" s="1"/>
    </row>
    <row r="1326" spans="1:4" x14ac:dyDescent="0.3">
      <c r="A1326" s="1"/>
      <c r="B1326" s="1" t="str">
        <f>IFERROR(IF(LEFT(Sensitivität_bzw_Monte_Carlo_bei_Strom[[#This Row],[Source.Name]],SEARCH("aus_der",Sensitivität_bzw_Monte_Carlo_bei_Strom[[#This Row],[Source.Name]],1))="Auszahlung_a","Auszahlung",""),"")</f>
        <v/>
      </c>
      <c r="D1326" s="1"/>
    </row>
    <row r="1327" spans="1:4" x14ac:dyDescent="0.3">
      <c r="A1327" s="1"/>
      <c r="B1327" s="1" t="str">
        <f>IFERROR(IF(LEFT(Sensitivität_bzw_Monte_Carlo_bei_Strom[[#This Row],[Source.Name]],SEARCH("aus_der",Sensitivität_bzw_Monte_Carlo_bei_Strom[[#This Row],[Source.Name]],1))="Auszahlung_a","Auszahlung",""),"")</f>
        <v/>
      </c>
      <c r="D1327" s="1"/>
    </row>
    <row r="1328" spans="1:4" x14ac:dyDescent="0.3">
      <c r="A1328" s="1"/>
      <c r="B1328" s="1" t="str">
        <f>IFERROR(IF(LEFT(Sensitivität_bzw_Monte_Carlo_bei_Strom[[#This Row],[Source.Name]],SEARCH("aus_der",Sensitivität_bzw_Monte_Carlo_bei_Strom[[#This Row],[Source.Name]],1))="Auszahlung_a","Auszahlung",""),"")</f>
        <v/>
      </c>
      <c r="D1328" s="1"/>
    </row>
    <row r="1329" spans="1:4" x14ac:dyDescent="0.3">
      <c r="A1329" s="1"/>
      <c r="B1329" s="1" t="str">
        <f>IFERROR(IF(LEFT(Sensitivität_bzw_Monte_Carlo_bei_Strom[[#This Row],[Source.Name]],SEARCH("aus_der",Sensitivität_bzw_Monte_Carlo_bei_Strom[[#This Row],[Source.Name]],1))="Auszahlung_a","Auszahlung",""),"")</f>
        <v/>
      </c>
      <c r="D1329" s="1"/>
    </row>
    <row r="1330" spans="1:4" x14ac:dyDescent="0.3">
      <c r="A1330" s="1"/>
      <c r="B1330" s="1" t="str">
        <f>IFERROR(IF(LEFT(Sensitivität_bzw_Monte_Carlo_bei_Strom[[#This Row],[Source.Name]],SEARCH("aus_der",Sensitivität_bzw_Monte_Carlo_bei_Strom[[#This Row],[Source.Name]],1))="Auszahlung_a","Auszahlung",""),"")</f>
        <v/>
      </c>
      <c r="D1330" s="1"/>
    </row>
    <row r="1331" spans="1:4" x14ac:dyDescent="0.3">
      <c r="A1331" s="1"/>
      <c r="B1331" s="1" t="str">
        <f>IFERROR(IF(LEFT(Sensitivität_bzw_Monte_Carlo_bei_Strom[[#This Row],[Source.Name]],SEARCH("aus_der",Sensitivität_bzw_Monte_Carlo_bei_Strom[[#This Row],[Source.Name]],1))="Auszahlung_a","Auszahlung",""),"")</f>
        <v/>
      </c>
      <c r="D1331" s="1"/>
    </row>
    <row r="1332" spans="1:4" x14ac:dyDescent="0.3">
      <c r="A1332" s="1"/>
      <c r="B1332" s="1" t="str">
        <f>IFERROR(IF(LEFT(Sensitivität_bzw_Monte_Carlo_bei_Strom[[#This Row],[Source.Name]],SEARCH("aus_der",Sensitivität_bzw_Monte_Carlo_bei_Strom[[#This Row],[Source.Name]],1))="Auszahlung_a","Auszahlung",""),"")</f>
        <v/>
      </c>
      <c r="D1332" s="1"/>
    </row>
    <row r="1333" spans="1:4" x14ac:dyDescent="0.3">
      <c r="A1333" s="1"/>
      <c r="B1333" s="1" t="str">
        <f>IFERROR(IF(LEFT(Sensitivität_bzw_Monte_Carlo_bei_Strom[[#This Row],[Source.Name]],SEARCH("aus_der",Sensitivität_bzw_Monte_Carlo_bei_Strom[[#This Row],[Source.Name]],1))="Auszahlung_a","Auszahlung",""),"")</f>
        <v/>
      </c>
      <c r="D1333" s="1"/>
    </row>
    <row r="1334" spans="1:4" x14ac:dyDescent="0.3">
      <c r="A1334" s="1"/>
      <c r="B1334" s="1" t="str">
        <f>IFERROR(IF(LEFT(Sensitivität_bzw_Monte_Carlo_bei_Strom[[#This Row],[Source.Name]],SEARCH("aus_der",Sensitivität_bzw_Monte_Carlo_bei_Strom[[#This Row],[Source.Name]],1))="Auszahlung_a","Auszahlung",""),"")</f>
        <v/>
      </c>
      <c r="D1334" s="1"/>
    </row>
    <row r="1335" spans="1:4" x14ac:dyDescent="0.3">
      <c r="A1335" s="1"/>
      <c r="B1335" s="1" t="str">
        <f>IFERROR(IF(LEFT(Sensitivität_bzw_Monte_Carlo_bei_Strom[[#This Row],[Source.Name]],SEARCH("aus_der",Sensitivität_bzw_Monte_Carlo_bei_Strom[[#This Row],[Source.Name]],1))="Auszahlung_a","Auszahlung",""),"")</f>
        <v/>
      </c>
      <c r="D1335" s="1"/>
    </row>
    <row r="1336" spans="1:4" x14ac:dyDescent="0.3">
      <c r="A1336" s="1"/>
      <c r="B1336" s="1" t="str">
        <f>IFERROR(IF(LEFT(Sensitivität_bzw_Monte_Carlo_bei_Strom[[#This Row],[Source.Name]],SEARCH("aus_der",Sensitivität_bzw_Monte_Carlo_bei_Strom[[#This Row],[Source.Name]],1))="Auszahlung_a","Auszahlung",""),"")</f>
        <v/>
      </c>
      <c r="D1336" s="1"/>
    </row>
    <row r="1337" spans="1:4" x14ac:dyDescent="0.3">
      <c r="A1337" s="1"/>
      <c r="B1337" s="1" t="str">
        <f>IFERROR(IF(LEFT(Sensitivität_bzw_Monte_Carlo_bei_Strom[[#This Row],[Source.Name]],SEARCH("aus_der",Sensitivität_bzw_Monte_Carlo_bei_Strom[[#This Row],[Source.Name]],1))="Auszahlung_a","Auszahlung",""),"")</f>
        <v/>
      </c>
      <c r="D1337" s="1"/>
    </row>
    <row r="1338" spans="1:4" x14ac:dyDescent="0.3">
      <c r="A1338" s="1"/>
      <c r="B1338" s="1" t="str">
        <f>IFERROR(IF(LEFT(Sensitivität_bzw_Monte_Carlo_bei_Strom[[#This Row],[Source.Name]],SEARCH("aus_der",Sensitivität_bzw_Monte_Carlo_bei_Strom[[#This Row],[Source.Name]],1))="Auszahlung_a","Auszahlung",""),"")</f>
        <v/>
      </c>
      <c r="D1338" s="1"/>
    </row>
    <row r="1339" spans="1:4" x14ac:dyDescent="0.3">
      <c r="A1339" s="1"/>
      <c r="B1339" s="1" t="str">
        <f>IFERROR(IF(LEFT(Sensitivität_bzw_Monte_Carlo_bei_Strom[[#This Row],[Source.Name]],SEARCH("aus_der",Sensitivität_bzw_Monte_Carlo_bei_Strom[[#This Row],[Source.Name]],1))="Auszahlung_a","Auszahlung",""),"")</f>
        <v/>
      </c>
      <c r="D1339" s="1"/>
    </row>
    <row r="1340" spans="1:4" x14ac:dyDescent="0.3">
      <c r="A1340" s="1"/>
      <c r="B1340" s="1" t="str">
        <f>IFERROR(IF(LEFT(Sensitivität_bzw_Monte_Carlo_bei_Strom[[#This Row],[Source.Name]],SEARCH("aus_der",Sensitivität_bzw_Monte_Carlo_bei_Strom[[#This Row],[Source.Name]],1))="Auszahlung_a","Auszahlung",""),"")</f>
        <v/>
      </c>
      <c r="D1340" s="1"/>
    </row>
    <row r="1341" spans="1:4" x14ac:dyDescent="0.3">
      <c r="A1341" s="1"/>
      <c r="B1341" s="1" t="str">
        <f>IFERROR(IF(LEFT(Sensitivität_bzw_Monte_Carlo_bei_Strom[[#This Row],[Source.Name]],SEARCH("aus_der",Sensitivität_bzw_Monte_Carlo_bei_Strom[[#This Row],[Source.Name]],1))="Auszahlung_a","Auszahlung",""),"")</f>
        <v/>
      </c>
      <c r="D1341" s="1"/>
    </row>
    <row r="1342" spans="1:4" x14ac:dyDescent="0.3">
      <c r="A1342" s="1"/>
      <c r="B1342" s="1" t="str">
        <f>IFERROR(IF(LEFT(Sensitivität_bzw_Monte_Carlo_bei_Strom[[#This Row],[Source.Name]],SEARCH("aus_der",Sensitivität_bzw_Monte_Carlo_bei_Strom[[#This Row],[Source.Name]],1))="Auszahlung_a","Auszahlung",""),"")</f>
        <v/>
      </c>
      <c r="D1342" s="1"/>
    </row>
    <row r="1343" spans="1:4" x14ac:dyDescent="0.3">
      <c r="A1343" s="1"/>
      <c r="B1343" s="1" t="str">
        <f>IFERROR(IF(LEFT(Sensitivität_bzw_Monte_Carlo_bei_Strom[[#This Row],[Source.Name]],SEARCH("aus_der",Sensitivität_bzw_Monte_Carlo_bei_Strom[[#This Row],[Source.Name]],1))="Auszahlung_a","Auszahlung",""),"")</f>
        <v/>
      </c>
      <c r="D1343" s="1"/>
    </row>
    <row r="1344" spans="1:4" x14ac:dyDescent="0.3">
      <c r="A1344" s="1"/>
      <c r="B1344" s="1" t="str">
        <f>IFERROR(IF(LEFT(Sensitivität_bzw_Monte_Carlo_bei_Strom[[#This Row],[Source.Name]],SEARCH("aus_der",Sensitivität_bzw_Monte_Carlo_bei_Strom[[#This Row],[Source.Name]],1))="Auszahlung_a","Auszahlung",""),"")</f>
        <v/>
      </c>
      <c r="D1344" s="1"/>
    </row>
    <row r="1345" spans="1:4" x14ac:dyDescent="0.3">
      <c r="A1345" s="1"/>
      <c r="B1345" s="1" t="str">
        <f>IFERROR(IF(LEFT(Sensitivität_bzw_Monte_Carlo_bei_Strom[[#This Row],[Source.Name]],SEARCH("aus_der",Sensitivität_bzw_Monte_Carlo_bei_Strom[[#This Row],[Source.Name]],1))="Auszahlung_a","Auszahlung",""),"")</f>
        <v/>
      </c>
      <c r="D1345" s="1"/>
    </row>
    <row r="1346" spans="1:4" x14ac:dyDescent="0.3">
      <c r="A1346" s="1"/>
      <c r="B1346" s="1" t="str">
        <f>IFERROR(IF(LEFT(Sensitivität_bzw_Monte_Carlo_bei_Strom[[#This Row],[Source.Name]],SEARCH("aus_der",Sensitivität_bzw_Monte_Carlo_bei_Strom[[#This Row],[Source.Name]],1))="Auszahlung_a","Auszahlung",""),"")</f>
        <v/>
      </c>
      <c r="D1346" s="1"/>
    </row>
    <row r="1347" spans="1:4" x14ac:dyDescent="0.3">
      <c r="A1347" s="1"/>
      <c r="B1347" s="1" t="str">
        <f>IFERROR(IF(LEFT(Sensitivität_bzw_Monte_Carlo_bei_Strom[[#This Row],[Source.Name]],SEARCH("aus_der",Sensitivität_bzw_Monte_Carlo_bei_Strom[[#This Row],[Source.Name]],1))="Auszahlung_a","Auszahlung",""),"")</f>
        <v/>
      </c>
      <c r="D1347" s="1"/>
    </row>
    <row r="1348" spans="1:4" x14ac:dyDescent="0.3">
      <c r="A1348" s="1"/>
      <c r="B1348" s="1" t="str">
        <f>IFERROR(IF(LEFT(Sensitivität_bzw_Monte_Carlo_bei_Strom[[#This Row],[Source.Name]],SEARCH("aus_der",Sensitivität_bzw_Monte_Carlo_bei_Strom[[#This Row],[Source.Name]],1))="Auszahlung_a","Auszahlung",""),"")</f>
        <v/>
      </c>
      <c r="D1348" s="1"/>
    </row>
    <row r="1349" spans="1:4" x14ac:dyDescent="0.3">
      <c r="A1349" s="1"/>
      <c r="B1349" s="1" t="str">
        <f>IFERROR(IF(LEFT(Sensitivität_bzw_Monte_Carlo_bei_Strom[[#This Row],[Source.Name]],SEARCH("aus_der",Sensitivität_bzw_Monte_Carlo_bei_Strom[[#This Row],[Source.Name]],1))="Auszahlung_a","Auszahlung",""),"")</f>
        <v/>
      </c>
      <c r="D1349" s="1"/>
    </row>
    <row r="1350" spans="1:4" x14ac:dyDescent="0.3">
      <c r="A1350" s="1"/>
      <c r="B1350" s="1" t="str">
        <f>IFERROR(IF(LEFT(Sensitivität_bzw_Monte_Carlo_bei_Strom[[#This Row],[Source.Name]],SEARCH("aus_der",Sensitivität_bzw_Monte_Carlo_bei_Strom[[#This Row],[Source.Name]],1))="Auszahlung_a","Auszahlung",""),"")</f>
        <v/>
      </c>
      <c r="D1350" s="1"/>
    </row>
    <row r="1351" spans="1:4" x14ac:dyDescent="0.3">
      <c r="A1351" s="1"/>
      <c r="B1351" s="1" t="str">
        <f>IFERROR(IF(LEFT(Sensitivität_bzw_Monte_Carlo_bei_Strom[[#This Row],[Source.Name]],SEARCH("aus_der",Sensitivität_bzw_Monte_Carlo_bei_Strom[[#This Row],[Source.Name]],1))="Auszahlung_a","Auszahlung",""),"")</f>
        <v/>
      </c>
      <c r="D1351" s="1"/>
    </row>
    <row r="1352" spans="1:4" x14ac:dyDescent="0.3">
      <c r="A1352" s="1"/>
      <c r="B1352" s="1" t="str">
        <f>IFERROR(IF(LEFT(Sensitivität_bzw_Monte_Carlo_bei_Strom[[#This Row],[Source.Name]],SEARCH("aus_der",Sensitivität_bzw_Monte_Carlo_bei_Strom[[#This Row],[Source.Name]],1))="Auszahlung_a","Auszahlung",""),"")</f>
        <v/>
      </c>
      <c r="D1352" s="1"/>
    </row>
    <row r="1353" spans="1:4" x14ac:dyDescent="0.3">
      <c r="A1353" s="1"/>
      <c r="B1353" s="1" t="str">
        <f>IFERROR(IF(LEFT(Sensitivität_bzw_Monte_Carlo_bei_Strom[[#This Row],[Source.Name]],SEARCH("aus_der",Sensitivität_bzw_Monte_Carlo_bei_Strom[[#This Row],[Source.Name]],1))="Auszahlung_a","Auszahlung",""),"")</f>
        <v/>
      </c>
      <c r="D1353" s="1"/>
    </row>
    <row r="1354" spans="1:4" x14ac:dyDescent="0.3">
      <c r="A1354" s="1"/>
      <c r="B1354" s="1" t="str">
        <f>IFERROR(IF(LEFT(Sensitivität_bzw_Monte_Carlo_bei_Strom[[#This Row],[Source.Name]],SEARCH("aus_der",Sensitivität_bzw_Monte_Carlo_bei_Strom[[#This Row],[Source.Name]],1))="Auszahlung_a","Auszahlung",""),"")</f>
        <v/>
      </c>
      <c r="D1354" s="1"/>
    </row>
    <row r="1355" spans="1:4" x14ac:dyDescent="0.3">
      <c r="A1355" s="1"/>
      <c r="B1355" s="1" t="str">
        <f>IFERROR(IF(LEFT(Sensitivität_bzw_Monte_Carlo_bei_Strom[[#This Row],[Source.Name]],SEARCH("aus_der",Sensitivität_bzw_Monte_Carlo_bei_Strom[[#This Row],[Source.Name]],1))="Auszahlung_a","Auszahlung",""),"")</f>
        <v/>
      </c>
      <c r="D1355" s="1"/>
    </row>
    <row r="1356" spans="1:4" x14ac:dyDescent="0.3">
      <c r="A1356" s="1"/>
      <c r="B1356" s="1" t="str">
        <f>IFERROR(IF(LEFT(Sensitivität_bzw_Monte_Carlo_bei_Strom[[#This Row],[Source.Name]],SEARCH("aus_der",Sensitivität_bzw_Monte_Carlo_bei_Strom[[#This Row],[Source.Name]],1))="Auszahlung_a","Auszahlung",""),"")</f>
        <v/>
      </c>
      <c r="D1356" s="1"/>
    </row>
    <row r="1357" spans="1:4" x14ac:dyDescent="0.3">
      <c r="A1357" s="1"/>
      <c r="B1357" s="1" t="str">
        <f>IFERROR(IF(LEFT(Sensitivität_bzw_Monte_Carlo_bei_Strom[[#This Row],[Source.Name]],SEARCH("aus_der",Sensitivität_bzw_Monte_Carlo_bei_Strom[[#This Row],[Source.Name]],1))="Auszahlung_a","Auszahlung",""),"")</f>
        <v/>
      </c>
      <c r="D1357" s="1"/>
    </row>
    <row r="1358" spans="1:4" x14ac:dyDescent="0.3">
      <c r="A1358" s="1"/>
      <c r="B1358" s="1" t="str">
        <f>IFERROR(IF(LEFT(Sensitivität_bzw_Monte_Carlo_bei_Strom[[#This Row],[Source.Name]],SEARCH("aus_der",Sensitivität_bzw_Monte_Carlo_bei_Strom[[#This Row],[Source.Name]],1))="Auszahlung_a","Auszahlung",""),"")</f>
        <v/>
      </c>
      <c r="D1358" s="1"/>
    </row>
    <row r="1359" spans="1:4" x14ac:dyDescent="0.3">
      <c r="A1359" s="1"/>
      <c r="B1359" s="1" t="str">
        <f>IFERROR(IF(LEFT(Sensitivität_bzw_Monte_Carlo_bei_Strom[[#This Row],[Source.Name]],SEARCH("aus_der",Sensitivität_bzw_Monte_Carlo_bei_Strom[[#This Row],[Source.Name]],1))="Auszahlung_a","Auszahlung",""),"")</f>
        <v/>
      </c>
      <c r="D1359" s="1"/>
    </row>
    <row r="1360" spans="1:4" x14ac:dyDescent="0.3">
      <c r="A1360" s="1"/>
      <c r="B1360" s="1" t="str">
        <f>IFERROR(IF(LEFT(Sensitivität_bzw_Monte_Carlo_bei_Strom[[#This Row],[Source.Name]],SEARCH("aus_der",Sensitivität_bzw_Monte_Carlo_bei_Strom[[#This Row],[Source.Name]],1))="Auszahlung_a","Auszahlung",""),"")</f>
        <v/>
      </c>
      <c r="D1360" s="1"/>
    </row>
    <row r="1361" spans="1:4" x14ac:dyDescent="0.3">
      <c r="A1361" s="1"/>
      <c r="B1361" s="1" t="str">
        <f>IFERROR(IF(LEFT(Sensitivität_bzw_Monte_Carlo_bei_Strom[[#This Row],[Source.Name]],SEARCH("aus_der",Sensitivität_bzw_Monte_Carlo_bei_Strom[[#This Row],[Source.Name]],1))="Auszahlung_a","Auszahlung",""),"")</f>
        <v/>
      </c>
      <c r="D1361" s="1"/>
    </row>
    <row r="1362" spans="1:4" x14ac:dyDescent="0.3">
      <c r="A1362" s="1"/>
      <c r="B1362" s="1" t="str">
        <f>IFERROR(IF(LEFT(Sensitivität_bzw_Monte_Carlo_bei_Strom[[#This Row],[Source.Name]],SEARCH("aus_der",Sensitivität_bzw_Monte_Carlo_bei_Strom[[#This Row],[Source.Name]],1))="Auszahlung_a","Auszahlung",""),"")</f>
        <v/>
      </c>
      <c r="D1362" s="1"/>
    </row>
    <row r="1363" spans="1:4" x14ac:dyDescent="0.3">
      <c r="A1363" s="1"/>
      <c r="B1363" s="1" t="str">
        <f>IFERROR(IF(LEFT(Sensitivität_bzw_Monte_Carlo_bei_Strom[[#This Row],[Source.Name]],SEARCH("aus_der",Sensitivität_bzw_Monte_Carlo_bei_Strom[[#This Row],[Source.Name]],1))="Auszahlung_a","Auszahlung",""),"")</f>
        <v/>
      </c>
      <c r="D1363" s="1"/>
    </row>
    <row r="1364" spans="1:4" x14ac:dyDescent="0.3">
      <c r="A1364" s="1"/>
      <c r="B1364" s="1" t="str">
        <f>IFERROR(IF(LEFT(Sensitivität_bzw_Monte_Carlo_bei_Strom[[#This Row],[Source.Name]],SEARCH("aus_der",Sensitivität_bzw_Monte_Carlo_bei_Strom[[#This Row],[Source.Name]],1))="Auszahlung_a","Auszahlung",""),"")</f>
        <v/>
      </c>
      <c r="D1364" s="1"/>
    </row>
    <row r="1365" spans="1:4" x14ac:dyDescent="0.3">
      <c r="A1365" s="1"/>
      <c r="B1365" s="1" t="str">
        <f>IFERROR(IF(LEFT(Sensitivität_bzw_Monte_Carlo_bei_Strom[[#This Row],[Source.Name]],SEARCH("aus_der",Sensitivität_bzw_Monte_Carlo_bei_Strom[[#This Row],[Source.Name]],1))="Auszahlung_a","Auszahlung",""),"")</f>
        <v/>
      </c>
      <c r="D1365" s="1"/>
    </row>
    <row r="1366" spans="1:4" x14ac:dyDescent="0.3">
      <c r="A1366" s="1"/>
      <c r="B1366" s="1" t="str">
        <f>IFERROR(IF(LEFT(Sensitivität_bzw_Monte_Carlo_bei_Strom[[#This Row],[Source.Name]],SEARCH("aus_der",Sensitivität_bzw_Monte_Carlo_bei_Strom[[#This Row],[Source.Name]],1))="Auszahlung_a","Auszahlung",""),"")</f>
        <v/>
      </c>
      <c r="D1366" s="1"/>
    </row>
    <row r="1367" spans="1:4" x14ac:dyDescent="0.3">
      <c r="A1367" s="1"/>
      <c r="B1367" s="1" t="str">
        <f>IFERROR(IF(LEFT(Sensitivität_bzw_Monte_Carlo_bei_Strom[[#This Row],[Source.Name]],SEARCH("aus_der",Sensitivität_bzw_Monte_Carlo_bei_Strom[[#This Row],[Source.Name]],1))="Auszahlung_a","Auszahlung",""),"")</f>
        <v/>
      </c>
      <c r="D1367" s="1"/>
    </row>
    <row r="1368" spans="1:4" x14ac:dyDescent="0.3">
      <c r="A1368" s="1"/>
      <c r="B1368" s="1" t="str">
        <f>IFERROR(IF(LEFT(Sensitivität_bzw_Monte_Carlo_bei_Strom[[#This Row],[Source.Name]],SEARCH("aus_der",Sensitivität_bzw_Monte_Carlo_bei_Strom[[#This Row],[Source.Name]],1))="Auszahlung_a","Auszahlung",""),"")</f>
        <v/>
      </c>
      <c r="D1368" s="1"/>
    </row>
    <row r="1369" spans="1:4" x14ac:dyDescent="0.3">
      <c r="A1369" s="1"/>
      <c r="B1369" s="1" t="str">
        <f>IFERROR(IF(LEFT(Sensitivität_bzw_Monte_Carlo_bei_Strom[[#This Row],[Source.Name]],SEARCH("aus_der",Sensitivität_bzw_Monte_Carlo_bei_Strom[[#This Row],[Source.Name]],1))="Auszahlung_a","Auszahlung",""),"")</f>
        <v/>
      </c>
      <c r="D1369" s="1"/>
    </row>
    <row r="1370" spans="1:4" x14ac:dyDescent="0.3">
      <c r="A1370" s="1"/>
      <c r="B1370" s="1" t="str">
        <f>IFERROR(IF(LEFT(Sensitivität_bzw_Monte_Carlo_bei_Strom[[#This Row],[Source.Name]],SEARCH("aus_der",Sensitivität_bzw_Monte_Carlo_bei_Strom[[#This Row],[Source.Name]],1))="Auszahlung_a","Auszahlung",""),"")</f>
        <v/>
      </c>
      <c r="D1370" s="1"/>
    </row>
    <row r="1371" spans="1:4" x14ac:dyDescent="0.3">
      <c r="A1371" s="1"/>
      <c r="B1371" s="1" t="str">
        <f>IFERROR(IF(LEFT(Sensitivität_bzw_Monte_Carlo_bei_Strom[[#This Row],[Source.Name]],SEARCH("aus_der",Sensitivität_bzw_Monte_Carlo_bei_Strom[[#This Row],[Source.Name]],1))="Auszahlung_a","Auszahlung",""),"")</f>
        <v/>
      </c>
      <c r="D1371" s="1"/>
    </row>
    <row r="1372" spans="1:4" x14ac:dyDescent="0.3">
      <c r="A1372" s="1"/>
      <c r="B1372" s="1" t="str">
        <f>IFERROR(IF(LEFT(Sensitivität_bzw_Monte_Carlo_bei_Strom[[#This Row],[Source.Name]],SEARCH("aus_der",Sensitivität_bzw_Monte_Carlo_bei_Strom[[#This Row],[Source.Name]],1))="Auszahlung_a","Auszahlung",""),"")</f>
        <v/>
      </c>
      <c r="D1372" s="1"/>
    </row>
    <row r="1373" spans="1:4" x14ac:dyDescent="0.3">
      <c r="A1373" s="1"/>
      <c r="B1373" s="1" t="str">
        <f>IFERROR(IF(LEFT(Sensitivität_bzw_Monte_Carlo_bei_Strom[[#This Row],[Source.Name]],SEARCH("aus_der",Sensitivität_bzw_Monte_Carlo_bei_Strom[[#This Row],[Source.Name]],1))="Auszahlung_a","Auszahlung",""),"")</f>
        <v/>
      </c>
      <c r="D1373" s="1"/>
    </row>
    <row r="1374" spans="1:4" x14ac:dyDescent="0.3">
      <c r="A1374" s="1"/>
      <c r="B1374" s="1" t="str">
        <f>IFERROR(IF(LEFT(Sensitivität_bzw_Monte_Carlo_bei_Strom[[#This Row],[Source.Name]],SEARCH("aus_der",Sensitivität_bzw_Monte_Carlo_bei_Strom[[#This Row],[Source.Name]],1))="Auszahlung_a","Auszahlung",""),"")</f>
        <v/>
      </c>
      <c r="D1374" s="1"/>
    </row>
    <row r="1375" spans="1:4" x14ac:dyDescent="0.3">
      <c r="A1375" s="1"/>
      <c r="B1375" s="1" t="str">
        <f>IFERROR(IF(LEFT(Sensitivität_bzw_Monte_Carlo_bei_Strom[[#This Row],[Source.Name]],SEARCH("aus_der",Sensitivität_bzw_Monte_Carlo_bei_Strom[[#This Row],[Source.Name]],1))="Auszahlung_a","Auszahlung",""),"")</f>
        <v/>
      </c>
      <c r="D1375" s="1"/>
    </row>
    <row r="1376" spans="1:4" x14ac:dyDescent="0.3">
      <c r="A1376" s="1"/>
      <c r="B1376" s="1" t="str">
        <f>IFERROR(IF(LEFT(Sensitivität_bzw_Monte_Carlo_bei_Strom[[#This Row],[Source.Name]],SEARCH("aus_der",Sensitivität_bzw_Monte_Carlo_bei_Strom[[#This Row],[Source.Name]],1))="Auszahlung_a","Auszahlung",""),"")</f>
        <v/>
      </c>
      <c r="D1376" s="1"/>
    </row>
    <row r="1377" spans="1:4" x14ac:dyDescent="0.3">
      <c r="A1377" s="1"/>
      <c r="B1377" s="1" t="str">
        <f>IFERROR(IF(LEFT(Sensitivität_bzw_Monte_Carlo_bei_Strom[[#This Row],[Source.Name]],SEARCH("aus_der",Sensitivität_bzw_Monte_Carlo_bei_Strom[[#This Row],[Source.Name]],1))="Auszahlung_a","Auszahlung",""),"")</f>
        <v/>
      </c>
      <c r="D1377" s="1"/>
    </row>
    <row r="1378" spans="1:4" x14ac:dyDescent="0.3">
      <c r="A1378" s="1"/>
      <c r="B1378" s="1" t="str">
        <f>IFERROR(IF(LEFT(Sensitivität_bzw_Monte_Carlo_bei_Strom[[#This Row],[Source.Name]],SEARCH("aus_der",Sensitivität_bzw_Monte_Carlo_bei_Strom[[#This Row],[Source.Name]],1))="Auszahlung_a","Auszahlung",""),"")</f>
        <v/>
      </c>
      <c r="D1378" s="1"/>
    </row>
    <row r="1379" spans="1:4" x14ac:dyDescent="0.3">
      <c r="A1379" s="1"/>
      <c r="B1379" s="1" t="str">
        <f>IFERROR(IF(LEFT(Sensitivität_bzw_Monte_Carlo_bei_Strom[[#This Row],[Source.Name]],SEARCH("aus_der",Sensitivität_bzw_Monte_Carlo_bei_Strom[[#This Row],[Source.Name]],1))="Auszahlung_a","Auszahlung",""),"")</f>
        <v/>
      </c>
      <c r="D1379" s="1"/>
    </row>
    <row r="1380" spans="1:4" x14ac:dyDescent="0.3">
      <c r="A1380" s="1"/>
      <c r="B1380" s="1" t="str">
        <f>IFERROR(IF(LEFT(Sensitivität_bzw_Monte_Carlo_bei_Strom[[#This Row],[Source.Name]],SEARCH("aus_der",Sensitivität_bzw_Monte_Carlo_bei_Strom[[#This Row],[Source.Name]],1))="Auszahlung_a","Auszahlung",""),"")</f>
        <v/>
      </c>
      <c r="D1380" s="1"/>
    </row>
    <row r="1381" spans="1:4" x14ac:dyDescent="0.3">
      <c r="A1381" s="1"/>
      <c r="B1381" s="1" t="str">
        <f>IFERROR(IF(LEFT(Sensitivität_bzw_Monte_Carlo_bei_Strom[[#This Row],[Source.Name]],SEARCH("aus_der",Sensitivität_bzw_Monte_Carlo_bei_Strom[[#This Row],[Source.Name]],1))="Auszahlung_a","Auszahlung",""),"")</f>
        <v/>
      </c>
      <c r="D1381" s="1"/>
    </row>
    <row r="1382" spans="1:4" x14ac:dyDescent="0.3">
      <c r="A1382" s="1"/>
      <c r="B1382" s="1" t="str">
        <f>IFERROR(IF(LEFT(Sensitivität_bzw_Monte_Carlo_bei_Strom[[#This Row],[Source.Name]],SEARCH("aus_der",Sensitivität_bzw_Monte_Carlo_bei_Strom[[#This Row],[Source.Name]],1))="Auszahlung_a","Auszahlung",""),"")</f>
        <v/>
      </c>
      <c r="D1382" s="1"/>
    </row>
    <row r="1383" spans="1:4" x14ac:dyDescent="0.3">
      <c r="A1383" s="1"/>
      <c r="B1383" s="1" t="str">
        <f>IFERROR(IF(LEFT(Sensitivität_bzw_Monte_Carlo_bei_Strom[[#This Row],[Source.Name]],SEARCH("aus_der",Sensitivität_bzw_Monte_Carlo_bei_Strom[[#This Row],[Source.Name]],1))="Auszahlung_a","Auszahlung",""),"")</f>
        <v/>
      </c>
      <c r="D1383" s="1"/>
    </row>
    <row r="1384" spans="1:4" x14ac:dyDescent="0.3">
      <c r="A1384" s="1"/>
      <c r="B1384" s="1" t="str">
        <f>IFERROR(IF(LEFT(Sensitivität_bzw_Monte_Carlo_bei_Strom[[#This Row],[Source.Name]],SEARCH("aus_der",Sensitivität_bzw_Monte_Carlo_bei_Strom[[#This Row],[Source.Name]],1))="Auszahlung_a","Auszahlung",""),"")</f>
        <v/>
      </c>
      <c r="D1384" s="1"/>
    </row>
    <row r="1385" spans="1:4" x14ac:dyDescent="0.3">
      <c r="A1385" s="1"/>
      <c r="B1385" s="1" t="str">
        <f>IFERROR(IF(LEFT(Sensitivität_bzw_Monte_Carlo_bei_Strom[[#This Row],[Source.Name]],SEARCH("aus_der",Sensitivität_bzw_Monte_Carlo_bei_Strom[[#This Row],[Source.Name]],1))="Auszahlung_a","Auszahlung",""),"")</f>
        <v/>
      </c>
      <c r="D1385" s="1"/>
    </row>
    <row r="1386" spans="1:4" x14ac:dyDescent="0.3">
      <c r="A1386" s="1"/>
      <c r="B1386" s="1" t="str">
        <f>IFERROR(IF(LEFT(Sensitivität_bzw_Monte_Carlo_bei_Strom[[#This Row],[Source.Name]],SEARCH("aus_der",Sensitivität_bzw_Monte_Carlo_bei_Strom[[#This Row],[Source.Name]],1))="Auszahlung_a","Auszahlung",""),"")</f>
        <v/>
      </c>
      <c r="D1386" s="1"/>
    </row>
    <row r="1387" spans="1:4" x14ac:dyDescent="0.3">
      <c r="A1387" s="1"/>
      <c r="B1387" s="1" t="str">
        <f>IFERROR(IF(LEFT(Sensitivität_bzw_Monte_Carlo_bei_Strom[[#This Row],[Source.Name]],SEARCH("aus_der",Sensitivität_bzw_Monte_Carlo_bei_Strom[[#This Row],[Source.Name]],1))="Auszahlung_a","Auszahlung",""),"")</f>
        <v/>
      </c>
      <c r="D1387" s="1"/>
    </row>
    <row r="1388" spans="1:4" x14ac:dyDescent="0.3">
      <c r="A1388" s="1"/>
      <c r="B1388" s="1" t="str">
        <f>IFERROR(IF(LEFT(Sensitivität_bzw_Monte_Carlo_bei_Strom[[#This Row],[Source.Name]],SEARCH("aus_der",Sensitivität_bzw_Monte_Carlo_bei_Strom[[#This Row],[Source.Name]],1))="Auszahlung_a","Auszahlung",""),"")</f>
        <v/>
      </c>
      <c r="D1388" s="1"/>
    </row>
    <row r="1389" spans="1:4" x14ac:dyDescent="0.3">
      <c r="A1389" s="1"/>
      <c r="B1389" s="1" t="str">
        <f>IFERROR(IF(LEFT(Sensitivität_bzw_Monte_Carlo_bei_Strom[[#This Row],[Source.Name]],SEARCH("aus_der",Sensitivität_bzw_Monte_Carlo_bei_Strom[[#This Row],[Source.Name]],1))="Auszahlung_a","Auszahlung",""),"")</f>
        <v/>
      </c>
      <c r="D1389" s="1"/>
    </row>
    <row r="1390" spans="1:4" x14ac:dyDescent="0.3">
      <c r="A1390" s="1"/>
      <c r="B1390" s="1" t="str">
        <f>IFERROR(IF(LEFT(Sensitivität_bzw_Monte_Carlo_bei_Strom[[#This Row],[Source.Name]],SEARCH("aus_der",Sensitivität_bzw_Monte_Carlo_bei_Strom[[#This Row],[Source.Name]],1))="Auszahlung_a","Auszahlung",""),"")</f>
        <v/>
      </c>
      <c r="D1390" s="1"/>
    </row>
    <row r="1391" spans="1:4" x14ac:dyDescent="0.3">
      <c r="A1391" s="1"/>
      <c r="B1391" s="1" t="str">
        <f>IFERROR(IF(LEFT(Sensitivität_bzw_Monte_Carlo_bei_Strom[[#This Row],[Source.Name]],SEARCH("aus_der",Sensitivität_bzw_Monte_Carlo_bei_Strom[[#This Row],[Source.Name]],1))="Auszahlung_a","Auszahlung",""),"")</f>
        <v/>
      </c>
      <c r="D1391" s="1"/>
    </row>
    <row r="1392" spans="1:4" x14ac:dyDescent="0.3">
      <c r="A1392" s="1"/>
      <c r="B1392" s="1" t="str">
        <f>IFERROR(IF(LEFT(Sensitivität_bzw_Monte_Carlo_bei_Strom[[#This Row],[Source.Name]],SEARCH("aus_der",Sensitivität_bzw_Monte_Carlo_bei_Strom[[#This Row],[Source.Name]],1))="Auszahlung_a","Auszahlung",""),"")</f>
        <v/>
      </c>
      <c r="D1392" s="1"/>
    </row>
    <row r="1393" spans="1:4" x14ac:dyDescent="0.3">
      <c r="A1393" s="1"/>
      <c r="B1393" s="1" t="str">
        <f>IFERROR(IF(LEFT(Sensitivität_bzw_Monte_Carlo_bei_Strom[[#This Row],[Source.Name]],SEARCH("aus_der",Sensitivität_bzw_Monte_Carlo_bei_Strom[[#This Row],[Source.Name]],1))="Auszahlung_a","Auszahlung",""),"")</f>
        <v/>
      </c>
      <c r="D1393" s="1"/>
    </row>
    <row r="1394" spans="1:4" x14ac:dyDescent="0.3">
      <c r="A1394" s="1"/>
      <c r="B1394" s="1" t="str">
        <f>IFERROR(IF(LEFT(Sensitivität_bzw_Monte_Carlo_bei_Strom[[#This Row],[Source.Name]],SEARCH("aus_der",Sensitivität_bzw_Monte_Carlo_bei_Strom[[#This Row],[Source.Name]],1))="Auszahlung_a","Auszahlung",""),"")</f>
        <v/>
      </c>
      <c r="D1394" s="1"/>
    </row>
    <row r="1395" spans="1:4" x14ac:dyDescent="0.3">
      <c r="A1395" s="1"/>
      <c r="B1395" s="1" t="str">
        <f>IFERROR(IF(LEFT(Sensitivität_bzw_Monte_Carlo_bei_Strom[[#This Row],[Source.Name]],SEARCH("aus_der",Sensitivität_bzw_Monte_Carlo_bei_Strom[[#This Row],[Source.Name]],1))="Auszahlung_a","Auszahlung",""),"")</f>
        <v/>
      </c>
      <c r="D1395" s="1"/>
    </row>
    <row r="1396" spans="1:4" x14ac:dyDescent="0.3">
      <c r="A1396" s="1"/>
      <c r="B1396" s="1" t="str">
        <f>IFERROR(IF(LEFT(Sensitivität_bzw_Monte_Carlo_bei_Strom[[#This Row],[Source.Name]],SEARCH("aus_der",Sensitivität_bzw_Monte_Carlo_bei_Strom[[#This Row],[Source.Name]],1))="Auszahlung_a","Auszahlung",""),"")</f>
        <v/>
      </c>
      <c r="D1396" s="1"/>
    </row>
    <row r="1397" spans="1:4" x14ac:dyDescent="0.3">
      <c r="A1397" s="1"/>
      <c r="B1397" s="1" t="str">
        <f>IFERROR(IF(LEFT(Sensitivität_bzw_Monte_Carlo_bei_Strom[[#This Row],[Source.Name]],SEARCH("aus_der",Sensitivität_bzw_Monte_Carlo_bei_Strom[[#This Row],[Source.Name]],1))="Auszahlung_a","Auszahlung",""),"")</f>
        <v/>
      </c>
      <c r="D1397" s="1"/>
    </row>
    <row r="1398" spans="1:4" x14ac:dyDescent="0.3">
      <c r="A1398" s="1"/>
      <c r="B1398" s="1" t="str">
        <f>IFERROR(IF(LEFT(Sensitivität_bzw_Monte_Carlo_bei_Strom[[#This Row],[Source.Name]],SEARCH("aus_der",Sensitivität_bzw_Monte_Carlo_bei_Strom[[#This Row],[Source.Name]],1))="Auszahlung_a","Auszahlung",""),"")</f>
        <v/>
      </c>
      <c r="D1398" s="1"/>
    </row>
    <row r="1399" spans="1:4" x14ac:dyDescent="0.3">
      <c r="A1399" s="1"/>
      <c r="B1399" s="1" t="str">
        <f>IFERROR(IF(LEFT(Sensitivität_bzw_Monte_Carlo_bei_Strom[[#This Row],[Source.Name]],SEARCH("aus_der",Sensitivität_bzw_Monte_Carlo_bei_Strom[[#This Row],[Source.Name]],1))="Auszahlung_a","Auszahlung",""),"")</f>
        <v/>
      </c>
      <c r="D1399" s="1"/>
    </row>
    <row r="1400" spans="1:4" x14ac:dyDescent="0.3">
      <c r="A1400" s="1"/>
      <c r="B1400" s="1" t="str">
        <f>IFERROR(IF(LEFT(Sensitivität_bzw_Monte_Carlo_bei_Strom[[#This Row],[Source.Name]],SEARCH("aus_der",Sensitivität_bzw_Monte_Carlo_bei_Strom[[#This Row],[Source.Name]],1))="Auszahlung_a","Auszahlung",""),"")</f>
        <v/>
      </c>
      <c r="D1400" s="1"/>
    </row>
    <row r="1401" spans="1:4" x14ac:dyDescent="0.3">
      <c r="A1401" s="1"/>
      <c r="B1401" s="1" t="str">
        <f>IFERROR(IF(LEFT(Sensitivität_bzw_Monte_Carlo_bei_Strom[[#This Row],[Source.Name]],SEARCH("aus_der",Sensitivität_bzw_Monte_Carlo_bei_Strom[[#This Row],[Source.Name]],1))="Auszahlung_a","Auszahlung",""),"")</f>
        <v/>
      </c>
      <c r="D1401" s="1"/>
    </row>
    <row r="1402" spans="1:4" x14ac:dyDescent="0.3">
      <c r="A1402" s="1"/>
      <c r="B1402" s="1" t="str">
        <f>IFERROR(IF(LEFT(Sensitivität_bzw_Monte_Carlo_bei_Strom[[#This Row],[Source.Name]],SEARCH("aus_der",Sensitivität_bzw_Monte_Carlo_bei_Strom[[#This Row],[Source.Name]],1))="Auszahlung_a","Auszahlung",""),"")</f>
        <v/>
      </c>
      <c r="D1402" s="1"/>
    </row>
    <row r="1403" spans="1:4" x14ac:dyDescent="0.3">
      <c r="A1403" s="1"/>
      <c r="B1403" s="1" t="str">
        <f>IFERROR(IF(LEFT(Sensitivität_bzw_Monte_Carlo_bei_Strom[[#This Row],[Source.Name]],SEARCH("aus_der",Sensitivität_bzw_Monte_Carlo_bei_Strom[[#This Row],[Source.Name]],1))="Auszahlung_a","Auszahlung",""),"")</f>
        <v/>
      </c>
      <c r="D1403" s="1"/>
    </row>
    <row r="1404" spans="1:4" x14ac:dyDescent="0.3">
      <c r="A1404" s="1"/>
      <c r="B1404" s="1" t="str">
        <f>IFERROR(IF(LEFT(Sensitivität_bzw_Monte_Carlo_bei_Strom[[#This Row],[Source.Name]],SEARCH("aus_der",Sensitivität_bzw_Monte_Carlo_bei_Strom[[#This Row],[Source.Name]],1))="Auszahlung_a","Auszahlung",""),"")</f>
        <v/>
      </c>
      <c r="D1404" s="1"/>
    </row>
    <row r="1405" spans="1:4" x14ac:dyDescent="0.3">
      <c r="A1405" s="1"/>
      <c r="B1405" s="1" t="str">
        <f>IFERROR(IF(LEFT(Sensitivität_bzw_Monte_Carlo_bei_Strom[[#This Row],[Source.Name]],SEARCH("aus_der",Sensitivität_bzw_Monte_Carlo_bei_Strom[[#This Row],[Source.Name]],1))="Auszahlung_a","Auszahlung",""),"")</f>
        <v/>
      </c>
      <c r="D1405" s="1"/>
    </row>
    <row r="1406" spans="1:4" x14ac:dyDescent="0.3">
      <c r="A1406" s="1"/>
      <c r="B1406" s="1" t="str">
        <f>IFERROR(IF(LEFT(Sensitivität_bzw_Monte_Carlo_bei_Strom[[#This Row],[Source.Name]],SEARCH("aus_der",Sensitivität_bzw_Monte_Carlo_bei_Strom[[#This Row],[Source.Name]],1))="Auszahlung_a","Auszahlung",""),"")</f>
        <v/>
      </c>
      <c r="D1406" s="1"/>
    </row>
    <row r="1407" spans="1:4" x14ac:dyDescent="0.3">
      <c r="A1407" s="1"/>
      <c r="B1407" s="1" t="str">
        <f>IFERROR(IF(LEFT(Sensitivität_bzw_Monte_Carlo_bei_Strom[[#This Row],[Source.Name]],SEARCH("aus_der",Sensitivität_bzw_Monte_Carlo_bei_Strom[[#This Row],[Source.Name]],1))="Auszahlung_a","Auszahlung",""),"")</f>
        <v/>
      </c>
      <c r="D1407" s="1"/>
    </row>
    <row r="1408" spans="1:4" x14ac:dyDescent="0.3">
      <c r="A1408" s="1"/>
      <c r="B1408" s="1" t="str">
        <f>IFERROR(IF(LEFT(Sensitivität_bzw_Monte_Carlo_bei_Strom[[#This Row],[Source.Name]],SEARCH("aus_der",Sensitivität_bzw_Monte_Carlo_bei_Strom[[#This Row],[Source.Name]],1))="Auszahlung_a","Auszahlung",""),"")</f>
        <v/>
      </c>
      <c r="D1408" s="1"/>
    </row>
    <row r="1409" spans="1:4" x14ac:dyDescent="0.3">
      <c r="A1409" s="1"/>
      <c r="B1409" s="1" t="str">
        <f>IFERROR(IF(LEFT(Sensitivität_bzw_Monte_Carlo_bei_Strom[[#This Row],[Source.Name]],SEARCH("aus_der",Sensitivität_bzw_Monte_Carlo_bei_Strom[[#This Row],[Source.Name]],1))="Auszahlung_a","Auszahlung",""),"")</f>
        <v/>
      </c>
      <c r="D1409" s="1"/>
    </row>
    <row r="1410" spans="1:4" x14ac:dyDescent="0.3">
      <c r="A1410" s="1"/>
      <c r="B1410" s="1" t="str">
        <f>IFERROR(IF(LEFT(Sensitivität_bzw_Monte_Carlo_bei_Strom[[#This Row],[Source.Name]],SEARCH("aus_der",Sensitivität_bzw_Monte_Carlo_bei_Strom[[#This Row],[Source.Name]],1))="Auszahlung_a","Auszahlung",""),"")</f>
        <v/>
      </c>
      <c r="D1410" s="1"/>
    </row>
    <row r="1411" spans="1:4" x14ac:dyDescent="0.3">
      <c r="A1411" s="1"/>
      <c r="B1411" s="1" t="str">
        <f>IFERROR(IF(LEFT(Sensitivität_bzw_Monte_Carlo_bei_Strom[[#This Row],[Source.Name]],SEARCH("aus_der",Sensitivität_bzw_Monte_Carlo_bei_Strom[[#This Row],[Source.Name]],1))="Auszahlung_a","Auszahlung",""),"")</f>
        <v/>
      </c>
      <c r="D1411" s="1"/>
    </row>
    <row r="1412" spans="1:4" x14ac:dyDescent="0.3">
      <c r="A1412" s="1"/>
      <c r="B1412" s="1" t="str">
        <f>IFERROR(IF(LEFT(Sensitivität_bzw_Monte_Carlo_bei_Strom[[#This Row],[Source.Name]],SEARCH("aus_der",Sensitivität_bzw_Monte_Carlo_bei_Strom[[#This Row],[Source.Name]],1))="Auszahlung_a","Auszahlung",""),"")</f>
        <v/>
      </c>
      <c r="D1412" s="1"/>
    </row>
    <row r="1413" spans="1:4" x14ac:dyDescent="0.3">
      <c r="A1413" s="1"/>
      <c r="B1413" s="1" t="str">
        <f>IFERROR(IF(LEFT(Sensitivität_bzw_Monte_Carlo_bei_Strom[[#This Row],[Source.Name]],SEARCH("aus_der",Sensitivität_bzw_Monte_Carlo_bei_Strom[[#This Row],[Source.Name]],1))="Auszahlung_a","Auszahlung",""),"")</f>
        <v/>
      </c>
      <c r="D1413" s="1"/>
    </row>
    <row r="1414" spans="1:4" x14ac:dyDescent="0.3">
      <c r="A1414" s="1"/>
      <c r="B1414" s="1" t="str">
        <f>IFERROR(IF(LEFT(Sensitivität_bzw_Monte_Carlo_bei_Strom[[#This Row],[Source.Name]],SEARCH("aus_der",Sensitivität_bzw_Monte_Carlo_bei_Strom[[#This Row],[Source.Name]],1))="Auszahlung_a","Auszahlung",""),"")</f>
        <v/>
      </c>
      <c r="D1414" s="1"/>
    </row>
    <row r="1415" spans="1:4" x14ac:dyDescent="0.3">
      <c r="A1415" s="1"/>
      <c r="B1415" s="1" t="str">
        <f>IFERROR(IF(LEFT(Sensitivität_bzw_Monte_Carlo_bei_Strom[[#This Row],[Source.Name]],SEARCH("aus_der",Sensitivität_bzw_Monte_Carlo_bei_Strom[[#This Row],[Source.Name]],1))="Auszahlung_a","Auszahlung",""),"")</f>
        <v/>
      </c>
      <c r="D1415" s="1"/>
    </row>
    <row r="1416" spans="1:4" x14ac:dyDescent="0.3">
      <c r="A1416" s="1"/>
      <c r="B1416" s="1" t="str">
        <f>IFERROR(IF(LEFT(Sensitivität_bzw_Monte_Carlo_bei_Strom[[#This Row],[Source.Name]],SEARCH("aus_der",Sensitivität_bzw_Monte_Carlo_bei_Strom[[#This Row],[Source.Name]],1))="Auszahlung_a","Auszahlung",""),"")</f>
        <v/>
      </c>
      <c r="D1416" s="1"/>
    </row>
    <row r="1417" spans="1:4" x14ac:dyDescent="0.3">
      <c r="A1417" s="1"/>
      <c r="B1417" s="1" t="str">
        <f>IFERROR(IF(LEFT(Sensitivität_bzw_Monte_Carlo_bei_Strom[[#This Row],[Source.Name]],SEARCH("aus_der",Sensitivität_bzw_Monte_Carlo_bei_Strom[[#This Row],[Source.Name]],1))="Auszahlung_a","Auszahlung",""),"")</f>
        <v/>
      </c>
      <c r="D1417" s="1"/>
    </row>
    <row r="1418" spans="1:4" x14ac:dyDescent="0.3">
      <c r="A1418" s="1"/>
      <c r="B1418" s="1" t="str">
        <f>IFERROR(IF(LEFT(Sensitivität_bzw_Monte_Carlo_bei_Strom[[#This Row],[Source.Name]],SEARCH("aus_der",Sensitivität_bzw_Monte_Carlo_bei_Strom[[#This Row],[Source.Name]],1))="Auszahlung_a","Auszahlung",""),"")</f>
        <v/>
      </c>
      <c r="D1418" s="1"/>
    </row>
    <row r="1419" spans="1:4" x14ac:dyDescent="0.3">
      <c r="A1419" s="1"/>
      <c r="B1419" s="1" t="str">
        <f>IFERROR(IF(LEFT(Sensitivität_bzw_Monte_Carlo_bei_Strom[[#This Row],[Source.Name]],SEARCH("aus_der",Sensitivität_bzw_Monte_Carlo_bei_Strom[[#This Row],[Source.Name]],1))="Auszahlung_a","Auszahlung",""),"")</f>
        <v/>
      </c>
      <c r="D1419" s="1"/>
    </row>
    <row r="1420" spans="1:4" x14ac:dyDescent="0.3">
      <c r="A1420" s="1"/>
      <c r="B1420" s="1" t="str">
        <f>IFERROR(IF(LEFT(Sensitivität_bzw_Monte_Carlo_bei_Strom[[#This Row],[Source.Name]],SEARCH("aus_der",Sensitivität_bzw_Monte_Carlo_bei_Strom[[#This Row],[Source.Name]],1))="Auszahlung_a","Auszahlung",""),"")</f>
        <v/>
      </c>
      <c r="D1420" s="1"/>
    </row>
    <row r="1421" spans="1:4" x14ac:dyDescent="0.3">
      <c r="A1421" s="1"/>
      <c r="B1421" s="1" t="str">
        <f>IFERROR(IF(LEFT(Sensitivität_bzw_Monte_Carlo_bei_Strom[[#This Row],[Source.Name]],SEARCH("aus_der",Sensitivität_bzw_Monte_Carlo_bei_Strom[[#This Row],[Source.Name]],1))="Auszahlung_a","Auszahlung",""),"")</f>
        <v/>
      </c>
      <c r="D1421" s="1"/>
    </row>
    <row r="1422" spans="1:4" x14ac:dyDescent="0.3">
      <c r="A1422" s="1"/>
      <c r="B1422" s="1" t="str">
        <f>IFERROR(IF(LEFT(Sensitivität_bzw_Monte_Carlo_bei_Strom[[#This Row],[Source.Name]],SEARCH("aus_der",Sensitivität_bzw_Monte_Carlo_bei_Strom[[#This Row],[Source.Name]],1))="Auszahlung_a","Auszahlung",""),"")</f>
        <v/>
      </c>
      <c r="D1422" s="1"/>
    </row>
    <row r="1423" spans="1:4" x14ac:dyDescent="0.3">
      <c r="A1423" s="1"/>
      <c r="B1423" s="1" t="str">
        <f>IFERROR(IF(LEFT(Sensitivität_bzw_Monte_Carlo_bei_Strom[[#This Row],[Source.Name]],SEARCH("aus_der",Sensitivität_bzw_Monte_Carlo_bei_Strom[[#This Row],[Source.Name]],1))="Auszahlung_a","Auszahlung",""),"")</f>
        <v/>
      </c>
      <c r="D1423" s="1"/>
    </row>
    <row r="1424" spans="1:4" x14ac:dyDescent="0.3">
      <c r="A1424" s="1"/>
      <c r="B1424" s="1" t="str">
        <f>IFERROR(IF(LEFT(Sensitivität_bzw_Monte_Carlo_bei_Strom[[#This Row],[Source.Name]],SEARCH("aus_der",Sensitivität_bzw_Monte_Carlo_bei_Strom[[#This Row],[Source.Name]],1))="Auszahlung_a","Auszahlung",""),"")</f>
        <v/>
      </c>
      <c r="D1424" s="1"/>
    </row>
    <row r="1425" spans="1:4" x14ac:dyDescent="0.3">
      <c r="A1425" s="1"/>
      <c r="B1425" s="1" t="str">
        <f>IFERROR(IF(LEFT(Sensitivität_bzw_Monte_Carlo_bei_Strom[[#This Row],[Source.Name]],SEARCH("aus_der",Sensitivität_bzw_Monte_Carlo_bei_Strom[[#This Row],[Source.Name]],1))="Auszahlung_a","Auszahlung",""),"")</f>
        <v/>
      </c>
      <c r="D1425" s="1"/>
    </row>
    <row r="1426" spans="1:4" x14ac:dyDescent="0.3">
      <c r="A1426" s="1"/>
      <c r="B1426" s="1" t="str">
        <f>IFERROR(IF(LEFT(Sensitivität_bzw_Monte_Carlo_bei_Strom[[#This Row],[Source.Name]],SEARCH("aus_der",Sensitivität_bzw_Monte_Carlo_bei_Strom[[#This Row],[Source.Name]],1))="Auszahlung_a","Auszahlung",""),"")</f>
        <v/>
      </c>
      <c r="D1426" s="1"/>
    </row>
    <row r="1427" spans="1:4" x14ac:dyDescent="0.3">
      <c r="A1427" s="1"/>
      <c r="B1427" s="1" t="str">
        <f>IFERROR(IF(LEFT(Sensitivität_bzw_Monte_Carlo_bei_Strom[[#This Row],[Source.Name]],SEARCH("aus_der",Sensitivität_bzw_Monte_Carlo_bei_Strom[[#This Row],[Source.Name]],1))="Auszahlung_a","Auszahlung",""),"")</f>
        <v/>
      </c>
      <c r="D1427" s="1"/>
    </row>
    <row r="1428" spans="1:4" x14ac:dyDescent="0.3">
      <c r="A1428" s="1"/>
      <c r="B1428" s="1" t="str">
        <f>IFERROR(IF(LEFT(Sensitivität_bzw_Monte_Carlo_bei_Strom[[#This Row],[Source.Name]],SEARCH("aus_der",Sensitivität_bzw_Monte_Carlo_bei_Strom[[#This Row],[Source.Name]],1))="Auszahlung_a","Auszahlung",""),"")</f>
        <v/>
      </c>
      <c r="D1428" s="1"/>
    </row>
    <row r="1429" spans="1:4" x14ac:dyDescent="0.3">
      <c r="A1429" s="1"/>
      <c r="B1429" s="1" t="str">
        <f>IFERROR(IF(LEFT(Sensitivität_bzw_Monte_Carlo_bei_Strom[[#This Row],[Source.Name]],SEARCH("aus_der",Sensitivität_bzw_Monte_Carlo_bei_Strom[[#This Row],[Source.Name]],1))="Auszahlung_a","Auszahlung",""),"")</f>
        <v/>
      </c>
      <c r="D1429" s="1"/>
    </row>
    <row r="1430" spans="1:4" x14ac:dyDescent="0.3">
      <c r="A1430" s="1"/>
      <c r="B1430" s="1" t="str">
        <f>IFERROR(IF(LEFT(Sensitivität_bzw_Monte_Carlo_bei_Strom[[#This Row],[Source.Name]],SEARCH("aus_der",Sensitivität_bzw_Monte_Carlo_bei_Strom[[#This Row],[Source.Name]],1))="Auszahlung_a","Auszahlung",""),"")</f>
        <v/>
      </c>
      <c r="D1430" s="1"/>
    </row>
    <row r="1431" spans="1:4" x14ac:dyDescent="0.3">
      <c r="A1431" s="1"/>
      <c r="B1431" s="1" t="str">
        <f>IFERROR(IF(LEFT(Sensitivität_bzw_Monte_Carlo_bei_Strom[[#This Row],[Source.Name]],SEARCH("aus_der",Sensitivität_bzw_Monte_Carlo_bei_Strom[[#This Row],[Source.Name]],1))="Auszahlung_a","Auszahlung",""),"")</f>
        <v/>
      </c>
      <c r="D1431" s="1"/>
    </row>
    <row r="1432" spans="1:4" x14ac:dyDescent="0.3">
      <c r="A1432" s="1"/>
      <c r="B1432" s="1" t="str">
        <f>IFERROR(IF(LEFT(Sensitivität_bzw_Monte_Carlo_bei_Strom[[#This Row],[Source.Name]],SEARCH("aus_der",Sensitivität_bzw_Monte_Carlo_bei_Strom[[#This Row],[Source.Name]],1))="Auszahlung_a","Auszahlung",""),"")</f>
        <v/>
      </c>
      <c r="D1432" s="1"/>
    </row>
    <row r="1433" spans="1:4" x14ac:dyDescent="0.3">
      <c r="A1433" s="1"/>
      <c r="B1433" s="1" t="str">
        <f>IFERROR(IF(LEFT(Sensitivität_bzw_Monte_Carlo_bei_Strom[[#This Row],[Source.Name]],SEARCH("aus_der",Sensitivität_bzw_Monte_Carlo_bei_Strom[[#This Row],[Source.Name]],1))="Auszahlung_a","Auszahlung",""),"")</f>
        <v/>
      </c>
      <c r="D1433" s="1"/>
    </row>
    <row r="1434" spans="1:4" x14ac:dyDescent="0.3">
      <c r="A1434" s="1"/>
      <c r="B1434" s="1" t="str">
        <f>IFERROR(IF(LEFT(Sensitivität_bzw_Monte_Carlo_bei_Strom[[#This Row],[Source.Name]],SEARCH("aus_der",Sensitivität_bzw_Monte_Carlo_bei_Strom[[#This Row],[Source.Name]],1))="Auszahlung_a","Auszahlung",""),"")</f>
        <v/>
      </c>
      <c r="D1434" s="1"/>
    </row>
    <row r="1435" spans="1:4" x14ac:dyDescent="0.3">
      <c r="A1435" s="1"/>
      <c r="B1435" s="1" t="str">
        <f>IFERROR(IF(LEFT(Sensitivität_bzw_Monte_Carlo_bei_Strom[[#This Row],[Source.Name]],SEARCH("aus_der",Sensitivität_bzw_Monte_Carlo_bei_Strom[[#This Row],[Source.Name]],1))="Auszahlung_a","Auszahlung",""),"")</f>
        <v/>
      </c>
      <c r="D1435" s="1"/>
    </row>
    <row r="1436" spans="1:4" x14ac:dyDescent="0.3">
      <c r="A1436" s="1"/>
      <c r="B1436" s="1" t="str">
        <f>IFERROR(IF(LEFT(Sensitivität_bzw_Monte_Carlo_bei_Strom[[#This Row],[Source.Name]],SEARCH("aus_der",Sensitivität_bzw_Monte_Carlo_bei_Strom[[#This Row],[Source.Name]],1))="Auszahlung_a","Auszahlung",""),"")</f>
        <v/>
      </c>
      <c r="D1436" s="1"/>
    </row>
    <row r="1437" spans="1:4" x14ac:dyDescent="0.3">
      <c r="A1437" s="1"/>
      <c r="B1437" s="1" t="str">
        <f>IFERROR(IF(LEFT(Sensitivität_bzw_Monte_Carlo_bei_Strom[[#This Row],[Source.Name]],SEARCH("aus_der",Sensitivität_bzw_Monte_Carlo_bei_Strom[[#This Row],[Source.Name]],1))="Auszahlung_a","Auszahlung",""),"")</f>
        <v/>
      </c>
      <c r="D1437" s="1"/>
    </row>
    <row r="1438" spans="1:4" x14ac:dyDescent="0.3">
      <c r="A1438" s="1"/>
      <c r="B1438" s="1" t="str">
        <f>IFERROR(IF(LEFT(Sensitivität_bzw_Monte_Carlo_bei_Strom[[#This Row],[Source.Name]],SEARCH("aus_der",Sensitivität_bzw_Monte_Carlo_bei_Strom[[#This Row],[Source.Name]],1))="Auszahlung_a","Auszahlung",""),"")</f>
        <v/>
      </c>
      <c r="D1438" s="1"/>
    </row>
    <row r="1439" spans="1:4" x14ac:dyDescent="0.3">
      <c r="A1439" s="1"/>
      <c r="B1439" s="1" t="str">
        <f>IFERROR(IF(LEFT(Sensitivität_bzw_Monte_Carlo_bei_Strom[[#This Row],[Source.Name]],SEARCH("aus_der",Sensitivität_bzw_Monte_Carlo_bei_Strom[[#This Row],[Source.Name]],1))="Auszahlung_a","Auszahlung",""),"")</f>
        <v/>
      </c>
      <c r="D1439" s="1"/>
    </row>
    <row r="1440" spans="1:4" x14ac:dyDescent="0.3">
      <c r="A1440" s="1"/>
      <c r="B1440" s="1" t="str">
        <f>IFERROR(IF(LEFT(Sensitivität_bzw_Monte_Carlo_bei_Strom[[#This Row],[Source.Name]],SEARCH("aus_der",Sensitivität_bzw_Monte_Carlo_bei_Strom[[#This Row],[Source.Name]],1))="Auszahlung_a","Auszahlung",""),"")</f>
        <v/>
      </c>
      <c r="D1440" s="1"/>
    </row>
    <row r="1441" spans="1:4" x14ac:dyDescent="0.3">
      <c r="A1441" s="1"/>
      <c r="B1441" s="1" t="str">
        <f>IFERROR(IF(LEFT(Sensitivität_bzw_Monte_Carlo_bei_Strom[[#This Row],[Source.Name]],SEARCH("aus_der",Sensitivität_bzw_Monte_Carlo_bei_Strom[[#This Row],[Source.Name]],1))="Auszahlung_a","Auszahlung",""),"")</f>
        <v/>
      </c>
      <c r="D1441" s="1"/>
    </row>
    <row r="1442" spans="1:4" x14ac:dyDescent="0.3">
      <c r="A1442" s="1"/>
      <c r="B1442" s="1" t="str">
        <f>IFERROR(IF(LEFT(Sensitivität_bzw_Monte_Carlo_bei_Strom[[#This Row],[Source.Name]],SEARCH("aus_der",Sensitivität_bzw_Monte_Carlo_bei_Strom[[#This Row],[Source.Name]],1))="Auszahlung_a","Auszahlung",""),"")</f>
        <v/>
      </c>
      <c r="D1442" s="1"/>
    </row>
    <row r="1443" spans="1:4" x14ac:dyDescent="0.3">
      <c r="A1443" s="1"/>
      <c r="B1443" s="1" t="str">
        <f>IFERROR(IF(LEFT(Sensitivität_bzw_Monte_Carlo_bei_Strom[[#This Row],[Source.Name]],SEARCH("aus_der",Sensitivität_bzw_Monte_Carlo_bei_Strom[[#This Row],[Source.Name]],1))="Auszahlung_a","Auszahlung",""),"")</f>
        <v/>
      </c>
      <c r="D1443" s="1"/>
    </row>
    <row r="1444" spans="1:4" x14ac:dyDescent="0.3">
      <c r="A1444" s="1"/>
      <c r="B1444" s="1" t="str">
        <f>IFERROR(IF(LEFT(Sensitivität_bzw_Monte_Carlo_bei_Strom[[#This Row],[Source.Name]],SEARCH("aus_der",Sensitivität_bzw_Monte_Carlo_bei_Strom[[#This Row],[Source.Name]],1))="Auszahlung_a","Auszahlung",""),"")</f>
        <v/>
      </c>
      <c r="D1444" s="1"/>
    </row>
    <row r="1445" spans="1:4" x14ac:dyDescent="0.3">
      <c r="A1445" s="1"/>
      <c r="B1445" s="1" t="str">
        <f>IFERROR(IF(LEFT(Sensitivität_bzw_Monte_Carlo_bei_Strom[[#This Row],[Source.Name]],SEARCH("aus_der",Sensitivität_bzw_Monte_Carlo_bei_Strom[[#This Row],[Source.Name]],1))="Auszahlung_a","Auszahlung",""),"")</f>
        <v/>
      </c>
      <c r="D1445" s="1"/>
    </row>
    <row r="1446" spans="1:4" x14ac:dyDescent="0.3">
      <c r="A1446" s="1"/>
      <c r="B1446" s="1" t="str">
        <f>IFERROR(IF(LEFT(Sensitivität_bzw_Monte_Carlo_bei_Strom[[#This Row],[Source.Name]],SEARCH("aus_der",Sensitivität_bzw_Monte_Carlo_bei_Strom[[#This Row],[Source.Name]],1))="Auszahlung_a","Auszahlung",""),"")</f>
        <v/>
      </c>
      <c r="D1446" s="1"/>
    </row>
    <row r="1447" spans="1:4" x14ac:dyDescent="0.3">
      <c r="A1447" s="1"/>
      <c r="B1447" s="1" t="str">
        <f>IFERROR(IF(LEFT(Sensitivität_bzw_Monte_Carlo_bei_Strom[[#This Row],[Source.Name]],SEARCH("aus_der",Sensitivität_bzw_Monte_Carlo_bei_Strom[[#This Row],[Source.Name]],1))="Auszahlung_a","Auszahlung",""),"")</f>
        <v/>
      </c>
      <c r="D1447" s="1"/>
    </row>
    <row r="1448" spans="1:4" x14ac:dyDescent="0.3">
      <c r="A1448" s="1"/>
      <c r="B1448" s="1" t="str">
        <f>IFERROR(IF(LEFT(Sensitivität_bzw_Monte_Carlo_bei_Strom[[#This Row],[Source.Name]],SEARCH("aus_der",Sensitivität_bzw_Monte_Carlo_bei_Strom[[#This Row],[Source.Name]],1))="Auszahlung_a","Auszahlung",""),"")</f>
        <v/>
      </c>
      <c r="D1448" s="1"/>
    </row>
    <row r="1449" spans="1:4" x14ac:dyDescent="0.3">
      <c r="A1449" s="1"/>
      <c r="B1449" s="1" t="str">
        <f>IFERROR(IF(LEFT(Sensitivität_bzw_Monte_Carlo_bei_Strom[[#This Row],[Source.Name]],SEARCH("aus_der",Sensitivität_bzw_Monte_Carlo_bei_Strom[[#This Row],[Source.Name]],1))="Auszahlung_a","Auszahlung",""),"")</f>
        <v/>
      </c>
      <c r="D1449" s="1"/>
    </row>
    <row r="1450" spans="1:4" x14ac:dyDescent="0.3">
      <c r="A1450" s="1"/>
      <c r="B1450" s="1" t="str">
        <f>IFERROR(IF(LEFT(Sensitivität_bzw_Monte_Carlo_bei_Strom[[#This Row],[Source.Name]],SEARCH("aus_der",Sensitivität_bzw_Monte_Carlo_bei_Strom[[#This Row],[Source.Name]],1))="Auszahlung_a","Auszahlung",""),"")</f>
        <v/>
      </c>
      <c r="D1450" s="1"/>
    </row>
    <row r="1451" spans="1:4" x14ac:dyDescent="0.3">
      <c r="A1451" s="1"/>
      <c r="B1451" s="1" t="str">
        <f>IFERROR(IF(LEFT(Sensitivität_bzw_Monte_Carlo_bei_Strom[[#This Row],[Source.Name]],SEARCH("aus_der",Sensitivität_bzw_Monte_Carlo_bei_Strom[[#This Row],[Source.Name]],1))="Auszahlung_a","Auszahlung",""),"")</f>
        <v/>
      </c>
      <c r="D1451" s="1"/>
    </row>
    <row r="1452" spans="1:4" x14ac:dyDescent="0.3">
      <c r="A1452" s="1"/>
      <c r="B1452" s="1" t="str">
        <f>IFERROR(IF(LEFT(Sensitivität_bzw_Monte_Carlo_bei_Strom[[#This Row],[Source.Name]],SEARCH("aus_der",Sensitivität_bzw_Monte_Carlo_bei_Strom[[#This Row],[Source.Name]],1))="Auszahlung_a","Auszahlung",""),"")</f>
        <v/>
      </c>
      <c r="D1452" s="1"/>
    </row>
    <row r="1453" spans="1:4" x14ac:dyDescent="0.3">
      <c r="A1453" s="1"/>
      <c r="B1453" s="1" t="str">
        <f>IFERROR(IF(LEFT(Sensitivität_bzw_Monte_Carlo_bei_Strom[[#This Row],[Source.Name]],SEARCH("aus_der",Sensitivität_bzw_Monte_Carlo_bei_Strom[[#This Row],[Source.Name]],1))="Auszahlung_a","Auszahlung",""),"")</f>
        <v/>
      </c>
      <c r="D1453" s="1"/>
    </row>
    <row r="1454" spans="1:4" x14ac:dyDescent="0.3">
      <c r="A1454" s="1"/>
      <c r="B1454" s="1" t="str">
        <f>IFERROR(IF(LEFT(Sensitivität_bzw_Monte_Carlo_bei_Strom[[#This Row],[Source.Name]],SEARCH("aus_der",Sensitivität_bzw_Monte_Carlo_bei_Strom[[#This Row],[Source.Name]],1))="Auszahlung_a","Auszahlung",""),"")</f>
        <v/>
      </c>
      <c r="D1454" s="1"/>
    </row>
    <row r="1455" spans="1:4" x14ac:dyDescent="0.3">
      <c r="A1455" s="1"/>
      <c r="B1455" s="1" t="str">
        <f>IFERROR(IF(LEFT(Sensitivität_bzw_Monte_Carlo_bei_Strom[[#This Row],[Source.Name]],SEARCH("aus_der",Sensitivität_bzw_Monte_Carlo_bei_Strom[[#This Row],[Source.Name]],1))="Auszahlung_a","Auszahlung",""),"")</f>
        <v/>
      </c>
      <c r="D1455" s="1"/>
    </row>
    <row r="1456" spans="1:4" x14ac:dyDescent="0.3">
      <c r="A1456" s="1"/>
      <c r="B1456" s="1" t="str">
        <f>IFERROR(IF(LEFT(Sensitivität_bzw_Monte_Carlo_bei_Strom[[#This Row],[Source.Name]],SEARCH("aus_der",Sensitivität_bzw_Monte_Carlo_bei_Strom[[#This Row],[Source.Name]],1))="Auszahlung_a","Auszahlung",""),"")</f>
        <v/>
      </c>
      <c r="D1456" s="1"/>
    </row>
    <row r="1457" spans="1:4" x14ac:dyDescent="0.3">
      <c r="A1457" s="1"/>
      <c r="B1457" s="1" t="str">
        <f>IFERROR(IF(LEFT(Sensitivität_bzw_Monte_Carlo_bei_Strom[[#This Row],[Source.Name]],SEARCH("aus_der",Sensitivität_bzw_Monte_Carlo_bei_Strom[[#This Row],[Source.Name]],1))="Auszahlung_a","Auszahlung",""),"")</f>
        <v/>
      </c>
      <c r="D1457" s="1"/>
    </row>
    <row r="1458" spans="1:4" x14ac:dyDescent="0.3">
      <c r="A1458" s="1"/>
      <c r="B1458" s="1" t="str">
        <f>IFERROR(IF(LEFT(Sensitivität_bzw_Monte_Carlo_bei_Strom[[#This Row],[Source.Name]],SEARCH("aus_der",Sensitivität_bzw_Monte_Carlo_bei_Strom[[#This Row],[Source.Name]],1))="Auszahlung_a","Auszahlung",""),"")</f>
        <v/>
      </c>
      <c r="D1458" s="1"/>
    </row>
    <row r="1459" spans="1:4" x14ac:dyDescent="0.3">
      <c r="A1459" s="1"/>
      <c r="B1459" s="1" t="str">
        <f>IFERROR(IF(LEFT(Sensitivität_bzw_Monte_Carlo_bei_Strom[[#This Row],[Source.Name]],SEARCH("aus_der",Sensitivität_bzw_Monte_Carlo_bei_Strom[[#This Row],[Source.Name]],1))="Auszahlung_a","Auszahlung",""),"")</f>
        <v/>
      </c>
      <c r="D1459" s="1"/>
    </row>
    <row r="1460" spans="1:4" x14ac:dyDescent="0.3">
      <c r="A1460" s="1"/>
      <c r="B1460" s="1" t="str">
        <f>IFERROR(IF(LEFT(Sensitivität_bzw_Monte_Carlo_bei_Strom[[#This Row],[Source.Name]],SEARCH("aus_der",Sensitivität_bzw_Monte_Carlo_bei_Strom[[#This Row],[Source.Name]],1))="Auszahlung_a","Auszahlung",""),"")</f>
        <v/>
      </c>
      <c r="D1460" s="1"/>
    </row>
    <row r="1461" spans="1:4" x14ac:dyDescent="0.3">
      <c r="A1461" s="1"/>
      <c r="B1461" s="1" t="str">
        <f>IFERROR(IF(LEFT(Sensitivität_bzw_Monte_Carlo_bei_Strom[[#This Row],[Source.Name]],SEARCH("aus_der",Sensitivität_bzw_Monte_Carlo_bei_Strom[[#This Row],[Source.Name]],1))="Auszahlung_a","Auszahlung",""),"")</f>
        <v/>
      </c>
      <c r="D1461" s="1"/>
    </row>
    <row r="1462" spans="1:4" x14ac:dyDescent="0.3">
      <c r="A1462" s="1"/>
      <c r="B1462" s="1" t="str">
        <f>IFERROR(IF(LEFT(Sensitivität_bzw_Monte_Carlo_bei_Strom[[#This Row],[Source.Name]],SEARCH("aus_der",Sensitivität_bzw_Monte_Carlo_bei_Strom[[#This Row],[Source.Name]],1))="Auszahlung_a","Auszahlung",""),"")</f>
        <v/>
      </c>
      <c r="D1462" s="1"/>
    </row>
    <row r="1463" spans="1:4" x14ac:dyDescent="0.3">
      <c r="A1463" s="1"/>
      <c r="B1463" s="1" t="str">
        <f>IFERROR(IF(LEFT(Sensitivität_bzw_Monte_Carlo_bei_Strom[[#This Row],[Source.Name]],SEARCH("aus_der",Sensitivität_bzw_Monte_Carlo_bei_Strom[[#This Row],[Source.Name]],1))="Auszahlung_a","Auszahlung",""),"")</f>
        <v/>
      </c>
      <c r="D1463" s="1"/>
    </row>
    <row r="1464" spans="1:4" x14ac:dyDescent="0.3">
      <c r="A1464" s="1"/>
      <c r="B1464" s="1" t="str">
        <f>IFERROR(IF(LEFT(Sensitivität_bzw_Monte_Carlo_bei_Strom[[#This Row],[Source.Name]],SEARCH("aus_der",Sensitivität_bzw_Monte_Carlo_bei_Strom[[#This Row],[Source.Name]],1))="Auszahlung_a","Auszahlung",""),"")</f>
        <v/>
      </c>
      <c r="D1464" s="1"/>
    </row>
    <row r="1465" spans="1:4" x14ac:dyDescent="0.3">
      <c r="A1465" s="1"/>
      <c r="B1465" s="1" t="str">
        <f>IFERROR(IF(LEFT(Sensitivität_bzw_Monte_Carlo_bei_Strom[[#This Row],[Source.Name]],SEARCH("aus_der",Sensitivität_bzw_Monte_Carlo_bei_Strom[[#This Row],[Source.Name]],1))="Auszahlung_a","Auszahlung",""),"")</f>
        <v/>
      </c>
      <c r="D1465" s="1"/>
    </row>
    <row r="1466" spans="1:4" x14ac:dyDescent="0.3">
      <c r="A1466" s="1"/>
      <c r="B1466" s="1" t="str">
        <f>IFERROR(IF(LEFT(Sensitivität_bzw_Monte_Carlo_bei_Strom[[#This Row],[Source.Name]],SEARCH("aus_der",Sensitivität_bzw_Monte_Carlo_bei_Strom[[#This Row],[Source.Name]],1))="Auszahlung_a","Auszahlung",""),"")</f>
        <v/>
      </c>
      <c r="D1466" s="1"/>
    </row>
    <row r="1467" spans="1:4" x14ac:dyDescent="0.3">
      <c r="A1467" s="1"/>
      <c r="B1467" s="1" t="str">
        <f>IFERROR(IF(LEFT(Sensitivität_bzw_Monte_Carlo_bei_Strom[[#This Row],[Source.Name]],SEARCH("aus_der",Sensitivität_bzw_Monte_Carlo_bei_Strom[[#This Row],[Source.Name]],1))="Auszahlung_a","Auszahlung",""),"")</f>
        <v/>
      </c>
      <c r="D1467" s="1"/>
    </row>
    <row r="1468" spans="1:4" x14ac:dyDescent="0.3">
      <c r="A1468" s="1"/>
      <c r="B1468" s="1" t="str">
        <f>IFERROR(IF(LEFT(Sensitivität_bzw_Monte_Carlo_bei_Strom[[#This Row],[Source.Name]],SEARCH("aus_der",Sensitivität_bzw_Monte_Carlo_bei_Strom[[#This Row],[Source.Name]],1))="Auszahlung_a","Auszahlung",""),"")</f>
        <v/>
      </c>
      <c r="D1468" s="1"/>
    </row>
    <row r="1469" spans="1:4" x14ac:dyDescent="0.3">
      <c r="A1469" s="1"/>
      <c r="B1469" s="1" t="str">
        <f>IFERROR(IF(LEFT(Sensitivität_bzw_Monte_Carlo_bei_Strom[[#This Row],[Source.Name]],SEARCH("aus_der",Sensitivität_bzw_Monte_Carlo_bei_Strom[[#This Row],[Source.Name]],1))="Auszahlung_a","Auszahlung",""),"")</f>
        <v/>
      </c>
      <c r="D1469" s="1"/>
    </row>
    <row r="1470" spans="1:4" x14ac:dyDescent="0.3">
      <c r="A1470" s="1"/>
      <c r="B1470" s="1" t="str">
        <f>IFERROR(IF(LEFT(Sensitivität_bzw_Monte_Carlo_bei_Strom[[#This Row],[Source.Name]],SEARCH("aus_der",Sensitivität_bzw_Monte_Carlo_bei_Strom[[#This Row],[Source.Name]],1))="Auszahlung_a","Auszahlung",""),"")</f>
        <v/>
      </c>
      <c r="D1470" s="1"/>
    </row>
    <row r="1471" spans="1:4" x14ac:dyDescent="0.3">
      <c r="A1471" s="1"/>
      <c r="B1471" s="1" t="str">
        <f>IFERROR(IF(LEFT(Sensitivität_bzw_Monte_Carlo_bei_Strom[[#This Row],[Source.Name]],SEARCH("aus_der",Sensitivität_bzw_Monte_Carlo_bei_Strom[[#This Row],[Source.Name]],1))="Auszahlung_a","Auszahlung",""),"")</f>
        <v/>
      </c>
      <c r="D1471" s="1"/>
    </row>
    <row r="1472" spans="1:4" x14ac:dyDescent="0.3">
      <c r="A1472" s="1"/>
      <c r="B1472" s="1" t="str">
        <f>IFERROR(IF(LEFT(Sensitivität_bzw_Monte_Carlo_bei_Strom[[#This Row],[Source.Name]],SEARCH("aus_der",Sensitivität_bzw_Monte_Carlo_bei_Strom[[#This Row],[Source.Name]],1))="Auszahlung_a","Auszahlung",""),"")</f>
        <v/>
      </c>
      <c r="D1472" s="1"/>
    </row>
    <row r="1473" spans="1:4" x14ac:dyDescent="0.3">
      <c r="A1473" s="1"/>
      <c r="B1473" s="1" t="str">
        <f>IFERROR(IF(LEFT(Sensitivität_bzw_Monte_Carlo_bei_Strom[[#This Row],[Source.Name]],SEARCH("aus_der",Sensitivität_bzw_Monte_Carlo_bei_Strom[[#This Row],[Source.Name]],1))="Auszahlung_a","Auszahlung",""),"")</f>
        <v/>
      </c>
      <c r="D1473" s="1"/>
    </row>
    <row r="1474" spans="1:4" x14ac:dyDescent="0.3">
      <c r="A1474" s="1"/>
      <c r="B1474" s="1" t="str">
        <f>IFERROR(IF(LEFT(Sensitivität_bzw_Monte_Carlo_bei_Strom[[#This Row],[Source.Name]],SEARCH("aus_der",Sensitivität_bzw_Monte_Carlo_bei_Strom[[#This Row],[Source.Name]],1))="Auszahlung_a","Auszahlung",""),"")</f>
        <v/>
      </c>
      <c r="D1474" s="1"/>
    </row>
    <row r="1475" spans="1:4" x14ac:dyDescent="0.3">
      <c r="A1475" s="1"/>
      <c r="B1475" s="1" t="str">
        <f>IFERROR(IF(LEFT(Sensitivität_bzw_Monte_Carlo_bei_Strom[[#This Row],[Source.Name]],SEARCH("aus_der",Sensitivität_bzw_Monte_Carlo_bei_Strom[[#This Row],[Source.Name]],1))="Auszahlung_a","Auszahlung",""),"")</f>
        <v/>
      </c>
      <c r="D1475" s="1"/>
    </row>
    <row r="1476" spans="1:4" x14ac:dyDescent="0.3">
      <c r="A1476" s="1"/>
      <c r="B1476" s="1" t="str">
        <f>IFERROR(IF(LEFT(Sensitivität_bzw_Monte_Carlo_bei_Strom[[#This Row],[Source.Name]],SEARCH("aus_der",Sensitivität_bzw_Monte_Carlo_bei_Strom[[#This Row],[Source.Name]],1))="Auszahlung_a","Auszahlung",""),"")</f>
        <v/>
      </c>
      <c r="D1476" s="1"/>
    </row>
    <row r="1477" spans="1:4" x14ac:dyDescent="0.3">
      <c r="A1477" s="1"/>
      <c r="B1477" s="1" t="str">
        <f>IFERROR(IF(LEFT(Sensitivität_bzw_Monte_Carlo_bei_Strom[[#This Row],[Source.Name]],SEARCH("aus_der",Sensitivität_bzw_Monte_Carlo_bei_Strom[[#This Row],[Source.Name]],1))="Auszahlung_a","Auszahlung",""),"")</f>
        <v/>
      </c>
      <c r="D1477" s="1"/>
    </row>
    <row r="1478" spans="1:4" x14ac:dyDescent="0.3">
      <c r="A1478" s="1"/>
      <c r="B1478" s="1" t="str">
        <f>IFERROR(IF(LEFT(Sensitivität_bzw_Monte_Carlo_bei_Strom[[#This Row],[Source.Name]],SEARCH("aus_der",Sensitivität_bzw_Monte_Carlo_bei_Strom[[#This Row],[Source.Name]],1))="Auszahlung_a","Auszahlung",""),"")</f>
        <v/>
      </c>
      <c r="D1478" s="1"/>
    </row>
    <row r="1479" spans="1:4" x14ac:dyDescent="0.3">
      <c r="A1479" s="1"/>
      <c r="B1479" s="1" t="str">
        <f>IFERROR(IF(LEFT(Sensitivität_bzw_Monte_Carlo_bei_Strom[[#This Row],[Source.Name]],SEARCH("aus_der",Sensitivität_bzw_Monte_Carlo_bei_Strom[[#This Row],[Source.Name]],1))="Auszahlung_a","Auszahlung",""),"")</f>
        <v/>
      </c>
      <c r="D1479" s="1"/>
    </row>
    <row r="1480" spans="1:4" x14ac:dyDescent="0.3">
      <c r="A1480" s="1"/>
      <c r="B1480" s="1" t="str">
        <f>IFERROR(IF(LEFT(Sensitivität_bzw_Monte_Carlo_bei_Strom[[#This Row],[Source.Name]],SEARCH("aus_der",Sensitivität_bzw_Monte_Carlo_bei_Strom[[#This Row],[Source.Name]],1))="Auszahlung_a","Auszahlung",""),"")</f>
        <v/>
      </c>
      <c r="D1480" s="1"/>
    </row>
    <row r="1481" spans="1:4" x14ac:dyDescent="0.3">
      <c r="A1481" s="1"/>
      <c r="B1481" s="1" t="str">
        <f>IFERROR(IF(LEFT(Sensitivität_bzw_Monte_Carlo_bei_Strom[[#This Row],[Source.Name]],SEARCH("aus_der",Sensitivität_bzw_Monte_Carlo_bei_Strom[[#This Row],[Source.Name]],1))="Auszahlung_a","Auszahlung",""),"")</f>
        <v/>
      </c>
      <c r="D1481" s="1"/>
    </row>
    <row r="1482" spans="1:4" x14ac:dyDescent="0.3">
      <c r="A1482" s="1"/>
      <c r="B1482" s="1" t="str">
        <f>IFERROR(IF(LEFT(Sensitivität_bzw_Monte_Carlo_bei_Strom[[#This Row],[Source.Name]],SEARCH("aus_der",Sensitivität_bzw_Monte_Carlo_bei_Strom[[#This Row],[Source.Name]],1))="Auszahlung_a","Auszahlung",""),"")</f>
        <v/>
      </c>
      <c r="D1482" s="1"/>
    </row>
    <row r="1483" spans="1:4" x14ac:dyDescent="0.3">
      <c r="A1483" s="1"/>
      <c r="B1483" s="1" t="str">
        <f>IFERROR(IF(LEFT(Sensitivität_bzw_Monte_Carlo_bei_Strom[[#This Row],[Source.Name]],SEARCH("aus_der",Sensitivität_bzw_Monte_Carlo_bei_Strom[[#This Row],[Source.Name]],1))="Auszahlung_a","Auszahlung",""),"")</f>
        <v/>
      </c>
      <c r="D1483" s="1"/>
    </row>
    <row r="1484" spans="1:4" x14ac:dyDescent="0.3">
      <c r="A1484" s="1"/>
      <c r="B1484" s="1" t="str">
        <f>IFERROR(IF(LEFT(Sensitivität_bzw_Monte_Carlo_bei_Strom[[#This Row],[Source.Name]],SEARCH("aus_der",Sensitivität_bzw_Monte_Carlo_bei_Strom[[#This Row],[Source.Name]],1))="Auszahlung_a","Auszahlung",""),"")</f>
        <v/>
      </c>
      <c r="D1484" s="1"/>
    </row>
    <row r="1485" spans="1:4" x14ac:dyDescent="0.3">
      <c r="A1485" s="1"/>
      <c r="B1485" s="1" t="str">
        <f>IFERROR(IF(LEFT(Sensitivität_bzw_Monte_Carlo_bei_Strom[[#This Row],[Source.Name]],SEARCH("aus_der",Sensitivität_bzw_Monte_Carlo_bei_Strom[[#This Row],[Source.Name]],1))="Auszahlung_a","Auszahlung",""),"")</f>
        <v/>
      </c>
      <c r="D1485" s="1"/>
    </row>
    <row r="1486" spans="1:4" x14ac:dyDescent="0.3">
      <c r="A1486" s="1"/>
      <c r="B1486" s="1" t="str">
        <f>IFERROR(IF(LEFT(Sensitivität_bzw_Monte_Carlo_bei_Strom[[#This Row],[Source.Name]],SEARCH("aus_der",Sensitivität_bzw_Monte_Carlo_bei_Strom[[#This Row],[Source.Name]],1))="Auszahlung_a","Auszahlung",""),"")</f>
        <v/>
      </c>
      <c r="D1486" s="1"/>
    </row>
    <row r="1487" spans="1:4" x14ac:dyDescent="0.3">
      <c r="A1487" s="1"/>
      <c r="B1487" s="1" t="str">
        <f>IFERROR(IF(LEFT(Sensitivität_bzw_Monte_Carlo_bei_Strom[[#This Row],[Source.Name]],SEARCH("aus_der",Sensitivität_bzw_Monte_Carlo_bei_Strom[[#This Row],[Source.Name]],1))="Auszahlung_a","Auszahlung",""),"")</f>
        <v/>
      </c>
      <c r="D1487" s="1"/>
    </row>
    <row r="1488" spans="1:4" x14ac:dyDescent="0.3">
      <c r="A1488" s="1"/>
      <c r="B1488" s="1" t="str">
        <f>IFERROR(IF(LEFT(Sensitivität_bzw_Monte_Carlo_bei_Strom[[#This Row],[Source.Name]],SEARCH("aus_der",Sensitivität_bzw_Monte_Carlo_bei_Strom[[#This Row],[Source.Name]],1))="Auszahlung_a","Auszahlung",""),"")</f>
        <v/>
      </c>
      <c r="D1488" s="1"/>
    </row>
    <row r="1489" spans="1:4" x14ac:dyDescent="0.3">
      <c r="A1489" s="1"/>
      <c r="B1489" s="1" t="str">
        <f>IFERROR(IF(LEFT(Sensitivität_bzw_Monte_Carlo_bei_Strom[[#This Row],[Source.Name]],SEARCH("aus_der",Sensitivität_bzw_Monte_Carlo_bei_Strom[[#This Row],[Source.Name]],1))="Auszahlung_a","Auszahlung",""),"")</f>
        <v/>
      </c>
      <c r="D1489" s="1"/>
    </row>
    <row r="1490" spans="1:4" x14ac:dyDescent="0.3">
      <c r="A1490" s="1"/>
      <c r="B1490" s="1" t="str">
        <f>IFERROR(IF(LEFT(Sensitivität_bzw_Monte_Carlo_bei_Strom[[#This Row],[Source.Name]],SEARCH("aus_der",Sensitivität_bzw_Monte_Carlo_bei_Strom[[#This Row],[Source.Name]],1))="Auszahlung_a","Auszahlung",""),"")</f>
        <v/>
      </c>
      <c r="D1490" s="1"/>
    </row>
    <row r="1491" spans="1:4" x14ac:dyDescent="0.3">
      <c r="A1491" s="1"/>
      <c r="B1491" s="1" t="str">
        <f>IFERROR(IF(LEFT(Sensitivität_bzw_Monte_Carlo_bei_Strom[[#This Row],[Source.Name]],SEARCH("aus_der",Sensitivität_bzw_Monte_Carlo_bei_Strom[[#This Row],[Source.Name]],1))="Auszahlung_a","Auszahlung",""),"")</f>
        <v/>
      </c>
      <c r="D1491" s="1"/>
    </row>
    <row r="1492" spans="1:4" x14ac:dyDescent="0.3">
      <c r="A1492" s="1"/>
      <c r="B1492" s="1" t="str">
        <f>IFERROR(IF(LEFT(Sensitivität_bzw_Monte_Carlo_bei_Strom[[#This Row],[Source.Name]],SEARCH("aus_der",Sensitivität_bzw_Monte_Carlo_bei_Strom[[#This Row],[Source.Name]],1))="Auszahlung_a","Auszahlung",""),"")</f>
        <v/>
      </c>
      <c r="D1492" s="1"/>
    </row>
    <row r="1493" spans="1:4" x14ac:dyDescent="0.3">
      <c r="A1493" s="1"/>
      <c r="B1493" s="1" t="str">
        <f>IFERROR(IF(LEFT(Sensitivität_bzw_Monte_Carlo_bei_Strom[[#This Row],[Source.Name]],SEARCH("aus_der",Sensitivität_bzw_Monte_Carlo_bei_Strom[[#This Row],[Source.Name]],1))="Auszahlung_a","Auszahlung",""),"")</f>
        <v/>
      </c>
      <c r="D1493" s="1"/>
    </row>
    <row r="1494" spans="1:4" x14ac:dyDescent="0.3">
      <c r="A1494" s="1"/>
      <c r="B1494" s="1" t="str">
        <f>IFERROR(IF(LEFT(Sensitivität_bzw_Monte_Carlo_bei_Strom[[#This Row],[Source.Name]],SEARCH("aus_der",Sensitivität_bzw_Monte_Carlo_bei_Strom[[#This Row],[Source.Name]],1))="Auszahlung_a","Auszahlung",""),"")</f>
        <v/>
      </c>
      <c r="D1494" s="1"/>
    </row>
    <row r="1495" spans="1:4" x14ac:dyDescent="0.3">
      <c r="A1495" s="1"/>
      <c r="B1495" s="1" t="str">
        <f>IFERROR(IF(LEFT(Sensitivität_bzw_Monte_Carlo_bei_Strom[[#This Row],[Source.Name]],SEARCH("aus_der",Sensitivität_bzw_Monte_Carlo_bei_Strom[[#This Row],[Source.Name]],1))="Auszahlung_a","Auszahlung",""),"")</f>
        <v/>
      </c>
      <c r="D1495" s="1"/>
    </row>
    <row r="1496" spans="1:4" x14ac:dyDescent="0.3">
      <c r="A1496" s="1"/>
      <c r="B1496" s="1" t="str">
        <f>IFERROR(IF(LEFT(Sensitivität_bzw_Monte_Carlo_bei_Strom[[#This Row],[Source.Name]],SEARCH("aus_der",Sensitivität_bzw_Monte_Carlo_bei_Strom[[#This Row],[Source.Name]],1))="Auszahlung_a","Auszahlung",""),"")</f>
        <v/>
      </c>
      <c r="D1496" s="1"/>
    </row>
    <row r="1497" spans="1:4" x14ac:dyDescent="0.3">
      <c r="A1497" s="1"/>
      <c r="B1497" s="1" t="str">
        <f>IFERROR(IF(LEFT(Sensitivität_bzw_Monte_Carlo_bei_Strom[[#This Row],[Source.Name]],SEARCH("aus_der",Sensitivität_bzw_Monte_Carlo_bei_Strom[[#This Row],[Source.Name]],1))="Auszahlung_a","Auszahlung",""),"")</f>
        <v/>
      </c>
      <c r="D1497" s="1"/>
    </row>
    <row r="1498" spans="1:4" x14ac:dyDescent="0.3">
      <c r="A1498" s="1"/>
      <c r="B1498" s="1" t="str">
        <f>IFERROR(IF(LEFT(Sensitivität_bzw_Monte_Carlo_bei_Strom[[#This Row],[Source.Name]],SEARCH("aus_der",Sensitivität_bzw_Monte_Carlo_bei_Strom[[#This Row],[Source.Name]],1))="Auszahlung_a","Auszahlung",""),"")</f>
        <v/>
      </c>
      <c r="D1498" s="1"/>
    </row>
    <row r="1499" spans="1:4" x14ac:dyDescent="0.3">
      <c r="A1499" s="1"/>
      <c r="B1499" s="1" t="str">
        <f>IFERROR(IF(LEFT(Sensitivität_bzw_Monte_Carlo_bei_Strom[[#This Row],[Source.Name]],SEARCH("aus_der",Sensitivität_bzw_Monte_Carlo_bei_Strom[[#This Row],[Source.Name]],1))="Auszahlung_a","Auszahlung",""),"")</f>
        <v/>
      </c>
      <c r="D1499" s="1"/>
    </row>
    <row r="1500" spans="1:4" x14ac:dyDescent="0.3">
      <c r="A1500" s="1"/>
      <c r="B1500" s="1" t="str">
        <f>IFERROR(IF(LEFT(Sensitivität_bzw_Monte_Carlo_bei_Strom[[#This Row],[Source.Name]],SEARCH("aus_der",Sensitivität_bzw_Monte_Carlo_bei_Strom[[#This Row],[Source.Name]],1))="Auszahlung_a","Auszahlung",""),"")</f>
        <v/>
      </c>
      <c r="D1500" s="1"/>
    </row>
    <row r="1501" spans="1:4" x14ac:dyDescent="0.3">
      <c r="A1501" s="1"/>
      <c r="B1501" s="1" t="str">
        <f>IFERROR(IF(LEFT(Sensitivität_bzw_Monte_Carlo_bei_Strom[[#This Row],[Source.Name]],SEARCH("aus_der",Sensitivität_bzw_Monte_Carlo_bei_Strom[[#This Row],[Source.Name]],1))="Auszahlung_a","Auszahlung",""),"")</f>
        <v/>
      </c>
      <c r="D1501" s="1"/>
    </row>
    <row r="1502" spans="1:4" x14ac:dyDescent="0.3">
      <c r="A1502" s="1"/>
      <c r="B1502" s="1" t="str">
        <f>IFERROR(IF(LEFT(Sensitivität_bzw_Monte_Carlo_bei_Strom[[#This Row],[Source.Name]],SEARCH("aus_der",Sensitivität_bzw_Monte_Carlo_bei_Strom[[#This Row],[Source.Name]],1))="Auszahlung_a","Auszahlung",""),"")</f>
        <v/>
      </c>
      <c r="D1502" s="1"/>
    </row>
    <row r="1503" spans="1:4" x14ac:dyDescent="0.3">
      <c r="A1503" s="1"/>
      <c r="B1503" s="1" t="str">
        <f>IFERROR(IF(LEFT(Sensitivität_bzw_Monte_Carlo_bei_Strom[[#This Row],[Source.Name]],SEARCH("aus_der",Sensitivität_bzw_Monte_Carlo_bei_Strom[[#This Row],[Source.Name]],1))="Auszahlung_a","Auszahlung",""),"")</f>
        <v/>
      </c>
      <c r="D1503" s="1"/>
    </row>
    <row r="1504" spans="1:4" x14ac:dyDescent="0.3">
      <c r="A1504" s="1"/>
      <c r="B1504" s="1" t="str">
        <f>IFERROR(IF(LEFT(Sensitivität_bzw_Monte_Carlo_bei_Strom[[#This Row],[Source.Name]],SEARCH("aus_der",Sensitivität_bzw_Monte_Carlo_bei_Strom[[#This Row],[Source.Name]],1))="Auszahlung_a","Auszahlung",""),"")</f>
        <v/>
      </c>
      <c r="D1504" s="1"/>
    </row>
    <row r="1505" spans="1:4" x14ac:dyDescent="0.3">
      <c r="A1505" s="1"/>
      <c r="B1505" s="1" t="str">
        <f>IFERROR(IF(LEFT(Sensitivität_bzw_Monte_Carlo_bei_Strom[[#This Row],[Source.Name]],SEARCH("aus_der",Sensitivität_bzw_Monte_Carlo_bei_Strom[[#This Row],[Source.Name]],1))="Auszahlung_a","Auszahlung",""),"")</f>
        <v/>
      </c>
      <c r="D1505" s="1"/>
    </row>
    <row r="1506" spans="1:4" x14ac:dyDescent="0.3">
      <c r="A1506" s="1"/>
      <c r="B1506" s="1" t="str">
        <f>IFERROR(IF(LEFT(Sensitivität_bzw_Monte_Carlo_bei_Strom[[#This Row],[Source.Name]],SEARCH("aus_der",Sensitivität_bzw_Monte_Carlo_bei_Strom[[#This Row],[Source.Name]],1))="Auszahlung_a","Auszahlung",""),"")</f>
        <v/>
      </c>
      <c r="D1506" s="1"/>
    </row>
    <row r="1507" spans="1:4" x14ac:dyDescent="0.3">
      <c r="A1507" s="1"/>
      <c r="B1507" s="1" t="str">
        <f>IFERROR(IF(LEFT(Sensitivität_bzw_Monte_Carlo_bei_Strom[[#This Row],[Source.Name]],SEARCH("aus_der",Sensitivität_bzw_Monte_Carlo_bei_Strom[[#This Row],[Source.Name]],1))="Auszahlung_a","Auszahlung",""),"")</f>
        <v/>
      </c>
      <c r="D1507" s="1"/>
    </row>
    <row r="1508" spans="1:4" x14ac:dyDescent="0.3">
      <c r="A1508" s="1"/>
      <c r="B1508" s="1" t="str">
        <f>IFERROR(IF(LEFT(Sensitivität_bzw_Monte_Carlo_bei_Strom[[#This Row],[Source.Name]],SEARCH("aus_der",Sensitivität_bzw_Monte_Carlo_bei_Strom[[#This Row],[Source.Name]],1))="Auszahlung_a","Auszahlung",""),"")</f>
        <v/>
      </c>
      <c r="D1508" s="1"/>
    </row>
    <row r="1509" spans="1:4" x14ac:dyDescent="0.3">
      <c r="A1509" s="1"/>
      <c r="B1509" s="1" t="str">
        <f>IFERROR(IF(LEFT(Sensitivität_bzw_Monte_Carlo_bei_Strom[[#This Row],[Source.Name]],SEARCH("aus_der",Sensitivität_bzw_Monte_Carlo_bei_Strom[[#This Row],[Source.Name]],1))="Auszahlung_a","Auszahlung",""),"")</f>
        <v/>
      </c>
      <c r="D1509" s="1"/>
    </row>
    <row r="1510" spans="1:4" x14ac:dyDescent="0.3">
      <c r="A1510" s="1"/>
      <c r="B1510" s="1" t="str">
        <f>IFERROR(IF(LEFT(Sensitivität_bzw_Monte_Carlo_bei_Strom[[#This Row],[Source.Name]],SEARCH("aus_der",Sensitivität_bzw_Monte_Carlo_bei_Strom[[#This Row],[Source.Name]],1))="Auszahlung_a","Auszahlung",""),"")</f>
        <v/>
      </c>
      <c r="D1510" s="1"/>
    </row>
    <row r="1511" spans="1:4" x14ac:dyDescent="0.3">
      <c r="A1511" s="1"/>
      <c r="B1511" s="1" t="str">
        <f>IFERROR(IF(LEFT(Sensitivität_bzw_Monte_Carlo_bei_Strom[[#This Row],[Source.Name]],SEARCH("aus_der",Sensitivität_bzw_Monte_Carlo_bei_Strom[[#This Row],[Source.Name]],1))="Auszahlung_a","Auszahlung",""),"")</f>
        <v/>
      </c>
      <c r="D1511" s="1"/>
    </row>
    <row r="1512" spans="1:4" x14ac:dyDescent="0.3">
      <c r="A1512" s="1"/>
      <c r="B1512" s="1" t="str">
        <f>IFERROR(IF(LEFT(Sensitivität_bzw_Monte_Carlo_bei_Strom[[#This Row],[Source.Name]],SEARCH("aus_der",Sensitivität_bzw_Monte_Carlo_bei_Strom[[#This Row],[Source.Name]],1))="Auszahlung_a","Auszahlung",""),"")</f>
        <v/>
      </c>
      <c r="D1512" s="1"/>
    </row>
    <row r="1513" spans="1:4" x14ac:dyDescent="0.3">
      <c r="A1513" s="1"/>
      <c r="B1513" s="1" t="str">
        <f>IFERROR(IF(LEFT(Sensitivität_bzw_Monte_Carlo_bei_Strom[[#This Row],[Source.Name]],SEARCH("aus_der",Sensitivität_bzw_Monte_Carlo_bei_Strom[[#This Row],[Source.Name]],1))="Auszahlung_a","Auszahlung",""),"")</f>
        <v/>
      </c>
      <c r="D1513" s="1"/>
    </row>
    <row r="1514" spans="1:4" x14ac:dyDescent="0.3">
      <c r="A1514" s="1"/>
      <c r="B1514" s="1" t="str">
        <f>IFERROR(IF(LEFT(Sensitivität_bzw_Monte_Carlo_bei_Strom[[#This Row],[Source.Name]],SEARCH("aus_der",Sensitivität_bzw_Monte_Carlo_bei_Strom[[#This Row],[Source.Name]],1))="Auszahlung_a","Auszahlung",""),"")</f>
        <v/>
      </c>
      <c r="D1514" s="1"/>
    </row>
    <row r="1515" spans="1:4" x14ac:dyDescent="0.3">
      <c r="A1515" s="1"/>
      <c r="B1515" s="1" t="str">
        <f>IFERROR(IF(LEFT(Sensitivität_bzw_Monte_Carlo_bei_Strom[[#This Row],[Source.Name]],SEARCH("aus_der",Sensitivität_bzw_Monte_Carlo_bei_Strom[[#This Row],[Source.Name]],1))="Auszahlung_a","Auszahlung",""),"")</f>
        <v/>
      </c>
      <c r="D1515" s="1"/>
    </row>
    <row r="1516" spans="1:4" x14ac:dyDescent="0.3">
      <c r="A1516" s="1"/>
      <c r="B1516" s="1" t="str">
        <f>IFERROR(IF(LEFT(Sensitivität_bzw_Monte_Carlo_bei_Strom[[#This Row],[Source.Name]],SEARCH("aus_der",Sensitivität_bzw_Monte_Carlo_bei_Strom[[#This Row],[Source.Name]],1))="Auszahlung_a","Auszahlung",""),"")</f>
        <v/>
      </c>
      <c r="D1516" s="1"/>
    </row>
    <row r="1517" spans="1:4" x14ac:dyDescent="0.3">
      <c r="A1517" s="1"/>
      <c r="B1517" s="1" t="str">
        <f>IFERROR(IF(LEFT(Sensitivität_bzw_Monte_Carlo_bei_Strom[[#This Row],[Source.Name]],SEARCH("aus_der",Sensitivität_bzw_Monte_Carlo_bei_Strom[[#This Row],[Source.Name]],1))="Auszahlung_a","Auszahlung",""),"")</f>
        <v/>
      </c>
      <c r="D1517" s="1"/>
    </row>
    <row r="1518" spans="1:4" x14ac:dyDescent="0.3">
      <c r="A1518" s="1"/>
      <c r="B1518" s="1" t="str">
        <f>IFERROR(IF(LEFT(Sensitivität_bzw_Monte_Carlo_bei_Strom[[#This Row],[Source.Name]],SEARCH("aus_der",Sensitivität_bzw_Monte_Carlo_bei_Strom[[#This Row],[Source.Name]],1))="Auszahlung_a","Auszahlung",""),"")</f>
        <v/>
      </c>
      <c r="D1518" s="1"/>
    </row>
    <row r="1519" spans="1:4" x14ac:dyDescent="0.3">
      <c r="A1519" s="1"/>
      <c r="B1519" s="1" t="str">
        <f>IFERROR(IF(LEFT(Sensitivität_bzw_Monte_Carlo_bei_Strom[[#This Row],[Source.Name]],SEARCH("aus_der",Sensitivität_bzw_Monte_Carlo_bei_Strom[[#This Row],[Source.Name]],1))="Auszahlung_a","Auszahlung",""),"")</f>
        <v/>
      </c>
      <c r="D1519" s="1"/>
    </row>
    <row r="1520" spans="1:4" x14ac:dyDescent="0.3">
      <c r="A1520" s="1"/>
      <c r="B1520" s="1" t="str">
        <f>IFERROR(IF(LEFT(Sensitivität_bzw_Monte_Carlo_bei_Strom[[#This Row],[Source.Name]],SEARCH("aus_der",Sensitivität_bzw_Monte_Carlo_bei_Strom[[#This Row],[Source.Name]],1))="Auszahlung_a","Auszahlung",""),"")</f>
        <v/>
      </c>
      <c r="D1520" s="1"/>
    </row>
    <row r="1521" spans="1:4" x14ac:dyDescent="0.3">
      <c r="A1521" s="1"/>
      <c r="B1521" s="1" t="str">
        <f>IFERROR(IF(LEFT(Sensitivität_bzw_Monte_Carlo_bei_Strom[[#This Row],[Source.Name]],SEARCH("aus_der",Sensitivität_bzw_Monte_Carlo_bei_Strom[[#This Row],[Source.Name]],1))="Auszahlung_a","Auszahlung",""),"")</f>
        <v/>
      </c>
      <c r="D1521" s="1"/>
    </row>
    <row r="1522" spans="1:4" x14ac:dyDescent="0.3">
      <c r="A1522" s="1"/>
      <c r="B1522" s="1" t="str">
        <f>IFERROR(IF(LEFT(Sensitivität_bzw_Monte_Carlo_bei_Strom[[#This Row],[Source.Name]],SEARCH("aus_der",Sensitivität_bzw_Monte_Carlo_bei_Strom[[#This Row],[Source.Name]],1))="Auszahlung_a","Auszahlung",""),"")</f>
        <v/>
      </c>
      <c r="D1522" s="1"/>
    </row>
    <row r="1523" spans="1:4" x14ac:dyDescent="0.3">
      <c r="A1523" s="1"/>
      <c r="B1523" s="1" t="str">
        <f>IFERROR(IF(LEFT(Sensitivität_bzw_Monte_Carlo_bei_Strom[[#This Row],[Source.Name]],SEARCH("aus_der",Sensitivität_bzw_Monte_Carlo_bei_Strom[[#This Row],[Source.Name]],1))="Auszahlung_a","Auszahlung",""),"")</f>
        <v/>
      </c>
      <c r="D1523" s="1"/>
    </row>
    <row r="1524" spans="1:4" x14ac:dyDescent="0.3">
      <c r="A1524" s="1"/>
      <c r="B1524" s="1" t="str">
        <f>IFERROR(IF(LEFT(Sensitivität_bzw_Monte_Carlo_bei_Strom[[#This Row],[Source.Name]],SEARCH("aus_der",Sensitivität_bzw_Monte_Carlo_bei_Strom[[#This Row],[Source.Name]],1))="Auszahlung_a","Auszahlung",""),"")</f>
        <v/>
      </c>
      <c r="D1524" s="1"/>
    </row>
    <row r="1525" spans="1:4" x14ac:dyDescent="0.3">
      <c r="A1525" s="1"/>
      <c r="B1525" s="1" t="str">
        <f>IFERROR(IF(LEFT(Sensitivität_bzw_Monte_Carlo_bei_Strom[[#This Row],[Source.Name]],SEARCH("aus_der",Sensitivität_bzw_Monte_Carlo_bei_Strom[[#This Row],[Source.Name]],1))="Auszahlung_a","Auszahlung",""),"")</f>
        <v/>
      </c>
      <c r="D1525" s="1"/>
    </row>
    <row r="1526" spans="1:4" x14ac:dyDescent="0.3">
      <c r="A1526" s="1"/>
      <c r="B1526" s="1" t="str">
        <f>IFERROR(IF(LEFT(Sensitivität_bzw_Monte_Carlo_bei_Strom[[#This Row],[Source.Name]],SEARCH("aus_der",Sensitivität_bzw_Monte_Carlo_bei_Strom[[#This Row],[Source.Name]],1))="Auszahlung_a","Auszahlung",""),"")</f>
        <v/>
      </c>
      <c r="D1526" s="1"/>
    </row>
    <row r="1527" spans="1:4" x14ac:dyDescent="0.3">
      <c r="A1527" s="1"/>
      <c r="B1527" s="1" t="str">
        <f>IFERROR(IF(LEFT(Sensitivität_bzw_Monte_Carlo_bei_Strom[[#This Row],[Source.Name]],SEARCH("aus_der",Sensitivität_bzw_Monte_Carlo_bei_Strom[[#This Row],[Source.Name]],1))="Auszahlung_a","Auszahlung",""),"")</f>
        <v/>
      </c>
      <c r="D1527" s="1"/>
    </row>
    <row r="1528" spans="1:4" x14ac:dyDescent="0.3">
      <c r="A1528" s="1"/>
      <c r="B1528" s="1" t="str">
        <f>IFERROR(IF(LEFT(Sensitivität_bzw_Monte_Carlo_bei_Strom[[#This Row],[Source.Name]],SEARCH("aus_der",Sensitivität_bzw_Monte_Carlo_bei_Strom[[#This Row],[Source.Name]],1))="Auszahlung_a","Auszahlung",""),"")</f>
        <v/>
      </c>
      <c r="D1528" s="1"/>
    </row>
    <row r="1529" spans="1:4" x14ac:dyDescent="0.3">
      <c r="A1529" s="1"/>
      <c r="B1529" s="1" t="str">
        <f>IFERROR(IF(LEFT(Sensitivität_bzw_Monte_Carlo_bei_Strom[[#This Row],[Source.Name]],SEARCH("aus_der",Sensitivität_bzw_Monte_Carlo_bei_Strom[[#This Row],[Source.Name]],1))="Auszahlung_a","Auszahlung",""),"")</f>
        <v/>
      </c>
      <c r="D1529" s="1"/>
    </row>
    <row r="1530" spans="1:4" x14ac:dyDescent="0.3">
      <c r="A1530" s="1"/>
      <c r="B1530" s="1" t="str">
        <f>IFERROR(IF(LEFT(Sensitivität_bzw_Monte_Carlo_bei_Strom[[#This Row],[Source.Name]],SEARCH("aus_der",Sensitivität_bzw_Monte_Carlo_bei_Strom[[#This Row],[Source.Name]],1))="Auszahlung_a","Auszahlung",""),"")</f>
        <v/>
      </c>
      <c r="D1530" s="1"/>
    </row>
    <row r="1531" spans="1:4" x14ac:dyDescent="0.3">
      <c r="A1531" s="1"/>
      <c r="B1531" s="1" t="str">
        <f>IFERROR(IF(LEFT(Sensitivität_bzw_Monte_Carlo_bei_Strom[[#This Row],[Source.Name]],SEARCH("aus_der",Sensitivität_bzw_Monte_Carlo_bei_Strom[[#This Row],[Source.Name]],1))="Auszahlung_a","Auszahlung",""),"")</f>
        <v/>
      </c>
      <c r="D1531" s="1"/>
    </row>
    <row r="1532" spans="1:4" x14ac:dyDescent="0.3">
      <c r="A1532" s="1"/>
      <c r="B1532" s="1" t="str">
        <f>IFERROR(IF(LEFT(Sensitivität_bzw_Monte_Carlo_bei_Strom[[#This Row],[Source.Name]],SEARCH("aus_der",Sensitivität_bzw_Monte_Carlo_bei_Strom[[#This Row],[Source.Name]],1))="Auszahlung_a","Auszahlung",""),"")</f>
        <v/>
      </c>
      <c r="D1532" s="1"/>
    </row>
    <row r="1533" spans="1:4" x14ac:dyDescent="0.3">
      <c r="A1533" s="1"/>
      <c r="B1533" s="1" t="str">
        <f>IFERROR(IF(LEFT(Sensitivität_bzw_Monte_Carlo_bei_Strom[[#This Row],[Source.Name]],SEARCH("aus_der",Sensitivität_bzw_Monte_Carlo_bei_Strom[[#This Row],[Source.Name]],1))="Auszahlung_a","Auszahlung",""),"")</f>
        <v/>
      </c>
      <c r="D1533" s="1"/>
    </row>
    <row r="1534" spans="1:4" x14ac:dyDescent="0.3">
      <c r="A1534" s="1"/>
      <c r="B1534" s="1" t="str">
        <f>IFERROR(IF(LEFT(Sensitivität_bzw_Monte_Carlo_bei_Strom[[#This Row],[Source.Name]],SEARCH("aus_der",Sensitivität_bzw_Monte_Carlo_bei_Strom[[#This Row],[Source.Name]],1))="Auszahlung_a","Auszahlung",""),"")</f>
        <v/>
      </c>
      <c r="D1534" s="1"/>
    </row>
    <row r="1535" spans="1:4" x14ac:dyDescent="0.3">
      <c r="A1535" s="1"/>
      <c r="B1535" s="1" t="str">
        <f>IFERROR(IF(LEFT(Sensitivität_bzw_Monte_Carlo_bei_Strom[[#This Row],[Source.Name]],SEARCH("aus_der",Sensitivität_bzw_Monte_Carlo_bei_Strom[[#This Row],[Source.Name]],1))="Auszahlung_a","Auszahlung",""),"")</f>
        <v/>
      </c>
      <c r="D1535" s="1"/>
    </row>
    <row r="1536" spans="1:4" x14ac:dyDescent="0.3">
      <c r="A1536" s="1"/>
      <c r="B1536" s="1" t="str">
        <f>IFERROR(IF(LEFT(Sensitivität_bzw_Monte_Carlo_bei_Strom[[#This Row],[Source.Name]],SEARCH("aus_der",Sensitivität_bzw_Monte_Carlo_bei_Strom[[#This Row],[Source.Name]],1))="Auszahlung_a","Auszahlung",""),"")</f>
        <v/>
      </c>
      <c r="D1536" s="1"/>
    </row>
    <row r="1537" spans="1:4" x14ac:dyDescent="0.3">
      <c r="A1537" s="1"/>
      <c r="B1537" s="1" t="str">
        <f>IFERROR(IF(LEFT(Sensitivität_bzw_Monte_Carlo_bei_Strom[[#This Row],[Source.Name]],SEARCH("aus_der",Sensitivität_bzw_Monte_Carlo_bei_Strom[[#This Row],[Source.Name]],1))="Auszahlung_a","Auszahlung",""),"")</f>
        <v/>
      </c>
      <c r="D1537" s="1"/>
    </row>
    <row r="1538" spans="1:4" x14ac:dyDescent="0.3">
      <c r="A1538" s="1"/>
      <c r="B1538" s="1" t="str">
        <f>IFERROR(IF(LEFT(Sensitivität_bzw_Monte_Carlo_bei_Strom[[#This Row],[Source.Name]],SEARCH("aus_der",Sensitivität_bzw_Monte_Carlo_bei_Strom[[#This Row],[Source.Name]],1))="Auszahlung_a","Auszahlung",""),"")</f>
        <v/>
      </c>
      <c r="D1538" s="1"/>
    </row>
    <row r="1539" spans="1:4" x14ac:dyDescent="0.3">
      <c r="A1539" s="1"/>
      <c r="B1539" s="1" t="str">
        <f>IFERROR(IF(LEFT(Sensitivität_bzw_Monte_Carlo_bei_Strom[[#This Row],[Source.Name]],SEARCH("aus_der",Sensitivität_bzw_Monte_Carlo_bei_Strom[[#This Row],[Source.Name]],1))="Auszahlung_a","Auszahlung",""),"")</f>
        <v/>
      </c>
      <c r="D1539" s="1"/>
    </row>
    <row r="1540" spans="1:4" x14ac:dyDescent="0.3">
      <c r="A1540" s="1"/>
      <c r="B1540" s="1" t="str">
        <f>IFERROR(IF(LEFT(Sensitivität_bzw_Monte_Carlo_bei_Strom[[#This Row],[Source.Name]],SEARCH("aus_der",Sensitivität_bzw_Monte_Carlo_bei_Strom[[#This Row],[Source.Name]],1))="Auszahlung_a","Auszahlung",""),"")</f>
        <v/>
      </c>
      <c r="D1540" s="1"/>
    </row>
    <row r="1541" spans="1:4" x14ac:dyDescent="0.3">
      <c r="A1541" s="1"/>
      <c r="B1541" s="1" t="str">
        <f>IFERROR(IF(LEFT(Sensitivität_bzw_Monte_Carlo_bei_Strom[[#This Row],[Source.Name]],SEARCH("aus_der",Sensitivität_bzw_Monte_Carlo_bei_Strom[[#This Row],[Source.Name]],1))="Auszahlung_a","Auszahlung",""),"")</f>
        <v/>
      </c>
      <c r="D1541" s="1"/>
    </row>
    <row r="1542" spans="1:4" x14ac:dyDescent="0.3">
      <c r="A1542" s="1"/>
      <c r="B1542" s="1" t="str">
        <f>IFERROR(IF(LEFT(Sensitivität_bzw_Monte_Carlo_bei_Strom[[#This Row],[Source.Name]],SEARCH("aus_der",Sensitivität_bzw_Monte_Carlo_bei_Strom[[#This Row],[Source.Name]],1))="Auszahlung_a","Auszahlung",""),"")</f>
        <v/>
      </c>
      <c r="D1542" s="1"/>
    </row>
    <row r="1543" spans="1:4" x14ac:dyDescent="0.3">
      <c r="A1543" s="1"/>
      <c r="B1543" s="1" t="str">
        <f>IFERROR(IF(LEFT(Sensitivität_bzw_Monte_Carlo_bei_Strom[[#This Row],[Source.Name]],SEARCH("aus_der",Sensitivität_bzw_Monte_Carlo_bei_Strom[[#This Row],[Source.Name]],1))="Auszahlung_a","Auszahlung",""),"")</f>
        <v/>
      </c>
      <c r="D1543" s="1"/>
    </row>
    <row r="1544" spans="1:4" x14ac:dyDescent="0.3">
      <c r="A1544" s="1"/>
      <c r="B1544" s="1" t="str">
        <f>IFERROR(IF(LEFT(Sensitivität_bzw_Monte_Carlo_bei_Strom[[#This Row],[Source.Name]],SEARCH("aus_der",Sensitivität_bzw_Monte_Carlo_bei_Strom[[#This Row],[Source.Name]],1))="Auszahlung_a","Auszahlung",""),"")</f>
        <v/>
      </c>
      <c r="D1544" s="1"/>
    </row>
    <row r="1545" spans="1:4" x14ac:dyDescent="0.3">
      <c r="A1545" s="1"/>
      <c r="B1545" s="1" t="str">
        <f>IFERROR(IF(LEFT(Sensitivität_bzw_Monte_Carlo_bei_Strom[[#This Row],[Source.Name]],SEARCH("aus_der",Sensitivität_bzw_Monte_Carlo_bei_Strom[[#This Row],[Source.Name]],1))="Auszahlung_a","Auszahlung",""),"")</f>
        <v/>
      </c>
      <c r="D1545" s="1"/>
    </row>
    <row r="1546" spans="1:4" x14ac:dyDescent="0.3">
      <c r="A1546" s="1"/>
      <c r="B1546" s="1" t="str">
        <f>IFERROR(IF(LEFT(Sensitivität_bzw_Monte_Carlo_bei_Strom[[#This Row],[Source.Name]],SEARCH("aus_der",Sensitivität_bzw_Monte_Carlo_bei_Strom[[#This Row],[Source.Name]],1))="Auszahlung_a","Auszahlung",""),"")</f>
        <v/>
      </c>
      <c r="D1546" s="1"/>
    </row>
    <row r="1547" spans="1:4" x14ac:dyDescent="0.3">
      <c r="A1547" s="1"/>
      <c r="B1547" s="1" t="str">
        <f>IFERROR(IF(LEFT(Sensitivität_bzw_Monte_Carlo_bei_Strom[[#This Row],[Source.Name]],SEARCH("aus_der",Sensitivität_bzw_Monte_Carlo_bei_Strom[[#This Row],[Source.Name]],1))="Auszahlung_a","Auszahlung",""),"")</f>
        <v/>
      </c>
      <c r="D1547" s="1"/>
    </row>
    <row r="1548" spans="1:4" x14ac:dyDescent="0.3">
      <c r="A1548" s="1"/>
      <c r="B1548" s="1" t="str">
        <f>IFERROR(IF(LEFT(Sensitivität_bzw_Monte_Carlo_bei_Strom[[#This Row],[Source.Name]],SEARCH("aus_der",Sensitivität_bzw_Monte_Carlo_bei_Strom[[#This Row],[Source.Name]],1))="Auszahlung_a","Auszahlung",""),"")</f>
        <v/>
      </c>
      <c r="D1548" s="1"/>
    </row>
    <row r="1549" spans="1:4" x14ac:dyDescent="0.3">
      <c r="A1549" s="1"/>
      <c r="B1549" s="1" t="str">
        <f>IFERROR(IF(LEFT(Sensitivität_bzw_Monte_Carlo_bei_Strom[[#This Row],[Source.Name]],SEARCH("aus_der",Sensitivität_bzw_Monte_Carlo_bei_Strom[[#This Row],[Source.Name]],1))="Auszahlung_a","Auszahlung",""),"")</f>
        <v/>
      </c>
      <c r="D1549" s="1"/>
    </row>
    <row r="1550" spans="1:4" x14ac:dyDescent="0.3">
      <c r="A1550" s="1"/>
      <c r="B1550" s="1" t="str">
        <f>IFERROR(IF(LEFT(Sensitivität_bzw_Monte_Carlo_bei_Strom[[#This Row],[Source.Name]],SEARCH("aus_der",Sensitivität_bzw_Monte_Carlo_bei_Strom[[#This Row],[Source.Name]],1))="Auszahlung_a","Auszahlung",""),"")</f>
        <v/>
      </c>
      <c r="D1550" s="1"/>
    </row>
    <row r="1551" spans="1:4" x14ac:dyDescent="0.3">
      <c r="A1551" s="1"/>
      <c r="B1551" s="1" t="str">
        <f>IFERROR(IF(LEFT(Sensitivität_bzw_Monte_Carlo_bei_Strom[[#This Row],[Source.Name]],SEARCH("aus_der",Sensitivität_bzw_Monte_Carlo_bei_Strom[[#This Row],[Source.Name]],1))="Auszahlung_a","Auszahlung",""),"")</f>
        <v/>
      </c>
      <c r="D1551" s="1"/>
    </row>
    <row r="1552" spans="1:4" x14ac:dyDescent="0.3">
      <c r="A1552" s="1"/>
      <c r="B1552" s="1" t="str">
        <f>IFERROR(IF(LEFT(Sensitivität_bzw_Monte_Carlo_bei_Strom[[#This Row],[Source.Name]],SEARCH("aus_der",Sensitivität_bzw_Monte_Carlo_bei_Strom[[#This Row],[Source.Name]],1))="Auszahlung_a","Auszahlung",""),"")</f>
        <v/>
      </c>
      <c r="D1552" s="1"/>
    </row>
    <row r="1553" spans="1:4" x14ac:dyDescent="0.3">
      <c r="A1553" s="1"/>
      <c r="B1553" s="1" t="str">
        <f>IFERROR(IF(LEFT(Sensitivität_bzw_Monte_Carlo_bei_Strom[[#This Row],[Source.Name]],SEARCH("aus_der",Sensitivität_bzw_Monte_Carlo_bei_Strom[[#This Row],[Source.Name]],1))="Auszahlung_a","Auszahlung",""),"")</f>
        <v/>
      </c>
      <c r="D1553" s="1"/>
    </row>
    <row r="1554" spans="1:4" x14ac:dyDescent="0.3">
      <c r="A1554" s="1"/>
      <c r="B1554" s="1" t="str">
        <f>IFERROR(IF(LEFT(Sensitivität_bzw_Monte_Carlo_bei_Strom[[#This Row],[Source.Name]],SEARCH("aus_der",Sensitivität_bzw_Monte_Carlo_bei_Strom[[#This Row],[Source.Name]],1))="Auszahlung_a","Auszahlung",""),"")</f>
        <v/>
      </c>
      <c r="D1554" s="1"/>
    </row>
    <row r="1555" spans="1:4" x14ac:dyDescent="0.3">
      <c r="A1555" s="1"/>
      <c r="B1555" s="1" t="str">
        <f>IFERROR(IF(LEFT(Sensitivität_bzw_Monte_Carlo_bei_Strom[[#This Row],[Source.Name]],SEARCH("aus_der",Sensitivität_bzw_Monte_Carlo_bei_Strom[[#This Row],[Source.Name]],1))="Auszahlung_a","Auszahlung",""),"")</f>
        <v/>
      </c>
      <c r="D1555" s="1"/>
    </row>
    <row r="1556" spans="1:4" x14ac:dyDescent="0.3">
      <c r="A1556" s="1"/>
      <c r="B1556" s="1" t="str">
        <f>IFERROR(IF(LEFT(Sensitivität_bzw_Monte_Carlo_bei_Strom[[#This Row],[Source.Name]],SEARCH("aus_der",Sensitivität_bzw_Monte_Carlo_bei_Strom[[#This Row],[Source.Name]],1))="Auszahlung_a","Auszahlung",""),"")</f>
        <v/>
      </c>
      <c r="D1556" s="1"/>
    </row>
    <row r="1557" spans="1:4" x14ac:dyDescent="0.3">
      <c r="A1557" s="1"/>
      <c r="B1557" s="1" t="str">
        <f>IFERROR(IF(LEFT(Sensitivität_bzw_Monte_Carlo_bei_Strom[[#This Row],[Source.Name]],SEARCH("aus_der",Sensitivität_bzw_Monte_Carlo_bei_Strom[[#This Row],[Source.Name]],1))="Auszahlung_a","Auszahlung",""),"")</f>
        <v/>
      </c>
      <c r="D1557" s="1"/>
    </row>
    <row r="1558" spans="1:4" x14ac:dyDescent="0.3">
      <c r="A1558" s="1"/>
      <c r="B1558" s="1" t="str">
        <f>IFERROR(IF(LEFT(Sensitivität_bzw_Monte_Carlo_bei_Strom[[#This Row],[Source.Name]],SEARCH("aus_der",Sensitivität_bzw_Monte_Carlo_bei_Strom[[#This Row],[Source.Name]],1))="Auszahlung_a","Auszahlung",""),"")</f>
        <v/>
      </c>
      <c r="D1558" s="1"/>
    </row>
    <row r="1559" spans="1:4" x14ac:dyDescent="0.3">
      <c r="A1559" s="1"/>
      <c r="B1559" s="1" t="str">
        <f>IFERROR(IF(LEFT(Sensitivität_bzw_Monte_Carlo_bei_Strom[[#This Row],[Source.Name]],SEARCH("aus_der",Sensitivität_bzw_Monte_Carlo_bei_Strom[[#This Row],[Source.Name]],1))="Auszahlung_a","Auszahlung",""),"")</f>
        <v/>
      </c>
      <c r="D1559" s="1"/>
    </row>
    <row r="1560" spans="1:4" x14ac:dyDescent="0.3">
      <c r="A1560" s="1"/>
      <c r="B1560" s="1" t="str">
        <f>IFERROR(IF(LEFT(Sensitivität_bzw_Monte_Carlo_bei_Strom[[#This Row],[Source.Name]],SEARCH("aus_der",Sensitivität_bzw_Monte_Carlo_bei_Strom[[#This Row],[Source.Name]],1))="Auszahlung_a","Auszahlung",""),"")</f>
        <v/>
      </c>
      <c r="D1560" s="1"/>
    </row>
    <row r="1561" spans="1:4" x14ac:dyDescent="0.3">
      <c r="A1561" s="1"/>
      <c r="B1561" s="1" t="str">
        <f>IFERROR(IF(LEFT(Sensitivität_bzw_Monte_Carlo_bei_Strom[[#This Row],[Source.Name]],SEARCH("aus_der",Sensitivität_bzw_Monte_Carlo_bei_Strom[[#This Row],[Source.Name]],1))="Auszahlung_a","Auszahlung",""),"")</f>
        <v/>
      </c>
      <c r="D1561" s="1"/>
    </row>
    <row r="1562" spans="1:4" x14ac:dyDescent="0.3">
      <c r="A1562" s="1"/>
      <c r="B1562" s="1" t="str">
        <f>IFERROR(IF(LEFT(Sensitivität_bzw_Monte_Carlo_bei_Strom[[#This Row],[Source.Name]],SEARCH("aus_der",Sensitivität_bzw_Monte_Carlo_bei_Strom[[#This Row],[Source.Name]],1))="Auszahlung_a","Auszahlung",""),"")</f>
        <v/>
      </c>
      <c r="D1562" s="1"/>
    </row>
    <row r="1563" spans="1:4" x14ac:dyDescent="0.3">
      <c r="A1563" s="1"/>
      <c r="B1563" s="1" t="str">
        <f>IFERROR(IF(LEFT(Sensitivität_bzw_Monte_Carlo_bei_Strom[[#This Row],[Source.Name]],SEARCH("aus_der",Sensitivität_bzw_Monte_Carlo_bei_Strom[[#This Row],[Source.Name]],1))="Auszahlung_a","Auszahlung",""),"")</f>
        <v/>
      </c>
      <c r="D1563" s="1"/>
    </row>
    <row r="1564" spans="1:4" x14ac:dyDescent="0.3">
      <c r="A1564" s="1"/>
      <c r="B1564" s="1" t="str">
        <f>IFERROR(IF(LEFT(Sensitivität_bzw_Monte_Carlo_bei_Strom[[#This Row],[Source.Name]],SEARCH("aus_der",Sensitivität_bzw_Monte_Carlo_bei_Strom[[#This Row],[Source.Name]],1))="Auszahlung_a","Auszahlung",""),"")</f>
        <v/>
      </c>
      <c r="D1564" s="1"/>
    </row>
    <row r="1565" spans="1:4" x14ac:dyDescent="0.3">
      <c r="A1565" s="1"/>
      <c r="B1565" s="1" t="str">
        <f>IFERROR(IF(LEFT(Sensitivität_bzw_Monte_Carlo_bei_Strom[[#This Row],[Source.Name]],SEARCH("aus_der",Sensitivität_bzw_Monte_Carlo_bei_Strom[[#This Row],[Source.Name]],1))="Auszahlung_a","Auszahlung",""),"")</f>
        <v/>
      </c>
      <c r="D1565" s="1"/>
    </row>
    <row r="1566" spans="1:4" x14ac:dyDescent="0.3">
      <c r="A1566" s="1"/>
      <c r="B1566" s="1" t="str">
        <f>IFERROR(IF(LEFT(Sensitivität_bzw_Monte_Carlo_bei_Strom[[#This Row],[Source.Name]],SEARCH("aus_der",Sensitivität_bzw_Monte_Carlo_bei_Strom[[#This Row],[Source.Name]],1))="Auszahlung_a","Auszahlung",""),"")</f>
        <v/>
      </c>
      <c r="D1566" s="1"/>
    </row>
    <row r="1567" spans="1:4" x14ac:dyDescent="0.3">
      <c r="A1567" s="1"/>
      <c r="B1567" s="1" t="str">
        <f>IFERROR(IF(LEFT(Sensitivität_bzw_Monte_Carlo_bei_Strom[[#This Row],[Source.Name]],SEARCH("aus_der",Sensitivität_bzw_Monte_Carlo_bei_Strom[[#This Row],[Source.Name]],1))="Auszahlung_a","Auszahlung",""),"")</f>
        <v/>
      </c>
      <c r="D1567" s="1"/>
    </row>
    <row r="1568" spans="1:4" x14ac:dyDescent="0.3">
      <c r="A1568" s="1"/>
      <c r="B1568" s="1" t="str">
        <f>IFERROR(IF(LEFT(Sensitivität_bzw_Monte_Carlo_bei_Strom[[#This Row],[Source.Name]],SEARCH("aus_der",Sensitivität_bzw_Monte_Carlo_bei_Strom[[#This Row],[Source.Name]],1))="Auszahlung_a","Auszahlung",""),"")</f>
        <v/>
      </c>
      <c r="D1568" s="1"/>
    </row>
    <row r="1569" spans="1:4" x14ac:dyDescent="0.3">
      <c r="A1569" s="1"/>
      <c r="B1569" s="1" t="str">
        <f>IFERROR(IF(LEFT(Sensitivität_bzw_Monte_Carlo_bei_Strom[[#This Row],[Source.Name]],SEARCH("aus_der",Sensitivität_bzw_Monte_Carlo_bei_Strom[[#This Row],[Source.Name]],1))="Auszahlung_a","Auszahlung",""),"")</f>
        <v/>
      </c>
      <c r="D1569" s="1"/>
    </row>
    <row r="1570" spans="1:4" x14ac:dyDescent="0.3">
      <c r="A1570" s="1"/>
      <c r="B1570" s="1" t="str">
        <f>IFERROR(IF(LEFT(Sensitivität_bzw_Monte_Carlo_bei_Strom[[#This Row],[Source.Name]],SEARCH("aus_der",Sensitivität_bzw_Monte_Carlo_bei_Strom[[#This Row],[Source.Name]],1))="Auszahlung_a","Auszahlung",""),"")</f>
        <v/>
      </c>
      <c r="D1570" s="1"/>
    </row>
    <row r="1571" spans="1:4" x14ac:dyDescent="0.3">
      <c r="A1571" s="1"/>
      <c r="B1571" s="1" t="str">
        <f>IFERROR(IF(LEFT(Sensitivität_bzw_Monte_Carlo_bei_Strom[[#This Row],[Source.Name]],SEARCH("aus_der",Sensitivität_bzw_Monte_Carlo_bei_Strom[[#This Row],[Source.Name]],1))="Auszahlung_a","Auszahlung",""),"")</f>
        <v/>
      </c>
      <c r="D1571" s="1"/>
    </row>
    <row r="1572" spans="1:4" x14ac:dyDescent="0.3">
      <c r="A1572" s="1"/>
      <c r="B1572" s="1" t="str">
        <f>IFERROR(IF(LEFT(Sensitivität_bzw_Monte_Carlo_bei_Strom[[#This Row],[Source.Name]],SEARCH("aus_der",Sensitivität_bzw_Monte_Carlo_bei_Strom[[#This Row],[Source.Name]],1))="Auszahlung_a","Auszahlung",""),"")</f>
        <v/>
      </c>
      <c r="D1572" s="1"/>
    </row>
    <row r="1573" spans="1:4" x14ac:dyDescent="0.3">
      <c r="A1573" s="1"/>
      <c r="B1573" s="1" t="str">
        <f>IFERROR(IF(LEFT(Sensitivität_bzw_Monte_Carlo_bei_Strom[[#This Row],[Source.Name]],SEARCH("aus_der",Sensitivität_bzw_Monte_Carlo_bei_Strom[[#This Row],[Source.Name]],1))="Auszahlung_a","Auszahlung",""),"")</f>
        <v/>
      </c>
      <c r="D1573" s="1"/>
    </row>
    <row r="1574" spans="1:4" x14ac:dyDescent="0.3">
      <c r="A1574" s="1"/>
      <c r="B1574" s="1" t="str">
        <f>IFERROR(IF(LEFT(Sensitivität_bzw_Monte_Carlo_bei_Strom[[#This Row],[Source.Name]],SEARCH("aus_der",Sensitivität_bzw_Monte_Carlo_bei_Strom[[#This Row],[Source.Name]],1))="Auszahlung_a","Auszahlung",""),"")</f>
        <v/>
      </c>
      <c r="D1574" s="1"/>
    </row>
    <row r="1575" spans="1:4" x14ac:dyDescent="0.3">
      <c r="A1575" s="1"/>
      <c r="B1575" s="1" t="str">
        <f>IFERROR(IF(LEFT(Sensitivität_bzw_Monte_Carlo_bei_Strom[[#This Row],[Source.Name]],SEARCH("aus_der",Sensitivität_bzw_Monte_Carlo_bei_Strom[[#This Row],[Source.Name]],1))="Auszahlung_a","Auszahlung",""),"")</f>
        <v/>
      </c>
      <c r="D1575" s="1"/>
    </row>
    <row r="1576" spans="1:4" x14ac:dyDescent="0.3">
      <c r="A1576" s="1"/>
      <c r="B1576" s="1" t="str">
        <f>IFERROR(IF(LEFT(Sensitivität_bzw_Monte_Carlo_bei_Strom[[#This Row],[Source.Name]],SEARCH("aus_der",Sensitivität_bzw_Monte_Carlo_bei_Strom[[#This Row],[Source.Name]],1))="Auszahlung_a","Auszahlung",""),"")</f>
        <v/>
      </c>
      <c r="D1576" s="1"/>
    </row>
    <row r="1577" spans="1:4" x14ac:dyDescent="0.3">
      <c r="A1577" s="1"/>
      <c r="B1577" s="1" t="str">
        <f>IFERROR(IF(LEFT(Sensitivität_bzw_Monte_Carlo_bei_Strom[[#This Row],[Source.Name]],SEARCH("aus_der",Sensitivität_bzw_Monte_Carlo_bei_Strom[[#This Row],[Source.Name]],1))="Auszahlung_a","Auszahlung",""),"")</f>
        <v/>
      </c>
      <c r="D1577" s="1"/>
    </row>
    <row r="1578" spans="1:4" x14ac:dyDescent="0.3">
      <c r="A1578" s="1"/>
      <c r="B1578" s="1" t="str">
        <f>IFERROR(IF(LEFT(Sensitivität_bzw_Monte_Carlo_bei_Strom[[#This Row],[Source.Name]],SEARCH("aus_der",Sensitivität_bzw_Monte_Carlo_bei_Strom[[#This Row],[Source.Name]],1))="Auszahlung_a","Auszahlung",""),"")</f>
        <v/>
      </c>
      <c r="D1578" s="1"/>
    </row>
    <row r="1579" spans="1:4" x14ac:dyDescent="0.3">
      <c r="A1579" s="1"/>
      <c r="B1579" s="1" t="str">
        <f>IFERROR(IF(LEFT(Sensitivität_bzw_Monte_Carlo_bei_Strom[[#This Row],[Source.Name]],SEARCH("aus_der",Sensitivität_bzw_Monte_Carlo_bei_Strom[[#This Row],[Source.Name]],1))="Auszahlung_a","Auszahlung",""),"")</f>
        <v/>
      </c>
      <c r="D1579" s="1"/>
    </row>
    <row r="1580" spans="1:4" x14ac:dyDescent="0.3">
      <c r="A1580" s="1"/>
      <c r="B1580" s="1" t="str">
        <f>IFERROR(IF(LEFT(Sensitivität_bzw_Monte_Carlo_bei_Strom[[#This Row],[Source.Name]],SEARCH("aus_der",Sensitivität_bzw_Monte_Carlo_bei_Strom[[#This Row],[Source.Name]],1))="Auszahlung_a","Auszahlung",""),"")</f>
        <v/>
      </c>
      <c r="D1580" s="1"/>
    </row>
    <row r="1581" spans="1:4" x14ac:dyDescent="0.3">
      <c r="A1581" s="1"/>
      <c r="B1581" s="1" t="str">
        <f>IFERROR(IF(LEFT(Sensitivität_bzw_Monte_Carlo_bei_Strom[[#This Row],[Source.Name]],SEARCH("aus_der",Sensitivität_bzw_Monte_Carlo_bei_Strom[[#This Row],[Source.Name]],1))="Auszahlung_a","Auszahlung",""),"")</f>
        <v/>
      </c>
      <c r="D1581" s="1"/>
    </row>
    <row r="1582" spans="1:4" x14ac:dyDescent="0.3">
      <c r="A1582" s="1"/>
      <c r="B1582" s="1" t="str">
        <f>IFERROR(IF(LEFT(Sensitivität_bzw_Monte_Carlo_bei_Strom[[#This Row],[Source.Name]],SEARCH("aus_der",Sensitivität_bzw_Monte_Carlo_bei_Strom[[#This Row],[Source.Name]],1))="Auszahlung_a","Auszahlung",""),"")</f>
        <v/>
      </c>
      <c r="D1582" s="1"/>
    </row>
    <row r="1583" spans="1:4" x14ac:dyDescent="0.3">
      <c r="A1583" s="1"/>
      <c r="B1583" s="1" t="str">
        <f>IFERROR(IF(LEFT(Sensitivität_bzw_Monte_Carlo_bei_Strom[[#This Row],[Source.Name]],SEARCH("aus_der",Sensitivität_bzw_Monte_Carlo_bei_Strom[[#This Row],[Source.Name]],1))="Auszahlung_a","Auszahlung",""),"")</f>
        <v/>
      </c>
      <c r="D1583" s="1"/>
    </row>
    <row r="1584" spans="1:4" x14ac:dyDescent="0.3">
      <c r="A1584" s="1"/>
      <c r="B1584" s="1" t="str">
        <f>IFERROR(IF(LEFT(Sensitivität_bzw_Monte_Carlo_bei_Strom[[#This Row],[Source.Name]],SEARCH("aus_der",Sensitivität_bzw_Monte_Carlo_bei_Strom[[#This Row],[Source.Name]],1))="Auszahlung_a","Auszahlung",""),"")</f>
        <v/>
      </c>
      <c r="D1584" s="1"/>
    </row>
    <row r="1585" spans="1:4" x14ac:dyDescent="0.3">
      <c r="A1585" s="1"/>
      <c r="B1585" s="1" t="str">
        <f>IFERROR(IF(LEFT(Sensitivität_bzw_Monte_Carlo_bei_Strom[[#This Row],[Source.Name]],SEARCH("aus_der",Sensitivität_bzw_Monte_Carlo_bei_Strom[[#This Row],[Source.Name]],1))="Auszahlung_a","Auszahlung",""),"")</f>
        <v/>
      </c>
      <c r="D1585" s="1"/>
    </row>
    <row r="1586" spans="1:4" x14ac:dyDescent="0.3">
      <c r="A1586" s="1"/>
      <c r="B1586" s="1" t="str">
        <f>IFERROR(IF(LEFT(Sensitivität_bzw_Monte_Carlo_bei_Strom[[#This Row],[Source.Name]],SEARCH("aus_der",Sensitivität_bzw_Monte_Carlo_bei_Strom[[#This Row],[Source.Name]],1))="Auszahlung_a","Auszahlung",""),"")</f>
        <v/>
      </c>
      <c r="D1586" s="1"/>
    </row>
    <row r="1587" spans="1:4" x14ac:dyDescent="0.3">
      <c r="A1587" s="1"/>
      <c r="B1587" s="1" t="str">
        <f>IFERROR(IF(LEFT(Sensitivität_bzw_Monte_Carlo_bei_Strom[[#This Row],[Source.Name]],SEARCH("aus_der",Sensitivität_bzw_Monte_Carlo_bei_Strom[[#This Row],[Source.Name]],1))="Auszahlung_a","Auszahlung",""),"")</f>
        <v/>
      </c>
      <c r="D1587" s="1"/>
    </row>
    <row r="1588" spans="1:4" x14ac:dyDescent="0.3">
      <c r="A1588" s="1"/>
      <c r="B1588" s="1" t="str">
        <f>IFERROR(IF(LEFT(Sensitivität_bzw_Monte_Carlo_bei_Strom[[#This Row],[Source.Name]],SEARCH("aus_der",Sensitivität_bzw_Monte_Carlo_bei_Strom[[#This Row],[Source.Name]],1))="Auszahlung_a","Auszahlung",""),"")</f>
        <v/>
      </c>
      <c r="D1588" s="1"/>
    </row>
    <row r="1589" spans="1:4" x14ac:dyDescent="0.3">
      <c r="A1589" s="1"/>
      <c r="B1589" s="1" t="str">
        <f>IFERROR(IF(LEFT(Sensitivität_bzw_Monte_Carlo_bei_Strom[[#This Row],[Source.Name]],SEARCH("aus_der",Sensitivität_bzw_Monte_Carlo_bei_Strom[[#This Row],[Source.Name]],1))="Auszahlung_a","Auszahlung",""),"")</f>
        <v/>
      </c>
      <c r="D1589" s="1"/>
    </row>
    <row r="1590" spans="1:4" x14ac:dyDescent="0.3">
      <c r="A1590" s="1"/>
      <c r="B1590" s="1" t="str">
        <f>IFERROR(IF(LEFT(Sensitivität_bzw_Monte_Carlo_bei_Strom[[#This Row],[Source.Name]],SEARCH("aus_der",Sensitivität_bzw_Monte_Carlo_bei_Strom[[#This Row],[Source.Name]],1))="Auszahlung_a","Auszahlung",""),"")</f>
        <v/>
      </c>
      <c r="D1590" s="1"/>
    </row>
    <row r="1591" spans="1:4" x14ac:dyDescent="0.3">
      <c r="A1591" s="1"/>
      <c r="B1591" s="1" t="str">
        <f>IFERROR(IF(LEFT(Sensitivität_bzw_Monte_Carlo_bei_Strom[[#This Row],[Source.Name]],SEARCH("aus_der",Sensitivität_bzw_Monte_Carlo_bei_Strom[[#This Row],[Source.Name]],1))="Auszahlung_a","Auszahlung",""),"")</f>
        <v/>
      </c>
      <c r="D1591" s="1"/>
    </row>
    <row r="1592" spans="1:4" x14ac:dyDescent="0.3">
      <c r="A1592" s="1"/>
      <c r="B1592" s="1" t="str">
        <f>IFERROR(IF(LEFT(Sensitivität_bzw_Monte_Carlo_bei_Strom[[#This Row],[Source.Name]],SEARCH("aus_der",Sensitivität_bzw_Monte_Carlo_bei_Strom[[#This Row],[Source.Name]],1))="Auszahlung_a","Auszahlung",""),"")</f>
        <v/>
      </c>
      <c r="D1592" s="1"/>
    </row>
    <row r="1593" spans="1:4" x14ac:dyDescent="0.3">
      <c r="A1593" s="1"/>
      <c r="B1593" s="1" t="str">
        <f>IFERROR(IF(LEFT(Sensitivität_bzw_Monte_Carlo_bei_Strom[[#This Row],[Source.Name]],SEARCH("aus_der",Sensitivität_bzw_Monte_Carlo_bei_Strom[[#This Row],[Source.Name]],1))="Auszahlung_a","Auszahlung",""),"")</f>
        <v/>
      </c>
      <c r="D1593" s="1"/>
    </row>
    <row r="1594" spans="1:4" x14ac:dyDescent="0.3">
      <c r="A1594" s="1"/>
      <c r="B1594" s="1" t="str">
        <f>IFERROR(IF(LEFT(Sensitivität_bzw_Monte_Carlo_bei_Strom[[#This Row],[Source.Name]],SEARCH("aus_der",Sensitivität_bzw_Monte_Carlo_bei_Strom[[#This Row],[Source.Name]],1))="Auszahlung_a","Auszahlung",""),"")</f>
        <v/>
      </c>
      <c r="D1594" s="1"/>
    </row>
    <row r="1595" spans="1:4" x14ac:dyDescent="0.3">
      <c r="A1595" s="1"/>
      <c r="B1595" s="1" t="str">
        <f>IFERROR(IF(LEFT(Sensitivität_bzw_Monte_Carlo_bei_Strom[[#This Row],[Source.Name]],SEARCH("aus_der",Sensitivität_bzw_Monte_Carlo_bei_Strom[[#This Row],[Source.Name]],1))="Auszahlung_a","Auszahlung",""),"")</f>
        <v/>
      </c>
      <c r="D1595" s="1"/>
    </row>
    <row r="1596" spans="1:4" x14ac:dyDescent="0.3">
      <c r="A1596" s="1"/>
      <c r="B1596" s="1" t="str">
        <f>IFERROR(IF(LEFT(Sensitivität_bzw_Monte_Carlo_bei_Strom[[#This Row],[Source.Name]],SEARCH("aus_der",Sensitivität_bzw_Monte_Carlo_bei_Strom[[#This Row],[Source.Name]],1))="Auszahlung_a","Auszahlung",""),"")</f>
        <v/>
      </c>
      <c r="D1596" s="1"/>
    </row>
    <row r="1597" spans="1:4" x14ac:dyDescent="0.3">
      <c r="A1597" s="1"/>
      <c r="B1597" s="1" t="str">
        <f>IFERROR(IF(LEFT(Sensitivität_bzw_Monte_Carlo_bei_Strom[[#This Row],[Source.Name]],SEARCH("aus_der",Sensitivität_bzw_Monte_Carlo_bei_Strom[[#This Row],[Source.Name]],1))="Auszahlung_a","Auszahlung",""),"")</f>
        <v/>
      </c>
      <c r="D1597" s="1"/>
    </row>
    <row r="1598" spans="1:4" x14ac:dyDescent="0.3">
      <c r="A1598" s="1"/>
      <c r="B1598" s="1" t="str">
        <f>IFERROR(IF(LEFT(Sensitivität_bzw_Monte_Carlo_bei_Strom[[#This Row],[Source.Name]],SEARCH("aus_der",Sensitivität_bzw_Monte_Carlo_bei_Strom[[#This Row],[Source.Name]],1))="Auszahlung_a","Auszahlung",""),"")</f>
        <v/>
      </c>
      <c r="D1598" s="1"/>
    </row>
    <row r="1599" spans="1:4" x14ac:dyDescent="0.3">
      <c r="A1599" s="1"/>
      <c r="B1599" s="1" t="str">
        <f>IFERROR(IF(LEFT(Sensitivität_bzw_Monte_Carlo_bei_Strom[[#This Row],[Source.Name]],SEARCH("aus_der",Sensitivität_bzw_Monte_Carlo_bei_Strom[[#This Row],[Source.Name]],1))="Auszahlung_a","Auszahlung",""),"")</f>
        <v/>
      </c>
      <c r="D1599" s="1"/>
    </row>
    <row r="1600" spans="1:4" x14ac:dyDescent="0.3">
      <c r="A1600" s="1"/>
      <c r="B1600" s="1" t="str">
        <f>IFERROR(IF(LEFT(Sensitivität_bzw_Monte_Carlo_bei_Strom[[#This Row],[Source.Name]],SEARCH("aus_der",Sensitivität_bzw_Monte_Carlo_bei_Strom[[#This Row],[Source.Name]],1))="Auszahlung_a","Auszahlung",""),"")</f>
        <v/>
      </c>
      <c r="D1600" s="1"/>
    </row>
    <row r="1601" spans="1:4" x14ac:dyDescent="0.3">
      <c r="A1601" s="1"/>
      <c r="B1601" s="1" t="str">
        <f>IFERROR(IF(LEFT(Sensitivität_bzw_Monte_Carlo_bei_Strom[[#This Row],[Source.Name]],SEARCH("aus_der",Sensitivität_bzw_Monte_Carlo_bei_Strom[[#This Row],[Source.Name]],1))="Auszahlung_a","Auszahlung",""),"")</f>
        <v/>
      </c>
      <c r="D1601" s="1"/>
    </row>
    <row r="1602" spans="1:4" x14ac:dyDescent="0.3">
      <c r="A1602" s="1"/>
      <c r="B1602" s="1" t="str">
        <f>IFERROR(IF(LEFT(Sensitivität_bzw_Monte_Carlo_bei_Strom[[#This Row],[Source.Name]],SEARCH("aus_der",Sensitivität_bzw_Monte_Carlo_bei_Strom[[#This Row],[Source.Name]],1))="Auszahlung_a","Auszahlung",""),"")</f>
        <v/>
      </c>
      <c r="D1602" s="1"/>
    </row>
    <row r="1603" spans="1:4" x14ac:dyDescent="0.3">
      <c r="A1603" s="1"/>
      <c r="B1603" s="1" t="str">
        <f>IFERROR(IF(LEFT(Sensitivität_bzw_Monte_Carlo_bei_Strom[[#This Row],[Source.Name]],SEARCH("aus_der",Sensitivität_bzw_Monte_Carlo_bei_Strom[[#This Row],[Source.Name]],1))="Auszahlung_a","Auszahlung",""),"")</f>
        <v/>
      </c>
      <c r="D1603" s="1"/>
    </row>
    <row r="1604" spans="1:4" x14ac:dyDescent="0.3">
      <c r="A1604" s="1"/>
      <c r="B1604" s="1" t="str">
        <f>IFERROR(IF(LEFT(Sensitivität_bzw_Monte_Carlo_bei_Strom[[#This Row],[Source.Name]],SEARCH("aus_der",Sensitivität_bzw_Monte_Carlo_bei_Strom[[#This Row],[Source.Name]],1))="Auszahlung_a","Auszahlung",""),"")</f>
        <v/>
      </c>
      <c r="D1604" s="1"/>
    </row>
    <row r="1605" spans="1:4" x14ac:dyDescent="0.3">
      <c r="A1605" s="1"/>
      <c r="B1605" s="1" t="str">
        <f>IFERROR(IF(LEFT(Sensitivität_bzw_Monte_Carlo_bei_Strom[[#This Row],[Source.Name]],SEARCH("aus_der",Sensitivität_bzw_Monte_Carlo_bei_Strom[[#This Row],[Source.Name]],1))="Auszahlung_a","Auszahlung",""),"")</f>
        <v/>
      </c>
      <c r="D1605" s="1"/>
    </row>
    <row r="1606" spans="1:4" x14ac:dyDescent="0.3">
      <c r="A1606" s="1"/>
      <c r="B1606" s="1" t="str">
        <f>IFERROR(IF(LEFT(Sensitivität_bzw_Monte_Carlo_bei_Strom[[#This Row],[Source.Name]],SEARCH("aus_der",Sensitivität_bzw_Monte_Carlo_bei_Strom[[#This Row],[Source.Name]],1))="Auszahlung_a","Auszahlung",""),"")</f>
        <v/>
      </c>
      <c r="D1606" s="1"/>
    </row>
    <row r="1607" spans="1:4" x14ac:dyDescent="0.3">
      <c r="A1607" s="1"/>
      <c r="B1607" s="1" t="str">
        <f>IFERROR(IF(LEFT(Sensitivität_bzw_Monte_Carlo_bei_Strom[[#This Row],[Source.Name]],SEARCH("aus_der",Sensitivität_bzw_Monte_Carlo_bei_Strom[[#This Row],[Source.Name]],1))="Auszahlung_a","Auszahlung",""),"")</f>
        <v/>
      </c>
      <c r="D1607" s="1"/>
    </row>
    <row r="1608" spans="1:4" x14ac:dyDescent="0.3">
      <c r="A1608" s="1"/>
      <c r="B1608" s="1" t="str">
        <f>IFERROR(IF(LEFT(Sensitivität_bzw_Monte_Carlo_bei_Strom[[#This Row],[Source.Name]],SEARCH("aus_der",Sensitivität_bzw_Monte_Carlo_bei_Strom[[#This Row],[Source.Name]],1))="Auszahlung_a","Auszahlung",""),"")</f>
        <v/>
      </c>
      <c r="D1608" s="1"/>
    </row>
    <row r="1609" spans="1:4" x14ac:dyDescent="0.3">
      <c r="A1609" s="1"/>
      <c r="B1609" s="1" t="str">
        <f>IFERROR(IF(LEFT(Sensitivität_bzw_Monte_Carlo_bei_Strom[[#This Row],[Source.Name]],SEARCH("aus_der",Sensitivität_bzw_Monte_Carlo_bei_Strom[[#This Row],[Source.Name]],1))="Auszahlung_a","Auszahlung",""),"")</f>
        <v/>
      </c>
      <c r="D1609" s="1"/>
    </row>
    <row r="1610" spans="1:4" x14ac:dyDescent="0.3">
      <c r="A1610" s="1"/>
      <c r="B1610" s="1" t="str">
        <f>IFERROR(IF(LEFT(Sensitivität_bzw_Monte_Carlo_bei_Strom[[#This Row],[Source.Name]],SEARCH("aus_der",Sensitivität_bzw_Monte_Carlo_bei_Strom[[#This Row],[Source.Name]],1))="Auszahlung_a","Auszahlung",""),"")</f>
        <v/>
      </c>
      <c r="D1610" s="1"/>
    </row>
    <row r="1611" spans="1:4" x14ac:dyDescent="0.3">
      <c r="A1611" s="1"/>
      <c r="B1611" s="1" t="str">
        <f>IFERROR(IF(LEFT(Sensitivität_bzw_Monte_Carlo_bei_Strom[[#This Row],[Source.Name]],SEARCH("aus_der",Sensitivität_bzw_Monte_Carlo_bei_Strom[[#This Row],[Source.Name]],1))="Auszahlung_a","Auszahlung",""),"")</f>
        <v/>
      </c>
      <c r="D1611" s="1"/>
    </row>
    <row r="1612" spans="1:4" x14ac:dyDescent="0.3">
      <c r="A1612" s="1"/>
      <c r="B1612" s="1" t="str">
        <f>IFERROR(IF(LEFT(Sensitivität_bzw_Monte_Carlo_bei_Strom[[#This Row],[Source.Name]],SEARCH("aus_der",Sensitivität_bzw_Monte_Carlo_bei_Strom[[#This Row],[Source.Name]],1))="Auszahlung_a","Auszahlung",""),"")</f>
        <v/>
      </c>
      <c r="D1612" s="1"/>
    </row>
    <row r="1613" spans="1:4" x14ac:dyDescent="0.3">
      <c r="A1613" s="1"/>
      <c r="B1613" s="1" t="str">
        <f>IFERROR(IF(LEFT(Sensitivität_bzw_Monte_Carlo_bei_Strom[[#This Row],[Source.Name]],SEARCH("aus_der",Sensitivität_bzw_Monte_Carlo_bei_Strom[[#This Row],[Source.Name]],1))="Auszahlung_a","Auszahlung",""),"")</f>
        <v/>
      </c>
      <c r="D1613" s="1"/>
    </row>
    <row r="1614" spans="1:4" x14ac:dyDescent="0.3">
      <c r="A1614" s="1"/>
      <c r="B1614" s="1" t="str">
        <f>IFERROR(IF(LEFT(Sensitivität_bzw_Monte_Carlo_bei_Strom[[#This Row],[Source.Name]],SEARCH("aus_der",Sensitivität_bzw_Monte_Carlo_bei_Strom[[#This Row],[Source.Name]],1))="Auszahlung_a","Auszahlung",""),"")</f>
        <v/>
      </c>
      <c r="D1614" s="1"/>
    </row>
    <row r="1615" spans="1:4" x14ac:dyDescent="0.3">
      <c r="A1615" s="1"/>
      <c r="B1615" s="1" t="str">
        <f>IFERROR(IF(LEFT(Sensitivität_bzw_Monte_Carlo_bei_Strom[[#This Row],[Source.Name]],SEARCH("aus_der",Sensitivität_bzw_Monte_Carlo_bei_Strom[[#This Row],[Source.Name]],1))="Auszahlung_a","Auszahlung",""),"")</f>
        <v/>
      </c>
      <c r="D1615" s="1"/>
    </row>
    <row r="1616" spans="1:4" x14ac:dyDescent="0.3">
      <c r="A1616" s="1"/>
      <c r="B1616" s="1" t="str">
        <f>IFERROR(IF(LEFT(Sensitivität_bzw_Monte_Carlo_bei_Strom[[#This Row],[Source.Name]],SEARCH("aus_der",Sensitivität_bzw_Monte_Carlo_bei_Strom[[#This Row],[Source.Name]],1))="Auszahlung_a","Auszahlung",""),"")</f>
        <v/>
      </c>
      <c r="D1616" s="1"/>
    </row>
    <row r="1617" spans="1:4" x14ac:dyDescent="0.3">
      <c r="A1617" s="1"/>
      <c r="B1617" s="1" t="str">
        <f>IFERROR(IF(LEFT(Sensitivität_bzw_Monte_Carlo_bei_Strom[[#This Row],[Source.Name]],SEARCH("aus_der",Sensitivität_bzw_Monte_Carlo_bei_Strom[[#This Row],[Source.Name]],1))="Auszahlung_a","Auszahlung",""),"")</f>
        <v/>
      </c>
      <c r="D1617" s="1"/>
    </row>
    <row r="1618" spans="1:4" x14ac:dyDescent="0.3">
      <c r="A1618" s="1"/>
      <c r="B1618" s="1" t="str">
        <f>IFERROR(IF(LEFT(Sensitivität_bzw_Monte_Carlo_bei_Strom[[#This Row],[Source.Name]],SEARCH("aus_der",Sensitivität_bzw_Monte_Carlo_bei_Strom[[#This Row],[Source.Name]],1))="Auszahlung_a","Auszahlung",""),"")</f>
        <v/>
      </c>
      <c r="D1618" s="1"/>
    </row>
    <row r="1619" spans="1:4" x14ac:dyDescent="0.3">
      <c r="A1619" s="1"/>
      <c r="B1619" s="1" t="str">
        <f>IFERROR(IF(LEFT(Sensitivität_bzw_Monte_Carlo_bei_Strom[[#This Row],[Source.Name]],SEARCH("aus_der",Sensitivität_bzw_Monte_Carlo_bei_Strom[[#This Row],[Source.Name]],1))="Auszahlung_a","Auszahlung",""),"")</f>
        <v/>
      </c>
      <c r="D1619" s="1"/>
    </row>
    <row r="1620" spans="1:4" x14ac:dyDescent="0.3">
      <c r="A1620" s="1"/>
      <c r="B1620" s="1" t="str">
        <f>IFERROR(IF(LEFT(Sensitivität_bzw_Monte_Carlo_bei_Strom[[#This Row],[Source.Name]],SEARCH("aus_der",Sensitivität_bzw_Monte_Carlo_bei_Strom[[#This Row],[Source.Name]],1))="Auszahlung_a","Auszahlung",""),"")</f>
        <v/>
      </c>
      <c r="D1620" s="1"/>
    </row>
    <row r="1621" spans="1:4" x14ac:dyDescent="0.3">
      <c r="A1621" s="1"/>
      <c r="B1621" s="1" t="str">
        <f>IFERROR(IF(LEFT(Sensitivität_bzw_Monte_Carlo_bei_Strom[[#This Row],[Source.Name]],SEARCH("aus_der",Sensitivität_bzw_Monte_Carlo_bei_Strom[[#This Row],[Source.Name]],1))="Auszahlung_a","Auszahlung",""),"")</f>
        <v/>
      </c>
      <c r="D1621" s="1"/>
    </row>
    <row r="1622" spans="1:4" x14ac:dyDescent="0.3">
      <c r="A1622" s="1"/>
      <c r="B1622" s="1" t="str">
        <f>IFERROR(IF(LEFT(Sensitivität_bzw_Monte_Carlo_bei_Strom[[#This Row],[Source.Name]],SEARCH("aus_der",Sensitivität_bzw_Monte_Carlo_bei_Strom[[#This Row],[Source.Name]],1))="Auszahlung_a","Auszahlung",""),"")</f>
        <v/>
      </c>
      <c r="D1622" s="1"/>
    </row>
    <row r="1623" spans="1:4" x14ac:dyDescent="0.3">
      <c r="A1623" s="1"/>
      <c r="B1623" s="1" t="str">
        <f>IFERROR(IF(LEFT(Sensitivität_bzw_Monte_Carlo_bei_Strom[[#This Row],[Source.Name]],SEARCH("aus_der",Sensitivität_bzw_Monte_Carlo_bei_Strom[[#This Row],[Source.Name]],1))="Auszahlung_a","Auszahlung",""),"")</f>
        <v/>
      </c>
      <c r="D1623" s="1"/>
    </row>
    <row r="1624" spans="1:4" x14ac:dyDescent="0.3">
      <c r="A1624" s="1"/>
      <c r="B1624" s="1" t="str">
        <f>IFERROR(IF(LEFT(Sensitivität_bzw_Monte_Carlo_bei_Strom[[#This Row],[Source.Name]],SEARCH("aus_der",Sensitivität_bzw_Monte_Carlo_bei_Strom[[#This Row],[Source.Name]],1))="Auszahlung_a","Auszahlung",""),"")</f>
        <v/>
      </c>
      <c r="D1624" s="1"/>
    </row>
    <row r="1625" spans="1:4" x14ac:dyDescent="0.3">
      <c r="A1625" s="1"/>
      <c r="B1625" s="1" t="str">
        <f>IFERROR(IF(LEFT(Sensitivität_bzw_Monte_Carlo_bei_Strom[[#This Row],[Source.Name]],SEARCH("aus_der",Sensitivität_bzw_Monte_Carlo_bei_Strom[[#This Row],[Source.Name]],1))="Auszahlung_a","Auszahlung",""),"")</f>
        <v/>
      </c>
      <c r="D1625" s="1"/>
    </row>
    <row r="1626" spans="1:4" x14ac:dyDescent="0.3">
      <c r="A1626" s="1"/>
      <c r="B1626" s="1" t="str">
        <f>IFERROR(IF(LEFT(Sensitivität_bzw_Monte_Carlo_bei_Strom[[#This Row],[Source.Name]],SEARCH("aus_der",Sensitivität_bzw_Monte_Carlo_bei_Strom[[#This Row],[Source.Name]],1))="Auszahlung_a","Auszahlung",""),"")</f>
        <v/>
      </c>
      <c r="D1626" s="1"/>
    </row>
    <row r="1627" spans="1:4" x14ac:dyDescent="0.3">
      <c r="A1627" s="1"/>
      <c r="B1627" s="1" t="str">
        <f>IFERROR(IF(LEFT(Sensitivität_bzw_Monte_Carlo_bei_Strom[[#This Row],[Source.Name]],SEARCH("aus_der",Sensitivität_bzw_Monte_Carlo_bei_Strom[[#This Row],[Source.Name]],1))="Auszahlung_a","Auszahlung",""),"")</f>
        <v/>
      </c>
      <c r="D1627" s="1"/>
    </row>
    <row r="1628" spans="1:4" x14ac:dyDescent="0.3">
      <c r="A1628" s="1"/>
      <c r="B1628" s="1" t="str">
        <f>IFERROR(IF(LEFT(Sensitivität_bzw_Monte_Carlo_bei_Strom[[#This Row],[Source.Name]],SEARCH("aus_der",Sensitivität_bzw_Monte_Carlo_bei_Strom[[#This Row],[Source.Name]],1))="Auszahlung_a","Auszahlung",""),"")</f>
        <v/>
      </c>
      <c r="D1628" s="1"/>
    </row>
    <row r="1629" spans="1:4" x14ac:dyDescent="0.3">
      <c r="A1629" s="1"/>
      <c r="B1629" s="1" t="str">
        <f>IFERROR(IF(LEFT(Sensitivität_bzw_Monte_Carlo_bei_Strom[[#This Row],[Source.Name]],SEARCH("aus_der",Sensitivität_bzw_Monte_Carlo_bei_Strom[[#This Row],[Source.Name]],1))="Auszahlung_a","Auszahlung",""),"")</f>
        <v/>
      </c>
      <c r="D1629" s="1"/>
    </row>
    <row r="1630" spans="1:4" x14ac:dyDescent="0.3">
      <c r="A1630" s="1"/>
      <c r="B1630" s="1" t="str">
        <f>IFERROR(IF(LEFT(Sensitivität_bzw_Monte_Carlo_bei_Strom[[#This Row],[Source.Name]],SEARCH("aus_der",Sensitivität_bzw_Monte_Carlo_bei_Strom[[#This Row],[Source.Name]],1))="Auszahlung_a","Auszahlung",""),"")</f>
        <v/>
      </c>
      <c r="D1630" s="1"/>
    </row>
    <row r="1631" spans="1:4" x14ac:dyDescent="0.3">
      <c r="A1631" s="1"/>
      <c r="B1631" s="1" t="str">
        <f>IFERROR(IF(LEFT(Sensitivität_bzw_Monte_Carlo_bei_Strom[[#This Row],[Source.Name]],SEARCH("aus_der",Sensitivität_bzw_Monte_Carlo_bei_Strom[[#This Row],[Source.Name]],1))="Auszahlung_a","Auszahlung",""),"")</f>
        <v/>
      </c>
      <c r="D1631" s="1"/>
    </row>
    <row r="1632" spans="1:4" x14ac:dyDescent="0.3">
      <c r="A1632" s="1"/>
      <c r="B1632" s="1" t="str">
        <f>IFERROR(IF(LEFT(Sensitivität_bzw_Monte_Carlo_bei_Strom[[#This Row],[Source.Name]],SEARCH("aus_der",Sensitivität_bzw_Monte_Carlo_bei_Strom[[#This Row],[Source.Name]],1))="Auszahlung_a","Auszahlung",""),"")</f>
        <v/>
      </c>
      <c r="D1632" s="1"/>
    </row>
    <row r="1633" spans="1:4" x14ac:dyDescent="0.3">
      <c r="A1633" s="1"/>
      <c r="B1633" s="1" t="str">
        <f>IFERROR(IF(LEFT(Sensitivität_bzw_Monte_Carlo_bei_Strom[[#This Row],[Source.Name]],SEARCH("aus_der",Sensitivität_bzw_Monte_Carlo_bei_Strom[[#This Row],[Source.Name]],1))="Auszahlung_a","Auszahlung",""),"")</f>
        <v/>
      </c>
      <c r="D1633" s="1"/>
    </row>
    <row r="1634" spans="1:4" x14ac:dyDescent="0.3">
      <c r="A1634" s="1"/>
      <c r="B1634" s="1" t="str">
        <f>IFERROR(IF(LEFT(Sensitivität_bzw_Monte_Carlo_bei_Strom[[#This Row],[Source.Name]],SEARCH("aus_der",Sensitivität_bzw_Monte_Carlo_bei_Strom[[#This Row],[Source.Name]],1))="Auszahlung_a","Auszahlung",""),"")</f>
        <v/>
      </c>
      <c r="D1634" s="1"/>
    </row>
    <row r="1635" spans="1:4" x14ac:dyDescent="0.3">
      <c r="A1635" s="1"/>
      <c r="B1635" s="1" t="str">
        <f>IFERROR(IF(LEFT(Sensitivität_bzw_Monte_Carlo_bei_Strom[[#This Row],[Source.Name]],SEARCH("aus_der",Sensitivität_bzw_Monte_Carlo_bei_Strom[[#This Row],[Source.Name]],1))="Auszahlung_a","Auszahlung",""),"")</f>
        <v/>
      </c>
      <c r="D1635" s="1"/>
    </row>
    <row r="1636" spans="1:4" x14ac:dyDescent="0.3">
      <c r="A1636" s="1"/>
      <c r="B1636" s="1" t="str">
        <f>IFERROR(IF(LEFT(Sensitivität_bzw_Monte_Carlo_bei_Strom[[#This Row],[Source.Name]],SEARCH("aus_der",Sensitivität_bzw_Monte_Carlo_bei_Strom[[#This Row],[Source.Name]],1))="Auszahlung_a","Auszahlung",""),"")</f>
        <v/>
      </c>
      <c r="D1636" s="1"/>
    </row>
    <row r="1637" spans="1:4" x14ac:dyDescent="0.3">
      <c r="A1637" s="1"/>
      <c r="B1637" s="1" t="str">
        <f>IFERROR(IF(LEFT(Sensitivität_bzw_Monte_Carlo_bei_Strom[[#This Row],[Source.Name]],SEARCH("aus_der",Sensitivität_bzw_Monte_Carlo_bei_Strom[[#This Row],[Source.Name]],1))="Auszahlung_a","Auszahlung",""),"")</f>
        <v/>
      </c>
      <c r="D1637" s="1"/>
    </row>
    <row r="1638" spans="1:4" x14ac:dyDescent="0.3">
      <c r="A1638" s="1"/>
      <c r="B1638" s="1" t="str">
        <f>IFERROR(IF(LEFT(Sensitivität_bzw_Monte_Carlo_bei_Strom[[#This Row],[Source.Name]],SEARCH("aus_der",Sensitivität_bzw_Monte_Carlo_bei_Strom[[#This Row],[Source.Name]],1))="Auszahlung_a","Auszahlung",""),"")</f>
        <v/>
      </c>
      <c r="D1638" s="1"/>
    </row>
    <row r="1639" spans="1:4" x14ac:dyDescent="0.3">
      <c r="A1639" s="1"/>
      <c r="B1639" s="1" t="str">
        <f>IFERROR(IF(LEFT(Sensitivität_bzw_Monte_Carlo_bei_Strom[[#This Row],[Source.Name]],SEARCH("aus_der",Sensitivität_bzw_Monte_Carlo_bei_Strom[[#This Row],[Source.Name]],1))="Auszahlung_a","Auszahlung",""),"")</f>
        <v/>
      </c>
      <c r="D1639" s="1"/>
    </row>
    <row r="1640" spans="1:4" x14ac:dyDescent="0.3">
      <c r="A1640" s="1"/>
      <c r="B1640" s="1" t="str">
        <f>IFERROR(IF(LEFT(Sensitivität_bzw_Monte_Carlo_bei_Strom[[#This Row],[Source.Name]],SEARCH("aus_der",Sensitivität_bzw_Monte_Carlo_bei_Strom[[#This Row],[Source.Name]],1))="Auszahlung_a","Auszahlung",""),"")</f>
        <v/>
      </c>
      <c r="D1640" s="1"/>
    </row>
    <row r="1641" spans="1:4" x14ac:dyDescent="0.3">
      <c r="A1641" s="1"/>
      <c r="B1641" s="1" t="str">
        <f>IFERROR(IF(LEFT(Sensitivität_bzw_Monte_Carlo_bei_Strom[[#This Row],[Source.Name]],SEARCH("aus_der",Sensitivität_bzw_Monte_Carlo_bei_Strom[[#This Row],[Source.Name]],1))="Auszahlung_a","Auszahlung",""),"")</f>
        <v/>
      </c>
      <c r="D1641" s="1"/>
    </row>
    <row r="1642" spans="1:4" x14ac:dyDescent="0.3">
      <c r="A1642" s="1"/>
      <c r="B1642" s="1" t="str">
        <f>IFERROR(IF(LEFT(Sensitivität_bzw_Monte_Carlo_bei_Strom[[#This Row],[Source.Name]],SEARCH("aus_der",Sensitivität_bzw_Monte_Carlo_bei_Strom[[#This Row],[Source.Name]],1))="Auszahlung_a","Auszahlung",""),"")</f>
        <v/>
      </c>
      <c r="D1642" s="1"/>
    </row>
    <row r="1643" spans="1:4" x14ac:dyDescent="0.3">
      <c r="A1643" s="1"/>
      <c r="B1643" s="1" t="str">
        <f>IFERROR(IF(LEFT(Sensitivität_bzw_Monte_Carlo_bei_Strom[[#This Row],[Source.Name]],SEARCH("aus_der",Sensitivität_bzw_Monte_Carlo_bei_Strom[[#This Row],[Source.Name]],1))="Auszahlung_a","Auszahlung",""),"")</f>
        <v/>
      </c>
      <c r="D1643" s="1"/>
    </row>
    <row r="1644" spans="1:4" x14ac:dyDescent="0.3">
      <c r="A1644" s="1"/>
      <c r="B1644" s="1" t="str">
        <f>IFERROR(IF(LEFT(Sensitivität_bzw_Monte_Carlo_bei_Strom[[#This Row],[Source.Name]],SEARCH("aus_der",Sensitivität_bzw_Monte_Carlo_bei_Strom[[#This Row],[Source.Name]],1))="Auszahlung_a","Auszahlung",""),"")</f>
        <v/>
      </c>
      <c r="D1644" s="1"/>
    </row>
    <row r="1645" spans="1:4" x14ac:dyDescent="0.3">
      <c r="A1645" s="1"/>
      <c r="B1645" s="1" t="str">
        <f>IFERROR(IF(LEFT(Sensitivität_bzw_Monte_Carlo_bei_Strom[[#This Row],[Source.Name]],SEARCH("aus_der",Sensitivität_bzw_Monte_Carlo_bei_Strom[[#This Row],[Source.Name]],1))="Auszahlung_a","Auszahlung",""),"")</f>
        <v/>
      </c>
      <c r="D1645" s="1"/>
    </row>
    <row r="1646" spans="1:4" x14ac:dyDescent="0.3">
      <c r="A1646" s="1"/>
      <c r="B1646" s="1" t="str">
        <f>IFERROR(IF(LEFT(Sensitivität_bzw_Monte_Carlo_bei_Strom[[#This Row],[Source.Name]],SEARCH("aus_der",Sensitivität_bzw_Monte_Carlo_bei_Strom[[#This Row],[Source.Name]],1))="Auszahlung_a","Auszahlung",""),"")</f>
        <v/>
      </c>
      <c r="D1646" s="1"/>
    </row>
    <row r="1647" spans="1:4" x14ac:dyDescent="0.3">
      <c r="A1647" s="1"/>
      <c r="B1647" s="1" t="str">
        <f>IFERROR(IF(LEFT(Sensitivität_bzw_Monte_Carlo_bei_Strom[[#This Row],[Source.Name]],SEARCH("aus_der",Sensitivität_bzw_Monte_Carlo_bei_Strom[[#This Row],[Source.Name]],1))="Auszahlung_a","Auszahlung",""),"")</f>
        <v/>
      </c>
      <c r="D1647" s="1"/>
    </row>
    <row r="1648" spans="1:4" x14ac:dyDescent="0.3">
      <c r="A1648" s="1"/>
      <c r="B1648" s="1" t="str">
        <f>IFERROR(IF(LEFT(Sensitivität_bzw_Monte_Carlo_bei_Strom[[#This Row],[Source.Name]],SEARCH("aus_der",Sensitivität_bzw_Monte_Carlo_bei_Strom[[#This Row],[Source.Name]],1))="Auszahlung_a","Auszahlung",""),"")</f>
        <v/>
      </c>
      <c r="D1648" s="1"/>
    </row>
    <row r="1649" spans="1:4" x14ac:dyDescent="0.3">
      <c r="A1649" s="1"/>
      <c r="B1649" s="1" t="str">
        <f>IFERROR(IF(LEFT(Sensitivität_bzw_Monte_Carlo_bei_Strom[[#This Row],[Source.Name]],SEARCH("aus_der",Sensitivität_bzw_Monte_Carlo_bei_Strom[[#This Row],[Source.Name]],1))="Auszahlung_a","Auszahlung",""),"")</f>
        <v/>
      </c>
      <c r="D1649" s="1"/>
    </row>
    <row r="1650" spans="1:4" x14ac:dyDescent="0.3">
      <c r="A1650" s="1"/>
      <c r="B1650" s="1" t="str">
        <f>IFERROR(IF(LEFT(Sensitivität_bzw_Monte_Carlo_bei_Strom[[#This Row],[Source.Name]],SEARCH("aus_der",Sensitivität_bzw_Monte_Carlo_bei_Strom[[#This Row],[Source.Name]],1))="Auszahlung_a","Auszahlung",""),"")</f>
        <v/>
      </c>
      <c r="D1650" s="1"/>
    </row>
    <row r="1651" spans="1:4" x14ac:dyDescent="0.3">
      <c r="A1651" s="1"/>
      <c r="B1651" s="1" t="str">
        <f>IFERROR(IF(LEFT(Sensitivität_bzw_Monte_Carlo_bei_Strom[[#This Row],[Source.Name]],SEARCH("aus_der",Sensitivität_bzw_Monte_Carlo_bei_Strom[[#This Row],[Source.Name]],1))="Auszahlung_a","Auszahlung",""),"")</f>
        <v/>
      </c>
      <c r="D1651" s="1"/>
    </row>
    <row r="1652" spans="1:4" x14ac:dyDescent="0.3">
      <c r="A1652" s="1"/>
      <c r="B1652" s="1" t="str">
        <f>IFERROR(IF(LEFT(Sensitivität_bzw_Monte_Carlo_bei_Strom[[#This Row],[Source.Name]],SEARCH("aus_der",Sensitivität_bzw_Monte_Carlo_bei_Strom[[#This Row],[Source.Name]],1))="Auszahlung_a","Auszahlung",""),"")</f>
        <v/>
      </c>
      <c r="D1652" s="1"/>
    </row>
    <row r="1653" spans="1:4" x14ac:dyDescent="0.3">
      <c r="A1653" s="1"/>
      <c r="B1653" s="1" t="str">
        <f>IFERROR(IF(LEFT(Sensitivität_bzw_Monte_Carlo_bei_Strom[[#This Row],[Source.Name]],SEARCH("aus_der",Sensitivität_bzw_Monte_Carlo_bei_Strom[[#This Row],[Source.Name]],1))="Auszahlung_a","Auszahlung",""),"")</f>
        <v/>
      </c>
      <c r="D1653" s="1"/>
    </row>
    <row r="1654" spans="1:4" x14ac:dyDescent="0.3">
      <c r="A1654" s="1"/>
      <c r="B1654" s="1" t="str">
        <f>IFERROR(IF(LEFT(Sensitivität_bzw_Monte_Carlo_bei_Strom[[#This Row],[Source.Name]],SEARCH("aus_der",Sensitivität_bzw_Monte_Carlo_bei_Strom[[#This Row],[Source.Name]],1))="Auszahlung_a","Auszahlung",""),"")</f>
        <v/>
      </c>
      <c r="D1654" s="1"/>
    </row>
    <row r="1655" spans="1:4" x14ac:dyDescent="0.3">
      <c r="A1655" s="1"/>
      <c r="B1655" s="1" t="str">
        <f>IFERROR(IF(LEFT(Sensitivität_bzw_Monte_Carlo_bei_Strom[[#This Row],[Source.Name]],SEARCH("aus_der",Sensitivität_bzw_Monte_Carlo_bei_Strom[[#This Row],[Source.Name]],1))="Auszahlung_a","Auszahlung",""),"")</f>
        <v/>
      </c>
      <c r="D1655" s="1"/>
    </row>
    <row r="1656" spans="1:4" x14ac:dyDescent="0.3">
      <c r="A1656" s="1"/>
      <c r="B1656" s="1" t="str">
        <f>IFERROR(IF(LEFT(Sensitivität_bzw_Monte_Carlo_bei_Strom[[#This Row],[Source.Name]],SEARCH("aus_der",Sensitivität_bzw_Monte_Carlo_bei_Strom[[#This Row],[Source.Name]],1))="Auszahlung_a","Auszahlung",""),"")</f>
        <v/>
      </c>
      <c r="D1656" s="1"/>
    </row>
    <row r="1657" spans="1:4" x14ac:dyDescent="0.3">
      <c r="A1657" s="1"/>
      <c r="B1657" s="1" t="str">
        <f>IFERROR(IF(LEFT(Sensitivität_bzw_Monte_Carlo_bei_Strom[[#This Row],[Source.Name]],SEARCH("aus_der",Sensitivität_bzw_Monte_Carlo_bei_Strom[[#This Row],[Source.Name]],1))="Auszahlung_a","Auszahlung",""),"")</f>
        <v/>
      </c>
      <c r="D1657" s="1"/>
    </row>
    <row r="1658" spans="1:4" x14ac:dyDescent="0.3">
      <c r="A1658" s="1"/>
      <c r="B1658" s="1" t="str">
        <f>IFERROR(IF(LEFT(Sensitivität_bzw_Monte_Carlo_bei_Strom[[#This Row],[Source.Name]],SEARCH("aus_der",Sensitivität_bzw_Monte_Carlo_bei_Strom[[#This Row],[Source.Name]],1))="Auszahlung_a","Auszahlung",""),"")</f>
        <v/>
      </c>
      <c r="D1658" s="1"/>
    </row>
    <row r="1659" spans="1:4" x14ac:dyDescent="0.3">
      <c r="A1659" s="1"/>
      <c r="B1659" s="1" t="str">
        <f>IFERROR(IF(LEFT(Sensitivität_bzw_Monte_Carlo_bei_Strom[[#This Row],[Source.Name]],SEARCH("aus_der",Sensitivität_bzw_Monte_Carlo_bei_Strom[[#This Row],[Source.Name]],1))="Auszahlung_a","Auszahlung",""),"")</f>
        <v/>
      </c>
      <c r="D1659" s="1"/>
    </row>
    <row r="1660" spans="1:4" x14ac:dyDescent="0.3">
      <c r="A1660" s="1"/>
      <c r="B1660" s="1" t="str">
        <f>IFERROR(IF(LEFT(Sensitivität_bzw_Monte_Carlo_bei_Strom[[#This Row],[Source.Name]],SEARCH("aus_der",Sensitivität_bzw_Monte_Carlo_bei_Strom[[#This Row],[Source.Name]],1))="Auszahlung_a","Auszahlung",""),"")</f>
        <v/>
      </c>
      <c r="D1660" s="1"/>
    </row>
    <row r="1661" spans="1:4" x14ac:dyDescent="0.3">
      <c r="A1661" s="1"/>
      <c r="B1661" s="1" t="str">
        <f>IFERROR(IF(LEFT(Sensitivität_bzw_Monte_Carlo_bei_Strom[[#This Row],[Source.Name]],SEARCH("aus_der",Sensitivität_bzw_Monte_Carlo_bei_Strom[[#This Row],[Source.Name]],1))="Auszahlung_a","Auszahlung",""),"")</f>
        <v/>
      </c>
      <c r="D1661" s="1"/>
    </row>
    <row r="1662" spans="1:4" x14ac:dyDescent="0.3">
      <c r="A1662" s="1"/>
      <c r="B1662" s="1" t="str">
        <f>IFERROR(IF(LEFT(Sensitivität_bzw_Monte_Carlo_bei_Strom[[#This Row],[Source.Name]],SEARCH("aus_der",Sensitivität_bzw_Monte_Carlo_bei_Strom[[#This Row],[Source.Name]],1))="Auszahlung_a","Auszahlung",""),"")</f>
        <v/>
      </c>
      <c r="D1662" s="1"/>
    </row>
    <row r="1663" spans="1:4" x14ac:dyDescent="0.3">
      <c r="A1663" s="1"/>
      <c r="B1663" s="1" t="str">
        <f>IFERROR(IF(LEFT(Sensitivität_bzw_Monte_Carlo_bei_Strom[[#This Row],[Source.Name]],SEARCH("aus_der",Sensitivität_bzw_Monte_Carlo_bei_Strom[[#This Row],[Source.Name]],1))="Auszahlung_a","Auszahlung",""),"")</f>
        <v/>
      </c>
      <c r="D1663" s="1"/>
    </row>
    <row r="1664" spans="1:4" x14ac:dyDescent="0.3">
      <c r="A1664" s="1"/>
      <c r="B1664" s="1" t="str">
        <f>IFERROR(IF(LEFT(Sensitivität_bzw_Monte_Carlo_bei_Strom[[#This Row],[Source.Name]],SEARCH("aus_der",Sensitivität_bzw_Monte_Carlo_bei_Strom[[#This Row],[Source.Name]],1))="Auszahlung_a","Auszahlung",""),"")</f>
        <v/>
      </c>
      <c r="D1664" s="1"/>
    </row>
    <row r="1665" spans="1:4" x14ac:dyDescent="0.3">
      <c r="A1665" s="1"/>
      <c r="B1665" s="1" t="str">
        <f>IFERROR(IF(LEFT(Sensitivität_bzw_Monte_Carlo_bei_Strom[[#This Row],[Source.Name]],SEARCH("aus_der",Sensitivität_bzw_Monte_Carlo_bei_Strom[[#This Row],[Source.Name]],1))="Auszahlung_a","Auszahlung",""),"")</f>
        <v/>
      </c>
      <c r="D1665" s="1"/>
    </row>
    <row r="1666" spans="1:4" x14ac:dyDescent="0.3">
      <c r="A1666" s="1"/>
      <c r="B1666" s="1" t="str">
        <f>IFERROR(IF(LEFT(Sensitivität_bzw_Monte_Carlo_bei_Strom[[#This Row],[Source.Name]],SEARCH("aus_der",Sensitivität_bzw_Monte_Carlo_bei_Strom[[#This Row],[Source.Name]],1))="Auszahlung_a","Auszahlung",""),"")</f>
        <v/>
      </c>
      <c r="D1666" s="1"/>
    </row>
    <row r="1667" spans="1:4" x14ac:dyDescent="0.3">
      <c r="A1667" s="1"/>
      <c r="B1667" s="1" t="str">
        <f>IFERROR(IF(LEFT(Sensitivität_bzw_Monte_Carlo_bei_Strom[[#This Row],[Source.Name]],SEARCH("aus_der",Sensitivität_bzw_Monte_Carlo_bei_Strom[[#This Row],[Source.Name]],1))="Auszahlung_a","Auszahlung",""),"")</f>
        <v/>
      </c>
      <c r="D1667" s="1"/>
    </row>
    <row r="1668" spans="1:4" x14ac:dyDescent="0.3">
      <c r="A1668" s="1"/>
      <c r="B1668" s="1" t="str">
        <f>IFERROR(IF(LEFT(Sensitivität_bzw_Monte_Carlo_bei_Strom[[#This Row],[Source.Name]],SEARCH("aus_der",Sensitivität_bzw_Monte_Carlo_bei_Strom[[#This Row],[Source.Name]],1))="Auszahlung_a","Auszahlung",""),"")</f>
        <v/>
      </c>
      <c r="D1668" s="1"/>
    </row>
    <row r="1669" spans="1:4" x14ac:dyDescent="0.3">
      <c r="A1669" s="1"/>
      <c r="B1669" s="1" t="str">
        <f>IFERROR(IF(LEFT(Sensitivität_bzw_Monte_Carlo_bei_Strom[[#This Row],[Source.Name]],SEARCH("aus_der",Sensitivität_bzw_Monte_Carlo_bei_Strom[[#This Row],[Source.Name]],1))="Auszahlung_a","Auszahlung",""),"")</f>
        <v/>
      </c>
      <c r="D1669" s="1"/>
    </row>
    <row r="1670" spans="1:4" x14ac:dyDescent="0.3">
      <c r="A1670" s="1"/>
      <c r="B1670" s="1" t="str">
        <f>IFERROR(IF(LEFT(Sensitivität_bzw_Monte_Carlo_bei_Strom[[#This Row],[Source.Name]],SEARCH("aus_der",Sensitivität_bzw_Monte_Carlo_bei_Strom[[#This Row],[Source.Name]],1))="Auszahlung_a","Auszahlung",""),"")</f>
        <v/>
      </c>
      <c r="D1670" s="1"/>
    </row>
    <row r="1671" spans="1:4" x14ac:dyDescent="0.3">
      <c r="A1671" s="1"/>
      <c r="B1671" s="1" t="str">
        <f>IFERROR(IF(LEFT(Sensitivität_bzw_Monte_Carlo_bei_Strom[[#This Row],[Source.Name]],SEARCH("aus_der",Sensitivität_bzw_Monte_Carlo_bei_Strom[[#This Row],[Source.Name]],1))="Auszahlung_a","Auszahlung",""),"")</f>
        <v/>
      </c>
      <c r="D1671" s="1"/>
    </row>
    <row r="1672" spans="1:4" x14ac:dyDescent="0.3">
      <c r="A1672" s="1"/>
      <c r="B1672" s="1" t="str">
        <f>IFERROR(IF(LEFT(Sensitivität_bzw_Monte_Carlo_bei_Strom[[#This Row],[Source.Name]],SEARCH("aus_der",Sensitivität_bzw_Monte_Carlo_bei_Strom[[#This Row],[Source.Name]],1))="Auszahlung_a","Auszahlung",""),"")</f>
        <v/>
      </c>
      <c r="D1672" s="1"/>
    </row>
    <row r="1673" spans="1:4" x14ac:dyDescent="0.3">
      <c r="A1673" s="1"/>
      <c r="B1673" s="1" t="str">
        <f>IFERROR(IF(LEFT(Sensitivität_bzw_Monte_Carlo_bei_Strom[[#This Row],[Source.Name]],SEARCH("aus_der",Sensitivität_bzw_Monte_Carlo_bei_Strom[[#This Row],[Source.Name]],1))="Auszahlung_a","Auszahlung",""),"")</f>
        <v/>
      </c>
      <c r="D1673" s="1"/>
    </row>
    <row r="1674" spans="1:4" x14ac:dyDescent="0.3">
      <c r="A1674" s="1"/>
      <c r="B1674" s="1" t="str">
        <f>IFERROR(IF(LEFT(Sensitivität_bzw_Monte_Carlo_bei_Strom[[#This Row],[Source.Name]],SEARCH("aus_der",Sensitivität_bzw_Monte_Carlo_bei_Strom[[#This Row],[Source.Name]],1))="Auszahlung_a","Auszahlung",""),"")</f>
        <v/>
      </c>
      <c r="D1674" s="1"/>
    </row>
    <row r="1675" spans="1:4" x14ac:dyDescent="0.3">
      <c r="A1675" s="1"/>
      <c r="B1675" s="1" t="str">
        <f>IFERROR(IF(LEFT(Sensitivität_bzw_Monte_Carlo_bei_Strom[[#This Row],[Source.Name]],SEARCH("aus_der",Sensitivität_bzw_Monte_Carlo_bei_Strom[[#This Row],[Source.Name]],1))="Auszahlung_a","Auszahlung",""),"")</f>
        <v/>
      </c>
      <c r="D1675" s="1"/>
    </row>
    <row r="1676" spans="1:4" x14ac:dyDescent="0.3">
      <c r="A1676" s="1"/>
      <c r="B1676" s="1" t="str">
        <f>IFERROR(IF(LEFT(Sensitivität_bzw_Monte_Carlo_bei_Strom[[#This Row],[Source.Name]],SEARCH("aus_der",Sensitivität_bzw_Monte_Carlo_bei_Strom[[#This Row],[Source.Name]],1))="Auszahlung_a","Auszahlung",""),"")</f>
        <v/>
      </c>
      <c r="D1676" s="1"/>
    </row>
    <row r="1677" spans="1:4" x14ac:dyDescent="0.3">
      <c r="A1677" s="1"/>
      <c r="B1677" s="1" t="str">
        <f>IFERROR(IF(LEFT(Sensitivität_bzw_Monte_Carlo_bei_Strom[[#This Row],[Source.Name]],SEARCH("aus_der",Sensitivität_bzw_Monte_Carlo_bei_Strom[[#This Row],[Source.Name]],1))="Auszahlung_a","Auszahlung",""),"")</f>
        <v/>
      </c>
      <c r="D1677" s="1"/>
    </row>
    <row r="1678" spans="1:4" x14ac:dyDescent="0.3">
      <c r="A1678" s="1"/>
      <c r="B1678" s="1" t="str">
        <f>IFERROR(IF(LEFT(Sensitivität_bzw_Monte_Carlo_bei_Strom[[#This Row],[Source.Name]],SEARCH("aus_der",Sensitivität_bzw_Monte_Carlo_bei_Strom[[#This Row],[Source.Name]],1))="Auszahlung_a","Auszahlung",""),"")</f>
        <v/>
      </c>
      <c r="D1678" s="1"/>
    </row>
    <row r="1679" spans="1:4" x14ac:dyDescent="0.3">
      <c r="A1679" s="1"/>
      <c r="B1679" s="1" t="str">
        <f>IFERROR(IF(LEFT(Sensitivität_bzw_Monte_Carlo_bei_Strom[[#This Row],[Source.Name]],SEARCH("aus_der",Sensitivität_bzw_Monte_Carlo_bei_Strom[[#This Row],[Source.Name]],1))="Auszahlung_a","Auszahlung",""),"")</f>
        <v/>
      </c>
      <c r="D1679" s="1"/>
    </row>
    <row r="1680" spans="1:4" x14ac:dyDescent="0.3">
      <c r="A1680" s="1"/>
      <c r="B1680" s="1" t="str">
        <f>IFERROR(IF(LEFT(Sensitivität_bzw_Monte_Carlo_bei_Strom[[#This Row],[Source.Name]],SEARCH("aus_der",Sensitivität_bzw_Monte_Carlo_bei_Strom[[#This Row],[Source.Name]],1))="Auszahlung_a","Auszahlung",""),"")</f>
        <v/>
      </c>
      <c r="D1680" s="1"/>
    </row>
    <row r="1681" spans="1:4" x14ac:dyDescent="0.3">
      <c r="A1681" s="1"/>
      <c r="B1681" s="1" t="str">
        <f>IFERROR(IF(LEFT(Sensitivität_bzw_Monte_Carlo_bei_Strom[[#This Row],[Source.Name]],SEARCH("aus_der",Sensitivität_bzw_Monte_Carlo_bei_Strom[[#This Row],[Source.Name]],1))="Auszahlung_a","Auszahlung",""),"")</f>
        <v/>
      </c>
      <c r="D1681" s="1"/>
    </row>
    <row r="1682" spans="1:4" x14ac:dyDescent="0.3">
      <c r="A1682" s="1"/>
      <c r="B1682" s="1" t="str">
        <f>IFERROR(IF(LEFT(Sensitivität_bzw_Monte_Carlo_bei_Strom[[#This Row],[Source.Name]],SEARCH("aus_der",Sensitivität_bzw_Monte_Carlo_bei_Strom[[#This Row],[Source.Name]],1))="Auszahlung_a","Auszahlung",""),"")</f>
        <v/>
      </c>
      <c r="D1682" s="1"/>
    </row>
    <row r="1683" spans="1:4" x14ac:dyDescent="0.3">
      <c r="A1683" s="1"/>
      <c r="B1683" s="1" t="str">
        <f>IFERROR(IF(LEFT(Sensitivität_bzw_Monte_Carlo_bei_Strom[[#This Row],[Source.Name]],SEARCH("aus_der",Sensitivität_bzw_Monte_Carlo_bei_Strom[[#This Row],[Source.Name]],1))="Auszahlung_a","Auszahlung",""),"")</f>
        <v/>
      </c>
      <c r="D1683" s="1"/>
    </row>
    <row r="1684" spans="1:4" x14ac:dyDescent="0.3">
      <c r="A1684" s="1"/>
      <c r="B1684" s="1" t="str">
        <f>IFERROR(IF(LEFT(Sensitivität_bzw_Monte_Carlo_bei_Strom[[#This Row],[Source.Name]],SEARCH("aus_der",Sensitivität_bzw_Monte_Carlo_bei_Strom[[#This Row],[Source.Name]],1))="Auszahlung_a","Auszahlung",""),"")</f>
        <v/>
      </c>
      <c r="D1684" s="1"/>
    </row>
    <row r="1685" spans="1:4" x14ac:dyDescent="0.3">
      <c r="A1685" s="1"/>
      <c r="B1685" s="1" t="str">
        <f>IFERROR(IF(LEFT(Sensitivität_bzw_Monte_Carlo_bei_Strom[[#This Row],[Source.Name]],SEARCH("aus_der",Sensitivität_bzw_Monte_Carlo_bei_Strom[[#This Row],[Source.Name]],1))="Auszahlung_a","Auszahlung",""),"")</f>
        <v/>
      </c>
      <c r="D1685" s="1"/>
    </row>
    <row r="1686" spans="1:4" x14ac:dyDescent="0.3">
      <c r="A1686" s="1"/>
      <c r="B1686" s="1" t="str">
        <f>IFERROR(IF(LEFT(Sensitivität_bzw_Monte_Carlo_bei_Strom[[#This Row],[Source.Name]],SEARCH("aus_der",Sensitivität_bzw_Monte_Carlo_bei_Strom[[#This Row],[Source.Name]],1))="Auszahlung_a","Auszahlung",""),"")</f>
        <v/>
      </c>
      <c r="D1686" s="1"/>
    </row>
    <row r="1687" spans="1:4" x14ac:dyDescent="0.3">
      <c r="A1687" s="1"/>
      <c r="B1687" s="1" t="str">
        <f>IFERROR(IF(LEFT(Sensitivität_bzw_Monte_Carlo_bei_Strom[[#This Row],[Source.Name]],SEARCH("aus_der",Sensitivität_bzw_Monte_Carlo_bei_Strom[[#This Row],[Source.Name]],1))="Auszahlung_a","Auszahlung",""),"")</f>
        <v/>
      </c>
      <c r="D1687" s="1"/>
    </row>
    <row r="1688" spans="1:4" x14ac:dyDescent="0.3">
      <c r="A1688" s="1"/>
      <c r="B1688" s="1" t="str">
        <f>IFERROR(IF(LEFT(Sensitivität_bzw_Monte_Carlo_bei_Strom[[#This Row],[Source.Name]],SEARCH("aus_der",Sensitivität_bzw_Monte_Carlo_bei_Strom[[#This Row],[Source.Name]],1))="Auszahlung_a","Auszahlung",""),"")</f>
        <v/>
      </c>
      <c r="D1688" s="1"/>
    </row>
    <row r="1689" spans="1:4" x14ac:dyDescent="0.3">
      <c r="A1689" s="1"/>
      <c r="B1689" s="1" t="str">
        <f>IFERROR(IF(LEFT(Sensitivität_bzw_Monte_Carlo_bei_Strom[[#This Row],[Source.Name]],SEARCH("aus_der",Sensitivität_bzw_Monte_Carlo_bei_Strom[[#This Row],[Source.Name]],1))="Auszahlung_a","Auszahlung",""),"")</f>
        <v/>
      </c>
      <c r="D1689" s="1"/>
    </row>
    <row r="1690" spans="1:4" x14ac:dyDescent="0.3">
      <c r="A1690" s="1"/>
      <c r="B1690" s="1" t="str">
        <f>IFERROR(IF(LEFT(Sensitivität_bzw_Monte_Carlo_bei_Strom[[#This Row],[Source.Name]],SEARCH("aus_der",Sensitivität_bzw_Monte_Carlo_bei_Strom[[#This Row],[Source.Name]],1))="Auszahlung_a","Auszahlung",""),"")</f>
        <v/>
      </c>
      <c r="D1690" s="1"/>
    </row>
    <row r="1691" spans="1:4" x14ac:dyDescent="0.3">
      <c r="A1691" s="1"/>
      <c r="B1691" s="1" t="str">
        <f>IFERROR(IF(LEFT(Sensitivität_bzw_Monte_Carlo_bei_Strom[[#This Row],[Source.Name]],SEARCH("aus_der",Sensitivität_bzw_Monte_Carlo_bei_Strom[[#This Row],[Source.Name]],1))="Auszahlung_a","Auszahlung",""),"")</f>
        <v/>
      </c>
      <c r="D1691" s="1"/>
    </row>
    <row r="1692" spans="1:4" x14ac:dyDescent="0.3">
      <c r="A1692" s="1"/>
      <c r="B1692" s="1" t="str">
        <f>IFERROR(IF(LEFT(Sensitivität_bzw_Monte_Carlo_bei_Strom[[#This Row],[Source.Name]],SEARCH("aus_der",Sensitivität_bzw_Monte_Carlo_bei_Strom[[#This Row],[Source.Name]],1))="Auszahlung_a","Auszahlung",""),"")</f>
        <v/>
      </c>
      <c r="D1692" s="1"/>
    </row>
    <row r="1693" spans="1:4" x14ac:dyDescent="0.3">
      <c r="A1693" s="1"/>
      <c r="B1693" s="1" t="str">
        <f>IFERROR(IF(LEFT(Sensitivität_bzw_Monte_Carlo_bei_Strom[[#This Row],[Source.Name]],SEARCH("aus_der",Sensitivität_bzw_Monte_Carlo_bei_Strom[[#This Row],[Source.Name]],1))="Auszahlung_a","Auszahlung",""),"")</f>
        <v/>
      </c>
      <c r="D1693" s="1"/>
    </row>
    <row r="1694" spans="1:4" x14ac:dyDescent="0.3">
      <c r="A1694" s="1"/>
      <c r="B1694" s="1" t="str">
        <f>IFERROR(IF(LEFT(Sensitivität_bzw_Monte_Carlo_bei_Strom[[#This Row],[Source.Name]],SEARCH("aus_der",Sensitivität_bzw_Monte_Carlo_bei_Strom[[#This Row],[Source.Name]],1))="Auszahlung_a","Auszahlung",""),"")</f>
        <v/>
      </c>
      <c r="D1694" s="1"/>
    </row>
    <row r="1695" spans="1:4" x14ac:dyDescent="0.3">
      <c r="A1695" s="1"/>
      <c r="B1695" s="1" t="str">
        <f>IFERROR(IF(LEFT(Sensitivität_bzw_Monte_Carlo_bei_Strom[[#This Row],[Source.Name]],SEARCH("aus_der",Sensitivität_bzw_Monte_Carlo_bei_Strom[[#This Row],[Source.Name]],1))="Auszahlung_a","Auszahlung",""),"")</f>
        <v/>
      </c>
      <c r="D1695" s="1"/>
    </row>
    <row r="1696" spans="1:4" x14ac:dyDescent="0.3">
      <c r="A1696" s="1"/>
      <c r="B1696" s="1" t="str">
        <f>IFERROR(IF(LEFT(Sensitivität_bzw_Monte_Carlo_bei_Strom[[#This Row],[Source.Name]],SEARCH("aus_der",Sensitivität_bzw_Monte_Carlo_bei_Strom[[#This Row],[Source.Name]],1))="Auszahlung_a","Auszahlung",""),"")</f>
        <v/>
      </c>
      <c r="D1696" s="1"/>
    </row>
    <row r="1697" spans="1:4" x14ac:dyDescent="0.3">
      <c r="A1697" s="1"/>
      <c r="B1697" s="1" t="str">
        <f>IFERROR(IF(LEFT(Sensitivität_bzw_Monte_Carlo_bei_Strom[[#This Row],[Source.Name]],SEARCH("aus_der",Sensitivität_bzw_Monte_Carlo_bei_Strom[[#This Row],[Source.Name]],1))="Auszahlung_a","Auszahlung",""),"")</f>
        <v/>
      </c>
      <c r="D1697" s="1"/>
    </row>
    <row r="1698" spans="1:4" x14ac:dyDescent="0.3">
      <c r="A1698" s="1"/>
      <c r="B1698" s="1" t="str">
        <f>IFERROR(IF(LEFT(Sensitivität_bzw_Monte_Carlo_bei_Strom[[#This Row],[Source.Name]],SEARCH("aus_der",Sensitivität_bzw_Monte_Carlo_bei_Strom[[#This Row],[Source.Name]],1))="Auszahlung_a","Auszahlung",""),"")</f>
        <v/>
      </c>
      <c r="D1698" s="1"/>
    </row>
    <row r="1699" spans="1:4" x14ac:dyDescent="0.3">
      <c r="A1699" s="1"/>
      <c r="B1699" s="1" t="str">
        <f>IFERROR(IF(LEFT(Sensitivität_bzw_Monte_Carlo_bei_Strom[[#This Row],[Source.Name]],SEARCH("aus_der",Sensitivität_bzw_Monte_Carlo_bei_Strom[[#This Row],[Source.Name]],1))="Auszahlung_a","Auszahlung",""),"")</f>
        <v/>
      </c>
      <c r="D1699" s="1"/>
    </row>
    <row r="1700" spans="1:4" x14ac:dyDescent="0.3">
      <c r="A1700" s="1"/>
      <c r="B1700" s="1" t="str">
        <f>IFERROR(IF(LEFT(Sensitivität_bzw_Monte_Carlo_bei_Strom[[#This Row],[Source.Name]],SEARCH("aus_der",Sensitivität_bzw_Monte_Carlo_bei_Strom[[#This Row],[Source.Name]],1))="Auszahlung_a","Auszahlung",""),"")</f>
        <v/>
      </c>
      <c r="D1700" s="1"/>
    </row>
    <row r="1701" spans="1:4" x14ac:dyDescent="0.3">
      <c r="A1701" s="1"/>
      <c r="B1701" s="1" t="str">
        <f>IFERROR(IF(LEFT(Sensitivität_bzw_Monte_Carlo_bei_Strom[[#This Row],[Source.Name]],SEARCH("aus_der",Sensitivität_bzw_Monte_Carlo_bei_Strom[[#This Row],[Source.Name]],1))="Auszahlung_a","Auszahlung",""),"")</f>
        <v/>
      </c>
      <c r="D1701" s="1"/>
    </row>
    <row r="1702" spans="1:4" x14ac:dyDescent="0.3">
      <c r="A1702" s="1"/>
      <c r="B1702" s="1" t="str">
        <f>IFERROR(IF(LEFT(Sensitivität_bzw_Monte_Carlo_bei_Strom[[#This Row],[Source.Name]],SEARCH("aus_der",Sensitivität_bzw_Monte_Carlo_bei_Strom[[#This Row],[Source.Name]],1))="Auszahlung_a","Auszahlung",""),"")</f>
        <v/>
      </c>
      <c r="D1702" s="1"/>
    </row>
    <row r="1703" spans="1:4" x14ac:dyDescent="0.3">
      <c r="A1703" s="1"/>
      <c r="B1703" s="1" t="str">
        <f>IFERROR(IF(LEFT(Sensitivität_bzw_Monte_Carlo_bei_Strom[[#This Row],[Source.Name]],SEARCH("aus_der",Sensitivität_bzw_Monte_Carlo_bei_Strom[[#This Row],[Source.Name]],1))="Auszahlung_a","Auszahlung",""),"")</f>
        <v/>
      </c>
      <c r="D1703" s="1"/>
    </row>
    <row r="1704" spans="1:4" x14ac:dyDescent="0.3">
      <c r="A1704" s="1"/>
      <c r="B1704" s="1" t="str">
        <f>IFERROR(IF(LEFT(Sensitivität_bzw_Monte_Carlo_bei_Strom[[#This Row],[Source.Name]],SEARCH("aus_der",Sensitivität_bzw_Monte_Carlo_bei_Strom[[#This Row],[Source.Name]],1))="Auszahlung_a","Auszahlung",""),"")</f>
        <v/>
      </c>
      <c r="D1704" s="1"/>
    </row>
    <row r="1705" spans="1:4" x14ac:dyDescent="0.3">
      <c r="A1705" s="1"/>
      <c r="B1705" s="1" t="str">
        <f>IFERROR(IF(LEFT(Sensitivität_bzw_Monte_Carlo_bei_Strom[[#This Row],[Source.Name]],SEARCH("aus_der",Sensitivität_bzw_Monte_Carlo_bei_Strom[[#This Row],[Source.Name]],1))="Auszahlung_a","Auszahlung",""),"")</f>
        <v/>
      </c>
      <c r="D1705" s="1"/>
    </row>
    <row r="1706" spans="1:4" x14ac:dyDescent="0.3">
      <c r="A1706" s="1"/>
      <c r="B1706" s="1" t="str">
        <f>IFERROR(IF(LEFT(Sensitivität_bzw_Monte_Carlo_bei_Strom[[#This Row],[Source.Name]],SEARCH("aus_der",Sensitivität_bzw_Monte_Carlo_bei_Strom[[#This Row],[Source.Name]],1))="Auszahlung_a","Auszahlung",""),"")</f>
        <v/>
      </c>
      <c r="D1706" s="1"/>
    </row>
    <row r="1707" spans="1:4" x14ac:dyDescent="0.3">
      <c r="A1707" s="1"/>
      <c r="B1707" s="1" t="str">
        <f>IFERROR(IF(LEFT(Sensitivität_bzw_Monte_Carlo_bei_Strom[[#This Row],[Source.Name]],SEARCH("aus_der",Sensitivität_bzw_Monte_Carlo_bei_Strom[[#This Row],[Source.Name]],1))="Auszahlung_a","Auszahlung",""),"")</f>
        <v/>
      </c>
      <c r="D1707" s="1"/>
    </row>
    <row r="1708" spans="1:4" x14ac:dyDescent="0.3">
      <c r="A1708" s="1"/>
      <c r="B1708" s="1" t="str">
        <f>IFERROR(IF(LEFT(Sensitivität_bzw_Monte_Carlo_bei_Strom[[#This Row],[Source.Name]],SEARCH("aus_der",Sensitivität_bzw_Monte_Carlo_bei_Strom[[#This Row],[Source.Name]],1))="Auszahlung_a","Auszahlung",""),"")</f>
        <v/>
      </c>
      <c r="D1708" s="1"/>
    </row>
    <row r="1709" spans="1:4" x14ac:dyDescent="0.3">
      <c r="A1709" s="1"/>
      <c r="B1709" s="1" t="str">
        <f>IFERROR(IF(LEFT(Sensitivität_bzw_Monte_Carlo_bei_Strom[[#This Row],[Source.Name]],SEARCH("aus_der",Sensitivität_bzw_Monte_Carlo_bei_Strom[[#This Row],[Source.Name]],1))="Auszahlung_a","Auszahlung",""),"")</f>
        <v/>
      </c>
      <c r="D1709" s="1"/>
    </row>
    <row r="1710" spans="1:4" x14ac:dyDescent="0.3">
      <c r="A1710" s="1"/>
      <c r="B1710" s="1" t="str">
        <f>IFERROR(IF(LEFT(Sensitivität_bzw_Monte_Carlo_bei_Strom[[#This Row],[Source.Name]],SEARCH("aus_der",Sensitivität_bzw_Monte_Carlo_bei_Strom[[#This Row],[Source.Name]],1))="Auszahlung_a","Auszahlung",""),"")</f>
        <v/>
      </c>
      <c r="D1710" s="1"/>
    </row>
    <row r="1711" spans="1:4" x14ac:dyDescent="0.3">
      <c r="A1711" s="1"/>
      <c r="B1711" s="1" t="str">
        <f>IFERROR(IF(LEFT(Sensitivität_bzw_Monte_Carlo_bei_Strom[[#This Row],[Source.Name]],SEARCH("aus_der",Sensitivität_bzw_Monte_Carlo_bei_Strom[[#This Row],[Source.Name]],1))="Auszahlung_a","Auszahlung",""),"")</f>
        <v/>
      </c>
      <c r="D1711" s="1"/>
    </row>
    <row r="1712" spans="1:4" x14ac:dyDescent="0.3">
      <c r="A1712" s="1"/>
      <c r="B1712" s="1" t="str">
        <f>IFERROR(IF(LEFT(Sensitivität_bzw_Monte_Carlo_bei_Strom[[#This Row],[Source.Name]],SEARCH("aus_der",Sensitivität_bzw_Monte_Carlo_bei_Strom[[#This Row],[Source.Name]],1))="Auszahlung_a","Auszahlung",""),"")</f>
        <v/>
      </c>
      <c r="D1712" s="1"/>
    </row>
    <row r="1713" spans="1:4" x14ac:dyDescent="0.3">
      <c r="A1713" s="1"/>
      <c r="B1713" s="1" t="str">
        <f>IFERROR(IF(LEFT(Sensitivität_bzw_Monte_Carlo_bei_Strom[[#This Row],[Source.Name]],SEARCH("aus_der",Sensitivität_bzw_Monte_Carlo_bei_Strom[[#This Row],[Source.Name]],1))="Auszahlung_a","Auszahlung",""),"")</f>
        <v/>
      </c>
      <c r="D1713" s="1"/>
    </row>
    <row r="1714" spans="1:4" x14ac:dyDescent="0.3">
      <c r="A1714" s="1"/>
      <c r="B1714" s="1" t="str">
        <f>IFERROR(IF(LEFT(Sensitivität_bzw_Monte_Carlo_bei_Strom[[#This Row],[Source.Name]],SEARCH("aus_der",Sensitivität_bzw_Monte_Carlo_bei_Strom[[#This Row],[Source.Name]],1))="Auszahlung_a","Auszahlung",""),"")</f>
        <v/>
      </c>
      <c r="D1714" s="1"/>
    </row>
    <row r="1715" spans="1:4" x14ac:dyDescent="0.3">
      <c r="A1715" s="1"/>
      <c r="B1715" s="1" t="str">
        <f>IFERROR(IF(LEFT(Sensitivität_bzw_Monte_Carlo_bei_Strom[[#This Row],[Source.Name]],SEARCH("aus_der",Sensitivität_bzw_Monte_Carlo_bei_Strom[[#This Row],[Source.Name]],1))="Auszahlung_a","Auszahlung",""),"")</f>
        <v/>
      </c>
      <c r="D1715" s="1"/>
    </row>
    <row r="1716" spans="1:4" x14ac:dyDescent="0.3">
      <c r="A1716" s="1"/>
      <c r="B1716" s="1" t="str">
        <f>IFERROR(IF(LEFT(Sensitivität_bzw_Monte_Carlo_bei_Strom[[#This Row],[Source.Name]],SEARCH("aus_der",Sensitivität_bzw_Monte_Carlo_bei_Strom[[#This Row],[Source.Name]],1))="Auszahlung_a","Auszahlung",""),"")</f>
        <v/>
      </c>
      <c r="D1716" s="1"/>
    </row>
    <row r="1717" spans="1:4" x14ac:dyDescent="0.3">
      <c r="A1717" s="1"/>
      <c r="B1717" s="1" t="str">
        <f>IFERROR(IF(LEFT(Sensitivität_bzw_Monte_Carlo_bei_Strom[[#This Row],[Source.Name]],SEARCH("aus_der",Sensitivität_bzw_Monte_Carlo_bei_Strom[[#This Row],[Source.Name]],1))="Auszahlung_a","Auszahlung",""),"")</f>
        <v/>
      </c>
      <c r="D1717" s="1"/>
    </row>
    <row r="1718" spans="1:4" x14ac:dyDescent="0.3">
      <c r="A1718" s="1"/>
      <c r="B1718" s="1" t="str">
        <f>IFERROR(IF(LEFT(Sensitivität_bzw_Monte_Carlo_bei_Strom[[#This Row],[Source.Name]],SEARCH("aus_der",Sensitivität_bzw_Monte_Carlo_bei_Strom[[#This Row],[Source.Name]],1))="Auszahlung_a","Auszahlung",""),"")</f>
        <v/>
      </c>
      <c r="D1718" s="1"/>
    </row>
    <row r="1719" spans="1:4" x14ac:dyDescent="0.3">
      <c r="A1719" s="1"/>
      <c r="B1719" s="1" t="str">
        <f>IFERROR(IF(LEFT(Sensitivität_bzw_Monte_Carlo_bei_Strom[[#This Row],[Source.Name]],SEARCH("aus_der",Sensitivität_bzw_Monte_Carlo_bei_Strom[[#This Row],[Source.Name]],1))="Auszahlung_a","Auszahlung",""),"")</f>
        <v/>
      </c>
      <c r="D1719" s="1"/>
    </row>
    <row r="1720" spans="1:4" x14ac:dyDescent="0.3">
      <c r="A1720" s="1"/>
      <c r="B1720" s="1" t="str">
        <f>IFERROR(IF(LEFT(Sensitivität_bzw_Monte_Carlo_bei_Strom[[#This Row],[Source.Name]],SEARCH("aus_der",Sensitivität_bzw_Monte_Carlo_bei_Strom[[#This Row],[Source.Name]],1))="Auszahlung_a","Auszahlung",""),"")</f>
        <v/>
      </c>
      <c r="D1720" s="1"/>
    </row>
    <row r="1721" spans="1:4" x14ac:dyDescent="0.3">
      <c r="A1721" s="1"/>
      <c r="B1721" s="1" t="str">
        <f>IFERROR(IF(LEFT(Sensitivität_bzw_Monte_Carlo_bei_Strom[[#This Row],[Source.Name]],SEARCH("aus_der",Sensitivität_bzw_Monte_Carlo_bei_Strom[[#This Row],[Source.Name]],1))="Auszahlung_a","Auszahlung",""),"")</f>
        <v/>
      </c>
      <c r="D1721" s="1"/>
    </row>
    <row r="1722" spans="1:4" x14ac:dyDescent="0.3">
      <c r="A1722" s="1"/>
      <c r="B1722" s="1" t="str">
        <f>IFERROR(IF(LEFT(Sensitivität_bzw_Monte_Carlo_bei_Strom[[#This Row],[Source.Name]],SEARCH("aus_der",Sensitivität_bzw_Monte_Carlo_bei_Strom[[#This Row],[Source.Name]],1))="Auszahlung_a","Auszahlung",""),"")</f>
        <v/>
      </c>
      <c r="D1722" s="1"/>
    </row>
    <row r="1723" spans="1:4" x14ac:dyDescent="0.3">
      <c r="A1723" s="1"/>
      <c r="B1723" s="1" t="str">
        <f>IFERROR(IF(LEFT(Sensitivität_bzw_Monte_Carlo_bei_Strom[[#This Row],[Source.Name]],SEARCH("aus_der",Sensitivität_bzw_Monte_Carlo_bei_Strom[[#This Row],[Source.Name]],1))="Auszahlung_a","Auszahlung",""),"")</f>
        <v/>
      </c>
      <c r="D1723" s="1"/>
    </row>
    <row r="1724" spans="1:4" x14ac:dyDescent="0.3">
      <c r="A1724" s="1"/>
      <c r="B1724" s="1" t="str">
        <f>IFERROR(IF(LEFT(Sensitivität_bzw_Monte_Carlo_bei_Strom[[#This Row],[Source.Name]],SEARCH("aus_der",Sensitivität_bzw_Monte_Carlo_bei_Strom[[#This Row],[Source.Name]],1))="Auszahlung_a","Auszahlung",""),"")</f>
        <v/>
      </c>
      <c r="D1724" s="1"/>
    </row>
    <row r="1725" spans="1:4" x14ac:dyDescent="0.3">
      <c r="A1725" s="1"/>
      <c r="B1725" s="1" t="str">
        <f>IFERROR(IF(LEFT(Sensitivität_bzw_Monte_Carlo_bei_Strom[[#This Row],[Source.Name]],SEARCH("aus_der",Sensitivität_bzw_Monte_Carlo_bei_Strom[[#This Row],[Source.Name]],1))="Auszahlung_a","Auszahlung",""),"")</f>
        <v/>
      </c>
      <c r="D1725" s="1"/>
    </row>
    <row r="1726" spans="1:4" x14ac:dyDescent="0.3">
      <c r="A1726" s="1"/>
      <c r="B1726" s="1" t="str">
        <f>IFERROR(IF(LEFT(Sensitivität_bzw_Monte_Carlo_bei_Strom[[#This Row],[Source.Name]],SEARCH("aus_der",Sensitivität_bzw_Monte_Carlo_bei_Strom[[#This Row],[Source.Name]],1))="Auszahlung_a","Auszahlung",""),"")</f>
        <v/>
      </c>
      <c r="D1726" s="1"/>
    </row>
    <row r="1727" spans="1:4" x14ac:dyDescent="0.3">
      <c r="A1727" s="1"/>
      <c r="B1727" s="1" t="str">
        <f>IFERROR(IF(LEFT(Sensitivität_bzw_Monte_Carlo_bei_Strom[[#This Row],[Source.Name]],SEARCH("aus_der",Sensitivität_bzw_Monte_Carlo_bei_Strom[[#This Row],[Source.Name]],1))="Auszahlung_a","Auszahlung",""),"")</f>
        <v/>
      </c>
      <c r="D1727" s="1"/>
    </row>
    <row r="1728" spans="1:4" x14ac:dyDescent="0.3">
      <c r="A1728" s="1"/>
      <c r="B1728" s="1" t="str">
        <f>IFERROR(IF(LEFT(Sensitivität_bzw_Monte_Carlo_bei_Strom[[#This Row],[Source.Name]],SEARCH("aus_der",Sensitivität_bzw_Monte_Carlo_bei_Strom[[#This Row],[Source.Name]],1))="Auszahlung_a","Auszahlung",""),"")</f>
        <v/>
      </c>
      <c r="D1728" s="1"/>
    </row>
    <row r="1729" spans="1:4" x14ac:dyDescent="0.3">
      <c r="A1729" s="1"/>
      <c r="B1729" s="1" t="str">
        <f>IFERROR(IF(LEFT(Sensitivität_bzw_Monte_Carlo_bei_Strom[[#This Row],[Source.Name]],SEARCH("aus_der",Sensitivität_bzw_Monte_Carlo_bei_Strom[[#This Row],[Source.Name]],1))="Auszahlung_a","Auszahlung",""),"")</f>
        <v/>
      </c>
      <c r="D1729" s="1"/>
    </row>
    <row r="1730" spans="1:4" x14ac:dyDescent="0.3">
      <c r="A1730" s="1"/>
      <c r="B1730" s="1" t="str">
        <f>IFERROR(IF(LEFT(Sensitivität_bzw_Monte_Carlo_bei_Strom[[#This Row],[Source.Name]],SEARCH("aus_der",Sensitivität_bzw_Monte_Carlo_bei_Strom[[#This Row],[Source.Name]],1))="Auszahlung_a","Auszahlung",""),"")</f>
        <v/>
      </c>
      <c r="D1730" s="1"/>
    </row>
    <row r="1731" spans="1:4" x14ac:dyDescent="0.3">
      <c r="A1731" s="1"/>
      <c r="B1731" s="1" t="str">
        <f>IFERROR(IF(LEFT(Sensitivität_bzw_Monte_Carlo_bei_Strom[[#This Row],[Source.Name]],SEARCH("aus_der",Sensitivität_bzw_Monte_Carlo_bei_Strom[[#This Row],[Source.Name]],1))="Auszahlung_a","Auszahlung",""),"")</f>
        <v/>
      </c>
      <c r="D1731" s="1"/>
    </row>
    <row r="1732" spans="1:4" x14ac:dyDescent="0.3">
      <c r="A1732" s="1"/>
      <c r="B1732" s="1" t="str">
        <f>IFERROR(IF(LEFT(Sensitivität_bzw_Monte_Carlo_bei_Strom[[#This Row],[Source.Name]],SEARCH("aus_der",Sensitivität_bzw_Monte_Carlo_bei_Strom[[#This Row],[Source.Name]],1))="Auszahlung_a","Auszahlung",""),"")</f>
        <v/>
      </c>
      <c r="D1732" s="1"/>
    </row>
    <row r="1733" spans="1:4" x14ac:dyDescent="0.3">
      <c r="A1733" s="1"/>
      <c r="B1733" s="1" t="str">
        <f>IFERROR(IF(LEFT(Sensitivität_bzw_Monte_Carlo_bei_Strom[[#This Row],[Source.Name]],SEARCH("aus_der",Sensitivität_bzw_Monte_Carlo_bei_Strom[[#This Row],[Source.Name]],1))="Auszahlung_a","Auszahlung",""),"")</f>
        <v/>
      </c>
      <c r="D1733" s="1"/>
    </row>
    <row r="1734" spans="1:4" x14ac:dyDescent="0.3">
      <c r="A1734" s="1"/>
      <c r="B1734" s="1" t="str">
        <f>IFERROR(IF(LEFT(Sensitivität_bzw_Monte_Carlo_bei_Strom[[#This Row],[Source.Name]],SEARCH("aus_der",Sensitivität_bzw_Monte_Carlo_bei_Strom[[#This Row],[Source.Name]],1))="Auszahlung_a","Auszahlung",""),"")</f>
        <v/>
      </c>
      <c r="D1734" s="1"/>
    </row>
    <row r="1735" spans="1:4" x14ac:dyDescent="0.3">
      <c r="A1735" s="1"/>
      <c r="B1735" s="1" t="str">
        <f>IFERROR(IF(LEFT(Sensitivität_bzw_Monte_Carlo_bei_Strom[[#This Row],[Source.Name]],SEARCH("aus_der",Sensitivität_bzw_Monte_Carlo_bei_Strom[[#This Row],[Source.Name]],1))="Auszahlung_a","Auszahlung",""),"")</f>
        <v/>
      </c>
      <c r="D1735" s="1"/>
    </row>
    <row r="1736" spans="1:4" x14ac:dyDescent="0.3">
      <c r="A1736" s="1"/>
      <c r="B1736" s="1" t="str">
        <f>IFERROR(IF(LEFT(Sensitivität_bzw_Monte_Carlo_bei_Strom[[#This Row],[Source.Name]],SEARCH("aus_der",Sensitivität_bzw_Monte_Carlo_bei_Strom[[#This Row],[Source.Name]],1))="Auszahlung_a","Auszahlung",""),"")</f>
        <v/>
      </c>
      <c r="D1736" s="1"/>
    </row>
    <row r="1737" spans="1:4" x14ac:dyDescent="0.3">
      <c r="A1737" s="1"/>
      <c r="B1737" s="1" t="str">
        <f>IFERROR(IF(LEFT(Sensitivität_bzw_Monte_Carlo_bei_Strom[[#This Row],[Source.Name]],SEARCH("aus_der",Sensitivität_bzw_Monte_Carlo_bei_Strom[[#This Row],[Source.Name]],1))="Auszahlung_a","Auszahlung",""),"")</f>
        <v/>
      </c>
      <c r="D1737" s="1"/>
    </row>
    <row r="1738" spans="1:4" x14ac:dyDescent="0.3">
      <c r="A1738" s="1"/>
      <c r="B1738" s="1" t="str">
        <f>IFERROR(IF(LEFT(Sensitivität_bzw_Monte_Carlo_bei_Strom[[#This Row],[Source.Name]],SEARCH("aus_der",Sensitivität_bzw_Monte_Carlo_bei_Strom[[#This Row],[Source.Name]],1))="Auszahlung_a","Auszahlung",""),"")</f>
        <v/>
      </c>
      <c r="D1738" s="1"/>
    </row>
    <row r="1739" spans="1:4" x14ac:dyDescent="0.3">
      <c r="A1739" s="1"/>
      <c r="B1739" s="1" t="str">
        <f>IFERROR(IF(LEFT(Sensitivität_bzw_Monte_Carlo_bei_Strom[[#This Row],[Source.Name]],SEARCH("aus_der",Sensitivität_bzw_Monte_Carlo_bei_Strom[[#This Row],[Source.Name]],1))="Auszahlung_a","Auszahlung",""),"")</f>
        <v/>
      </c>
      <c r="D1739" s="1"/>
    </row>
    <row r="1740" spans="1:4" x14ac:dyDescent="0.3">
      <c r="A1740" s="1"/>
      <c r="B1740" s="1" t="str">
        <f>IFERROR(IF(LEFT(Sensitivität_bzw_Monte_Carlo_bei_Strom[[#This Row],[Source.Name]],SEARCH("aus_der",Sensitivität_bzw_Monte_Carlo_bei_Strom[[#This Row],[Source.Name]],1))="Auszahlung_a","Auszahlung",""),"")</f>
        <v/>
      </c>
      <c r="D1740" s="1"/>
    </row>
    <row r="1741" spans="1:4" x14ac:dyDescent="0.3">
      <c r="A1741" s="1"/>
      <c r="B1741" s="1" t="str">
        <f>IFERROR(IF(LEFT(Sensitivität_bzw_Monte_Carlo_bei_Strom[[#This Row],[Source.Name]],SEARCH("aus_der",Sensitivität_bzw_Monte_Carlo_bei_Strom[[#This Row],[Source.Name]],1))="Auszahlung_a","Auszahlung",""),"")</f>
        <v/>
      </c>
      <c r="D1741" s="1"/>
    </row>
    <row r="1742" spans="1:4" x14ac:dyDescent="0.3">
      <c r="A1742" s="1"/>
      <c r="B1742" s="1" t="str">
        <f>IFERROR(IF(LEFT(Sensitivität_bzw_Monte_Carlo_bei_Strom[[#This Row],[Source.Name]],SEARCH("aus_der",Sensitivität_bzw_Monte_Carlo_bei_Strom[[#This Row],[Source.Name]],1))="Auszahlung_a","Auszahlung",""),"")</f>
        <v/>
      </c>
      <c r="D1742" s="1"/>
    </row>
    <row r="1743" spans="1:4" x14ac:dyDescent="0.3">
      <c r="A1743" s="1"/>
      <c r="B1743" s="1" t="str">
        <f>IFERROR(IF(LEFT(Sensitivität_bzw_Monte_Carlo_bei_Strom[[#This Row],[Source.Name]],SEARCH("aus_der",Sensitivität_bzw_Monte_Carlo_bei_Strom[[#This Row],[Source.Name]],1))="Auszahlung_a","Auszahlung",""),"")</f>
        <v/>
      </c>
      <c r="D1743" s="1"/>
    </row>
    <row r="1744" spans="1:4" x14ac:dyDescent="0.3">
      <c r="A1744" s="1"/>
      <c r="B1744" s="1" t="str">
        <f>IFERROR(IF(LEFT(Sensitivität_bzw_Monte_Carlo_bei_Strom[[#This Row],[Source.Name]],SEARCH("aus_der",Sensitivität_bzw_Monte_Carlo_bei_Strom[[#This Row],[Source.Name]],1))="Auszahlung_a","Auszahlung",""),"")</f>
        <v/>
      </c>
      <c r="D1744" s="1"/>
    </row>
    <row r="1745" spans="1:4" x14ac:dyDescent="0.3">
      <c r="A1745" s="1"/>
      <c r="B1745" s="1" t="str">
        <f>IFERROR(IF(LEFT(Sensitivität_bzw_Monte_Carlo_bei_Strom[[#This Row],[Source.Name]],SEARCH("aus_der",Sensitivität_bzw_Monte_Carlo_bei_Strom[[#This Row],[Source.Name]],1))="Auszahlung_a","Auszahlung",""),"")</f>
        <v/>
      </c>
      <c r="D1745" s="1"/>
    </row>
    <row r="1746" spans="1:4" x14ac:dyDescent="0.3">
      <c r="A1746" s="1"/>
      <c r="B1746" s="1" t="str">
        <f>IFERROR(IF(LEFT(Sensitivität_bzw_Monte_Carlo_bei_Strom[[#This Row],[Source.Name]],SEARCH("aus_der",Sensitivität_bzw_Monte_Carlo_bei_Strom[[#This Row],[Source.Name]],1))="Auszahlung_a","Auszahlung",""),"")</f>
        <v/>
      </c>
      <c r="D1746" s="1"/>
    </row>
    <row r="1747" spans="1:4" x14ac:dyDescent="0.3">
      <c r="A1747" s="1"/>
      <c r="B1747" s="1" t="str">
        <f>IFERROR(IF(LEFT(Sensitivität_bzw_Monte_Carlo_bei_Strom[[#This Row],[Source.Name]],SEARCH("aus_der",Sensitivität_bzw_Monte_Carlo_bei_Strom[[#This Row],[Source.Name]],1))="Auszahlung_a","Auszahlung",""),"")</f>
        <v/>
      </c>
      <c r="D1747" s="1"/>
    </row>
    <row r="1748" spans="1:4" x14ac:dyDescent="0.3">
      <c r="A1748" s="1"/>
      <c r="B1748" s="1" t="str">
        <f>IFERROR(IF(LEFT(Sensitivität_bzw_Monte_Carlo_bei_Strom[[#This Row],[Source.Name]],SEARCH("aus_der",Sensitivität_bzw_Monte_Carlo_bei_Strom[[#This Row],[Source.Name]],1))="Auszahlung_a","Auszahlung",""),"")</f>
        <v/>
      </c>
      <c r="D1748" s="1"/>
    </row>
    <row r="1749" spans="1:4" x14ac:dyDescent="0.3">
      <c r="A1749" s="1"/>
      <c r="B1749" s="1" t="str">
        <f>IFERROR(IF(LEFT(Sensitivität_bzw_Monte_Carlo_bei_Strom[[#This Row],[Source.Name]],SEARCH("aus_der",Sensitivität_bzw_Monte_Carlo_bei_Strom[[#This Row],[Source.Name]],1))="Auszahlung_a","Auszahlung",""),"")</f>
        <v/>
      </c>
      <c r="D1749" s="1"/>
    </row>
    <row r="1750" spans="1:4" x14ac:dyDescent="0.3">
      <c r="A1750" s="1"/>
      <c r="B1750" s="1" t="str">
        <f>IFERROR(IF(LEFT(Sensitivität_bzw_Monte_Carlo_bei_Strom[[#This Row],[Source.Name]],SEARCH("aus_der",Sensitivität_bzw_Monte_Carlo_bei_Strom[[#This Row],[Source.Name]],1))="Auszahlung_a","Auszahlung",""),"")</f>
        <v/>
      </c>
      <c r="D1750" s="1"/>
    </row>
    <row r="1751" spans="1:4" x14ac:dyDescent="0.3">
      <c r="A1751" s="1"/>
      <c r="B1751" s="1" t="str">
        <f>IFERROR(IF(LEFT(Sensitivität_bzw_Monte_Carlo_bei_Strom[[#This Row],[Source.Name]],SEARCH("aus_der",Sensitivität_bzw_Monte_Carlo_bei_Strom[[#This Row],[Source.Name]],1))="Auszahlung_a","Auszahlung",""),"")</f>
        <v/>
      </c>
      <c r="D1751" s="1"/>
    </row>
    <row r="1752" spans="1:4" x14ac:dyDescent="0.3">
      <c r="A1752" s="1"/>
      <c r="B1752" s="1" t="str">
        <f>IFERROR(IF(LEFT(Sensitivität_bzw_Monte_Carlo_bei_Strom[[#This Row],[Source.Name]],SEARCH("aus_der",Sensitivität_bzw_Monte_Carlo_bei_Strom[[#This Row],[Source.Name]],1))="Auszahlung_a","Auszahlung",""),"")</f>
        <v/>
      </c>
      <c r="D1752" s="1"/>
    </row>
    <row r="1753" spans="1:4" x14ac:dyDescent="0.3">
      <c r="A1753" s="1"/>
      <c r="B1753" s="1" t="str">
        <f>IFERROR(IF(LEFT(Sensitivität_bzw_Monte_Carlo_bei_Strom[[#This Row],[Source.Name]],SEARCH("aus_der",Sensitivität_bzw_Monte_Carlo_bei_Strom[[#This Row],[Source.Name]],1))="Auszahlung_a","Auszahlung",""),"")</f>
        <v/>
      </c>
      <c r="D1753" s="1"/>
    </row>
    <row r="1754" spans="1:4" x14ac:dyDescent="0.3">
      <c r="A1754" s="1"/>
      <c r="B1754" s="1" t="str">
        <f>IFERROR(IF(LEFT(Sensitivität_bzw_Monte_Carlo_bei_Strom[[#This Row],[Source.Name]],SEARCH("aus_der",Sensitivität_bzw_Monte_Carlo_bei_Strom[[#This Row],[Source.Name]],1))="Auszahlung_a","Auszahlung",""),"")</f>
        <v/>
      </c>
      <c r="D1754" s="1"/>
    </row>
    <row r="1755" spans="1:4" x14ac:dyDescent="0.3">
      <c r="A1755" s="1"/>
      <c r="B1755" s="1" t="str">
        <f>IFERROR(IF(LEFT(Sensitivität_bzw_Monte_Carlo_bei_Strom[[#This Row],[Source.Name]],SEARCH("aus_der",Sensitivität_bzw_Monte_Carlo_bei_Strom[[#This Row],[Source.Name]],1))="Auszahlung_a","Auszahlung",""),"")</f>
        <v/>
      </c>
      <c r="D1755" s="1"/>
    </row>
    <row r="1756" spans="1:4" x14ac:dyDescent="0.3">
      <c r="A1756" s="1"/>
      <c r="B1756" s="1" t="str">
        <f>IFERROR(IF(LEFT(Sensitivität_bzw_Monte_Carlo_bei_Strom[[#This Row],[Source.Name]],SEARCH("aus_der",Sensitivität_bzw_Monte_Carlo_bei_Strom[[#This Row],[Source.Name]],1))="Auszahlung_a","Auszahlung",""),"")</f>
        <v/>
      </c>
      <c r="D1756" s="1"/>
    </row>
    <row r="1757" spans="1:4" x14ac:dyDescent="0.3">
      <c r="A1757" s="1"/>
      <c r="B1757" s="1" t="str">
        <f>IFERROR(IF(LEFT(Sensitivität_bzw_Monte_Carlo_bei_Strom[[#This Row],[Source.Name]],SEARCH("aus_der",Sensitivität_bzw_Monte_Carlo_bei_Strom[[#This Row],[Source.Name]],1))="Auszahlung_a","Auszahlung",""),"")</f>
        <v/>
      </c>
      <c r="D1757" s="1"/>
    </row>
    <row r="1758" spans="1:4" x14ac:dyDescent="0.3">
      <c r="A1758" s="1"/>
      <c r="B1758" s="1" t="str">
        <f>IFERROR(IF(LEFT(Sensitivität_bzw_Monte_Carlo_bei_Strom[[#This Row],[Source.Name]],SEARCH("aus_der",Sensitivität_bzw_Monte_Carlo_bei_Strom[[#This Row],[Source.Name]],1))="Auszahlung_a","Auszahlung",""),"")</f>
        <v/>
      </c>
      <c r="D1758" s="1"/>
    </row>
    <row r="1759" spans="1:4" x14ac:dyDescent="0.3">
      <c r="A1759" s="1"/>
      <c r="B1759" s="1" t="str">
        <f>IFERROR(IF(LEFT(Sensitivität_bzw_Monte_Carlo_bei_Strom[[#This Row],[Source.Name]],SEARCH("aus_der",Sensitivität_bzw_Monte_Carlo_bei_Strom[[#This Row],[Source.Name]],1))="Auszahlung_a","Auszahlung",""),"")</f>
        <v/>
      </c>
      <c r="D1759" s="1"/>
    </row>
    <row r="1760" spans="1:4" x14ac:dyDescent="0.3">
      <c r="A1760" s="1"/>
      <c r="B1760" s="1" t="str">
        <f>IFERROR(IF(LEFT(Sensitivität_bzw_Monte_Carlo_bei_Strom[[#This Row],[Source.Name]],SEARCH("aus_der",Sensitivität_bzw_Monte_Carlo_bei_Strom[[#This Row],[Source.Name]],1))="Auszahlung_a","Auszahlung",""),"")</f>
        <v/>
      </c>
      <c r="D1760" s="1"/>
    </row>
    <row r="1761" spans="1:4" x14ac:dyDescent="0.3">
      <c r="A1761" s="1"/>
      <c r="B1761" s="1" t="str">
        <f>IFERROR(IF(LEFT(Sensitivität_bzw_Monte_Carlo_bei_Strom[[#This Row],[Source.Name]],SEARCH("aus_der",Sensitivität_bzw_Monte_Carlo_bei_Strom[[#This Row],[Source.Name]],1))="Auszahlung_a","Auszahlung",""),"")</f>
        <v/>
      </c>
      <c r="D1761" s="1"/>
    </row>
    <row r="1762" spans="1:4" x14ac:dyDescent="0.3">
      <c r="A1762" s="1"/>
      <c r="B1762" s="1" t="str">
        <f>IFERROR(IF(LEFT(Sensitivität_bzw_Monte_Carlo_bei_Strom[[#This Row],[Source.Name]],SEARCH("aus_der",Sensitivität_bzw_Monte_Carlo_bei_Strom[[#This Row],[Source.Name]],1))="Auszahlung_a","Auszahlung",""),"")</f>
        <v/>
      </c>
      <c r="D1762" s="1"/>
    </row>
    <row r="1763" spans="1:4" x14ac:dyDescent="0.3">
      <c r="A1763" s="1"/>
      <c r="B1763" s="1" t="str">
        <f>IFERROR(IF(LEFT(Sensitivität_bzw_Monte_Carlo_bei_Strom[[#This Row],[Source.Name]],SEARCH("aus_der",Sensitivität_bzw_Monte_Carlo_bei_Strom[[#This Row],[Source.Name]],1))="Auszahlung_a","Auszahlung",""),"")</f>
        <v/>
      </c>
      <c r="D1763" s="1"/>
    </row>
    <row r="1764" spans="1:4" x14ac:dyDescent="0.3">
      <c r="A1764" s="1"/>
      <c r="B1764" s="1" t="str">
        <f>IFERROR(IF(LEFT(Sensitivität_bzw_Monte_Carlo_bei_Strom[[#This Row],[Source.Name]],SEARCH("aus_der",Sensitivität_bzw_Monte_Carlo_bei_Strom[[#This Row],[Source.Name]],1))="Auszahlung_a","Auszahlung",""),"")</f>
        <v/>
      </c>
      <c r="D1764" s="1"/>
    </row>
    <row r="1765" spans="1:4" x14ac:dyDescent="0.3">
      <c r="A1765" s="1"/>
      <c r="B1765" s="1" t="str">
        <f>IFERROR(IF(LEFT(Sensitivität_bzw_Monte_Carlo_bei_Strom[[#This Row],[Source.Name]],SEARCH("aus_der",Sensitivität_bzw_Monte_Carlo_bei_Strom[[#This Row],[Source.Name]],1))="Auszahlung_a","Auszahlung",""),"")</f>
        <v/>
      </c>
      <c r="D1765" s="1"/>
    </row>
    <row r="1766" spans="1:4" x14ac:dyDescent="0.3">
      <c r="A1766" s="1"/>
      <c r="B1766" s="1" t="str">
        <f>IFERROR(IF(LEFT(Sensitivität_bzw_Monte_Carlo_bei_Strom[[#This Row],[Source.Name]],SEARCH("aus_der",Sensitivität_bzw_Monte_Carlo_bei_Strom[[#This Row],[Source.Name]],1))="Auszahlung_a","Auszahlung",""),"")</f>
        <v/>
      </c>
      <c r="D1766" s="1"/>
    </row>
    <row r="1767" spans="1:4" x14ac:dyDescent="0.3">
      <c r="A1767" s="1"/>
      <c r="B1767" s="1" t="str">
        <f>IFERROR(IF(LEFT(Sensitivität_bzw_Monte_Carlo_bei_Strom[[#This Row],[Source.Name]],SEARCH("aus_der",Sensitivität_bzw_Monte_Carlo_bei_Strom[[#This Row],[Source.Name]],1))="Auszahlung_a","Auszahlung",""),"")</f>
        <v/>
      </c>
      <c r="D1767" s="1"/>
    </row>
    <row r="1768" spans="1:4" x14ac:dyDescent="0.3">
      <c r="A1768" s="1"/>
      <c r="B1768" s="1" t="str">
        <f>IFERROR(IF(LEFT(Sensitivität_bzw_Monte_Carlo_bei_Strom[[#This Row],[Source.Name]],SEARCH("aus_der",Sensitivität_bzw_Monte_Carlo_bei_Strom[[#This Row],[Source.Name]],1))="Auszahlung_a","Auszahlung",""),"")</f>
        <v/>
      </c>
      <c r="D1768" s="1"/>
    </row>
    <row r="1769" spans="1:4" x14ac:dyDescent="0.3">
      <c r="A1769" s="1"/>
      <c r="B1769" s="1" t="str">
        <f>IFERROR(IF(LEFT(Sensitivität_bzw_Monte_Carlo_bei_Strom[[#This Row],[Source.Name]],SEARCH("aus_der",Sensitivität_bzw_Monte_Carlo_bei_Strom[[#This Row],[Source.Name]],1))="Auszahlung_a","Auszahlung",""),"")</f>
        <v/>
      </c>
      <c r="D1769" s="1"/>
    </row>
    <row r="1770" spans="1:4" x14ac:dyDescent="0.3">
      <c r="A1770" s="1"/>
      <c r="B1770" s="1" t="str">
        <f>IFERROR(IF(LEFT(Sensitivität_bzw_Monte_Carlo_bei_Strom[[#This Row],[Source.Name]],SEARCH("aus_der",Sensitivität_bzw_Monte_Carlo_bei_Strom[[#This Row],[Source.Name]],1))="Auszahlung_a","Auszahlung",""),"")</f>
        <v/>
      </c>
      <c r="D1770" s="1"/>
    </row>
    <row r="1771" spans="1:4" x14ac:dyDescent="0.3">
      <c r="A1771" s="1"/>
      <c r="B1771" s="1" t="str">
        <f>IFERROR(IF(LEFT(Sensitivität_bzw_Monte_Carlo_bei_Strom[[#This Row],[Source.Name]],SEARCH("aus_der",Sensitivität_bzw_Monte_Carlo_bei_Strom[[#This Row],[Source.Name]],1))="Auszahlung_a","Auszahlung",""),"")</f>
        <v/>
      </c>
      <c r="D1771" s="1"/>
    </row>
    <row r="1772" spans="1:4" x14ac:dyDescent="0.3">
      <c r="A1772" s="1"/>
      <c r="B1772" s="1" t="str">
        <f>IFERROR(IF(LEFT(Sensitivität_bzw_Monte_Carlo_bei_Strom[[#This Row],[Source.Name]],SEARCH("aus_der",Sensitivität_bzw_Monte_Carlo_bei_Strom[[#This Row],[Source.Name]],1))="Auszahlung_a","Auszahlung",""),"")</f>
        <v/>
      </c>
      <c r="D1772" s="1"/>
    </row>
    <row r="1773" spans="1:4" x14ac:dyDescent="0.3">
      <c r="A1773" s="1"/>
      <c r="B1773" s="1" t="str">
        <f>IFERROR(IF(LEFT(Sensitivität_bzw_Monte_Carlo_bei_Strom[[#This Row],[Source.Name]],SEARCH("aus_der",Sensitivität_bzw_Monte_Carlo_bei_Strom[[#This Row],[Source.Name]],1))="Auszahlung_a","Auszahlung",""),"")</f>
        <v/>
      </c>
      <c r="D1773" s="1"/>
    </row>
    <row r="1774" spans="1:4" x14ac:dyDescent="0.3">
      <c r="A1774" s="1"/>
      <c r="B1774" s="1" t="str">
        <f>IFERROR(IF(LEFT(Sensitivität_bzw_Monte_Carlo_bei_Strom[[#This Row],[Source.Name]],SEARCH("aus_der",Sensitivität_bzw_Monte_Carlo_bei_Strom[[#This Row],[Source.Name]],1))="Auszahlung_a","Auszahlung",""),"")</f>
        <v/>
      </c>
      <c r="D1774" s="1"/>
    </row>
    <row r="1775" spans="1:4" x14ac:dyDescent="0.3">
      <c r="A1775" s="1"/>
      <c r="B1775" s="1" t="str">
        <f>IFERROR(IF(LEFT(Sensitivität_bzw_Monte_Carlo_bei_Strom[[#This Row],[Source.Name]],SEARCH("aus_der",Sensitivität_bzw_Monte_Carlo_bei_Strom[[#This Row],[Source.Name]],1))="Auszahlung_a","Auszahlung",""),"")</f>
        <v/>
      </c>
      <c r="D1775" s="1"/>
    </row>
    <row r="1776" spans="1:4" x14ac:dyDescent="0.3">
      <c r="A1776" s="1"/>
      <c r="B1776" s="1" t="str">
        <f>IFERROR(IF(LEFT(Sensitivität_bzw_Monte_Carlo_bei_Strom[[#This Row],[Source.Name]],SEARCH("aus_der",Sensitivität_bzw_Monte_Carlo_bei_Strom[[#This Row],[Source.Name]],1))="Auszahlung_a","Auszahlung",""),"")</f>
        <v/>
      </c>
      <c r="D1776" s="1"/>
    </row>
    <row r="1777" spans="1:4" x14ac:dyDescent="0.3">
      <c r="A1777" s="1"/>
      <c r="B1777" s="1" t="str">
        <f>IFERROR(IF(LEFT(Sensitivität_bzw_Monte_Carlo_bei_Strom[[#This Row],[Source.Name]],SEARCH("aus_der",Sensitivität_bzw_Monte_Carlo_bei_Strom[[#This Row],[Source.Name]],1))="Auszahlung_a","Auszahlung",""),"")</f>
        <v/>
      </c>
      <c r="D1777" s="1"/>
    </row>
    <row r="1778" spans="1:4" x14ac:dyDescent="0.3">
      <c r="A1778" s="1"/>
      <c r="B1778" s="1" t="str">
        <f>IFERROR(IF(LEFT(Sensitivität_bzw_Monte_Carlo_bei_Strom[[#This Row],[Source.Name]],SEARCH("aus_der",Sensitivität_bzw_Monte_Carlo_bei_Strom[[#This Row],[Source.Name]],1))="Auszahlung_a","Auszahlung",""),"")</f>
        <v/>
      </c>
      <c r="D1778" s="1"/>
    </row>
    <row r="1779" spans="1:4" x14ac:dyDescent="0.3">
      <c r="A1779" s="1"/>
      <c r="B1779" s="1" t="str">
        <f>IFERROR(IF(LEFT(Sensitivität_bzw_Monte_Carlo_bei_Strom[[#This Row],[Source.Name]],SEARCH("aus_der",Sensitivität_bzw_Monte_Carlo_bei_Strom[[#This Row],[Source.Name]],1))="Auszahlung_a","Auszahlung",""),"")</f>
        <v/>
      </c>
      <c r="D1779" s="1"/>
    </row>
    <row r="1780" spans="1:4" x14ac:dyDescent="0.3">
      <c r="A1780" s="1"/>
      <c r="B1780" s="1" t="str">
        <f>IFERROR(IF(LEFT(Sensitivität_bzw_Monte_Carlo_bei_Strom[[#This Row],[Source.Name]],SEARCH("aus_der",Sensitivität_bzw_Monte_Carlo_bei_Strom[[#This Row],[Source.Name]],1))="Auszahlung_a","Auszahlung",""),"")</f>
        <v/>
      </c>
      <c r="D1780" s="1"/>
    </row>
    <row r="1781" spans="1:4" x14ac:dyDescent="0.3">
      <c r="A1781" s="1"/>
      <c r="B1781" s="1" t="str">
        <f>IFERROR(IF(LEFT(Sensitivität_bzw_Monte_Carlo_bei_Strom[[#This Row],[Source.Name]],SEARCH("aus_der",Sensitivität_bzw_Monte_Carlo_bei_Strom[[#This Row],[Source.Name]],1))="Auszahlung_a","Auszahlung",""),"")</f>
        <v/>
      </c>
      <c r="D1781" s="1"/>
    </row>
    <row r="1782" spans="1:4" x14ac:dyDescent="0.3">
      <c r="A1782" s="1"/>
      <c r="B1782" s="1" t="str">
        <f>IFERROR(IF(LEFT(Sensitivität_bzw_Monte_Carlo_bei_Strom[[#This Row],[Source.Name]],SEARCH("aus_der",Sensitivität_bzw_Monte_Carlo_bei_Strom[[#This Row],[Source.Name]],1))="Auszahlung_a","Auszahlung",""),"")</f>
        <v/>
      </c>
      <c r="D1782" s="1"/>
    </row>
    <row r="1783" spans="1:4" x14ac:dyDescent="0.3">
      <c r="A1783" s="1"/>
      <c r="B1783" s="1" t="str">
        <f>IFERROR(IF(LEFT(Sensitivität_bzw_Monte_Carlo_bei_Strom[[#This Row],[Source.Name]],SEARCH("aus_der",Sensitivität_bzw_Monte_Carlo_bei_Strom[[#This Row],[Source.Name]],1))="Auszahlung_a","Auszahlung",""),"")</f>
        <v/>
      </c>
      <c r="D1783" s="1"/>
    </row>
    <row r="1784" spans="1:4" x14ac:dyDescent="0.3">
      <c r="A1784" s="1"/>
      <c r="B1784" s="1" t="str">
        <f>IFERROR(IF(LEFT(Sensitivität_bzw_Monte_Carlo_bei_Strom[[#This Row],[Source.Name]],SEARCH("aus_der",Sensitivität_bzw_Monte_Carlo_bei_Strom[[#This Row],[Source.Name]],1))="Auszahlung_a","Auszahlung",""),"")</f>
        <v/>
      </c>
      <c r="D1784" s="1"/>
    </row>
    <row r="1785" spans="1:4" x14ac:dyDescent="0.3">
      <c r="A1785" s="1"/>
      <c r="B1785" s="1" t="str">
        <f>IFERROR(IF(LEFT(Sensitivität_bzw_Monte_Carlo_bei_Strom[[#This Row],[Source.Name]],SEARCH("aus_der",Sensitivität_bzw_Monte_Carlo_bei_Strom[[#This Row],[Source.Name]],1))="Auszahlung_a","Auszahlung",""),"")</f>
        <v/>
      </c>
      <c r="D1785" s="1"/>
    </row>
    <row r="1786" spans="1:4" x14ac:dyDescent="0.3">
      <c r="A1786" s="1"/>
      <c r="B1786" s="1" t="str">
        <f>IFERROR(IF(LEFT(Sensitivität_bzw_Monte_Carlo_bei_Strom[[#This Row],[Source.Name]],SEARCH("aus_der",Sensitivität_bzw_Monte_Carlo_bei_Strom[[#This Row],[Source.Name]],1))="Auszahlung_a","Auszahlung",""),"")</f>
        <v/>
      </c>
      <c r="D1786" s="1"/>
    </row>
    <row r="1787" spans="1:4" x14ac:dyDescent="0.3">
      <c r="A1787" s="1"/>
      <c r="B1787" s="1" t="str">
        <f>IFERROR(IF(LEFT(Sensitivität_bzw_Monte_Carlo_bei_Strom[[#This Row],[Source.Name]],SEARCH("aus_der",Sensitivität_bzw_Monte_Carlo_bei_Strom[[#This Row],[Source.Name]],1))="Auszahlung_a","Auszahlung",""),"")</f>
        <v/>
      </c>
      <c r="D1787" s="1"/>
    </row>
    <row r="1788" spans="1:4" x14ac:dyDescent="0.3">
      <c r="A1788" s="1"/>
      <c r="B1788" s="1" t="str">
        <f>IFERROR(IF(LEFT(Sensitivität_bzw_Monte_Carlo_bei_Strom[[#This Row],[Source.Name]],SEARCH("aus_der",Sensitivität_bzw_Monte_Carlo_bei_Strom[[#This Row],[Source.Name]],1))="Auszahlung_a","Auszahlung",""),"")</f>
        <v/>
      </c>
      <c r="D1788" s="1"/>
    </row>
    <row r="1789" spans="1:4" x14ac:dyDescent="0.3">
      <c r="A1789" s="1"/>
      <c r="B1789" s="1" t="str">
        <f>IFERROR(IF(LEFT(Sensitivität_bzw_Monte_Carlo_bei_Strom[[#This Row],[Source.Name]],SEARCH("aus_der",Sensitivität_bzw_Monte_Carlo_bei_Strom[[#This Row],[Source.Name]],1))="Auszahlung_a","Auszahlung",""),"")</f>
        <v/>
      </c>
      <c r="D1789" s="1"/>
    </row>
    <row r="1790" spans="1:4" x14ac:dyDescent="0.3">
      <c r="A1790" s="1"/>
      <c r="B1790" s="1" t="str">
        <f>IFERROR(IF(LEFT(Sensitivität_bzw_Monte_Carlo_bei_Strom[[#This Row],[Source.Name]],SEARCH("aus_der",Sensitivität_bzw_Monte_Carlo_bei_Strom[[#This Row],[Source.Name]],1))="Auszahlung_a","Auszahlung",""),"")</f>
        <v/>
      </c>
      <c r="D1790" s="1"/>
    </row>
    <row r="1791" spans="1:4" x14ac:dyDescent="0.3">
      <c r="A1791" s="1"/>
      <c r="B1791" s="1" t="str">
        <f>IFERROR(IF(LEFT(Sensitivität_bzw_Monte_Carlo_bei_Strom[[#This Row],[Source.Name]],SEARCH("aus_der",Sensitivität_bzw_Monte_Carlo_bei_Strom[[#This Row],[Source.Name]],1))="Auszahlung_a","Auszahlung",""),"")</f>
        <v/>
      </c>
      <c r="D1791" s="1"/>
    </row>
    <row r="1792" spans="1:4" x14ac:dyDescent="0.3">
      <c r="A1792" s="1"/>
      <c r="B1792" s="1" t="str">
        <f>IFERROR(IF(LEFT(Sensitivität_bzw_Monte_Carlo_bei_Strom[[#This Row],[Source.Name]],SEARCH("aus_der",Sensitivität_bzw_Monte_Carlo_bei_Strom[[#This Row],[Source.Name]],1))="Auszahlung_a","Auszahlung",""),"")</f>
        <v/>
      </c>
      <c r="D1792" s="1"/>
    </row>
    <row r="1793" spans="1:4" x14ac:dyDescent="0.3">
      <c r="A1793" s="1"/>
      <c r="B1793" s="1" t="str">
        <f>IFERROR(IF(LEFT(Sensitivität_bzw_Monte_Carlo_bei_Strom[[#This Row],[Source.Name]],SEARCH("aus_der",Sensitivität_bzw_Monte_Carlo_bei_Strom[[#This Row],[Source.Name]],1))="Auszahlung_a","Auszahlung",""),"")</f>
        <v/>
      </c>
      <c r="D1793" s="1"/>
    </row>
    <row r="1794" spans="1:4" x14ac:dyDescent="0.3">
      <c r="A1794" s="1"/>
      <c r="B1794" s="1" t="str">
        <f>IFERROR(IF(LEFT(Sensitivität_bzw_Monte_Carlo_bei_Strom[[#This Row],[Source.Name]],SEARCH("aus_der",Sensitivität_bzw_Monte_Carlo_bei_Strom[[#This Row],[Source.Name]],1))="Auszahlung_a","Auszahlung",""),"")</f>
        <v/>
      </c>
      <c r="D1794" s="1"/>
    </row>
    <row r="1795" spans="1:4" x14ac:dyDescent="0.3">
      <c r="A1795" s="1"/>
      <c r="B1795" s="1" t="str">
        <f>IFERROR(IF(LEFT(Sensitivität_bzw_Monte_Carlo_bei_Strom[[#This Row],[Source.Name]],SEARCH("aus_der",Sensitivität_bzw_Monte_Carlo_bei_Strom[[#This Row],[Source.Name]],1))="Auszahlung_a","Auszahlung",""),"")</f>
        <v/>
      </c>
      <c r="D1795" s="1"/>
    </row>
    <row r="1796" spans="1:4" x14ac:dyDescent="0.3">
      <c r="A1796" s="1"/>
      <c r="B1796" s="1" t="str">
        <f>IFERROR(IF(LEFT(Sensitivität_bzw_Monte_Carlo_bei_Strom[[#This Row],[Source.Name]],SEARCH("aus_der",Sensitivität_bzw_Monte_Carlo_bei_Strom[[#This Row],[Source.Name]],1))="Auszahlung_a","Auszahlung",""),"")</f>
        <v/>
      </c>
      <c r="D1796" s="1"/>
    </row>
    <row r="1797" spans="1:4" x14ac:dyDescent="0.3">
      <c r="A1797" s="1"/>
      <c r="B1797" s="1" t="str">
        <f>IFERROR(IF(LEFT(Sensitivität_bzw_Monte_Carlo_bei_Strom[[#This Row],[Source.Name]],SEARCH("aus_der",Sensitivität_bzw_Monte_Carlo_bei_Strom[[#This Row],[Source.Name]],1))="Auszahlung_a","Auszahlung",""),"")</f>
        <v/>
      </c>
      <c r="D1797" s="1"/>
    </row>
    <row r="1798" spans="1:4" x14ac:dyDescent="0.3">
      <c r="A1798" s="1"/>
      <c r="B1798" s="1" t="str">
        <f>IFERROR(IF(LEFT(Sensitivität_bzw_Monte_Carlo_bei_Strom[[#This Row],[Source.Name]],SEARCH("aus_der",Sensitivität_bzw_Monte_Carlo_bei_Strom[[#This Row],[Source.Name]],1))="Auszahlung_a","Auszahlung",""),"")</f>
        <v/>
      </c>
      <c r="D1798" s="1"/>
    </row>
    <row r="1799" spans="1:4" x14ac:dyDescent="0.3">
      <c r="A1799" s="1"/>
      <c r="B1799" s="1" t="str">
        <f>IFERROR(IF(LEFT(Sensitivität_bzw_Monte_Carlo_bei_Strom[[#This Row],[Source.Name]],SEARCH("aus_der",Sensitivität_bzw_Monte_Carlo_bei_Strom[[#This Row],[Source.Name]],1))="Auszahlung_a","Auszahlung",""),"")</f>
        <v/>
      </c>
      <c r="D1799" s="1"/>
    </row>
    <row r="1800" spans="1:4" x14ac:dyDescent="0.3">
      <c r="A1800" s="1"/>
      <c r="B1800" s="1" t="str">
        <f>IFERROR(IF(LEFT(Sensitivität_bzw_Monte_Carlo_bei_Strom[[#This Row],[Source.Name]],SEARCH("aus_der",Sensitivität_bzw_Monte_Carlo_bei_Strom[[#This Row],[Source.Name]],1))="Auszahlung_a","Auszahlung",""),"")</f>
        <v/>
      </c>
      <c r="D1800" s="1"/>
    </row>
    <row r="1801" spans="1:4" x14ac:dyDescent="0.3">
      <c r="A1801" s="1"/>
      <c r="B1801" s="1" t="str">
        <f>IFERROR(IF(LEFT(Sensitivität_bzw_Monte_Carlo_bei_Strom[[#This Row],[Source.Name]],SEARCH("aus_der",Sensitivität_bzw_Monte_Carlo_bei_Strom[[#This Row],[Source.Name]],1))="Auszahlung_a","Auszahlung",""),"")</f>
        <v/>
      </c>
      <c r="D1801" s="1"/>
    </row>
    <row r="1802" spans="1:4" x14ac:dyDescent="0.3">
      <c r="A1802" s="1"/>
      <c r="B1802" s="1" t="str">
        <f>IFERROR(IF(LEFT(Sensitivität_bzw_Monte_Carlo_bei_Strom[[#This Row],[Source.Name]],SEARCH("aus_der",Sensitivität_bzw_Monte_Carlo_bei_Strom[[#This Row],[Source.Name]],1))="Auszahlung_a","Auszahlung",""),"")</f>
        <v/>
      </c>
      <c r="D1802" s="1"/>
    </row>
    <row r="1803" spans="1:4" x14ac:dyDescent="0.3">
      <c r="A1803" s="1"/>
      <c r="B1803" s="1" t="str">
        <f>IFERROR(IF(LEFT(Sensitivität_bzw_Monte_Carlo_bei_Strom[[#This Row],[Source.Name]],SEARCH("aus_der",Sensitivität_bzw_Monte_Carlo_bei_Strom[[#This Row],[Source.Name]],1))="Auszahlung_a","Auszahlung",""),"")</f>
        <v/>
      </c>
      <c r="D1803" s="1"/>
    </row>
    <row r="1804" spans="1:4" x14ac:dyDescent="0.3">
      <c r="A1804" s="1"/>
      <c r="B1804" s="1" t="str">
        <f>IFERROR(IF(LEFT(Sensitivität_bzw_Monte_Carlo_bei_Strom[[#This Row],[Source.Name]],SEARCH("aus_der",Sensitivität_bzw_Monte_Carlo_bei_Strom[[#This Row],[Source.Name]],1))="Auszahlung_a","Auszahlung",""),"")</f>
        <v/>
      </c>
      <c r="D1804" s="1"/>
    </row>
    <row r="1805" spans="1:4" x14ac:dyDescent="0.3">
      <c r="A1805" s="1"/>
      <c r="B1805" s="1" t="str">
        <f>IFERROR(IF(LEFT(Sensitivität_bzw_Monte_Carlo_bei_Strom[[#This Row],[Source.Name]],SEARCH("aus_der",Sensitivität_bzw_Monte_Carlo_bei_Strom[[#This Row],[Source.Name]],1))="Auszahlung_a","Auszahlung",""),"")</f>
        <v/>
      </c>
      <c r="D1805" s="1"/>
    </row>
    <row r="1806" spans="1:4" x14ac:dyDescent="0.3">
      <c r="A1806" s="1"/>
      <c r="B1806" s="1" t="str">
        <f>IFERROR(IF(LEFT(Sensitivität_bzw_Monte_Carlo_bei_Strom[[#This Row],[Source.Name]],SEARCH("aus_der",Sensitivität_bzw_Monte_Carlo_bei_Strom[[#This Row],[Source.Name]],1))="Auszahlung_a","Auszahlung",""),"")</f>
        <v/>
      </c>
      <c r="D1806" s="1"/>
    </row>
    <row r="1807" spans="1:4" x14ac:dyDescent="0.3">
      <c r="A1807" s="1"/>
      <c r="B1807" s="1" t="str">
        <f>IFERROR(IF(LEFT(Sensitivität_bzw_Monte_Carlo_bei_Strom[[#This Row],[Source.Name]],SEARCH("aus_der",Sensitivität_bzw_Monte_Carlo_bei_Strom[[#This Row],[Source.Name]],1))="Auszahlung_a","Auszahlung",""),"")</f>
        <v/>
      </c>
      <c r="D1807" s="1"/>
    </row>
    <row r="1808" spans="1:4" x14ac:dyDescent="0.3">
      <c r="A1808" s="1"/>
      <c r="B1808" s="1" t="str">
        <f>IFERROR(IF(LEFT(Sensitivität_bzw_Monte_Carlo_bei_Strom[[#This Row],[Source.Name]],SEARCH("aus_der",Sensitivität_bzw_Monte_Carlo_bei_Strom[[#This Row],[Source.Name]],1))="Auszahlung_a","Auszahlung",""),"")</f>
        <v/>
      </c>
      <c r="D1808" s="1"/>
    </row>
    <row r="1809" spans="1:4" x14ac:dyDescent="0.3">
      <c r="A1809" s="1"/>
      <c r="B1809" s="1" t="str">
        <f>IFERROR(IF(LEFT(Sensitivität_bzw_Monte_Carlo_bei_Strom[[#This Row],[Source.Name]],SEARCH("aus_der",Sensitivität_bzw_Monte_Carlo_bei_Strom[[#This Row],[Source.Name]],1))="Auszahlung_a","Auszahlung",""),"")</f>
        <v/>
      </c>
      <c r="D1809" s="1"/>
    </row>
    <row r="1810" spans="1:4" x14ac:dyDescent="0.3">
      <c r="A1810" s="1"/>
      <c r="B1810" s="1" t="str">
        <f>IFERROR(IF(LEFT(Sensitivität_bzw_Monte_Carlo_bei_Strom[[#This Row],[Source.Name]],SEARCH("aus_der",Sensitivität_bzw_Monte_Carlo_bei_Strom[[#This Row],[Source.Name]],1))="Auszahlung_a","Auszahlung",""),"")</f>
        <v/>
      </c>
      <c r="D1810" s="1"/>
    </row>
    <row r="1811" spans="1:4" x14ac:dyDescent="0.3">
      <c r="A1811" s="1"/>
      <c r="B1811" s="1" t="str">
        <f>IFERROR(IF(LEFT(Sensitivität_bzw_Monte_Carlo_bei_Strom[[#This Row],[Source.Name]],SEARCH("aus_der",Sensitivität_bzw_Monte_Carlo_bei_Strom[[#This Row],[Source.Name]],1))="Auszahlung_a","Auszahlung",""),"")</f>
        <v/>
      </c>
      <c r="D1811" s="1"/>
    </row>
    <row r="1812" spans="1:4" x14ac:dyDescent="0.3">
      <c r="A1812" s="1"/>
      <c r="B1812" s="1" t="str">
        <f>IFERROR(IF(LEFT(Sensitivität_bzw_Monte_Carlo_bei_Strom[[#This Row],[Source.Name]],SEARCH("aus_der",Sensitivität_bzw_Monte_Carlo_bei_Strom[[#This Row],[Source.Name]],1))="Auszahlung_a","Auszahlung",""),"")</f>
        <v/>
      </c>
      <c r="D1812" s="1"/>
    </row>
    <row r="1813" spans="1:4" x14ac:dyDescent="0.3">
      <c r="A1813" s="1"/>
      <c r="B1813" s="1" t="str">
        <f>IFERROR(IF(LEFT(Sensitivität_bzw_Monte_Carlo_bei_Strom[[#This Row],[Source.Name]],SEARCH("aus_der",Sensitivität_bzw_Monte_Carlo_bei_Strom[[#This Row],[Source.Name]],1))="Auszahlung_a","Auszahlung",""),"")</f>
        <v/>
      </c>
      <c r="D1813" s="1"/>
    </row>
    <row r="1814" spans="1:4" x14ac:dyDescent="0.3">
      <c r="A1814" s="1"/>
      <c r="B1814" s="1" t="str">
        <f>IFERROR(IF(LEFT(Sensitivität_bzw_Monte_Carlo_bei_Strom[[#This Row],[Source.Name]],SEARCH("aus_der",Sensitivität_bzw_Monte_Carlo_bei_Strom[[#This Row],[Source.Name]],1))="Auszahlung_a","Auszahlung",""),"")</f>
        <v/>
      </c>
      <c r="D1814" s="1"/>
    </row>
    <row r="1815" spans="1:4" x14ac:dyDescent="0.3">
      <c r="A1815" s="1"/>
      <c r="B1815" s="1" t="str">
        <f>IFERROR(IF(LEFT(Sensitivität_bzw_Monte_Carlo_bei_Strom[[#This Row],[Source.Name]],SEARCH("aus_der",Sensitivität_bzw_Monte_Carlo_bei_Strom[[#This Row],[Source.Name]],1))="Auszahlung_a","Auszahlung",""),"")</f>
        <v/>
      </c>
      <c r="D1815" s="1"/>
    </row>
    <row r="1816" spans="1:4" x14ac:dyDescent="0.3">
      <c r="A1816" s="1"/>
      <c r="B1816" s="1" t="str">
        <f>IFERROR(IF(LEFT(Sensitivität_bzw_Monte_Carlo_bei_Strom[[#This Row],[Source.Name]],SEARCH("aus_der",Sensitivität_bzw_Monte_Carlo_bei_Strom[[#This Row],[Source.Name]],1))="Auszahlung_a","Auszahlung",""),"")</f>
        <v/>
      </c>
      <c r="D1816" s="1"/>
    </row>
    <row r="1817" spans="1:4" x14ac:dyDescent="0.3">
      <c r="A1817" s="1"/>
      <c r="B1817" s="1" t="str">
        <f>IFERROR(IF(LEFT(Sensitivität_bzw_Monte_Carlo_bei_Strom[[#This Row],[Source.Name]],SEARCH("aus_der",Sensitivität_bzw_Monte_Carlo_bei_Strom[[#This Row],[Source.Name]],1))="Auszahlung_a","Auszahlung",""),"")</f>
        <v/>
      </c>
      <c r="D1817" s="1"/>
    </row>
    <row r="1818" spans="1:4" x14ac:dyDescent="0.3">
      <c r="A1818" s="1"/>
      <c r="B1818" s="1" t="str">
        <f>IFERROR(IF(LEFT(Sensitivität_bzw_Monte_Carlo_bei_Strom[[#This Row],[Source.Name]],SEARCH("aus_der",Sensitivität_bzw_Monte_Carlo_bei_Strom[[#This Row],[Source.Name]],1))="Auszahlung_a","Auszahlung",""),"")</f>
        <v/>
      </c>
      <c r="D1818" s="1"/>
    </row>
    <row r="1819" spans="1:4" x14ac:dyDescent="0.3">
      <c r="A1819" s="1"/>
      <c r="B1819" s="1" t="str">
        <f>IFERROR(IF(LEFT(Sensitivität_bzw_Monte_Carlo_bei_Strom[[#This Row],[Source.Name]],SEARCH("aus_der",Sensitivität_bzw_Monte_Carlo_bei_Strom[[#This Row],[Source.Name]],1))="Auszahlung_a","Auszahlung",""),"")</f>
        <v/>
      </c>
      <c r="D1819" s="1"/>
    </row>
    <row r="1820" spans="1:4" x14ac:dyDescent="0.3">
      <c r="A1820" s="1"/>
      <c r="B1820" s="1" t="str">
        <f>IFERROR(IF(LEFT(Sensitivität_bzw_Monte_Carlo_bei_Strom[[#This Row],[Source.Name]],SEARCH("aus_der",Sensitivität_bzw_Monte_Carlo_bei_Strom[[#This Row],[Source.Name]],1))="Auszahlung_a","Auszahlung",""),"")</f>
        <v/>
      </c>
      <c r="D1820" s="1"/>
    </row>
    <row r="1821" spans="1:4" x14ac:dyDescent="0.3">
      <c r="A1821" s="1"/>
      <c r="B1821" s="1" t="str">
        <f>IFERROR(IF(LEFT(Sensitivität_bzw_Monte_Carlo_bei_Strom[[#This Row],[Source.Name]],SEARCH("aus_der",Sensitivität_bzw_Monte_Carlo_bei_Strom[[#This Row],[Source.Name]],1))="Auszahlung_a","Auszahlung",""),"")</f>
        <v/>
      </c>
      <c r="D1821" s="1"/>
    </row>
    <row r="1822" spans="1:4" x14ac:dyDescent="0.3">
      <c r="A1822" s="1"/>
      <c r="B1822" s="1" t="str">
        <f>IFERROR(IF(LEFT(Sensitivität_bzw_Monte_Carlo_bei_Strom[[#This Row],[Source.Name]],SEARCH("aus_der",Sensitivität_bzw_Monte_Carlo_bei_Strom[[#This Row],[Source.Name]],1))="Auszahlung_a","Auszahlung",""),"")</f>
        <v/>
      </c>
      <c r="D1822" s="1"/>
    </row>
    <row r="1823" spans="1:4" x14ac:dyDescent="0.3">
      <c r="A1823" s="1"/>
      <c r="B1823" s="1" t="str">
        <f>IFERROR(IF(LEFT(Sensitivität_bzw_Monte_Carlo_bei_Strom[[#This Row],[Source.Name]],SEARCH("aus_der",Sensitivität_bzw_Monte_Carlo_bei_Strom[[#This Row],[Source.Name]],1))="Auszahlung_a","Auszahlung",""),"")</f>
        <v/>
      </c>
      <c r="D1823" s="1"/>
    </row>
    <row r="1824" spans="1:4" x14ac:dyDescent="0.3">
      <c r="A1824" s="1"/>
      <c r="B1824" s="1" t="str">
        <f>IFERROR(IF(LEFT(Sensitivität_bzw_Monte_Carlo_bei_Strom[[#This Row],[Source.Name]],SEARCH("aus_der",Sensitivität_bzw_Monte_Carlo_bei_Strom[[#This Row],[Source.Name]],1))="Auszahlung_a","Auszahlung",""),"")</f>
        <v/>
      </c>
      <c r="D1824" s="1"/>
    </row>
    <row r="1825" spans="1:4" x14ac:dyDescent="0.3">
      <c r="A1825" s="1"/>
      <c r="B1825" s="1" t="str">
        <f>IFERROR(IF(LEFT(Sensitivität_bzw_Monte_Carlo_bei_Strom[[#This Row],[Source.Name]],SEARCH("aus_der",Sensitivität_bzw_Monte_Carlo_bei_Strom[[#This Row],[Source.Name]],1))="Auszahlung_a","Auszahlung",""),"")</f>
        <v/>
      </c>
      <c r="D1825" s="1"/>
    </row>
    <row r="1826" spans="1:4" x14ac:dyDescent="0.3">
      <c r="A1826" s="1"/>
      <c r="B1826" s="1" t="str">
        <f>IFERROR(IF(LEFT(Sensitivität_bzw_Monte_Carlo_bei_Strom[[#This Row],[Source.Name]],SEARCH("aus_der",Sensitivität_bzw_Monte_Carlo_bei_Strom[[#This Row],[Source.Name]],1))="Auszahlung_a","Auszahlung",""),"")</f>
        <v/>
      </c>
      <c r="D1826" s="1"/>
    </row>
    <row r="1827" spans="1:4" x14ac:dyDescent="0.3">
      <c r="A1827" s="1"/>
      <c r="B1827" s="1" t="str">
        <f>IFERROR(IF(LEFT(Sensitivität_bzw_Monte_Carlo_bei_Strom[[#This Row],[Source.Name]],SEARCH("aus_der",Sensitivität_bzw_Monte_Carlo_bei_Strom[[#This Row],[Source.Name]],1))="Auszahlung_a","Auszahlung",""),"")</f>
        <v/>
      </c>
      <c r="D1827" s="1"/>
    </row>
    <row r="1828" spans="1:4" x14ac:dyDescent="0.3">
      <c r="A1828" s="1"/>
      <c r="B1828" s="1" t="str">
        <f>IFERROR(IF(LEFT(Sensitivität_bzw_Monte_Carlo_bei_Strom[[#This Row],[Source.Name]],SEARCH("aus_der",Sensitivität_bzw_Monte_Carlo_bei_Strom[[#This Row],[Source.Name]],1))="Auszahlung_a","Auszahlung",""),"")</f>
        <v/>
      </c>
      <c r="D1828" s="1"/>
    </row>
    <row r="1829" spans="1:4" x14ac:dyDescent="0.3">
      <c r="A1829" s="1"/>
      <c r="B1829" s="1" t="str">
        <f>IFERROR(IF(LEFT(Sensitivität_bzw_Monte_Carlo_bei_Strom[[#This Row],[Source.Name]],SEARCH("aus_der",Sensitivität_bzw_Monte_Carlo_bei_Strom[[#This Row],[Source.Name]],1))="Auszahlung_a","Auszahlung",""),"")</f>
        <v/>
      </c>
      <c r="D1829" s="1"/>
    </row>
    <row r="1830" spans="1:4" x14ac:dyDescent="0.3">
      <c r="A1830" s="1"/>
      <c r="B1830" s="1" t="str">
        <f>IFERROR(IF(LEFT(Sensitivität_bzw_Monte_Carlo_bei_Strom[[#This Row],[Source.Name]],SEARCH("aus_der",Sensitivität_bzw_Monte_Carlo_bei_Strom[[#This Row],[Source.Name]],1))="Auszahlung_a","Auszahlung",""),"")</f>
        <v/>
      </c>
      <c r="D1830" s="1"/>
    </row>
    <row r="1831" spans="1:4" x14ac:dyDescent="0.3">
      <c r="A1831" s="1"/>
      <c r="B1831" s="1" t="str">
        <f>IFERROR(IF(LEFT(Sensitivität_bzw_Monte_Carlo_bei_Strom[[#This Row],[Source.Name]],SEARCH("aus_der",Sensitivität_bzw_Monte_Carlo_bei_Strom[[#This Row],[Source.Name]],1))="Auszahlung_a","Auszahlung",""),"")</f>
        <v/>
      </c>
      <c r="D1831" s="1"/>
    </row>
    <row r="1832" spans="1:4" x14ac:dyDescent="0.3">
      <c r="A1832" s="1"/>
      <c r="B1832" s="1" t="str">
        <f>IFERROR(IF(LEFT(Sensitivität_bzw_Monte_Carlo_bei_Strom[[#This Row],[Source.Name]],SEARCH("aus_der",Sensitivität_bzw_Monte_Carlo_bei_Strom[[#This Row],[Source.Name]],1))="Auszahlung_a","Auszahlung",""),"")</f>
        <v/>
      </c>
      <c r="D1832" s="1"/>
    </row>
    <row r="1833" spans="1:4" x14ac:dyDescent="0.3">
      <c r="A1833" s="1"/>
      <c r="B1833" s="1" t="str">
        <f>IFERROR(IF(LEFT(Sensitivität_bzw_Monte_Carlo_bei_Strom[[#This Row],[Source.Name]],SEARCH("aus_der",Sensitivität_bzw_Monte_Carlo_bei_Strom[[#This Row],[Source.Name]],1))="Auszahlung_a","Auszahlung",""),"")</f>
        <v/>
      </c>
      <c r="D1833" s="1"/>
    </row>
    <row r="1834" spans="1:4" x14ac:dyDescent="0.3">
      <c r="A1834" s="1"/>
      <c r="B1834" s="1" t="str">
        <f>IFERROR(IF(LEFT(Sensitivität_bzw_Monte_Carlo_bei_Strom[[#This Row],[Source.Name]],SEARCH("aus_der",Sensitivität_bzw_Monte_Carlo_bei_Strom[[#This Row],[Source.Name]],1))="Auszahlung_a","Auszahlung",""),"")</f>
        <v/>
      </c>
      <c r="D1834" s="1"/>
    </row>
    <row r="1835" spans="1:4" x14ac:dyDescent="0.3">
      <c r="A1835" s="1"/>
      <c r="B1835" s="1" t="str">
        <f>IFERROR(IF(LEFT(Sensitivität_bzw_Monte_Carlo_bei_Strom[[#This Row],[Source.Name]],SEARCH("aus_der",Sensitivität_bzw_Monte_Carlo_bei_Strom[[#This Row],[Source.Name]],1))="Auszahlung_a","Auszahlung",""),"")</f>
        <v/>
      </c>
      <c r="D1835" s="1"/>
    </row>
    <row r="1836" spans="1:4" x14ac:dyDescent="0.3">
      <c r="A1836" s="1"/>
      <c r="B1836" s="1" t="str">
        <f>IFERROR(IF(LEFT(Sensitivität_bzw_Monte_Carlo_bei_Strom[[#This Row],[Source.Name]],SEARCH("aus_der",Sensitivität_bzw_Monte_Carlo_bei_Strom[[#This Row],[Source.Name]],1))="Auszahlung_a","Auszahlung",""),"")</f>
        <v/>
      </c>
      <c r="D1836" s="1"/>
    </row>
    <row r="1837" spans="1:4" x14ac:dyDescent="0.3">
      <c r="A1837" s="1"/>
      <c r="B1837" s="1" t="str">
        <f>IFERROR(IF(LEFT(Sensitivität_bzw_Monte_Carlo_bei_Strom[[#This Row],[Source.Name]],SEARCH("aus_der",Sensitivität_bzw_Monte_Carlo_bei_Strom[[#This Row],[Source.Name]],1))="Auszahlung_a","Auszahlung",""),"")</f>
        <v/>
      </c>
      <c r="D1837" s="1"/>
    </row>
    <row r="1838" spans="1:4" x14ac:dyDescent="0.3">
      <c r="A1838" s="1"/>
      <c r="B1838" s="1" t="str">
        <f>IFERROR(IF(LEFT(Sensitivität_bzw_Monte_Carlo_bei_Strom[[#This Row],[Source.Name]],SEARCH("aus_der",Sensitivität_bzw_Monte_Carlo_bei_Strom[[#This Row],[Source.Name]],1))="Auszahlung_a","Auszahlung",""),"")</f>
        <v/>
      </c>
      <c r="D1838" s="1"/>
    </row>
    <row r="1839" spans="1:4" x14ac:dyDescent="0.3">
      <c r="A1839" s="1"/>
      <c r="B1839" s="1" t="str">
        <f>IFERROR(IF(LEFT(Sensitivität_bzw_Monte_Carlo_bei_Strom[[#This Row],[Source.Name]],SEARCH("aus_der",Sensitivität_bzw_Monte_Carlo_bei_Strom[[#This Row],[Source.Name]],1))="Auszahlung_a","Auszahlung",""),"")</f>
        <v/>
      </c>
      <c r="D1839" s="1"/>
    </row>
    <row r="1840" spans="1:4" x14ac:dyDescent="0.3">
      <c r="A1840" s="1"/>
      <c r="B1840" s="1" t="str">
        <f>IFERROR(IF(LEFT(Sensitivität_bzw_Monte_Carlo_bei_Strom[[#This Row],[Source.Name]],SEARCH("aus_der",Sensitivität_bzw_Monte_Carlo_bei_Strom[[#This Row],[Source.Name]],1))="Auszahlung_a","Auszahlung",""),"")</f>
        <v/>
      </c>
      <c r="D1840" s="1"/>
    </row>
    <row r="1841" spans="1:4" x14ac:dyDescent="0.3">
      <c r="A1841" s="1"/>
      <c r="B1841" s="1" t="str">
        <f>IFERROR(IF(LEFT(Sensitivität_bzw_Monte_Carlo_bei_Strom[[#This Row],[Source.Name]],SEARCH("aus_der",Sensitivität_bzw_Monte_Carlo_bei_Strom[[#This Row],[Source.Name]],1))="Auszahlung_a","Auszahlung",""),"")</f>
        <v/>
      </c>
      <c r="D1841" s="1"/>
    </row>
    <row r="1842" spans="1:4" x14ac:dyDescent="0.3">
      <c r="A1842" s="1"/>
      <c r="B1842" s="1" t="str">
        <f>IFERROR(IF(LEFT(Sensitivität_bzw_Monte_Carlo_bei_Strom[[#This Row],[Source.Name]],SEARCH("aus_der",Sensitivität_bzw_Monte_Carlo_bei_Strom[[#This Row],[Source.Name]],1))="Auszahlung_a","Auszahlung",""),"")</f>
        <v/>
      </c>
      <c r="D1842" s="1"/>
    </row>
    <row r="1843" spans="1:4" x14ac:dyDescent="0.3">
      <c r="A1843" s="1"/>
      <c r="B1843" s="1" t="str">
        <f>IFERROR(IF(LEFT(Sensitivität_bzw_Monte_Carlo_bei_Strom[[#This Row],[Source.Name]],SEARCH("aus_der",Sensitivität_bzw_Monte_Carlo_bei_Strom[[#This Row],[Source.Name]],1))="Auszahlung_a","Auszahlung",""),"")</f>
        <v/>
      </c>
      <c r="D1843" s="1"/>
    </row>
    <row r="1844" spans="1:4" x14ac:dyDescent="0.3">
      <c r="A1844" s="1"/>
      <c r="B1844" s="1" t="str">
        <f>IFERROR(IF(LEFT(Sensitivität_bzw_Monte_Carlo_bei_Strom[[#This Row],[Source.Name]],SEARCH("aus_der",Sensitivität_bzw_Monte_Carlo_bei_Strom[[#This Row],[Source.Name]],1))="Auszahlung_a","Auszahlung",""),"")</f>
        <v/>
      </c>
      <c r="D1844" s="1"/>
    </row>
    <row r="1845" spans="1:4" x14ac:dyDescent="0.3">
      <c r="A1845" s="1"/>
      <c r="B1845" s="1" t="str">
        <f>IFERROR(IF(LEFT(Sensitivität_bzw_Monte_Carlo_bei_Strom[[#This Row],[Source.Name]],SEARCH("aus_der",Sensitivität_bzw_Monte_Carlo_bei_Strom[[#This Row],[Source.Name]],1))="Auszahlung_a","Auszahlung",""),"")</f>
        <v/>
      </c>
      <c r="D1845" s="1"/>
    </row>
    <row r="1846" spans="1:4" x14ac:dyDescent="0.3">
      <c r="A1846" s="1"/>
      <c r="B1846" s="1" t="str">
        <f>IFERROR(IF(LEFT(Sensitivität_bzw_Monte_Carlo_bei_Strom[[#This Row],[Source.Name]],SEARCH("aus_der",Sensitivität_bzw_Monte_Carlo_bei_Strom[[#This Row],[Source.Name]],1))="Auszahlung_a","Auszahlung",""),"")</f>
        <v/>
      </c>
      <c r="D1846" s="1"/>
    </row>
    <row r="1847" spans="1:4" x14ac:dyDescent="0.3">
      <c r="A1847" s="1"/>
      <c r="B1847" s="1" t="str">
        <f>IFERROR(IF(LEFT(Sensitivität_bzw_Monte_Carlo_bei_Strom[[#This Row],[Source.Name]],SEARCH("aus_der",Sensitivität_bzw_Monte_Carlo_bei_Strom[[#This Row],[Source.Name]],1))="Auszahlung_a","Auszahlung",""),"")</f>
        <v/>
      </c>
      <c r="D1847" s="1"/>
    </row>
    <row r="1848" spans="1:4" x14ac:dyDescent="0.3">
      <c r="A1848" s="1"/>
      <c r="B1848" s="1" t="str">
        <f>IFERROR(IF(LEFT(Sensitivität_bzw_Monte_Carlo_bei_Strom[[#This Row],[Source.Name]],SEARCH("aus_der",Sensitivität_bzw_Monte_Carlo_bei_Strom[[#This Row],[Source.Name]],1))="Auszahlung_a","Auszahlung",""),"")</f>
        <v/>
      </c>
      <c r="D1848" s="1"/>
    </row>
    <row r="1849" spans="1:4" x14ac:dyDescent="0.3">
      <c r="A1849" s="1"/>
      <c r="B1849" s="1" t="str">
        <f>IFERROR(IF(LEFT(Sensitivität_bzw_Monte_Carlo_bei_Strom[[#This Row],[Source.Name]],SEARCH("aus_der",Sensitivität_bzw_Monte_Carlo_bei_Strom[[#This Row],[Source.Name]],1))="Auszahlung_a","Auszahlung",""),"")</f>
        <v/>
      </c>
      <c r="D1849" s="1"/>
    </row>
    <row r="1850" spans="1:4" x14ac:dyDescent="0.3">
      <c r="A1850" s="1"/>
      <c r="B1850" s="1" t="str">
        <f>IFERROR(IF(LEFT(Sensitivität_bzw_Monte_Carlo_bei_Strom[[#This Row],[Source.Name]],SEARCH("aus_der",Sensitivität_bzw_Monte_Carlo_bei_Strom[[#This Row],[Source.Name]],1))="Auszahlung_a","Auszahlung",""),"")</f>
        <v/>
      </c>
      <c r="D1850" s="1"/>
    </row>
    <row r="1851" spans="1:4" x14ac:dyDescent="0.3">
      <c r="A1851" s="1"/>
      <c r="B1851" s="1" t="str">
        <f>IFERROR(IF(LEFT(Sensitivität_bzw_Monte_Carlo_bei_Strom[[#This Row],[Source.Name]],SEARCH("aus_der",Sensitivität_bzw_Monte_Carlo_bei_Strom[[#This Row],[Source.Name]],1))="Auszahlung_a","Auszahlung",""),"")</f>
        <v/>
      </c>
      <c r="D1851" s="1"/>
    </row>
    <row r="1852" spans="1:4" x14ac:dyDescent="0.3">
      <c r="A1852" s="1"/>
      <c r="B1852" s="1" t="str">
        <f>IFERROR(IF(LEFT(Sensitivität_bzw_Monte_Carlo_bei_Strom[[#This Row],[Source.Name]],SEARCH("aus_der",Sensitivität_bzw_Monte_Carlo_bei_Strom[[#This Row],[Source.Name]],1))="Auszahlung_a","Auszahlung",""),"")</f>
        <v/>
      </c>
      <c r="D1852" s="1"/>
    </row>
    <row r="1853" spans="1:4" x14ac:dyDescent="0.3">
      <c r="A1853" s="1"/>
      <c r="B1853" s="1" t="str">
        <f>IFERROR(IF(LEFT(Sensitivität_bzw_Monte_Carlo_bei_Strom[[#This Row],[Source.Name]],SEARCH("aus_der",Sensitivität_bzw_Monte_Carlo_bei_Strom[[#This Row],[Source.Name]],1))="Auszahlung_a","Auszahlung",""),"")</f>
        <v/>
      </c>
      <c r="D1853" s="1"/>
    </row>
    <row r="1854" spans="1:4" x14ac:dyDescent="0.3">
      <c r="A1854" s="1"/>
      <c r="B1854" s="1" t="str">
        <f>IFERROR(IF(LEFT(Sensitivität_bzw_Monte_Carlo_bei_Strom[[#This Row],[Source.Name]],SEARCH("aus_der",Sensitivität_bzw_Monte_Carlo_bei_Strom[[#This Row],[Source.Name]],1))="Auszahlung_a","Auszahlung",""),"")</f>
        <v/>
      </c>
      <c r="D1854" s="1"/>
    </row>
    <row r="1855" spans="1:4" x14ac:dyDescent="0.3">
      <c r="A1855" s="1"/>
      <c r="B1855" s="1" t="str">
        <f>IFERROR(IF(LEFT(Sensitivität_bzw_Monte_Carlo_bei_Strom[[#This Row],[Source.Name]],SEARCH("aus_der",Sensitivität_bzw_Monte_Carlo_bei_Strom[[#This Row],[Source.Name]],1))="Auszahlung_a","Auszahlung",""),"")</f>
        <v/>
      </c>
      <c r="D1855" s="1"/>
    </row>
    <row r="1856" spans="1:4" x14ac:dyDescent="0.3">
      <c r="A1856" s="1"/>
      <c r="B1856" s="1" t="str">
        <f>IFERROR(IF(LEFT(Sensitivität_bzw_Monte_Carlo_bei_Strom[[#This Row],[Source.Name]],SEARCH("aus_der",Sensitivität_bzw_Monte_Carlo_bei_Strom[[#This Row],[Source.Name]],1))="Auszahlung_a","Auszahlung",""),"")</f>
        <v/>
      </c>
      <c r="D1856" s="1"/>
    </row>
    <row r="1857" spans="1:4" x14ac:dyDescent="0.3">
      <c r="A1857" s="1"/>
      <c r="B1857" s="1" t="str">
        <f>IFERROR(IF(LEFT(Sensitivität_bzw_Monte_Carlo_bei_Strom[[#This Row],[Source.Name]],SEARCH("aus_der",Sensitivität_bzw_Monte_Carlo_bei_Strom[[#This Row],[Source.Name]],1))="Auszahlung_a","Auszahlung",""),"")</f>
        <v/>
      </c>
      <c r="D1857" s="1"/>
    </row>
    <row r="1858" spans="1:4" x14ac:dyDescent="0.3">
      <c r="A1858" s="1"/>
      <c r="B1858" s="1" t="str">
        <f>IFERROR(IF(LEFT(Sensitivität_bzw_Monte_Carlo_bei_Strom[[#This Row],[Source.Name]],SEARCH("aus_der",Sensitivität_bzw_Monte_Carlo_bei_Strom[[#This Row],[Source.Name]],1))="Auszahlung_a","Auszahlung",""),"")</f>
        <v/>
      </c>
      <c r="D1858" s="1"/>
    </row>
    <row r="1859" spans="1:4" x14ac:dyDescent="0.3">
      <c r="A1859" s="1"/>
      <c r="B1859" s="1" t="str">
        <f>IFERROR(IF(LEFT(Sensitivität_bzw_Monte_Carlo_bei_Strom[[#This Row],[Source.Name]],SEARCH("aus_der",Sensitivität_bzw_Monte_Carlo_bei_Strom[[#This Row],[Source.Name]],1))="Auszahlung_a","Auszahlung",""),"")</f>
        <v/>
      </c>
      <c r="D1859" s="1"/>
    </row>
    <row r="1860" spans="1:4" x14ac:dyDescent="0.3">
      <c r="A1860" s="1"/>
      <c r="B1860" s="1" t="str">
        <f>IFERROR(IF(LEFT(Sensitivität_bzw_Monte_Carlo_bei_Strom[[#This Row],[Source.Name]],SEARCH("aus_der",Sensitivität_bzw_Monte_Carlo_bei_Strom[[#This Row],[Source.Name]],1))="Auszahlung_a","Auszahlung",""),"")</f>
        <v/>
      </c>
      <c r="D1860" s="1"/>
    </row>
    <row r="1861" spans="1:4" x14ac:dyDescent="0.3">
      <c r="A1861" s="1"/>
      <c r="B1861" s="1" t="str">
        <f>IFERROR(IF(LEFT(Sensitivität_bzw_Monte_Carlo_bei_Strom[[#This Row],[Source.Name]],SEARCH("aus_der",Sensitivität_bzw_Monte_Carlo_bei_Strom[[#This Row],[Source.Name]],1))="Auszahlung_a","Auszahlung",""),"")</f>
        <v/>
      </c>
      <c r="D1861" s="1"/>
    </row>
    <row r="1862" spans="1:4" x14ac:dyDescent="0.3">
      <c r="A1862" s="1"/>
      <c r="B1862" s="1" t="str">
        <f>IFERROR(IF(LEFT(Sensitivität_bzw_Monte_Carlo_bei_Strom[[#This Row],[Source.Name]],SEARCH("aus_der",Sensitivität_bzw_Monte_Carlo_bei_Strom[[#This Row],[Source.Name]],1))="Auszahlung_a","Auszahlung",""),"")</f>
        <v/>
      </c>
      <c r="D1862" s="1"/>
    </row>
    <row r="1863" spans="1:4" x14ac:dyDescent="0.3">
      <c r="A1863" s="1"/>
      <c r="B1863" s="1" t="str">
        <f>IFERROR(IF(LEFT(Sensitivität_bzw_Monte_Carlo_bei_Strom[[#This Row],[Source.Name]],SEARCH("aus_der",Sensitivität_bzw_Monte_Carlo_bei_Strom[[#This Row],[Source.Name]],1))="Auszahlung_a","Auszahlung",""),"")</f>
        <v/>
      </c>
      <c r="D1863" s="1"/>
    </row>
    <row r="1864" spans="1:4" x14ac:dyDescent="0.3">
      <c r="A1864" s="1"/>
      <c r="B1864" s="1" t="str">
        <f>IFERROR(IF(LEFT(Sensitivität_bzw_Monte_Carlo_bei_Strom[[#This Row],[Source.Name]],SEARCH("aus_der",Sensitivität_bzw_Monte_Carlo_bei_Strom[[#This Row],[Source.Name]],1))="Auszahlung_a","Auszahlung",""),"")</f>
        <v/>
      </c>
      <c r="D1864" s="1"/>
    </row>
    <row r="1865" spans="1:4" x14ac:dyDescent="0.3">
      <c r="A1865" s="1"/>
      <c r="B1865" s="1" t="str">
        <f>IFERROR(IF(LEFT(Sensitivität_bzw_Monte_Carlo_bei_Strom[[#This Row],[Source.Name]],SEARCH("aus_der",Sensitivität_bzw_Monte_Carlo_bei_Strom[[#This Row],[Source.Name]],1))="Auszahlung_a","Auszahlung",""),"")</f>
        <v/>
      </c>
      <c r="D1865" s="1"/>
    </row>
    <row r="1866" spans="1:4" x14ac:dyDescent="0.3">
      <c r="A1866" s="1"/>
      <c r="B1866" s="1" t="str">
        <f>IFERROR(IF(LEFT(Sensitivität_bzw_Monte_Carlo_bei_Strom[[#This Row],[Source.Name]],SEARCH("aus_der",Sensitivität_bzw_Monte_Carlo_bei_Strom[[#This Row],[Source.Name]],1))="Auszahlung_a","Auszahlung",""),"")</f>
        <v/>
      </c>
      <c r="D1866" s="1"/>
    </row>
    <row r="1867" spans="1:4" x14ac:dyDescent="0.3">
      <c r="A1867" s="1"/>
      <c r="B1867" s="1" t="str">
        <f>IFERROR(IF(LEFT(Sensitivität_bzw_Monte_Carlo_bei_Strom[[#This Row],[Source.Name]],SEARCH("aus_der",Sensitivität_bzw_Monte_Carlo_bei_Strom[[#This Row],[Source.Name]],1))="Auszahlung_a","Auszahlung",""),"")</f>
        <v/>
      </c>
      <c r="D1867" s="1"/>
    </row>
    <row r="1868" spans="1:4" x14ac:dyDescent="0.3">
      <c r="A1868" s="1"/>
      <c r="B1868" s="1" t="str">
        <f>IFERROR(IF(LEFT(Sensitivität_bzw_Monte_Carlo_bei_Strom[[#This Row],[Source.Name]],SEARCH("aus_der",Sensitivität_bzw_Monte_Carlo_bei_Strom[[#This Row],[Source.Name]],1))="Auszahlung_a","Auszahlung",""),"")</f>
        <v/>
      </c>
      <c r="D1868" s="1"/>
    </row>
    <row r="1869" spans="1:4" x14ac:dyDescent="0.3">
      <c r="A1869" s="1"/>
      <c r="B1869" s="1" t="str">
        <f>IFERROR(IF(LEFT(Sensitivität_bzw_Monte_Carlo_bei_Strom[[#This Row],[Source.Name]],SEARCH("aus_der",Sensitivität_bzw_Monte_Carlo_bei_Strom[[#This Row],[Source.Name]],1))="Auszahlung_a","Auszahlung",""),"")</f>
        <v/>
      </c>
      <c r="D1869" s="1"/>
    </row>
    <row r="1870" spans="1:4" x14ac:dyDescent="0.3">
      <c r="A1870" s="1"/>
      <c r="B1870" s="1" t="str">
        <f>IFERROR(IF(LEFT(Sensitivität_bzw_Monte_Carlo_bei_Strom[[#This Row],[Source.Name]],SEARCH("aus_der",Sensitivität_bzw_Monte_Carlo_bei_Strom[[#This Row],[Source.Name]],1))="Auszahlung_a","Auszahlung",""),"")</f>
        <v/>
      </c>
      <c r="D1870" s="1"/>
    </row>
    <row r="1871" spans="1:4" x14ac:dyDescent="0.3">
      <c r="A1871" s="1"/>
      <c r="B1871" s="1" t="str">
        <f>IFERROR(IF(LEFT(Sensitivität_bzw_Monte_Carlo_bei_Strom[[#This Row],[Source.Name]],SEARCH("aus_der",Sensitivität_bzw_Monte_Carlo_bei_Strom[[#This Row],[Source.Name]],1))="Auszahlung_a","Auszahlung",""),"")</f>
        <v/>
      </c>
      <c r="D1871" s="1"/>
    </row>
    <row r="1872" spans="1:4" x14ac:dyDescent="0.3">
      <c r="A1872" s="1"/>
      <c r="B1872" s="1" t="str">
        <f>IFERROR(IF(LEFT(Sensitivität_bzw_Monte_Carlo_bei_Strom[[#This Row],[Source.Name]],SEARCH("aus_der",Sensitivität_bzw_Monte_Carlo_bei_Strom[[#This Row],[Source.Name]],1))="Auszahlung_a","Auszahlung",""),"")</f>
        <v/>
      </c>
      <c r="D1872" s="1"/>
    </row>
    <row r="1873" spans="1:4" x14ac:dyDescent="0.3">
      <c r="A1873" s="1"/>
      <c r="B1873" s="1" t="str">
        <f>IFERROR(IF(LEFT(Sensitivität_bzw_Monte_Carlo_bei_Strom[[#This Row],[Source.Name]],SEARCH("aus_der",Sensitivität_bzw_Monte_Carlo_bei_Strom[[#This Row],[Source.Name]],1))="Auszahlung_a","Auszahlung",""),"")</f>
        <v/>
      </c>
      <c r="D1873" s="1"/>
    </row>
    <row r="1874" spans="1:4" x14ac:dyDescent="0.3">
      <c r="A1874" s="1"/>
      <c r="B1874" s="1" t="str">
        <f>IFERROR(IF(LEFT(Sensitivität_bzw_Monte_Carlo_bei_Strom[[#This Row],[Source.Name]],SEARCH("aus_der",Sensitivität_bzw_Monte_Carlo_bei_Strom[[#This Row],[Source.Name]],1))="Auszahlung_a","Auszahlung",""),"")</f>
        <v/>
      </c>
      <c r="D1874" s="1"/>
    </row>
    <row r="1875" spans="1:4" x14ac:dyDescent="0.3">
      <c r="A1875" s="1"/>
      <c r="B1875" s="1" t="str">
        <f>IFERROR(IF(LEFT(Sensitivität_bzw_Monte_Carlo_bei_Strom[[#This Row],[Source.Name]],SEARCH("aus_der",Sensitivität_bzw_Monte_Carlo_bei_Strom[[#This Row],[Source.Name]],1))="Auszahlung_a","Auszahlung",""),"")</f>
        <v/>
      </c>
      <c r="D1875" s="1"/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86C9EA-7D3F-426E-A179-FBCEAE3A7DF0}">
  <sheetPr codeName="Tabelle10"/>
  <dimension ref="A1:G1904"/>
  <sheetViews>
    <sheetView zoomScale="70" zoomScaleNormal="70" workbookViewId="0">
      <selection activeCell="G5" sqref="G5"/>
    </sheetView>
  </sheetViews>
  <sheetFormatPr baseColWidth="10" defaultRowHeight="14.4" x14ac:dyDescent="0.3"/>
  <cols>
    <col min="2" max="2" width="66.21875" bestFit="1" customWidth="1"/>
    <col min="4" max="4" width="17.77734375" bestFit="1" customWidth="1"/>
    <col min="7" max="7" width="18" bestFit="1" customWidth="1"/>
  </cols>
  <sheetData>
    <row r="1" spans="1:7" x14ac:dyDescent="0.3">
      <c r="A1" t="s">
        <v>17</v>
      </c>
      <c r="B1" t="s">
        <v>16</v>
      </c>
      <c r="C1" t="s">
        <v>15</v>
      </c>
      <c r="D1" t="s">
        <v>18</v>
      </c>
    </row>
    <row r="2" spans="1:7" x14ac:dyDescent="0.3">
      <c r="A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" s="1" t="s">
        <v>107</v>
      </c>
      <c r="C2">
        <v>20948.91809882304</v>
      </c>
      <c r="D2">
        <v>0</v>
      </c>
    </row>
    <row r="3" spans="1:7" x14ac:dyDescent="0.3">
      <c r="A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" s="1" t="s">
        <v>107</v>
      </c>
      <c r="C3">
        <v>20991.108085863489</v>
      </c>
      <c r="D3">
        <v>2.3939393939393939E-4</v>
      </c>
    </row>
    <row r="4" spans="1:7" x14ac:dyDescent="0.3">
      <c r="A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" s="1" t="s">
        <v>107</v>
      </c>
      <c r="C4">
        <v>21033.410559212829</v>
      </c>
      <c r="D4">
        <v>4.7878787878787878E-4</v>
      </c>
      <c r="F4" t="s">
        <v>113</v>
      </c>
      <c r="G4" t="s">
        <v>114</v>
      </c>
    </row>
    <row r="5" spans="1:7" x14ac:dyDescent="0.3">
      <c r="A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" s="1" t="s">
        <v>107</v>
      </c>
      <c r="C5">
        <v>21075.825835388321</v>
      </c>
      <c r="D5">
        <v>7.1818181818181811E-4</v>
      </c>
      <c r="F5">
        <f>MIN(C2:C101)</f>
        <v>20948.91809882304</v>
      </c>
      <c r="G5">
        <f>MAX(C2:C101)</f>
        <v>24978.678628939131</v>
      </c>
    </row>
    <row r="6" spans="1:7" x14ac:dyDescent="0.3">
      <c r="A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" s="1" t="s">
        <v>107</v>
      </c>
      <c r="C6">
        <v>21118.35423178734</v>
      </c>
      <c r="D6">
        <v>9.5757575757575756E-4</v>
      </c>
    </row>
    <row r="7" spans="1:7" x14ac:dyDescent="0.3">
      <c r="A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" s="1" t="s">
        <v>107</v>
      </c>
      <c r="C7">
        <v>21136.095915761722</v>
      </c>
      <c r="D7">
        <v>1.196969696969697E-3</v>
      </c>
    </row>
    <row r="8" spans="1:7" x14ac:dyDescent="0.3">
      <c r="A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" s="1" t="s">
        <v>107</v>
      </c>
      <c r="C8">
        <v>21178.841459956649</v>
      </c>
      <c r="D8">
        <v>1.436363636363636E-3</v>
      </c>
      <c r="F8" t="s">
        <v>113</v>
      </c>
      <c r="G8" t="s">
        <v>114</v>
      </c>
    </row>
    <row r="9" spans="1:7" x14ac:dyDescent="0.3">
      <c r="A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" s="1" t="s">
        <v>107</v>
      </c>
      <c r="C9">
        <v>21221.701075802612</v>
      </c>
      <c r="D9">
        <v>1.6757575757575761E-3</v>
      </c>
      <c r="F9">
        <f>MIN(C102:C201)</f>
        <v>9006.244289521801</v>
      </c>
      <c r="G9">
        <f>MAX(C102:C201)</f>
        <v>10871.11396175687</v>
      </c>
    </row>
    <row r="10" spans="1:7" x14ac:dyDescent="0.3">
      <c r="A1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0" s="1" t="s">
        <v>107</v>
      </c>
      <c r="C10">
        <v>21252.109193769931</v>
      </c>
      <c r="D10">
        <v>1.9151515151515149E-3</v>
      </c>
    </row>
    <row r="11" spans="1:7" x14ac:dyDescent="0.3">
      <c r="A11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1" s="1" t="s">
        <v>107</v>
      </c>
      <c r="C11">
        <v>21282.732675577419</v>
      </c>
      <c r="D11">
        <v>2.154545454545455E-3</v>
      </c>
    </row>
    <row r="12" spans="1:7" x14ac:dyDescent="0.3">
      <c r="A1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2" s="1" t="s">
        <v>107</v>
      </c>
      <c r="C12">
        <v>21325.916203227309</v>
      </c>
      <c r="D12">
        <v>2.393939393939394E-3</v>
      </c>
    </row>
    <row r="13" spans="1:7" x14ac:dyDescent="0.3">
      <c r="A1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3" s="1" t="s">
        <v>107</v>
      </c>
      <c r="C13">
        <v>21369.21507024132</v>
      </c>
      <c r="D13">
        <v>2.633333333333333E-3</v>
      </c>
    </row>
    <row r="14" spans="1:7" x14ac:dyDescent="0.3">
      <c r="A1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4" s="1" t="s">
        <v>107</v>
      </c>
      <c r="C14">
        <v>21400.053647241821</v>
      </c>
      <c r="D14">
        <v>2.872727272727272E-3</v>
      </c>
    </row>
    <row r="15" spans="1:7" x14ac:dyDescent="0.3">
      <c r="A1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5" s="1" t="s">
        <v>107</v>
      </c>
      <c r="C15">
        <v>21443.57152197506</v>
      </c>
      <c r="D15">
        <v>3.1121212121212119E-3</v>
      </c>
    </row>
    <row r="16" spans="1:7" x14ac:dyDescent="0.3">
      <c r="A1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6" s="1" t="s">
        <v>107</v>
      </c>
      <c r="C16">
        <v>21487.205702108731</v>
      </c>
      <c r="D16">
        <v>3.3515151515151509E-3</v>
      </c>
    </row>
    <row r="17" spans="1:4" x14ac:dyDescent="0.3">
      <c r="A1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7" s="1" t="s">
        <v>107</v>
      </c>
      <c r="C17">
        <v>21530.956514848389</v>
      </c>
      <c r="D17">
        <v>3.5909090909090908E-3</v>
      </c>
    </row>
    <row r="18" spans="1:4" x14ac:dyDescent="0.3">
      <c r="A1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8" s="1" t="s">
        <v>107</v>
      </c>
      <c r="C18">
        <v>21574.82428830834</v>
      </c>
      <c r="D18">
        <v>3.8303030303030298E-3</v>
      </c>
    </row>
    <row r="19" spans="1:4" x14ac:dyDescent="0.3">
      <c r="A1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9" s="1" t="s">
        <v>107</v>
      </c>
      <c r="C19">
        <v>21606.299077868789</v>
      </c>
      <c r="D19">
        <v>4.0696969696969697E-3</v>
      </c>
    </row>
    <row r="20" spans="1:4" x14ac:dyDescent="0.3">
      <c r="A2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0" s="1" t="s">
        <v>107</v>
      </c>
      <c r="C20">
        <v>21637.60658368851</v>
      </c>
      <c r="D20">
        <v>4.3090909090909091E-3</v>
      </c>
    </row>
    <row r="21" spans="1:4" x14ac:dyDescent="0.3">
      <c r="A21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1" s="1" t="s">
        <v>107</v>
      </c>
      <c r="C21">
        <v>21668.7935992934</v>
      </c>
      <c r="D21">
        <v>4.5484848484848494E-3</v>
      </c>
    </row>
    <row r="22" spans="1:4" x14ac:dyDescent="0.3">
      <c r="A2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2" s="1" t="s">
        <v>107</v>
      </c>
      <c r="C22">
        <v>21700.140598818762</v>
      </c>
      <c r="D22">
        <v>4.787878787878788E-3</v>
      </c>
    </row>
    <row r="23" spans="1:4" x14ac:dyDescent="0.3">
      <c r="A2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3" s="1" t="s">
        <v>107</v>
      </c>
      <c r="C23">
        <v>21744.5150619216</v>
      </c>
      <c r="D23">
        <v>5.0272727272727266E-3</v>
      </c>
    </row>
    <row r="24" spans="1:4" x14ac:dyDescent="0.3">
      <c r="A2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4" s="1" t="s">
        <v>107</v>
      </c>
      <c r="C24">
        <v>21775.7895486663</v>
      </c>
      <c r="D24">
        <v>5.2666666666666669E-3</v>
      </c>
    </row>
    <row r="25" spans="1:4" x14ac:dyDescent="0.3">
      <c r="A2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5" s="1" t="s">
        <v>107</v>
      </c>
      <c r="C25">
        <v>21820.364774606751</v>
      </c>
      <c r="D25">
        <v>5.5060606060606063E-3</v>
      </c>
    </row>
    <row r="26" spans="1:4" x14ac:dyDescent="0.3">
      <c r="A2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6" s="1" t="s">
        <v>107</v>
      </c>
      <c r="C26">
        <v>21852.453231252279</v>
      </c>
      <c r="D26">
        <v>5.7454545454545449E-3</v>
      </c>
    </row>
    <row r="27" spans="1:4" x14ac:dyDescent="0.3">
      <c r="A2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7" s="1" t="s">
        <v>107</v>
      </c>
      <c r="C27">
        <v>21884.83495678812</v>
      </c>
      <c r="D27">
        <v>5.9848484848484844E-3</v>
      </c>
    </row>
    <row r="28" spans="1:4" x14ac:dyDescent="0.3">
      <c r="A2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8" s="1" t="s">
        <v>107</v>
      </c>
      <c r="C28">
        <v>21916.940988328701</v>
      </c>
      <c r="D28">
        <v>6.2242424242424238E-3</v>
      </c>
    </row>
    <row r="29" spans="1:4" x14ac:dyDescent="0.3">
      <c r="A2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29" s="1" t="s">
        <v>107</v>
      </c>
      <c r="C29">
        <v>21961.972712441409</v>
      </c>
      <c r="D29">
        <v>6.4636363636363632E-3</v>
      </c>
    </row>
    <row r="30" spans="1:4" x14ac:dyDescent="0.3">
      <c r="A3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0" s="1" t="s">
        <v>107</v>
      </c>
      <c r="C30">
        <v>22007.125141975121</v>
      </c>
      <c r="D30">
        <v>6.7030303030303027E-3</v>
      </c>
    </row>
    <row r="31" spans="1:4" x14ac:dyDescent="0.3">
      <c r="A31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1" s="1" t="s">
        <v>107</v>
      </c>
      <c r="C31">
        <v>22052.39861658038</v>
      </c>
      <c r="D31">
        <v>6.9424242424242421E-3</v>
      </c>
    </row>
    <row r="32" spans="1:4" x14ac:dyDescent="0.3">
      <c r="A3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2" s="1" t="s">
        <v>107</v>
      </c>
      <c r="C32">
        <v>22085.293364054149</v>
      </c>
      <c r="D32">
        <v>7.1818181818181816E-3</v>
      </c>
    </row>
    <row r="33" spans="1:4" x14ac:dyDescent="0.3">
      <c r="A3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3" s="1" t="s">
        <v>107</v>
      </c>
      <c r="C33">
        <v>22118.069060275771</v>
      </c>
      <c r="D33">
        <v>7.421212121212121E-3</v>
      </c>
    </row>
    <row r="34" spans="1:4" x14ac:dyDescent="0.3">
      <c r="A3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4" s="1" t="s">
        <v>107</v>
      </c>
      <c r="C34">
        <v>22163.69500671007</v>
      </c>
      <c r="D34">
        <v>7.6606060606060596E-3</v>
      </c>
    </row>
    <row r="35" spans="1:4" x14ac:dyDescent="0.3">
      <c r="A3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5" s="1" t="s">
        <v>107</v>
      </c>
      <c r="C35">
        <v>22209.443360134839</v>
      </c>
      <c r="D35">
        <v>7.899999999999999E-3</v>
      </c>
    </row>
    <row r="36" spans="1:4" x14ac:dyDescent="0.3">
      <c r="A3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6" s="1" t="s">
        <v>107</v>
      </c>
      <c r="C36">
        <v>22255.314464935509</v>
      </c>
      <c r="D36">
        <v>8.1393939393939393E-3</v>
      </c>
    </row>
    <row r="37" spans="1:4" x14ac:dyDescent="0.3">
      <c r="A3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7" s="1" t="s">
        <v>107</v>
      </c>
      <c r="C37">
        <v>22301.30866645258</v>
      </c>
      <c r="D37">
        <v>8.3787878787878779E-3</v>
      </c>
    </row>
    <row r="38" spans="1:4" x14ac:dyDescent="0.3">
      <c r="A3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8" s="1" t="s">
        <v>107</v>
      </c>
      <c r="C38">
        <v>22334.166150513782</v>
      </c>
      <c r="D38">
        <v>8.6181818181818182E-3</v>
      </c>
    </row>
    <row r="39" spans="1:4" x14ac:dyDescent="0.3">
      <c r="A3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39" s="1" t="s">
        <v>107</v>
      </c>
      <c r="C39">
        <v>22366.390625486601</v>
      </c>
      <c r="D39">
        <v>8.8575757575757568E-3</v>
      </c>
    </row>
    <row r="40" spans="1:4" x14ac:dyDescent="0.3">
      <c r="A4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0" s="1" t="s">
        <v>107</v>
      </c>
      <c r="C40">
        <v>22412.687416926521</v>
      </c>
      <c r="D40">
        <v>9.0969696969696971E-3</v>
      </c>
    </row>
    <row r="41" spans="1:4" x14ac:dyDescent="0.3">
      <c r="A41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1" s="1" t="s">
        <v>107</v>
      </c>
      <c r="C41">
        <v>22432.945131793502</v>
      </c>
      <c r="D41">
        <v>9.3363636363636357E-3</v>
      </c>
    </row>
    <row r="42" spans="1:4" x14ac:dyDescent="0.3">
      <c r="A4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2" s="1" t="s">
        <v>107</v>
      </c>
      <c r="C42">
        <v>22466.522151243829</v>
      </c>
      <c r="D42">
        <v>9.575757575757576E-3</v>
      </c>
    </row>
    <row r="43" spans="1:4" x14ac:dyDescent="0.3">
      <c r="A4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3" s="1" t="s">
        <v>107</v>
      </c>
      <c r="C43">
        <v>22513.14508238847</v>
      </c>
      <c r="D43">
        <v>9.8151515151515146E-3</v>
      </c>
    </row>
    <row r="44" spans="1:4" x14ac:dyDescent="0.3">
      <c r="A4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4" s="1" t="s">
        <v>107</v>
      </c>
      <c r="C44">
        <v>22546.713247951091</v>
      </c>
      <c r="D44">
        <v>1.005454545454545E-2</v>
      </c>
    </row>
    <row r="45" spans="1:4" x14ac:dyDescent="0.3">
      <c r="A4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5" s="1" t="s">
        <v>107</v>
      </c>
      <c r="C45">
        <v>22593.568676384712</v>
      </c>
      <c r="D45">
        <v>1.029393939393939E-2</v>
      </c>
    </row>
    <row r="46" spans="1:4" x14ac:dyDescent="0.3">
      <c r="A4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6" s="1" t="s">
        <v>107</v>
      </c>
      <c r="C46">
        <v>22628.125084309511</v>
      </c>
      <c r="D46">
        <v>1.053333333333333E-2</v>
      </c>
    </row>
    <row r="47" spans="1:4" x14ac:dyDescent="0.3">
      <c r="A4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7" s="1" t="s">
        <v>107</v>
      </c>
      <c r="C47">
        <v>22661.260725078711</v>
      </c>
      <c r="D47">
        <v>1.0772727272727271E-2</v>
      </c>
    </row>
    <row r="48" spans="1:4" x14ac:dyDescent="0.3">
      <c r="A4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8" s="1" t="s">
        <v>107</v>
      </c>
      <c r="C48">
        <v>22708.458840064312</v>
      </c>
      <c r="D48">
        <v>1.1012121212121209E-2</v>
      </c>
    </row>
    <row r="49" spans="1:4" x14ac:dyDescent="0.3">
      <c r="A4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49" s="1" t="s">
        <v>107</v>
      </c>
      <c r="C49">
        <v>22743.00252952128</v>
      </c>
      <c r="D49">
        <v>1.125151515151515E-2</v>
      </c>
    </row>
    <row r="50" spans="1:4" x14ac:dyDescent="0.3">
      <c r="A5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0" s="1" t="s">
        <v>107</v>
      </c>
      <c r="C50">
        <v>22790.447263376671</v>
      </c>
      <c r="D50">
        <v>1.149090909090909E-2</v>
      </c>
    </row>
    <row r="51" spans="1:4" x14ac:dyDescent="0.3">
      <c r="A51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1" s="1" t="s">
        <v>107</v>
      </c>
      <c r="C51">
        <v>22838.01966831322</v>
      </c>
      <c r="D51">
        <v>1.173030303030303E-2</v>
      </c>
    </row>
    <row r="52" spans="1:4" x14ac:dyDescent="0.3">
      <c r="A5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2" s="1" t="s">
        <v>107</v>
      </c>
      <c r="C52">
        <v>22859.707373621841</v>
      </c>
      <c r="D52">
        <v>1.196969696969697E-2</v>
      </c>
    </row>
    <row r="53" spans="1:4" x14ac:dyDescent="0.3">
      <c r="A5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3" s="1" t="s">
        <v>107</v>
      </c>
      <c r="C53">
        <v>22907.512194363459</v>
      </c>
      <c r="D53">
        <v>1.2209090909090911E-2</v>
      </c>
    </row>
    <row r="54" spans="1:4" x14ac:dyDescent="0.3">
      <c r="A5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4" s="1" t="s">
        <v>107</v>
      </c>
      <c r="C54">
        <v>22955.445736743011</v>
      </c>
      <c r="D54">
        <v>1.2448484848484849E-2</v>
      </c>
    </row>
    <row r="55" spans="1:4" x14ac:dyDescent="0.3">
      <c r="A5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5" s="1" t="s">
        <v>107</v>
      </c>
      <c r="C55">
        <v>23003.50836292082</v>
      </c>
      <c r="D55">
        <v>1.268787878787879E-2</v>
      </c>
    </row>
    <row r="56" spans="1:4" x14ac:dyDescent="0.3">
      <c r="A5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6" s="1" t="s">
        <v>107</v>
      </c>
      <c r="C56">
        <v>23051.700436060109</v>
      </c>
      <c r="D56">
        <v>1.292727272727273E-2</v>
      </c>
    </row>
    <row r="57" spans="1:4" x14ac:dyDescent="0.3">
      <c r="A5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7" s="1" t="s">
        <v>107</v>
      </c>
      <c r="C57">
        <v>23100.022320329648</v>
      </c>
      <c r="D57">
        <v>1.316666666666667E-2</v>
      </c>
    </row>
    <row r="58" spans="1:4" x14ac:dyDescent="0.3">
      <c r="A5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8" s="1" t="s">
        <v>107</v>
      </c>
      <c r="C58">
        <v>23122.188617156378</v>
      </c>
      <c r="D58">
        <v>1.3406060606060611E-2</v>
      </c>
    </row>
    <row r="59" spans="1:4" x14ac:dyDescent="0.3">
      <c r="A5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59" s="1" t="s">
        <v>107</v>
      </c>
      <c r="C59">
        <v>23170.744961768371</v>
      </c>
      <c r="D59">
        <v>1.3645454545454549E-2</v>
      </c>
    </row>
    <row r="60" spans="1:4" x14ac:dyDescent="0.3">
      <c r="A6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0" s="1" t="s">
        <v>107</v>
      </c>
      <c r="C60">
        <v>23205.476207441399</v>
      </c>
      <c r="D60">
        <v>1.3884848484848481E-2</v>
      </c>
    </row>
    <row r="61" spans="1:4" x14ac:dyDescent="0.3">
      <c r="A61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1" s="1" t="s">
        <v>107</v>
      </c>
      <c r="C61">
        <v>23254.266872845819</v>
      </c>
      <c r="D61">
        <v>1.4124242424242419E-2</v>
      </c>
    </row>
    <row r="62" spans="1:4" x14ac:dyDescent="0.3">
      <c r="A6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2" s="1" t="s">
        <v>107</v>
      </c>
      <c r="C62">
        <v>23290.461845922029</v>
      </c>
      <c r="D62">
        <v>1.436363636363636E-2</v>
      </c>
    </row>
    <row r="63" spans="1:4" x14ac:dyDescent="0.3">
      <c r="A6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3" s="1" t="s">
        <v>107</v>
      </c>
      <c r="C63">
        <v>23339.510963266079</v>
      </c>
      <c r="D63">
        <v>1.46030303030303E-2</v>
      </c>
    </row>
    <row r="64" spans="1:4" x14ac:dyDescent="0.3">
      <c r="A6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4" s="1" t="s">
        <v>107</v>
      </c>
      <c r="C64">
        <v>23361.29881049024</v>
      </c>
      <c r="D64">
        <v>1.484242424242424E-2</v>
      </c>
    </row>
    <row r="65" spans="1:4" x14ac:dyDescent="0.3">
      <c r="A6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5" s="1" t="s">
        <v>107</v>
      </c>
      <c r="C65">
        <v>23410.568182303108</v>
      </c>
      <c r="D65">
        <v>1.5081818181818181E-2</v>
      </c>
    </row>
    <row r="66" spans="1:4" x14ac:dyDescent="0.3">
      <c r="A6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6" s="1" t="s">
        <v>107</v>
      </c>
      <c r="C66">
        <v>23459.970490256521</v>
      </c>
      <c r="D66">
        <v>1.5321212121212119E-2</v>
      </c>
    </row>
    <row r="67" spans="1:4" x14ac:dyDescent="0.3">
      <c r="A6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7" s="1" t="s">
        <v>107</v>
      </c>
      <c r="C67">
        <v>23494.981159365951</v>
      </c>
      <c r="D67">
        <v>1.5560606060606059E-2</v>
      </c>
    </row>
    <row r="68" spans="1:4" x14ac:dyDescent="0.3">
      <c r="A6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8" s="1" t="s">
        <v>107</v>
      </c>
      <c r="C68">
        <v>23531.342243176859</v>
      </c>
      <c r="D68">
        <v>1.5800000000000002E-2</v>
      </c>
    </row>
    <row r="69" spans="1:4" x14ac:dyDescent="0.3">
      <c r="A6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69" s="1" t="s">
        <v>107</v>
      </c>
      <c r="C69">
        <v>23581.097621077352</v>
      </c>
      <c r="D69">
        <v>1.603939393939394E-2</v>
      </c>
    </row>
    <row r="70" spans="1:4" x14ac:dyDescent="0.3">
      <c r="A7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0" s="1" t="s">
        <v>107</v>
      </c>
      <c r="C70">
        <v>23630.98735049017</v>
      </c>
      <c r="D70">
        <v>1.6278787878787879E-2</v>
      </c>
    </row>
    <row r="71" spans="1:4" x14ac:dyDescent="0.3">
      <c r="A71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1" s="1" t="s">
        <v>107</v>
      </c>
      <c r="C71">
        <v>23655.46353200882</v>
      </c>
      <c r="D71">
        <v>1.6518181818181821E-2</v>
      </c>
    </row>
    <row r="72" spans="1:4" x14ac:dyDescent="0.3">
      <c r="A7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2" s="1" t="s">
        <v>107</v>
      </c>
      <c r="C72">
        <v>23691.518512104161</v>
      </c>
      <c r="D72">
        <v>1.6757575757575759E-2</v>
      </c>
    </row>
    <row r="73" spans="1:4" x14ac:dyDescent="0.3">
      <c r="A7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3" s="1" t="s">
        <v>107</v>
      </c>
      <c r="C73">
        <v>23741.77811209681</v>
      </c>
      <c r="D73">
        <v>1.6996969696969701E-2</v>
      </c>
    </row>
    <row r="74" spans="1:4" x14ac:dyDescent="0.3">
      <c r="A7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4" s="1" t="s">
        <v>107</v>
      </c>
      <c r="C74">
        <v>23778.430370516311</v>
      </c>
      <c r="D74">
        <v>1.723636363636364E-2</v>
      </c>
    </row>
    <row r="75" spans="1:4" x14ac:dyDescent="0.3">
      <c r="A7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5" s="1" t="s">
        <v>107</v>
      </c>
      <c r="C75">
        <v>23828.942885564749</v>
      </c>
      <c r="D75">
        <v>1.7475757575757579E-2</v>
      </c>
    </row>
    <row r="76" spans="1:4" x14ac:dyDescent="0.3">
      <c r="A7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6" s="1" t="s">
        <v>107</v>
      </c>
      <c r="C76">
        <v>23879.591969457389</v>
      </c>
      <c r="D76">
        <v>1.771515151515151E-2</v>
      </c>
    </row>
    <row r="77" spans="1:4" x14ac:dyDescent="0.3">
      <c r="A7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7" s="1" t="s">
        <v>107</v>
      </c>
      <c r="C77">
        <v>23930.378006378251</v>
      </c>
      <c r="D77">
        <v>1.7954545454545459E-2</v>
      </c>
    </row>
    <row r="78" spans="1:4" x14ac:dyDescent="0.3">
      <c r="A7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8" s="1" t="s">
        <v>107</v>
      </c>
      <c r="C78">
        <v>23981.301381573161</v>
      </c>
      <c r="D78">
        <v>1.8193939393939391E-2</v>
      </c>
    </row>
    <row r="79" spans="1:4" x14ac:dyDescent="0.3">
      <c r="A7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79" s="1" t="s">
        <v>107</v>
      </c>
      <c r="C79">
        <v>24032.36248135268</v>
      </c>
      <c r="D79">
        <v>1.8433333333333329E-2</v>
      </c>
    </row>
    <row r="80" spans="1:4" x14ac:dyDescent="0.3">
      <c r="A8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0" s="1" t="s">
        <v>107</v>
      </c>
      <c r="C80">
        <v>24068.10491067186</v>
      </c>
      <c r="D80">
        <v>1.8672727272727271E-2</v>
      </c>
    </row>
    <row r="81" spans="1:4" x14ac:dyDescent="0.3">
      <c r="A81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1" s="1" t="s">
        <v>107</v>
      </c>
      <c r="C81">
        <v>24078.956863645879</v>
      </c>
      <c r="D81">
        <v>1.891212121212121E-2</v>
      </c>
    </row>
    <row r="82" spans="1:4" x14ac:dyDescent="0.3">
      <c r="A8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2" s="1" t="s">
        <v>107</v>
      </c>
      <c r="C82">
        <v>24117.518748157199</v>
      </c>
      <c r="D82">
        <v>1.9151515151515149E-2</v>
      </c>
    </row>
    <row r="83" spans="1:4" x14ac:dyDescent="0.3">
      <c r="A8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3" s="1" t="s">
        <v>107</v>
      </c>
      <c r="C83">
        <v>24154.900262170671</v>
      </c>
      <c r="D83">
        <v>1.9390909090909091E-2</v>
      </c>
    </row>
    <row r="84" spans="1:4" x14ac:dyDescent="0.3">
      <c r="A8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4" s="1" t="s">
        <v>107</v>
      </c>
      <c r="C84">
        <v>24206.542027305179</v>
      </c>
      <c r="D84">
        <v>1.9630303030303029E-2</v>
      </c>
    </row>
    <row r="85" spans="1:4" x14ac:dyDescent="0.3">
      <c r="A8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5" s="1" t="s">
        <v>107</v>
      </c>
      <c r="C85">
        <v>24244.59845727549</v>
      </c>
      <c r="D85">
        <v>1.9869696969696971E-2</v>
      </c>
    </row>
    <row r="86" spans="1:4" x14ac:dyDescent="0.3">
      <c r="A8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6" s="1" t="s">
        <v>107</v>
      </c>
      <c r="C86">
        <v>24296.503987017109</v>
      </c>
      <c r="D86">
        <v>2.010909090909091E-2</v>
      </c>
    </row>
    <row r="87" spans="1:4" x14ac:dyDescent="0.3">
      <c r="A8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7" s="1" t="s">
        <v>107</v>
      </c>
      <c r="C87">
        <v>24348.550138928229</v>
      </c>
      <c r="D87">
        <v>2.0348484848484848E-2</v>
      </c>
    </row>
    <row r="88" spans="1:4" x14ac:dyDescent="0.3">
      <c r="A8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8" s="1" t="s">
        <v>107</v>
      </c>
      <c r="C88">
        <v>24384.09755987419</v>
      </c>
      <c r="D88">
        <v>2.058787878787879E-2</v>
      </c>
    </row>
    <row r="89" spans="1:4" x14ac:dyDescent="0.3">
      <c r="A8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89" s="1" t="s">
        <v>107</v>
      </c>
      <c r="C89">
        <v>24423.727196756521</v>
      </c>
      <c r="D89">
        <v>2.0827272727272729E-2</v>
      </c>
    </row>
    <row r="90" spans="1:4" x14ac:dyDescent="0.3">
      <c r="A9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0" s="1" t="s">
        <v>107</v>
      </c>
      <c r="C90">
        <v>24476.138791089321</v>
      </c>
      <c r="D90">
        <v>2.1066666666666671E-2</v>
      </c>
    </row>
    <row r="91" spans="1:4" x14ac:dyDescent="0.3">
      <c r="A91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1" s="1" t="s">
        <v>107</v>
      </c>
      <c r="C91">
        <v>24528.692417865801</v>
      </c>
      <c r="D91">
        <v>2.130606060606061E-2</v>
      </c>
    </row>
    <row r="92" spans="1:4" x14ac:dyDescent="0.3">
      <c r="A92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2" s="1" t="s">
        <v>107</v>
      </c>
      <c r="C92">
        <v>24568.275127112891</v>
      </c>
      <c r="D92">
        <v>2.1545454545454541E-2</v>
      </c>
    </row>
    <row r="93" spans="1:4" x14ac:dyDescent="0.3">
      <c r="A93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3" s="1" t="s">
        <v>107</v>
      </c>
      <c r="C93">
        <v>24607.499466215409</v>
      </c>
      <c r="D93">
        <v>2.178484848484848E-2</v>
      </c>
    </row>
    <row r="94" spans="1:4" x14ac:dyDescent="0.3">
      <c r="A94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4" s="1" t="s">
        <v>107</v>
      </c>
      <c r="C94">
        <v>24660.460332618852</v>
      </c>
      <c r="D94">
        <v>2.2024242424242429E-2</v>
      </c>
    </row>
    <row r="95" spans="1:4" x14ac:dyDescent="0.3">
      <c r="A95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5" s="1" t="s">
        <v>107</v>
      </c>
      <c r="C95">
        <v>24698.604816462179</v>
      </c>
      <c r="D95">
        <v>2.226363636363636E-2</v>
      </c>
    </row>
    <row r="96" spans="1:4" x14ac:dyDescent="0.3">
      <c r="A96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6" s="1" t="s">
        <v>107</v>
      </c>
      <c r="C96">
        <v>24735.966058343762</v>
      </c>
      <c r="D96">
        <v>2.2503030303030299E-2</v>
      </c>
    </row>
    <row r="97" spans="1:4" x14ac:dyDescent="0.3">
      <c r="A97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7" s="1" t="s">
        <v>107</v>
      </c>
      <c r="C97">
        <v>24776.86351894369</v>
      </c>
      <c r="D97">
        <v>2.2742424242424241E-2</v>
      </c>
    </row>
    <row r="98" spans="1:4" x14ac:dyDescent="0.3">
      <c r="A98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8" s="1" t="s">
        <v>107</v>
      </c>
      <c r="C98">
        <v>24830.330667759568</v>
      </c>
      <c r="D98">
        <v>2.298181818181818E-2</v>
      </c>
    </row>
    <row r="99" spans="1:4" x14ac:dyDescent="0.3">
      <c r="A99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99" s="1" t="s">
        <v>107</v>
      </c>
      <c r="C99">
        <v>24883.942911710859</v>
      </c>
      <c r="D99">
        <v>2.3221212121212122E-2</v>
      </c>
    </row>
    <row r="100" spans="1:4" x14ac:dyDescent="0.3">
      <c r="A100" t="str">
        <f>IF(Tabelle25678910[[#This Row],[Auszahlung_aus_der_Szenario_Range]]="","",IFERROR(MID(Sensitivität_bzw_Monte_Carlo_bei_Strom[[#This Row],[Source.Name]],FIND("1",Sensitivität_bzw_Monte_Carlo_bei_Strom[[#This Row],[Source.Name]],1),1),2))</f>
        <v>1</v>
      </c>
      <c r="B100" s="1" t="s">
        <v>107</v>
      </c>
      <c r="C100">
        <v>24924.78007637769</v>
      </c>
      <c r="D100">
        <v>2.346060606060606E-2</v>
      </c>
    </row>
    <row r="101" spans="1:4" x14ac:dyDescent="0.3">
      <c r="A10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01" s="1" t="s">
        <v>107</v>
      </c>
      <c r="C101">
        <v>24978.678628939131</v>
      </c>
      <c r="D101">
        <v>2.3699999999999999E-2</v>
      </c>
    </row>
    <row r="102" spans="1:4" x14ac:dyDescent="0.3">
      <c r="A10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02" s="1" t="s">
        <v>85</v>
      </c>
      <c r="C102">
        <v>9006.244289521801</v>
      </c>
      <c r="D102">
        <v>0</v>
      </c>
    </row>
    <row r="103" spans="1:4" x14ac:dyDescent="0.3">
      <c r="A10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03" s="1" t="s">
        <v>85</v>
      </c>
      <c r="C103">
        <v>9026.034788826144</v>
      </c>
      <c r="D103">
        <v>2.3939393939393939E-4</v>
      </c>
    </row>
    <row r="104" spans="1:4" x14ac:dyDescent="0.3">
      <c r="A10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04" s="1" t="s">
        <v>85</v>
      </c>
      <c r="C104">
        <v>9033.4543489142907</v>
      </c>
      <c r="D104">
        <v>4.7878787878787878E-4</v>
      </c>
    </row>
    <row r="105" spans="1:4" x14ac:dyDescent="0.3">
      <c r="A10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05" s="1" t="s">
        <v>85</v>
      </c>
      <c r="C105">
        <v>9053.3682021098739</v>
      </c>
      <c r="D105">
        <v>7.1818181818181811E-4</v>
      </c>
    </row>
    <row r="106" spans="1:4" x14ac:dyDescent="0.3">
      <c r="A10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06" s="1" t="s">
        <v>85</v>
      </c>
      <c r="C106">
        <v>9060.770473101993</v>
      </c>
      <c r="D106">
        <v>9.5757575757575756E-4</v>
      </c>
    </row>
    <row r="107" spans="1:4" x14ac:dyDescent="0.3">
      <c r="A10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07" s="1" t="s">
        <v>85</v>
      </c>
      <c r="C107">
        <v>9068.1994268787494</v>
      </c>
      <c r="D107">
        <v>1.196969696969697E-3</v>
      </c>
    </row>
    <row r="108" spans="1:4" x14ac:dyDescent="0.3">
      <c r="A10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08" s="1" t="s">
        <v>85</v>
      </c>
      <c r="C108">
        <v>9075.5559656982823</v>
      </c>
      <c r="D108">
        <v>1.436363636363636E-3</v>
      </c>
    </row>
    <row r="109" spans="1:4" x14ac:dyDescent="0.3">
      <c r="A10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09" s="1" t="s">
        <v>85</v>
      </c>
      <c r="C109">
        <v>9095.6168578787401</v>
      </c>
      <c r="D109">
        <v>1.6757575757575761E-3</v>
      </c>
    </row>
    <row r="110" spans="1:4" x14ac:dyDescent="0.3">
      <c r="A11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0" s="1" t="s">
        <v>85</v>
      </c>
      <c r="C110">
        <v>9103.1160102543945</v>
      </c>
      <c r="D110">
        <v>1.9151515151515149E-3</v>
      </c>
    </row>
    <row r="111" spans="1:4" x14ac:dyDescent="0.3">
      <c r="A11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1" s="1" t="s">
        <v>85</v>
      </c>
      <c r="C111">
        <v>9123.2817280693926</v>
      </c>
      <c r="D111">
        <v>2.154545454545455E-3</v>
      </c>
    </row>
    <row r="112" spans="1:4" x14ac:dyDescent="0.3">
      <c r="A11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2" s="1" t="s">
        <v>85</v>
      </c>
      <c r="C112">
        <v>9130.9621497274202</v>
      </c>
      <c r="D112">
        <v>2.393939393939394E-3</v>
      </c>
    </row>
    <row r="113" spans="1:4" x14ac:dyDescent="0.3">
      <c r="A11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3" s="1" t="s">
        <v>85</v>
      </c>
      <c r="C113">
        <v>9151.246249700589</v>
      </c>
      <c r="D113">
        <v>2.633333333333333E-3</v>
      </c>
    </row>
    <row r="114" spans="1:4" x14ac:dyDescent="0.3">
      <c r="A11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4" s="1" t="s">
        <v>85</v>
      </c>
      <c r="C114">
        <v>9171.5961624982374</v>
      </c>
      <c r="D114">
        <v>2.872727272727272E-3</v>
      </c>
    </row>
    <row r="115" spans="1:4" x14ac:dyDescent="0.3">
      <c r="A11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5" s="1" t="s">
        <v>85</v>
      </c>
      <c r="C115">
        <v>9192.0121018875361</v>
      </c>
      <c r="D115">
        <v>3.1121212121212119E-3</v>
      </c>
    </row>
    <row r="116" spans="1:4" x14ac:dyDescent="0.3">
      <c r="A11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6" s="1" t="s">
        <v>85</v>
      </c>
      <c r="C116">
        <v>9186.9979748147434</v>
      </c>
      <c r="D116">
        <v>3.3515151515151509E-3</v>
      </c>
    </row>
    <row r="117" spans="1:4" x14ac:dyDescent="0.3">
      <c r="A11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7" s="1" t="s">
        <v>85</v>
      </c>
      <c r="C117">
        <v>9207.4992518920935</v>
      </c>
      <c r="D117">
        <v>3.5909090909090908E-3</v>
      </c>
    </row>
    <row r="118" spans="1:4" x14ac:dyDescent="0.3">
      <c r="A11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8" s="1" t="s">
        <v>85</v>
      </c>
      <c r="C118">
        <v>9228.0670387606897</v>
      </c>
      <c r="D118">
        <v>3.8303030303030298E-3</v>
      </c>
    </row>
    <row r="119" spans="1:4" x14ac:dyDescent="0.3">
      <c r="A11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19" s="1" t="s">
        <v>85</v>
      </c>
      <c r="C119">
        <v>9248.7015512878315</v>
      </c>
      <c r="D119">
        <v>4.0696969696969697E-3</v>
      </c>
    </row>
    <row r="120" spans="1:4" x14ac:dyDescent="0.3">
      <c r="A12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0" s="1" t="s">
        <v>85</v>
      </c>
      <c r="C120">
        <v>9269.4030059993584</v>
      </c>
      <c r="D120">
        <v>4.3090909090909091E-3</v>
      </c>
    </row>
    <row r="121" spans="1:4" x14ac:dyDescent="0.3">
      <c r="A12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1" s="1" t="s">
        <v>85</v>
      </c>
      <c r="C121">
        <v>9290.1716200815026</v>
      </c>
      <c r="D121">
        <v>4.5484848484848494E-3</v>
      </c>
    </row>
    <row r="122" spans="1:4" x14ac:dyDescent="0.3">
      <c r="A12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2" s="1" t="s">
        <v>85</v>
      </c>
      <c r="C122">
        <v>9311.0076113827836</v>
      </c>
      <c r="D122">
        <v>4.787878787878788E-3</v>
      </c>
    </row>
    <row r="123" spans="1:4" x14ac:dyDescent="0.3">
      <c r="A12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3" s="1" t="s">
        <v>85</v>
      </c>
      <c r="C123">
        <v>9331.9111984158735</v>
      </c>
      <c r="D123">
        <v>5.0272727272727266E-3</v>
      </c>
    </row>
    <row r="124" spans="1:4" x14ac:dyDescent="0.3">
      <c r="A12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4" s="1" t="s">
        <v>85</v>
      </c>
      <c r="C124">
        <v>9340.0668552157713</v>
      </c>
      <c r="D124">
        <v>5.2666666666666669E-3</v>
      </c>
    </row>
    <row r="125" spans="1:4" x14ac:dyDescent="0.3">
      <c r="A12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5" s="1" t="s">
        <v>85</v>
      </c>
      <c r="C125">
        <v>9361.088283376519</v>
      </c>
      <c r="D125">
        <v>5.5060606060606063E-3</v>
      </c>
    </row>
    <row r="126" spans="1:4" x14ac:dyDescent="0.3">
      <c r="A12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6" s="1" t="s">
        <v>85</v>
      </c>
      <c r="C126">
        <v>9369.201552093049</v>
      </c>
      <c r="D126">
        <v>5.7454545454545449E-3</v>
      </c>
    </row>
    <row r="127" spans="1:4" ht="13.8" customHeight="1" x14ac:dyDescent="0.3">
      <c r="A12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7" s="1" t="s">
        <v>85</v>
      </c>
      <c r="C127">
        <v>9377.0056316716036</v>
      </c>
      <c r="D127">
        <v>5.9848484848484844E-3</v>
      </c>
    </row>
    <row r="128" spans="1:4" x14ac:dyDescent="0.3">
      <c r="A12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8" s="1" t="s">
        <v>85</v>
      </c>
      <c r="C128">
        <v>9385.5501617742902</v>
      </c>
      <c r="D128">
        <v>6.2242424242424238E-3</v>
      </c>
    </row>
    <row r="129" spans="1:4" x14ac:dyDescent="0.3">
      <c r="A12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29" s="1" t="s">
        <v>85</v>
      </c>
      <c r="C129">
        <v>9406.7771820733669</v>
      </c>
      <c r="D129">
        <v>6.4636363636363632E-3</v>
      </c>
    </row>
    <row r="130" spans="1:4" x14ac:dyDescent="0.3">
      <c r="A13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0" s="1" t="s">
        <v>85</v>
      </c>
      <c r="C130">
        <v>9428.07318589631</v>
      </c>
      <c r="D130">
        <v>6.7030303030303027E-3</v>
      </c>
    </row>
    <row r="131" spans="1:4" x14ac:dyDescent="0.3">
      <c r="A13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1" s="1" t="s">
        <v>85</v>
      </c>
      <c r="C131">
        <v>9449.4383968260299</v>
      </c>
      <c r="D131">
        <v>6.9424242424242421E-3</v>
      </c>
    </row>
    <row r="132" spans="1:4" x14ac:dyDescent="0.3">
      <c r="A13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2" s="1" t="s">
        <v>85</v>
      </c>
      <c r="C132">
        <v>9457.5963655676824</v>
      </c>
      <c r="D132">
        <v>7.1818181818181816E-3</v>
      </c>
    </row>
    <row r="133" spans="1:4" x14ac:dyDescent="0.3">
      <c r="A13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3" s="1" t="s">
        <v>85</v>
      </c>
      <c r="C133">
        <v>9466.5687659687064</v>
      </c>
      <c r="D133">
        <v>7.421212121212121E-3</v>
      </c>
    </row>
    <row r="134" spans="1:4" x14ac:dyDescent="0.3">
      <c r="A13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4" s="1" t="s">
        <v>85</v>
      </c>
      <c r="C134">
        <v>9488.1111024153834</v>
      </c>
      <c r="D134">
        <v>7.6606060606060596E-3</v>
      </c>
    </row>
    <row r="135" spans="1:4" x14ac:dyDescent="0.3">
      <c r="A13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5" s="1" t="s">
        <v>85</v>
      </c>
      <c r="C135">
        <v>9509.723488323174</v>
      </c>
      <c r="D135">
        <v>7.899999999999999E-3</v>
      </c>
    </row>
    <row r="136" spans="1:4" x14ac:dyDescent="0.3">
      <c r="A13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6" s="1" t="s">
        <v>85</v>
      </c>
      <c r="C136">
        <v>9531.4061505918598</v>
      </c>
      <c r="D136">
        <v>8.1393939393939393E-3</v>
      </c>
    </row>
    <row r="137" spans="1:4" x14ac:dyDescent="0.3">
      <c r="A13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7" s="1" t="s">
        <v>85</v>
      </c>
      <c r="C137">
        <v>9553.159316811465</v>
      </c>
      <c r="D137">
        <v>8.3787878787878779E-3</v>
      </c>
    </row>
    <row r="138" spans="1:4" x14ac:dyDescent="0.3">
      <c r="A13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8" s="1" t="s">
        <v>85</v>
      </c>
      <c r="C138">
        <v>9574.9832152642321</v>
      </c>
      <c r="D138">
        <v>8.6181818181818182E-3</v>
      </c>
    </row>
    <row r="139" spans="1:4" x14ac:dyDescent="0.3">
      <c r="A13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39" s="1" t="s">
        <v>85</v>
      </c>
      <c r="C139">
        <v>9596.8780749265479</v>
      </c>
      <c r="D139">
        <v>8.8575757575757568E-3</v>
      </c>
    </row>
    <row r="140" spans="1:4" x14ac:dyDescent="0.3">
      <c r="A14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0" s="1" t="s">
        <v>85</v>
      </c>
      <c r="C140">
        <v>9618.8441254709414</v>
      </c>
      <c r="D140">
        <v>9.0969696969696971E-3</v>
      </c>
    </row>
    <row r="141" spans="1:4" x14ac:dyDescent="0.3">
      <c r="A14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1" s="1" t="s">
        <v>85</v>
      </c>
      <c r="C141">
        <v>9640.8815972680295</v>
      </c>
      <c r="D141">
        <v>9.3363636363636357E-3</v>
      </c>
    </row>
    <row r="142" spans="1:4" x14ac:dyDescent="0.3">
      <c r="A14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2" s="1" t="s">
        <v>85</v>
      </c>
      <c r="C142">
        <v>9662.9907213885144</v>
      </c>
      <c r="D142">
        <v>9.575757575757576E-3</v>
      </c>
    </row>
    <row r="143" spans="1:4" x14ac:dyDescent="0.3">
      <c r="A14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3" s="1" t="s">
        <v>85</v>
      </c>
      <c r="C143">
        <v>9685.1717296051647</v>
      </c>
      <c r="D143">
        <v>9.8151515151515146E-3</v>
      </c>
    </row>
    <row r="144" spans="1:4" x14ac:dyDescent="0.3">
      <c r="A14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4" s="1" t="s">
        <v>85</v>
      </c>
      <c r="C144">
        <v>9707.4248543947779</v>
      </c>
      <c r="D144">
        <v>1.005454545454545E-2</v>
      </c>
    </row>
    <row r="145" spans="1:4" x14ac:dyDescent="0.3">
      <c r="A14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5" s="1" t="s">
        <v>85</v>
      </c>
      <c r="C145">
        <v>9729.7503289401957</v>
      </c>
      <c r="D145">
        <v>1.029393939393939E-2</v>
      </c>
    </row>
    <row r="146" spans="1:4" x14ac:dyDescent="0.3">
      <c r="A14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6" s="1" t="s">
        <v>85</v>
      </c>
      <c r="C146">
        <v>9752.1483871322998</v>
      </c>
      <c r="D146">
        <v>1.053333333333333E-2</v>
      </c>
    </row>
    <row r="147" spans="1:4" x14ac:dyDescent="0.3">
      <c r="A14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7" s="1" t="s">
        <v>85</v>
      </c>
      <c r="C147">
        <v>9774.6192635720072</v>
      </c>
      <c r="D147">
        <v>1.0772727272727271E-2</v>
      </c>
    </row>
    <row r="148" spans="1:4" x14ac:dyDescent="0.3">
      <c r="A14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8" s="1" t="s">
        <v>85</v>
      </c>
      <c r="C148">
        <v>9797.1631935722744</v>
      </c>
      <c r="D148">
        <v>1.1012121212121209E-2</v>
      </c>
    </row>
    <row r="149" spans="1:4" x14ac:dyDescent="0.3">
      <c r="A14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49" s="1" t="s">
        <v>85</v>
      </c>
      <c r="C149">
        <v>9819.7804131601188</v>
      </c>
      <c r="D149">
        <v>1.125151515151515E-2</v>
      </c>
    </row>
    <row r="150" spans="1:4" x14ac:dyDescent="0.3">
      <c r="A15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0" s="1" t="s">
        <v>85</v>
      </c>
      <c r="C150">
        <v>9842.4711590786392</v>
      </c>
      <c r="D150">
        <v>1.149090909090909E-2</v>
      </c>
    </row>
    <row r="151" spans="1:4" x14ac:dyDescent="0.3">
      <c r="A15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1" s="1" t="s">
        <v>85</v>
      </c>
      <c r="C151">
        <v>9865.2356687890242</v>
      </c>
      <c r="D151">
        <v>1.173030303030303E-2</v>
      </c>
    </row>
    <row r="152" spans="1:4" x14ac:dyDescent="0.3">
      <c r="A15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2" s="1" t="s">
        <v>85</v>
      </c>
      <c r="C152">
        <v>9888.0741804726076</v>
      </c>
      <c r="D152">
        <v>1.196969696969697E-2</v>
      </c>
    </row>
    <row r="153" spans="1:4" x14ac:dyDescent="0.3">
      <c r="A15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3" s="1" t="s">
        <v>85</v>
      </c>
      <c r="C153">
        <v>9896.795623677348</v>
      </c>
      <c r="D153">
        <v>1.2209090909090911E-2</v>
      </c>
    </row>
    <row r="154" spans="1:4" x14ac:dyDescent="0.3">
      <c r="A15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4" s="1" t="s">
        <v>85</v>
      </c>
      <c r="C154">
        <v>9906.7919899754961</v>
      </c>
      <c r="D154">
        <v>1.2448484848484849E-2</v>
      </c>
    </row>
    <row r="155" spans="1:4" x14ac:dyDescent="0.3">
      <c r="A15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5" s="1" t="s">
        <v>85</v>
      </c>
      <c r="C155">
        <v>9929.806677508077</v>
      </c>
      <c r="D155">
        <v>1.268787878787879E-2</v>
      </c>
    </row>
    <row r="156" spans="1:4" x14ac:dyDescent="0.3">
      <c r="A15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6" s="1" t="s">
        <v>85</v>
      </c>
      <c r="C156">
        <v>9939.3475052099402</v>
      </c>
      <c r="D156">
        <v>1.292727272727273E-2</v>
      </c>
    </row>
    <row r="157" spans="1:4" x14ac:dyDescent="0.3">
      <c r="A15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7" s="1" t="s">
        <v>85</v>
      </c>
      <c r="C157">
        <v>9962.4905473592571</v>
      </c>
      <c r="D157">
        <v>1.316666666666667E-2</v>
      </c>
    </row>
    <row r="158" spans="1:4" x14ac:dyDescent="0.3">
      <c r="A15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8" s="1" t="s">
        <v>85</v>
      </c>
      <c r="C158">
        <v>9985.7089105795985</v>
      </c>
      <c r="D158">
        <v>1.3406060606060611E-2</v>
      </c>
    </row>
    <row r="159" spans="1:4" x14ac:dyDescent="0.3">
      <c r="A15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59" s="1" t="s">
        <v>85</v>
      </c>
      <c r="C159">
        <v>10009.00283791688</v>
      </c>
      <c r="D159">
        <v>1.3645454545454549E-2</v>
      </c>
    </row>
    <row r="160" spans="1:4" x14ac:dyDescent="0.3">
      <c r="A16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0" s="1" t="s">
        <v>85</v>
      </c>
      <c r="C160">
        <v>10007.23043976197</v>
      </c>
      <c r="D160">
        <v>1.3884848484848481E-2</v>
      </c>
    </row>
    <row r="161" spans="1:4" x14ac:dyDescent="0.3">
      <c r="A16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1" s="1" t="s">
        <v>85</v>
      </c>
      <c r="C161">
        <v>10017.33306437001</v>
      </c>
      <c r="D161">
        <v>1.4124242424242419E-2</v>
      </c>
    </row>
    <row r="162" spans="1:4" x14ac:dyDescent="0.3">
      <c r="A16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2" s="1" t="s">
        <v>85</v>
      </c>
      <c r="C162">
        <v>10025.774774365051</v>
      </c>
      <c r="D162">
        <v>1.436363636363636E-2</v>
      </c>
    </row>
    <row r="163" spans="1:4" x14ac:dyDescent="0.3">
      <c r="A16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3" s="1" t="s">
        <v>85</v>
      </c>
      <c r="C163">
        <v>10049.304328495249</v>
      </c>
      <c r="D163">
        <v>1.46030303030303E-2</v>
      </c>
    </row>
    <row r="164" spans="1:4" x14ac:dyDescent="0.3">
      <c r="A16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4" s="1" t="s">
        <v>85</v>
      </c>
      <c r="C164">
        <v>10072.91051247711</v>
      </c>
      <c r="D164">
        <v>1.484242424242424E-2</v>
      </c>
    </row>
    <row r="165" spans="1:4" x14ac:dyDescent="0.3">
      <c r="A16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5" s="1" t="s">
        <v>85</v>
      </c>
      <c r="C165">
        <v>10096.59357339101</v>
      </c>
      <c r="D165">
        <v>1.5081818181818181E-2</v>
      </c>
    </row>
    <row r="166" spans="1:4" x14ac:dyDescent="0.3">
      <c r="A16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6" s="1" t="s">
        <v>85</v>
      </c>
      <c r="C166">
        <v>10120.35375906493</v>
      </c>
      <c r="D166">
        <v>1.5321212121212119E-2</v>
      </c>
    </row>
    <row r="167" spans="1:4" x14ac:dyDescent="0.3">
      <c r="A16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7" s="1" t="s">
        <v>85</v>
      </c>
      <c r="C167">
        <v>10144.191318076601</v>
      </c>
      <c r="D167">
        <v>1.5560606060606059E-2</v>
      </c>
    </row>
    <row r="168" spans="1:4" x14ac:dyDescent="0.3">
      <c r="A16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8" s="1" t="s">
        <v>85</v>
      </c>
      <c r="C168">
        <v>10168.10649975561</v>
      </c>
      <c r="D168">
        <v>1.5800000000000002E-2</v>
      </c>
    </row>
    <row r="169" spans="1:4" x14ac:dyDescent="0.3">
      <c r="A16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69" s="1" t="s">
        <v>85</v>
      </c>
      <c r="C169">
        <v>10192.099554185481</v>
      </c>
      <c r="D169">
        <v>1.603939393939394E-2</v>
      </c>
    </row>
    <row r="170" spans="1:4" x14ac:dyDescent="0.3">
      <c r="A17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0" s="1" t="s">
        <v>85</v>
      </c>
      <c r="C170">
        <v>10216.17073220583</v>
      </c>
      <c r="D170">
        <v>1.6278787878787879E-2</v>
      </c>
    </row>
    <row r="171" spans="1:4" x14ac:dyDescent="0.3">
      <c r="A17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1" s="1" t="s">
        <v>85</v>
      </c>
      <c r="C171">
        <v>10240.320285414509</v>
      </c>
      <c r="D171">
        <v>1.6518181818181821E-2</v>
      </c>
    </row>
    <row r="172" spans="1:4" x14ac:dyDescent="0.3">
      <c r="A17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2" s="1" t="s">
        <v>85</v>
      </c>
      <c r="C172">
        <v>10264.548466169699</v>
      </c>
      <c r="D172">
        <v>1.6757575757575759E-2</v>
      </c>
    </row>
    <row r="173" spans="1:4" x14ac:dyDescent="0.3">
      <c r="A17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3" s="1" t="s">
        <v>85</v>
      </c>
      <c r="C173">
        <v>10288.85552759209</v>
      </c>
      <c r="D173">
        <v>1.6996969696969701E-2</v>
      </c>
    </row>
    <row r="174" spans="1:4" x14ac:dyDescent="0.3">
      <c r="A17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4" s="1" t="s">
        <v>85</v>
      </c>
      <c r="C174">
        <v>10298.891647821951</v>
      </c>
      <c r="D174">
        <v>1.723636363636364E-2</v>
      </c>
    </row>
    <row r="175" spans="1:4" x14ac:dyDescent="0.3">
      <c r="A17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5" s="1" t="s">
        <v>85</v>
      </c>
      <c r="C175">
        <v>10323.328704240759</v>
      </c>
      <c r="D175">
        <v>1.7475757575757579E-2</v>
      </c>
    </row>
    <row r="176" spans="1:4" x14ac:dyDescent="0.3">
      <c r="A17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6" s="1" t="s">
        <v>85</v>
      </c>
      <c r="C176">
        <v>10347.845354250279</v>
      </c>
      <c r="D176">
        <v>1.771515151515151E-2</v>
      </c>
    </row>
    <row r="177" spans="1:4" x14ac:dyDescent="0.3">
      <c r="A17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7" s="1" t="s">
        <v>85</v>
      </c>
      <c r="C177">
        <v>10372.44185396152</v>
      </c>
      <c r="D177">
        <v>1.7954545454545459E-2</v>
      </c>
    </row>
    <row r="178" spans="1:4" x14ac:dyDescent="0.3">
      <c r="A17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8" s="1" t="s">
        <v>85</v>
      </c>
      <c r="C178">
        <v>10382.207530134299</v>
      </c>
      <c r="D178">
        <v>1.8193939393939391E-2</v>
      </c>
    </row>
    <row r="179" spans="1:4" x14ac:dyDescent="0.3">
      <c r="A17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79" s="1" t="s">
        <v>85</v>
      </c>
      <c r="C179">
        <v>10394.311159850609</v>
      </c>
      <c r="D179">
        <v>1.8433333333333329E-2</v>
      </c>
    </row>
    <row r="180" spans="1:4" x14ac:dyDescent="0.3">
      <c r="A18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0" s="1" t="s">
        <v>85</v>
      </c>
      <c r="C180">
        <v>10419.11062031529</v>
      </c>
      <c r="D180">
        <v>1.8672727272727271E-2</v>
      </c>
    </row>
    <row r="181" spans="1:4" x14ac:dyDescent="0.3">
      <c r="A18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1" s="1" t="s">
        <v>85</v>
      </c>
      <c r="C181">
        <v>10443.99088484088</v>
      </c>
      <c r="D181">
        <v>1.891212121212121E-2</v>
      </c>
    </row>
    <row r="182" spans="1:4" x14ac:dyDescent="0.3">
      <c r="A18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2" s="1" t="s">
        <v>85</v>
      </c>
      <c r="C182">
        <v>10468.952213271479</v>
      </c>
      <c r="D182">
        <v>1.9151515151515149E-2</v>
      </c>
    </row>
    <row r="183" spans="1:4" x14ac:dyDescent="0.3">
      <c r="A18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3" s="1" t="s">
        <v>85</v>
      </c>
      <c r="C183">
        <v>10493.99486623496</v>
      </c>
      <c r="D183">
        <v>1.9390909090909091E-2</v>
      </c>
    </row>
    <row r="184" spans="1:4" x14ac:dyDescent="0.3">
      <c r="A18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4" s="1" t="s">
        <v>85</v>
      </c>
      <c r="C184">
        <v>10506.06794673629</v>
      </c>
      <c r="D184">
        <v>1.9630303030303029E-2</v>
      </c>
    </row>
    <row r="185" spans="1:4" x14ac:dyDescent="0.3">
      <c r="A18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5" s="1" t="s">
        <v>85</v>
      </c>
      <c r="C185">
        <v>10517.76686691997</v>
      </c>
      <c r="D185">
        <v>1.9869696969696971E-2</v>
      </c>
    </row>
    <row r="186" spans="1:4" x14ac:dyDescent="0.3">
      <c r="A18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6" s="1" t="s">
        <v>85</v>
      </c>
      <c r="C186">
        <v>10527.051517211459</v>
      </c>
      <c r="D186">
        <v>2.010909090909091E-2</v>
      </c>
    </row>
    <row r="187" spans="1:4" x14ac:dyDescent="0.3">
      <c r="A18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7" s="1" t="s">
        <v>85</v>
      </c>
      <c r="C187">
        <v>10552.353356596061</v>
      </c>
      <c r="D187">
        <v>2.0348484848484848E-2</v>
      </c>
    </row>
    <row r="188" spans="1:4" x14ac:dyDescent="0.3">
      <c r="A18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8" s="1" t="s">
        <v>85</v>
      </c>
      <c r="C188">
        <v>10577.73768966293</v>
      </c>
      <c r="D188">
        <v>2.058787878787879E-2</v>
      </c>
    </row>
    <row r="189" spans="1:4" x14ac:dyDescent="0.3">
      <c r="A18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89" s="1" t="s">
        <v>85</v>
      </c>
      <c r="C189">
        <v>10603.20478144168</v>
      </c>
      <c r="D189">
        <v>2.0827272727272729E-2</v>
      </c>
    </row>
    <row r="190" spans="1:4" x14ac:dyDescent="0.3">
      <c r="A19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0" s="1" t="s">
        <v>85</v>
      </c>
      <c r="C190">
        <v>10628.754897760489</v>
      </c>
      <c r="D190">
        <v>2.1066666666666671E-2</v>
      </c>
    </row>
    <row r="191" spans="1:4" x14ac:dyDescent="0.3">
      <c r="A19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1" s="1" t="s">
        <v>85</v>
      </c>
      <c r="C191">
        <v>10654.38830524828</v>
      </c>
      <c r="D191">
        <v>2.130606060606061E-2</v>
      </c>
    </row>
    <row r="192" spans="1:4" x14ac:dyDescent="0.3">
      <c r="A192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2" s="1" t="s">
        <v>85</v>
      </c>
      <c r="C192">
        <v>10680.10527133703</v>
      </c>
      <c r="D192">
        <v>2.1545454545454541E-2</v>
      </c>
    </row>
    <row r="193" spans="1:4" x14ac:dyDescent="0.3">
      <c r="A193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3" s="1" t="s">
        <v>85</v>
      </c>
      <c r="C193">
        <v>10705.906064264</v>
      </c>
      <c r="D193">
        <v>2.178484848484848E-2</v>
      </c>
    </row>
    <row r="194" spans="1:4" x14ac:dyDescent="0.3">
      <c r="A194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4" s="1" t="s">
        <v>85</v>
      </c>
      <c r="C194">
        <v>10731.79095307396</v>
      </c>
      <c r="D194">
        <v>2.2024242424242429E-2</v>
      </c>
    </row>
    <row r="195" spans="1:4" x14ac:dyDescent="0.3">
      <c r="A195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5" s="1" t="s">
        <v>85</v>
      </c>
      <c r="C195">
        <v>10757.760207621521</v>
      </c>
      <c r="D195">
        <v>2.226363636363636E-2</v>
      </c>
    </row>
    <row r="196" spans="1:4" x14ac:dyDescent="0.3">
      <c r="A196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6" s="1" t="s">
        <v>85</v>
      </c>
      <c r="C196">
        <v>10783.814098573341</v>
      </c>
      <c r="D196">
        <v>2.2503030303030299E-2</v>
      </c>
    </row>
    <row r="197" spans="1:4" x14ac:dyDescent="0.3">
      <c r="A197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7" s="1" t="s">
        <v>85</v>
      </c>
      <c r="C197">
        <v>10794.646082744301</v>
      </c>
      <c r="D197">
        <v>2.2742424242424241E-2</v>
      </c>
    </row>
    <row r="198" spans="1:4" x14ac:dyDescent="0.3">
      <c r="A198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8" s="1" t="s">
        <v>85</v>
      </c>
      <c r="C198">
        <v>10820.83673693988</v>
      </c>
      <c r="D198">
        <v>2.298181818181818E-2</v>
      </c>
    </row>
    <row r="199" spans="1:4" x14ac:dyDescent="0.3">
      <c r="A199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199" s="1" t="s">
        <v>85</v>
      </c>
      <c r="C199">
        <v>10834.68777849141</v>
      </c>
      <c r="D199">
        <v>2.3221212121212122E-2</v>
      </c>
    </row>
    <row r="200" spans="1:4" x14ac:dyDescent="0.3">
      <c r="A200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200" s="1" t="s">
        <v>85</v>
      </c>
      <c r="C200">
        <v>10861.049481219259</v>
      </c>
      <c r="D200">
        <v>2.346060606060606E-2</v>
      </c>
    </row>
    <row r="201" spans="1:4" x14ac:dyDescent="0.3">
      <c r="A201">
        <f>IF(Tabelle25678910[[#This Row],[Auszahlung_aus_der_Szenario_Range]]="","",IFERROR(MID(Sensitivität_bzw_Monte_Carlo_bei_Strom[[#This Row],[Source.Name]],FIND("1",Sensitivität_bzw_Monte_Carlo_bei_Strom[[#This Row],[Source.Name]],1),1),2))</f>
        <v>2</v>
      </c>
      <c r="B201" s="1" t="s">
        <v>85</v>
      </c>
      <c r="C201">
        <v>10871.11396175687</v>
      </c>
      <c r="D201">
        <v>2.3699999999999999E-2</v>
      </c>
    </row>
    <row r="303" spans="2:2" x14ac:dyDescent="0.3">
      <c r="B3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4" spans="2:2" x14ac:dyDescent="0.3">
      <c r="B3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5" spans="2:2" x14ac:dyDescent="0.3">
      <c r="B3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6" spans="2:2" x14ac:dyDescent="0.3">
      <c r="B3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7" spans="2:2" x14ac:dyDescent="0.3">
      <c r="B3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8" spans="2:2" x14ac:dyDescent="0.3">
      <c r="B3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9" spans="2:2" x14ac:dyDescent="0.3">
      <c r="B3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0" spans="2:2" x14ac:dyDescent="0.3">
      <c r="B3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1" spans="2:2" x14ac:dyDescent="0.3">
      <c r="B3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2" spans="2:2" x14ac:dyDescent="0.3">
      <c r="B3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3" spans="2:2" x14ac:dyDescent="0.3">
      <c r="B3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4" spans="2:2" x14ac:dyDescent="0.3">
      <c r="B3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5" spans="2:2" x14ac:dyDescent="0.3">
      <c r="B3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6" spans="2:2" x14ac:dyDescent="0.3">
      <c r="B3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7" spans="2:2" x14ac:dyDescent="0.3">
      <c r="B3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8" spans="2:2" x14ac:dyDescent="0.3">
      <c r="B3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9" spans="2:2" x14ac:dyDescent="0.3">
      <c r="B3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0" spans="2:2" x14ac:dyDescent="0.3">
      <c r="B3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1" spans="2:2" x14ac:dyDescent="0.3">
      <c r="B3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2" spans="2:2" x14ac:dyDescent="0.3">
      <c r="B3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3" spans="2:2" x14ac:dyDescent="0.3">
      <c r="B3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4" spans="2:2" x14ac:dyDescent="0.3">
      <c r="B3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5" spans="2:2" x14ac:dyDescent="0.3">
      <c r="B3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6" spans="2:2" x14ac:dyDescent="0.3">
      <c r="B3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7" spans="2:2" x14ac:dyDescent="0.3">
      <c r="B3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8" spans="2:2" x14ac:dyDescent="0.3">
      <c r="B3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9" spans="2:2" x14ac:dyDescent="0.3">
      <c r="B3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0" spans="2:2" x14ac:dyDescent="0.3">
      <c r="B3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1" spans="2:2" x14ac:dyDescent="0.3">
      <c r="B3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2" spans="2:2" x14ac:dyDescent="0.3">
      <c r="B3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3" spans="2:2" x14ac:dyDescent="0.3">
      <c r="B3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4" spans="2:2" x14ac:dyDescent="0.3">
      <c r="B3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5" spans="2:2" x14ac:dyDescent="0.3">
      <c r="B3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6" spans="2:2" x14ac:dyDescent="0.3">
      <c r="B3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7" spans="2:2" x14ac:dyDescent="0.3">
      <c r="B3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8" spans="2:2" x14ac:dyDescent="0.3">
      <c r="B3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9" spans="2:2" x14ac:dyDescent="0.3">
      <c r="B3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0" spans="2:2" x14ac:dyDescent="0.3">
      <c r="B3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1" spans="2:2" x14ac:dyDescent="0.3">
      <c r="B3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2" spans="2:2" x14ac:dyDescent="0.3">
      <c r="B3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3" spans="2:2" x14ac:dyDescent="0.3">
      <c r="B3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4" spans="2:2" x14ac:dyDescent="0.3">
      <c r="B3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5" spans="2:2" x14ac:dyDescent="0.3">
      <c r="B3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6" spans="2:2" x14ac:dyDescent="0.3">
      <c r="B3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7" spans="2:2" x14ac:dyDescent="0.3">
      <c r="B3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8" spans="2:2" x14ac:dyDescent="0.3">
      <c r="B3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9" spans="2:2" x14ac:dyDescent="0.3">
      <c r="B3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0" spans="2:2" x14ac:dyDescent="0.3">
      <c r="B3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1" spans="2:2" x14ac:dyDescent="0.3">
      <c r="B3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2" spans="2:2" x14ac:dyDescent="0.3">
      <c r="B3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3" spans="2:2" x14ac:dyDescent="0.3">
      <c r="B3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4" spans="2:2" x14ac:dyDescent="0.3">
      <c r="B3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5" spans="2:2" x14ac:dyDescent="0.3">
      <c r="B3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6" spans="2:2" x14ac:dyDescent="0.3">
      <c r="B3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7" spans="2:2" x14ac:dyDescent="0.3">
      <c r="B3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8" spans="2:2" x14ac:dyDescent="0.3">
      <c r="B3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9" spans="2:2" x14ac:dyDescent="0.3">
      <c r="B3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0" spans="2:2" x14ac:dyDescent="0.3">
      <c r="B3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1" spans="2:2" x14ac:dyDescent="0.3">
      <c r="B3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2" spans="2:2" x14ac:dyDescent="0.3">
      <c r="B3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3" spans="2:2" x14ac:dyDescent="0.3">
      <c r="B3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4" spans="2:2" x14ac:dyDescent="0.3">
      <c r="B3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5" spans="2:2" x14ac:dyDescent="0.3">
      <c r="B3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6" spans="2:2" x14ac:dyDescent="0.3">
      <c r="B3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7" spans="2:2" x14ac:dyDescent="0.3">
      <c r="B3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8" spans="2:2" x14ac:dyDescent="0.3">
      <c r="B3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9" spans="2:2" x14ac:dyDescent="0.3">
      <c r="B3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0" spans="2:2" x14ac:dyDescent="0.3">
      <c r="B3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1" spans="2:2" x14ac:dyDescent="0.3">
      <c r="B3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2" spans="2:2" x14ac:dyDescent="0.3">
      <c r="B3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3" spans="2:2" x14ac:dyDescent="0.3">
      <c r="B3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4" spans="2:2" x14ac:dyDescent="0.3">
      <c r="B3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5" spans="2:2" x14ac:dyDescent="0.3">
      <c r="B3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6" spans="2:2" x14ac:dyDescent="0.3">
      <c r="B3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7" spans="2:2" x14ac:dyDescent="0.3">
      <c r="B3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8" spans="2:2" x14ac:dyDescent="0.3">
      <c r="B3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9" spans="2:2" x14ac:dyDescent="0.3">
      <c r="B3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0" spans="2:2" x14ac:dyDescent="0.3">
      <c r="B3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1" spans="2:2" x14ac:dyDescent="0.3">
      <c r="B3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2" spans="2:2" x14ac:dyDescent="0.3">
      <c r="B3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3" spans="2:2" x14ac:dyDescent="0.3">
      <c r="B3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4" spans="2:2" x14ac:dyDescent="0.3">
      <c r="B3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5" spans="2:2" x14ac:dyDescent="0.3">
      <c r="B3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6" spans="2:2" x14ac:dyDescent="0.3">
      <c r="B3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7" spans="2:2" x14ac:dyDescent="0.3">
      <c r="B3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8" spans="2:2" x14ac:dyDescent="0.3">
      <c r="B3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9" spans="2:2" x14ac:dyDescent="0.3">
      <c r="B3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0" spans="2:2" x14ac:dyDescent="0.3">
      <c r="B3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1" spans="2:2" x14ac:dyDescent="0.3">
      <c r="B3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2" spans="2:2" x14ac:dyDescent="0.3">
      <c r="B3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3" spans="2:2" x14ac:dyDescent="0.3">
      <c r="B3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4" spans="2:2" x14ac:dyDescent="0.3">
      <c r="B3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5" spans="2:2" x14ac:dyDescent="0.3">
      <c r="B3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6" spans="2:2" x14ac:dyDescent="0.3">
      <c r="B3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7" spans="2:2" x14ac:dyDescent="0.3">
      <c r="B3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8" spans="2:2" x14ac:dyDescent="0.3">
      <c r="B3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9" spans="2:2" x14ac:dyDescent="0.3">
      <c r="B3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0" spans="2:2" x14ac:dyDescent="0.3">
      <c r="B4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1" spans="2:2" x14ac:dyDescent="0.3">
      <c r="B4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2" spans="2:2" x14ac:dyDescent="0.3">
      <c r="B4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3" spans="2:2" x14ac:dyDescent="0.3">
      <c r="B4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4" spans="2:2" x14ac:dyDescent="0.3">
      <c r="B4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5" spans="2:2" x14ac:dyDescent="0.3">
      <c r="B4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6" spans="2:2" x14ac:dyDescent="0.3">
      <c r="B4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7" spans="2:2" x14ac:dyDescent="0.3">
      <c r="B4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8" spans="2:2" x14ac:dyDescent="0.3">
      <c r="B4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9" spans="2:2" x14ac:dyDescent="0.3">
      <c r="B4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0" spans="2:2" x14ac:dyDescent="0.3">
      <c r="B4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1" spans="2:2" x14ac:dyDescent="0.3">
      <c r="B4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2" spans="2:2" x14ac:dyDescent="0.3">
      <c r="B4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3" spans="2:2" x14ac:dyDescent="0.3">
      <c r="B4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4" spans="2:2" x14ac:dyDescent="0.3">
      <c r="B4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5" spans="2:2" x14ac:dyDescent="0.3">
      <c r="B4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6" spans="2:2" x14ac:dyDescent="0.3">
      <c r="B4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7" spans="2:2" x14ac:dyDescent="0.3">
      <c r="B4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8" spans="2:2" x14ac:dyDescent="0.3">
      <c r="B4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9" spans="2:2" x14ac:dyDescent="0.3">
      <c r="B4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0" spans="2:2" x14ac:dyDescent="0.3">
      <c r="B4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1" spans="2:2" x14ac:dyDescent="0.3">
      <c r="B4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2" spans="2:2" x14ac:dyDescent="0.3">
      <c r="B4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3" spans="2:2" x14ac:dyDescent="0.3">
      <c r="B4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4" spans="2:2" x14ac:dyDescent="0.3">
      <c r="B4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5" spans="2:2" x14ac:dyDescent="0.3">
      <c r="B4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6" spans="2:2" x14ac:dyDescent="0.3">
      <c r="B4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7" spans="2:2" x14ac:dyDescent="0.3">
      <c r="B4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8" spans="2:2" x14ac:dyDescent="0.3">
      <c r="B4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9" spans="2:2" x14ac:dyDescent="0.3">
      <c r="B4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0" spans="2:2" x14ac:dyDescent="0.3">
      <c r="B4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1" spans="2:2" x14ac:dyDescent="0.3">
      <c r="B4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2" spans="2:2" x14ac:dyDescent="0.3">
      <c r="B4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3" spans="2:2" x14ac:dyDescent="0.3">
      <c r="B4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4" spans="2:2" x14ac:dyDescent="0.3">
      <c r="B4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5" spans="2:2" x14ac:dyDescent="0.3">
      <c r="B4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6" spans="2:2" x14ac:dyDescent="0.3">
      <c r="B4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7" spans="2:2" x14ac:dyDescent="0.3">
      <c r="B4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8" spans="2:2" x14ac:dyDescent="0.3">
      <c r="B4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9" spans="2:2" x14ac:dyDescent="0.3">
      <c r="B4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0" spans="2:2" x14ac:dyDescent="0.3">
      <c r="B4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1" spans="2:2" x14ac:dyDescent="0.3">
      <c r="B4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2" spans="2:2" x14ac:dyDescent="0.3">
      <c r="B4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3" spans="2:2" x14ac:dyDescent="0.3">
      <c r="B4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4" spans="2:2" x14ac:dyDescent="0.3">
      <c r="B4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5" spans="2:2" x14ac:dyDescent="0.3">
      <c r="B4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6" spans="2:2" x14ac:dyDescent="0.3">
      <c r="B4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7" spans="2:2" x14ac:dyDescent="0.3">
      <c r="B4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8" spans="2:2" x14ac:dyDescent="0.3">
      <c r="B4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9" spans="2:2" x14ac:dyDescent="0.3">
      <c r="B4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0" spans="2:2" x14ac:dyDescent="0.3">
      <c r="B4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1" spans="2:2" x14ac:dyDescent="0.3">
      <c r="B4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2" spans="2:2" x14ac:dyDescent="0.3">
      <c r="B4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3" spans="2:2" x14ac:dyDescent="0.3">
      <c r="B4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4" spans="2:2" x14ac:dyDescent="0.3">
      <c r="B4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5" spans="2:2" x14ac:dyDescent="0.3">
      <c r="B4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6" spans="2:2" x14ac:dyDescent="0.3">
      <c r="B4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7" spans="2:2" x14ac:dyDescent="0.3">
      <c r="B4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8" spans="2:2" x14ac:dyDescent="0.3">
      <c r="B4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9" spans="2:2" x14ac:dyDescent="0.3">
      <c r="B4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0" spans="2:2" x14ac:dyDescent="0.3">
      <c r="B4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1" spans="2:2" x14ac:dyDescent="0.3">
      <c r="B4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2" spans="2:2" x14ac:dyDescent="0.3">
      <c r="B4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3" spans="2:2" x14ac:dyDescent="0.3">
      <c r="B4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4" spans="2:2" x14ac:dyDescent="0.3">
      <c r="B4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5" spans="2:2" x14ac:dyDescent="0.3">
      <c r="B4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6" spans="2:2" x14ac:dyDescent="0.3">
      <c r="B4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7" spans="2:2" x14ac:dyDescent="0.3">
      <c r="B4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8" spans="2:2" x14ac:dyDescent="0.3">
      <c r="B4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9" spans="2:2" x14ac:dyDescent="0.3">
      <c r="B4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0" spans="2:2" x14ac:dyDescent="0.3">
      <c r="B4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1" spans="2:2" x14ac:dyDescent="0.3">
      <c r="B4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2" spans="2:2" x14ac:dyDescent="0.3">
      <c r="B4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3" spans="2:2" x14ac:dyDescent="0.3">
      <c r="B4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4" spans="2:2" x14ac:dyDescent="0.3">
      <c r="B4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5" spans="2:2" x14ac:dyDescent="0.3">
      <c r="B4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6" spans="2:2" x14ac:dyDescent="0.3">
      <c r="B4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7" spans="2:2" x14ac:dyDescent="0.3">
      <c r="B4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8" spans="2:2" x14ac:dyDescent="0.3">
      <c r="B4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9" spans="2:2" x14ac:dyDescent="0.3">
      <c r="B4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0" spans="2:2" x14ac:dyDescent="0.3">
      <c r="B4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1" spans="2:2" x14ac:dyDescent="0.3">
      <c r="B4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2" spans="2:2" x14ac:dyDescent="0.3">
      <c r="B4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3" spans="2:2" x14ac:dyDescent="0.3">
      <c r="B4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4" spans="2:2" x14ac:dyDescent="0.3">
      <c r="B4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5" spans="2:2" x14ac:dyDescent="0.3">
      <c r="B4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6" spans="2:2" x14ac:dyDescent="0.3">
      <c r="B4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7" spans="2:2" x14ac:dyDescent="0.3">
      <c r="B4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8" spans="2:2" x14ac:dyDescent="0.3">
      <c r="B4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9" spans="2:2" x14ac:dyDescent="0.3">
      <c r="B4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0" spans="2:2" x14ac:dyDescent="0.3">
      <c r="B4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1" spans="2:2" x14ac:dyDescent="0.3">
      <c r="B4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2" spans="2:2" x14ac:dyDescent="0.3">
      <c r="B4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3" spans="2:2" x14ac:dyDescent="0.3">
      <c r="B4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4" spans="2:2" x14ac:dyDescent="0.3">
      <c r="B4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5" spans="2:2" x14ac:dyDescent="0.3">
      <c r="B4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6" spans="2:2" x14ac:dyDescent="0.3">
      <c r="B4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7" spans="2:2" x14ac:dyDescent="0.3">
      <c r="B4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8" spans="2:2" x14ac:dyDescent="0.3">
      <c r="B4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9" spans="2:2" x14ac:dyDescent="0.3">
      <c r="B4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0" spans="2:2" x14ac:dyDescent="0.3">
      <c r="B5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1" spans="2:2" x14ac:dyDescent="0.3">
      <c r="B5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2" spans="2:2" x14ac:dyDescent="0.3">
      <c r="B5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3" spans="2:2" x14ac:dyDescent="0.3">
      <c r="B5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4" spans="2:2" x14ac:dyDescent="0.3">
      <c r="B5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5" spans="2:2" x14ac:dyDescent="0.3">
      <c r="B5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6" spans="2:2" x14ac:dyDescent="0.3">
      <c r="B5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7" spans="2:2" x14ac:dyDescent="0.3">
      <c r="B5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8" spans="2:2" x14ac:dyDescent="0.3">
      <c r="B5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9" spans="2:2" x14ac:dyDescent="0.3">
      <c r="B5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0" spans="2:2" x14ac:dyDescent="0.3">
      <c r="B5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1" spans="2:2" x14ac:dyDescent="0.3">
      <c r="B5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2" spans="2:2" x14ac:dyDescent="0.3">
      <c r="B5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3" spans="2:2" x14ac:dyDescent="0.3">
      <c r="B5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4" spans="2:2" x14ac:dyDescent="0.3">
      <c r="B5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5" spans="2:2" x14ac:dyDescent="0.3">
      <c r="B5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6" spans="2:2" x14ac:dyDescent="0.3">
      <c r="B5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7" spans="2:2" x14ac:dyDescent="0.3">
      <c r="B5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8" spans="2:2" x14ac:dyDescent="0.3">
      <c r="B5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9" spans="2:2" x14ac:dyDescent="0.3">
      <c r="B5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0" spans="2:2" x14ac:dyDescent="0.3">
      <c r="B5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1" spans="2:2" x14ac:dyDescent="0.3">
      <c r="B5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2" spans="2:2" x14ac:dyDescent="0.3">
      <c r="B5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3" spans="2:2" x14ac:dyDescent="0.3">
      <c r="B5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4" spans="2:2" x14ac:dyDescent="0.3">
      <c r="B5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5" spans="2:2" x14ac:dyDescent="0.3">
      <c r="B5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6" spans="2:2" x14ac:dyDescent="0.3">
      <c r="B5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7" spans="2:2" x14ac:dyDescent="0.3">
      <c r="B5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8" spans="2:2" x14ac:dyDescent="0.3">
      <c r="B5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9" spans="2:2" x14ac:dyDescent="0.3">
      <c r="B5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0" spans="2:2" x14ac:dyDescent="0.3">
      <c r="B5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1" spans="2:2" x14ac:dyDescent="0.3">
      <c r="B5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2" spans="2:2" x14ac:dyDescent="0.3">
      <c r="B5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3" spans="2:2" x14ac:dyDescent="0.3">
      <c r="B5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4" spans="2:2" x14ac:dyDescent="0.3">
      <c r="B5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5" spans="2:2" x14ac:dyDescent="0.3">
      <c r="B5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6" spans="2:2" x14ac:dyDescent="0.3">
      <c r="B5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7" spans="2:2" x14ac:dyDescent="0.3">
      <c r="B5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8" spans="2:2" x14ac:dyDescent="0.3">
      <c r="B5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9" spans="2:2" x14ac:dyDescent="0.3">
      <c r="B5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0" spans="2:2" x14ac:dyDescent="0.3">
      <c r="B5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1" spans="2:2" x14ac:dyDescent="0.3">
      <c r="B5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2" spans="2:2" x14ac:dyDescent="0.3">
      <c r="B5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3" spans="2:2" x14ac:dyDescent="0.3">
      <c r="B5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4" spans="2:2" x14ac:dyDescent="0.3">
      <c r="B5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5" spans="2:2" x14ac:dyDescent="0.3">
      <c r="B5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6" spans="2:2" x14ac:dyDescent="0.3">
      <c r="B5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7" spans="2:2" x14ac:dyDescent="0.3">
      <c r="B5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8" spans="2:2" x14ac:dyDescent="0.3">
      <c r="B5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9" spans="2:2" x14ac:dyDescent="0.3">
      <c r="B5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0" spans="2:2" x14ac:dyDescent="0.3">
      <c r="B5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1" spans="2:2" x14ac:dyDescent="0.3">
      <c r="B5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2" spans="2:2" x14ac:dyDescent="0.3">
      <c r="B5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3" spans="2:2" x14ac:dyDescent="0.3">
      <c r="B5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4" spans="2:2" x14ac:dyDescent="0.3">
      <c r="B5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5" spans="2:2" x14ac:dyDescent="0.3">
      <c r="B5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6" spans="2:2" x14ac:dyDescent="0.3">
      <c r="B5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7" spans="2:2" x14ac:dyDescent="0.3">
      <c r="B5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8" spans="2:2" x14ac:dyDescent="0.3">
      <c r="B5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9" spans="2:2" x14ac:dyDescent="0.3">
      <c r="B5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0" spans="2:2" x14ac:dyDescent="0.3">
      <c r="B5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1" spans="2:2" x14ac:dyDescent="0.3">
      <c r="B5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2" spans="2:2" x14ac:dyDescent="0.3">
      <c r="B5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3" spans="2:2" x14ac:dyDescent="0.3">
      <c r="B5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4" spans="2:2" x14ac:dyDescent="0.3">
      <c r="B5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5" spans="2:2" x14ac:dyDescent="0.3">
      <c r="B5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6" spans="2:2" x14ac:dyDescent="0.3">
      <c r="B5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7" spans="2:2" x14ac:dyDescent="0.3">
      <c r="B5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8" spans="2:2" x14ac:dyDescent="0.3">
      <c r="B5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9" spans="2:2" x14ac:dyDescent="0.3">
      <c r="B5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0" spans="2:2" x14ac:dyDescent="0.3">
      <c r="B5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1" spans="2:2" x14ac:dyDescent="0.3">
      <c r="B5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2" spans="2:2" x14ac:dyDescent="0.3">
      <c r="B5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3" spans="2:2" x14ac:dyDescent="0.3">
      <c r="B5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4" spans="2:2" x14ac:dyDescent="0.3">
      <c r="B5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5" spans="2:2" x14ac:dyDescent="0.3">
      <c r="B5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6" spans="2:2" x14ac:dyDescent="0.3">
      <c r="B5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7" spans="2:2" x14ac:dyDescent="0.3">
      <c r="B5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8" spans="2:2" x14ac:dyDescent="0.3">
      <c r="B5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9" spans="2:2" x14ac:dyDescent="0.3">
      <c r="B5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0" spans="2:2" x14ac:dyDescent="0.3">
      <c r="B5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1" spans="2:2" x14ac:dyDescent="0.3">
      <c r="B5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2" spans="2:2" x14ac:dyDescent="0.3">
      <c r="B5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3" spans="2:2" x14ac:dyDescent="0.3">
      <c r="B5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4" spans="2:2" x14ac:dyDescent="0.3">
      <c r="B5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5" spans="2:2" x14ac:dyDescent="0.3">
      <c r="B5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6" spans="2:2" x14ac:dyDescent="0.3">
      <c r="B5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7" spans="2:2" x14ac:dyDescent="0.3">
      <c r="B5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8" spans="2:2" x14ac:dyDescent="0.3">
      <c r="B5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9" spans="2:2" x14ac:dyDescent="0.3">
      <c r="B5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0" spans="2:2" x14ac:dyDescent="0.3">
      <c r="B5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1" spans="2:2" x14ac:dyDescent="0.3">
      <c r="B5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2" spans="2:2" x14ac:dyDescent="0.3">
      <c r="B5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3" spans="2:2" x14ac:dyDescent="0.3">
      <c r="B5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4" spans="2:2" x14ac:dyDescent="0.3">
      <c r="B5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5" spans="2:2" x14ac:dyDescent="0.3">
      <c r="B5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6" spans="2:2" x14ac:dyDescent="0.3">
      <c r="B5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7" spans="2:2" x14ac:dyDescent="0.3">
      <c r="B5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8" spans="2:2" x14ac:dyDescent="0.3">
      <c r="B5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9" spans="2:2" x14ac:dyDescent="0.3">
      <c r="B5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0" spans="2:2" x14ac:dyDescent="0.3">
      <c r="B6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1" spans="2:2" x14ac:dyDescent="0.3">
      <c r="B6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2" spans="2:2" x14ac:dyDescent="0.3">
      <c r="B6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3" spans="2:2" x14ac:dyDescent="0.3">
      <c r="B6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4" spans="2:2" x14ac:dyDescent="0.3">
      <c r="B6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5" spans="2:2" x14ac:dyDescent="0.3">
      <c r="B6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6" spans="2:2" x14ac:dyDescent="0.3">
      <c r="B6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7" spans="2:2" x14ac:dyDescent="0.3">
      <c r="B6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8" spans="2:2" x14ac:dyDescent="0.3">
      <c r="B6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9" spans="2:2" x14ac:dyDescent="0.3">
      <c r="B6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0" spans="2:2" x14ac:dyDescent="0.3">
      <c r="B6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1" spans="2:2" x14ac:dyDescent="0.3">
      <c r="B6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2" spans="2:2" x14ac:dyDescent="0.3">
      <c r="B6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3" spans="2:2" x14ac:dyDescent="0.3">
      <c r="B6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4" spans="2:2" x14ac:dyDescent="0.3">
      <c r="B6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5" spans="2:2" x14ac:dyDescent="0.3">
      <c r="B6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6" spans="2:2" x14ac:dyDescent="0.3">
      <c r="B6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7" spans="2:2" x14ac:dyDescent="0.3">
      <c r="B6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8" spans="2:2" x14ac:dyDescent="0.3">
      <c r="B6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9" spans="2:2" x14ac:dyDescent="0.3">
      <c r="B6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0" spans="2:2" x14ac:dyDescent="0.3">
      <c r="B6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1" spans="2:2" x14ac:dyDescent="0.3">
      <c r="B6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2" spans="2:2" x14ac:dyDescent="0.3">
      <c r="B6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3" spans="2:2" x14ac:dyDescent="0.3">
      <c r="B6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4" spans="2:2" x14ac:dyDescent="0.3">
      <c r="B6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5" spans="2:2" x14ac:dyDescent="0.3">
      <c r="B6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6" spans="2:2" x14ac:dyDescent="0.3">
      <c r="B6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7" spans="2:2" x14ac:dyDescent="0.3">
      <c r="B6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8" spans="2:2" x14ac:dyDescent="0.3">
      <c r="B6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9" spans="2:2" x14ac:dyDescent="0.3">
      <c r="B6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0" spans="2:2" x14ac:dyDescent="0.3">
      <c r="B6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1" spans="2:2" x14ac:dyDescent="0.3">
      <c r="B6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2" spans="2:2" x14ac:dyDescent="0.3">
      <c r="B6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3" spans="2:2" x14ac:dyDescent="0.3">
      <c r="B6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4" spans="2:2" x14ac:dyDescent="0.3">
      <c r="B6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5" spans="2:2" x14ac:dyDescent="0.3">
      <c r="B6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6" spans="2:2" x14ac:dyDescent="0.3">
      <c r="B6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7" spans="2:2" x14ac:dyDescent="0.3">
      <c r="B6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8" spans="2:2" x14ac:dyDescent="0.3">
      <c r="B6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9" spans="2:2" x14ac:dyDescent="0.3">
      <c r="B6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0" spans="2:2" x14ac:dyDescent="0.3">
      <c r="B6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1" spans="2:2" x14ac:dyDescent="0.3">
      <c r="B6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2" spans="2:2" x14ac:dyDescent="0.3">
      <c r="B6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3" spans="2:2" x14ac:dyDescent="0.3">
      <c r="B6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4" spans="2:2" x14ac:dyDescent="0.3">
      <c r="B6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5" spans="2:2" x14ac:dyDescent="0.3">
      <c r="B6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6" spans="2:2" x14ac:dyDescent="0.3">
      <c r="B6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7" spans="2:2" x14ac:dyDescent="0.3">
      <c r="B6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8" spans="2:2" x14ac:dyDescent="0.3">
      <c r="B6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9" spans="2:2" x14ac:dyDescent="0.3">
      <c r="B6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0" spans="2:2" x14ac:dyDescent="0.3">
      <c r="B6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1" spans="2:2" x14ac:dyDescent="0.3">
      <c r="B6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2" spans="2:2" x14ac:dyDescent="0.3">
      <c r="B6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3" spans="2:2" x14ac:dyDescent="0.3">
      <c r="B6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4" spans="2:2" x14ac:dyDescent="0.3">
      <c r="B6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5" spans="2:2" x14ac:dyDescent="0.3">
      <c r="B6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6" spans="2:2" x14ac:dyDescent="0.3">
      <c r="B6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7" spans="2:2" x14ac:dyDescent="0.3">
      <c r="B6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8" spans="2:2" x14ac:dyDescent="0.3">
      <c r="B6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9" spans="2:2" x14ac:dyDescent="0.3">
      <c r="B6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0" spans="2:2" x14ac:dyDescent="0.3">
      <c r="B6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1" spans="2:2" x14ac:dyDescent="0.3">
      <c r="B6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2" spans="2:2" x14ac:dyDescent="0.3">
      <c r="B6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3" spans="2:2" x14ac:dyDescent="0.3">
      <c r="B6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4" spans="2:2" x14ac:dyDescent="0.3">
      <c r="B6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5" spans="2:2" x14ac:dyDescent="0.3">
      <c r="B6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6" spans="2:2" x14ac:dyDescent="0.3">
      <c r="B6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7" spans="2:2" x14ac:dyDescent="0.3">
      <c r="B6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8" spans="2:2" x14ac:dyDescent="0.3">
      <c r="B6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9" spans="2:2" x14ac:dyDescent="0.3">
      <c r="B6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0" spans="2:2" x14ac:dyDescent="0.3">
      <c r="B6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1" spans="2:2" x14ac:dyDescent="0.3">
      <c r="B6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2" spans="2:2" x14ac:dyDescent="0.3">
      <c r="B6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3" spans="2:2" x14ac:dyDescent="0.3">
      <c r="B6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4" spans="2:2" x14ac:dyDescent="0.3">
      <c r="B6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5" spans="2:2" x14ac:dyDescent="0.3">
      <c r="B6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6" spans="2:2" x14ac:dyDescent="0.3">
      <c r="B6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7" spans="2:2" x14ac:dyDescent="0.3">
      <c r="B6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8" spans="2:2" x14ac:dyDescent="0.3">
      <c r="B6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9" spans="2:2" x14ac:dyDescent="0.3">
      <c r="B6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0" spans="2:2" x14ac:dyDescent="0.3">
      <c r="B6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1" spans="2:2" x14ac:dyDescent="0.3">
      <c r="B6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2" spans="2:2" x14ac:dyDescent="0.3">
      <c r="B6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3" spans="2:2" x14ac:dyDescent="0.3">
      <c r="B6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4" spans="2:2" x14ac:dyDescent="0.3">
      <c r="B6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5" spans="2:2" x14ac:dyDescent="0.3">
      <c r="B6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6" spans="2:2" x14ac:dyDescent="0.3">
      <c r="B6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7" spans="2:2" x14ac:dyDescent="0.3">
      <c r="B6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8" spans="2:2" x14ac:dyDescent="0.3">
      <c r="B6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9" spans="2:2" x14ac:dyDescent="0.3">
      <c r="B6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0" spans="2:2" x14ac:dyDescent="0.3">
      <c r="B6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1" spans="2:2" x14ac:dyDescent="0.3">
      <c r="B6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2" spans="2:2" x14ac:dyDescent="0.3">
      <c r="B6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3" spans="2:2" x14ac:dyDescent="0.3">
      <c r="B6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4" spans="2:2" x14ac:dyDescent="0.3">
      <c r="B6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5" spans="2:2" x14ac:dyDescent="0.3">
      <c r="B6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6" spans="2:2" x14ac:dyDescent="0.3">
      <c r="B6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7" spans="2:2" x14ac:dyDescent="0.3">
      <c r="B6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8" spans="2:2" x14ac:dyDescent="0.3">
      <c r="B6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9" spans="2:2" x14ac:dyDescent="0.3">
      <c r="B6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0" spans="2:2" x14ac:dyDescent="0.3">
      <c r="B7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1" spans="2:2" x14ac:dyDescent="0.3">
      <c r="B7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2" spans="2:2" x14ac:dyDescent="0.3">
      <c r="B7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3" spans="2:2" x14ac:dyDescent="0.3">
      <c r="B7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4" spans="2:2" x14ac:dyDescent="0.3">
      <c r="B7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5" spans="2:2" x14ac:dyDescent="0.3">
      <c r="B7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6" spans="2:2" x14ac:dyDescent="0.3">
      <c r="B7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7" spans="2:2" x14ac:dyDescent="0.3">
      <c r="B7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8" spans="2:2" x14ac:dyDescent="0.3">
      <c r="B7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9" spans="2:2" x14ac:dyDescent="0.3">
      <c r="B7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0" spans="2:2" x14ac:dyDescent="0.3">
      <c r="B7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1" spans="2:2" x14ac:dyDescent="0.3">
      <c r="B7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2" spans="2:2" x14ac:dyDescent="0.3">
      <c r="B7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3" spans="2:2" x14ac:dyDescent="0.3">
      <c r="B7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4" spans="2:2" x14ac:dyDescent="0.3">
      <c r="B7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5" spans="2:2" x14ac:dyDescent="0.3">
      <c r="B7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6" spans="2:2" x14ac:dyDescent="0.3">
      <c r="B7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7" spans="2:2" x14ac:dyDescent="0.3">
      <c r="B7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8" spans="2:2" x14ac:dyDescent="0.3">
      <c r="B7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9" spans="2:2" x14ac:dyDescent="0.3">
      <c r="B7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0" spans="2:2" x14ac:dyDescent="0.3">
      <c r="B7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1" spans="2:2" x14ac:dyDescent="0.3">
      <c r="B7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2" spans="2:2" x14ac:dyDescent="0.3">
      <c r="B7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3" spans="2:2" x14ac:dyDescent="0.3">
      <c r="B7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4" spans="2:2" x14ac:dyDescent="0.3">
      <c r="B7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5" spans="2:2" x14ac:dyDescent="0.3">
      <c r="B7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6" spans="2:2" x14ac:dyDescent="0.3">
      <c r="B7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7" spans="2:2" x14ac:dyDescent="0.3">
      <c r="B7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8" spans="2:2" x14ac:dyDescent="0.3">
      <c r="B7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9" spans="2:2" x14ac:dyDescent="0.3">
      <c r="B7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0" spans="2:2" x14ac:dyDescent="0.3">
      <c r="B7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1" spans="2:2" x14ac:dyDescent="0.3">
      <c r="B7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2" spans="2:2" x14ac:dyDescent="0.3">
      <c r="B7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3" spans="2:2" x14ac:dyDescent="0.3">
      <c r="B7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4" spans="2:2" x14ac:dyDescent="0.3">
      <c r="B7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5" spans="2:2" x14ac:dyDescent="0.3">
      <c r="B7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6" spans="2:2" x14ac:dyDescent="0.3">
      <c r="B7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7" spans="2:2" x14ac:dyDescent="0.3">
      <c r="B7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8" spans="2:2" x14ac:dyDescent="0.3">
      <c r="B7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9" spans="2:2" x14ac:dyDescent="0.3">
      <c r="B7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0" spans="2:2" x14ac:dyDescent="0.3">
      <c r="B7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1" spans="2:2" x14ac:dyDescent="0.3">
      <c r="B7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2" spans="2:2" x14ac:dyDescent="0.3">
      <c r="B7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3" spans="2:2" x14ac:dyDescent="0.3">
      <c r="B7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4" spans="2:2" x14ac:dyDescent="0.3">
      <c r="B7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5" spans="2:2" x14ac:dyDescent="0.3">
      <c r="B7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6" spans="2:2" x14ac:dyDescent="0.3">
      <c r="B7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7" spans="2:2" x14ac:dyDescent="0.3">
      <c r="B7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8" spans="2:2" x14ac:dyDescent="0.3">
      <c r="B7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9" spans="2:2" x14ac:dyDescent="0.3">
      <c r="B7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0" spans="2:2" x14ac:dyDescent="0.3">
      <c r="B7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1" spans="2:2" x14ac:dyDescent="0.3">
      <c r="B7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2" spans="2:2" x14ac:dyDescent="0.3">
      <c r="B7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3" spans="2:2" x14ac:dyDescent="0.3">
      <c r="B7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4" spans="2:2" x14ac:dyDescent="0.3">
      <c r="B7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5" spans="2:2" x14ac:dyDescent="0.3">
      <c r="B7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6" spans="2:2" x14ac:dyDescent="0.3">
      <c r="B7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7" spans="2:2" x14ac:dyDescent="0.3">
      <c r="B7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8" spans="2:2" x14ac:dyDescent="0.3">
      <c r="B7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9" spans="2:2" x14ac:dyDescent="0.3">
      <c r="B7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0" spans="2:2" x14ac:dyDescent="0.3">
      <c r="B7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1" spans="2:2" x14ac:dyDescent="0.3">
      <c r="B7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2" spans="2:2" x14ac:dyDescent="0.3">
      <c r="B7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3" spans="2:2" x14ac:dyDescent="0.3">
      <c r="B7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4" spans="2:2" x14ac:dyDescent="0.3">
      <c r="B7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5" spans="2:2" x14ac:dyDescent="0.3">
      <c r="B7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6" spans="2:2" x14ac:dyDescent="0.3">
      <c r="B7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7" spans="2:2" x14ac:dyDescent="0.3">
      <c r="B7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8" spans="2:2" x14ac:dyDescent="0.3">
      <c r="B7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9" spans="2:2" x14ac:dyDescent="0.3">
      <c r="B7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0" spans="2:2" x14ac:dyDescent="0.3">
      <c r="B7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1" spans="2:2" x14ac:dyDescent="0.3">
      <c r="B7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2" spans="2:2" x14ac:dyDescent="0.3">
      <c r="B7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3" spans="2:2" x14ac:dyDescent="0.3">
      <c r="B7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4" spans="2:2" x14ac:dyDescent="0.3">
      <c r="B7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5" spans="2:2" x14ac:dyDescent="0.3">
      <c r="B7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6" spans="2:2" x14ac:dyDescent="0.3">
      <c r="B7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7" spans="2:2" x14ac:dyDescent="0.3">
      <c r="B7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8" spans="2:2" x14ac:dyDescent="0.3">
      <c r="B7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9" spans="2:2" x14ac:dyDescent="0.3">
      <c r="B7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0" spans="2:2" x14ac:dyDescent="0.3">
      <c r="B7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1" spans="2:2" x14ac:dyDescent="0.3">
      <c r="B7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2" spans="2:2" x14ac:dyDescent="0.3">
      <c r="B7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3" spans="2:2" x14ac:dyDescent="0.3">
      <c r="B7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4" spans="2:2" x14ac:dyDescent="0.3">
      <c r="B7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5" spans="2:2" x14ac:dyDescent="0.3">
      <c r="B7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6" spans="2:2" x14ac:dyDescent="0.3">
      <c r="B7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7" spans="2:2" x14ac:dyDescent="0.3">
      <c r="B7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8" spans="2:2" x14ac:dyDescent="0.3">
      <c r="B7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9" spans="2:2" x14ac:dyDescent="0.3">
      <c r="B7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0" spans="2:2" x14ac:dyDescent="0.3">
      <c r="B7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1" spans="2:2" x14ac:dyDescent="0.3">
      <c r="B7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2" spans="2:2" x14ac:dyDescent="0.3">
      <c r="B7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3" spans="2:2" x14ac:dyDescent="0.3">
      <c r="B7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4" spans="2:2" x14ac:dyDescent="0.3">
      <c r="B7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5" spans="2:2" x14ac:dyDescent="0.3">
      <c r="B7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6" spans="2:2" x14ac:dyDescent="0.3">
      <c r="B7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7" spans="2:2" x14ac:dyDescent="0.3">
      <c r="B7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8" spans="2:2" x14ac:dyDescent="0.3">
      <c r="B7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9" spans="2:2" x14ac:dyDescent="0.3">
      <c r="B7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0" spans="2:2" x14ac:dyDescent="0.3">
      <c r="B8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1" spans="2:2" x14ac:dyDescent="0.3">
      <c r="B8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2" spans="2:2" x14ac:dyDescent="0.3">
      <c r="B8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3" spans="2:2" x14ac:dyDescent="0.3">
      <c r="B8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4" spans="2:2" x14ac:dyDescent="0.3">
      <c r="B8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5" spans="2:2" x14ac:dyDescent="0.3">
      <c r="B8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6" spans="2:2" x14ac:dyDescent="0.3">
      <c r="B8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7" spans="2:2" x14ac:dyDescent="0.3">
      <c r="B8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8" spans="2:2" x14ac:dyDescent="0.3">
      <c r="B8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9" spans="2:2" x14ac:dyDescent="0.3">
      <c r="B8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0" spans="2:2" x14ac:dyDescent="0.3">
      <c r="B8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1" spans="2:2" x14ac:dyDescent="0.3">
      <c r="B8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2" spans="2:2" x14ac:dyDescent="0.3">
      <c r="B8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3" spans="2:2" x14ac:dyDescent="0.3">
      <c r="B8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4" spans="2:2" x14ac:dyDescent="0.3">
      <c r="B8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5" spans="2:2" x14ac:dyDescent="0.3">
      <c r="B8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6" spans="2:2" x14ac:dyDescent="0.3">
      <c r="B8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7" spans="2:2" x14ac:dyDescent="0.3">
      <c r="B8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8" spans="2:2" x14ac:dyDescent="0.3">
      <c r="B8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9" spans="2:2" x14ac:dyDescent="0.3">
      <c r="B8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0" spans="2:2" x14ac:dyDescent="0.3">
      <c r="B8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1" spans="2:2" x14ac:dyDescent="0.3">
      <c r="B8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2" spans="2:2" x14ac:dyDescent="0.3">
      <c r="B8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3" spans="2:2" x14ac:dyDescent="0.3">
      <c r="B8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4" spans="2:2" x14ac:dyDescent="0.3">
      <c r="B8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5" spans="2:2" x14ac:dyDescent="0.3">
      <c r="B8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6" spans="2:2" x14ac:dyDescent="0.3">
      <c r="B8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7" spans="2:2" x14ac:dyDescent="0.3">
      <c r="B8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8" spans="2:2" x14ac:dyDescent="0.3">
      <c r="B8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9" spans="2:2" x14ac:dyDescent="0.3">
      <c r="B8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0" spans="2:2" x14ac:dyDescent="0.3">
      <c r="B8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1" spans="2:2" x14ac:dyDescent="0.3">
      <c r="B8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2" spans="2:2" x14ac:dyDescent="0.3">
      <c r="B8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3" spans="2:2" x14ac:dyDescent="0.3">
      <c r="B8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4" spans="2:2" x14ac:dyDescent="0.3">
      <c r="B8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5" spans="2:2" x14ac:dyDescent="0.3">
      <c r="B8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6" spans="2:2" x14ac:dyDescent="0.3">
      <c r="B8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7" spans="2:2" x14ac:dyDescent="0.3">
      <c r="B8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8" spans="2:2" x14ac:dyDescent="0.3">
      <c r="B8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9" spans="2:2" x14ac:dyDescent="0.3">
      <c r="B8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0" spans="2:2" x14ac:dyDescent="0.3">
      <c r="B8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1" spans="2:2" x14ac:dyDescent="0.3">
      <c r="B8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2" spans="2:2" x14ac:dyDescent="0.3">
      <c r="B8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3" spans="2:2" x14ac:dyDescent="0.3">
      <c r="B8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4" spans="2:2" x14ac:dyDescent="0.3">
      <c r="B8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5" spans="2:2" x14ac:dyDescent="0.3">
      <c r="B8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6" spans="2:2" x14ac:dyDescent="0.3">
      <c r="B8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7" spans="2:2" x14ac:dyDescent="0.3">
      <c r="B8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8" spans="2:2" x14ac:dyDescent="0.3">
      <c r="B8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9" spans="2:2" x14ac:dyDescent="0.3">
      <c r="B8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0" spans="2:2" x14ac:dyDescent="0.3">
      <c r="B8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1" spans="2:2" x14ac:dyDescent="0.3">
      <c r="B8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2" spans="2:2" x14ac:dyDescent="0.3">
      <c r="B8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3" spans="2:2" x14ac:dyDescent="0.3">
      <c r="B8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4" spans="2:2" x14ac:dyDescent="0.3">
      <c r="B8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5" spans="2:2" x14ac:dyDescent="0.3">
      <c r="B8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6" spans="2:2" x14ac:dyDescent="0.3">
      <c r="B8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7" spans="2:2" x14ac:dyDescent="0.3">
      <c r="B8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8" spans="2:2" x14ac:dyDescent="0.3">
      <c r="B8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9" spans="2:2" x14ac:dyDescent="0.3">
      <c r="B8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0" spans="2:2" x14ac:dyDescent="0.3">
      <c r="B8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1" spans="2:2" x14ac:dyDescent="0.3">
      <c r="B8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2" spans="2:2" x14ac:dyDescent="0.3">
      <c r="B8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3" spans="2:2" x14ac:dyDescent="0.3">
      <c r="B8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4" spans="2:2" x14ac:dyDescent="0.3">
      <c r="B8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5" spans="2:2" x14ac:dyDescent="0.3">
      <c r="B8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6" spans="2:2" x14ac:dyDescent="0.3">
      <c r="B8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7" spans="2:2" x14ac:dyDescent="0.3">
      <c r="B8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8" spans="2:2" x14ac:dyDescent="0.3">
      <c r="B8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9" spans="2:2" x14ac:dyDescent="0.3">
      <c r="B8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0" spans="2:2" x14ac:dyDescent="0.3">
      <c r="B8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1" spans="2:2" x14ac:dyDescent="0.3">
      <c r="B8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2" spans="2:2" x14ac:dyDescent="0.3">
      <c r="B8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3" spans="2:2" x14ac:dyDescent="0.3">
      <c r="B8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4" spans="2:2" x14ac:dyDescent="0.3">
      <c r="B8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5" spans="2:2" x14ac:dyDescent="0.3">
      <c r="B8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6" spans="2:2" x14ac:dyDescent="0.3">
      <c r="B8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7" spans="2:2" x14ac:dyDescent="0.3">
      <c r="B8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8" spans="2:2" x14ac:dyDescent="0.3">
      <c r="B8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9" spans="2:2" x14ac:dyDescent="0.3">
      <c r="B8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0" spans="2:2" x14ac:dyDescent="0.3">
      <c r="B8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1" spans="2:2" x14ac:dyDescent="0.3">
      <c r="B8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2" spans="2:2" x14ac:dyDescent="0.3">
      <c r="B8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3" spans="2:2" x14ac:dyDescent="0.3">
      <c r="B8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4" spans="2:2" x14ac:dyDescent="0.3">
      <c r="B8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5" spans="2:2" x14ac:dyDescent="0.3">
      <c r="B8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6" spans="2:2" x14ac:dyDescent="0.3">
      <c r="B8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7" spans="2:2" x14ac:dyDescent="0.3">
      <c r="B8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8" spans="2:2" x14ac:dyDescent="0.3">
      <c r="B8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9" spans="2:2" x14ac:dyDescent="0.3">
      <c r="B8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0" spans="2:2" x14ac:dyDescent="0.3">
      <c r="B8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1" spans="2:2" x14ac:dyDescent="0.3">
      <c r="B8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2" spans="2:2" x14ac:dyDescent="0.3">
      <c r="B8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3" spans="2:2" x14ac:dyDescent="0.3">
      <c r="B8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4" spans="2:2" x14ac:dyDescent="0.3">
      <c r="B8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5" spans="2:2" x14ac:dyDescent="0.3">
      <c r="B8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6" spans="2:2" x14ac:dyDescent="0.3">
      <c r="B8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7" spans="2:2" x14ac:dyDescent="0.3">
      <c r="B8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8" spans="2:2" x14ac:dyDescent="0.3">
      <c r="B8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9" spans="2:2" x14ac:dyDescent="0.3">
      <c r="B8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0" spans="2:2" x14ac:dyDescent="0.3">
      <c r="B9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1" spans="2:2" x14ac:dyDescent="0.3">
      <c r="B9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2" spans="2:2" x14ac:dyDescent="0.3">
      <c r="B9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3" spans="2:2" x14ac:dyDescent="0.3">
      <c r="B9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4" spans="2:2" x14ac:dyDescent="0.3">
      <c r="B9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5" spans="2:2" x14ac:dyDescent="0.3">
      <c r="B9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6" spans="2:2" x14ac:dyDescent="0.3">
      <c r="B9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7" spans="2:2" x14ac:dyDescent="0.3">
      <c r="B9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8" spans="2:2" x14ac:dyDescent="0.3">
      <c r="B9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9" spans="2:2" x14ac:dyDescent="0.3">
      <c r="B9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0" spans="2:2" x14ac:dyDescent="0.3">
      <c r="B9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1" spans="2:2" x14ac:dyDescent="0.3">
      <c r="B9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2" spans="2:2" x14ac:dyDescent="0.3">
      <c r="B9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3" spans="2:2" x14ac:dyDescent="0.3">
      <c r="B9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4" spans="2:2" x14ac:dyDescent="0.3">
      <c r="B9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5" spans="2:2" x14ac:dyDescent="0.3">
      <c r="B9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6" spans="2:2" x14ac:dyDescent="0.3">
      <c r="B9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7" spans="2:2" x14ac:dyDescent="0.3">
      <c r="B9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8" spans="2:2" x14ac:dyDescent="0.3">
      <c r="B9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9" spans="2:2" x14ac:dyDescent="0.3">
      <c r="B9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0" spans="2:2" x14ac:dyDescent="0.3">
      <c r="B9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1" spans="2:2" x14ac:dyDescent="0.3">
      <c r="B9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2" spans="2:2" x14ac:dyDescent="0.3">
      <c r="B9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3" spans="2:2" x14ac:dyDescent="0.3">
      <c r="B9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4" spans="2:2" x14ac:dyDescent="0.3">
      <c r="B9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5" spans="2:2" x14ac:dyDescent="0.3">
      <c r="B9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6" spans="2:2" x14ac:dyDescent="0.3">
      <c r="B9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7" spans="2:2" x14ac:dyDescent="0.3">
      <c r="B9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8" spans="2:2" x14ac:dyDescent="0.3">
      <c r="B9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9" spans="2:2" x14ac:dyDescent="0.3">
      <c r="B9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0" spans="2:2" x14ac:dyDescent="0.3">
      <c r="B9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1" spans="2:2" x14ac:dyDescent="0.3">
      <c r="B9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2" spans="2:2" x14ac:dyDescent="0.3">
      <c r="B9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3" spans="2:2" x14ac:dyDescent="0.3">
      <c r="B9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4" spans="2:2" x14ac:dyDescent="0.3">
      <c r="B9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5" spans="2:2" x14ac:dyDescent="0.3">
      <c r="B9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6" spans="2:2" x14ac:dyDescent="0.3">
      <c r="B9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7" spans="2:2" x14ac:dyDescent="0.3">
      <c r="B9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8" spans="2:2" x14ac:dyDescent="0.3">
      <c r="B9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9" spans="2:2" x14ac:dyDescent="0.3">
      <c r="B9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0" spans="2:2" x14ac:dyDescent="0.3">
      <c r="B9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1" spans="2:2" x14ac:dyDescent="0.3">
      <c r="B9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2" spans="2:2" x14ac:dyDescent="0.3">
      <c r="B9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3" spans="2:2" x14ac:dyDescent="0.3">
      <c r="B9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4" spans="2:2" x14ac:dyDescent="0.3">
      <c r="B9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5" spans="2:2" x14ac:dyDescent="0.3">
      <c r="B9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6" spans="2:2" x14ac:dyDescent="0.3">
      <c r="B9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7" spans="2:2" x14ac:dyDescent="0.3">
      <c r="B9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8" spans="2:2" x14ac:dyDescent="0.3">
      <c r="B9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9" spans="2:2" x14ac:dyDescent="0.3">
      <c r="B9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0" spans="2:2" x14ac:dyDescent="0.3">
      <c r="B9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1" spans="2:2" x14ac:dyDescent="0.3">
      <c r="B9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2" spans="2:2" x14ac:dyDescent="0.3">
      <c r="B9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3" spans="2:2" x14ac:dyDescent="0.3">
      <c r="B9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4" spans="2:2" x14ac:dyDescent="0.3">
      <c r="B9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5" spans="2:2" x14ac:dyDescent="0.3">
      <c r="B9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6" spans="2:2" x14ac:dyDescent="0.3">
      <c r="B9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7" spans="2:2" x14ac:dyDescent="0.3">
      <c r="B9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8" spans="2:2" x14ac:dyDescent="0.3">
      <c r="B9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9" spans="2:2" x14ac:dyDescent="0.3">
      <c r="B9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0" spans="2:2" x14ac:dyDescent="0.3">
      <c r="B9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1" spans="2:2" x14ac:dyDescent="0.3">
      <c r="B9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2" spans="2:2" x14ac:dyDescent="0.3">
      <c r="B9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3" spans="2:2" x14ac:dyDescent="0.3">
      <c r="B9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4" spans="2:2" x14ac:dyDescent="0.3">
      <c r="B9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5" spans="2:2" x14ac:dyDescent="0.3">
      <c r="B9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6" spans="2:2" x14ac:dyDescent="0.3">
      <c r="B9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7" spans="2:2" x14ac:dyDescent="0.3">
      <c r="B9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8" spans="2:2" x14ac:dyDescent="0.3">
      <c r="B9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9" spans="2:2" x14ac:dyDescent="0.3">
      <c r="B9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0" spans="2:2" x14ac:dyDescent="0.3">
      <c r="B9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1" spans="2:2" x14ac:dyDescent="0.3">
      <c r="B9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2" spans="2:2" x14ac:dyDescent="0.3">
      <c r="B9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3" spans="2:2" x14ac:dyDescent="0.3">
      <c r="B9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4" spans="2:2" x14ac:dyDescent="0.3">
      <c r="B9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5" spans="2:2" x14ac:dyDescent="0.3">
      <c r="B9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6" spans="2:2" x14ac:dyDescent="0.3">
      <c r="B9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7" spans="2:2" x14ac:dyDescent="0.3">
      <c r="B9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8" spans="2:2" x14ac:dyDescent="0.3">
      <c r="B9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9" spans="2:2" x14ac:dyDescent="0.3">
      <c r="B9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0" spans="2:2" x14ac:dyDescent="0.3">
      <c r="B9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1" spans="2:2" x14ac:dyDescent="0.3">
      <c r="B9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2" spans="2:2" x14ac:dyDescent="0.3">
      <c r="B9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3" spans="2:2" x14ac:dyDescent="0.3">
      <c r="B9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4" spans="2:2" x14ac:dyDescent="0.3">
      <c r="B9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5" spans="2:2" x14ac:dyDescent="0.3">
      <c r="B9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6" spans="2:2" x14ac:dyDescent="0.3">
      <c r="B9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7" spans="2:2" x14ac:dyDescent="0.3">
      <c r="B9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8" spans="2:2" x14ac:dyDescent="0.3">
      <c r="B9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9" spans="2:2" x14ac:dyDescent="0.3">
      <c r="B9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0" spans="2:2" x14ac:dyDescent="0.3">
      <c r="B9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1" spans="2:2" x14ac:dyDescent="0.3">
      <c r="B9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2" spans="2:2" x14ac:dyDescent="0.3">
      <c r="B9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3" spans="2:2" x14ac:dyDescent="0.3">
      <c r="B9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4" spans="2:2" x14ac:dyDescent="0.3">
      <c r="B9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5" spans="2:2" x14ac:dyDescent="0.3">
      <c r="B9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6" spans="2:2" x14ac:dyDescent="0.3">
      <c r="B9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7" spans="2:2" x14ac:dyDescent="0.3">
      <c r="B9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8" spans="2:2" x14ac:dyDescent="0.3">
      <c r="B9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9" spans="2:2" x14ac:dyDescent="0.3">
      <c r="B9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0" spans="2:2" x14ac:dyDescent="0.3">
      <c r="B10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1" spans="2:2" x14ac:dyDescent="0.3">
      <c r="B10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2" spans="2:2" x14ac:dyDescent="0.3">
      <c r="B10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3" spans="2:2" x14ac:dyDescent="0.3">
      <c r="B10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4" spans="2:2" x14ac:dyDescent="0.3">
      <c r="B10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5" spans="2:2" x14ac:dyDescent="0.3">
      <c r="B10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6" spans="2:2" x14ac:dyDescent="0.3">
      <c r="B10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7" spans="2:2" x14ac:dyDescent="0.3">
      <c r="B10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8" spans="2:2" x14ac:dyDescent="0.3">
      <c r="B10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9" spans="2:2" x14ac:dyDescent="0.3">
      <c r="B10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0" spans="2:2" x14ac:dyDescent="0.3">
      <c r="B10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1" spans="2:2" x14ac:dyDescent="0.3">
      <c r="B10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2" spans="2:2" x14ac:dyDescent="0.3">
      <c r="B10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3" spans="2:2" x14ac:dyDescent="0.3">
      <c r="B10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4" spans="2:2" x14ac:dyDescent="0.3">
      <c r="B10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5" spans="2:2" x14ac:dyDescent="0.3">
      <c r="B10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6" spans="2:2" x14ac:dyDescent="0.3">
      <c r="B10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7" spans="2:2" x14ac:dyDescent="0.3">
      <c r="B10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8" spans="2:2" x14ac:dyDescent="0.3">
      <c r="B10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9" spans="2:2" x14ac:dyDescent="0.3">
      <c r="B10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0" spans="2:2" x14ac:dyDescent="0.3">
      <c r="B10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1" spans="2:2" x14ac:dyDescent="0.3">
      <c r="B10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2" spans="2:2" x14ac:dyDescent="0.3">
      <c r="B10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3" spans="2:2" x14ac:dyDescent="0.3">
      <c r="B10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4" spans="2:2" x14ac:dyDescent="0.3">
      <c r="B10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5" spans="2:2" x14ac:dyDescent="0.3">
      <c r="B10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6" spans="2:2" x14ac:dyDescent="0.3">
      <c r="B10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7" spans="2:2" x14ac:dyDescent="0.3">
      <c r="B10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8" spans="2:2" x14ac:dyDescent="0.3">
      <c r="B10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9" spans="2:2" x14ac:dyDescent="0.3">
      <c r="B10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0" spans="2:2" x14ac:dyDescent="0.3">
      <c r="B10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1" spans="2:2" x14ac:dyDescent="0.3">
      <c r="B10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2" spans="2:2" x14ac:dyDescent="0.3">
      <c r="B10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3" spans="2:2" x14ac:dyDescent="0.3">
      <c r="B10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4" spans="2:2" x14ac:dyDescent="0.3">
      <c r="B10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5" spans="2:2" x14ac:dyDescent="0.3">
      <c r="B10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6" spans="2:2" x14ac:dyDescent="0.3">
      <c r="B10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7" spans="2:2" x14ac:dyDescent="0.3">
      <c r="B10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8" spans="2:2" x14ac:dyDescent="0.3">
      <c r="B10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9" spans="2:2" x14ac:dyDescent="0.3">
      <c r="B10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0" spans="2:2" x14ac:dyDescent="0.3">
      <c r="B10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1" spans="2:2" x14ac:dyDescent="0.3">
      <c r="B10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2" spans="2:2" x14ac:dyDescent="0.3">
      <c r="B10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3" spans="2:2" x14ac:dyDescent="0.3">
      <c r="B10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4" spans="2:2" x14ac:dyDescent="0.3">
      <c r="B10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5" spans="2:2" x14ac:dyDescent="0.3">
      <c r="B10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6" spans="2:2" x14ac:dyDescent="0.3">
      <c r="B10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7" spans="2:2" x14ac:dyDescent="0.3">
      <c r="B10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8" spans="2:2" x14ac:dyDescent="0.3">
      <c r="B10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9" spans="2:2" x14ac:dyDescent="0.3">
      <c r="B10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0" spans="2:2" x14ac:dyDescent="0.3">
      <c r="B10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1" spans="2:2" x14ac:dyDescent="0.3">
      <c r="B10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2" spans="2:2" x14ac:dyDescent="0.3">
      <c r="B10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3" spans="2:2" x14ac:dyDescent="0.3">
      <c r="B10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4" spans="2:2" x14ac:dyDescent="0.3">
      <c r="B10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5" spans="2:2" x14ac:dyDescent="0.3">
      <c r="B10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6" spans="2:2" x14ac:dyDescent="0.3">
      <c r="B10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7" spans="2:2" x14ac:dyDescent="0.3">
      <c r="B10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8" spans="2:2" x14ac:dyDescent="0.3">
      <c r="B10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9" spans="2:2" x14ac:dyDescent="0.3">
      <c r="B10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0" spans="2:2" x14ac:dyDescent="0.3">
      <c r="B10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1" spans="2:2" x14ac:dyDescent="0.3">
      <c r="B10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2" spans="2:2" x14ac:dyDescent="0.3">
      <c r="B10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3" spans="2:2" x14ac:dyDescent="0.3">
      <c r="B10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4" spans="2:2" x14ac:dyDescent="0.3">
      <c r="B10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5" spans="2:2" x14ac:dyDescent="0.3">
      <c r="B10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6" spans="2:2" x14ac:dyDescent="0.3">
      <c r="B10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7" spans="2:2" x14ac:dyDescent="0.3">
      <c r="B10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8" spans="2:2" x14ac:dyDescent="0.3">
      <c r="B10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9" spans="2:2" x14ac:dyDescent="0.3">
      <c r="B10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0" spans="2:2" x14ac:dyDescent="0.3">
      <c r="B10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1" spans="2:2" x14ac:dyDescent="0.3">
      <c r="B10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2" spans="2:2" x14ac:dyDescent="0.3">
      <c r="B10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3" spans="2:2" x14ac:dyDescent="0.3">
      <c r="B10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4" spans="2:2" x14ac:dyDescent="0.3">
      <c r="B10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5" spans="2:2" x14ac:dyDescent="0.3">
      <c r="B10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6" spans="2:2" x14ac:dyDescent="0.3">
      <c r="B10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7" spans="2:2" x14ac:dyDescent="0.3">
      <c r="B10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8" spans="2:2" x14ac:dyDescent="0.3">
      <c r="B10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9" spans="2:2" x14ac:dyDescent="0.3">
      <c r="B10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0" spans="2:2" x14ac:dyDescent="0.3">
      <c r="B10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1" spans="2:2" x14ac:dyDescent="0.3">
      <c r="B10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2" spans="2:2" x14ac:dyDescent="0.3">
      <c r="B10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3" spans="2:2" x14ac:dyDescent="0.3">
      <c r="B10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4" spans="2:2" x14ac:dyDescent="0.3">
      <c r="B10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5" spans="2:2" x14ac:dyDescent="0.3">
      <c r="B10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6" spans="2:2" x14ac:dyDescent="0.3">
      <c r="B10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7" spans="2:2" x14ac:dyDescent="0.3">
      <c r="B10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8" spans="2:2" x14ac:dyDescent="0.3">
      <c r="B10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9" spans="2:2" x14ac:dyDescent="0.3">
      <c r="B10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0" spans="2:2" x14ac:dyDescent="0.3">
      <c r="B10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1" spans="2:2" x14ac:dyDescent="0.3">
      <c r="B10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2" spans="2:2" x14ac:dyDescent="0.3">
      <c r="B10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3" spans="2:2" x14ac:dyDescent="0.3">
      <c r="B10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4" spans="2:2" x14ac:dyDescent="0.3">
      <c r="B10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5" spans="2:2" x14ac:dyDescent="0.3">
      <c r="B10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6" spans="2:2" x14ac:dyDescent="0.3">
      <c r="B10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7" spans="2:2" x14ac:dyDescent="0.3">
      <c r="B10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8" spans="2:2" x14ac:dyDescent="0.3">
      <c r="B10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9" spans="2:2" x14ac:dyDescent="0.3">
      <c r="B10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0" spans="2:2" x14ac:dyDescent="0.3">
      <c r="B11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1" spans="2:2" x14ac:dyDescent="0.3">
      <c r="B11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2" spans="2:2" x14ac:dyDescent="0.3">
      <c r="B11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3" spans="2:2" x14ac:dyDescent="0.3">
      <c r="B11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4" spans="2:2" x14ac:dyDescent="0.3">
      <c r="B11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5" spans="2:2" x14ac:dyDescent="0.3">
      <c r="B11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6" spans="2:2" x14ac:dyDescent="0.3">
      <c r="B11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7" spans="2:2" x14ac:dyDescent="0.3">
      <c r="B11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8" spans="2:2" x14ac:dyDescent="0.3">
      <c r="B11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9" spans="2:2" x14ac:dyDescent="0.3">
      <c r="B11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0" spans="2:2" x14ac:dyDescent="0.3">
      <c r="B11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1" spans="2:2" x14ac:dyDescent="0.3">
      <c r="B11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2" spans="2:2" x14ac:dyDescent="0.3">
      <c r="B11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3" spans="2:2" x14ac:dyDescent="0.3">
      <c r="B11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4" spans="2:2" x14ac:dyDescent="0.3">
      <c r="B11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5" spans="2:2" x14ac:dyDescent="0.3">
      <c r="B11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6" spans="2:2" x14ac:dyDescent="0.3">
      <c r="B11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7" spans="2:2" x14ac:dyDescent="0.3">
      <c r="B11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8" spans="2:2" x14ac:dyDescent="0.3">
      <c r="B11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9" spans="2:2" x14ac:dyDescent="0.3">
      <c r="B11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0" spans="2:2" x14ac:dyDescent="0.3">
      <c r="B11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1" spans="2:2" x14ac:dyDescent="0.3">
      <c r="B11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2" spans="2:2" x14ac:dyDescent="0.3">
      <c r="B11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3" spans="2:2" x14ac:dyDescent="0.3">
      <c r="B11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4" spans="2:2" x14ac:dyDescent="0.3">
      <c r="B11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5" spans="2:2" x14ac:dyDescent="0.3">
      <c r="B11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6" spans="2:2" x14ac:dyDescent="0.3">
      <c r="B11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7" spans="2:2" x14ac:dyDescent="0.3">
      <c r="B11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8" spans="2:2" x14ac:dyDescent="0.3">
      <c r="B11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9" spans="2:2" x14ac:dyDescent="0.3">
      <c r="B11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0" spans="2:2" x14ac:dyDescent="0.3">
      <c r="B11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1" spans="2:2" x14ac:dyDescent="0.3">
      <c r="B11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2" spans="2:2" x14ac:dyDescent="0.3">
      <c r="B11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3" spans="2:2" x14ac:dyDescent="0.3">
      <c r="B11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4" spans="2:2" x14ac:dyDescent="0.3">
      <c r="B11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5" spans="2:2" x14ac:dyDescent="0.3">
      <c r="B11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6" spans="2:2" x14ac:dyDescent="0.3">
      <c r="B11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7" spans="2:2" x14ac:dyDescent="0.3">
      <c r="B11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8" spans="2:2" x14ac:dyDescent="0.3">
      <c r="B11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9" spans="2:2" x14ac:dyDescent="0.3">
      <c r="B11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0" spans="2:2" x14ac:dyDescent="0.3">
      <c r="B11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1" spans="2:2" x14ac:dyDescent="0.3">
      <c r="B11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2" spans="2:2" x14ac:dyDescent="0.3">
      <c r="B11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3" spans="2:2" x14ac:dyDescent="0.3">
      <c r="B11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4" spans="2:2" x14ac:dyDescent="0.3">
      <c r="B11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5" spans="2:2" x14ac:dyDescent="0.3">
      <c r="B11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6" spans="2:2" x14ac:dyDescent="0.3">
      <c r="B11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7" spans="2:2" x14ac:dyDescent="0.3">
      <c r="B11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8" spans="2:2" x14ac:dyDescent="0.3">
      <c r="B11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9" spans="2:2" x14ac:dyDescent="0.3">
      <c r="B11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0" spans="2:2" x14ac:dyDescent="0.3">
      <c r="B11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1" spans="2:2" x14ac:dyDescent="0.3">
      <c r="B11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2" spans="2:2" x14ac:dyDescent="0.3">
      <c r="B11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3" spans="2:2" x14ac:dyDescent="0.3">
      <c r="B11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4" spans="2:2" x14ac:dyDescent="0.3">
      <c r="B11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5" spans="2:2" x14ac:dyDescent="0.3">
      <c r="B11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6" spans="2:2" x14ac:dyDescent="0.3">
      <c r="B11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7" spans="2:2" x14ac:dyDescent="0.3">
      <c r="B11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8" spans="2:2" x14ac:dyDescent="0.3">
      <c r="B11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9" spans="2:2" x14ac:dyDescent="0.3">
      <c r="B11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0" spans="2:2" x14ac:dyDescent="0.3">
      <c r="B11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1" spans="2:2" x14ac:dyDescent="0.3">
      <c r="B11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2" spans="2:2" x14ac:dyDescent="0.3">
      <c r="B11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3" spans="2:2" x14ac:dyDescent="0.3">
      <c r="B11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4" spans="2:2" x14ac:dyDescent="0.3">
      <c r="B11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5" spans="2:2" x14ac:dyDescent="0.3">
      <c r="B11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6" spans="2:2" x14ac:dyDescent="0.3">
      <c r="B11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7" spans="2:2" x14ac:dyDescent="0.3">
      <c r="B11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8" spans="2:2" x14ac:dyDescent="0.3">
      <c r="B11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9" spans="2:2" x14ac:dyDescent="0.3">
      <c r="B11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0" spans="2:2" x14ac:dyDescent="0.3">
      <c r="B11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1" spans="2:2" x14ac:dyDescent="0.3">
      <c r="B11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2" spans="2:2" x14ac:dyDescent="0.3">
      <c r="B11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3" spans="2:2" x14ac:dyDescent="0.3">
      <c r="B11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4" spans="2:2" x14ac:dyDescent="0.3">
      <c r="B11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5" spans="2:2" x14ac:dyDescent="0.3">
      <c r="B11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6" spans="2:2" x14ac:dyDescent="0.3">
      <c r="B11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7" spans="2:2" x14ac:dyDescent="0.3">
      <c r="B11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8" spans="2:2" x14ac:dyDescent="0.3">
      <c r="B11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9" spans="2:2" x14ac:dyDescent="0.3">
      <c r="B11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0" spans="2:2" x14ac:dyDescent="0.3">
      <c r="B11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1" spans="2:2" x14ac:dyDescent="0.3">
      <c r="B11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2" spans="2:2" x14ac:dyDescent="0.3">
      <c r="B11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3" spans="2:2" x14ac:dyDescent="0.3">
      <c r="B11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4" spans="2:2" x14ac:dyDescent="0.3">
      <c r="B11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5" spans="2:2" x14ac:dyDescent="0.3">
      <c r="B11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6" spans="2:2" x14ac:dyDescent="0.3">
      <c r="B11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7" spans="2:2" x14ac:dyDescent="0.3">
      <c r="B11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8" spans="2:2" x14ac:dyDescent="0.3">
      <c r="B11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9" spans="2:2" x14ac:dyDescent="0.3">
      <c r="B11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0" spans="2:2" x14ac:dyDescent="0.3">
      <c r="B11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1" spans="2:2" x14ac:dyDescent="0.3">
      <c r="B11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2" spans="2:2" x14ac:dyDescent="0.3">
      <c r="B11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3" spans="2:2" x14ac:dyDescent="0.3">
      <c r="B11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4" spans="2:2" x14ac:dyDescent="0.3">
      <c r="B11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5" spans="2:2" x14ac:dyDescent="0.3">
      <c r="B11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6" spans="2:2" x14ac:dyDescent="0.3">
      <c r="B11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7" spans="2:2" x14ac:dyDescent="0.3">
      <c r="B11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8" spans="2:2" x14ac:dyDescent="0.3">
      <c r="B11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9" spans="2:2" x14ac:dyDescent="0.3">
      <c r="B11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0" spans="2:2" x14ac:dyDescent="0.3">
      <c r="B12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1" spans="2:2" x14ac:dyDescent="0.3">
      <c r="B12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2" spans="2:2" x14ac:dyDescent="0.3">
      <c r="B12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3" spans="2:2" x14ac:dyDescent="0.3">
      <c r="B12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4" spans="2:2" x14ac:dyDescent="0.3">
      <c r="B12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5" spans="2:2" x14ac:dyDescent="0.3">
      <c r="B12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6" spans="2:2" x14ac:dyDescent="0.3">
      <c r="B12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7" spans="2:2" x14ac:dyDescent="0.3">
      <c r="B12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8" spans="2:2" x14ac:dyDescent="0.3">
      <c r="B12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9" spans="2:2" x14ac:dyDescent="0.3">
      <c r="B12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0" spans="2:2" x14ac:dyDescent="0.3">
      <c r="B12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1" spans="2:2" x14ac:dyDescent="0.3">
      <c r="B12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2" spans="2:2" x14ac:dyDescent="0.3">
      <c r="B12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3" spans="2:2" x14ac:dyDescent="0.3">
      <c r="B12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4" spans="2:2" x14ac:dyDescent="0.3">
      <c r="B12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5" spans="2:2" x14ac:dyDescent="0.3">
      <c r="B12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6" spans="2:2" x14ac:dyDescent="0.3">
      <c r="B12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7" spans="2:2" x14ac:dyDescent="0.3">
      <c r="B12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8" spans="2:2" x14ac:dyDescent="0.3">
      <c r="B12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9" spans="2:2" x14ac:dyDescent="0.3">
      <c r="B12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0" spans="2:2" x14ac:dyDescent="0.3">
      <c r="B12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1" spans="2:2" x14ac:dyDescent="0.3">
      <c r="B12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2" spans="2:2" x14ac:dyDescent="0.3">
      <c r="B12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3" spans="2:2" x14ac:dyDescent="0.3">
      <c r="B12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4" spans="2:2" x14ac:dyDescent="0.3">
      <c r="B12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5" spans="2:2" x14ac:dyDescent="0.3">
      <c r="B12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6" spans="2:2" x14ac:dyDescent="0.3">
      <c r="B12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7" spans="2:2" x14ac:dyDescent="0.3">
      <c r="B12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8" spans="2:2" x14ac:dyDescent="0.3">
      <c r="B12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9" spans="2:2" x14ac:dyDescent="0.3">
      <c r="B12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0" spans="2:2" x14ac:dyDescent="0.3">
      <c r="B12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1" spans="2:2" x14ac:dyDescent="0.3">
      <c r="B12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2" spans="2:2" x14ac:dyDescent="0.3">
      <c r="B12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3" spans="2:2" x14ac:dyDescent="0.3">
      <c r="B12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4" spans="2:2" x14ac:dyDescent="0.3">
      <c r="B12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5" spans="2:2" x14ac:dyDescent="0.3">
      <c r="B12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6" spans="2:2" x14ac:dyDescent="0.3">
      <c r="B12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7" spans="2:2" x14ac:dyDescent="0.3">
      <c r="B12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8" spans="2:2" x14ac:dyDescent="0.3">
      <c r="B12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9" spans="2:2" x14ac:dyDescent="0.3">
      <c r="B12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0" spans="2:2" x14ac:dyDescent="0.3">
      <c r="B12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1" spans="2:2" x14ac:dyDescent="0.3">
      <c r="B12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2" spans="2:2" x14ac:dyDescent="0.3">
      <c r="B12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3" spans="2:2" x14ac:dyDescent="0.3">
      <c r="B12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4" spans="2:2" x14ac:dyDescent="0.3">
      <c r="B12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5" spans="2:2" x14ac:dyDescent="0.3">
      <c r="B12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6" spans="2:2" x14ac:dyDescent="0.3">
      <c r="B12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7" spans="2:2" x14ac:dyDescent="0.3">
      <c r="B12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8" spans="2:2" x14ac:dyDescent="0.3">
      <c r="B12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9" spans="2:2" x14ac:dyDescent="0.3">
      <c r="B12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0" spans="2:2" x14ac:dyDescent="0.3">
      <c r="B12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1" spans="2:2" x14ac:dyDescent="0.3">
      <c r="B12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2" spans="2:2" x14ac:dyDescent="0.3">
      <c r="B12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3" spans="2:2" x14ac:dyDescent="0.3">
      <c r="B12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4" spans="2:2" x14ac:dyDescent="0.3">
      <c r="B12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5" spans="2:2" x14ac:dyDescent="0.3">
      <c r="B12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6" spans="2:2" x14ac:dyDescent="0.3">
      <c r="B12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7" spans="2:2" x14ac:dyDescent="0.3">
      <c r="B12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8" spans="2:2" x14ac:dyDescent="0.3">
      <c r="B12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9" spans="2:2" x14ac:dyDescent="0.3">
      <c r="B12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0" spans="2:2" x14ac:dyDescent="0.3">
      <c r="B12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1" spans="2:2" x14ac:dyDescent="0.3">
      <c r="B12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2" spans="2:2" x14ac:dyDescent="0.3">
      <c r="B12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3" spans="2:2" x14ac:dyDescent="0.3">
      <c r="B12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4" spans="2:2" x14ac:dyDescent="0.3">
      <c r="B12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5" spans="2:2" x14ac:dyDescent="0.3">
      <c r="B12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6" spans="2:2" x14ac:dyDescent="0.3">
      <c r="B12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7" spans="2:2" x14ac:dyDescent="0.3">
      <c r="B12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8" spans="2:2" x14ac:dyDescent="0.3">
      <c r="B12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9" spans="2:2" x14ac:dyDescent="0.3">
      <c r="B12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0" spans="2:2" x14ac:dyDescent="0.3">
      <c r="B12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1" spans="2:2" x14ac:dyDescent="0.3">
      <c r="B12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2" spans="2:2" x14ac:dyDescent="0.3">
      <c r="B12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3" spans="2:2" x14ac:dyDescent="0.3">
      <c r="B12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4" spans="2:2" x14ac:dyDescent="0.3">
      <c r="B12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5" spans="2:2" x14ac:dyDescent="0.3">
      <c r="B12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6" spans="2:2" x14ac:dyDescent="0.3">
      <c r="B12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7" spans="2:2" x14ac:dyDescent="0.3">
      <c r="B12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8" spans="2:2" x14ac:dyDescent="0.3">
      <c r="B12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9" spans="2:2" x14ac:dyDescent="0.3">
      <c r="B12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0" spans="2:2" x14ac:dyDescent="0.3">
      <c r="B12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1" spans="2:2" x14ac:dyDescent="0.3">
      <c r="B12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2" spans="2:2" x14ac:dyDescent="0.3">
      <c r="B12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3" spans="2:2" x14ac:dyDescent="0.3">
      <c r="B12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4" spans="2:2" x14ac:dyDescent="0.3">
      <c r="B12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5" spans="2:2" x14ac:dyDescent="0.3">
      <c r="B12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6" spans="2:2" x14ac:dyDescent="0.3">
      <c r="B12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7" spans="2:2" x14ac:dyDescent="0.3">
      <c r="B12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8" spans="2:2" x14ac:dyDescent="0.3">
      <c r="B12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9" spans="2:2" x14ac:dyDescent="0.3">
      <c r="B12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0" spans="2:2" x14ac:dyDescent="0.3">
      <c r="B12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1" spans="2:2" x14ac:dyDescent="0.3">
      <c r="B12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2" spans="2:2" x14ac:dyDescent="0.3">
      <c r="B12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3" spans="2:2" x14ac:dyDescent="0.3">
      <c r="B12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4" spans="2:2" x14ac:dyDescent="0.3">
      <c r="B12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5" spans="2:2" x14ac:dyDescent="0.3">
      <c r="B12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6" spans="2:2" x14ac:dyDescent="0.3">
      <c r="B12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7" spans="2:2" x14ac:dyDescent="0.3">
      <c r="B12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8" spans="2:2" x14ac:dyDescent="0.3">
      <c r="B12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9" spans="2:2" x14ac:dyDescent="0.3">
      <c r="B12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0" spans="2:2" x14ac:dyDescent="0.3">
      <c r="B13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1" spans="2:2" x14ac:dyDescent="0.3">
      <c r="B13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2" spans="2:2" x14ac:dyDescent="0.3">
      <c r="B13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3" spans="2:2" x14ac:dyDescent="0.3">
      <c r="B13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4" spans="2:2" x14ac:dyDescent="0.3">
      <c r="B13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5" spans="2:2" x14ac:dyDescent="0.3">
      <c r="B13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6" spans="2:2" x14ac:dyDescent="0.3">
      <c r="B13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7" spans="2:2" x14ac:dyDescent="0.3">
      <c r="B13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8" spans="2:2" x14ac:dyDescent="0.3">
      <c r="B13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9" spans="2:2" x14ac:dyDescent="0.3">
      <c r="B13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0" spans="2:2" x14ac:dyDescent="0.3">
      <c r="B13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1" spans="2:2" x14ac:dyDescent="0.3">
      <c r="B13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2" spans="2:2" x14ac:dyDescent="0.3">
      <c r="B13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3" spans="2:2" x14ac:dyDescent="0.3">
      <c r="B13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4" spans="2:2" x14ac:dyDescent="0.3">
      <c r="B13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5" spans="2:2" x14ac:dyDescent="0.3">
      <c r="B13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6" spans="2:2" x14ac:dyDescent="0.3">
      <c r="B13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7" spans="2:2" x14ac:dyDescent="0.3">
      <c r="B13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8" spans="2:2" x14ac:dyDescent="0.3">
      <c r="B13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9" spans="2:2" x14ac:dyDescent="0.3">
      <c r="B13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0" spans="2:2" x14ac:dyDescent="0.3">
      <c r="B13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1" spans="2:2" x14ac:dyDescent="0.3">
      <c r="B13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2" spans="2:2" x14ac:dyDescent="0.3">
      <c r="B13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3" spans="2:2" x14ac:dyDescent="0.3">
      <c r="B13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4" spans="2:2" x14ac:dyDescent="0.3">
      <c r="B13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5" spans="2:2" x14ac:dyDescent="0.3">
      <c r="B13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6" spans="2:2" x14ac:dyDescent="0.3">
      <c r="B13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7" spans="2:2" x14ac:dyDescent="0.3">
      <c r="B13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8" spans="2:2" x14ac:dyDescent="0.3">
      <c r="B13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9" spans="2:2" x14ac:dyDescent="0.3">
      <c r="B13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0" spans="2:2" x14ac:dyDescent="0.3">
      <c r="B13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1" spans="2:2" x14ac:dyDescent="0.3">
      <c r="B13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2" spans="2:2" x14ac:dyDescent="0.3">
      <c r="B13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3" spans="2:2" x14ac:dyDescent="0.3">
      <c r="B13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4" spans="2:2" x14ac:dyDescent="0.3">
      <c r="B13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5" spans="2:2" x14ac:dyDescent="0.3">
      <c r="B13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6" spans="2:2" x14ac:dyDescent="0.3">
      <c r="B13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7" spans="2:2" x14ac:dyDescent="0.3">
      <c r="B13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8" spans="2:2" x14ac:dyDescent="0.3">
      <c r="B13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9" spans="2:2" x14ac:dyDescent="0.3">
      <c r="B13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0" spans="2:2" x14ac:dyDescent="0.3">
      <c r="B13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1" spans="2:2" x14ac:dyDescent="0.3">
      <c r="B13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2" spans="2:2" x14ac:dyDescent="0.3">
      <c r="B13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3" spans="2:2" x14ac:dyDescent="0.3">
      <c r="B13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4" spans="2:2" x14ac:dyDescent="0.3">
      <c r="B13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5" spans="2:2" x14ac:dyDescent="0.3">
      <c r="B13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6" spans="2:2" x14ac:dyDescent="0.3">
      <c r="B13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7" spans="2:2" x14ac:dyDescent="0.3">
      <c r="B13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8" spans="2:2" x14ac:dyDescent="0.3">
      <c r="B13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9" spans="2:2" x14ac:dyDescent="0.3">
      <c r="B13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0" spans="2:2" x14ac:dyDescent="0.3">
      <c r="B13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1" spans="2:2" x14ac:dyDescent="0.3">
      <c r="B13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2" spans="2:2" x14ac:dyDescent="0.3">
      <c r="B13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3" spans="2:2" x14ac:dyDescent="0.3">
      <c r="B13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4" spans="2:2" x14ac:dyDescent="0.3">
      <c r="B13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5" spans="2:2" x14ac:dyDescent="0.3">
      <c r="B13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6" spans="2:2" x14ac:dyDescent="0.3">
      <c r="B13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7" spans="2:2" x14ac:dyDescent="0.3">
      <c r="B13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8" spans="2:2" x14ac:dyDescent="0.3">
      <c r="B13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9" spans="2:2" x14ac:dyDescent="0.3">
      <c r="B13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0" spans="2:2" x14ac:dyDescent="0.3">
      <c r="B13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1" spans="2:2" x14ac:dyDescent="0.3">
      <c r="B13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2" spans="2:2" x14ac:dyDescent="0.3">
      <c r="B13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3" spans="2:2" x14ac:dyDescent="0.3">
      <c r="B13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4" spans="2:2" x14ac:dyDescent="0.3">
      <c r="B13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5" spans="2:2" x14ac:dyDescent="0.3">
      <c r="B13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6" spans="2:2" x14ac:dyDescent="0.3">
      <c r="B13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7" spans="2:2" x14ac:dyDescent="0.3">
      <c r="B13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8" spans="2:2" x14ac:dyDescent="0.3">
      <c r="B13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9" spans="2:2" x14ac:dyDescent="0.3">
      <c r="B13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0" spans="2:2" x14ac:dyDescent="0.3">
      <c r="B13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1" spans="2:2" x14ac:dyDescent="0.3">
      <c r="B13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2" spans="2:2" x14ac:dyDescent="0.3">
      <c r="B13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3" spans="2:2" x14ac:dyDescent="0.3">
      <c r="B13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4" spans="2:2" x14ac:dyDescent="0.3">
      <c r="B13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5" spans="2:2" x14ac:dyDescent="0.3">
      <c r="B13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6" spans="2:2" x14ac:dyDescent="0.3">
      <c r="B13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7" spans="2:2" x14ac:dyDescent="0.3">
      <c r="B13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8" spans="2:2" x14ac:dyDescent="0.3">
      <c r="B13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9" spans="2:2" x14ac:dyDescent="0.3">
      <c r="B13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0" spans="2:2" x14ac:dyDescent="0.3">
      <c r="B13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1" spans="2:2" x14ac:dyDescent="0.3">
      <c r="B13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2" spans="2:2" x14ac:dyDescent="0.3">
      <c r="B13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3" spans="2:2" x14ac:dyDescent="0.3">
      <c r="B13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4" spans="2:2" x14ac:dyDescent="0.3">
      <c r="B13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5" spans="2:2" x14ac:dyDescent="0.3">
      <c r="B13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6" spans="2:2" x14ac:dyDescent="0.3">
      <c r="B13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7" spans="2:2" x14ac:dyDescent="0.3">
      <c r="B13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8" spans="2:2" x14ac:dyDescent="0.3">
      <c r="B13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9" spans="2:2" x14ac:dyDescent="0.3">
      <c r="B13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0" spans="2:2" x14ac:dyDescent="0.3">
      <c r="B13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1" spans="2:2" x14ac:dyDescent="0.3">
      <c r="B13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2" spans="2:2" x14ac:dyDescent="0.3">
      <c r="B13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3" spans="2:2" x14ac:dyDescent="0.3">
      <c r="B13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4" spans="2:2" x14ac:dyDescent="0.3">
      <c r="B13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5" spans="2:2" x14ac:dyDescent="0.3">
      <c r="B13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6" spans="2:2" x14ac:dyDescent="0.3">
      <c r="B13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7" spans="2:2" x14ac:dyDescent="0.3">
      <c r="B13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8" spans="2:2" x14ac:dyDescent="0.3">
      <c r="B13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9" spans="2:2" x14ac:dyDescent="0.3">
      <c r="B13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0" spans="2:2" x14ac:dyDescent="0.3">
      <c r="B14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1" spans="2:2" x14ac:dyDescent="0.3">
      <c r="B14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2" spans="2:2" x14ac:dyDescent="0.3">
      <c r="B14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3" spans="2:2" x14ac:dyDescent="0.3">
      <c r="B14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4" spans="2:2" x14ac:dyDescent="0.3">
      <c r="B14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5" spans="2:2" x14ac:dyDescent="0.3">
      <c r="B14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6" spans="2:2" x14ac:dyDescent="0.3">
      <c r="B14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7" spans="2:2" x14ac:dyDescent="0.3">
      <c r="B14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8" spans="2:2" x14ac:dyDescent="0.3">
      <c r="B14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9" spans="2:2" x14ac:dyDescent="0.3">
      <c r="B14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0" spans="2:2" x14ac:dyDescent="0.3">
      <c r="B14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1" spans="2:2" x14ac:dyDescent="0.3">
      <c r="B14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2" spans="2:2" x14ac:dyDescent="0.3">
      <c r="B14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3" spans="2:2" x14ac:dyDescent="0.3">
      <c r="B14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4" spans="2:2" x14ac:dyDescent="0.3">
      <c r="B14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5" spans="2:2" x14ac:dyDescent="0.3">
      <c r="B14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6" spans="2:2" x14ac:dyDescent="0.3">
      <c r="B14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7" spans="2:2" x14ac:dyDescent="0.3">
      <c r="B14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8" spans="2:2" x14ac:dyDescent="0.3">
      <c r="B14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9" spans="2:2" x14ac:dyDescent="0.3">
      <c r="B14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0" spans="2:2" x14ac:dyDescent="0.3">
      <c r="B14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1" spans="2:2" x14ac:dyDescent="0.3">
      <c r="B14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2" spans="2:2" x14ac:dyDescent="0.3">
      <c r="B14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3" spans="2:2" x14ac:dyDescent="0.3">
      <c r="B14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4" spans="2:2" x14ac:dyDescent="0.3">
      <c r="B14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5" spans="2:2" x14ac:dyDescent="0.3">
      <c r="B14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6" spans="2:2" x14ac:dyDescent="0.3">
      <c r="B14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7" spans="2:2" x14ac:dyDescent="0.3">
      <c r="B14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8" spans="2:2" x14ac:dyDescent="0.3">
      <c r="B14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9" spans="2:2" x14ac:dyDescent="0.3">
      <c r="B14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0" spans="2:2" x14ac:dyDescent="0.3">
      <c r="B14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1" spans="2:2" x14ac:dyDescent="0.3">
      <c r="B14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2" spans="2:2" x14ac:dyDescent="0.3">
      <c r="B14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3" spans="2:2" x14ac:dyDescent="0.3">
      <c r="B14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4" spans="2:2" x14ac:dyDescent="0.3">
      <c r="B14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5" spans="2:2" x14ac:dyDescent="0.3">
      <c r="B14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6" spans="2:2" x14ac:dyDescent="0.3">
      <c r="B14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7" spans="2:2" x14ac:dyDescent="0.3">
      <c r="B14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8" spans="2:2" x14ac:dyDescent="0.3">
      <c r="B14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9" spans="2:2" x14ac:dyDescent="0.3">
      <c r="B14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0" spans="2:2" x14ac:dyDescent="0.3">
      <c r="B14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1" spans="2:2" x14ac:dyDescent="0.3">
      <c r="B14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2" spans="2:2" x14ac:dyDescent="0.3">
      <c r="B14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3" spans="2:2" x14ac:dyDescent="0.3">
      <c r="B14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4" spans="2:2" x14ac:dyDescent="0.3">
      <c r="B14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5" spans="2:2" x14ac:dyDescent="0.3">
      <c r="B14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6" spans="2:2" x14ac:dyDescent="0.3">
      <c r="B14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7" spans="2:2" x14ac:dyDescent="0.3">
      <c r="B14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8" spans="2:2" x14ac:dyDescent="0.3">
      <c r="B14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9" spans="2:2" x14ac:dyDescent="0.3">
      <c r="B14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0" spans="2:2" x14ac:dyDescent="0.3">
      <c r="B14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1" spans="2:2" x14ac:dyDescent="0.3">
      <c r="B14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2" spans="2:2" x14ac:dyDescent="0.3">
      <c r="B14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3" spans="2:2" x14ac:dyDescent="0.3">
      <c r="B14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4" spans="2:2" x14ac:dyDescent="0.3">
      <c r="B14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5" spans="2:2" x14ac:dyDescent="0.3">
      <c r="B14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6" spans="2:2" x14ac:dyDescent="0.3">
      <c r="B14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7" spans="2:2" x14ac:dyDescent="0.3">
      <c r="B14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8" spans="2:2" x14ac:dyDescent="0.3">
      <c r="B14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9" spans="2:2" x14ac:dyDescent="0.3">
      <c r="B14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0" spans="2:2" x14ac:dyDescent="0.3">
      <c r="B14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1" spans="2:2" x14ac:dyDescent="0.3">
      <c r="B14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2" spans="2:2" x14ac:dyDescent="0.3">
      <c r="B14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3" spans="2:2" x14ac:dyDescent="0.3">
      <c r="B14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4" spans="2:2" x14ac:dyDescent="0.3">
      <c r="B14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5" spans="2:2" x14ac:dyDescent="0.3">
      <c r="B14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6" spans="2:2" x14ac:dyDescent="0.3">
      <c r="B14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7" spans="2:2" x14ac:dyDescent="0.3">
      <c r="B14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8" spans="2:2" x14ac:dyDescent="0.3">
      <c r="B14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9" spans="2:2" x14ac:dyDescent="0.3">
      <c r="B14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0" spans="2:2" x14ac:dyDescent="0.3">
      <c r="B14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1" spans="2:2" x14ac:dyDescent="0.3">
      <c r="B14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2" spans="2:2" x14ac:dyDescent="0.3">
      <c r="B14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3" spans="2:2" x14ac:dyDescent="0.3">
      <c r="B14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4" spans="2:2" x14ac:dyDescent="0.3">
      <c r="B14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5" spans="2:2" x14ac:dyDescent="0.3">
      <c r="B14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6" spans="2:2" x14ac:dyDescent="0.3">
      <c r="B14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7" spans="2:2" x14ac:dyDescent="0.3">
      <c r="B14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8" spans="2:2" x14ac:dyDescent="0.3">
      <c r="B14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9" spans="2:2" x14ac:dyDescent="0.3">
      <c r="B14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0" spans="2:2" x14ac:dyDescent="0.3">
      <c r="B14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1" spans="2:2" x14ac:dyDescent="0.3">
      <c r="B14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2" spans="2:2" x14ac:dyDescent="0.3">
      <c r="B14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3" spans="2:2" x14ac:dyDescent="0.3">
      <c r="B14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4" spans="2:2" x14ac:dyDescent="0.3">
      <c r="B14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5" spans="2:2" x14ac:dyDescent="0.3">
      <c r="B14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6" spans="2:2" x14ac:dyDescent="0.3">
      <c r="B14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7" spans="2:2" x14ac:dyDescent="0.3">
      <c r="B14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8" spans="2:2" x14ac:dyDescent="0.3">
      <c r="B14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9" spans="2:2" x14ac:dyDescent="0.3">
      <c r="B14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0" spans="2:2" x14ac:dyDescent="0.3">
      <c r="B14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1" spans="2:2" x14ac:dyDescent="0.3">
      <c r="B14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2" spans="2:2" x14ac:dyDescent="0.3">
      <c r="B14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3" spans="2:2" x14ac:dyDescent="0.3">
      <c r="B14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4" spans="2:2" x14ac:dyDescent="0.3">
      <c r="B14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5" spans="2:2" x14ac:dyDescent="0.3">
      <c r="B14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6" spans="2:2" x14ac:dyDescent="0.3">
      <c r="B14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7" spans="2:2" x14ac:dyDescent="0.3">
      <c r="B14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8" spans="2:2" x14ac:dyDescent="0.3">
      <c r="B14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9" spans="2:2" x14ac:dyDescent="0.3">
      <c r="B14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0" spans="2:2" x14ac:dyDescent="0.3">
      <c r="B15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1" spans="2:2" x14ac:dyDescent="0.3">
      <c r="B15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2" spans="2:2" x14ac:dyDescent="0.3">
      <c r="B15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3" spans="2:2" x14ac:dyDescent="0.3">
      <c r="B15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4" spans="2:2" x14ac:dyDescent="0.3">
      <c r="B15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5" spans="2:2" x14ac:dyDescent="0.3">
      <c r="B15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6" spans="2:2" x14ac:dyDescent="0.3">
      <c r="B15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7" spans="2:2" x14ac:dyDescent="0.3">
      <c r="B15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8" spans="2:2" x14ac:dyDescent="0.3">
      <c r="B15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9" spans="2:2" x14ac:dyDescent="0.3">
      <c r="B15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0" spans="2:2" x14ac:dyDescent="0.3">
      <c r="B15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1" spans="2:2" x14ac:dyDescent="0.3">
      <c r="B15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2" spans="2:2" x14ac:dyDescent="0.3">
      <c r="B15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3" spans="2:2" x14ac:dyDescent="0.3">
      <c r="B15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4" spans="2:2" x14ac:dyDescent="0.3">
      <c r="B15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5" spans="2:2" x14ac:dyDescent="0.3">
      <c r="B15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6" spans="2:2" x14ac:dyDescent="0.3">
      <c r="B15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7" spans="2:2" x14ac:dyDescent="0.3">
      <c r="B15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8" spans="2:2" x14ac:dyDescent="0.3">
      <c r="B15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9" spans="2:2" x14ac:dyDescent="0.3">
      <c r="B15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0" spans="2:2" x14ac:dyDescent="0.3">
      <c r="B15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1" spans="2:2" x14ac:dyDescent="0.3">
      <c r="B15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2" spans="2:2" x14ac:dyDescent="0.3">
      <c r="B15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3" spans="2:2" x14ac:dyDescent="0.3">
      <c r="B15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4" spans="2:2" x14ac:dyDescent="0.3">
      <c r="B15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5" spans="2:2" x14ac:dyDescent="0.3">
      <c r="B15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6" spans="2:2" x14ac:dyDescent="0.3">
      <c r="B15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7" spans="2:2" x14ac:dyDescent="0.3">
      <c r="B15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8" spans="2:2" x14ac:dyDescent="0.3">
      <c r="B15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9" spans="2:2" x14ac:dyDescent="0.3">
      <c r="B15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0" spans="2:2" x14ac:dyDescent="0.3">
      <c r="B15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1" spans="2:2" x14ac:dyDescent="0.3">
      <c r="B15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2" spans="2:2" x14ac:dyDescent="0.3">
      <c r="B15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3" spans="2:2" x14ac:dyDescent="0.3">
      <c r="B15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4" spans="2:2" x14ac:dyDescent="0.3">
      <c r="B15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5" spans="2:2" x14ac:dyDescent="0.3">
      <c r="B15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6" spans="2:2" x14ac:dyDescent="0.3">
      <c r="B15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7" spans="2:2" x14ac:dyDescent="0.3">
      <c r="B15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8" spans="2:2" x14ac:dyDescent="0.3">
      <c r="B15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9" spans="2:2" x14ac:dyDescent="0.3">
      <c r="B15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0" spans="2:2" x14ac:dyDescent="0.3">
      <c r="B15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1" spans="2:2" x14ac:dyDescent="0.3">
      <c r="B15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2" spans="2:2" x14ac:dyDescent="0.3">
      <c r="B15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3" spans="2:2" x14ac:dyDescent="0.3">
      <c r="B15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4" spans="2:2" x14ac:dyDescent="0.3">
      <c r="B15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5" spans="2:2" x14ac:dyDescent="0.3">
      <c r="B15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6" spans="2:2" x14ac:dyDescent="0.3">
      <c r="B15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7" spans="2:2" x14ac:dyDescent="0.3">
      <c r="B15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8" spans="2:2" x14ac:dyDescent="0.3">
      <c r="B15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9" spans="2:2" x14ac:dyDescent="0.3">
      <c r="B15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0" spans="2:2" x14ac:dyDescent="0.3">
      <c r="B15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1" spans="2:2" x14ac:dyDescent="0.3">
      <c r="B15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2" spans="2:2" x14ac:dyDescent="0.3">
      <c r="B15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3" spans="2:2" x14ac:dyDescent="0.3">
      <c r="B15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4" spans="2:2" x14ac:dyDescent="0.3">
      <c r="B15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5" spans="2:2" x14ac:dyDescent="0.3">
      <c r="B15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6" spans="2:2" x14ac:dyDescent="0.3">
      <c r="B15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7" spans="2:2" x14ac:dyDescent="0.3">
      <c r="B15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8" spans="2:2" x14ac:dyDescent="0.3">
      <c r="B15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9" spans="2:2" x14ac:dyDescent="0.3">
      <c r="B15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0" spans="2:2" x14ac:dyDescent="0.3">
      <c r="B15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1" spans="2:2" x14ac:dyDescent="0.3">
      <c r="B15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2" spans="2:2" x14ac:dyDescent="0.3">
      <c r="B15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3" spans="2:2" x14ac:dyDescent="0.3">
      <c r="B15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4" spans="2:2" x14ac:dyDescent="0.3">
      <c r="B15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5" spans="2:2" x14ac:dyDescent="0.3">
      <c r="B15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6" spans="2:2" x14ac:dyDescent="0.3">
      <c r="B15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7" spans="2:2" x14ac:dyDescent="0.3">
      <c r="B15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8" spans="2:2" x14ac:dyDescent="0.3">
      <c r="B15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9" spans="2:2" x14ac:dyDescent="0.3">
      <c r="B15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0" spans="2:2" x14ac:dyDescent="0.3">
      <c r="B15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1" spans="2:2" x14ac:dyDescent="0.3">
      <c r="B15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2" spans="2:2" x14ac:dyDescent="0.3">
      <c r="B15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3" spans="2:2" x14ac:dyDescent="0.3">
      <c r="B15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4" spans="2:2" x14ac:dyDescent="0.3">
      <c r="B15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5" spans="2:2" x14ac:dyDescent="0.3">
      <c r="B15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6" spans="2:2" x14ac:dyDescent="0.3">
      <c r="B15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7" spans="2:2" x14ac:dyDescent="0.3">
      <c r="B15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8" spans="2:2" x14ac:dyDescent="0.3">
      <c r="B15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9" spans="2:2" x14ac:dyDescent="0.3">
      <c r="B15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0" spans="2:2" x14ac:dyDescent="0.3">
      <c r="B15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1" spans="2:2" x14ac:dyDescent="0.3">
      <c r="B15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2" spans="2:2" x14ac:dyDescent="0.3">
      <c r="B15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3" spans="2:2" x14ac:dyDescent="0.3">
      <c r="B15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4" spans="2:2" x14ac:dyDescent="0.3">
      <c r="B15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5" spans="2:2" x14ac:dyDescent="0.3">
      <c r="B15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6" spans="2:2" x14ac:dyDescent="0.3">
      <c r="B15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7" spans="2:2" x14ac:dyDescent="0.3">
      <c r="B15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8" spans="2:2" x14ac:dyDescent="0.3">
      <c r="B15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9" spans="2:2" x14ac:dyDescent="0.3">
      <c r="B15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0" spans="2:2" x14ac:dyDescent="0.3">
      <c r="B15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1" spans="2:2" x14ac:dyDescent="0.3">
      <c r="B15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2" spans="2:2" x14ac:dyDescent="0.3">
      <c r="B15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3" spans="2:2" x14ac:dyDescent="0.3">
      <c r="B15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4" spans="2:2" x14ac:dyDescent="0.3">
      <c r="B15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5" spans="2:2" x14ac:dyDescent="0.3">
      <c r="B15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6" spans="2:2" x14ac:dyDescent="0.3">
      <c r="B15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7" spans="2:2" x14ac:dyDescent="0.3">
      <c r="B15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8" spans="2:2" x14ac:dyDescent="0.3">
      <c r="B15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9" spans="2:2" x14ac:dyDescent="0.3">
      <c r="B15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0" spans="2:2" x14ac:dyDescent="0.3">
      <c r="B16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1" spans="2:2" x14ac:dyDescent="0.3">
      <c r="B16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2" spans="2:2" x14ac:dyDescent="0.3">
      <c r="B16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3" spans="2:2" x14ac:dyDescent="0.3">
      <c r="B16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4" spans="2:2" x14ac:dyDescent="0.3">
      <c r="B16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5" spans="2:2" x14ac:dyDescent="0.3">
      <c r="B16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6" spans="2:2" x14ac:dyDescent="0.3">
      <c r="B16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7" spans="2:2" x14ac:dyDescent="0.3">
      <c r="B16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8" spans="2:2" x14ac:dyDescent="0.3">
      <c r="B16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9" spans="2:2" x14ac:dyDescent="0.3">
      <c r="B16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0" spans="2:2" x14ac:dyDescent="0.3">
      <c r="B16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1" spans="2:2" x14ac:dyDescent="0.3">
      <c r="B16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2" spans="2:2" x14ac:dyDescent="0.3">
      <c r="B16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3" spans="2:2" x14ac:dyDescent="0.3">
      <c r="B16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4" spans="2:2" x14ac:dyDescent="0.3">
      <c r="B16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5" spans="2:2" x14ac:dyDescent="0.3">
      <c r="B16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6" spans="2:2" x14ac:dyDescent="0.3">
      <c r="B16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7" spans="2:2" x14ac:dyDescent="0.3">
      <c r="B16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8" spans="2:2" x14ac:dyDescent="0.3">
      <c r="B16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9" spans="2:2" x14ac:dyDescent="0.3">
      <c r="B16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0" spans="2:2" x14ac:dyDescent="0.3">
      <c r="B16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1" spans="2:2" x14ac:dyDescent="0.3">
      <c r="B16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2" spans="2:2" x14ac:dyDescent="0.3">
      <c r="B16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3" spans="2:2" x14ac:dyDescent="0.3">
      <c r="B16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4" spans="2:2" x14ac:dyDescent="0.3">
      <c r="B16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5" spans="2:2" x14ac:dyDescent="0.3">
      <c r="B16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6" spans="2:2" x14ac:dyDescent="0.3">
      <c r="B16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7" spans="2:2" x14ac:dyDescent="0.3">
      <c r="B16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8" spans="2:2" x14ac:dyDescent="0.3">
      <c r="B16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9" spans="2:2" x14ac:dyDescent="0.3">
      <c r="B16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0" spans="2:2" x14ac:dyDescent="0.3">
      <c r="B16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1" spans="2:2" x14ac:dyDescent="0.3">
      <c r="B16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2" spans="2:2" x14ac:dyDescent="0.3">
      <c r="B16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3" spans="2:2" x14ac:dyDescent="0.3">
      <c r="B16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4" spans="2:2" x14ac:dyDescent="0.3">
      <c r="B16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5" spans="2:2" x14ac:dyDescent="0.3">
      <c r="B16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6" spans="2:2" x14ac:dyDescent="0.3">
      <c r="B16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7" spans="2:2" x14ac:dyDescent="0.3">
      <c r="B16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8" spans="2:2" x14ac:dyDescent="0.3">
      <c r="B16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9" spans="2:2" x14ac:dyDescent="0.3">
      <c r="B16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0" spans="2:2" x14ac:dyDescent="0.3">
      <c r="B16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1" spans="2:2" x14ac:dyDescent="0.3">
      <c r="B16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2" spans="2:2" x14ac:dyDescent="0.3">
      <c r="B16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3" spans="2:2" x14ac:dyDescent="0.3">
      <c r="B16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4" spans="2:2" x14ac:dyDescent="0.3">
      <c r="B16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5" spans="2:2" x14ac:dyDescent="0.3">
      <c r="B16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6" spans="2:2" x14ac:dyDescent="0.3">
      <c r="B16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7" spans="2:2" x14ac:dyDescent="0.3">
      <c r="B16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8" spans="2:2" x14ac:dyDescent="0.3">
      <c r="B16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9" spans="2:2" x14ac:dyDescent="0.3">
      <c r="B16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0" spans="2:2" x14ac:dyDescent="0.3">
      <c r="B16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1" spans="2:2" x14ac:dyDescent="0.3">
      <c r="B16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2" spans="2:2" x14ac:dyDescent="0.3">
      <c r="B16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3" spans="2:2" x14ac:dyDescent="0.3">
      <c r="B16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4" spans="2:2" x14ac:dyDescent="0.3">
      <c r="B16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5" spans="2:2" x14ac:dyDescent="0.3">
      <c r="B16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6" spans="2:2" x14ac:dyDescent="0.3">
      <c r="B16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7" spans="2:2" x14ac:dyDescent="0.3">
      <c r="B16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8" spans="2:2" x14ac:dyDescent="0.3">
      <c r="B16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9" spans="2:2" x14ac:dyDescent="0.3">
      <c r="B16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0" spans="2:2" x14ac:dyDescent="0.3">
      <c r="B16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1" spans="2:2" x14ac:dyDescent="0.3">
      <c r="B16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2" spans="2:2" x14ac:dyDescent="0.3">
      <c r="B16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3" spans="2:2" x14ac:dyDescent="0.3">
      <c r="B16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4" spans="2:2" x14ac:dyDescent="0.3">
      <c r="B16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5" spans="2:2" x14ac:dyDescent="0.3">
      <c r="B16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6" spans="2:2" x14ac:dyDescent="0.3">
      <c r="B16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7" spans="2:2" x14ac:dyDescent="0.3">
      <c r="B16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8" spans="2:2" x14ac:dyDescent="0.3">
      <c r="B16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9" spans="2:2" x14ac:dyDescent="0.3">
      <c r="B16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0" spans="2:2" x14ac:dyDescent="0.3">
      <c r="B16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1" spans="2:2" x14ac:dyDescent="0.3">
      <c r="B16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2" spans="2:2" x14ac:dyDescent="0.3">
      <c r="B16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3" spans="2:2" x14ac:dyDescent="0.3">
      <c r="B16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4" spans="2:2" x14ac:dyDescent="0.3">
      <c r="B16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5" spans="2:2" x14ac:dyDescent="0.3">
      <c r="B16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6" spans="2:2" x14ac:dyDescent="0.3">
      <c r="B16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7" spans="2:2" x14ac:dyDescent="0.3">
      <c r="B16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8" spans="2:2" x14ac:dyDescent="0.3">
      <c r="B16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9" spans="2:2" x14ac:dyDescent="0.3">
      <c r="B16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0" spans="2:2" x14ac:dyDescent="0.3">
      <c r="B16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1" spans="2:2" x14ac:dyDescent="0.3">
      <c r="B16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2" spans="2:2" x14ac:dyDescent="0.3">
      <c r="B16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3" spans="2:2" x14ac:dyDescent="0.3">
      <c r="B16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4" spans="2:2" x14ac:dyDescent="0.3">
      <c r="B16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5" spans="2:2" x14ac:dyDescent="0.3">
      <c r="B16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6" spans="2:2" x14ac:dyDescent="0.3">
      <c r="B16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7" spans="2:2" x14ac:dyDescent="0.3">
      <c r="B16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8" spans="2:2" x14ac:dyDescent="0.3">
      <c r="B16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9" spans="2:2" x14ac:dyDescent="0.3">
      <c r="B16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0" spans="2:2" x14ac:dyDescent="0.3">
      <c r="B16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1" spans="2:2" x14ac:dyDescent="0.3">
      <c r="B16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2" spans="2:2" x14ac:dyDescent="0.3">
      <c r="B16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3" spans="2:2" x14ac:dyDescent="0.3">
      <c r="B16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4" spans="2:2" x14ac:dyDescent="0.3">
      <c r="B16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5" spans="2:2" x14ac:dyDescent="0.3">
      <c r="B16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6" spans="2:2" x14ac:dyDescent="0.3">
      <c r="B16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7" spans="2:2" x14ac:dyDescent="0.3">
      <c r="B16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8" spans="2:2" x14ac:dyDescent="0.3">
      <c r="B16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9" spans="2:2" x14ac:dyDescent="0.3">
      <c r="B16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0" spans="2:2" x14ac:dyDescent="0.3">
      <c r="B17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1" spans="2:2" x14ac:dyDescent="0.3">
      <c r="B17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2" spans="2:2" x14ac:dyDescent="0.3">
      <c r="B17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3" spans="2:2" x14ac:dyDescent="0.3">
      <c r="B17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4" spans="2:2" x14ac:dyDescent="0.3">
      <c r="B17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5" spans="2:2" x14ac:dyDescent="0.3">
      <c r="B17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6" spans="2:2" x14ac:dyDescent="0.3">
      <c r="B17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7" spans="2:2" x14ac:dyDescent="0.3">
      <c r="B17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8" spans="2:2" x14ac:dyDescent="0.3">
      <c r="B17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9" spans="2:2" x14ac:dyDescent="0.3">
      <c r="B17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0" spans="2:2" x14ac:dyDescent="0.3">
      <c r="B17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1" spans="2:2" x14ac:dyDescent="0.3">
      <c r="B17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2" spans="2:2" x14ac:dyDescent="0.3">
      <c r="B17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3" spans="2:2" x14ac:dyDescent="0.3">
      <c r="B17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4" spans="2:2" x14ac:dyDescent="0.3">
      <c r="B17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5" spans="2:2" x14ac:dyDescent="0.3">
      <c r="B17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6" spans="2:2" x14ac:dyDescent="0.3">
      <c r="B17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7" spans="2:2" x14ac:dyDescent="0.3">
      <c r="B17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8" spans="2:2" x14ac:dyDescent="0.3">
      <c r="B17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9" spans="2:2" x14ac:dyDescent="0.3">
      <c r="B17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0" spans="2:2" x14ac:dyDescent="0.3">
      <c r="B17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1" spans="2:2" x14ac:dyDescent="0.3">
      <c r="B17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2" spans="2:2" x14ac:dyDescent="0.3">
      <c r="B17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3" spans="2:2" x14ac:dyDescent="0.3">
      <c r="B17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4" spans="2:2" x14ac:dyDescent="0.3">
      <c r="B17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5" spans="2:2" x14ac:dyDescent="0.3">
      <c r="B17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6" spans="2:2" x14ac:dyDescent="0.3">
      <c r="B17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7" spans="2:2" x14ac:dyDescent="0.3">
      <c r="B17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8" spans="2:2" x14ac:dyDescent="0.3">
      <c r="B17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9" spans="2:2" x14ac:dyDescent="0.3">
      <c r="B17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0" spans="2:2" x14ac:dyDescent="0.3">
      <c r="B17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1" spans="2:2" x14ac:dyDescent="0.3">
      <c r="B17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2" spans="2:2" x14ac:dyDescent="0.3">
      <c r="B17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3" spans="2:2" x14ac:dyDescent="0.3">
      <c r="B17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4" spans="2:2" x14ac:dyDescent="0.3">
      <c r="B17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5" spans="2:2" x14ac:dyDescent="0.3">
      <c r="B17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6" spans="2:2" x14ac:dyDescent="0.3">
      <c r="B17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7" spans="2:2" x14ac:dyDescent="0.3">
      <c r="B17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8" spans="2:2" x14ac:dyDescent="0.3">
      <c r="B17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9" spans="2:2" x14ac:dyDescent="0.3">
      <c r="B17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0" spans="2:2" x14ac:dyDescent="0.3">
      <c r="B17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1" spans="2:2" x14ac:dyDescent="0.3">
      <c r="B17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2" spans="2:2" x14ac:dyDescent="0.3">
      <c r="B17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3" spans="2:2" x14ac:dyDescent="0.3">
      <c r="B17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4" spans="2:2" x14ac:dyDescent="0.3">
      <c r="B17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5" spans="2:2" x14ac:dyDescent="0.3">
      <c r="B17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6" spans="2:2" x14ac:dyDescent="0.3">
      <c r="B17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7" spans="2:2" x14ac:dyDescent="0.3">
      <c r="B17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8" spans="2:2" x14ac:dyDescent="0.3">
      <c r="B17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9" spans="2:2" x14ac:dyDescent="0.3">
      <c r="B17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0" spans="2:2" x14ac:dyDescent="0.3">
      <c r="B17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1" spans="2:2" x14ac:dyDescent="0.3">
      <c r="B17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2" spans="2:2" x14ac:dyDescent="0.3">
      <c r="B17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3" spans="2:2" x14ac:dyDescent="0.3">
      <c r="B17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4" spans="2:2" x14ac:dyDescent="0.3">
      <c r="B17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5" spans="2:2" x14ac:dyDescent="0.3">
      <c r="B17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6" spans="2:2" x14ac:dyDescent="0.3">
      <c r="B17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7" spans="2:2" x14ac:dyDescent="0.3">
      <c r="B17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8" spans="2:2" x14ac:dyDescent="0.3">
      <c r="B17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9" spans="2:2" x14ac:dyDescent="0.3">
      <c r="B17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0" spans="2:2" x14ac:dyDescent="0.3">
      <c r="B17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1" spans="2:2" x14ac:dyDescent="0.3">
      <c r="B17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2" spans="2:2" x14ac:dyDescent="0.3">
      <c r="B17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3" spans="2:2" x14ac:dyDescent="0.3">
      <c r="B17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4" spans="2:2" x14ac:dyDescent="0.3">
      <c r="B17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5" spans="2:2" x14ac:dyDescent="0.3">
      <c r="B17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6" spans="2:2" x14ac:dyDescent="0.3">
      <c r="B17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7" spans="2:2" x14ac:dyDescent="0.3">
      <c r="B17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8" spans="2:2" x14ac:dyDescent="0.3">
      <c r="B17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9" spans="2:2" x14ac:dyDescent="0.3">
      <c r="B17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0" spans="2:2" x14ac:dyDescent="0.3">
      <c r="B17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1" spans="2:2" x14ac:dyDescent="0.3">
      <c r="B17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2" spans="2:2" x14ac:dyDescent="0.3">
      <c r="B17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3" spans="2:2" x14ac:dyDescent="0.3">
      <c r="B17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4" spans="2:2" x14ac:dyDescent="0.3">
      <c r="B17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5" spans="2:2" x14ac:dyDescent="0.3">
      <c r="B17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6" spans="2:2" x14ac:dyDescent="0.3">
      <c r="B17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7" spans="2:2" x14ac:dyDescent="0.3">
      <c r="B17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8" spans="2:2" x14ac:dyDescent="0.3">
      <c r="B17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9" spans="2:2" x14ac:dyDescent="0.3">
      <c r="B17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0" spans="2:2" x14ac:dyDescent="0.3">
      <c r="B17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1" spans="2:2" x14ac:dyDescent="0.3">
      <c r="B17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2" spans="2:2" x14ac:dyDescent="0.3">
      <c r="B17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3" spans="2:2" x14ac:dyDescent="0.3">
      <c r="B17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4" spans="2:2" x14ac:dyDescent="0.3">
      <c r="B17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5" spans="2:2" x14ac:dyDescent="0.3">
      <c r="B17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6" spans="2:2" x14ac:dyDescent="0.3">
      <c r="B17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7" spans="2:2" x14ac:dyDescent="0.3">
      <c r="B17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8" spans="2:2" x14ac:dyDescent="0.3">
      <c r="B17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9" spans="2:2" x14ac:dyDescent="0.3">
      <c r="B17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0" spans="2:2" x14ac:dyDescent="0.3">
      <c r="B17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1" spans="2:2" x14ac:dyDescent="0.3">
      <c r="B17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2" spans="2:2" x14ac:dyDescent="0.3">
      <c r="B17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3" spans="2:2" x14ac:dyDescent="0.3">
      <c r="B17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4" spans="2:2" x14ac:dyDescent="0.3">
      <c r="B17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5" spans="2:2" x14ac:dyDescent="0.3">
      <c r="B17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6" spans="2:2" x14ac:dyDescent="0.3">
      <c r="B17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7" spans="2:2" x14ac:dyDescent="0.3">
      <c r="B17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8" spans="2:2" x14ac:dyDescent="0.3">
      <c r="B17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9" spans="2:2" x14ac:dyDescent="0.3">
      <c r="B17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0" spans="2:2" x14ac:dyDescent="0.3">
      <c r="B18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1" spans="2:2" x14ac:dyDescent="0.3">
      <c r="B18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2" spans="2:2" x14ac:dyDescent="0.3">
      <c r="B18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3" spans="2:2" x14ac:dyDescent="0.3">
      <c r="B18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4" spans="2:2" x14ac:dyDescent="0.3">
      <c r="B18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5" spans="2:2" x14ac:dyDescent="0.3">
      <c r="B18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6" spans="2:2" x14ac:dyDescent="0.3">
      <c r="B18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7" spans="2:2" x14ac:dyDescent="0.3">
      <c r="B18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8" spans="2:2" x14ac:dyDescent="0.3">
      <c r="B18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9" spans="2:2" x14ac:dyDescent="0.3">
      <c r="B18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0" spans="2:2" x14ac:dyDescent="0.3">
      <c r="B18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1" spans="2:2" x14ac:dyDescent="0.3">
      <c r="B18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2" spans="2:2" x14ac:dyDescent="0.3">
      <c r="B18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3" spans="2:2" x14ac:dyDescent="0.3">
      <c r="B18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4" spans="2:2" x14ac:dyDescent="0.3">
      <c r="B18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5" spans="2:2" x14ac:dyDescent="0.3">
      <c r="B18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6" spans="2:2" x14ac:dyDescent="0.3">
      <c r="B18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7" spans="2:2" x14ac:dyDescent="0.3">
      <c r="B18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8" spans="2:2" x14ac:dyDescent="0.3">
      <c r="B18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9" spans="2:2" x14ac:dyDescent="0.3">
      <c r="B18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0" spans="2:2" x14ac:dyDescent="0.3">
      <c r="B18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1" spans="2:2" x14ac:dyDescent="0.3">
      <c r="B18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2" spans="2:2" x14ac:dyDescent="0.3">
      <c r="B18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3" spans="2:2" x14ac:dyDescent="0.3">
      <c r="B18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4" spans="2:2" x14ac:dyDescent="0.3">
      <c r="B18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5" spans="2:2" x14ac:dyDescent="0.3">
      <c r="B18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6" spans="2:2" x14ac:dyDescent="0.3">
      <c r="B18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7" spans="2:2" x14ac:dyDescent="0.3">
      <c r="B18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8" spans="2:2" x14ac:dyDescent="0.3">
      <c r="B18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9" spans="2:2" x14ac:dyDescent="0.3">
      <c r="B18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0" spans="2:2" x14ac:dyDescent="0.3">
      <c r="B18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1" spans="2:2" x14ac:dyDescent="0.3">
      <c r="B18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2" spans="2:2" x14ac:dyDescent="0.3">
      <c r="B18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3" spans="2:2" x14ac:dyDescent="0.3">
      <c r="B18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4" spans="2:2" x14ac:dyDescent="0.3">
      <c r="B18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5" spans="2:2" x14ac:dyDescent="0.3">
      <c r="B18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6" spans="2:2" x14ac:dyDescent="0.3">
      <c r="B18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7" spans="2:2" x14ac:dyDescent="0.3">
      <c r="B18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8" spans="2:2" x14ac:dyDescent="0.3">
      <c r="B18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9" spans="2:2" x14ac:dyDescent="0.3">
      <c r="B18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0" spans="2:2" x14ac:dyDescent="0.3">
      <c r="B18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1" spans="2:2" x14ac:dyDescent="0.3">
      <c r="B18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2" spans="2:2" x14ac:dyDescent="0.3">
      <c r="B18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3" spans="2:2" x14ac:dyDescent="0.3">
      <c r="B18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4" spans="2:2" x14ac:dyDescent="0.3">
      <c r="B18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5" spans="2:2" x14ac:dyDescent="0.3">
      <c r="B18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6" spans="2:2" x14ac:dyDescent="0.3">
      <c r="B18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7" spans="2:2" x14ac:dyDescent="0.3">
      <c r="B18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8" spans="2:2" x14ac:dyDescent="0.3">
      <c r="B18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9" spans="2:2" x14ac:dyDescent="0.3">
      <c r="B18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0" spans="2:2" x14ac:dyDescent="0.3">
      <c r="B18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1" spans="2:2" x14ac:dyDescent="0.3">
      <c r="B18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2" spans="2:2" x14ac:dyDescent="0.3">
      <c r="B18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3" spans="2:2" x14ac:dyDescent="0.3">
      <c r="B18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4" spans="2:2" x14ac:dyDescent="0.3">
      <c r="B18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5" spans="2:2" x14ac:dyDescent="0.3">
      <c r="B18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6" spans="2:2" x14ac:dyDescent="0.3">
      <c r="B18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7" spans="2:2" x14ac:dyDescent="0.3">
      <c r="B18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8" spans="2:2" x14ac:dyDescent="0.3">
      <c r="B18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9" spans="2:2" x14ac:dyDescent="0.3">
      <c r="B18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0" spans="2:2" x14ac:dyDescent="0.3">
      <c r="B18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1" spans="2:2" x14ac:dyDescent="0.3">
      <c r="B18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2" spans="2:2" x14ac:dyDescent="0.3">
      <c r="B18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3" spans="2:2" x14ac:dyDescent="0.3">
      <c r="B18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4" spans="2:2" x14ac:dyDescent="0.3">
      <c r="B18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5" spans="2:2" x14ac:dyDescent="0.3">
      <c r="B18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6" spans="2:2" x14ac:dyDescent="0.3">
      <c r="B18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7" spans="2:2" x14ac:dyDescent="0.3">
      <c r="B18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8" spans="2:2" x14ac:dyDescent="0.3">
      <c r="B18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9" spans="2:2" x14ac:dyDescent="0.3">
      <c r="B18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0" spans="2:2" x14ac:dyDescent="0.3">
      <c r="B18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1" spans="2:2" x14ac:dyDescent="0.3">
      <c r="B18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2" spans="2:2" x14ac:dyDescent="0.3">
      <c r="B18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3" spans="2:2" x14ac:dyDescent="0.3">
      <c r="B18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4" spans="2:2" x14ac:dyDescent="0.3">
      <c r="B18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5" spans="2:2" x14ac:dyDescent="0.3">
      <c r="B18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6" spans="2:2" x14ac:dyDescent="0.3">
      <c r="B18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7" spans="2:2" x14ac:dyDescent="0.3">
      <c r="B18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8" spans="2:2" x14ac:dyDescent="0.3">
      <c r="B18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9" spans="2:2" x14ac:dyDescent="0.3">
      <c r="B18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0" spans="2:2" x14ac:dyDescent="0.3">
      <c r="B18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1" spans="2:2" x14ac:dyDescent="0.3">
      <c r="B18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2" spans="2:2" x14ac:dyDescent="0.3">
      <c r="B18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3" spans="2:2" x14ac:dyDescent="0.3">
      <c r="B18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4" spans="2:2" x14ac:dyDescent="0.3">
      <c r="B18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5" spans="2:2" x14ac:dyDescent="0.3">
      <c r="B18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6" spans="2:2" x14ac:dyDescent="0.3">
      <c r="B18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7" spans="2:2" x14ac:dyDescent="0.3">
      <c r="B18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8" spans="2:2" x14ac:dyDescent="0.3">
      <c r="B18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9" spans="2:2" x14ac:dyDescent="0.3">
      <c r="B18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0" spans="2:2" x14ac:dyDescent="0.3">
      <c r="B18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1" spans="2:2" x14ac:dyDescent="0.3">
      <c r="B18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2" spans="2:2" x14ac:dyDescent="0.3">
      <c r="B18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3" spans="2:2" x14ac:dyDescent="0.3">
      <c r="B18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4" spans="2:2" x14ac:dyDescent="0.3">
      <c r="B18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5" spans="2:2" x14ac:dyDescent="0.3">
      <c r="B18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6" spans="2:2" x14ac:dyDescent="0.3">
      <c r="B18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7" spans="2:2" x14ac:dyDescent="0.3">
      <c r="B18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8" spans="2:2" x14ac:dyDescent="0.3">
      <c r="B18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9" spans="2:2" x14ac:dyDescent="0.3">
      <c r="B18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0" spans="2:2" x14ac:dyDescent="0.3">
      <c r="B19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1" spans="2:2" x14ac:dyDescent="0.3">
      <c r="B19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2" spans="2:2" x14ac:dyDescent="0.3">
      <c r="B19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3" spans="2:2" x14ac:dyDescent="0.3">
      <c r="B19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4" spans="2:2" x14ac:dyDescent="0.3">
      <c r="B1904" t="str">
        <f>IFERROR(IF(LEFT(Sensitivität_bzw_Monte_Carlo_bei_Strom[[#This Row],[Source.Name]],SEARCH("aus_der",Sensitivität_bzw_Monte_Carlo_bei_Strom[[#This Row],[Source.Name]],1))="Auszahlung_a","Auszahlung",""),"")</f>
        <v/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4C0D9C-3BDE-4A82-A6AC-BF7B45050DB0}">
  <sheetPr codeName="Tabelle11"/>
  <dimension ref="A1:G1904"/>
  <sheetViews>
    <sheetView topLeftCell="B1" zoomScale="115" zoomScaleNormal="115" workbookViewId="0">
      <selection activeCell="D24" sqref="D24"/>
    </sheetView>
  </sheetViews>
  <sheetFormatPr baseColWidth="10" defaultRowHeight="14.4" x14ac:dyDescent="0.3"/>
  <cols>
    <col min="2" max="2" width="66.21875" bestFit="1" customWidth="1"/>
    <col min="4" max="4" width="17.77734375" bestFit="1" customWidth="1"/>
    <col min="7" max="7" width="18" bestFit="1" customWidth="1"/>
  </cols>
  <sheetData>
    <row r="1" spans="1:7" x14ac:dyDescent="0.3">
      <c r="A1" t="s">
        <v>17</v>
      </c>
      <c r="B1" t="s">
        <v>16</v>
      </c>
      <c r="C1" t="s">
        <v>15</v>
      </c>
      <c r="D1" t="s">
        <v>18</v>
      </c>
    </row>
    <row r="2" spans="1:7" x14ac:dyDescent="0.3">
      <c r="A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" s="1" t="s">
        <v>108</v>
      </c>
      <c r="C2">
        <v>24342.383923228281</v>
      </c>
      <c r="D2">
        <v>0</v>
      </c>
    </row>
    <row r="3" spans="1:7" x14ac:dyDescent="0.3">
      <c r="A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" s="1" t="s">
        <v>108</v>
      </c>
      <c r="C3">
        <v>24303.224287695681</v>
      </c>
      <c r="D3">
        <v>1.0101010101010101E-3</v>
      </c>
    </row>
    <row r="4" spans="1:7" x14ac:dyDescent="0.3">
      <c r="A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" s="1" t="s">
        <v>108</v>
      </c>
      <c r="C4">
        <v>24278.913429587799</v>
      </c>
      <c r="D4">
        <v>2.0202020202020202E-3</v>
      </c>
      <c r="F4" t="s">
        <v>113</v>
      </c>
      <c r="G4" t="s">
        <v>114</v>
      </c>
    </row>
    <row r="5" spans="1:7" x14ac:dyDescent="0.3">
      <c r="A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" s="1" t="s">
        <v>108</v>
      </c>
      <c r="C5">
        <v>24253.389156544079</v>
      </c>
      <c r="D5">
        <v>3.0303030303030299E-3</v>
      </c>
      <c r="F5">
        <f>MIN(C2:C101)</f>
        <v>14404.120093318619</v>
      </c>
      <c r="G5">
        <f>MAX(C2:C101)</f>
        <v>24342.383923228281</v>
      </c>
    </row>
    <row r="6" spans="1:7" x14ac:dyDescent="0.3">
      <c r="A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" s="1" t="s">
        <v>108</v>
      </c>
      <c r="C6">
        <v>24252.39987261737</v>
      </c>
      <c r="D6">
        <v>4.0404040404040404E-3</v>
      </c>
    </row>
    <row r="7" spans="1:7" x14ac:dyDescent="0.3">
      <c r="A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" s="1" t="s">
        <v>108</v>
      </c>
      <c r="C7">
        <v>24224.399350280812</v>
      </c>
      <c r="D7">
        <v>5.0505050505050501E-3</v>
      </c>
    </row>
    <row r="8" spans="1:7" x14ac:dyDescent="0.3">
      <c r="A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" s="1" t="s">
        <v>108</v>
      </c>
      <c r="C8">
        <v>24195.135542109329</v>
      </c>
      <c r="D8">
        <v>6.0606060606060606E-3</v>
      </c>
      <c r="F8" t="s">
        <v>113</v>
      </c>
      <c r="G8" t="s">
        <v>114</v>
      </c>
    </row>
    <row r="9" spans="1:7" x14ac:dyDescent="0.3">
      <c r="A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" s="1" t="s">
        <v>108</v>
      </c>
      <c r="C9">
        <v>24177.55743303381</v>
      </c>
      <c r="D9">
        <v>7.0707070707070711E-3</v>
      </c>
      <c r="F9">
        <f>MIN(C102:C201)</f>
        <v>817.18718558069861</v>
      </c>
      <c r="G9">
        <f>MAX(C102:C201)</f>
        <v>10889.489485220951</v>
      </c>
    </row>
    <row r="10" spans="1:7" x14ac:dyDescent="0.3">
      <c r="A1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0" s="1" t="s">
        <v>108</v>
      </c>
      <c r="C10">
        <v>24130.33915340095</v>
      </c>
      <c r="D10">
        <v>8.0808080808080808E-3</v>
      </c>
    </row>
    <row r="11" spans="1:7" x14ac:dyDescent="0.3">
      <c r="A11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1" s="1" t="s">
        <v>108</v>
      </c>
      <c r="C11">
        <v>24097.182070022129</v>
      </c>
      <c r="D11">
        <v>9.0909090909090905E-3</v>
      </c>
    </row>
    <row r="12" spans="1:7" x14ac:dyDescent="0.3">
      <c r="A1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2" s="1" t="s">
        <v>108</v>
      </c>
      <c r="C12">
        <v>24076.61267122229</v>
      </c>
      <c r="D12">
        <v>1.01010101010101E-2</v>
      </c>
    </row>
    <row r="13" spans="1:7" x14ac:dyDescent="0.3">
      <c r="A1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3" s="1" t="s">
        <v>108</v>
      </c>
      <c r="C13">
        <v>24066.905006698449</v>
      </c>
      <c r="D13">
        <v>1.111111111111111E-2</v>
      </c>
    </row>
    <row r="14" spans="1:7" x14ac:dyDescent="0.3">
      <c r="A1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4" s="1" t="s">
        <v>108</v>
      </c>
      <c r="C14">
        <v>24029.69452094899</v>
      </c>
      <c r="D14">
        <v>1.2121212121212119E-2</v>
      </c>
    </row>
    <row r="15" spans="1:7" x14ac:dyDescent="0.3">
      <c r="A1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5" s="1" t="s">
        <v>108</v>
      </c>
      <c r="C15">
        <v>23991.096176029689</v>
      </c>
      <c r="D15">
        <v>1.3131313131313129E-2</v>
      </c>
    </row>
    <row r="16" spans="1:7" x14ac:dyDescent="0.3">
      <c r="A1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6" s="1" t="s">
        <v>108</v>
      </c>
      <c r="C16">
        <v>23951.091190875031</v>
      </c>
      <c r="D16">
        <v>1.4141414141414141E-2</v>
      </c>
    </row>
    <row r="17" spans="1:4" x14ac:dyDescent="0.3">
      <c r="A1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7" s="1" t="s">
        <v>108</v>
      </c>
      <c r="C17">
        <v>23935.595276040589</v>
      </c>
      <c r="D17">
        <v>1.515151515151515E-2</v>
      </c>
    </row>
    <row r="18" spans="1:4" x14ac:dyDescent="0.3">
      <c r="A1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8" s="1" t="s">
        <v>108</v>
      </c>
      <c r="C18">
        <v>23905.144639105521</v>
      </c>
      <c r="D18">
        <v>1.6161616161616162E-2</v>
      </c>
    </row>
    <row r="19" spans="1:4" x14ac:dyDescent="0.3">
      <c r="A1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9" s="1" t="s">
        <v>108</v>
      </c>
      <c r="C19">
        <v>23860.80446796156</v>
      </c>
      <c r="D19">
        <v>1.7171717171717171E-2</v>
      </c>
    </row>
    <row r="20" spans="1:4" x14ac:dyDescent="0.3">
      <c r="A2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0" s="1" t="s">
        <v>108</v>
      </c>
      <c r="C20">
        <v>23814.979936126751</v>
      </c>
      <c r="D20">
        <v>1.8181818181818181E-2</v>
      </c>
    </row>
    <row r="21" spans="1:4" x14ac:dyDescent="0.3">
      <c r="A21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1" s="1" t="s">
        <v>108</v>
      </c>
      <c r="C21">
        <v>23767.6509469792</v>
      </c>
      <c r="D21">
        <v>1.9191919191919191E-2</v>
      </c>
    </row>
    <row r="22" spans="1:4" x14ac:dyDescent="0.3">
      <c r="A2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2" s="1" t="s">
        <v>108</v>
      </c>
      <c r="C22">
        <v>23732.521442654521</v>
      </c>
      <c r="D22">
        <v>2.02020202020202E-2</v>
      </c>
    </row>
    <row r="23" spans="1:4" x14ac:dyDescent="0.3">
      <c r="A2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3" s="1" t="s">
        <v>108</v>
      </c>
      <c r="C23">
        <v>23665.846520694649</v>
      </c>
      <c r="D23">
        <v>2.121212121212121E-2</v>
      </c>
    </row>
    <row r="24" spans="1:4" x14ac:dyDescent="0.3">
      <c r="A2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4" s="1" t="s">
        <v>108</v>
      </c>
      <c r="C24">
        <v>23653.569593646189</v>
      </c>
      <c r="D24">
        <v>2.222222222222222E-2</v>
      </c>
    </row>
    <row r="25" spans="1:4" x14ac:dyDescent="0.3">
      <c r="A2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5" s="1" t="s">
        <v>108</v>
      </c>
      <c r="C25">
        <v>23600.016279076441</v>
      </c>
      <c r="D25">
        <v>2.3232323232323229E-2</v>
      </c>
    </row>
    <row r="26" spans="1:4" x14ac:dyDescent="0.3">
      <c r="A2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6" s="1" t="s">
        <v>108</v>
      </c>
      <c r="C26">
        <v>23558.193646623709</v>
      </c>
      <c r="D26">
        <v>2.4242424242424239E-2</v>
      </c>
    </row>
    <row r="27" spans="1:4" x14ac:dyDescent="0.3">
      <c r="A2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7" s="1" t="s">
        <v>108</v>
      </c>
      <c r="C27">
        <v>23513.825296580329</v>
      </c>
      <c r="D27">
        <v>2.5252525252525249E-2</v>
      </c>
    </row>
    <row r="28" spans="1:4" x14ac:dyDescent="0.3">
      <c r="A2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8" s="1" t="s">
        <v>108</v>
      </c>
      <c r="C28">
        <v>23452.3424416302</v>
      </c>
      <c r="D28">
        <v>2.6262626262626258E-2</v>
      </c>
    </row>
    <row r="29" spans="1:4" x14ac:dyDescent="0.3">
      <c r="A2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29" s="1" t="s">
        <v>108</v>
      </c>
      <c r="C29">
        <v>23392.220687457851</v>
      </c>
      <c r="D29">
        <v>2.7272727272727271E-2</v>
      </c>
    </row>
    <row r="30" spans="1:4" x14ac:dyDescent="0.3">
      <c r="A3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0" s="1" t="s">
        <v>108</v>
      </c>
      <c r="C30">
        <v>23330.400839685521</v>
      </c>
      <c r="D30">
        <v>2.8282828282828281E-2</v>
      </c>
    </row>
    <row r="31" spans="1:4" x14ac:dyDescent="0.3">
      <c r="A31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1" s="1" t="s">
        <v>108</v>
      </c>
      <c r="C31">
        <v>23280.01150042783</v>
      </c>
      <c r="D31">
        <v>2.9292929292929291E-2</v>
      </c>
    </row>
    <row r="32" spans="1:4" x14ac:dyDescent="0.3">
      <c r="A3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2" s="1" t="s">
        <v>108</v>
      </c>
      <c r="C32">
        <v>23240.859630935691</v>
      </c>
      <c r="D32">
        <v>3.03030303030303E-2</v>
      </c>
    </row>
    <row r="33" spans="1:4" x14ac:dyDescent="0.3">
      <c r="A3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3" s="1" t="s">
        <v>108</v>
      </c>
      <c r="C33">
        <v>23173.806223634179</v>
      </c>
      <c r="D33">
        <v>3.1313131313131307E-2</v>
      </c>
    </row>
    <row r="34" spans="1:4" x14ac:dyDescent="0.3">
      <c r="A3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4" s="1" t="s">
        <v>108</v>
      </c>
      <c r="C34">
        <v>23117.385814901689</v>
      </c>
      <c r="D34">
        <v>3.2323232323232323E-2</v>
      </c>
    </row>
    <row r="35" spans="1:4" x14ac:dyDescent="0.3">
      <c r="A3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5" s="1" t="s">
        <v>108</v>
      </c>
      <c r="C35">
        <v>23059.69019084566</v>
      </c>
      <c r="D35">
        <v>3.3333333333333333E-2</v>
      </c>
    </row>
    <row r="36" spans="1:4" x14ac:dyDescent="0.3">
      <c r="A3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6" s="1" t="s">
        <v>108</v>
      </c>
      <c r="C36">
        <v>22987.18761292025</v>
      </c>
      <c r="D36">
        <v>3.4343434343434343E-2</v>
      </c>
    </row>
    <row r="37" spans="1:4" x14ac:dyDescent="0.3">
      <c r="A3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7" s="1" t="s">
        <v>108</v>
      </c>
      <c r="C37">
        <v>22925.602345712861</v>
      </c>
      <c r="D37">
        <v>3.5353535353535352E-2</v>
      </c>
    </row>
    <row r="38" spans="1:4" x14ac:dyDescent="0.3">
      <c r="A3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8" s="1" t="s">
        <v>108</v>
      </c>
      <c r="C38">
        <v>22863.664784052671</v>
      </c>
      <c r="D38">
        <v>3.6363636363636362E-2</v>
      </c>
    </row>
    <row r="39" spans="1:4" x14ac:dyDescent="0.3">
      <c r="A3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39" s="1" t="s">
        <v>108</v>
      </c>
      <c r="C39">
        <v>22827.483814995128</v>
      </c>
      <c r="D39">
        <v>3.7373737373737372E-2</v>
      </c>
    </row>
    <row r="40" spans="1:4" x14ac:dyDescent="0.3">
      <c r="A4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0" s="1" t="s">
        <v>108</v>
      </c>
      <c r="C40">
        <v>22759.967656347832</v>
      </c>
      <c r="D40">
        <v>3.8383838383838381E-2</v>
      </c>
    </row>
    <row r="41" spans="1:4" x14ac:dyDescent="0.3">
      <c r="A41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1" s="1" t="s">
        <v>108</v>
      </c>
      <c r="C41">
        <v>22687.982970950019</v>
      </c>
      <c r="D41">
        <v>3.9393939393939391E-2</v>
      </c>
    </row>
    <row r="42" spans="1:4" x14ac:dyDescent="0.3">
      <c r="A4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2" s="1" t="s">
        <v>108</v>
      </c>
      <c r="C42">
        <v>22617.050891110212</v>
      </c>
      <c r="D42">
        <v>4.0404040404040401E-2</v>
      </c>
    </row>
    <row r="43" spans="1:4" x14ac:dyDescent="0.3">
      <c r="A4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3" s="1" t="s">
        <v>108</v>
      </c>
      <c r="C43">
        <v>22543.910527596268</v>
      </c>
      <c r="D43">
        <v>4.1414141414141417E-2</v>
      </c>
    </row>
    <row r="44" spans="1:4" x14ac:dyDescent="0.3">
      <c r="A4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4" s="1" t="s">
        <v>108</v>
      </c>
      <c r="C44">
        <v>22468.537093042371</v>
      </c>
      <c r="D44">
        <v>4.2424242424242427E-2</v>
      </c>
    </row>
    <row r="45" spans="1:4" x14ac:dyDescent="0.3">
      <c r="A4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5" s="1" t="s">
        <v>108</v>
      </c>
      <c r="C45">
        <v>22378.30259383687</v>
      </c>
      <c r="D45">
        <v>4.3434343434343443E-2</v>
      </c>
    </row>
    <row r="46" spans="1:4" x14ac:dyDescent="0.3">
      <c r="A4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6" s="1" t="s">
        <v>108</v>
      </c>
      <c r="C46">
        <v>22324.520510661019</v>
      </c>
      <c r="D46">
        <v>4.4444444444444453E-2</v>
      </c>
    </row>
    <row r="47" spans="1:4" x14ac:dyDescent="0.3">
      <c r="A4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7" s="1" t="s">
        <v>108</v>
      </c>
      <c r="C47">
        <v>22230.045331150839</v>
      </c>
      <c r="D47">
        <v>4.5454545454545463E-2</v>
      </c>
    </row>
    <row r="48" spans="1:4" x14ac:dyDescent="0.3">
      <c r="A4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8" s="1" t="s">
        <v>108</v>
      </c>
      <c r="C48">
        <v>22133.406628410939</v>
      </c>
      <c r="D48">
        <v>4.6464646464646472E-2</v>
      </c>
    </row>
    <row r="49" spans="1:4" x14ac:dyDescent="0.3">
      <c r="A4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49" s="1" t="s">
        <v>108</v>
      </c>
      <c r="C49">
        <v>22047.9148970645</v>
      </c>
      <c r="D49">
        <v>4.7474747474747482E-2</v>
      </c>
    </row>
    <row r="50" spans="1:4" x14ac:dyDescent="0.3">
      <c r="A5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0" s="1" t="s">
        <v>108</v>
      </c>
      <c r="C50">
        <v>21974.13234067642</v>
      </c>
      <c r="D50">
        <v>4.8484848484848478E-2</v>
      </c>
    </row>
    <row r="51" spans="1:4" x14ac:dyDescent="0.3">
      <c r="A51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1" s="1" t="s">
        <v>108</v>
      </c>
      <c r="C51">
        <v>21921.60263841513</v>
      </c>
      <c r="D51">
        <v>4.9494949494949488E-2</v>
      </c>
    </row>
    <row r="52" spans="1:4" x14ac:dyDescent="0.3">
      <c r="A5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2" s="1" t="s">
        <v>108</v>
      </c>
      <c r="C52">
        <v>21816.012781009711</v>
      </c>
      <c r="D52">
        <v>5.0505050505050497E-2</v>
      </c>
    </row>
    <row r="53" spans="1:4" x14ac:dyDescent="0.3">
      <c r="A5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3" s="1" t="s">
        <v>108</v>
      </c>
      <c r="C53">
        <v>21708.108851468289</v>
      </c>
      <c r="D53">
        <v>5.1515151515151507E-2</v>
      </c>
    </row>
    <row r="54" spans="1:4" x14ac:dyDescent="0.3">
      <c r="A5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4" s="1" t="s">
        <v>108</v>
      </c>
      <c r="C54">
        <v>21597.859510554779</v>
      </c>
      <c r="D54">
        <v>5.2525252525252517E-2</v>
      </c>
    </row>
    <row r="55" spans="1:4" x14ac:dyDescent="0.3">
      <c r="A5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5" s="1" t="s">
        <v>108</v>
      </c>
      <c r="C55">
        <v>21495.106679415541</v>
      </c>
      <c r="D55">
        <v>5.3535353535353533E-2</v>
      </c>
    </row>
    <row r="56" spans="1:4" x14ac:dyDescent="0.3">
      <c r="A5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6" s="1" t="s">
        <v>108</v>
      </c>
      <c r="C56">
        <v>21403.780988253271</v>
      </c>
      <c r="D56">
        <v>5.4545454545454543E-2</v>
      </c>
    </row>
    <row r="57" spans="1:4" x14ac:dyDescent="0.3">
      <c r="A5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7" s="1" t="s">
        <v>108</v>
      </c>
      <c r="C57">
        <v>21312.799882517411</v>
      </c>
      <c r="D57">
        <v>5.5555555555555552E-2</v>
      </c>
    </row>
    <row r="58" spans="1:4" x14ac:dyDescent="0.3">
      <c r="A5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8" s="1" t="s">
        <v>108</v>
      </c>
      <c r="C58">
        <v>21219.338380311201</v>
      </c>
      <c r="D58">
        <v>5.6565656565656569E-2</v>
      </c>
    </row>
    <row r="59" spans="1:4" x14ac:dyDescent="0.3">
      <c r="A5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59" s="1" t="s">
        <v>108</v>
      </c>
      <c r="C59">
        <v>21109.301913518091</v>
      </c>
      <c r="D59">
        <v>5.7575757575757579E-2</v>
      </c>
    </row>
    <row r="60" spans="1:4" x14ac:dyDescent="0.3">
      <c r="A6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0" s="1" t="s">
        <v>108</v>
      </c>
      <c r="C60">
        <v>20998.82483422905</v>
      </c>
      <c r="D60">
        <v>5.8585858585858588E-2</v>
      </c>
    </row>
    <row r="61" spans="1:4" x14ac:dyDescent="0.3">
      <c r="A61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1" s="1" t="s">
        <v>108</v>
      </c>
      <c r="C61">
        <v>20896.629864061069</v>
      </c>
      <c r="D61">
        <v>5.9595959595959598E-2</v>
      </c>
    </row>
    <row r="62" spans="1:4" x14ac:dyDescent="0.3">
      <c r="A6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2" s="1" t="s">
        <v>108</v>
      </c>
      <c r="C62">
        <v>20766.43714657543</v>
      </c>
      <c r="D62">
        <v>6.0606060606060608E-2</v>
      </c>
    </row>
    <row r="63" spans="1:4" x14ac:dyDescent="0.3">
      <c r="A6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3" s="1" t="s">
        <v>108</v>
      </c>
      <c r="C63">
        <v>20658.988340488679</v>
      </c>
      <c r="D63">
        <v>6.1616161616161617E-2</v>
      </c>
    </row>
    <row r="64" spans="1:4" x14ac:dyDescent="0.3">
      <c r="A6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4" s="1" t="s">
        <v>108</v>
      </c>
      <c r="C64">
        <v>20536.617100392628</v>
      </c>
      <c r="D64">
        <v>6.2626262626262627E-2</v>
      </c>
    </row>
    <row r="65" spans="1:4" x14ac:dyDescent="0.3">
      <c r="A6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5" s="1" t="s">
        <v>108</v>
      </c>
      <c r="C65">
        <v>20425.29973308415</v>
      </c>
      <c r="D65">
        <v>6.363636363636363E-2</v>
      </c>
    </row>
    <row r="66" spans="1:4" x14ac:dyDescent="0.3">
      <c r="A6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6" s="1" t="s">
        <v>108</v>
      </c>
      <c r="C66">
        <v>20337.67948960061</v>
      </c>
      <c r="D66">
        <v>6.4646464646464646E-2</v>
      </c>
    </row>
    <row r="67" spans="1:4" x14ac:dyDescent="0.3">
      <c r="A6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7" s="1" t="s">
        <v>108</v>
      </c>
      <c r="C67">
        <v>20206.312946694001</v>
      </c>
      <c r="D67">
        <v>6.5656565656565663E-2</v>
      </c>
    </row>
    <row r="68" spans="1:4" x14ac:dyDescent="0.3">
      <c r="A6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8" s="1" t="s">
        <v>108</v>
      </c>
      <c r="C68">
        <v>20086.776239635441</v>
      </c>
      <c r="D68">
        <v>6.6666666666666666E-2</v>
      </c>
    </row>
    <row r="69" spans="1:4" x14ac:dyDescent="0.3">
      <c r="A6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69" s="1" t="s">
        <v>108</v>
      </c>
      <c r="C69">
        <v>19963.807638834431</v>
      </c>
      <c r="D69">
        <v>6.7676767676767682E-2</v>
      </c>
    </row>
    <row r="70" spans="1:4" x14ac:dyDescent="0.3">
      <c r="A7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0" s="1" t="s">
        <v>108</v>
      </c>
      <c r="C70">
        <v>19849.767053977081</v>
      </c>
      <c r="D70">
        <v>6.8686868686868685E-2</v>
      </c>
    </row>
    <row r="71" spans="1:4" x14ac:dyDescent="0.3">
      <c r="A71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1" s="1" t="s">
        <v>108</v>
      </c>
      <c r="C71">
        <v>19694.419168422221</v>
      </c>
      <c r="D71">
        <v>6.9696969696969702E-2</v>
      </c>
    </row>
    <row r="72" spans="1:4" x14ac:dyDescent="0.3">
      <c r="A7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2" s="1" t="s">
        <v>108</v>
      </c>
      <c r="C72">
        <v>19548.686678210928</v>
      </c>
      <c r="D72">
        <v>7.0707070707070704E-2</v>
      </c>
    </row>
    <row r="73" spans="1:4" x14ac:dyDescent="0.3">
      <c r="A7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3" s="1" t="s">
        <v>108</v>
      </c>
      <c r="C73">
        <v>19426.05446964908</v>
      </c>
      <c r="D73">
        <v>7.1717171717171721E-2</v>
      </c>
    </row>
    <row r="74" spans="1:4" x14ac:dyDescent="0.3">
      <c r="A7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4" s="1" t="s">
        <v>108</v>
      </c>
      <c r="C74">
        <v>19287.936515057841</v>
      </c>
      <c r="D74">
        <v>7.2727272727272724E-2</v>
      </c>
    </row>
    <row r="75" spans="1:4" x14ac:dyDescent="0.3">
      <c r="A7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5" s="1" t="s">
        <v>108</v>
      </c>
      <c r="C75">
        <v>19147.27046232051</v>
      </c>
      <c r="D75">
        <v>7.373737373737374E-2</v>
      </c>
    </row>
    <row r="76" spans="1:4" x14ac:dyDescent="0.3">
      <c r="A7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6" s="1" t="s">
        <v>108</v>
      </c>
      <c r="C76">
        <v>18985.784439091109</v>
      </c>
      <c r="D76">
        <v>7.4747474747474743E-2</v>
      </c>
    </row>
    <row r="77" spans="1:4" x14ac:dyDescent="0.3">
      <c r="A7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7" s="1" t="s">
        <v>108</v>
      </c>
      <c r="C77">
        <v>18824.861523797979</v>
      </c>
      <c r="D77">
        <v>7.575757575757576E-2</v>
      </c>
    </row>
    <row r="78" spans="1:4" x14ac:dyDescent="0.3">
      <c r="A7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8" s="1" t="s">
        <v>108</v>
      </c>
      <c r="C78">
        <v>18672.942728802071</v>
      </c>
      <c r="D78">
        <v>7.6767676767676762E-2</v>
      </c>
    </row>
    <row r="79" spans="1:4" x14ac:dyDescent="0.3">
      <c r="A7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79" s="1" t="s">
        <v>108</v>
      </c>
      <c r="C79">
        <v>18502.430688025401</v>
      </c>
      <c r="D79">
        <v>7.7777777777777779E-2</v>
      </c>
    </row>
    <row r="80" spans="1:4" x14ac:dyDescent="0.3">
      <c r="A8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0" s="1" t="s">
        <v>108</v>
      </c>
      <c r="C80">
        <v>18345.768363603231</v>
      </c>
      <c r="D80">
        <v>7.8787878787878782E-2</v>
      </c>
    </row>
    <row r="81" spans="1:4" x14ac:dyDescent="0.3">
      <c r="A81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1" s="1" t="s">
        <v>108</v>
      </c>
      <c r="C81">
        <v>18210.367709866699</v>
      </c>
      <c r="D81">
        <v>7.9797979797979798E-2</v>
      </c>
    </row>
    <row r="82" spans="1:4" x14ac:dyDescent="0.3">
      <c r="A8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2" s="1" t="s">
        <v>108</v>
      </c>
      <c r="C82">
        <v>18046.568436264479</v>
      </c>
      <c r="D82">
        <v>8.0808080808080801E-2</v>
      </c>
    </row>
    <row r="83" spans="1:4" x14ac:dyDescent="0.3">
      <c r="A8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3" s="1" t="s">
        <v>108</v>
      </c>
      <c r="C83">
        <v>17879.33087494244</v>
      </c>
      <c r="D83">
        <v>8.1818181818181818E-2</v>
      </c>
    </row>
    <row r="84" spans="1:4" x14ac:dyDescent="0.3">
      <c r="A8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4" s="1" t="s">
        <v>108</v>
      </c>
      <c r="C84">
        <v>17721.50399754024</v>
      </c>
      <c r="D84">
        <v>8.2828282828282834E-2</v>
      </c>
    </row>
    <row r="85" spans="1:4" x14ac:dyDescent="0.3">
      <c r="A8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5" s="1" t="s">
        <v>108</v>
      </c>
      <c r="C85">
        <v>17559.35439500535</v>
      </c>
      <c r="D85">
        <v>8.3838383838383837E-2</v>
      </c>
    </row>
    <row r="86" spans="1:4" x14ac:dyDescent="0.3">
      <c r="A8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6" s="1" t="s">
        <v>108</v>
      </c>
      <c r="C86">
        <v>17396.59690237404</v>
      </c>
      <c r="D86">
        <v>8.4848484848484854E-2</v>
      </c>
    </row>
    <row r="87" spans="1:4" x14ac:dyDescent="0.3">
      <c r="A8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7" s="1" t="s">
        <v>108</v>
      </c>
      <c r="C87">
        <v>17212.881287230921</v>
      </c>
      <c r="D87">
        <v>8.5858585858585856E-2</v>
      </c>
    </row>
    <row r="88" spans="1:4" x14ac:dyDescent="0.3">
      <c r="A8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8" s="1" t="s">
        <v>108</v>
      </c>
      <c r="C88">
        <v>17039.044740085232</v>
      </c>
      <c r="D88">
        <v>8.6868686868686873E-2</v>
      </c>
    </row>
    <row r="89" spans="1:4" x14ac:dyDescent="0.3">
      <c r="A8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89" s="1" t="s">
        <v>108</v>
      </c>
      <c r="C89">
        <v>16862.375768768619</v>
      </c>
      <c r="D89">
        <v>8.7878787878787876E-2</v>
      </c>
    </row>
    <row r="90" spans="1:4" x14ac:dyDescent="0.3">
      <c r="A9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0" s="1" t="s">
        <v>108</v>
      </c>
      <c r="C90">
        <v>16669.15528041152</v>
      </c>
      <c r="D90">
        <v>8.8888888888888892E-2</v>
      </c>
    </row>
    <row r="91" spans="1:4" x14ac:dyDescent="0.3">
      <c r="A91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1" s="1" t="s">
        <v>108</v>
      </c>
      <c r="C91">
        <v>16472.242267212521</v>
      </c>
      <c r="D91">
        <v>8.9898989898989895E-2</v>
      </c>
    </row>
    <row r="92" spans="1:4" x14ac:dyDescent="0.3">
      <c r="A92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2" s="1" t="s">
        <v>108</v>
      </c>
      <c r="C92">
        <v>16282.909446522781</v>
      </c>
      <c r="D92">
        <v>9.0909090909090912E-2</v>
      </c>
    </row>
    <row r="93" spans="1:4" x14ac:dyDescent="0.3">
      <c r="A93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3" s="1" t="s">
        <v>108</v>
      </c>
      <c r="C93">
        <v>16091.089352263571</v>
      </c>
      <c r="D93">
        <v>9.1919191919191914E-2</v>
      </c>
    </row>
    <row r="94" spans="1:4" x14ac:dyDescent="0.3">
      <c r="A94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4" s="1" t="s">
        <v>108</v>
      </c>
      <c r="C94">
        <v>15908.27914528845</v>
      </c>
      <c r="D94">
        <v>9.2929292929292931E-2</v>
      </c>
    </row>
    <row r="95" spans="1:4" x14ac:dyDescent="0.3">
      <c r="A95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5" s="1" t="s">
        <v>108</v>
      </c>
      <c r="C95">
        <v>15681.881277975421</v>
      </c>
      <c r="D95">
        <v>9.3939393939393934E-2</v>
      </c>
    </row>
    <row r="96" spans="1:4" x14ac:dyDescent="0.3">
      <c r="A96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6" s="1" t="s">
        <v>108</v>
      </c>
      <c r="C96">
        <v>15476.2073119669</v>
      </c>
      <c r="D96">
        <v>9.494949494949495E-2</v>
      </c>
    </row>
    <row r="97" spans="1:4" x14ac:dyDescent="0.3">
      <c r="A97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7" s="1" t="s">
        <v>108</v>
      </c>
      <c r="C97">
        <v>15241.6975570923</v>
      </c>
      <c r="D97">
        <v>9.5959595959595953E-2</v>
      </c>
    </row>
    <row r="98" spans="1:4" x14ac:dyDescent="0.3">
      <c r="A98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8" s="1" t="s">
        <v>108</v>
      </c>
      <c r="C98">
        <v>15096.81519999486</v>
      </c>
      <c r="D98">
        <v>9.696969696969697E-2</v>
      </c>
    </row>
    <row r="99" spans="1:4" x14ac:dyDescent="0.3">
      <c r="A99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99" s="1" t="s">
        <v>108</v>
      </c>
      <c r="C99">
        <v>14853.23433376697</v>
      </c>
      <c r="D99">
        <v>9.7979797979797986E-2</v>
      </c>
    </row>
    <row r="100" spans="1:4" x14ac:dyDescent="0.3">
      <c r="A100" t="str">
        <f>IF(Tabelle2567891011[[#This Row],[Auszahlung_aus_der_Szenario_Range]]="","",IFERROR(MID(Sensitivität_bzw_Monte_Carlo_bei_Strom[[#This Row],[Source.Name]],FIND("1",Sensitivität_bzw_Monte_Carlo_bei_Strom[[#This Row],[Source.Name]],1),1),2))</f>
        <v>1</v>
      </c>
      <c r="B100" s="1" t="s">
        <v>108</v>
      </c>
      <c r="C100">
        <v>14618.279927449599</v>
      </c>
      <c r="D100">
        <v>9.8989898989898989E-2</v>
      </c>
    </row>
    <row r="101" spans="1:4" x14ac:dyDescent="0.3">
      <c r="A101">
        <f>IF(Tabelle2567891011[[#This Row],[Auszahlung_aus_der_Szenario_Range]]="","",IFERROR(MID(Sensitivität_bzw_Monte_Carlo_bei_Strom[[#This Row],[Source.Name]],FIND("1",Sensitivität_bzw_Monte_Carlo_bei_Strom[[#This Row],[Source.Name]],1),1),2))</f>
        <v>2</v>
      </c>
      <c r="B101" s="1" t="s">
        <v>108</v>
      </c>
      <c r="C101">
        <v>14404.120093318619</v>
      </c>
      <c r="D101">
        <v>0.1</v>
      </c>
    </row>
    <row r="102" spans="1:4" x14ac:dyDescent="0.3">
      <c r="B102" s="1" t="s">
        <v>86</v>
      </c>
      <c r="C102">
        <v>10888.543622841809</v>
      </c>
      <c r="D102">
        <v>0</v>
      </c>
    </row>
    <row r="103" spans="1:4" x14ac:dyDescent="0.3">
      <c r="B103" s="1" t="s">
        <v>86</v>
      </c>
      <c r="C103">
        <v>10889.489485220951</v>
      </c>
      <c r="D103">
        <v>1.0101010101010101E-3</v>
      </c>
    </row>
    <row r="104" spans="1:4" x14ac:dyDescent="0.3">
      <c r="B104" s="1" t="s">
        <v>86</v>
      </c>
      <c r="C104">
        <v>10863.84704469988</v>
      </c>
      <c r="D104">
        <v>2.0202020202020202E-3</v>
      </c>
    </row>
    <row r="105" spans="1:4" x14ac:dyDescent="0.3">
      <c r="B105" s="1" t="s">
        <v>86</v>
      </c>
      <c r="C105">
        <v>10836.99118924297</v>
      </c>
      <c r="D105">
        <v>3.0303030303030299E-3</v>
      </c>
    </row>
    <row r="106" spans="1:4" x14ac:dyDescent="0.3">
      <c r="B106" s="1" t="s">
        <v>86</v>
      </c>
      <c r="C106">
        <v>10808.905520454109</v>
      </c>
      <c r="D106">
        <v>4.0404040404040404E-3</v>
      </c>
    </row>
    <row r="107" spans="1:4" x14ac:dyDescent="0.3">
      <c r="B107" s="1" t="s">
        <v>86</v>
      </c>
      <c r="C107">
        <v>10779.57341570437</v>
      </c>
      <c r="D107">
        <v>5.0505050505050501E-3</v>
      </c>
    </row>
    <row r="108" spans="1:4" x14ac:dyDescent="0.3">
      <c r="B108" s="1" t="s">
        <v>86</v>
      </c>
      <c r="C108">
        <v>10748.978025119701</v>
      </c>
      <c r="D108">
        <v>6.0606060606060606E-3</v>
      </c>
    </row>
    <row r="109" spans="1:4" x14ac:dyDescent="0.3">
      <c r="B109" s="1" t="s">
        <v>86</v>
      </c>
      <c r="C109">
        <v>10729.70506717341</v>
      </c>
      <c r="D109">
        <v>7.0707070707070711E-3</v>
      </c>
    </row>
    <row r="110" spans="1:4" x14ac:dyDescent="0.3">
      <c r="B110" s="1" t="s">
        <v>86</v>
      </c>
      <c r="C110">
        <v>10710.255943522719</v>
      </c>
      <c r="D110">
        <v>8.0808080808080808E-3</v>
      </c>
    </row>
    <row r="111" spans="1:4" x14ac:dyDescent="0.3">
      <c r="B111" s="1" t="s">
        <v>86</v>
      </c>
      <c r="C111">
        <v>10703.65366205294</v>
      </c>
      <c r="D111">
        <v>9.0909090909090905E-3</v>
      </c>
    </row>
    <row r="112" spans="1:4" x14ac:dyDescent="0.3">
      <c r="B112" s="1" t="s">
        <v>86</v>
      </c>
      <c r="C112">
        <v>10667.831976856671</v>
      </c>
      <c r="D112">
        <v>1.01010101010101E-2</v>
      </c>
    </row>
    <row r="113" spans="2:4" x14ac:dyDescent="0.3">
      <c r="B113" s="1" t="s">
        <v>86</v>
      </c>
      <c r="C113">
        <v>10643.44238113046</v>
      </c>
      <c r="D113">
        <v>1.111111111111111E-2</v>
      </c>
    </row>
    <row r="114" spans="2:4" x14ac:dyDescent="0.3">
      <c r="B114" s="1" t="s">
        <v>86</v>
      </c>
      <c r="C114">
        <v>10573.25783904084</v>
      </c>
      <c r="D114">
        <v>1.2121212121212119E-2</v>
      </c>
    </row>
    <row r="115" spans="2:4" x14ac:dyDescent="0.3">
      <c r="B115" s="1" t="s">
        <v>86</v>
      </c>
      <c r="C115">
        <v>10533.327911708349</v>
      </c>
      <c r="D115">
        <v>1.3131313131313129E-2</v>
      </c>
    </row>
    <row r="116" spans="2:4" x14ac:dyDescent="0.3">
      <c r="B116" s="1" t="s">
        <v>86</v>
      </c>
      <c r="C116">
        <v>10504.416344140491</v>
      </c>
      <c r="D116">
        <v>1.4141414141414141E-2</v>
      </c>
    </row>
    <row r="117" spans="2:4" x14ac:dyDescent="0.3">
      <c r="B117" s="1" t="s">
        <v>86</v>
      </c>
      <c r="C117">
        <v>10461.65409909982</v>
      </c>
      <c r="D117">
        <v>1.515151515151515E-2</v>
      </c>
    </row>
    <row r="118" spans="2:4" x14ac:dyDescent="0.3">
      <c r="B118" s="1" t="s">
        <v>86</v>
      </c>
      <c r="C118">
        <v>10417.446879751549</v>
      </c>
      <c r="D118">
        <v>1.6161616161616162E-2</v>
      </c>
    </row>
    <row r="119" spans="2:4" x14ac:dyDescent="0.3">
      <c r="B119" s="1" t="s">
        <v>86</v>
      </c>
      <c r="C119">
        <v>10385.114928643359</v>
      </c>
      <c r="D119">
        <v>1.7171717171717171E-2</v>
      </c>
    </row>
    <row r="120" spans="2:4" x14ac:dyDescent="0.3">
      <c r="B120" s="1" t="s">
        <v>86</v>
      </c>
      <c r="C120">
        <v>10350.924879496681</v>
      </c>
      <c r="D120">
        <v>1.8181818181818181E-2</v>
      </c>
    </row>
    <row r="121" spans="2:4" x14ac:dyDescent="0.3">
      <c r="B121" s="1" t="s">
        <v>86</v>
      </c>
      <c r="C121">
        <v>10314.86710657969</v>
      </c>
      <c r="D121">
        <v>1.9191919191919191E-2</v>
      </c>
    </row>
    <row r="122" spans="2:4" x14ac:dyDescent="0.3">
      <c r="B122" s="1" t="s">
        <v>86</v>
      </c>
      <c r="C122">
        <v>10279.003665438169</v>
      </c>
      <c r="D122">
        <v>2.02020202020202E-2</v>
      </c>
    </row>
    <row r="123" spans="2:4" x14ac:dyDescent="0.3">
      <c r="B123" s="1" t="s">
        <v>86</v>
      </c>
      <c r="C123">
        <v>10227.272790755071</v>
      </c>
      <c r="D123">
        <v>2.121212121212121E-2</v>
      </c>
    </row>
    <row r="124" spans="2:4" x14ac:dyDescent="0.3">
      <c r="B124" s="1" t="s">
        <v>86</v>
      </c>
      <c r="C124">
        <v>10173.975511771279</v>
      </c>
      <c r="D124">
        <v>2.222222222222222E-2</v>
      </c>
    </row>
    <row r="125" spans="2:4" x14ac:dyDescent="0.3">
      <c r="B125" s="1" t="s">
        <v>86</v>
      </c>
      <c r="C125">
        <v>10157.82944801703</v>
      </c>
      <c r="D125">
        <v>2.3232323232323229E-2</v>
      </c>
    </row>
    <row r="126" spans="2:4" x14ac:dyDescent="0.3">
      <c r="B126" s="1" t="s">
        <v>86</v>
      </c>
      <c r="C126">
        <v>10101.335430702149</v>
      </c>
      <c r="D126">
        <v>2.4242424242424239E-2</v>
      </c>
    </row>
    <row r="127" spans="2:4" ht="13.8" customHeight="1" x14ac:dyDescent="0.3">
      <c r="B127" s="1" t="s">
        <v>86</v>
      </c>
      <c r="C127">
        <v>10056.36210449698</v>
      </c>
      <c r="D127">
        <v>2.5252525252525249E-2</v>
      </c>
    </row>
    <row r="128" spans="2:4" x14ac:dyDescent="0.3">
      <c r="B128" s="1" t="s">
        <v>86</v>
      </c>
      <c r="C128">
        <v>9996.5841657203055</v>
      </c>
      <c r="D128">
        <v>2.6262626262626258E-2</v>
      </c>
    </row>
    <row r="129" spans="2:4" x14ac:dyDescent="0.3">
      <c r="B129" s="1" t="s">
        <v>86</v>
      </c>
      <c r="C129">
        <v>9949.0515331180268</v>
      </c>
      <c r="D129">
        <v>2.7272727272727271E-2</v>
      </c>
    </row>
    <row r="130" spans="2:4" x14ac:dyDescent="0.3">
      <c r="B130" s="1" t="s">
        <v>86</v>
      </c>
      <c r="C130">
        <v>9898.5029015762502</v>
      </c>
      <c r="D130">
        <v>2.8282828282828281E-2</v>
      </c>
    </row>
    <row r="131" spans="2:4" x14ac:dyDescent="0.3">
      <c r="B131" s="1" t="s">
        <v>86</v>
      </c>
      <c r="C131">
        <v>9830.3208090653134</v>
      </c>
      <c r="D131">
        <v>2.9292929292929291E-2</v>
      </c>
    </row>
    <row r="132" spans="2:4" x14ac:dyDescent="0.3">
      <c r="B132" s="1" t="s">
        <v>86</v>
      </c>
      <c r="C132">
        <v>9763.7038668291934</v>
      </c>
      <c r="D132">
        <v>3.03030303030303E-2</v>
      </c>
    </row>
    <row r="133" spans="2:4" x14ac:dyDescent="0.3">
      <c r="B133" s="1" t="s">
        <v>86</v>
      </c>
      <c r="C133">
        <v>9721.4681896169022</v>
      </c>
      <c r="D133">
        <v>3.1313131313131307E-2</v>
      </c>
    </row>
    <row r="134" spans="2:4" x14ac:dyDescent="0.3">
      <c r="B134" s="1" t="s">
        <v>86</v>
      </c>
      <c r="C134">
        <v>9664.6310009201752</v>
      </c>
      <c r="D134">
        <v>3.2323232323232323E-2</v>
      </c>
    </row>
    <row r="135" spans="2:4" x14ac:dyDescent="0.3">
      <c r="B135" s="1" t="s">
        <v>86</v>
      </c>
      <c r="C135">
        <v>9605.4208708912811</v>
      </c>
      <c r="D135">
        <v>3.3333333333333333E-2</v>
      </c>
    </row>
    <row r="136" spans="2:4" x14ac:dyDescent="0.3">
      <c r="B136" s="1" t="s">
        <v>86</v>
      </c>
      <c r="C136">
        <v>9531.5867105526831</v>
      </c>
      <c r="D136">
        <v>3.4343434343434343E-2</v>
      </c>
    </row>
    <row r="137" spans="2:4" x14ac:dyDescent="0.3">
      <c r="B137" s="1" t="s">
        <v>86</v>
      </c>
      <c r="C137">
        <v>9455.8867193904607</v>
      </c>
      <c r="D137">
        <v>3.5353535353535352E-2</v>
      </c>
    </row>
    <row r="138" spans="2:4" x14ac:dyDescent="0.3">
      <c r="B138" s="1" t="s">
        <v>86</v>
      </c>
      <c r="C138">
        <v>9388.6735962205166</v>
      </c>
      <c r="D138">
        <v>3.6363636363636362E-2</v>
      </c>
    </row>
    <row r="139" spans="2:4" x14ac:dyDescent="0.3">
      <c r="B139" s="1" t="s">
        <v>86</v>
      </c>
      <c r="C139">
        <v>9335.7106660238223</v>
      </c>
      <c r="D139">
        <v>3.7373737373737372E-2</v>
      </c>
    </row>
    <row r="140" spans="2:4" x14ac:dyDescent="0.3">
      <c r="B140" s="1" t="s">
        <v>86</v>
      </c>
      <c r="C140">
        <v>9267.226191420903</v>
      </c>
      <c r="D140">
        <v>3.8383838383838381E-2</v>
      </c>
    </row>
    <row r="141" spans="2:4" x14ac:dyDescent="0.3">
      <c r="B141" s="1" t="s">
        <v>86</v>
      </c>
      <c r="C141">
        <v>9197.3373180181534</v>
      </c>
      <c r="D141">
        <v>3.9393939393939391E-2</v>
      </c>
    </row>
    <row r="142" spans="2:4" x14ac:dyDescent="0.3">
      <c r="B142" s="1" t="s">
        <v>86</v>
      </c>
      <c r="C142">
        <v>9124.705191055391</v>
      </c>
      <c r="D142">
        <v>4.0404040404040401E-2</v>
      </c>
    </row>
    <row r="143" spans="2:4" x14ac:dyDescent="0.3">
      <c r="B143" s="1" t="s">
        <v>86</v>
      </c>
      <c r="C143">
        <v>9037.2671800269472</v>
      </c>
      <c r="D143">
        <v>4.1414141414141417E-2</v>
      </c>
    </row>
    <row r="144" spans="2:4" x14ac:dyDescent="0.3">
      <c r="B144" s="1" t="s">
        <v>86</v>
      </c>
      <c r="C144">
        <v>8960.3818201619724</v>
      </c>
      <c r="D144">
        <v>4.2424242424242427E-2</v>
      </c>
    </row>
    <row r="145" spans="2:4" x14ac:dyDescent="0.3">
      <c r="B145" s="1" t="s">
        <v>86</v>
      </c>
      <c r="C145">
        <v>8865.4210984149668</v>
      </c>
      <c r="D145">
        <v>4.3434343434343443E-2</v>
      </c>
    </row>
    <row r="146" spans="2:4" x14ac:dyDescent="0.3">
      <c r="B146" s="1" t="s">
        <v>86</v>
      </c>
      <c r="C146">
        <v>8785.0887449440761</v>
      </c>
      <c r="D146">
        <v>4.4444444444444453E-2</v>
      </c>
    </row>
    <row r="147" spans="2:4" x14ac:dyDescent="0.3">
      <c r="B147" s="1" t="s">
        <v>86</v>
      </c>
      <c r="C147">
        <v>8702.4335892721137</v>
      </c>
      <c r="D147">
        <v>4.5454545454545463E-2</v>
      </c>
    </row>
    <row r="148" spans="2:4" x14ac:dyDescent="0.3">
      <c r="B148" s="1" t="s">
        <v>86</v>
      </c>
      <c r="C148">
        <v>8617.4293692203501</v>
      </c>
      <c r="D148">
        <v>4.6464646464646472E-2</v>
      </c>
    </row>
    <row r="149" spans="2:4" x14ac:dyDescent="0.3">
      <c r="B149" s="1" t="s">
        <v>86</v>
      </c>
      <c r="C149">
        <v>8557.6944110390632</v>
      </c>
      <c r="D149">
        <v>4.7474747474747482E-2</v>
      </c>
    </row>
    <row r="150" spans="2:4" x14ac:dyDescent="0.3">
      <c r="B150" s="1" t="s">
        <v>86</v>
      </c>
      <c r="C150">
        <v>8480.3365588530742</v>
      </c>
      <c r="D150">
        <v>4.8484848484848478E-2</v>
      </c>
    </row>
    <row r="151" spans="2:4" x14ac:dyDescent="0.3">
      <c r="B151" s="1" t="s">
        <v>86</v>
      </c>
      <c r="C151">
        <v>8375.6982688918688</v>
      </c>
      <c r="D151">
        <v>4.9494949494949488E-2</v>
      </c>
    </row>
    <row r="152" spans="2:4" x14ac:dyDescent="0.3">
      <c r="B152" s="1" t="s">
        <v>86</v>
      </c>
      <c r="C152">
        <v>8266.261505536706</v>
      </c>
      <c r="D152">
        <v>5.0505050505050497E-2</v>
      </c>
    </row>
    <row r="153" spans="2:4" x14ac:dyDescent="0.3">
      <c r="B153" s="1" t="s">
        <v>86</v>
      </c>
      <c r="C153">
        <v>8171.5528953207586</v>
      </c>
      <c r="D153">
        <v>5.1515151515151507E-2</v>
      </c>
    </row>
    <row r="154" spans="2:4" x14ac:dyDescent="0.3">
      <c r="B154" s="1" t="s">
        <v>86</v>
      </c>
      <c r="C154">
        <v>8072.396971994056</v>
      </c>
      <c r="D154">
        <v>5.2525252525252517E-2</v>
      </c>
    </row>
    <row r="155" spans="2:4" x14ac:dyDescent="0.3">
      <c r="B155" s="1" t="s">
        <v>86</v>
      </c>
      <c r="C155">
        <v>8037.6042477150186</v>
      </c>
      <c r="D155">
        <v>5.3535353535353533E-2</v>
      </c>
    </row>
    <row r="156" spans="2:4" x14ac:dyDescent="0.3">
      <c r="B156" s="1" t="s">
        <v>86</v>
      </c>
      <c r="C156">
        <v>7921.2367886742704</v>
      </c>
      <c r="D156">
        <v>5.4545454545454543E-2</v>
      </c>
    </row>
    <row r="157" spans="2:4" x14ac:dyDescent="0.3">
      <c r="B157" s="1" t="s">
        <v>86</v>
      </c>
      <c r="C157">
        <v>7802.4273437368574</v>
      </c>
      <c r="D157">
        <v>5.5555555555555552E-2</v>
      </c>
    </row>
    <row r="158" spans="2:4" x14ac:dyDescent="0.3">
      <c r="B158" s="1" t="s">
        <v>86</v>
      </c>
      <c r="C158">
        <v>7693.5678504170883</v>
      </c>
      <c r="D158">
        <v>5.6565656565656569E-2</v>
      </c>
    </row>
    <row r="159" spans="2:4" x14ac:dyDescent="0.3">
      <c r="B159" s="1" t="s">
        <v>86</v>
      </c>
      <c r="C159">
        <v>7582.3775998545452</v>
      </c>
      <c r="D159">
        <v>5.7575757575757579E-2</v>
      </c>
    </row>
    <row r="160" spans="2:4" x14ac:dyDescent="0.3">
      <c r="B160" s="1" t="s">
        <v>86</v>
      </c>
      <c r="C160">
        <v>7482.9450837323611</v>
      </c>
      <c r="D160">
        <v>5.8585858585858588E-2</v>
      </c>
    </row>
    <row r="161" spans="2:4" x14ac:dyDescent="0.3">
      <c r="B161" s="1" t="s">
        <v>86</v>
      </c>
      <c r="C161">
        <v>7380.7229685695329</v>
      </c>
      <c r="D161">
        <v>5.9595959595959598E-2</v>
      </c>
    </row>
    <row r="162" spans="2:4" x14ac:dyDescent="0.3">
      <c r="B162" s="1" t="s">
        <v>86</v>
      </c>
      <c r="C162">
        <v>7288.3059666091567</v>
      </c>
      <c r="D162">
        <v>6.0606060606060608E-2</v>
      </c>
    </row>
    <row r="163" spans="2:4" x14ac:dyDescent="0.3">
      <c r="B163" s="1" t="s">
        <v>86</v>
      </c>
      <c r="C163">
        <v>7165.1193897501362</v>
      </c>
      <c r="D163">
        <v>6.1616161616161617E-2</v>
      </c>
    </row>
    <row r="164" spans="2:4" x14ac:dyDescent="0.3">
      <c r="B164" s="1" t="s">
        <v>86</v>
      </c>
      <c r="C164">
        <v>7040.8677596332427</v>
      </c>
      <c r="D164">
        <v>6.2626262626262627E-2</v>
      </c>
    </row>
    <row r="165" spans="2:4" x14ac:dyDescent="0.3">
      <c r="B165" s="1" t="s">
        <v>86</v>
      </c>
      <c r="C165">
        <v>6914.0771947106932</v>
      </c>
      <c r="D165">
        <v>6.363636363636363E-2</v>
      </c>
    </row>
    <row r="166" spans="2:4" x14ac:dyDescent="0.3">
      <c r="B166" s="1" t="s">
        <v>86</v>
      </c>
      <c r="C166">
        <v>6797.1384857352041</v>
      </c>
      <c r="D166">
        <v>6.4646464646464646E-2</v>
      </c>
    </row>
    <row r="167" spans="2:4" x14ac:dyDescent="0.3">
      <c r="B167" s="1" t="s">
        <v>86</v>
      </c>
      <c r="C167">
        <v>6664.6181590591568</v>
      </c>
      <c r="D167">
        <v>6.5656565656565663E-2</v>
      </c>
    </row>
    <row r="168" spans="2:4" x14ac:dyDescent="0.3">
      <c r="B168" s="1" t="s">
        <v>86</v>
      </c>
      <c r="C168">
        <v>6544.7611340217409</v>
      </c>
      <c r="D168">
        <v>6.6666666666666666E-2</v>
      </c>
    </row>
    <row r="169" spans="2:4" x14ac:dyDescent="0.3">
      <c r="B169" s="1" t="s">
        <v>86</v>
      </c>
      <c r="C169">
        <v>6419.1455897221886</v>
      </c>
      <c r="D169">
        <v>6.7676767676767682E-2</v>
      </c>
    </row>
    <row r="170" spans="2:4" x14ac:dyDescent="0.3">
      <c r="B170" s="1" t="s">
        <v>86</v>
      </c>
      <c r="C170">
        <v>6292.2841687946056</v>
      </c>
      <c r="D170">
        <v>6.8686868686868685E-2</v>
      </c>
    </row>
    <row r="171" spans="2:4" x14ac:dyDescent="0.3">
      <c r="B171" s="1" t="s">
        <v>86</v>
      </c>
      <c r="C171">
        <v>6174.8978770740378</v>
      </c>
      <c r="D171">
        <v>6.9696969696969702E-2</v>
      </c>
    </row>
    <row r="172" spans="2:4" x14ac:dyDescent="0.3">
      <c r="B172" s="1" t="s">
        <v>86</v>
      </c>
      <c r="C172">
        <v>6027.656005805813</v>
      </c>
      <c r="D172">
        <v>7.0707070707070704E-2</v>
      </c>
    </row>
    <row r="173" spans="2:4" x14ac:dyDescent="0.3">
      <c r="B173" s="1" t="s">
        <v>86</v>
      </c>
      <c r="C173">
        <v>5890.8960950735391</v>
      </c>
      <c r="D173">
        <v>7.1717171717171721E-2</v>
      </c>
    </row>
    <row r="174" spans="2:4" x14ac:dyDescent="0.3">
      <c r="B174" s="1" t="s">
        <v>86</v>
      </c>
      <c r="C174">
        <v>5737.7355234841634</v>
      </c>
      <c r="D174">
        <v>7.2727272727272724E-2</v>
      </c>
    </row>
    <row r="175" spans="2:4" x14ac:dyDescent="0.3">
      <c r="B175" s="1" t="s">
        <v>86</v>
      </c>
      <c r="C175">
        <v>5622.2936444414618</v>
      </c>
      <c r="D175">
        <v>7.373737373737374E-2</v>
      </c>
    </row>
    <row r="176" spans="2:4" x14ac:dyDescent="0.3">
      <c r="B176" s="1" t="s">
        <v>86</v>
      </c>
      <c r="C176">
        <v>5477.9296408311429</v>
      </c>
      <c r="D176">
        <v>7.4747474747474743E-2</v>
      </c>
    </row>
    <row r="177" spans="2:4" x14ac:dyDescent="0.3">
      <c r="B177" s="1" t="s">
        <v>86</v>
      </c>
      <c r="C177">
        <v>5315.492219565147</v>
      </c>
      <c r="D177">
        <v>7.575757575757576E-2</v>
      </c>
    </row>
    <row r="178" spans="2:4" x14ac:dyDescent="0.3">
      <c r="B178" s="1" t="s">
        <v>86</v>
      </c>
      <c r="C178">
        <v>5203.4785752674406</v>
      </c>
      <c r="D178">
        <v>7.6767676767676762E-2</v>
      </c>
    </row>
    <row r="179" spans="2:4" x14ac:dyDescent="0.3">
      <c r="B179" s="1" t="s">
        <v>86</v>
      </c>
      <c r="C179">
        <v>5021.7383662084931</v>
      </c>
      <c r="D179">
        <v>7.7777777777777779E-2</v>
      </c>
    </row>
    <row r="180" spans="2:4" x14ac:dyDescent="0.3">
      <c r="B180" s="1" t="s">
        <v>86</v>
      </c>
      <c r="C180">
        <v>4888.5706682838636</v>
      </c>
      <c r="D180">
        <v>7.8787878787878782E-2</v>
      </c>
    </row>
    <row r="181" spans="2:4" x14ac:dyDescent="0.3">
      <c r="B181" s="1" t="s">
        <v>86</v>
      </c>
      <c r="C181">
        <v>4727.2632341865419</v>
      </c>
      <c r="D181">
        <v>7.9797979797979798E-2</v>
      </c>
    </row>
    <row r="182" spans="2:4" x14ac:dyDescent="0.3">
      <c r="B182" s="1" t="s">
        <v>86</v>
      </c>
      <c r="C182">
        <v>4548.7494761992693</v>
      </c>
      <c r="D182">
        <v>8.0808080808080801E-2</v>
      </c>
    </row>
    <row r="183" spans="2:4" x14ac:dyDescent="0.3">
      <c r="B183" s="1" t="s">
        <v>86</v>
      </c>
      <c r="C183">
        <v>4388.7994620986956</v>
      </c>
      <c r="D183">
        <v>8.1818181818181818E-2</v>
      </c>
    </row>
    <row r="184" spans="2:4" x14ac:dyDescent="0.3">
      <c r="B184" s="1" t="s">
        <v>86</v>
      </c>
      <c r="C184">
        <v>4216.4708454765496</v>
      </c>
      <c r="D184">
        <v>8.2828282828282834E-2</v>
      </c>
    </row>
    <row r="185" spans="2:4" x14ac:dyDescent="0.3">
      <c r="B185" s="1" t="s">
        <v>86</v>
      </c>
      <c r="C185">
        <v>4040.4345516173512</v>
      </c>
      <c r="D185">
        <v>8.3838383838383837E-2</v>
      </c>
    </row>
    <row r="186" spans="2:4" x14ac:dyDescent="0.3">
      <c r="B186" s="1" t="s">
        <v>86</v>
      </c>
      <c r="C186">
        <v>3847.0507444166028</v>
      </c>
      <c r="D186">
        <v>8.4848484848484854E-2</v>
      </c>
    </row>
    <row r="187" spans="2:4" x14ac:dyDescent="0.3">
      <c r="B187" s="1" t="s">
        <v>86</v>
      </c>
      <c r="C187">
        <v>3702.07652349195</v>
      </c>
      <c r="D187">
        <v>8.5858585858585856E-2</v>
      </c>
    </row>
    <row r="188" spans="2:4" x14ac:dyDescent="0.3">
      <c r="B188" s="1" t="s">
        <v>86</v>
      </c>
      <c r="C188">
        <v>3516.578405569604</v>
      </c>
      <c r="D188">
        <v>8.6868686868686873E-2</v>
      </c>
    </row>
    <row r="189" spans="2:4" x14ac:dyDescent="0.3">
      <c r="B189" s="1" t="s">
        <v>86</v>
      </c>
      <c r="C189">
        <v>3324.51144313944</v>
      </c>
      <c r="D189">
        <v>8.7878787878787876E-2</v>
      </c>
    </row>
    <row r="190" spans="2:4" x14ac:dyDescent="0.3">
      <c r="B190" s="1" t="s">
        <v>86</v>
      </c>
      <c r="C190">
        <v>3129.9275016145889</v>
      </c>
      <c r="D190">
        <v>8.8888888888888892E-2</v>
      </c>
    </row>
    <row r="191" spans="2:4" x14ac:dyDescent="0.3">
      <c r="B191" s="1" t="s">
        <v>86</v>
      </c>
      <c r="C191">
        <v>2940.274906731182</v>
      </c>
      <c r="D191">
        <v>8.9898989898989895E-2</v>
      </c>
    </row>
    <row r="192" spans="2:4" x14ac:dyDescent="0.3">
      <c r="B192" s="1" t="s">
        <v>86</v>
      </c>
      <c r="C192">
        <v>2752.0615419725568</v>
      </c>
      <c r="D192">
        <v>9.0909090909090912E-2</v>
      </c>
    </row>
    <row r="193" spans="2:4" x14ac:dyDescent="0.3">
      <c r="B193" s="1" t="s">
        <v>86</v>
      </c>
      <c r="C193">
        <v>2544.4722244638128</v>
      </c>
      <c r="D193">
        <v>9.1919191919191914E-2</v>
      </c>
    </row>
    <row r="194" spans="2:4" x14ac:dyDescent="0.3">
      <c r="B194" s="1" t="s">
        <v>86</v>
      </c>
      <c r="C194">
        <v>2348.4540097927029</v>
      </c>
      <c r="D194">
        <v>9.2929292929292931E-2</v>
      </c>
    </row>
    <row r="195" spans="2:4" x14ac:dyDescent="0.3">
      <c r="B195" s="1" t="s">
        <v>86</v>
      </c>
      <c r="C195">
        <v>2146.1182427582048</v>
      </c>
      <c r="D195">
        <v>9.3939393939393934E-2</v>
      </c>
    </row>
    <row r="196" spans="2:4" x14ac:dyDescent="0.3">
      <c r="B196" s="1" t="s">
        <v>86</v>
      </c>
      <c r="C196">
        <v>1908.679777112601</v>
      </c>
      <c r="D196">
        <v>9.494949494949495E-2</v>
      </c>
    </row>
    <row r="197" spans="2:4" x14ac:dyDescent="0.3">
      <c r="B197" s="1" t="s">
        <v>86</v>
      </c>
      <c r="C197">
        <v>1685.0778986747309</v>
      </c>
      <c r="D197">
        <v>9.5959595959595953E-2</v>
      </c>
    </row>
    <row r="198" spans="2:4" x14ac:dyDescent="0.3">
      <c r="B198" s="1" t="s">
        <v>86</v>
      </c>
      <c r="C198">
        <v>1471.358129763154</v>
      </c>
      <c r="D198">
        <v>9.696969696969697E-2</v>
      </c>
    </row>
    <row r="199" spans="2:4" x14ac:dyDescent="0.3">
      <c r="B199" s="1" t="s">
        <v>86</v>
      </c>
      <c r="C199">
        <v>1239.4194887297249</v>
      </c>
      <c r="D199">
        <v>9.7979797979797986E-2</v>
      </c>
    </row>
    <row r="200" spans="2:4" x14ac:dyDescent="0.3">
      <c r="B200" s="1" t="s">
        <v>86</v>
      </c>
      <c r="C200">
        <v>1029.2487014834239</v>
      </c>
      <c r="D200">
        <v>9.8989898989898989E-2</v>
      </c>
    </row>
    <row r="201" spans="2:4" x14ac:dyDescent="0.3">
      <c r="B201" s="1" t="s">
        <v>86</v>
      </c>
      <c r="C201">
        <v>817.18718558069861</v>
      </c>
      <c r="D201">
        <v>0.1</v>
      </c>
    </row>
    <row r="202" spans="2:4" x14ac:dyDescent="0.3">
      <c r="C202" s="4"/>
    </row>
    <row r="203" spans="2:4" x14ac:dyDescent="0.3">
      <c r="C203" s="4"/>
    </row>
    <row r="204" spans="2:4" x14ac:dyDescent="0.3">
      <c r="C204" s="4"/>
    </row>
    <row r="205" spans="2:4" x14ac:dyDescent="0.3">
      <c r="C205" s="4"/>
    </row>
    <row r="206" spans="2:4" x14ac:dyDescent="0.3">
      <c r="C206" s="4"/>
    </row>
    <row r="207" spans="2:4" x14ac:dyDescent="0.3">
      <c r="C207" s="4"/>
    </row>
    <row r="208" spans="2:4" x14ac:dyDescent="0.3">
      <c r="C208" s="4"/>
    </row>
    <row r="209" spans="3:3" x14ac:dyDescent="0.3">
      <c r="C209" s="4"/>
    </row>
    <row r="210" spans="3:3" x14ac:dyDescent="0.3">
      <c r="C210" s="4"/>
    </row>
    <row r="211" spans="3:3" x14ac:dyDescent="0.3">
      <c r="C211" s="4"/>
    </row>
    <row r="212" spans="3:3" x14ac:dyDescent="0.3">
      <c r="C212" s="4"/>
    </row>
    <row r="213" spans="3:3" x14ac:dyDescent="0.3">
      <c r="C213" s="4"/>
    </row>
    <row r="214" spans="3:3" x14ac:dyDescent="0.3">
      <c r="C214" s="4"/>
    </row>
    <row r="215" spans="3:3" x14ac:dyDescent="0.3">
      <c r="C215" s="4"/>
    </row>
    <row r="216" spans="3:3" x14ac:dyDescent="0.3">
      <c r="C216" s="4"/>
    </row>
    <row r="217" spans="3:3" x14ac:dyDescent="0.3">
      <c r="C217" s="4"/>
    </row>
    <row r="218" spans="3:3" x14ac:dyDescent="0.3">
      <c r="C218" s="4"/>
    </row>
    <row r="219" spans="3:3" x14ac:dyDescent="0.3">
      <c r="C219" s="4"/>
    </row>
    <row r="220" spans="3:3" x14ac:dyDescent="0.3">
      <c r="C220" s="4"/>
    </row>
    <row r="221" spans="3:3" x14ac:dyDescent="0.3">
      <c r="C221" s="4"/>
    </row>
    <row r="222" spans="3:3" x14ac:dyDescent="0.3">
      <c r="C222" s="4"/>
    </row>
    <row r="223" spans="3:3" x14ac:dyDescent="0.3">
      <c r="C223" s="4"/>
    </row>
    <row r="224" spans="3:3" x14ac:dyDescent="0.3">
      <c r="C224" s="4"/>
    </row>
    <row r="225" spans="2:3" x14ac:dyDescent="0.3">
      <c r="C225" s="4"/>
    </row>
    <row r="226" spans="2:3" x14ac:dyDescent="0.3">
      <c r="B2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7" spans="2:3" x14ac:dyDescent="0.3">
      <c r="B2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8" spans="2:3" x14ac:dyDescent="0.3">
      <c r="B2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9" spans="2:3" x14ac:dyDescent="0.3">
      <c r="B2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0" spans="2:3" x14ac:dyDescent="0.3">
      <c r="B2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1" spans="2:3" x14ac:dyDescent="0.3">
      <c r="B2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2" spans="2:3" x14ac:dyDescent="0.3">
      <c r="B2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3" spans="2:3" x14ac:dyDescent="0.3">
      <c r="B2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4" spans="2:3" x14ac:dyDescent="0.3">
      <c r="B2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5" spans="2:3" x14ac:dyDescent="0.3">
      <c r="B2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6" spans="2:3" x14ac:dyDescent="0.3">
      <c r="B2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7" spans="2:3" x14ac:dyDescent="0.3">
      <c r="B2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8" spans="2:3" x14ac:dyDescent="0.3">
      <c r="B2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9" spans="2:3" x14ac:dyDescent="0.3">
      <c r="B2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0" spans="2:3" x14ac:dyDescent="0.3">
      <c r="B2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1" spans="2:2" x14ac:dyDescent="0.3">
      <c r="B2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2" spans="2:2" x14ac:dyDescent="0.3">
      <c r="B2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3" spans="2:2" x14ac:dyDescent="0.3">
      <c r="B2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4" spans="2:2" x14ac:dyDescent="0.3">
      <c r="B2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5" spans="2:2" x14ac:dyDescent="0.3">
      <c r="B2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6" spans="2:2" x14ac:dyDescent="0.3">
      <c r="B2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7" spans="2:2" x14ac:dyDescent="0.3">
      <c r="B2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8" spans="2:2" x14ac:dyDescent="0.3">
      <c r="B2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9" spans="2:2" x14ac:dyDescent="0.3">
      <c r="B2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0" spans="2:2" x14ac:dyDescent="0.3">
      <c r="B2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1" spans="2:2" x14ac:dyDescent="0.3">
      <c r="B2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2" spans="2:2" x14ac:dyDescent="0.3">
      <c r="B2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3" spans="2:2" x14ac:dyDescent="0.3">
      <c r="B2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4" spans="2:2" x14ac:dyDescent="0.3">
      <c r="B2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5" spans="2:2" x14ac:dyDescent="0.3">
      <c r="B2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6" spans="2:2" x14ac:dyDescent="0.3">
      <c r="B2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7" spans="2:2" x14ac:dyDescent="0.3">
      <c r="B2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8" spans="2:2" x14ac:dyDescent="0.3">
      <c r="B2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9" spans="2:2" x14ac:dyDescent="0.3">
      <c r="B2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0" spans="2:2" x14ac:dyDescent="0.3">
      <c r="B2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1" spans="2:2" x14ac:dyDescent="0.3">
      <c r="B2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2" spans="2:2" x14ac:dyDescent="0.3">
      <c r="B2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3" spans="2:2" x14ac:dyDescent="0.3">
      <c r="B2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4" spans="2:2" x14ac:dyDescent="0.3">
      <c r="B2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5" spans="2:2" x14ac:dyDescent="0.3">
      <c r="B2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6" spans="2:2" x14ac:dyDescent="0.3">
      <c r="B2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7" spans="2:2" x14ac:dyDescent="0.3">
      <c r="B2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8" spans="2:2" x14ac:dyDescent="0.3">
      <c r="B2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9" spans="2:2" x14ac:dyDescent="0.3">
      <c r="B2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0" spans="2:2" x14ac:dyDescent="0.3">
      <c r="B2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1" spans="2:2" x14ac:dyDescent="0.3">
      <c r="B2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2" spans="2:2" x14ac:dyDescent="0.3">
      <c r="B2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3" spans="2:2" x14ac:dyDescent="0.3">
      <c r="B2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4" spans="2:2" x14ac:dyDescent="0.3">
      <c r="B2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5" spans="2:2" x14ac:dyDescent="0.3">
      <c r="B2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6" spans="2:2" x14ac:dyDescent="0.3">
      <c r="B2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7" spans="2:2" x14ac:dyDescent="0.3">
      <c r="B2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8" spans="2:2" x14ac:dyDescent="0.3">
      <c r="B2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9" spans="2:2" x14ac:dyDescent="0.3">
      <c r="B2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0" spans="2:2" x14ac:dyDescent="0.3">
      <c r="B2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1" spans="2:2" x14ac:dyDescent="0.3">
      <c r="B2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2" spans="2:2" x14ac:dyDescent="0.3">
      <c r="B2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3" spans="2:2" x14ac:dyDescent="0.3">
      <c r="B2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4" spans="2:2" x14ac:dyDescent="0.3">
      <c r="B2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5" spans="2:2" x14ac:dyDescent="0.3">
      <c r="B2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6" spans="2:2" x14ac:dyDescent="0.3">
      <c r="B2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7" spans="2:2" x14ac:dyDescent="0.3">
      <c r="B2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8" spans="2:2" x14ac:dyDescent="0.3">
      <c r="B2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9" spans="2:2" x14ac:dyDescent="0.3">
      <c r="B2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0" spans="2:2" x14ac:dyDescent="0.3">
      <c r="B2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1" spans="2:2" x14ac:dyDescent="0.3">
      <c r="B2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2" spans="2:2" x14ac:dyDescent="0.3">
      <c r="B2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3" spans="2:2" x14ac:dyDescent="0.3">
      <c r="B2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4" spans="2:2" x14ac:dyDescent="0.3">
      <c r="B2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5" spans="2:2" x14ac:dyDescent="0.3">
      <c r="B2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6" spans="2:2" x14ac:dyDescent="0.3">
      <c r="B2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7" spans="2:2" x14ac:dyDescent="0.3">
      <c r="B2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8" spans="2:2" x14ac:dyDescent="0.3">
      <c r="B2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9" spans="2:2" x14ac:dyDescent="0.3">
      <c r="B2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0" spans="2:2" x14ac:dyDescent="0.3">
      <c r="B3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1" spans="2:2" x14ac:dyDescent="0.3">
      <c r="B3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2" spans="2:2" x14ac:dyDescent="0.3">
      <c r="B3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3" spans="2:2" x14ac:dyDescent="0.3">
      <c r="B3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4" spans="2:2" x14ac:dyDescent="0.3">
      <c r="B3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5" spans="2:2" x14ac:dyDescent="0.3">
      <c r="B3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6" spans="2:2" x14ac:dyDescent="0.3">
      <c r="B3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7" spans="2:2" x14ac:dyDescent="0.3">
      <c r="B3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8" spans="2:2" x14ac:dyDescent="0.3">
      <c r="B3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9" spans="2:2" x14ac:dyDescent="0.3">
      <c r="B3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0" spans="2:2" x14ac:dyDescent="0.3">
      <c r="B3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1" spans="2:2" x14ac:dyDescent="0.3">
      <c r="B3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2" spans="2:2" x14ac:dyDescent="0.3">
      <c r="B3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3" spans="2:2" x14ac:dyDescent="0.3">
      <c r="B3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4" spans="2:2" x14ac:dyDescent="0.3">
      <c r="B3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5" spans="2:2" x14ac:dyDescent="0.3">
      <c r="B3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6" spans="2:2" x14ac:dyDescent="0.3">
      <c r="B3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7" spans="2:2" x14ac:dyDescent="0.3">
      <c r="B3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8" spans="2:2" x14ac:dyDescent="0.3">
      <c r="B3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9" spans="2:2" x14ac:dyDescent="0.3">
      <c r="B3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0" spans="2:2" x14ac:dyDescent="0.3">
      <c r="B3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1" spans="2:2" x14ac:dyDescent="0.3">
      <c r="B3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2" spans="2:2" x14ac:dyDescent="0.3">
      <c r="B3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3" spans="2:2" x14ac:dyDescent="0.3">
      <c r="B3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4" spans="2:2" x14ac:dyDescent="0.3">
      <c r="B3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5" spans="2:2" x14ac:dyDescent="0.3">
      <c r="B3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6" spans="2:2" x14ac:dyDescent="0.3">
      <c r="B3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7" spans="2:2" x14ac:dyDescent="0.3">
      <c r="B3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8" spans="2:2" x14ac:dyDescent="0.3">
      <c r="B3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9" spans="2:2" x14ac:dyDescent="0.3">
      <c r="B3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0" spans="2:2" x14ac:dyDescent="0.3">
      <c r="B3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1" spans="2:2" x14ac:dyDescent="0.3">
      <c r="B3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2" spans="2:2" x14ac:dyDescent="0.3">
      <c r="B3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3" spans="2:2" x14ac:dyDescent="0.3">
      <c r="B3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4" spans="2:2" x14ac:dyDescent="0.3">
      <c r="B3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5" spans="2:2" x14ac:dyDescent="0.3">
      <c r="B3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6" spans="2:2" x14ac:dyDescent="0.3">
      <c r="B3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7" spans="2:2" x14ac:dyDescent="0.3">
      <c r="B3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8" spans="2:2" x14ac:dyDescent="0.3">
      <c r="B3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9" spans="2:2" x14ac:dyDescent="0.3">
      <c r="B3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0" spans="2:2" x14ac:dyDescent="0.3">
      <c r="B3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1" spans="2:2" x14ac:dyDescent="0.3">
      <c r="B3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2" spans="2:2" x14ac:dyDescent="0.3">
      <c r="B3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3" spans="2:2" x14ac:dyDescent="0.3">
      <c r="B3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4" spans="2:2" x14ac:dyDescent="0.3">
      <c r="B3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5" spans="2:2" x14ac:dyDescent="0.3">
      <c r="B3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6" spans="2:2" x14ac:dyDescent="0.3">
      <c r="B3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7" spans="2:2" x14ac:dyDescent="0.3">
      <c r="B3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8" spans="2:2" x14ac:dyDescent="0.3">
      <c r="B3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9" spans="2:2" x14ac:dyDescent="0.3">
      <c r="B3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0" spans="2:2" x14ac:dyDescent="0.3">
      <c r="B3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1" spans="2:2" x14ac:dyDescent="0.3">
      <c r="B3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2" spans="2:2" x14ac:dyDescent="0.3">
      <c r="B3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3" spans="2:2" x14ac:dyDescent="0.3">
      <c r="B3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4" spans="2:2" x14ac:dyDescent="0.3">
      <c r="B3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5" spans="2:2" x14ac:dyDescent="0.3">
      <c r="B3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6" spans="2:2" x14ac:dyDescent="0.3">
      <c r="B3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7" spans="2:2" x14ac:dyDescent="0.3">
      <c r="B3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8" spans="2:2" x14ac:dyDescent="0.3">
      <c r="B3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9" spans="2:2" x14ac:dyDescent="0.3">
      <c r="B3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0" spans="2:2" x14ac:dyDescent="0.3">
      <c r="B3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1" spans="2:2" x14ac:dyDescent="0.3">
      <c r="B3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2" spans="2:2" x14ac:dyDescent="0.3">
      <c r="B3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3" spans="2:2" x14ac:dyDescent="0.3">
      <c r="B3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4" spans="2:2" x14ac:dyDescent="0.3">
      <c r="B3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5" spans="2:2" x14ac:dyDescent="0.3">
      <c r="B3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6" spans="2:2" x14ac:dyDescent="0.3">
      <c r="B3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7" spans="2:2" x14ac:dyDescent="0.3">
      <c r="B3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8" spans="2:2" x14ac:dyDescent="0.3">
      <c r="B3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9" spans="2:2" x14ac:dyDescent="0.3">
      <c r="B3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0" spans="2:2" x14ac:dyDescent="0.3">
      <c r="B3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1" spans="2:2" x14ac:dyDescent="0.3">
      <c r="B3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2" spans="2:2" x14ac:dyDescent="0.3">
      <c r="B3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3" spans="2:2" x14ac:dyDescent="0.3">
      <c r="B3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4" spans="2:2" x14ac:dyDescent="0.3">
      <c r="B3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5" spans="2:2" x14ac:dyDescent="0.3">
      <c r="B3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6" spans="2:2" x14ac:dyDescent="0.3">
      <c r="B3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7" spans="2:2" x14ac:dyDescent="0.3">
      <c r="B3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8" spans="2:2" x14ac:dyDescent="0.3">
      <c r="B3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9" spans="2:2" x14ac:dyDescent="0.3">
      <c r="B3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0" spans="2:2" x14ac:dyDescent="0.3">
      <c r="B3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1" spans="2:2" x14ac:dyDescent="0.3">
      <c r="B3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2" spans="2:2" x14ac:dyDescent="0.3">
      <c r="B3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3" spans="2:2" x14ac:dyDescent="0.3">
      <c r="B3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4" spans="2:2" x14ac:dyDescent="0.3">
      <c r="B3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5" spans="2:2" x14ac:dyDescent="0.3">
      <c r="B3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6" spans="2:2" x14ac:dyDescent="0.3">
      <c r="B3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7" spans="2:2" x14ac:dyDescent="0.3">
      <c r="B3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8" spans="2:2" x14ac:dyDescent="0.3">
      <c r="B3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9" spans="2:2" x14ac:dyDescent="0.3">
      <c r="B3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0" spans="2:2" x14ac:dyDescent="0.3">
      <c r="B3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1" spans="2:2" x14ac:dyDescent="0.3">
      <c r="B3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2" spans="2:2" x14ac:dyDescent="0.3">
      <c r="B3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3" spans="2:2" x14ac:dyDescent="0.3">
      <c r="B3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4" spans="2:2" x14ac:dyDescent="0.3">
      <c r="B3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5" spans="2:2" x14ac:dyDescent="0.3">
      <c r="B3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6" spans="2:2" x14ac:dyDescent="0.3">
      <c r="B3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7" spans="2:2" x14ac:dyDescent="0.3">
      <c r="B3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8" spans="2:2" x14ac:dyDescent="0.3">
      <c r="B3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9" spans="2:2" x14ac:dyDescent="0.3">
      <c r="B3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0" spans="2:2" x14ac:dyDescent="0.3">
      <c r="B4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1" spans="2:2" x14ac:dyDescent="0.3">
      <c r="B4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2" spans="2:2" x14ac:dyDescent="0.3">
      <c r="B4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3" spans="2:2" x14ac:dyDescent="0.3">
      <c r="B4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4" spans="2:2" x14ac:dyDescent="0.3">
      <c r="B4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5" spans="2:2" x14ac:dyDescent="0.3">
      <c r="B4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6" spans="2:2" x14ac:dyDescent="0.3">
      <c r="B4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7" spans="2:2" x14ac:dyDescent="0.3">
      <c r="B4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8" spans="2:2" x14ac:dyDescent="0.3">
      <c r="B4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9" spans="2:2" x14ac:dyDescent="0.3">
      <c r="B4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0" spans="2:2" x14ac:dyDescent="0.3">
      <c r="B4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1" spans="2:2" x14ac:dyDescent="0.3">
      <c r="B4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2" spans="2:2" x14ac:dyDescent="0.3">
      <c r="B4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3" spans="2:2" x14ac:dyDescent="0.3">
      <c r="B4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4" spans="2:2" x14ac:dyDescent="0.3">
      <c r="B4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5" spans="2:2" x14ac:dyDescent="0.3">
      <c r="B4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6" spans="2:2" x14ac:dyDescent="0.3">
      <c r="B4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7" spans="2:2" x14ac:dyDescent="0.3">
      <c r="B4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8" spans="2:2" x14ac:dyDescent="0.3">
      <c r="B4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9" spans="2:2" x14ac:dyDescent="0.3">
      <c r="B4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0" spans="2:2" x14ac:dyDescent="0.3">
      <c r="B4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1" spans="2:2" x14ac:dyDescent="0.3">
      <c r="B4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2" spans="2:2" x14ac:dyDescent="0.3">
      <c r="B4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3" spans="2:2" x14ac:dyDescent="0.3">
      <c r="B4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4" spans="2:2" x14ac:dyDescent="0.3">
      <c r="B4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5" spans="2:2" x14ac:dyDescent="0.3">
      <c r="B4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6" spans="2:2" x14ac:dyDescent="0.3">
      <c r="B4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7" spans="2:2" x14ac:dyDescent="0.3">
      <c r="B4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8" spans="2:2" x14ac:dyDescent="0.3">
      <c r="B4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9" spans="2:2" x14ac:dyDescent="0.3">
      <c r="B4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0" spans="2:2" x14ac:dyDescent="0.3">
      <c r="B4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1" spans="2:2" x14ac:dyDescent="0.3">
      <c r="B4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2" spans="2:2" x14ac:dyDescent="0.3">
      <c r="B4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3" spans="2:2" x14ac:dyDescent="0.3">
      <c r="B4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4" spans="2:2" x14ac:dyDescent="0.3">
      <c r="B4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5" spans="2:2" x14ac:dyDescent="0.3">
      <c r="B4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6" spans="2:2" x14ac:dyDescent="0.3">
      <c r="B4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7" spans="2:2" x14ac:dyDescent="0.3">
      <c r="B4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8" spans="2:2" x14ac:dyDescent="0.3">
      <c r="B4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9" spans="2:2" x14ac:dyDescent="0.3">
      <c r="B4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0" spans="2:2" x14ac:dyDescent="0.3">
      <c r="B4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1" spans="2:2" x14ac:dyDescent="0.3">
      <c r="B4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2" spans="2:2" x14ac:dyDescent="0.3">
      <c r="B4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3" spans="2:2" x14ac:dyDescent="0.3">
      <c r="B4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4" spans="2:2" x14ac:dyDescent="0.3">
      <c r="B4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5" spans="2:2" x14ac:dyDescent="0.3">
      <c r="B4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6" spans="2:2" x14ac:dyDescent="0.3">
      <c r="B4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7" spans="2:2" x14ac:dyDescent="0.3">
      <c r="B4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8" spans="2:2" x14ac:dyDescent="0.3">
      <c r="B4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9" spans="2:2" x14ac:dyDescent="0.3">
      <c r="B4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0" spans="2:2" x14ac:dyDescent="0.3">
      <c r="B4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1" spans="2:2" x14ac:dyDescent="0.3">
      <c r="B4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2" spans="2:2" x14ac:dyDescent="0.3">
      <c r="B4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3" spans="2:2" x14ac:dyDescent="0.3">
      <c r="B4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4" spans="2:2" x14ac:dyDescent="0.3">
      <c r="B4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5" spans="2:2" x14ac:dyDescent="0.3">
      <c r="B4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6" spans="2:2" x14ac:dyDescent="0.3">
      <c r="B4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7" spans="2:2" x14ac:dyDescent="0.3">
      <c r="B4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8" spans="2:2" x14ac:dyDescent="0.3">
      <c r="B4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9" spans="2:2" x14ac:dyDescent="0.3">
      <c r="B4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0" spans="2:2" x14ac:dyDescent="0.3">
      <c r="B4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1" spans="2:2" x14ac:dyDescent="0.3">
      <c r="B4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2" spans="2:2" x14ac:dyDescent="0.3">
      <c r="B4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3" spans="2:2" x14ac:dyDescent="0.3">
      <c r="B4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4" spans="2:2" x14ac:dyDescent="0.3">
      <c r="B4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5" spans="2:2" x14ac:dyDescent="0.3">
      <c r="B4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6" spans="2:2" x14ac:dyDescent="0.3">
      <c r="B4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7" spans="2:2" x14ac:dyDescent="0.3">
      <c r="B4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8" spans="2:2" x14ac:dyDescent="0.3">
      <c r="B4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9" spans="2:2" x14ac:dyDescent="0.3">
      <c r="B4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0" spans="2:2" x14ac:dyDescent="0.3">
      <c r="B4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1" spans="2:2" x14ac:dyDescent="0.3">
      <c r="B4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2" spans="2:2" x14ac:dyDescent="0.3">
      <c r="B4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3" spans="2:2" x14ac:dyDescent="0.3">
      <c r="B4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4" spans="2:2" x14ac:dyDescent="0.3">
      <c r="B4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5" spans="2:2" x14ac:dyDescent="0.3">
      <c r="B4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6" spans="2:2" x14ac:dyDescent="0.3">
      <c r="B4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7" spans="2:2" x14ac:dyDescent="0.3">
      <c r="B4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8" spans="2:2" x14ac:dyDescent="0.3">
      <c r="B4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9" spans="2:2" x14ac:dyDescent="0.3">
      <c r="B4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0" spans="2:2" x14ac:dyDescent="0.3">
      <c r="B4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1" spans="2:2" x14ac:dyDescent="0.3">
      <c r="B4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2" spans="2:2" x14ac:dyDescent="0.3">
      <c r="B4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3" spans="2:2" x14ac:dyDescent="0.3">
      <c r="B4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4" spans="2:2" x14ac:dyDescent="0.3">
      <c r="B4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5" spans="2:2" x14ac:dyDescent="0.3">
      <c r="B4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6" spans="2:2" x14ac:dyDescent="0.3">
      <c r="B4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7" spans="2:2" x14ac:dyDescent="0.3">
      <c r="B4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8" spans="2:2" x14ac:dyDescent="0.3">
      <c r="B4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9" spans="2:2" x14ac:dyDescent="0.3">
      <c r="B4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0" spans="2:2" x14ac:dyDescent="0.3">
      <c r="B4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1" spans="2:2" x14ac:dyDescent="0.3">
      <c r="B4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2" spans="2:2" x14ac:dyDescent="0.3">
      <c r="B4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3" spans="2:2" x14ac:dyDescent="0.3">
      <c r="B4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4" spans="2:2" x14ac:dyDescent="0.3">
      <c r="B4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5" spans="2:2" x14ac:dyDescent="0.3">
      <c r="B4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6" spans="2:2" x14ac:dyDescent="0.3">
      <c r="B4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7" spans="2:2" x14ac:dyDescent="0.3">
      <c r="B4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8" spans="2:2" x14ac:dyDescent="0.3">
      <c r="B4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9" spans="2:2" x14ac:dyDescent="0.3">
      <c r="B4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0" spans="2:2" x14ac:dyDescent="0.3">
      <c r="B5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1" spans="2:2" x14ac:dyDescent="0.3">
      <c r="B5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2" spans="2:2" x14ac:dyDescent="0.3">
      <c r="B5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3" spans="2:2" x14ac:dyDescent="0.3">
      <c r="B5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4" spans="2:2" x14ac:dyDescent="0.3">
      <c r="B5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5" spans="2:2" x14ac:dyDescent="0.3">
      <c r="B5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6" spans="2:2" x14ac:dyDescent="0.3">
      <c r="B5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7" spans="2:2" x14ac:dyDescent="0.3">
      <c r="B5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8" spans="2:2" x14ac:dyDescent="0.3">
      <c r="B5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9" spans="2:2" x14ac:dyDescent="0.3">
      <c r="B5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0" spans="2:2" x14ac:dyDescent="0.3">
      <c r="B5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1" spans="2:2" x14ac:dyDescent="0.3">
      <c r="B5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2" spans="2:2" x14ac:dyDescent="0.3">
      <c r="B5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3" spans="2:2" x14ac:dyDescent="0.3">
      <c r="B5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4" spans="2:2" x14ac:dyDescent="0.3">
      <c r="B5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5" spans="2:2" x14ac:dyDescent="0.3">
      <c r="B5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6" spans="2:2" x14ac:dyDescent="0.3">
      <c r="B5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7" spans="2:2" x14ac:dyDescent="0.3">
      <c r="B5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8" spans="2:2" x14ac:dyDescent="0.3">
      <c r="B5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9" spans="2:2" x14ac:dyDescent="0.3">
      <c r="B5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0" spans="2:2" x14ac:dyDescent="0.3">
      <c r="B5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1" spans="2:2" x14ac:dyDescent="0.3">
      <c r="B5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2" spans="2:2" x14ac:dyDescent="0.3">
      <c r="B5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3" spans="2:2" x14ac:dyDescent="0.3">
      <c r="B5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4" spans="2:2" x14ac:dyDescent="0.3">
      <c r="B5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5" spans="2:2" x14ac:dyDescent="0.3">
      <c r="B5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6" spans="2:2" x14ac:dyDescent="0.3">
      <c r="B5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7" spans="2:2" x14ac:dyDescent="0.3">
      <c r="B5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8" spans="2:2" x14ac:dyDescent="0.3">
      <c r="B5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9" spans="2:2" x14ac:dyDescent="0.3">
      <c r="B5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0" spans="2:2" x14ac:dyDescent="0.3">
      <c r="B5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1" spans="2:2" x14ac:dyDescent="0.3">
      <c r="B5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2" spans="2:2" x14ac:dyDescent="0.3">
      <c r="B5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3" spans="2:2" x14ac:dyDescent="0.3">
      <c r="B5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4" spans="2:2" x14ac:dyDescent="0.3">
      <c r="B5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5" spans="2:2" x14ac:dyDescent="0.3">
      <c r="B5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6" spans="2:2" x14ac:dyDescent="0.3">
      <c r="B5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7" spans="2:2" x14ac:dyDescent="0.3">
      <c r="B5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8" spans="2:2" x14ac:dyDescent="0.3">
      <c r="B5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9" spans="2:2" x14ac:dyDescent="0.3">
      <c r="B5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0" spans="2:2" x14ac:dyDescent="0.3">
      <c r="B5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1" spans="2:2" x14ac:dyDescent="0.3">
      <c r="B5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2" spans="2:2" x14ac:dyDescent="0.3">
      <c r="B5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3" spans="2:2" x14ac:dyDescent="0.3">
      <c r="B5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4" spans="2:2" x14ac:dyDescent="0.3">
      <c r="B5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5" spans="2:2" x14ac:dyDescent="0.3">
      <c r="B5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6" spans="2:2" x14ac:dyDescent="0.3">
      <c r="B5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7" spans="2:2" x14ac:dyDescent="0.3">
      <c r="B5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8" spans="2:2" x14ac:dyDescent="0.3">
      <c r="B5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9" spans="2:2" x14ac:dyDescent="0.3">
      <c r="B5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0" spans="2:2" x14ac:dyDescent="0.3">
      <c r="B5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1" spans="2:2" x14ac:dyDescent="0.3">
      <c r="B5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2" spans="2:2" x14ac:dyDescent="0.3">
      <c r="B5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3" spans="2:2" x14ac:dyDescent="0.3">
      <c r="B5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4" spans="2:2" x14ac:dyDescent="0.3">
      <c r="B5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5" spans="2:2" x14ac:dyDescent="0.3">
      <c r="B5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6" spans="2:2" x14ac:dyDescent="0.3">
      <c r="B5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7" spans="2:2" x14ac:dyDescent="0.3">
      <c r="B5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8" spans="2:2" x14ac:dyDescent="0.3">
      <c r="B5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9" spans="2:2" x14ac:dyDescent="0.3">
      <c r="B5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0" spans="2:2" x14ac:dyDescent="0.3">
      <c r="B5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1" spans="2:2" x14ac:dyDescent="0.3">
      <c r="B5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2" spans="2:2" x14ac:dyDescent="0.3">
      <c r="B5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3" spans="2:2" x14ac:dyDescent="0.3">
      <c r="B5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4" spans="2:2" x14ac:dyDescent="0.3">
      <c r="B5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5" spans="2:2" x14ac:dyDescent="0.3">
      <c r="B5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6" spans="2:2" x14ac:dyDescent="0.3">
      <c r="B5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7" spans="2:2" x14ac:dyDescent="0.3">
      <c r="B5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8" spans="2:2" x14ac:dyDescent="0.3">
      <c r="B5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9" spans="2:2" x14ac:dyDescent="0.3">
      <c r="B5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0" spans="2:2" x14ac:dyDescent="0.3">
      <c r="B5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1" spans="2:2" x14ac:dyDescent="0.3">
      <c r="B5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2" spans="2:2" x14ac:dyDescent="0.3">
      <c r="B5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3" spans="2:2" x14ac:dyDescent="0.3">
      <c r="B5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4" spans="2:2" x14ac:dyDescent="0.3">
      <c r="B5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5" spans="2:2" x14ac:dyDescent="0.3">
      <c r="B5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6" spans="2:2" x14ac:dyDescent="0.3">
      <c r="B5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7" spans="2:2" x14ac:dyDescent="0.3">
      <c r="B5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8" spans="2:2" x14ac:dyDescent="0.3">
      <c r="B5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9" spans="2:2" x14ac:dyDescent="0.3">
      <c r="B5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0" spans="2:2" x14ac:dyDescent="0.3">
      <c r="B5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1" spans="2:2" x14ac:dyDescent="0.3">
      <c r="B5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2" spans="2:2" x14ac:dyDescent="0.3">
      <c r="B5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3" spans="2:2" x14ac:dyDescent="0.3">
      <c r="B5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4" spans="2:2" x14ac:dyDescent="0.3">
      <c r="B5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5" spans="2:2" x14ac:dyDescent="0.3">
      <c r="B5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6" spans="2:2" x14ac:dyDescent="0.3">
      <c r="B5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7" spans="2:2" x14ac:dyDescent="0.3">
      <c r="B5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8" spans="2:2" x14ac:dyDescent="0.3">
      <c r="B5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9" spans="2:2" x14ac:dyDescent="0.3">
      <c r="B5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0" spans="2:2" x14ac:dyDescent="0.3">
      <c r="B5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1" spans="2:2" x14ac:dyDescent="0.3">
      <c r="B5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2" spans="2:2" x14ac:dyDescent="0.3">
      <c r="B5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3" spans="2:2" x14ac:dyDescent="0.3">
      <c r="B5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4" spans="2:2" x14ac:dyDescent="0.3">
      <c r="B5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5" spans="2:2" x14ac:dyDescent="0.3">
      <c r="B5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6" spans="2:2" x14ac:dyDescent="0.3">
      <c r="B5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7" spans="2:2" x14ac:dyDescent="0.3">
      <c r="B5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8" spans="2:2" x14ac:dyDescent="0.3">
      <c r="B5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9" spans="2:2" x14ac:dyDescent="0.3">
      <c r="B5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0" spans="2:2" x14ac:dyDescent="0.3">
      <c r="B6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1" spans="2:2" x14ac:dyDescent="0.3">
      <c r="B6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2" spans="2:2" x14ac:dyDescent="0.3">
      <c r="B6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3" spans="2:2" x14ac:dyDescent="0.3">
      <c r="B6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4" spans="2:2" x14ac:dyDescent="0.3">
      <c r="B6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5" spans="2:2" x14ac:dyDescent="0.3">
      <c r="B6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6" spans="2:2" x14ac:dyDescent="0.3">
      <c r="B6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7" spans="2:2" x14ac:dyDescent="0.3">
      <c r="B6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8" spans="2:2" x14ac:dyDescent="0.3">
      <c r="B6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9" spans="2:2" x14ac:dyDescent="0.3">
      <c r="B6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0" spans="2:2" x14ac:dyDescent="0.3">
      <c r="B6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1" spans="2:2" x14ac:dyDescent="0.3">
      <c r="B6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2" spans="2:2" x14ac:dyDescent="0.3">
      <c r="B6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3" spans="2:2" x14ac:dyDescent="0.3">
      <c r="B6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4" spans="2:2" x14ac:dyDescent="0.3">
      <c r="B6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5" spans="2:2" x14ac:dyDescent="0.3">
      <c r="B6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6" spans="2:2" x14ac:dyDescent="0.3">
      <c r="B6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7" spans="2:2" x14ac:dyDescent="0.3">
      <c r="B6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8" spans="2:2" x14ac:dyDescent="0.3">
      <c r="B6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9" spans="2:2" x14ac:dyDescent="0.3">
      <c r="B6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0" spans="2:2" x14ac:dyDescent="0.3">
      <c r="B6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1" spans="2:2" x14ac:dyDescent="0.3">
      <c r="B6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2" spans="2:2" x14ac:dyDescent="0.3">
      <c r="B6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3" spans="2:2" x14ac:dyDescent="0.3">
      <c r="B6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4" spans="2:2" x14ac:dyDescent="0.3">
      <c r="B6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5" spans="2:2" x14ac:dyDescent="0.3">
      <c r="B6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6" spans="2:2" x14ac:dyDescent="0.3">
      <c r="B6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7" spans="2:2" x14ac:dyDescent="0.3">
      <c r="B6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8" spans="2:2" x14ac:dyDescent="0.3">
      <c r="B6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9" spans="2:2" x14ac:dyDescent="0.3">
      <c r="B6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0" spans="2:2" x14ac:dyDescent="0.3">
      <c r="B6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1" spans="2:2" x14ac:dyDescent="0.3">
      <c r="B6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2" spans="2:2" x14ac:dyDescent="0.3">
      <c r="B6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3" spans="2:2" x14ac:dyDescent="0.3">
      <c r="B6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4" spans="2:2" x14ac:dyDescent="0.3">
      <c r="B6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5" spans="2:2" x14ac:dyDescent="0.3">
      <c r="B6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6" spans="2:2" x14ac:dyDescent="0.3">
      <c r="B6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7" spans="2:2" x14ac:dyDescent="0.3">
      <c r="B6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8" spans="2:2" x14ac:dyDescent="0.3">
      <c r="B6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9" spans="2:2" x14ac:dyDescent="0.3">
      <c r="B6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0" spans="2:2" x14ac:dyDescent="0.3">
      <c r="B6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1" spans="2:2" x14ac:dyDescent="0.3">
      <c r="B6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2" spans="2:2" x14ac:dyDescent="0.3">
      <c r="B6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3" spans="2:2" x14ac:dyDescent="0.3">
      <c r="B6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4" spans="2:2" x14ac:dyDescent="0.3">
      <c r="B6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5" spans="2:2" x14ac:dyDescent="0.3">
      <c r="B6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6" spans="2:2" x14ac:dyDescent="0.3">
      <c r="B6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7" spans="2:2" x14ac:dyDescent="0.3">
      <c r="B6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8" spans="2:2" x14ac:dyDescent="0.3">
      <c r="B6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9" spans="2:2" x14ac:dyDescent="0.3">
      <c r="B6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0" spans="2:2" x14ac:dyDescent="0.3">
      <c r="B6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1" spans="2:2" x14ac:dyDescent="0.3">
      <c r="B6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2" spans="2:2" x14ac:dyDescent="0.3">
      <c r="B6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3" spans="2:2" x14ac:dyDescent="0.3">
      <c r="B6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4" spans="2:2" x14ac:dyDescent="0.3">
      <c r="B6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5" spans="2:2" x14ac:dyDescent="0.3">
      <c r="B6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6" spans="2:2" x14ac:dyDescent="0.3">
      <c r="B6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7" spans="2:2" x14ac:dyDescent="0.3">
      <c r="B6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8" spans="2:2" x14ac:dyDescent="0.3">
      <c r="B6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9" spans="2:2" x14ac:dyDescent="0.3">
      <c r="B6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0" spans="2:2" x14ac:dyDescent="0.3">
      <c r="B6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1" spans="2:2" x14ac:dyDescent="0.3">
      <c r="B6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2" spans="2:2" x14ac:dyDescent="0.3">
      <c r="B6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3" spans="2:2" x14ac:dyDescent="0.3">
      <c r="B6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4" spans="2:2" x14ac:dyDescent="0.3">
      <c r="B6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5" spans="2:2" x14ac:dyDescent="0.3">
      <c r="B6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6" spans="2:2" x14ac:dyDescent="0.3">
      <c r="B6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7" spans="2:2" x14ac:dyDescent="0.3">
      <c r="B6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8" spans="2:2" x14ac:dyDescent="0.3">
      <c r="B6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9" spans="2:2" x14ac:dyDescent="0.3">
      <c r="B6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0" spans="2:2" x14ac:dyDescent="0.3">
      <c r="B6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1" spans="2:2" x14ac:dyDescent="0.3">
      <c r="B6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2" spans="2:2" x14ac:dyDescent="0.3">
      <c r="B6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3" spans="2:2" x14ac:dyDescent="0.3">
      <c r="B6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4" spans="2:2" x14ac:dyDescent="0.3">
      <c r="B6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5" spans="2:2" x14ac:dyDescent="0.3">
      <c r="B6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6" spans="2:2" x14ac:dyDescent="0.3">
      <c r="B6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7" spans="2:2" x14ac:dyDescent="0.3">
      <c r="B6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8" spans="2:2" x14ac:dyDescent="0.3">
      <c r="B6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9" spans="2:2" x14ac:dyDescent="0.3">
      <c r="B6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0" spans="2:2" x14ac:dyDescent="0.3">
      <c r="B6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1" spans="2:2" x14ac:dyDescent="0.3">
      <c r="B6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2" spans="2:2" x14ac:dyDescent="0.3">
      <c r="B6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3" spans="2:2" x14ac:dyDescent="0.3">
      <c r="B6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4" spans="2:2" x14ac:dyDescent="0.3">
      <c r="B6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5" spans="2:2" x14ac:dyDescent="0.3">
      <c r="B6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6" spans="2:2" x14ac:dyDescent="0.3">
      <c r="B6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7" spans="2:2" x14ac:dyDescent="0.3">
      <c r="B6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8" spans="2:2" x14ac:dyDescent="0.3">
      <c r="B6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9" spans="2:2" x14ac:dyDescent="0.3">
      <c r="B6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0" spans="2:2" x14ac:dyDescent="0.3">
      <c r="B6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1" spans="2:2" x14ac:dyDescent="0.3">
      <c r="B6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2" spans="2:2" x14ac:dyDescent="0.3">
      <c r="B6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3" spans="2:2" x14ac:dyDescent="0.3">
      <c r="B6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4" spans="2:2" x14ac:dyDescent="0.3">
      <c r="B6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5" spans="2:2" x14ac:dyDescent="0.3">
      <c r="B6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6" spans="2:2" x14ac:dyDescent="0.3">
      <c r="B6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7" spans="2:2" x14ac:dyDescent="0.3">
      <c r="B6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8" spans="2:2" x14ac:dyDescent="0.3">
      <c r="B6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9" spans="2:2" x14ac:dyDescent="0.3">
      <c r="B6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0" spans="2:2" x14ac:dyDescent="0.3">
      <c r="B7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1" spans="2:2" x14ac:dyDescent="0.3">
      <c r="B7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2" spans="2:2" x14ac:dyDescent="0.3">
      <c r="B7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3" spans="2:2" x14ac:dyDescent="0.3">
      <c r="B7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4" spans="2:2" x14ac:dyDescent="0.3">
      <c r="B7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5" spans="2:2" x14ac:dyDescent="0.3">
      <c r="B7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6" spans="2:2" x14ac:dyDescent="0.3">
      <c r="B7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7" spans="2:2" x14ac:dyDescent="0.3">
      <c r="B7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8" spans="2:2" x14ac:dyDescent="0.3">
      <c r="B7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9" spans="2:2" x14ac:dyDescent="0.3">
      <c r="B7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0" spans="2:2" x14ac:dyDescent="0.3">
      <c r="B7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1" spans="2:2" x14ac:dyDescent="0.3">
      <c r="B7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2" spans="2:2" x14ac:dyDescent="0.3">
      <c r="B7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3" spans="2:2" x14ac:dyDescent="0.3">
      <c r="B7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4" spans="2:2" x14ac:dyDescent="0.3">
      <c r="B7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5" spans="2:2" x14ac:dyDescent="0.3">
      <c r="B7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6" spans="2:2" x14ac:dyDescent="0.3">
      <c r="B7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7" spans="2:2" x14ac:dyDescent="0.3">
      <c r="B7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8" spans="2:2" x14ac:dyDescent="0.3">
      <c r="B7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9" spans="2:2" x14ac:dyDescent="0.3">
      <c r="B7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0" spans="2:2" x14ac:dyDescent="0.3">
      <c r="B7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1" spans="2:2" x14ac:dyDescent="0.3">
      <c r="B7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2" spans="2:2" x14ac:dyDescent="0.3">
      <c r="B7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3" spans="2:2" x14ac:dyDescent="0.3">
      <c r="B7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4" spans="2:2" x14ac:dyDescent="0.3">
      <c r="B7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5" spans="2:2" x14ac:dyDescent="0.3">
      <c r="B7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6" spans="2:2" x14ac:dyDescent="0.3">
      <c r="B7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7" spans="2:2" x14ac:dyDescent="0.3">
      <c r="B7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8" spans="2:2" x14ac:dyDescent="0.3">
      <c r="B7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9" spans="2:2" x14ac:dyDescent="0.3">
      <c r="B7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0" spans="2:2" x14ac:dyDescent="0.3">
      <c r="B7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1" spans="2:2" x14ac:dyDescent="0.3">
      <c r="B7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2" spans="2:2" x14ac:dyDescent="0.3">
      <c r="B7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3" spans="2:2" x14ac:dyDescent="0.3">
      <c r="B7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4" spans="2:2" x14ac:dyDescent="0.3">
      <c r="B7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5" spans="2:2" x14ac:dyDescent="0.3">
      <c r="B7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6" spans="2:2" x14ac:dyDescent="0.3">
      <c r="B7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7" spans="2:2" x14ac:dyDescent="0.3">
      <c r="B7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8" spans="2:2" x14ac:dyDescent="0.3">
      <c r="B7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9" spans="2:2" x14ac:dyDescent="0.3">
      <c r="B7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0" spans="2:2" x14ac:dyDescent="0.3">
      <c r="B7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1" spans="2:2" x14ac:dyDescent="0.3">
      <c r="B7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2" spans="2:2" x14ac:dyDescent="0.3">
      <c r="B7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3" spans="2:2" x14ac:dyDescent="0.3">
      <c r="B7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4" spans="2:2" x14ac:dyDescent="0.3">
      <c r="B7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5" spans="2:2" x14ac:dyDescent="0.3">
      <c r="B7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6" spans="2:2" x14ac:dyDescent="0.3">
      <c r="B7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7" spans="2:2" x14ac:dyDescent="0.3">
      <c r="B7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8" spans="2:2" x14ac:dyDescent="0.3">
      <c r="B7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9" spans="2:2" x14ac:dyDescent="0.3">
      <c r="B7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0" spans="2:2" x14ac:dyDescent="0.3">
      <c r="B7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1" spans="2:2" x14ac:dyDescent="0.3">
      <c r="B7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2" spans="2:2" x14ac:dyDescent="0.3">
      <c r="B7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3" spans="2:2" x14ac:dyDescent="0.3">
      <c r="B7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4" spans="2:2" x14ac:dyDescent="0.3">
      <c r="B7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5" spans="2:2" x14ac:dyDescent="0.3">
      <c r="B7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6" spans="2:2" x14ac:dyDescent="0.3">
      <c r="B7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7" spans="2:2" x14ac:dyDescent="0.3">
      <c r="B7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8" spans="2:2" x14ac:dyDescent="0.3">
      <c r="B7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9" spans="2:2" x14ac:dyDescent="0.3">
      <c r="B7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0" spans="2:2" x14ac:dyDescent="0.3">
      <c r="B7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1" spans="2:2" x14ac:dyDescent="0.3">
      <c r="B7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2" spans="2:2" x14ac:dyDescent="0.3">
      <c r="B7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3" spans="2:2" x14ac:dyDescent="0.3">
      <c r="B7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4" spans="2:2" x14ac:dyDescent="0.3">
      <c r="B7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5" spans="2:2" x14ac:dyDescent="0.3">
      <c r="B7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6" spans="2:2" x14ac:dyDescent="0.3">
      <c r="B7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7" spans="2:2" x14ac:dyDescent="0.3">
      <c r="B7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8" spans="2:2" x14ac:dyDescent="0.3">
      <c r="B7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9" spans="2:2" x14ac:dyDescent="0.3">
      <c r="B7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0" spans="2:2" x14ac:dyDescent="0.3">
      <c r="B7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1" spans="2:2" x14ac:dyDescent="0.3">
      <c r="B7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2" spans="2:2" x14ac:dyDescent="0.3">
      <c r="B7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3" spans="2:2" x14ac:dyDescent="0.3">
      <c r="B7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4" spans="2:2" x14ac:dyDescent="0.3">
      <c r="B7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5" spans="2:2" x14ac:dyDescent="0.3">
      <c r="B7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6" spans="2:2" x14ac:dyDescent="0.3">
      <c r="B7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7" spans="2:2" x14ac:dyDescent="0.3">
      <c r="B7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8" spans="2:2" x14ac:dyDescent="0.3">
      <c r="B7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9" spans="2:2" x14ac:dyDescent="0.3">
      <c r="B7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0" spans="2:2" x14ac:dyDescent="0.3">
      <c r="B7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1" spans="2:2" x14ac:dyDescent="0.3">
      <c r="B7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2" spans="2:2" x14ac:dyDescent="0.3">
      <c r="B7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3" spans="2:2" x14ac:dyDescent="0.3">
      <c r="B7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4" spans="2:2" x14ac:dyDescent="0.3">
      <c r="B7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5" spans="2:2" x14ac:dyDescent="0.3">
      <c r="B7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6" spans="2:2" x14ac:dyDescent="0.3">
      <c r="B7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7" spans="2:2" x14ac:dyDescent="0.3">
      <c r="B7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8" spans="2:2" x14ac:dyDescent="0.3">
      <c r="B7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9" spans="2:2" x14ac:dyDescent="0.3">
      <c r="B7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0" spans="2:2" x14ac:dyDescent="0.3">
      <c r="B7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1" spans="2:2" x14ac:dyDescent="0.3">
      <c r="B7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2" spans="2:2" x14ac:dyDescent="0.3">
      <c r="B7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3" spans="2:2" x14ac:dyDescent="0.3">
      <c r="B7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4" spans="2:2" x14ac:dyDescent="0.3">
      <c r="B7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5" spans="2:2" x14ac:dyDescent="0.3">
      <c r="B7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6" spans="2:2" x14ac:dyDescent="0.3">
      <c r="B7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7" spans="2:2" x14ac:dyDescent="0.3">
      <c r="B7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8" spans="2:2" x14ac:dyDescent="0.3">
      <c r="B7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9" spans="2:2" x14ac:dyDescent="0.3">
      <c r="B7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0" spans="2:2" x14ac:dyDescent="0.3">
      <c r="B8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1" spans="2:2" x14ac:dyDescent="0.3">
      <c r="B8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2" spans="2:2" x14ac:dyDescent="0.3">
      <c r="B8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3" spans="2:2" x14ac:dyDescent="0.3">
      <c r="B8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4" spans="2:2" x14ac:dyDescent="0.3">
      <c r="B8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5" spans="2:2" x14ac:dyDescent="0.3">
      <c r="B8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6" spans="2:2" x14ac:dyDescent="0.3">
      <c r="B8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7" spans="2:2" x14ac:dyDescent="0.3">
      <c r="B8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8" spans="2:2" x14ac:dyDescent="0.3">
      <c r="B8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9" spans="2:2" x14ac:dyDescent="0.3">
      <c r="B8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0" spans="2:2" x14ac:dyDescent="0.3">
      <c r="B8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1" spans="2:2" x14ac:dyDescent="0.3">
      <c r="B8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2" spans="2:2" x14ac:dyDescent="0.3">
      <c r="B8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3" spans="2:2" x14ac:dyDescent="0.3">
      <c r="B8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4" spans="2:2" x14ac:dyDescent="0.3">
      <c r="B8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5" spans="2:2" x14ac:dyDescent="0.3">
      <c r="B8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6" spans="2:2" x14ac:dyDescent="0.3">
      <c r="B8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7" spans="2:2" x14ac:dyDescent="0.3">
      <c r="B8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8" spans="2:2" x14ac:dyDescent="0.3">
      <c r="B8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9" spans="2:2" x14ac:dyDescent="0.3">
      <c r="B8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0" spans="2:2" x14ac:dyDescent="0.3">
      <c r="B8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1" spans="2:2" x14ac:dyDescent="0.3">
      <c r="B8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2" spans="2:2" x14ac:dyDescent="0.3">
      <c r="B8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3" spans="2:2" x14ac:dyDescent="0.3">
      <c r="B8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4" spans="2:2" x14ac:dyDescent="0.3">
      <c r="B8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5" spans="2:2" x14ac:dyDescent="0.3">
      <c r="B8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6" spans="2:2" x14ac:dyDescent="0.3">
      <c r="B8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7" spans="2:2" x14ac:dyDescent="0.3">
      <c r="B8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8" spans="2:2" x14ac:dyDescent="0.3">
      <c r="B8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9" spans="2:2" x14ac:dyDescent="0.3">
      <c r="B8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0" spans="2:2" x14ac:dyDescent="0.3">
      <c r="B8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1" spans="2:2" x14ac:dyDescent="0.3">
      <c r="B8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2" spans="2:2" x14ac:dyDescent="0.3">
      <c r="B8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3" spans="2:2" x14ac:dyDescent="0.3">
      <c r="B8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4" spans="2:2" x14ac:dyDescent="0.3">
      <c r="B8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5" spans="2:2" x14ac:dyDescent="0.3">
      <c r="B8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6" spans="2:2" x14ac:dyDescent="0.3">
      <c r="B8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7" spans="2:2" x14ac:dyDescent="0.3">
      <c r="B8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8" spans="2:2" x14ac:dyDescent="0.3">
      <c r="B8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9" spans="2:2" x14ac:dyDescent="0.3">
      <c r="B8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0" spans="2:2" x14ac:dyDescent="0.3">
      <c r="B8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1" spans="2:2" x14ac:dyDescent="0.3">
      <c r="B8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2" spans="2:2" x14ac:dyDescent="0.3">
      <c r="B8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3" spans="2:2" x14ac:dyDescent="0.3">
      <c r="B8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4" spans="2:2" x14ac:dyDescent="0.3">
      <c r="B8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5" spans="2:2" x14ac:dyDescent="0.3">
      <c r="B8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6" spans="2:2" x14ac:dyDescent="0.3">
      <c r="B8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7" spans="2:2" x14ac:dyDescent="0.3">
      <c r="B8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8" spans="2:2" x14ac:dyDescent="0.3">
      <c r="B8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9" spans="2:2" x14ac:dyDescent="0.3">
      <c r="B8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0" spans="2:2" x14ac:dyDescent="0.3">
      <c r="B8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1" spans="2:2" x14ac:dyDescent="0.3">
      <c r="B8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2" spans="2:2" x14ac:dyDescent="0.3">
      <c r="B8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3" spans="2:2" x14ac:dyDescent="0.3">
      <c r="B8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4" spans="2:2" x14ac:dyDescent="0.3">
      <c r="B8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5" spans="2:2" x14ac:dyDescent="0.3">
      <c r="B8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6" spans="2:2" x14ac:dyDescent="0.3">
      <c r="B8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7" spans="2:2" x14ac:dyDescent="0.3">
      <c r="B8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8" spans="2:2" x14ac:dyDescent="0.3">
      <c r="B8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9" spans="2:2" x14ac:dyDescent="0.3">
      <c r="B8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0" spans="2:2" x14ac:dyDescent="0.3">
      <c r="B8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1" spans="2:2" x14ac:dyDescent="0.3">
      <c r="B8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2" spans="2:2" x14ac:dyDescent="0.3">
      <c r="B8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3" spans="2:2" x14ac:dyDescent="0.3">
      <c r="B8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4" spans="2:2" x14ac:dyDescent="0.3">
      <c r="B8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5" spans="2:2" x14ac:dyDescent="0.3">
      <c r="B8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6" spans="2:2" x14ac:dyDescent="0.3">
      <c r="B8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7" spans="2:2" x14ac:dyDescent="0.3">
      <c r="B8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8" spans="2:2" x14ac:dyDescent="0.3">
      <c r="B8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9" spans="2:2" x14ac:dyDescent="0.3">
      <c r="B8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0" spans="2:2" x14ac:dyDescent="0.3">
      <c r="B8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1" spans="2:2" x14ac:dyDescent="0.3">
      <c r="B8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2" spans="2:2" x14ac:dyDescent="0.3">
      <c r="B8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3" spans="2:2" x14ac:dyDescent="0.3">
      <c r="B8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4" spans="2:2" x14ac:dyDescent="0.3">
      <c r="B8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5" spans="2:2" x14ac:dyDescent="0.3">
      <c r="B8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6" spans="2:2" x14ac:dyDescent="0.3">
      <c r="B8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7" spans="2:2" x14ac:dyDescent="0.3">
      <c r="B8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8" spans="2:2" x14ac:dyDescent="0.3">
      <c r="B8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9" spans="2:2" x14ac:dyDescent="0.3">
      <c r="B8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0" spans="2:2" x14ac:dyDescent="0.3">
      <c r="B8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1" spans="2:2" x14ac:dyDescent="0.3">
      <c r="B8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2" spans="2:2" x14ac:dyDescent="0.3">
      <c r="B8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3" spans="2:2" x14ac:dyDescent="0.3">
      <c r="B8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4" spans="2:2" x14ac:dyDescent="0.3">
      <c r="B8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5" spans="2:2" x14ac:dyDescent="0.3">
      <c r="B8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6" spans="2:2" x14ac:dyDescent="0.3">
      <c r="B8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7" spans="2:2" x14ac:dyDescent="0.3">
      <c r="B8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8" spans="2:2" x14ac:dyDescent="0.3">
      <c r="B8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9" spans="2:2" x14ac:dyDescent="0.3">
      <c r="B8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0" spans="2:2" x14ac:dyDescent="0.3">
      <c r="B8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1" spans="2:2" x14ac:dyDescent="0.3">
      <c r="B8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2" spans="2:2" x14ac:dyDescent="0.3">
      <c r="B8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3" spans="2:2" x14ac:dyDescent="0.3">
      <c r="B8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4" spans="2:2" x14ac:dyDescent="0.3">
      <c r="B8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5" spans="2:2" x14ac:dyDescent="0.3">
      <c r="B8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6" spans="2:2" x14ac:dyDescent="0.3">
      <c r="B8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7" spans="2:2" x14ac:dyDescent="0.3">
      <c r="B8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8" spans="2:2" x14ac:dyDescent="0.3">
      <c r="B8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9" spans="2:2" x14ac:dyDescent="0.3">
      <c r="B8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0" spans="2:2" x14ac:dyDescent="0.3">
      <c r="B9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1" spans="2:2" x14ac:dyDescent="0.3">
      <c r="B9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2" spans="2:2" x14ac:dyDescent="0.3">
      <c r="B9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3" spans="2:2" x14ac:dyDescent="0.3">
      <c r="B9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4" spans="2:2" x14ac:dyDescent="0.3">
      <c r="B9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5" spans="2:2" x14ac:dyDescent="0.3">
      <c r="B9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6" spans="2:2" x14ac:dyDescent="0.3">
      <c r="B9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7" spans="2:2" x14ac:dyDescent="0.3">
      <c r="B9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8" spans="2:2" x14ac:dyDescent="0.3">
      <c r="B9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9" spans="2:2" x14ac:dyDescent="0.3">
      <c r="B9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0" spans="2:2" x14ac:dyDescent="0.3">
      <c r="B9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1" spans="2:2" x14ac:dyDescent="0.3">
      <c r="B9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2" spans="2:2" x14ac:dyDescent="0.3">
      <c r="B9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3" spans="2:2" x14ac:dyDescent="0.3">
      <c r="B9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4" spans="2:2" x14ac:dyDescent="0.3">
      <c r="B9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5" spans="2:2" x14ac:dyDescent="0.3">
      <c r="B9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6" spans="2:2" x14ac:dyDescent="0.3">
      <c r="B9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7" spans="2:2" x14ac:dyDescent="0.3">
      <c r="B9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8" spans="2:2" x14ac:dyDescent="0.3">
      <c r="B9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9" spans="2:2" x14ac:dyDescent="0.3">
      <c r="B9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0" spans="2:2" x14ac:dyDescent="0.3">
      <c r="B9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1" spans="2:2" x14ac:dyDescent="0.3">
      <c r="B9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2" spans="2:2" x14ac:dyDescent="0.3">
      <c r="B9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3" spans="2:2" x14ac:dyDescent="0.3">
      <c r="B9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4" spans="2:2" x14ac:dyDescent="0.3">
      <c r="B9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5" spans="2:2" x14ac:dyDescent="0.3">
      <c r="B9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6" spans="2:2" x14ac:dyDescent="0.3">
      <c r="B9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7" spans="2:2" x14ac:dyDescent="0.3">
      <c r="B9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8" spans="2:2" x14ac:dyDescent="0.3">
      <c r="B9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9" spans="2:2" x14ac:dyDescent="0.3">
      <c r="B9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0" spans="2:2" x14ac:dyDescent="0.3">
      <c r="B9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1" spans="2:2" x14ac:dyDescent="0.3">
      <c r="B9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2" spans="2:2" x14ac:dyDescent="0.3">
      <c r="B9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3" spans="2:2" x14ac:dyDescent="0.3">
      <c r="B9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4" spans="2:2" x14ac:dyDescent="0.3">
      <c r="B9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5" spans="2:2" x14ac:dyDescent="0.3">
      <c r="B9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6" spans="2:2" x14ac:dyDescent="0.3">
      <c r="B9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7" spans="2:2" x14ac:dyDescent="0.3">
      <c r="B9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8" spans="2:2" x14ac:dyDescent="0.3">
      <c r="B9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9" spans="2:2" x14ac:dyDescent="0.3">
      <c r="B9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0" spans="2:2" x14ac:dyDescent="0.3">
      <c r="B9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1" spans="2:2" x14ac:dyDescent="0.3">
      <c r="B9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2" spans="2:2" x14ac:dyDescent="0.3">
      <c r="B9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3" spans="2:2" x14ac:dyDescent="0.3">
      <c r="B9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4" spans="2:2" x14ac:dyDescent="0.3">
      <c r="B9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5" spans="2:2" x14ac:dyDescent="0.3">
      <c r="B9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6" spans="2:2" x14ac:dyDescent="0.3">
      <c r="B9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7" spans="2:2" x14ac:dyDescent="0.3">
      <c r="B9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8" spans="2:2" x14ac:dyDescent="0.3">
      <c r="B9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9" spans="2:2" x14ac:dyDescent="0.3">
      <c r="B9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0" spans="2:2" x14ac:dyDescent="0.3">
      <c r="B9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1" spans="2:2" x14ac:dyDescent="0.3">
      <c r="B9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2" spans="2:2" x14ac:dyDescent="0.3">
      <c r="B9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3" spans="2:2" x14ac:dyDescent="0.3">
      <c r="B9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4" spans="2:2" x14ac:dyDescent="0.3">
      <c r="B9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5" spans="2:2" x14ac:dyDescent="0.3">
      <c r="B9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6" spans="2:2" x14ac:dyDescent="0.3">
      <c r="B9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7" spans="2:2" x14ac:dyDescent="0.3">
      <c r="B9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8" spans="2:2" x14ac:dyDescent="0.3">
      <c r="B9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9" spans="2:2" x14ac:dyDescent="0.3">
      <c r="B9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0" spans="2:2" x14ac:dyDescent="0.3">
      <c r="B9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1" spans="2:2" x14ac:dyDescent="0.3">
      <c r="B9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2" spans="2:2" x14ac:dyDescent="0.3">
      <c r="B9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3" spans="2:2" x14ac:dyDescent="0.3">
      <c r="B9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4" spans="2:2" x14ac:dyDescent="0.3">
      <c r="B9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5" spans="2:2" x14ac:dyDescent="0.3">
      <c r="B9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6" spans="2:2" x14ac:dyDescent="0.3">
      <c r="B9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7" spans="2:2" x14ac:dyDescent="0.3">
      <c r="B9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8" spans="2:2" x14ac:dyDescent="0.3">
      <c r="B9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9" spans="2:2" x14ac:dyDescent="0.3">
      <c r="B9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0" spans="2:2" x14ac:dyDescent="0.3">
      <c r="B9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1" spans="2:2" x14ac:dyDescent="0.3">
      <c r="B9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2" spans="2:2" x14ac:dyDescent="0.3">
      <c r="B9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3" spans="2:2" x14ac:dyDescent="0.3">
      <c r="B9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4" spans="2:2" x14ac:dyDescent="0.3">
      <c r="B9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5" spans="2:2" x14ac:dyDescent="0.3">
      <c r="B9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6" spans="2:2" x14ac:dyDescent="0.3">
      <c r="B9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7" spans="2:2" x14ac:dyDescent="0.3">
      <c r="B9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8" spans="2:2" x14ac:dyDescent="0.3">
      <c r="B9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9" spans="2:2" x14ac:dyDescent="0.3">
      <c r="B9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0" spans="2:2" x14ac:dyDescent="0.3">
      <c r="B9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1" spans="2:2" x14ac:dyDescent="0.3">
      <c r="B9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2" spans="2:2" x14ac:dyDescent="0.3">
      <c r="B9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3" spans="2:2" x14ac:dyDescent="0.3">
      <c r="B9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4" spans="2:2" x14ac:dyDescent="0.3">
      <c r="B9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5" spans="2:2" x14ac:dyDescent="0.3">
      <c r="B9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6" spans="2:2" x14ac:dyDescent="0.3">
      <c r="B9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7" spans="2:2" x14ac:dyDescent="0.3">
      <c r="B9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8" spans="2:2" x14ac:dyDescent="0.3">
      <c r="B9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9" spans="2:2" x14ac:dyDescent="0.3">
      <c r="B9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0" spans="2:2" x14ac:dyDescent="0.3">
      <c r="B9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1" spans="2:2" x14ac:dyDescent="0.3">
      <c r="B9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2" spans="2:2" x14ac:dyDescent="0.3">
      <c r="B9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3" spans="2:2" x14ac:dyDescent="0.3">
      <c r="B9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4" spans="2:2" x14ac:dyDescent="0.3">
      <c r="B9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5" spans="2:2" x14ac:dyDescent="0.3">
      <c r="B9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6" spans="2:2" x14ac:dyDescent="0.3">
      <c r="B9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7" spans="2:2" x14ac:dyDescent="0.3">
      <c r="B9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8" spans="2:2" x14ac:dyDescent="0.3">
      <c r="B9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9" spans="2:2" x14ac:dyDescent="0.3">
      <c r="B9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0" spans="2:2" x14ac:dyDescent="0.3">
      <c r="B10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1" spans="2:2" x14ac:dyDescent="0.3">
      <c r="B10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2" spans="2:2" x14ac:dyDescent="0.3">
      <c r="B10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3" spans="2:2" x14ac:dyDescent="0.3">
      <c r="B10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4" spans="2:2" x14ac:dyDescent="0.3">
      <c r="B10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5" spans="2:2" x14ac:dyDescent="0.3">
      <c r="B10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6" spans="2:2" x14ac:dyDescent="0.3">
      <c r="B10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7" spans="2:2" x14ac:dyDescent="0.3">
      <c r="B10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8" spans="2:2" x14ac:dyDescent="0.3">
      <c r="B10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9" spans="2:2" x14ac:dyDescent="0.3">
      <c r="B10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0" spans="2:2" x14ac:dyDescent="0.3">
      <c r="B10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1" spans="2:2" x14ac:dyDescent="0.3">
      <c r="B10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2" spans="2:2" x14ac:dyDescent="0.3">
      <c r="B10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3" spans="2:2" x14ac:dyDescent="0.3">
      <c r="B10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4" spans="2:2" x14ac:dyDescent="0.3">
      <c r="B10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5" spans="2:2" x14ac:dyDescent="0.3">
      <c r="B10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6" spans="2:2" x14ac:dyDescent="0.3">
      <c r="B10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7" spans="2:2" x14ac:dyDescent="0.3">
      <c r="B10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8" spans="2:2" x14ac:dyDescent="0.3">
      <c r="B10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9" spans="2:2" x14ac:dyDescent="0.3">
      <c r="B10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0" spans="2:2" x14ac:dyDescent="0.3">
      <c r="B10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1" spans="2:2" x14ac:dyDescent="0.3">
      <c r="B10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2" spans="2:2" x14ac:dyDescent="0.3">
      <c r="B10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3" spans="2:2" x14ac:dyDescent="0.3">
      <c r="B10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4" spans="2:2" x14ac:dyDescent="0.3">
      <c r="B10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5" spans="2:2" x14ac:dyDescent="0.3">
      <c r="B10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6" spans="2:2" x14ac:dyDescent="0.3">
      <c r="B10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7" spans="2:2" x14ac:dyDescent="0.3">
      <c r="B10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8" spans="2:2" x14ac:dyDescent="0.3">
      <c r="B10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9" spans="2:2" x14ac:dyDescent="0.3">
      <c r="B10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0" spans="2:2" x14ac:dyDescent="0.3">
      <c r="B10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1" spans="2:2" x14ac:dyDescent="0.3">
      <c r="B10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2" spans="2:2" x14ac:dyDescent="0.3">
      <c r="B10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3" spans="2:2" x14ac:dyDescent="0.3">
      <c r="B10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4" spans="2:2" x14ac:dyDescent="0.3">
      <c r="B10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5" spans="2:2" x14ac:dyDescent="0.3">
      <c r="B10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6" spans="2:2" x14ac:dyDescent="0.3">
      <c r="B10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7" spans="2:2" x14ac:dyDescent="0.3">
      <c r="B10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8" spans="2:2" x14ac:dyDescent="0.3">
      <c r="B10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9" spans="2:2" x14ac:dyDescent="0.3">
      <c r="B10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0" spans="2:2" x14ac:dyDescent="0.3">
      <c r="B10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1" spans="2:2" x14ac:dyDescent="0.3">
      <c r="B10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2" spans="2:2" x14ac:dyDescent="0.3">
      <c r="B10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3" spans="2:2" x14ac:dyDescent="0.3">
      <c r="B10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4" spans="2:2" x14ac:dyDescent="0.3">
      <c r="B10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5" spans="2:2" x14ac:dyDescent="0.3">
      <c r="B10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6" spans="2:2" x14ac:dyDescent="0.3">
      <c r="B10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7" spans="2:2" x14ac:dyDescent="0.3">
      <c r="B10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8" spans="2:2" x14ac:dyDescent="0.3">
      <c r="B10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9" spans="2:2" x14ac:dyDescent="0.3">
      <c r="B10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0" spans="2:2" x14ac:dyDescent="0.3">
      <c r="B10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1" spans="2:2" x14ac:dyDescent="0.3">
      <c r="B10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2" spans="2:2" x14ac:dyDescent="0.3">
      <c r="B10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3" spans="2:2" x14ac:dyDescent="0.3">
      <c r="B10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4" spans="2:2" x14ac:dyDescent="0.3">
      <c r="B10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5" spans="2:2" x14ac:dyDescent="0.3">
      <c r="B10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6" spans="2:2" x14ac:dyDescent="0.3">
      <c r="B10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7" spans="2:2" x14ac:dyDescent="0.3">
      <c r="B10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8" spans="2:2" x14ac:dyDescent="0.3">
      <c r="B10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9" spans="2:2" x14ac:dyDescent="0.3">
      <c r="B10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0" spans="2:2" x14ac:dyDescent="0.3">
      <c r="B10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1" spans="2:2" x14ac:dyDescent="0.3">
      <c r="B10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2" spans="2:2" x14ac:dyDescent="0.3">
      <c r="B10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3" spans="2:2" x14ac:dyDescent="0.3">
      <c r="B10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4" spans="2:2" x14ac:dyDescent="0.3">
      <c r="B10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5" spans="2:2" x14ac:dyDescent="0.3">
      <c r="B10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6" spans="2:2" x14ac:dyDescent="0.3">
      <c r="B10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7" spans="2:2" x14ac:dyDescent="0.3">
      <c r="B10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8" spans="2:2" x14ac:dyDescent="0.3">
      <c r="B10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9" spans="2:2" x14ac:dyDescent="0.3">
      <c r="B10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0" spans="2:2" x14ac:dyDescent="0.3">
      <c r="B10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1" spans="2:2" x14ac:dyDescent="0.3">
      <c r="B10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2" spans="2:2" x14ac:dyDescent="0.3">
      <c r="B10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3" spans="2:2" x14ac:dyDescent="0.3">
      <c r="B10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4" spans="2:2" x14ac:dyDescent="0.3">
      <c r="B10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5" spans="2:2" x14ac:dyDescent="0.3">
      <c r="B10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6" spans="2:2" x14ac:dyDescent="0.3">
      <c r="B10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7" spans="2:2" x14ac:dyDescent="0.3">
      <c r="B10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8" spans="2:2" x14ac:dyDescent="0.3">
      <c r="B10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9" spans="2:2" x14ac:dyDescent="0.3">
      <c r="B10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0" spans="2:2" x14ac:dyDescent="0.3">
      <c r="B10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1" spans="2:2" x14ac:dyDescent="0.3">
      <c r="B10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2" spans="2:2" x14ac:dyDescent="0.3">
      <c r="B10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3" spans="2:2" x14ac:dyDescent="0.3">
      <c r="B10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4" spans="2:2" x14ac:dyDescent="0.3">
      <c r="B10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5" spans="2:2" x14ac:dyDescent="0.3">
      <c r="B10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6" spans="2:2" x14ac:dyDescent="0.3">
      <c r="B10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7" spans="2:2" x14ac:dyDescent="0.3">
      <c r="B10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8" spans="2:2" x14ac:dyDescent="0.3">
      <c r="B10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9" spans="2:2" x14ac:dyDescent="0.3">
      <c r="B10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0" spans="2:2" x14ac:dyDescent="0.3">
      <c r="B10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1" spans="2:2" x14ac:dyDescent="0.3">
      <c r="B10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2" spans="2:2" x14ac:dyDescent="0.3">
      <c r="B10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3" spans="2:2" x14ac:dyDescent="0.3">
      <c r="B10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4" spans="2:2" x14ac:dyDescent="0.3">
      <c r="B10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5" spans="2:2" x14ac:dyDescent="0.3">
      <c r="B10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6" spans="2:2" x14ac:dyDescent="0.3">
      <c r="B10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7" spans="2:2" x14ac:dyDescent="0.3">
      <c r="B10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8" spans="2:2" x14ac:dyDescent="0.3">
      <c r="B10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9" spans="2:2" x14ac:dyDescent="0.3">
      <c r="B10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0" spans="2:2" x14ac:dyDescent="0.3">
      <c r="B11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1" spans="2:2" x14ac:dyDescent="0.3">
      <c r="B11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2" spans="2:2" x14ac:dyDescent="0.3">
      <c r="B11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3" spans="2:2" x14ac:dyDescent="0.3">
      <c r="B11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4" spans="2:2" x14ac:dyDescent="0.3">
      <c r="B11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5" spans="2:2" x14ac:dyDescent="0.3">
      <c r="B11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6" spans="2:2" x14ac:dyDescent="0.3">
      <c r="B11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7" spans="2:2" x14ac:dyDescent="0.3">
      <c r="B11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8" spans="2:2" x14ac:dyDescent="0.3">
      <c r="B11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9" spans="2:2" x14ac:dyDescent="0.3">
      <c r="B11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0" spans="2:2" x14ac:dyDescent="0.3">
      <c r="B11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1" spans="2:2" x14ac:dyDescent="0.3">
      <c r="B11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2" spans="2:2" x14ac:dyDescent="0.3">
      <c r="B11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3" spans="2:2" x14ac:dyDescent="0.3">
      <c r="B11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4" spans="2:2" x14ac:dyDescent="0.3">
      <c r="B11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5" spans="2:2" x14ac:dyDescent="0.3">
      <c r="B11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6" spans="2:2" x14ac:dyDescent="0.3">
      <c r="B11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7" spans="2:2" x14ac:dyDescent="0.3">
      <c r="B11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8" spans="2:2" x14ac:dyDescent="0.3">
      <c r="B11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9" spans="2:2" x14ac:dyDescent="0.3">
      <c r="B11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0" spans="2:2" x14ac:dyDescent="0.3">
      <c r="B11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1" spans="2:2" x14ac:dyDescent="0.3">
      <c r="B11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2" spans="2:2" x14ac:dyDescent="0.3">
      <c r="B11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3" spans="2:2" x14ac:dyDescent="0.3">
      <c r="B11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4" spans="2:2" x14ac:dyDescent="0.3">
      <c r="B11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5" spans="2:2" x14ac:dyDescent="0.3">
      <c r="B11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6" spans="2:2" x14ac:dyDescent="0.3">
      <c r="B11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7" spans="2:2" x14ac:dyDescent="0.3">
      <c r="B11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8" spans="2:2" x14ac:dyDescent="0.3">
      <c r="B11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9" spans="2:2" x14ac:dyDescent="0.3">
      <c r="B11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0" spans="2:2" x14ac:dyDescent="0.3">
      <c r="B11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1" spans="2:2" x14ac:dyDescent="0.3">
      <c r="B11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2" spans="2:2" x14ac:dyDescent="0.3">
      <c r="B11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3" spans="2:2" x14ac:dyDescent="0.3">
      <c r="B11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4" spans="2:2" x14ac:dyDescent="0.3">
      <c r="B11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5" spans="2:2" x14ac:dyDescent="0.3">
      <c r="B11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6" spans="2:2" x14ac:dyDescent="0.3">
      <c r="B11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7" spans="2:2" x14ac:dyDescent="0.3">
      <c r="B11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8" spans="2:2" x14ac:dyDescent="0.3">
      <c r="B11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9" spans="2:2" x14ac:dyDescent="0.3">
      <c r="B11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0" spans="2:2" x14ac:dyDescent="0.3">
      <c r="B11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1" spans="2:2" x14ac:dyDescent="0.3">
      <c r="B11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2" spans="2:2" x14ac:dyDescent="0.3">
      <c r="B11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3" spans="2:2" x14ac:dyDescent="0.3">
      <c r="B11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4" spans="2:2" x14ac:dyDescent="0.3">
      <c r="B11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5" spans="2:2" x14ac:dyDescent="0.3">
      <c r="B11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6" spans="2:2" x14ac:dyDescent="0.3">
      <c r="B11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7" spans="2:2" x14ac:dyDescent="0.3">
      <c r="B11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8" spans="2:2" x14ac:dyDescent="0.3">
      <c r="B11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9" spans="2:2" x14ac:dyDescent="0.3">
      <c r="B11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0" spans="2:2" x14ac:dyDescent="0.3">
      <c r="B11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1" spans="2:2" x14ac:dyDescent="0.3">
      <c r="B11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2" spans="2:2" x14ac:dyDescent="0.3">
      <c r="B11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3" spans="2:2" x14ac:dyDescent="0.3">
      <c r="B11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4" spans="2:2" x14ac:dyDescent="0.3">
      <c r="B11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5" spans="2:2" x14ac:dyDescent="0.3">
      <c r="B11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6" spans="2:2" x14ac:dyDescent="0.3">
      <c r="B11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7" spans="2:2" x14ac:dyDescent="0.3">
      <c r="B11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8" spans="2:2" x14ac:dyDescent="0.3">
      <c r="B11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9" spans="2:2" x14ac:dyDescent="0.3">
      <c r="B11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0" spans="2:2" x14ac:dyDescent="0.3">
      <c r="B11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1" spans="2:2" x14ac:dyDescent="0.3">
      <c r="B11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2" spans="2:2" x14ac:dyDescent="0.3">
      <c r="B11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3" spans="2:2" x14ac:dyDescent="0.3">
      <c r="B11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4" spans="2:2" x14ac:dyDescent="0.3">
      <c r="B11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5" spans="2:2" x14ac:dyDescent="0.3">
      <c r="B11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6" spans="2:2" x14ac:dyDescent="0.3">
      <c r="B11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7" spans="2:2" x14ac:dyDescent="0.3">
      <c r="B11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8" spans="2:2" x14ac:dyDescent="0.3">
      <c r="B11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9" spans="2:2" x14ac:dyDescent="0.3">
      <c r="B11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0" spans="2:2" x14ac:dyDescent="0.3">
      <c r="B11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1" spans="2:2" x14ac:dyDescent="0.3">
      <c r="B11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2" spans="2:2" x14ac:dyDescent="0.3">
      <c r="B11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3" spans="2:2" x14ac:dyDescent="0.3">
      <c r="B11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4" spans="2:2" x14ac:dyDescent="0.3">
      <c r="B11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5" spans="2:2" x14ac:dyDescent="0.3">
      <c r="B11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6" spans="2:2" x14ac:dyDescent="0.3">
      <c r="B11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7" spans="2:2" x14ac:dyDescent="0.3">
      <c r="B11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8" spans="2:2" x14ac:dyDescent="0.3">
      <c r="B11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9" spans="2:2" x14ac:dyDescent="0.3">
      <c r="B11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0" spans="2:2" x14ac:dyDescent="0.3">
      <c r="B11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1" spans="2:2" x14ac:dyDescent="0.3">
      <c r="B11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2" spans="2:2" x14ac:dyDescent="0.3">
      <c r="B11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3" spans="2:2" x14ac:dyDescent="0.3">
      <c r="B11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4" spans="2:2" x14ac:dyDescent="0.3">
      <c r="B11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5" spans="2:2" x14ac:dyDescent="0.3">
      <c r="B11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6" spans="2:2" x14ac:dyDescent="0.3">
      <c r="B11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7" spans="2:2" x14ac:dyDescent="0.3">
      <c r="B11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8" spans="2:2" x14ac:dyDescent="0.3">
      <c r="B11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9" spans="2:2" x14ac:dyDescent="0.3">
      <c r="B11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0" spans="2:2" x14ac:dyDescent="0.3">
      <c r="B11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1" spans="2:2" x14ac:dyDescent="0.3">
      <c r="B11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2" spans="2:2" x14ac:dyDescent="0.3">
      <c r="B11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3" spans="2:2" x14ac:dyDescent="0.3">
      <c r="B11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4" spans="2:2" x14ac:dyDescent="0.3">
      <c r="B11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5" spans="2:2" x14ac:dyDescent="0.3">
      <c r="B11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6" spans="2:2" x14ac:dyDescent="0.3">
      <c r="B11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7" spans="2:2" x14ac:dyDescent="0.3">
      <c r="B11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8" spans="2:2" x14ac:dyDescent="0.3">
      <c r="B11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9" spans="2:2" x14ac:dyDescent="0.3">
      <c r="B11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0" spans="2:2" x14ac:dyDescent="0.3">
      <c r="B12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1" spans="2:2" x14ac:dyDescent="0.3">
      <c r="B12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2" spans="2:2" x14ac:dyDescent="0.3">
      <c r="B12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3" spans="2:2" x14ac:dyDescent="0.3">
      <c r="B12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4" spans="2:2" x14ac:dyDescent="0.3">
      <c r="B12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5" spans="2:2" x14ac:dyDescent="0.3">
      <c r="B12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6" spans="2:2" x14ac:dyDescent="0.3">
      <c r="B12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7" spans="2:2" x14ac:dyDescent="0.3">
      <c r="B12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8" spans="2:2" x14ac:dyDescent="0.3">
      <c r="B12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9" spans="2:2" x14ac:dyDescent="0.3">
      <c r="B12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0" spans="2:2" x14ac:dyDescent="0.3">
      <c r="B12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1" spans="2:2" x14ac:dyDescent="0.3">
      <c r="B12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2" spans="2:2" x14ac:dyDescent="0.3">
      <c r="B12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3" spans="2:2" x14ac:dyDescent="0.3">
      <c r="B12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4" spans="2:2" x14ac:dyDescent="0.3">
      <c r="B12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5" spans="2:2" x14ac:dyDescent="0.3">
      <c r="B12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6" spans="2:2" x14ac:dyDescent="0.3">
      <c r="B12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7" spans="2:2" x14ac:dyDescent="0.3">
      <c r="B12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8" spans="2:2" x14ac:dyDescent="0.3">
      <c r="B12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9" spans="2:2" x14ac:dyDescent="0.3">
      <c r="B12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0" spans="2:2" x14ac:dyDescent="0.3">
      <c r="B12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1" spans="2:2" x14ac:dyDescent="0.3">
      <c r="B12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2" spans="2:2" x14ac:dyDescent="0.3">
      <c r="B12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3" spans="2:2" x14ac:dyDescent="0.3">
      <c r="B12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4" spans="2:2" x14ac:dyDescent="0.3">
      <c r="B12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5" spans="2:2" x14ac:dyDescent="0.3">
      <c r="B12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6" spans="2:2" x14ac:dyDescent="0.3">
      <c r="B12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7" spans="2:2" x14ac:dyDescent="0.3">
      <c r="B12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8" spans="2:2" x14ac:dyDescent="0.3">
      <c r="B12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9" spans="2:2" x14ac:dyDescent="0.3">
      <c r="B12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0" spans="2:2" x14ac:dyDescent="0.3">
      <c r="B12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1" spans="2:2" x14ac:dyDescent="0.3">
      <c r="B12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2" spans="2:2" x14ac:dyDescent="0.3">
      <c r="B12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3" spans="2:2" x14ac:dyDescent="0.3">
      <c r="B12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4" spans="2:2" x14ac:dyDescent="0.3">
      <c r="B12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5" spans="2:2" x14ac:dyDescent="0.3">
      <c r="B12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6" spans="2:2" x14ac:dyDescent="0.3">
      <c r="B12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7" spans="2:2" x14ac:dyDescent="0.3">
      <c r="B12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8" spans="2:2" x14ac:dyDescent="0.3">
      <c r="B12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9" spans="2:2" x14ac:dyDescent="0.3">
      <c r="B12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0" spans="2:2" x14ac:dyDescent="0.3">
      <c r="B12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1" spans="2:2" x14ac:dyDescent="0.3">
      <c r="B12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2" spans="2:2" x14ac:dyDescent="0.3">
      <c r="B12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3" spans="2:2" x14ac:dyDescent="0.3">
      <c r="B12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4" spans="2:2" x14ac:dyDescent="0.3">
      <c r="B12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5" spans="2:2" x14ac:dyDescent="0.3">
      <c r="B12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6" spans="2:2" x14ac:dyDescent="0.3">
      <c r="B12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7" spans="2:2" x14ac:dyDescent="0.3">
      <c r="B12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8" spans="2:2" x14ac:dyDescent="0.3">
      <c r="B12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9" spans="2:2" x14ac:dyDescent="0.3">
      <c r="B12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0" spans="2:2" x14ac:dyDescent="0.3">
      <c r="B12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1" spans="2:2" x14ac:dyDescent="0.3">
      <c r="B12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2" spans="2:2" x14ac:dyDescent="0.3">
      <c r="B12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3" spans="2:2" x14ac:dyDescent="0.3">
      <c r="B12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4" spans="2:2" x14ac:dyDescent="0.3">
      <c r="B12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5" spans="2:2" x14ac:dyDescent="0.3">
      <c r="B12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6" spans="2:2" x14ac:dyDescent="0.3">
      <c r="B12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7" spans="2:2" x14ac:dyDescent="0.3">
      <c r="B12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8" spans="2:2" x14ac:dyDescent="0.3">
      <c r="B12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9" spans="2:2" x14ac:dyDescent="0.3">
      <c r="B12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0" spans="2:2" x14ac:dyDescent="0.3">
      <c r="B12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1" spans="2:2" x14ac:dyDescent="0.3">
      <c r="B12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2" spans="2:2" x14ac:dyDescent="0.3">
      <c r="B12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3" spans="2:2" x14ac:dyDescent="0.3">
      <c r="B12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4" spans="2:2" x14ac:dyDescent="0.3">
      <c r="B12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5" spans="2:2" x14ac:dyDescent="0.3">
      <c r="B12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6" spans="2:2" x14ac:dyDescent="0.3">
      <c r="B12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7" spans="2:2" x14ac:dyDescent="0.3">
      <c r="B12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8" spans="2:2" x14ac:dyDescent="0.3">
      <c r="B12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9" spans="2:2" x14ac:dyDescent="0.3">
      <c r="B12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0" spans="2:2" x14ac:dyDescent="0.3">
      <c r="B12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1" spans="2:2" x14ac:dyDescent="0.3">
      <c r="B12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2" spans="2:2" x14ac:dyDescent="0.3">
      <c r="B12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3" spans="2:2" x14ac:dyDescent="0.3">
      <c r="B12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4" spans="2:2" x14ac:dyDescent="0.3">
      <c r="B12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5" spans="2:2" x14ac:dyDescent="0.3">
      <c r="B12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6" spans="2:2" x14ac:dyDescent="0.3">
      <c r="B12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7" spans="2:2" x14ac:dyDescent="0.3">
      <c r="B12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8" spans="2:2" x14ac:dyDescent="0.3">
      <c r="B12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9" spans="2:2" x14ac:dyDescent="0.3">
      <c r="B12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0" spans="2:2" x14ac:dyDescent="0.3">
      <c r="B12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1" spans="2:2" x14ac:dyDescent="0.3">
      <c r="B12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2" spans="2:2" x14ac:dyDescent="0.3">
      <c r="B12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3" spans="2:2" x14ac:dyDescent="0.3">
      <c r="B12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4" spans="2:2" x14ac:dyDescent="0.3">
      <c r="B12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5" spans="2:2" x14ac:dyDescent="0.3">
      <c r="B12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6" spans="2:2" x14ac:dyDescent="0.3">
      <c r="B12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7" spans="2:2" x14ac:dyDescent="0.3">
      <c r="B12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8" spans="2:2" x14ac:dyDescent="0.3">
      <c r="B12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9" spans="2:2" x14ac:dyDescent="0.3">
      <c r="B12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0" spans="2:2" x14ac:dyDescent="0.3">
      <c r="B12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1" spans="2:2" x14ac:dyDescent="0.3">
      <c r="B12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2" spans="2:2" x14ac:dyDescent="0.3">
      <c r="B12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3" spans="2:2" x14ac:dyDescent="0.3">
      <c r="B12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4" spans="2:2" x14ac:dyDescent="0.3">
      <c r="B12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5" spans="2:2" x14ac:dyDescent="0.3">
      <c r="B12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6" spans="2:2" x14ac:dyDescent="0.3">
      <c r="B12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7" spans="2:2" x14ac:dyDescent="0.3">
      <c r="B12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8" spans="2:2" x14ac:dyDescent="0.3">
      <c r="B12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9" spans="2:2" x14ac:dyDescent="0.3">
      <c r="B12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0" spans="2:2" x14ac:dyDescent="0.3">
      <c r="B13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1" spans="2:2" x14ac:dyDescent="0.3">
      <c r="B13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2" spans="2:2" x14ac:dyDescent="0.3">
      <c r="B13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3" spans="2:2" x14ac:dyDescent="0.3">
      <c r="B13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4" spans="2:2" x14ac:dyDescent="0.3">
      <c r="B13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5" spans="2:2" x14ac:dyDescent="0.3">
      <c r="B13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6" spans="2:2" x14ac:dyDescent="0.3">
      <c r="B13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7" spans="2:2" x14ac:dyDescent="0.3">
      <c r="B13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8" spans="2:2" x14ac:dyDescent="0.3">
      <c r="B13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9" spans="2:2" x14ac:dyDescent="0.3">
      <c r="B13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0" spans="2:2" x14ac:dyDescent="0.3">
      <c r="B13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1" spans="2:2" x14ac:dyDescent="0.3">
      <c r="B13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2" spans="2:2" x14ac:dyDescent="0.3">
      <c r="B13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3" spans="2:2" x14ac:dyDescent="0.3">
      <c r="B13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4" spans="2:2" x14ac:dyDescent="0.3">
      <c r="B13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5" spans="2:2" x14ac:dyDescent="0.3">
      <c r="B13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6" spans="2:2" x14ac:dyDescent="0.3">
      <c r="B13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7" spans="2:2" x14ac:dyDescent="0.3">
      <c r="B13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8" spans="2:2" x14ac:dyDescent="0.3">
      <c r="B13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9" spans="2:2" x14ac:dyDescent="0.3">
      <c r="B13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0" spans="2:2" x14ac:dyDescent="0.3">
      <c r="B13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1" spans="2:2" x14ac:dyDescent="0.3">
      <c r="B13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2" spans="2:2" x14ac:dyDescent="0.3">
      <c r="B13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3" spans="2:2" x14ac:dyDescent="0.3">
      <c r="B13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4" spans="2:2" x14ac:dyDescent="0.3">
      <c r="B13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5" spans="2:2" x14ac:dyDescent="0.3">
      <c r="B13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6" spans="2:2" x14ac:dyDescent="0.3">
      <c r="B13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7" spans="2:2" x14ac:dyDescent="0.3">
      <c r="B13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8" spans="2:2" x14ac:dyDescent="0.3">
      <c r="B13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9" spans="2:2" x14ac:dyDescent="0.3">
      <c r="B13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0" spans="2:2" x14ac:dyDescent="0.3">
      <c r="B13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1" spans="2:2" x14ac:dyDescent="0.3">
      <c r="B13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2" spans="2:2" x14ac:dyDescent="0.3">
      <c r="B13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3" spans="2:2" x14ac:dyDescent="0.3">
      <c r="B13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4" spans="2:2" x14ac:dyDescent="0.3">
      <c r="B13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5" spans="2:2" x14ac:dyDescent="0.3">
      <c r="B13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6" spans="2:2" x14ac:dyDescent="0.3">
      <c r="B13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7" spans="2:2" x14ac:dyDescent="0.3">
      <c r="B13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8" spans="2:2" x14ac:dyDescent="0.3">
      <c r="B13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9" spans="2:2" x14ac:dyDescent="0.3">
      <c r="B13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0" spans="2:2" x14ac:dyDescent="0.3">
      <c r="B13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1" spans="2:2" x14ac:dyDescent="0.3">
      <c r="B13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2" spans="2:2" x14ac:dyDescent="0.3">
      <c r="B13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3" spans="2:2" x14ac:dyDescent="0.3">
      <c r="B13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4" spans="2:2" x14ac:dyDescent="0.3">
      <c r="B13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5" spans="2:2" x14ac:dyDescent="0.3">
      <c r="B13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6" spans="2:2" x14ac:dyDescent="0.3">
      <c r="B13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7" spans="2:2" x14ac:dyDescent="0.3">
      <c r="B13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8" spans="2:2" x14ac:dyDescent="0.3">
      <c r="B13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9" spans="2:2" x14ac:dyDescent="0.3">
      <c r="B13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0" spans="2:2" x14ac:dyDescent="0.3">
      <c r="B13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1" spans="2:2" x14ac:dyDescent="0.3">
      <c r="B13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2" spans="2:2" x14ac:dyDescent="0.3">
      <c r="B13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3" spans="2:2" x14ac:dyDescent="0.3">
      <c r="B13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4" spans="2:2" x14ac:dyDescent="0.3">
      <c r="B13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5" spans="2:2" x14ac:dyDescent="0.3">
      <c r="B13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6" spans="2:2" x14ac:dyDescent="0.3">
      <c r="B13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7" spans="2:2" x14ac:dyDescent="0.3">
      <c r="B13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8" spans="2:2" x14ac:dyDescent="0.3">
      <c r="B13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9" spans="2:2" x14ac:dyDescent="0.3">
      <c r="B13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0" spans="2:2" x14ac:dyDescent="0.3">
      <c r="B13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1" spans="2:2" x14ac:dyDescent="0.3">
      <c r="B13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2" spans="2:2" x14ac:dyDescent="0.3">
      <c r="B13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3" spans="2:2" x14ac:dyDescent="0.3">
      <c r="B13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4" spans="2:2" x14ac:dyDescent="0.3">
      <c r="B13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5" spans="2:2" x14ac:dyDescent="0.3">
      <c r="B13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6" spans="2:2" x14ac:dyDescent="0.3">
      <c r="B13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7" spans="2:2" x14ac:dyDescent="0.3">
      <c r="B13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8" spans="2:2" x14ac:dyDescent="0.3">
      <c r="B13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9" spans="2:2" x14ac:dyDescent="0.3">
      <c r="B13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0" spans="2:2" x14ac:dyDescent="0.3">
      <c r="B13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1" spans="2:2" x14ac:dyDescent="0.3">
      <c r="B13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2" spans="2:2" x14ac:dyDescent="0.3">
      <c r="B13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3" spans="2:2" x14ac:dyDescent="0.3">
      <c r="B13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4" spans="2:2" x14ac:dyDescent="0.3">
      <c r="B13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5" spans="2:2" x14ac:dyDescent="0.3">
      <c r="B13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6" spans="2:2" x14ac:dyDescent="0.3">
      <c r="B13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7" spans="2:2" x14ac:dyDescent="0.3">
      <c r="B13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8" spans="2:2" x14ac:dyDescent="0.3">
      <c r="B13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9" spans="2:2" x14ac:dyDescent="0.3">
      <c r="B13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0" spans="2:2" x14ac:dyDescent="0.3">
      <c r="B13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1" spans="2:2" x14ac:dyDescent="0.3">
      <c r="B13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2" spans="2:2" x14ac:dyDescent="0.3">
      <c r="B13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3" spans="2:2" x14ac:dyDescent="0.3">
      <c r="B13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4" spans="2:2" x14ac:dyDescent="0.3">
      <c r="B13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5" spans="2:2" x14ac:dyDescent="0.3">
      <c r="B13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6" spans="2:2" x14ac:dyDescent="0.3">
      <c r="B13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7" spans="2:2" x14ac:dyDescent="0.3">
      <c r="B13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8" spans="2:2" x14ac:dyDescent="0.3">
      <c r="B13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9" spans="2:2" x14ac:dyDescent="0.3">
      <c r="B13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0" spans="2:2" x14ac:dyDescent="0.3">
      <c r="B13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1" spans="2:2" x14ac:dyDescent="0.3">
      <c r="B13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2" spans="2:2" x14ac:dyDescent="0.3">
      <c r="B13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3" spans="2:2" x14ac:dyDescent="0.3">
      <c r="B13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4" spans="2:2" x14ac:dyDescent="0.3">
      <c r="B13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5" spans="2:2" x14ac:dyDescent="0.3">
      <c r="B13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6" spans="2:2" x14ac:dyDescent="0.3">
      <c r="B13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7" spans="2:2" x14ac:dyDescent="0.3">
      <c r="B13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8" spans="2:2" x14ac:dyDescent="0.3">
      <c r="B13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9" spans="2:2" x14ac:dyDescent="0.3">
      <c r="B13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0" spans="2:2" x14ac:dyDescent="0.3">
      <c r="B14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1" spans="2:2" x14ac:dyDescent="0.3">
      <c r="B14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2" spans="2:2" x14ac:dyDescent="0.3">
      <c r="B14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3" spans="2:2" x14ac:dyDescent="0.3">
      <c r="B14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4" spans="2:2" x14ac:dyDescent="0.3">
      <c r="B14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5" spans="2:2" x14ac:dyDescent="0.3">
      <c r="B14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6" spans="2:2" x14ac:dyDescent="0.3">
      <c r="B14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7" spans="2:2" x14ac:dyDescent="0.3">
      <c r="B14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8" spans="2:2" x14ac:dyDescent="0.3">
      <c r="B14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9" spans="2:2" x14ac:dyDescent="0.3">
      <c r="B14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0" spans="2:2" x14ac:dyDescent="0.3">
      <c r="B14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1" spans="2:2" x14ac:dyDescent="0.3">
      <c r="B14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2" spans="2:2" x14ac:dyDescent="0.3">
      <c r="B14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3" spans="2:2" x14ac:dyDescent="0.3">
      <c r="B14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4" spans="2:2" x14ac:dyDescent="0.3">
      <c r="B14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5" spans="2:2" x14ac:dyDescent="0.3">
      <c r="B14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6" spans="2:2" x14ac:dyDescent="0.3">
      <c r="B14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7" spans="2:2" x14ac:dyDescent="0.3">
      <c r="B14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8" spans="2:2" x14ac:dyDescent="0.3">
      <c r="B14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9" spans="2:2" x14ac:dyDescent="0.3">
      <c r="B14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0" spans="2:2" x14ac:dyDescent="0.3">
      <c r="B14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1" spans="2:2" x14ac:dyDescent="0.3">
      <c r="B14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2" spans="2:2" x14ac:dyDescent="0.3">
      <c r="B14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3" spans="2:2" x14ac:dyDescent="0.3">
      <c r="B14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4" spans="2:2" x14ac:dyDescent="0.3">
      <c r="B14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5" spans="2:2" x14ac:dyDescent="0.3">
      <c r="B14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6" spans="2:2" x14ac:dyDescent="0.3">
      <c r="B14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7" spans="2:2" x14ac:dyDescent="0.3">
      <c r="B14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8" spans="2:2" x14ac:dyDescent="0.3">
      <c r="B14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9" spans="2:2" x14ac:dyDescent="0.3">
      <c r="B14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0" spans="2:2" x14ac:dyDescent="0.3">
      <c r="B14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1" spans="2:2" x14ac:dyDescent="0.3">
      <c r="B14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2" spans="2:2" x14ac:dyDescent="0.3">
      <c r="B14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3" spans="2:2" x14ac:dyDescent="0.3">
      <c r="B14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4" spans="2:2" x14ac:dyDescent="0.3">
      <c r="B14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5" spans="2:2" x14ac:dyDescent="0.3">
      <c r="B14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6" spans="2:2" x14ac:dyDescent="0.3">
      <c r="B14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7" spans="2:2" x14ac:dyDescent="0.3">
      <c r="B14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8" spans="2:2" x14ac:dyDescent="0.3">
      <c r="B14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9" spans="2:2" x14ac:dyDescent="0.3">
      <c r="B14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0" spans="2:2" x14ac:dyDescent="0.3">
      <c r="B14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1" spans="2:2" x14ac:dyDescent="0.3">
      <c r="B14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2" spans="2:2" x14ac:dyDescent="0.3">
      <c r="B14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3" spans="2:2" x14ac:dyDescent="0.3">
      <c r="B14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4" spans="2:2" x14ac:dyDescent="0.3">
      <c r="B14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5" spans="2:2" x14ac:dyDescent="0.3">
      <c r="B14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6" spans="2:2" x14ac:dyDescent="0.3">
      <c r="B14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7" spans="2:2" x14ac:dyDescent="0.3">
      <c r="B14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8" spans="2:2" x14ac:dyDescent="0.3">
      <c r="B14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9" spans="2:2" x14ac:dyDescent="0.3">
      <c r="B14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0" spans="2:2" x14ac:dyDescent="0.3">
      <c r="B14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1" spans="2:2" x14ac:dyDescent="0.3">
      <c r="B14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2" spans="2:2" x14ac:dyDescent="0.3">
      <c r="B14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3" spans="2:2" x14ac:dyDescent="0.3">
      <c r="B14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4" spans="2:2" x14ac:dyDescent="0.3">
      <c r="B14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5" spans="2:2" x14ac:dyDescent="0.3">
      <c r="B14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6" spans="2:2" x14ac:dyDescent="0.3">
      <c r="B14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7" spans="2:2" x14ac:dyDescent="0.3">
      <c r="B14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8" spans="2:2" x14ac:dyDescent="0.3">
      <c r="B14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9" spans="2:2" x14ac:dyDescent="0.3">
      <c r="B14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0" spans="2:2" x14ac:dyDescent="0.3">
      <c r="B14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1" spans="2:2" x14ac:dyDescent="0.3">
      <c r="B14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2" spans="2:2" x14ac:dyDescent="0.3">
      <c r="B14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3" spans="2:2" x14ac:dyDescent="0.3">
      <c r="B14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4" spans="2:2" x14ac:dyDescent="0.3">
      <c r="B14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5" spans="2:2" x14ac:dyDescent="0.3">
      <c r="B14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6" spans="2:2" x14ac:dyDescent="0.3">
      <c r="B14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7" spans="2:2" x14ac:dyDescent="0.3">
      <c r="B14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8" spans="2:2" x14ac:dyDescent="0.3">
      <c r="B14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9" spans="2:2" x14ac:dyDescent="0.3">
      <c r="B14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0" spans="2:2" x14ac:dyDescent="0.3">
      <c r="B14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1" spans="2:2" x14ac:dyDescent="0.3">
      <c r="B14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2" spans="2:2" x14ac:dyDescent="0.3">
      <c r="B14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3" spans="2:2" x14ac:dyDescent="0.3">
      <c r="B14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4" spans="2:2" x14ac:dyDescent="0.3">
      <c r="B14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5" spans="2:2" x14ac:dyDescent="0.3">
      <c r="B14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6" spans="2:2" x14ac:dyDescent="0.3">
      <c r="B14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7" spans="2:2" x14ac:dyDescent="0.3">
      <c r="B14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8" spans="2:2" x14ac:dyDescent="0.3">
      <c r="B14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9" spans="2:2" x14ac:dyDescent="0.3">
      <c r="B14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0" spans="2:2" x14ac:dyDescent="0.3">
      <c r="B14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1" spans="2:2" x14ac:dyDescent="0.3">
      <c r="B14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2" spans="2:2" x14ac:dyDescent="0.3">
      <c r="B14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3" spans="2:2" x14ac:dyDescent="0.3">
      <c r="B14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4" spans="2:2" x14ac:dyDescent="0.3">
      <c r="B14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5" spans="2:2" x14ac:dyDescent="0.3">
      <c r="B14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6" spans="2:2" x14ac:dyDescent="0.3">
      <c r="B14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7" spans="2:2" x14ac:dyDescent="0.3">
      <c r="B14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8" spans="2:2" x14ac:dyDescent="0.3">
      <c r="B14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9" spans="2:2" x14ac:dyDescent="0.3">
      <c r="B14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0" spans="2:2" x14ac:dyDescent="0.3">
      <c r="B14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1" spans="2:2" x14ac:dyDescent="0.3">
      <c r="B14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2" spans="2:2" x14ac:dyDescent="0.3">
      <c r="B14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3" spans="2:2" x14ac:dyDescent="0.3">
      <c r="B14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4" spans="2:2" x14ac:dyDescent="0.3">
      <c r="B14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5" spans="2:2" x14ac:dyDescent="0.3">
      <c r="B14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6" spans="2:2" x14ac:dyDescent="0.3">
      <c r="B14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7" spans="2:2" x14ac:dyDescent="0.3">
      <c r="B14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8" spans="2:2" x14ac:dyDescent="0.3">
      <c r="B14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9" spans="2:2" x14ac:dyDescent="0.3">
      <c r="B14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0" spans="2:2" x14ac:dyDescent="0.3">
      <c r="B15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1" spans="2:2" x14ac:dyDescent="0.3">
      <c r="B15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2" spans="2:2" x14ac:dyDescent="0.3">
      <c r="B15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3" spans="2:2" x14ac:dyDescent="0.3">
      <c r="B15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4" spans="2:2" x14ac:dyDescent="0.3">
      <c r="B15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5" spans="2:2" x14ac:dyDescent="0.3">
      <c r="B15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6" spans="2:2" x14ac:dyDescent="0.3">
      <c r="B15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7" spans="2:2" x14ac:dyDescent="0.3">
      <c r="B15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8" spans="2:2" x14ac:dyDescent="0.3">
      <c r="B15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9" spans="2:2" x14ac:dyDescent="0.3">
      <c r="B15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0" spans="2:2" x14ac:dyDescent="0.3">
      <c r="B15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1" spans="2:2" x14ac:dyDescent="0.3">
      <c r="B15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2" spans="2:2" x14ac:dyDescent="0.3">
      <c r="B15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3" spans="2:2" x14ac:dyDescent="0.3">
      <c r="B15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4" spans="2:2" x14ac:dyDescent="0.3">
      <c r="B15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5" spans="2:2" x14ac:dyDescent="0.3">
      <c r="B15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6" spans="2:2" x14ac:dyDescent="0.3">
      <c r="B15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7" spans="2:2" x14ac:dyDescent="0.3">
      <c r="B15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8" spans="2:2" x14ac:dyDescent="0.3">
      <c r="B15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9" spans="2:2" x14ac:dyDescent="0.3">
      <c r="B15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0" spans="2:2" x14ac:dyDescent="0.3">
      <c r="B15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1" spans="2:2" x14ac:dyDescent="0.3">
      <c r="B15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2" spans="2:2" x14ac:dyDescent="0.3">
      <c r="B15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3" spans="2:2" x14ac:dyDescent="0.3">
      <c r="B15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4" spans="2:2" x14ac:dyDescent="0.3">
      <c r="B15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5" spans="2:2" x14ac:dyDescent="0.3">
      <c r="B15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6" spans="2:2" x14ac:dyDescent="0.3">
      <c r="B15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7" spans="2:2" x14ac:dyDescent="0.3">
      <c r="B15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8" spans="2:2" x14ac:dyDescent="0.3">
      <c r="B15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9" spans="2:2" x14ac:dyDescent="0.3">
      <c r="B15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0" spans="2:2" x14ac:dyDescent="0.3">
      <c r="B15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1" spans="2:2" x14ac:dyDescent="0.3">
      <c r="B15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2" spans="2:2" x14ac:dyDescent="0.3">
      <c r="B15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3" spans="2:2" x14ac:dyDescent="0.3">
      <c r="B15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4" spans="2:2" x14ac:dyDescent="0.3">
      <c r="B15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5" spans="2:2" x14ac:dyDescent="0.3">
      <c r="B15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6" spans="2:2" x14ac:dyDescent="0.3">
      <c r="B15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7" spans="2:2" x14ac:dyDescent="0.3">
      <c r="B15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8" spans="2:2" x14ac:dyDescent="0.3">
      <c r="B15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9" spans="2:2" x14ac:dyDescent="0.3">
      <c r="B15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0" spans="2:2" x14ac:dyDescent="0.3">
      <c r="B15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1" spans="2:2" x14ac:dyDescent="0.3">
      <c r="B15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2" spans="2:2" x14ac:dyDescent="0.3">
      <c r="B15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3" spans="2:2" x14ac:dyDescent="0.3">
      <c r="B15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4" spans="2:2" x14ac:dyDescent="0.3">
      <c r="B15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5" spans="2:2" x14ac:dyDescent="0.3">
      <c r="B15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6" spans="2:2" x14ac:dyDescent="0.3">
      <c r="B15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7" spans="2:2" x14ac:dyDescent="0.3">
      <c r="B15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8" spans="2:2" x14ac:dyDescent="0.3">
      <c r="B15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9" spans="2:2" x14ac:dyDescent="0.3">
      <c r="B15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0" spans="2:2" x14ac:dyDescent="0.3">
      <c r="B15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1" spans="2:2" x14ac:dyDescent="0.3">
      <c r="B15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2" spans="2:2" x14ac:dyDescent="0.3">
      <c r="B15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3" spans="2:2" x14ac:dyDescent="0.3">
      <c r="B15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4" spans="2:2" x14ac:dyDescent="0.3">
      <c r="B15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5" spans="2:2" x14ac:dyDescent="0.3">
      <c r="B15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6" spans="2:2" x14ac:dyDescent="0.3">
      <c r="B15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7" spans="2:2" x14ac:dyDescent="0.3">
      <c r="B15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8" spans="2:2" x14ac:dyDescent="0.3">
      <c r="B15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9" spans="2:2" x14ac:dyDescent="0.3">
      <c r="B15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0" spans="2:2" x14ac:dyDescent="0.3">
      <c r="B15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1" spans="2:2" x14ac:dyDescent="0.3">
      <c r="B15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2" spans="2:2" x14ac:dyDescent="0.3">
      <c r="B15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3" spans="2:2" x14ac:dyDescent="0.3">
      <c r="B15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4" spans="2:2" x14ac:dyDescent="0.3">
      <c r="B15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5" spans="2:2" x14ac:dyDescent="0.3">
      <c r="B15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6" spans="2:2" x14ac:dyDescent="0.3">
      <c r="B15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7" spans="2:2" x14ac:dyDescent="0.3">
      <c r="B15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8" spans="2:2" x14ac:dyDescent="0.3">
      <c r="B15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9" spans="2:2" x14ac:dyDescent="0.3">
      <c r="B15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0" spans="2:2" x14ac:dyDescent="0.3">
      <c r="B15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1" spans="2:2" x14ac:dyDescent="0.3">
      <c r="B15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2" spans="2:2" x14ac:dyDescent="0.3">
      <c r="B15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3" spans="2:2" x14ac:dyDescent="0.3">
      <c r="B15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4" spans="2:2" x14ac:dyDescent="0.3">
      <c r="B15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5" spans="2:2" x14ac:dyDescent="0.3">
      <c r="B15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6" spans="2:2" x14ac:dyDescent="0.3">
      <c r="B15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7" spans="2:2" x14ac:dyDescent="0.3">
      <c r="B15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8" spans="2:2" x14ac:dyDescent="0.3">
      <c r="B15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9" spans="2:2" x14ac:dyDescent="0.3">
      <c r="B15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0" spans="2:2" x14ac:dyDescent="0.3">
      <c r="B15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1" spans="2:2" x14ac:dyDescent="0.3">
      <c r="B15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2" spans="2:2" x14ac:dyDescent="0.3">
      <c r="B15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3" spans="2:2" x14ac:dyDescent="0.3">
      <c r="B15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4" spans="2:2" x14ac:dyDescent="0.3">
      <c r="B15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5" spans="2:2" x14ac:dyDescent="0.3">
      <c r="B15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6" spans="2:2" x14ac:dyDescent="0.3">
      <c r="B15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7" spans="2:2" x14ac:dyDescent="0.3">
      <c r="B15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8" spans="2:2" x14ac:dyDescent="0.3">
      <c r="B15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9" spans="2:2" x14ac:dyDescent="0.3">
      <c r="B15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0" spans="2:2" x14ac:dyDescent="0.3">
      <c r="B15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1" spans="2:2" x14ac:dyDescent="0.3">
      <c r="B15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2" spans="2:2" x14ac:dyDescent="0.3">
      <c r="B15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3" spans="2:2" x14ac:dyDescent="0.3">
      <c r="B15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4" spans="2:2" x14ac:dyDescent="0.3">
      <c r="B15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5" spans="2:2" x14ac:dyDescent="0.3">
      <c r="B15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6" spans="2:2" x14ac:dyDescent="0.3">
      <c r="B15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7" spans="2:2" x14ac:dyDescent="0.3">
      <c r="B15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8" spans="2:2" x14ac:dyDescent="0.3">
      <c r="B15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9" spans="2:2" x14ac:dyDescent="0.3">
      <c r="B15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0" spans="2:2" x14ac:dyDescent="0.3">
      <c r="B16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1" spans="2:2" x14ac:dyDescent="0.3">
      <c r="B16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2" spans="2:2" x14ac:dyDescent="0.3">
      <c r="B16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3" spans="2:2" x14ac:dyDescent="0.3">
      <c r="B16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4" spans="2:2" x14ac:dyDescent="0.3">
      <c r="B16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5" spans="2:2" x14ac:dyDescent="0.3">
      <c r="B16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6" spans="2:2" x14ac:dyDescent="0.3">
      <c r="B16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7" spans="2:2" x14ac:dyDescent="0.3">
      <c r="B16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8" spans="2:2" x14ac:dyDescent="0.3">
      <c r="B16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9" spans="2:2" x14ac:dyDescent="0.3">
      <c r="B16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0" spans="2:2" x14ac:dyDescent="0.3">
      <c r="B16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1" spans="2:2" x14ac:dyDescent="0.3">
      <c r="B16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2" spans="2:2" x14ac:dyDescent="0.3">
      <c r="B16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3" spans="2:2" x14ac:dyDescent="0.3">
      <c r="B16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4" spans="2:2" x14ac:dyDescent="0.3">
      <c r="B16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5" spans="2:2" x14ac:dyDescent="0.3">
      <c r="B16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6" spans="2:2" x14ac:dyDescent="0.3">
      <c r="B16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7" spans="2:2" x14ac:dyDescent="0.3">
      <c r="B16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8" spans="2:2" x14ac:dyDescent="0.3">
      <c r="B16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9" spans="2:2" x14ac:dyDescent="0.3">
      <c r="B16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0" spans="2:2" x14ac:dyDescent="0.3">
      <c r="B16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1" spans="2:2" x14ac:dyDescent="0.3">
      <c r="B16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2" spans="2:2" x14ac:dyDescent="0.3">
      <c r="B16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3" spans="2:2" x14ac:dyDescent="0.3">
      <c r="B16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4" spans="2:2" x14ac:dyDescent="0.3">
      <c r="B16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5" spans="2:2" x14ac:dyDescent="0.3">
      <c r="B16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6" spans="2:2" x14ac:dyDescent="0.3">
      <c r="B16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7" spans="2:2" x14ac:dyDescent="0.3">
      <c r="B16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8" spans="2:2" x14ac:dyDescent="0.3">
      <c r="B16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9" spans="2:2" x14ac:dyDescent="0.3">
      <c r="B16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0" spans="2:2" x14ac:dyDescent="0.3">
      <c r="B16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1" spans="2:2" x14ac:dyDescent="0.3">
      <c r="B16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2" spans="2:2" x14ac:dyDescent="0.3">
      <c r="B16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3" spans="2:2" x14ac:dyDescent="0.3">
      <c r="B16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4" spans="2:2" x14ac:dyDescent="0.3">
      <c r="B16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5" spans="2:2" x14ac:dyDescent="0.3">
      <c r="B16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6" spans="2:2" x14ac:dyDescent="0.3">
      <c r="B16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7" spans="2:2" x14ac:dyDescent="0.3">
      <c r="B16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8" spans="2:2" x14ac:dyDescent="0.3">
      <c r="B16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9" spans="2:2" x14ac:dyDescent="0.3">
      <c r="B16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0" spans="2:2" x14ac:dyDescent="0.3">
      <c r="B16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1" spans="2:2" x14ac:dyDescent="0.3">
      <c r="B16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2" spans="2:2" x14ac:dyDescent="0.3">
      <c r="B16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3" spans="2:2" x14ac:dyDescent="0.3">
      <c r="B16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4" spans="2:2" x14ac:dyDescent="0.3">
      <c r="B16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5" spans="2:2" x14ac:dyDescent="0.3">
      <c r="B16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6" spans="2:2" x14ac:dyDescent="0.3">
      <c r="B16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7" spans="2:2" x14ac:dyDescent="0.3">
      <c r="B16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8" spans="2:2" x14ac:dyDescent="0.3">
      <c r="B16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9" spans="2:2" x14ac:dyDescent="0.3">
      <c r="B16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0" spans="2:2" x14ac:dyDescent="0.3">
      <c r="B16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1" spans="2:2" x14ac:dyDescent="0.3">
      <c r="B16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2" spans="2:2" x14ac:dyDescent="0.3">
      <c r="B16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3" spans="2:2" x14ac:dyDescent="0.3">
      <c r="B16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4" spans="2:2" x14ac:dyDescent="0.3">
      <c r="B16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5" spans="2:2" x14ac:dyDescent="0.3">
      <c r="B16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6" spans="2:2" x14ac:dyDescent="0.3">
      <c r="B16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7" spans="2:2" x14ac:dyDescent="0.3">
      <c r="B16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8" spans="2:2" x14ac:dyDescent="0.3">
      <c r="B16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9" spans="2:2" x14ac:dyDescent="0.3">
      <c r="B16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0" spans="2:2" x14ac:dyDescent="0.3">
      <c r="B16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1" spans="2:2" x14ac:dyDescent="0.3">
      <c r="B16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2" spans="2:2" x14ac:dyDescent="0.3">
      <c r="B16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3" spans="2:2" x14ac:dyDescent="0.3">
      <c r="B16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4" spans="2:2" x14ac:dyDescent="0.3">
      <c r="B16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5" spans="2:2" x14ac:dyDescent="0.3">
      <c r="B16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6" spans="2:2" x14ac:dyDescent="0.3">
      <c r="B16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7" spans="2:2" x14ac:dyDescent="0.3">
      <c r="B16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8" spans="2:2" x14ac:dyDescent="0.3">
      <c r="B16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9" spans="2:2" x14ac:dyDescent="0.3">
      <c r="B16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0" spans="2:2" x14ac:dyDescent="0.3">
      <c r="B16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1" spans="2:2" x14ac:dyDescent="0.3">
      <c r="B16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2" spans="2:2" x14ac:dyDescent="0.3">
      <c r="B16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3" spans="2:2" x14ac:dyDescent="0.3">
      <c r="B16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4" spans="2:2" x14ac:dyDescent="0.3">
      <c r="B16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5" spans="2:2" x14ac:dyDescent="0.3">
      <c r="B16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6" spans="2:2" x14ac:dyDescent="0.3">
      <c r="B16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7" spans="2:2" x14ac:dyDescent="0.3">
      <c r="B16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8" spans="2:2" x14ac:dyDescent="0.3">
      <c r="B16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9" spans="2:2" x14ac:dyDescent="0.3">
      <c r="B16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0" spans="2:2" x14ac:dyDescent="0.3">
      <c r="B16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1" spans="2:2" x14ac:dyDescent="0.3">
      <c r="B16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2" spans="2:2" x14ac:dyDescent="0.3">
      <c r="B16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3" spans="2:2" x14ac:dyDescent="0.3">
      <c r="B16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4" spans="2:2" x14ac:dyDescent="0.3">
      <c r="B16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5" spans="2:2" x14ac:dyDescent="0.3">
      <c r="B16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6" spans="2:2" x14ac:dyDescent="0.3">
      <c r="B16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7" spans="2:2" x14ac:dyDescent="0.3">
      <c r="B16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8" spans="2:2" x14ac:dyDescent="0.3">
      <c r="B16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9" spans="2:2" x14ac:dyDescent="0.3">
      <c r="B16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0" spans="2:2" x14ac:dyDescent="0.3">
      <c r="B16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1" spans="2:2" x14ac:dyDescent="0.3">
      <c r="B16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2" spans="2:2" x14ac:dyDescent="0.3">
      <c r="B16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3" spans="2:2" x14ac:dyDescent="0.3">
      <c r="B16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4" spans="2:2" x14ac:dyDescent="0.3">
      <c r="B16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5" spans="2:2" x14ac:dyDescent="0.3">
      <c r="B16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6" spans="2:2" x14ac:dyDescent="0.3">
      <c r="B16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7" spans="2:2" x14ac:dyDescent="0.3">
      <c r="B16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8" spans="2:2" x14ac:dyDescent="0.3">
      <c r="B16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9" spans="2:2" x14ac:dyDescent="0.3">
      <c r="B16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0" spans="2:2" x14ac:dyDescent="0.3">
      <c r="B17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1" spans="2:2" x14ac:dyDescent="0.3">
      <c r="B17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2" spans="2:2" x14ac:dyDescent="0.3">
      <c r="B17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3" spans="2:2" x14ac:dyDescent="0.3">
      <c r="B17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4" spans="2:2" x14ac:dyDescent="0.3">
      <c r="B17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5" spans="2:2" x14ac:dyDescent="0.3">
      <c r="B17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6" spans="2:2" x14ac:dyDescent="0.3">
      <c r="B17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7" spans="2:2" x14ac:dyDescent="0.3">
      <c r="B17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8" spans="2:2" x14ac:dyDescent="0.3">
      <c r="B17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9" spans="2:2" x14ac:dyDescent="0.3">
      <c r="B17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0" spans="2:2" x14ac:dyDescent="0.3">
      <c r="B17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1" spans="2:2" x14ac:dyDescent="0.3">
      <c r="B17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2" spans="2:2" x14ac:dyDescent="0.3">
      <c r="B17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3" spans="2:2" x14ac:dyDescent="0.3">
      <c r="B17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4" spans="2:2" x14ac:dyDescent="0.3">
      <c r="B17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5" spans="2:2" x14ac:dyDescent="0.3">
      <c r="B17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6" spans="2:2" x14ac:dyDescent="0.3">
      <c r="B17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7" spans="2:2" x14ac:dyDescent="0.3">
      <c r="B17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8" spans="2:2" x14ac:dyDescent="0.3">
      <c r="B17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9" spans="2:2" x14ac:dyDescent="0.3">
      <c r="B17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0" spans="2:2" x14ac:dyDescent="0.3">
      <c r="B17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1" spans="2:2" x14ac:dyDescent="0.3">
      <c r="B17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2" spans="2:2" x14ac:dyDescent="0.3">
      <c r="B17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3" spans="2:2" x14ac:dyDescent="0.3">
      <c r="B17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4" spans="2:2" x14ac:dyDescent="0.3">
      <c r="B17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5" spans="2:2" x14ac:dyDescent="0.3">
      <c r="B17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6" spans="2:2" x14ac:dyDescent="0.3">
      <c r="B17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7" spans="2:2" x14ac:dyDescent="0.3">
      <c r="B17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8" spans="2:2" x14ac:dyDescent="0.3">
      <c r="B17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9" spans="2:2" x14ac:dyDescent="0.3">
      <c r="B17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0" spans="2:2" x14ac:dyDescent="0.3">
      <c r="B17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1" spans="2:2" x14ac:dyDescent="0.3">
      <c r="B17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2" spans="2:2" x14ac:dyDescent="0.3">
      <c r="B17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3" spans="2:2" x14ac:dyDescent="0.3">
      <c r="B17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4" spans="2:2" x14ac:dyDescent="0.3">
      <c r="B17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5" spans="2:2" x14ac:dyDescent="0.3">
      <c r="B17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6" spans="2:2" x14ac:dyDescent="0.3">
      <c r="B17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7" spans="2:2" x14ac:dyDescent="0.3">
      <c r="B17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8" spans="2:2" x14ac:dyDescent="0.3">
      <c r="B17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9" spans="2:2" x14ac:dyDescent="0.3">
      <c r="B17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0" spans="2:2" x14ac:dyDescent="0.3">
      <c r="B17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1" spans="2:2" x14ac:dyDescent="0.3">
      <c r="B17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2" spans="2:2" x14ac:dyDescent="0.3">
      <c r="B17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3" spans="2:2" x14ac:dyDescent="0.3">
      <c r="B17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4" spans="2:2" x14ac:dyDescent="0.3">
      <c r="B17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5" spans="2:2" x14ac:dyDescent="0.3">
      <c r="B17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6" spans="2:2" x14ac:dyDescent="0.3">
      <c r="B17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7" spans="2:2" x14ac:dyDescent="0.3">
      <c r="B17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8" spans="2:2" x14ac:dyDescent="0.3">
      <c r="B17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9" spans="2:2" x14ac:dyDescent="0.3">
      <c r="B17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0" spans="2:2" x14ac:dyDescent="0.3">
      <c r="B17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1" spans="2:2" x14ac:dyDescent="0.3">
      <c r="B17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2" spans="2:2" x14ac:dyDescent="0.3">
      <c r="B17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3" spans="2:2" x14ac:dyDescent="0.3">
      <c r="B17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4" spans="2:2" x14ac:dyDescent="0.3">
      <c r="B17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5" spans="2:2" x14ac:dyDescent="0.3">
      <c r="B17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6" spans="2:2" x14ac:dyDescent="0.3">
      <c r="B17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7" spans="2:2" x14ac:dyDescent="0.3">
      <c r="B17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8" spans="2:2" x14ac:dyDescent="0.3">
      <c r="B17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9" spans="2:2" x14ac:dyDescent="0.3">
      <c r="B17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0" spans="2:2" x14ac:dyDescent="0.3">
      <c r="B17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1" spans="2:2" x14ac:dyDescent="0.3">
      <c r="B17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2" spans="2:2" x14ac:dyDescent="0.3">
      <c r="B17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3" spans="2:2" x14ac:dyDescent="0.3">
      <c r="B17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4" spans="2:2" x14ac:dyDescent="0.3">
      <c r="B17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5" spans="2:2" x14ac:dyDescent="0.3">
      <c r="B17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6" spans="2:2" x14ac:dyDescent="0.3">
      <c r="B17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7" spans="2:2" x14ac:dyDescent="0.3">
      <c r="B17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8" spans="2:2" x14ac:dyDescent="0.3">
      <c r="B17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9" spans="2:2" x14ac:dyDescent="0.3">
      <c r="B17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0" spans="2:2" x14ac:dyDescent="0.3">
      <c r="B17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1" spans="2:2" x14ac:dyDescent="0.3">
      <c r="B17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2" spans="2:2" x14ac:dyDescent="0.3">
      <c r="B17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3" spans="2:2" x14ac:dyDescent="0.3">
      <c r="B17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4" spans="2:2" x14ac:dyDescent="0.3">
      <c r="B17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5" spans="2:2" x14ac:dyDescent="0.3">
      <c r="B17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6" spans="2:2" x14ac:dyDescent="0.3">
      <c r="B17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7" spans="2:2" x14ac:dyDescent="0.3">
      <c r="B17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8" spans="2:2" x14ac:dyDescent="0.3">
      <c r="B17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9" spans="2:2" x14ac:dyDescent="0.3">
      <c r="B17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0" spans="2:2" x14ac:dyDescent="0.3">
      <c r="B17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1" spans="2:2" x14ac:dyDescent="0.3">
      <c r="B17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2" spans="2:2" x14ac:dyDescent="0.3">
      <c r="B17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3" spans="2:2" x14ac:dyDescent="0.3">
      <c r="B17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4" spans="2:2" x14ac:dyDescent="0.3">
      <c r="B17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5" spans="2:2" x14ac:dyDescent="0.3">
      <c r="B17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6" spans="2:2" x14ac:dyDescent="0.3">
      <c r="B17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7" spans="2:2" x14ac:dyDescent="0.3">
      <c r="B17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8" spans="2:2" x14ac:dyDescent="0.3">
      <c r="B17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9" spans="2:2" x14ac:dyDescent="0.3">
      <c r="B17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0" spans="2:2" x14ac:dyDescent="0.3">
      <c r="B17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1" spans="2:2" x14ac:dyDescent="0.3">
      <c r="B17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2" spans="2:2" x14ac:dyDescent="0.3">
      <c r="B17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3" spans="2:2" x14ac:dyDescent="0.3">
      <c r="B17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4" spans="2:2" x14ac:dyDescent="0.3">
      <c r="B17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5" spans="2:2" x14ac:dyDescent="0.3">
      <c r="B17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6" spans="2:2" x14ac:dyDescent="0.3">
      <c r="B17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7" spans="2:2" x14ac:dyDescent="0.3">
      <c r="B17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8" spans="2:2" x14ac:dyDescent="0.3">
      <c r="B17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9" spans="2:2" x14ac:dyDescent="0.3">
      <c r="B17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0" spans="2:2" x14ac:dyDescent="0.3">
      <c r="B18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1" spans="2:2" x14ac:dyDescent="0.3">
      <c r="B18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2" spans="2:2" x14ac:dyDescent="0.3">
      <c r="B18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3" spans="2:2" x14ac:dyDescent="0.3">
      <c r="B18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4" spans="2:2" x14ac:dyDescent="0.3">
      <c r="B18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5" spans="2:2" x14ac:dyDescent="0.3">
      <c r="B18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6" spans="2:2" x14ac:dyDescent="0.3">
      <c r="B18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7" spans="2:2" x14ac:dyDescent="0.3">
      <c r="B18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8" spans="2:2" x14ac:dyDescent="0.3">
      <c r="B18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9" spans="2:2" x14ac:dyDescent="0.3">
      <c r="B18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0" spans="2:2" x14ac:dyDescent="0.3">
      <c r="B18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1" spans="2:2" x14ac:dyDescent="0.3">
      <c r="B18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2" spans="2:2" x14ac:dyDescent="0.3">
      <c r="B18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3" spans="2:2" x14ac:dyDescent="0.3">
      <c r="B18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4" spans="2:2" x14ac:dyDescent="0.3">
      <c r="B18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5" spans="2:2" x14ac:dyDescent="0.3">
      <c r="B18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6" spans="2:2" x14ac:dyDescent="0.3">
      <c r="B18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7" spans="2:2" x14ac:dyDescent="0.3">
      <c r="B18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8" spans="2:2" x14ac:dyDescent="0.3">
      <c r="B18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9" spans="2:2" x14ac:dyDescent="0.3">
      <c r="B18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0" spans="2:2" x14ac:dyDescent="0.3">
      <c r="B18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1" spans="2:2" x14ac:dyDescent="0.3">
      <c r="B18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2" spans="2:2" x14ac:dyDescent="0.3">
      <c r="B18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3" spans="2:2" x14ac:dyDescent="0.3">
      <c r="B18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4" spans="2:2" x14ac:dyDescent="0.3">
      <c r="B18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5" spans="2:2" x14ac:dyDescent="0.3">
      <c r="B18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6" spans="2:2" x14ac:dyDescent="0.3">
      <c r="B18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7" spans="2:2" x14ac:dyDescent="0.3">
      <c r="B18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8" spans="2:2" x14ac:dyDescent="0.3">
      <c r="B18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9" spans="2:2" x14ac:dyDescent="0.3">
      <c r="B18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0" spans="2:2" x14ac:dyDescent="0.3">
      <c r="B18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1" spans="2:2" x14ac:dyDescent="0.3">
      <c r="B18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2" spans="2:2" x14ac:dyDescent="0.3">
      <c r="B18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3" spans="2:2" x14ac:dyDescent="0.3">
      <c r="B18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4" spans="2:2" x14ac:dyDescent="0.3">
      <c r="B18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5" spans="2:2" x14ac:dyDescent="0.3">
      <c r="B18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6" spans="2:2" x14ac:dyDescent="0.3">
      <c r="B18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7" spans="2:2" x14ac:dyDescent="0.3">
      <c r="B18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8" spans="2:2" x14ac:dyDescent="0.3">
      <c r="B18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9" spans="2:2" x14ac:dyDescent="0.3">
      <c r="B18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0" spans="2:2" x14ac:dyDescent="0.3">
      <c r="B18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1" spans="2:2" x14ac:dyDescent="0.3">
      <c r="B18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2" spans="2:2" x14ac:dyDescent="0.3">
      <c r="B18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3" spans="2:2" x14ac:dyDescent="0.3">
      <c r="B18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4" spans="2:2" x14ac:dyDescent="0.3">
      <c r="B18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5" spans="2:2" x14ac:dyDescent="0.3">
      <c r="B18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6" spans="2:2" x14ac:dyDescent="0.3">
      <c r="B18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7" spans="2:2" x14ac:dyDescent="0.3">
      <c r="B18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8" spans="2:2" x14ac:dyDescent="0.3">
      <c r="B18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9" spans="2:2" x14ac:dyDescent="0.3">
      <c r="B18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0" spans="2:2" x14ac:dyDescent="0.3">
      <c r="B18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1" spans="2:2" x14ac:dyDescent="0.3">
      <c r="B18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2" spans="2:2" x14ac:dyDescent="0.3">
      <c r="B18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3" spans="2:2" x14ac:dyDescent="0.3">
      <c r="B18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4" spans="2:2" x14ac:dyDescent="0.3">
      <c r="B18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5" spans="2:2" x14ac:dyDescent="0.3">
      <c r="B18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6" spans="2:2" x14ac:dyDescent="0.3">
      <c r="B18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7" spans="2:2" x14ac:dyDescent="0.3">
      <c r="B18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8" spans="2:2" x14ac:dyDescent="0.3">
      <c r="B18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9" spans="2:2" x14ac:dyDescent="0.3">
      <c r="B18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0" spans="2:2" x14ac:dyDescent="0.3">
      <c r="B18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1" spans="2:2" x14ac:dyDescent="0.3">
      <c r="B18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2" spans="2:2" x14ac:dyDescent="0.3">
      <c r="B18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3" spans="2:2" x14ac:dyDescent="0.3">
      <c r="B18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4" spans="2:2" x14ac:dyDescent="0.3">
      <c r="B18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5" spans="2:2" x14ac:dyDescent="0.3">
      <c r="B18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6" spans="2:2" x14ac:dyDescent="0.3">
      <c r="B18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7" spans="2:2" x14ac:dyDescent="0.3">
      <c r="B18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8" spans="2:2" x14ac:dyDescent="0.3">
      <c r="B18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9" spans="2:2" x14ac:dyDescent="0.3">
      <c r="B18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0" spans="2:2" x14ac:dyDescent="0.3">
      <c r="B18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1" spans="2:2" x14ac:dyDescent="0.3">
      <c r="B18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2" spans="2:2" x14ac:dyDescent="0.3">
      <c r="B18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3" spans="2:2" x14ac:dyDescent="0.3">
      <c r="B18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4" spans="2:2" x14ac:dyDescent="0.3">
      <c r="B18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5" spans="2:2" x14ac:dyDescent="0.3">
      <c r="B18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6" spans="2:2" x14ac:dyDescent="0.3">
      <c r="B18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7" spans="2:2" x14ac:dyDescent="0.3">
      <c r="B18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8" spans="2:2" x14ac:dyDescent="0.3">
      <c r="B18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9" spans="2:2" x14ac:dyDescent="0.3">
      <c r="B18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0" spans="2:2" x14ac:dyDescent="0.3">
      <c r="B18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1" spans="2:2" x14ac:dyDescent="0.3">
      <c r="B18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2" spans="2:2" x14ac:dyDescent="0.3">
      <c r="B18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3" spans="2:2" x14ac:dyDescent="0.3">
      <c r="B18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4" spans="2:2" x14ac:dyDescent="0.3">
      <c r="B18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5" spans="2:2" x14ac:dyDescent="0.3">
      <c r="B18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6" spans="2:2" x14ac:dyDescent="0.3">
      <c r="B18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7" spans="2:2" x14ac:dyDescent="0.3">
      <c r="B18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8" spans="2:2" x14ac:dyDescent="0.3">
      <c r="B18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9" spans="2:2" x14ac:dyDescent="0.3">
      <c r="B18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0" spans="2:2" x14ac:dyDescent="0.3">
      <c r="B18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1" spans="2:2" x14ac:dyDescent="0.3">
      <c r="B18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2" spans="2:2" x14ac:dyDescent="0.3">
      <c r="B18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3" spans="2:2" x14ac:dyDescent="0.3">
      <c r="B18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4" spans="2:2" x14ac:dyDescent="0.3">
      <c r="B18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5" spans="2:2" x14ac:dyDescent="0.3">
      <c r="B18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6" spans="2:2" x14ac:dyDescent="0.3">
      <c r="B18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7" spans="2:2" x14ac:dyDescent="0.3">
      <c r="B18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8" spans="2:2" x14ac:dyDescent="0.3">
      <c r="B18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9" spans="2:2" x14ac:dyDescent="0.3">
      <c r="B18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0" spans="2:2" x14ac:dyDescent="0.3">
      <c r="B19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1" spans="2:2" x14ac:dyDescent="0.3">
      <c r="B19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2" spans="2:2" x14ac:dyDescent="0.3">
      <c r="B19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3" spans="2:2" x14ac:dyDescent="0.3">
      <c r="B19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4" spans="2:2" x14ac:dyDescent="0.3">
      <c r="B1904" t="str">
        <f>IFERROR(IF(LEFT(Sensitivität_bzw_Monte_Carlo_bei_Strom[[#This Row],[Source.Name]],SEARCH("aus_der",Sensitivität_bzw_Monte_Carlo_bei_Strom[[#This Row],[Source.Name]],1))="Auszahlung_a","Auszahlung",""),"")</f>
        <v/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6D649-13DA-46F3-B367-8CBB50FD2709}">
  <sheetPr codeName="Tabelle12"/>
  <dimension ref="A1:G1877"/>
  <sheetViews>
    <sheetView tabSelected="1" topLeftCell="A25" zoomScale="70" zoomScaleNormal="70" workbookViewId="0">
      <selection activeCell="F5" sqref="F5"/>
    </sheetView>
  </sheetViews>
  <sheetFormatPr baseColWidth="10" defaultRowHeight="14.4" x14ac:dyDescent="0.3"/>
  <cols>
    <col min="2" max="2" width="50.6640625" bestFit="1" customWidth="1"/>
    <col min="4" max="4" width="17.77734375" bestFit="1" customWidth="1"/>
    <col min="7" max="7" width="18" bestFit="1" customWidth="1"/>
  </cols>
  <sheetData>
    <row r="1" spans="1:7" x14ac:dyDescent="0.3">
      <c r="A1" t="s">
        <v>17</v>
      </c>
      <c r="B1" t="s">
        <v>16</v>
      </c>
      <c r="C1" t="s">
        <v>15</v>
      </c>
      <c r="D1" t="s">
        <v>18</v>
      </c>
    </row>
    <row r="2" spans="1:7" x14ac:dyDescent="0.3">
      <c r="A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" s="1" t="s">
        <v>106</v>
      </c>
      <c r="C2">
        <v>12226.653546413319</v>
      </c>
      <c r="D2">
        <v>4.65E-2</v>
      </c>
    </row>
    <row r="3" spans="1:7" x14ac:dyDescent="0.3">
      <c r="A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" s="1" t="s">
        <v>106</v>
      </c>
      <c r="C3">
        <v>12031.611211412041</v>
      </c>
      <c r="D3" s="1">
        <v>4.7184848484848482E-2</v>
      </c>
      <c r="F3">
        <v>2</v>
      </c>
    </row>
    <row r="4" spans="1:7" x14ac:dyDescent="0.3">
      <c r="A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" s="1" t="s">
        <v>106</v>
      </c>
      <c r="C4">
        <v>11868.633751965721</v>
      </c>
      <c r="D4" s="1">
        <v>4.7869696969696972E-2</v>
      </c>
      <c r="F4" t="s">
        <v>113</v>
      </c>
      <c r="G4" t="s">
        <v>114</v>
      </c>
    </row>
    <row r="5" spans="1:7" x14ac:dyDescent="0.3">
      <c r="A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" s="1" t="s">
        <v>106</v>
      </c>
      <c r="C5">
        <v>11673.19016284893</v>
      </c>
      <c r="D5" s="1">
        <v>4.8554545454545447E-2</v>
      </c>
      <c r="F5">
        <f>MIN(C2:C101)</f>
        <v>-11270.26503451572</v>
      </c>
      <c r="G5">
        <f>MAX(C2:C101)</f>
        <v>12226.653546413319</v>
      </c>
    </row>
    <row r="6" spans="1:7" x14ac:dyDescent="0.3">
      <c r="A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" s="1" t="s">
        <v>106</v>
      </c>
      <c r="C6">
        <v>11463.825869748871</v>
      </c>
      <c r="D6" s="1">
        <v>4.9239393939393937E-2</v>
      </c>
    </row>
    <row r="7" spans="1:7" x14ac:dyDescent="0.3">
      <c r="A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" s="1" t="s">
        <v>106</v>
      </c>
      <c r="C7">
        <v>11301.049679637141</v>
      </c>
      <c r="D7" s="1">
        <v>4.9924242424242433E-2</v>
      </c>
      <c r="F7">
        <v>1</v>
      </c>
    </row>
    <row r="8" spans="1:7" x14ac:dyDescent="0.3">
      <c r="A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" s="1" t="s">
        <v>106</v>
      </c>
      <c r="C8">
        <v>11119.529604816589</v>
      </c>
      <c r="D8" s="1">
        <v>5.0609090909090909E-2</v>
      </c>
      <c r="F8" t="s">
        <v>113</v>
      </c>
      <c r="G8" t="s">
        <v>114</v>
      </c>
    </row>
    <row r="9" spans="1:7" x14ac:dyDescent="0.3">
      <c r="A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" s="1" t="s">
        <v>106</v>
      </c>
      <c r="C9">
        <v>10923.131376817861</v>
      </c>
      <c r="D9" s="1">
        <v>5.1293939393939392E-2</v>
      </c>
      <c r="F9">
        <f>MIN(C102:C201)</f>
        <v>11866.14304260367</v>
      </c>
      <c r="G9">
        <f>MAX(C102:C201)</f>
        <v>25174.90285761992</v>
      </c>
    </row>
    <row r="10" spans="1:7" x14ac:dyDescent="0.3">
      <c r="A1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0" s="1" t="s">
        <v>106</v>
      </c>
      <c r="C10">
        <v>10771.875921505311</v>
      </c>
      <c r="D10" s="1">
        <v>5.1978787878787881E-2</v>
      </c>
    </row>
    <row r="11" spans="1:7" x14ac:dyDescent="0.3">
      <c r="A11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1" s="1" t="s">
        <v>106</v>
      </c>
      <c r="C11">
        <v>10592.12706054419</v>
      </c>
      <c r="D11" s="1">
        <v>5.2663636363636357E-2</v>
      </c>
    </row>
    <row r="12" spans="1:7" x14ac:dyDescent="0.3">
      <c r="A1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2" s="1" t="s">
        <v>106</v>
      </c>
      <c r="C12">
        <v>10398.13919333708</v>
      </c>
      <c r="D12" s="1">
        <v>5.3348484848484853E-2</v>
      </c>
    </row>
    <row r="13" spans="1:7" x14ac:dyDescent="0.3">
      <c r="A1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3" s="1" t="s">
        <v>106</v>
      </c>
      <c r="C13">
        <v>10217.83163640662</v>
      </c>
      <c r="D13" s="1">
        <v>5.4033333333333343E-2</v>
      </c>
    </row>
    <row r="14" spans="1:7" x14ac:dyDescent="0.3">
      <c r="A1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4" s="1" t="s">
        <v>106</v>
      </c>
      <c r="C14">
        <v>10024.06380200994</v>
      </c>
      <c r="D14" s="1">
        <v>5.4718181818181819E-2</v>
      </c>
    </row>
    <row r="15" spans="1:7" x14ac:dyDescent="0.3">
      <c r="A1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5" s="1" t="s">
        <v>106</v>
      </c>
      <c r="C15">
        <v>9844.2762158205642</v>
      </c>
      <c r="D15" s="1">
        <v>5.5403030303030301E-2</v>
      </c>
    </row>
    <row r="16" spans="1:7" x14ac:dyDescent="0.3">
      <c r="A1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6" s="1" t="s">
        <v>106</v>
      </c>
      <c r="C16">
        <v>9663.7782557650935</v>
      </c>
      <c r="D16" s="1">
        <v>5.6087878787878777E-2</v>
      </c>
    </row>
    <row r="17" spans="1:4" x14ac:dyDescent="0.3">
      <c r="A1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7" s="1" t="s">
        <v>106</v>
      </c>
      <c r="C17">
        <v>9470.2336027933361</v>
      </c>
      <c r="D17" s="1">
        <v>5.6772727272727273E-2</v>
      </c>
    </row>
    <row r="18" spans="1:4" x14ac:dyDescent="0.3">
      <c r="A1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8" s="1" t="s">
        <v>106</v>
      </c>
      <c r="C18">
        <v>9289.1804132214766</v>
      </c>
      <c r="D18" s="1">
        <v>5.7457575757575763E-2</v>
      </c>
    </row>
    <row r="19" spans="1:4" x14ac:dyDescent="0.3">
      <c r="A1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9" s="1" t="s">
        <v>106</v>
      </c>
      <c r="C19">
        <v>9137.5216988687826</v>
      </c>
      <c r="D19" s="1">
        <v>5.8142424242424252E-2</v>
      </c>
    </row>
    <row r="20" spans="1:4" x14ac:dyDescent="0.3">
      <c r="A2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0" s="1" t="s">
        <v>106</v>
      </c>
      <c r="C20">
        <v>8957.2581441640996</v>
      </c>
      <c r="D20" s="1">
        <v>5.8827272727272728E-2</v>
      </c>
    </row>
    <row r="21" spans="1:4" x14ac:dyDescent="0.3">
      <c r="A21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1" s="1" t="s">
        <v>106</v>
      </c>
      <c r="C21">
        <v>8778.2250878382438</v>
      </c>
      <c r="D21" s="1">
        <v>5.9512121212121211E-2</v>
      </c>
    </row>
    <row r="22" spans="1:4" x14ac:dyDescent="0.3">
      <c r="A2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2" s="1" t="s">
        <v>106</v>
      </c>
      <c r="C22">
        <v>8597.3318099618136</v>
      </c>
      <c r="D22" s="1">
        <v>6.0196969696969693E-2</v>
      </c>
    </row>
    <row r="23" spans="1:4" x14ac:dyDescent="0.3">
      <c r="A2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3" s="1" t="s">
        <v>106</v>
      </c>
      <c r="C23">
        <v>8402.2894749605312</v>
      </c>
      <c r="D23" s="1">
        <v>6.0881818181818183E-2</v>
      </c>
    </row>
    <row r="24" spans="1:4" x14ac:dyDescent="0.3">
      <c r="A2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4" s="1" t="s">
        <v>106</v>
      </c>
      <c r="C24">
        <v>8223.6904510501063</v>
      </c>
      <c r="D24" s="1">
        <v>6.1566666666666672E-2</v>
      </c>
    </row>
    <row r="25" spans="1:4" x14ac:dyDescent="0.3">
      <c r="A2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5" s="1" t="s">
        <v>106</v>
      </c>
      <c r="C25">
        <v>8027.6659603990101</v>
      </c>
      <c r="D25" s="1">
        <v>6.2251515151515148E-2</v>
      </c>
    </row>
    <row r="26" spans="1:4" x14ac:dyDescent="0.3">
      <c r="A2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6" s="1" t="s">
        <v>106</v>
      </c>
      <c r="C26">
        <v>7849.7367942657183</v>
      </c>
      <c r="D26" s="1">
        <v>6.2936363636363638E-2</v>
      </c>
    </row>
    <row r="27" spans="1:4" x14ac:dyDescent="0.3">
      <c r="A2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7" s="1" t="s">
        <v>106</v>
      </c>
      <c r="C27">
        <v>7682.6356961431802</v>
      </c>
      <c r="D27" s="1">
        <v>6.362121212121212E-2</v>
      </c>
    </row>
    <row r="28" spans="1:4" x14ac:dyDescent="0.3">
      <c r="A2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8" s="1" t="s">
        <v>106</v>
      </c>
      <c r="C28">
        <v>7501.3289964688556</v>
      </c>
      <c r="D28" s="1">
        <v>6.4306060606060603E-2</v>
      </c>
    </row>
    <row r="29" spans="1:4" x14ac:dyDescent="0.3">
      <c r="A2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29" s="1" t="s">
        <v>106</v>
      </c>
      <c r="C29">
        <v>7321.6810678492429</v>
      </c>
      <c r="D29" s="1">
        <v>6.4990909090909099E-2</v>
      </c>
    </row>
    <row r="30" spans="1:4" x14ac:dyDescent="0.3">
      <c r="A3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0" s="1" t="s">
        <v>106</v>
      </c>
      <c r="C30">
        <v>7143.0975680436441</v>
      </c>
      <c r="D30" s="1">
        <v>6.5675757575757582E-2</v>
      </c>
    </row>
    <row r="31" spans="1:4" x14ac:dyDescent="0.3">
      <c r="A31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1" s="1" t="s">
        <v>106</v>
      </c>
      <c r="C31">
        <v>6949.5529150718876</v>
      </c>
      <c r="D31" s="1">
        <v>6.6360606060606064E-2</v>
      </c>
    </row>
    <row r="32" spans="1:4" x14ac:dyDescent="0.3">
      <c r="A3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2" s="1" t="s">
        <v>106</v>
      </c>
      <c r="C32">
        <v>6768.8585635355876</v>
      </c>
      <c r="D32" s="1">
        <v>6.7045454545454547E-2</v>
      </c>
    </row>
    <row r="33" spans="1:4" x14ac:dyDescent="0.3">
      <c r="A3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3" s="1" t="s">
        <v>106</v>
      </c>
      <c r="C33">
        <v>6573.8162285343087</v>
      </c>
      <c r="D33" s="1">
        <v>6.773030303030303E-2</v>
      </c>
    </row>
    <row r="34" spans="1:4" x14ac:dyDescent="0.3">
      <c r="A3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4" s="1" t="s">
        <v>106</v>
      </c>
      <c r="C34">
        <v>6421.6414672961664</v>
      </c>
      <c r="D34" s="1">
        <v>6.8415151515151512E-2</v>
      </c>
    </row>
    <row r="35" spans="1:4" x14ac:dyDescent="0.3">
      <c r="A3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5" s="1" t="s">
        <v>106</v>
      </c>
      <c r="C35">
        <v>6227.6536000890592</v>
      </c>
      <c r="D35" s="1">
        <v>6.9099999999999995E-2</v>
      </c>
    </row>
    <row r="36" spans="1:4" x14ac:dyDescent="0.3">
      <c r="A3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6" s="1" t="s">
        <v>106</v>
      </c>
      <c r="C36">
        <v>6033.8857656923756</v>
      </c>
      <c r="D36" s="1">
        <v>6.9784848484848477E-2</v>
      </c>
    </row>
    <row r="37" spans="1:4" x14ac:dyDescent="0.3">
      <c r="A3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7" s="1" t="s">
        <v>106</v>
      </c>
      <c r="C37">
        <v>5855.0943895546161</v>
      </c>
      <c r="D37" s="1">
        <v>7.0469696969696974E-2</v>
      </c>
    </row>
    <row r="38" spans="1:4" x14ac:dyDescent="0.3">
      <c r="A3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8" s="1" t="s">
        <v>106</v>
      </c>
      <c r="C38">
        <v>5659.6508004378193</v>
      </c>
      <c r="D38" s="1">
        <v>7.1154545454545456E-2</v>
      </c>
    </row>
    <row r="39" spans="1:4" x14ac:dyDescent="0.3">
      <c r="A3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39" s="1" t="s">
        <v>106</v>
      </c>
      <c r="C39">
        <v>5506.9638695274934</v>
      </c>
      <c r="D39" s="1">
        <v>7.1839393939393939E-2</v>
      </c>
    </row>
    <row r="40" spans="1:4" x14ac:dyDescent="0.3">
      <c r="A4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0" s="1" t="s">
        <v>106</v>
      </c>
      <c r="C40">
        <v>5326.6651112658456</v>
      </c>
      <c r="D40" s="1">
        <v>7.2524242424242422E-2</v>
      </c>
    </row>
    <row r="41" spans="1:4" x14ac:dyDescent="0.3">
      <c r="A41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1" s="1" t="s">
        <v>106</v>
      </c>
      <c r="C41">
        <v>5147.1071395428125</v>
      </c>
      <c r="D41" s="1">
        <v>7.3209090909090918E-2</v>
      </c>
    </row>
    <row r="42" spans="1:4" x14ac:dyDescent="0.3">
      <c r="A4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2" s="1" t="s">
        <v>106</v>
      </c>
      <c r="C42">
        <v>4982.6007277112631</v>
      </c>
      <c r="D42" s="1">
        <v>7.3893939393939401E-2</v>
      </c>
    </row>
    <row r="43" spans="1:4" x14ac:dyDescent="0.3">
      <c r="A4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3" s="1" t="s">
        <v>106</v>
      </c>
      <c r="C43">
        <v>4802.5572058170001</v>
      </c>
      <c r="D43" s="1">
        <v>7.4578787878787883E-2</v>
      </c>
    </row>
    <row r="44" spans="1:4" x14ac:dyDescent="0.3">
      <c r="A4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4" s="1" t="s">
        <v>106</v>
      </c>
      <c r="C44">
        <v>4608.0390365003377</v>
      </c>
      <c r="D44" s="1">
        <v>7.5263636363636366E-2</v>
      </c>
    </row>
    <row r="45" spans="1:4" x14ac:dyDescent="0.3">
      <c r="A4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5" s="1" t="s">
        <v>106</v>
      </c>
      <c r="C45">
        <v>4327.8475639645621</v>
      </c>
      <c r="D45" s="1">
        <v>7.5948484848484848E-2</v>
      </c>
    </row>
    <row r="46" spans="1:4" x14ac:dyDescent="0.3">
      <c r="A4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6" s="1" t="s">
        <v>106</v>
      </c>
      <c r="C46">
        <v>4102.4917459534863</v>
      </c>
      <c r="D46" s="1">
        <v>7.6633333333333331E-2</v>
      </c>
    </row>
    <row r="47" spans="1:4" x14ac:dyDescent="0.3">
      <c r="A4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7" s="1" t="s">
        <v>106</v>
      </c>
      <c r="C47">
        <v>3856.044393471816</v>
      </c>
      <c r="D47" s="1">
        <v>7.7318181818181814E-2</v>
      </c>
    </row>
    <row r="48" spans="1:4" x14ac:dyDescent="0.3">
      <c r="A4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8" s="1" t="s">
        <v>106</v>
      </c>
      <c r="C48">
        <v>3575.852920936034</v>
      </c>
      <c r="D48" s="1">
        <v>7.8003030303030296E-2</v>
      </c>
    </row>
    <row r="49" spans="1:4" x14ac:dyDescent="0.3">
      <c r="A4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49" s="1" t="s">
        <v>106</v>
      </c>
      <c r="C49">
        <v>3384.691968851107</v>
      </c>
      <c r="D49" s="1">
        <v>7.8687878787878779E-2</v>
      </c>
    </row>
    <row r="50" spans="1:4" x14ac:dyDescent="0.3">
      <c r="A5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0" s="1" t="s">
        <v>106</v>
      </c>
      <c r="C50">
        <v>3202.2364647372401</v>
      </c>
      <c r="D50" s="1">
        <v>7.9372727272727275E-2</v>
      </c>
    </row>
    <row r="51" spans="1:4" x14ac:dyDescent="0.3">
      <c r="A51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1" s="1" t="s">
        <v>106</v>
      </c>
      <c r="C51">
        <v>2948.5524462455269</v>
      </c>
      <c r="D51" s="1">
        <v>8.0057575757575758E-2</v>
      </c>
    </row>
    <row r="52" spans="1:4" x14ac:dyDescent="0.3">
      <c r="A5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2" s="1" t="s">
        <v>106</v>
      </c>
      <c r="C52">
        <v>2692.7595268066402</v>
      </c>
      <c r="D52" s="1">
        <v>8.0742424242424241E-2</v>
      </c>
    </row>
    <row r="53" spans="1:4" x14ac:dyDescent="0.3">
      <c r="A5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3" s="1" t="s">
        <v>106</v>
      </c>
      <c r="C53">
        <v>2426.7600047414189</v>
      </c>
      <c r="D53" s="1">
        <v>8.1427272727272737E-2</v>
      </c>
    </row>
    <row r="54" spans="1:4" x14ac:dyDescent="0.3">
      <c r="A5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4" s="1" t="s">
        <v>106</v>
      </c>
      <c r="C54">
        <v>2136.545542975744</v>
      </c>
      <c r="D54" s="1">
        <v>8.211212121212122E-2</v>
      </c>
    </row>
    <row r="55" spans="1:4" x14ac:dyDescent="0.3">
      <c r="A5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5" s="1" t="s">
        <v>106</v>
      </c>
      <c r="C55">
        <v>1833.179474958665</v>
      </c>
      <c r="D55" s="1">
        <v>8.2796969696969702E-2</v>
      </c>
    </row>
    <row r="56" spans="1:4" x14ac:dyDescent="0.3">
      <c r="A5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6" s="1" t="s">
        <v>106</v>
      </c>
      <c r="C56">
        <v>1625.815726768692</v>
      </c>
      <c r="D56" s="1">
        <v>8.3481818181818185E-2</v>
      </c>
    </row>
    <row r="57" spans="1:4" x14ac:dyDescent="0.3">
      <c r="A5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7" s="1" t="s">
        <v>106</v>
      </c>
      <c r="C57">
        <v>1435.6619249194159</v>
      </c>
      <c r="D57" s="1">
        <v>8.4166666666666667E-2</v>
      </c>
    </row>
    <row r="58" spans="1:4" x14ac:dyDescent="0.3">
      <c r="A5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8" s="1" t="s">
        <v>106</v>
      </c>
      <c r="C58">
        <v>1191.4367338216809</v>
      </c>
      <c r="D58" s="1">
        <v>8.485151515151515E-2</v>
      </c>
    </row>
    <row r="59" spans="1:4" x14ac:dyDescent="0.3">
      <c r="A5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59" s="1" t="s">
        <v>106</v>
      </c>
      <c r="C59">
        <v>924.202540831222</v>
      </c>
      <c r="D59" s="1">
        <v>8.5536363636363633E-2</v>
      </c>
    </row>
    <row r="60" spans="1:4" x14ac:dyDescent="0.3">
      <c r="A6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0" s="1" t="s">
        <v>106</v>
      </c>
      <c r="C60">
        <v>656.80101161262019</v>
      </c>
      <c r="D60" s="1">
        <v>8.6221212121212115E-2</v>
      </c>
    </row>
    <row r="61" spans="1:4" x14ac:dyDescent="0.3">
      <c r="A61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1" s="1" t="s">
        <v>106</v>
      </c>
      <c r="C61">
        <v>351.9564147013898</v>
      </c>
      <c r="D61" s="1">
        <v>8.6906060606060598E-2</v>
      </c>
    </row>
    <row r="62" spans="1:4" x14ac:dyDescent="0.3">
      <c r="A6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2" s="1" t="s">
        <v>106</v>
      </c>
      <c r="C62">
        <v>82.423132015514966</v>
      </c>
      <c r="D62" s="1">
        <v>8.7590909090909094E-2</v>
      </c>
    </row>
    <row r="63" spans="1:4" x14ac:dyDescent="0.3">
      <c r="A6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3" s="1" t="s">
        <v>106</v>
      </c>
      <c r="C63">
        <v>-176.09616203841961</v>
      </c>
      <c r="D63" s="1">
        <v>8.8275757575757577E-2</v>
      </c>
    </row>
    <row r="64" spans="1:4" x14ac:dyDescent="0.3">
      <c r="A6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4" s="1" t="s">
        <v>106</v>
      </c>
      <c r="C64">
        <v>-421.27065421821322</v>
      </c>
      <c r="D64" s="1">
        <v>8.8960606060606059E-2</v>
      </c>
    </row>
    <row r="65" spans="1:4" x14ac:dyDescent="0.3">
      <c r="A6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5" s="1" t="s">
        <v>106</v>
      </c>
      <c r="C65">
        <v>-576.76148099743523</v>
      </c>
      <c r="D65" s="1">
        <v>8.9645454545454556E-2</v>
      </c>
    </row>
    <row r="66" spans="1:4" x14ac:dyDescent="0.3">
      <c r="A6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6" s="1" t="s">
        <v>106</v>
      </c>
      <c r="C66">
        <v>-863.5197246623693</v>
      </c>
      <c r="D66" s="1">
        <v>9.0330303030303039E-2</v>
      </c>
    </row>
    <row r="67" spans="1:4" x14ac:dyDescent="0.3">
      <c r="A6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7" s="1" t="s">
        <v>106</v>
      </c>
      <c r="C67">
        <v>-1150.131907518653</v>
      </c>
      <c r="D67" s="1">
        <v>9.1015151515151521E-2</v>
      </c>
    </row>
    <row r="68" spans="1:4" x14ac:dyDescent="0.3">
      <c r="A6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8" s="1" t="s">
        <v>106</v>
      </c>
      <c r="C68">
        <v>-1424.280167017027</v>
      </c>
      <c r="D68" s="1">
        <v>9.1700000000000004E-2</v>
      </c>
    </row>
    <row r="69" spans="1:4" x14ac:dyDescent="0.3">
      <c r="A6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69" s="1" t="s">
        <v>106</v>
      </c>
      <c r="C69">
        <v>-1723.1266838073011</v>
      </c>
      <c r="D69" s="1">
        <v>9.2384848484848486E-2</v>
      </c>
    </row>
    <row r="70" spans="1:4" x14ac:dyDescent="0.3">
      <c r="A7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0" s="1" t="s">
        <v>106</v>
      </c>
      <c r="C70">
        <v>-1988.7125966217329</v>
      </c>
      <c r="D70" s="1">
        <v>9.3069696969696969E-2</v>
      </c>
    </row>
    <row r="71" spans="1:4" x14ac:dyDescent="0.3">
      <c r="A71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1" s="1" t="s">
        <v>106</v>
      </c>
      <c r="C71">
        <v>-2225.782388103054</v>
      </c>
      <c r="D71" s="1">
        <v>9.3754545454545452E-2</v>
      </c>
    </row>
    <row r="72" spans="1:4" x14ac:dyDescent="0.3">
      <c r="A7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2" s="1" t="s">
        <v>106</v>
      </c>
      <c r="C72">
        <v>-2530.2181422081098</v>
      </c>
      <c r="D72" s="1">
        <v>9.4439393939393934E-2</v>
      </c>
    </row>
    <row r="73" spans="1:4" x14ac:dyDescent="0.3">
      <c r="A7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3" s="1" t="s">
        <v>106</v>
      </c>
      <c r="C73">
        <v>-2800.6787217356659</v>
      </c>
      <c r="D73" s="1">
        <v>9.5124242424242417E-2</v>
      </c>
    </row>
    <row r="74" spans="1:4" x14ac:dyDescent="0.3">
      <c r="A7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4" s="1" t="s">
        <v>106</v>
      </c>
      <c r="C74">
        <v>-3012.7358419271031</v>
      </c>
      <c r="D74" s="1">
        <v>9.5809090909090913E-2</v>
      </c>
    </row>
    <row r="75" spans="1:4" x14ac:dyDescent="0.3">
      <c r="A7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5" s="1" t="s">
        <v>106</v>
      </c>
      <c r="C75">
        <v>-3314.467977318297</v>
      </c>
      <c r="D75" s="1">
        <v>9.6493939393939396E-2</v>
      </c>
    </row>
    <row r="76" spans="1:4" x14ac:dyDescent="0.3">
      <c r="A7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6" s="1" t="s">
        <v>106</v>
      </c>
      <c r="C76">
        <v>-3626.3512816682919</v>
      </c>
      <c r="D76" s="1">
        <v>9.7178787878787878E-2</v>
      </c>
    </row>
    <row r="77" spans="1:4" x14ac:dyDescent="0.3">
      <c r="A7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7" s="1" t="s">
        <v>106</v>
      </c>
      <c r="C77">
        <v>-3895.7291159481142</v>
      </c>
      <c r="D77" s="1">
        <v>9.7863636363636375E-2</v>
      </c>
    </row>
    <row r="78" spans="1:4" x14ac:dyDescent="0.3">
      <c r="A7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8" s="1" t="s">
        <v>106</v>
      </c>
      <c r="C78">
        <v>-4231.8070897990001</v>
      </c>
      <c r="D78" s="1">
        <v>9.8548484848484857E-2</v>
      </c>
    </row>
    <row r="79" spans="1:4" x14ac:dyDescent="0.3">
      <c r="A7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79" s="1" t="s">
        <v>106</v>
      </c>
      <c r="C79">
        <v>-4560.9420072925041</v>
      </c>
      <c r="D79" s="1">
        <v>9.923333333333334E-2</v>
      </c>
    </row>
    <row r="80" spans="1:4" x14ac:dyDescent="0.3">
      <c r="A8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0" s="1" t="s">
        <v>106</v>
      </c>
      <c r="C80">
        <v>-4825.2528326158344</v>
      </c>
      <c r="D80" s="1">
        <v>9.9918181818181823E-2</v>
      </c>
    </row>
    <row r="81" spans="1:4" x14ac:dyDescent="0.3">
      <c r="A81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1" s="1" t="s">
        <v>106</v>
      </c>
      <c r="C81">
        <v>-5061.5362252368705</v>
      </c>
      <c r="D81" s="1">
        <v>0.10060303030303031</v>
      </c>
    </row>
    <row r="82" spans="1:4" x14ac:dyDescent="0.3">
      <c r="A8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2" s="1" t="s">
        <v>106</v>
      </c>
      <c r="C82">
        <v>-5350.2268270436361</v>
      </c>
      <c r="D82" s="1">
        <v>0.1012878787878788</v>
      </c>
    </row>
    <row r="83" spans="1:4" x14ac:dyDescent="0.3">
      <c r="A8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3" s="1" t="s">
        <v>106</v>
      </c>
      <c r="C83">
        <v>-5636.7020905562686</v>
      </c>
      <c r="D83" s="1">
        <v>0.1019727272727273</v>
      </c>
    </row>
    <row r="84" spans="1:4" x14ac:dyDescent="0.3">
      <c r="A8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4" s="1" t="s">
        <v>106</v>
      </c>
      <c r="C84">
        <v>-5956.6393156785598</v>
      </c>
      <c r="D84" s="1">
        <v>0.10265757575757579</v>
      </c>
    </row>
    <row r="85" spans="1:4" x14ac:dyDescent="0.3">
      <c r="A8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5" s="1" t="s">
        <v>106</v>
      </c>
      <c r="C85">
        <v>-6331.9516406434404</v>
      </c>
      <c r="D85" s="1">
        <v>0.10334242424242419</v>
      </c>
    </row>
    <row r="86" spans="1:4" x14ac:dyDescent="0.3">
      <c r="A8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6" s="1" t="s">
        <v>106</v>
      </c>
      <c r="C86">
        <v>-6674.6581648695992</v>
      </c>
      <c r="D86" s="1">
        <v>0.1040272727272727</v>
      </c>
    </row>
    <row r="87" spans="1:4" x14ac:dyDescent="0.3">
      <c r="A8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7" s="1" t="s">
        <v>106</v>
      </c>
      <c r="C87">
        <v>-6942.9657803634236</v>
      </c>
      <c r="D87" s="1">
        <v>0.1047121212121212</v>
      </c>
    </row>
    <row r="88" spans="1:4" x14ac:dyDescent="0.3">
      <c r="A8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8" s="1" t="s">
        <v>106</v>
      </c>
      <c r="C88">
        <v>-7212.8251323059849</v>
      </c>
      <c r="D88" s="1">
        <v>0.1053969696969697</v>
      </c>
    </row>
    <row r="89" spans="1:4" x14ac:dyDescent="0.3">
      <c r="A8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89" s="1" t="s">
        <v>106</v>
      </c>
      <c r="C89">
        <v>-7424.1302039493676</v>
      </c>
      <c r="D89" s="1">
        <v>0.10608181818181819</v>
      </c>
    </row>
    <row r="90" spans="1:4" x14ac:dyDescent="0.3">
      <c r="A9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0" s="1" t="s">
        <v>106</v>
      </c>
      <c r="C90">
        <v>-7757.3561976462179</v>
      </c>
      <c r="D90" s="1">
        <v>0.1067666666666667</v>
      </c>
    </row>
    <row r="91" spans="1:4" x14ac:dyDescent="0.3">
      <c r="A91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1" s="1" t="s">
        <v>106</v>
      </c>
      <c r="C91">
        <v>-8136.3088402570474</v>
      </c>
      <c r="D91" s="1">
        <v>0.1074515151515152</v>
      </c>
    </row>
    <row r="92" spans="1:4" x14ac:dyDescent="0.3">
      <c r="A92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2" s="1" t="s">
        <v>106</v>
      </c>
      <c r="C92">
        <v>-8502.4783413262321</v>
      </c>
      <c r="D92" s="1">
        <v>0.1081363636363636</v>
      </c>
    </row>
    <row r="93" spans="1:4" x14ac:dyDescent="0.3">
      <c r="A93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3" s="1" t="s">
        <v>106</v>
      </c>
      <c r="C93">
        <v>-8783.3573500292405</v>
      </c>
      <c r="D93" s="1">
        <v>0.1088212121212121</v>
      </c>
    </row>
    <row r="94" spans="1:4" x14ac:dyDescent="0.3">
      <c r="A94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4" s="1" t="s">
        <v>106</v>
      </c>
      <c r="C94">
        <v>-9070.8860703647497</v>
      </c>
      <c r="D94" s="1">
        <v>0.10950606060606061</v>
      </c>
    </row>
    <row r="95" spans="1:4" x14ac:dyDescent="0.3">
      <c r="A95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5" s="1" t="s">
        <v>106</v>
      </c>
      <c r="C95">
        <v>-9333.2792178917207</v>
      </c>
      <c r="D95" s="1">
        <v>0.1101909090909091</v>
      </c>
    </row>
    <row r="96" spans="1:4" x14ac:dyDescent="0.3">
      <c r="A96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6" s="1" t="s">
        <v>106</v>
      </c>
      <c r="C96">
        <v>-9634.0627812183848</v>
      </c>
      <c r="D96" s="1">
        <v>0.1108757575757576</v>
      </c>
    </row>
    <row r="97" spans="1:4" x14ac:dyDescent="0.3">
      <c r="A97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7" s="1" t="s">
        <v>106</v>
      </c>
      <c r="C97">
        <v>-9970.8739810745828</v>
      </c>
      <c r="D97" s="1">
        <v>0.1115606060606061</v>
      </c>
    </row>
    <row r="98" spans="1:4" x14ac:dyDescent="0.3">
      <c r="A98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8" s="1" t="s">
        <v>106</v>
      </c>
      <c r="C98">
        <v>-10348.13494062374</v>
      </c>
      <c r="D98" s="1">
        <v>0.11224545454545461</v>
      </c>
    </row>
    <row r="99" spans="1:4" x14ac:dyDescent="0.3">
      <c r="A99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99" s="1" t="s">
        <v>106</v>
      </c>
      <c r="C99">
        <v>-10658.004540084719</v>
      </c>
      <c r="D99" s="1">
        <v>0.11293030303030301</v>
      </c>
    </row>
    <row r="100" spans="1:4" x14ac:dyDescent="0.3">
      <c r="A100" t="str">
        <f>IF(Tabelle256789101112[[#This Row],[Auszahlung_aus_der_Szenario_Range]]="","",IFERROR(MID(Sensitivität_bzw_Monte_Carlo_bei_Strom[[#This Row],[Source.Name]],FIND("1",Sensitivität_bzw_Monte_Carlo_bei_Strom[[#This Row],[Source.Name]],1),1),2))</f>
        <v>1</v>
      </c>
      <c r="B100" s="1" t="s">
        <v>106</v>
      </c>
      <c r="C100">
        <v>-11005.173686743819</v>
      </c>
      <c r="D100" s="1">
        <v>0.1136151515151515</v>
      </c>
    </row>
    <row r="101" spans="1:4" x14ac:dyDescent="0.3">
      <c r="A101">
        <f>IF(Tabelle256789101112[[#This Row],[Auszahlung_aus_der_Szenario_Range]]="","",IFERROR(MID(Sensitivität_bzw_Monte_Carlo_bei_Strom[[#This Row],[Source.Name]],FIND("1",Sensitivität_bzw_Monte_Carlo_bei_Strom[[#This Row],[Source.Name]],1),1),2))</f>
        <v>2</v>
      </c>
      <c r="B101" s="1" t="s">
        <v>106</v>
      </c>
      <c r="C101">
        <v>-11270.26503451572</v>
      </c>
      <c r="D101" s="1">
        <v>0.1143</v>
      </c>
    </row>
    <row r="102" spans="1:4" x14ac:dyDescent="0.3">
      <c r="B102" s="1" t="s">
        <v>111</v>
      </c>
      <c r="C102">
        <v>25174.90285761992</v>
      </c>
      <c r="D102">
        <v>4.65E-2</v>
      </c>
    </row>
    <row r="103" spans="1:4" x14ac:dyDescent="0.3">
      <c r="B103" s="1" t="s">
        <v>111</v>
      </c>
      <c r="C103">
        <v>25050.565841666561</v>
      </c>
      <c r="D103">
        <v>4.7184848484848482E-2</v>
      </c>
    </row>
    <row r="104" spans="1:4" x14ac:dyDescent="0.3">
      <c r="B104" s="1" t="s">
        <v>111</v>
      </c>
      <c r="C104">
        <v>24910.594843845371</v>
      </c>
      <c r="D104" s="1">
        <v>4.7869696969696972E-2</v>
      </c>
    </row>
    <row r="105" spans="1:4" x14ac:dyDescent="0.3">
      <c r="B105" s="1" t="s">
        <v>111</v>
      </c>
      <c r="C105">
        <v>24769.56937822999</v>
      </c>
      <c r="D105" s="1">
        <v>4.8554545454545447E-2</v>
      </c>
    </row>
    <row r="106" spans="1:4" x14ac:dyDescent="0.3">
      <c r="B106" s="1" t="s">
        <v>111</v>
      </c>
      <c r="C106">
        <v>24640.904252454289</v>
      </c>
      <c r="D106" s="1">
        <v>4.9239393939393937E-2</v>
      </c>
    </row>
    <row r="107" spans="1:4" x14ac:dyDescent="0.3">
      <c r="B107" s="1" t="s">
        <v>111</v>
      </c>
      <c r="C107">
        <v>24485.55682874014</v>
      </c>
      <c r="D107" s="1">
        <v>4.9924242424242433E-2</v>
      </c>
    </row>
    <row r="108" spans="1:4" x14ac:dyDescent="0.3">
      <c r="B108" s="1" t="s">
        <v>111</v>
      </c>
      <c r="C108">
        <v>24376.797508014311</v>
      </c>
      <c r="D108" s="1">
        <v>5.0609090909090909E-2</v>
      </c>
    </row>
    <row r="109" spans="1:4" x14ac:dyDescent="0.3">
      <c r="B109" s="1" t="s">
        <v>111</v>
      </c>
      <c r="C109">
        <v>24235.370788283421</v>
      </c>
      <c r="D109" s="1">
        <v>5.1293939393939392E-2</v>
      </c>
    </row>
    <row r="110" spans="1:4" x14ac:dyDescent="0.3">
      <c r="B110" s="1" t="s">
        <v>111</v>
      </c>
      <c r="C110">
        <v>24080.023364569272</v>
      </c>
      <c r="D110" s="1">
        <v>5.1978787878787881E-2</v>
      </c>
    </row>
    <row r="111" spans="1:4" x14ac:dyDescent="0.3">
      <c r="B111" s="1" t="s">
        <v>111</v>
      </c>
      <c r="C111">
        <v>23939.20284259379</v>
      </c>
      <c r="D111" s="1">
        <v>5.2663636363636357E-2</v>
      </c>
    </row>
    <row r="112" spans="1:4" x14ac:dyDescent="0.3">
      <c r="B112" s="1" t="s">
        <v>111</v>
      </c>
      <c r="C112">
        <v>23814.834556284732</v>
      </c>
      <c r="D112" s="1">
        <v>5.3348484848484853E-2</v>
      </c>
    </row>
    <row r="113" spans="2:4" x14ac:dyDescent="0.3">
      <c r="B113" s="1" t="s">
        <v>111</v>
      </c>
      <c r="C113">
        <v>23689.487074762968</v>
      </c>
      <c r="D113" s="1">
        <v>5.4033333333333343E-2</v>
      </c>
    </row>
    <row r="114" spans="2:4" x14ac:dyDescent="0.3">
      <c r="B114" s="1" t="s">
        <v>111</v>
      </c>
      <c r="C114">
        <v>23548.259556825891</v>
      </c>
      <c r="D114" s="1">
        <v>5.4718181818181819E-2</v>
      </c>
    </row>
    <row r="115" spans="2:4" x14ac:dyDescent="0.3">
      <c r="B115" s="1" t="s">
        <v>111</v>
      </c>
      <c r="C115">
        <v>23423.02333707552</v>
      </c>
      <c r="D115" s="1">
        <v>5.5403030303030301E-2</v>
      </c>
    </row>
    <row r="116" spans="2:4" x14ac:dyDescent="0.3">
      <c r="B116" s="1" t="s">
        <v>111</v>
      </c>
      <c r="C116">
        <v>23280.641978462689</v>
      </c>
      <c r="D116" s="1">
        <v>5.6087878787878777E-2</v>
      </c>
    </row>
    <row r="117" spans="2:4" x14ac:dyDescent="0.3">
      <c r="B117" s="1" t="s">
        <v>111</v>
      </c>
      <c r="C117">
        <v>23138.634357197501</v>
      </c>
      <c r="D117" s="1">
        <v>5.6772727272727273E-2</v>
      </c>
    </row>
    <row r="118" spans="2:4" x14ac:dyDescent="0.3">
      <c r="B118" s="1" t="s">
        <v>111</v>
      </c>
      <c r="C118">
        <v>23041.854164152861</v>
      </c>
      <c r="D118" s="1">
        <v>5.7457575757575763E-2</v>
      </c>
    </row>
    <row r="119" spans="2:4" x14ac:dyDescent="0.3">
      <c r="B119" s="1" t="s">
        <v>111</v>
      </c>
      <c r="C119">
        <v>22901.452369500039</v>
      </c>
      <c r="D119" s="1">
        <v>5.8142424242424252E-2</v>
      </c>
    </row>
    <row r="120" spans="2:4" x14ac:dyDescent="0.3">
      <c r="B120" s="1" t="s">
        <v>111</v>
      </c>
      <c r="C120">
        <v>22746.104945785901</v>
      </c>
      <c r="D120" s="1">
        <v>5.8827272727272728E-2</v>
      </c>
    </row>
    <row r="121" spans="2:4" x14ac:dyDescent="0.3">
      <c r="B121" s="1" t="s">
        <v>111</v>
      </c>
      <c r="C121">
        <v>22590.757522071741</v>
      </c>
      <c r="D121" s="1">
        <v>5.9512121212121211E-2</v>
      </c>
    </row>
    <row r="122" spans="2:4" x14ac:dyDescent="0.3">
      <c r="B122" s="1" t="s">
        <v>111</v>
      </c>
      <c r="C122">
        <v>22451.22973848589</v>
      </c>
      <c r="D122" s="1">
        <v>6.0196969696969693E-2</v>
      </c>
    </row>
    <row r="123" spans="2:4" x14ac:dyDescent="0.3">
      <c r="B123" s="1" t="s">
        <v>111</v>
      </c>
      <c r="C123">
        <v>22355.37503516423</v>
      </c>
      <c r="D123" s="1">
        <v>6.0881818181818183E-2</v>
      </c>
    </row>
    <row r="124" spans="2:4" x14ac:dyDescent="0.3">
      <c r="B124" s="1" t="s">
        <v>111</v>
      </c>
      <c r="C124">
        <v>22213.948315433328</v>
      </c>
      <c r="D124" s="1">
        <v>6.1566666666666672E-2</v>
      </c>
    </row>
    <row r="125" spans="2:4" x14ac:dyDescent="0.3">
      <c r="B125" s="1" t="s">
        <v>111</v>
      </c>
      <c r="C125">
        <v>22073.977317612131</v>
      </c>
      <c r="D125" s="1">
        <v>6.2251515151515148E-2</v>
      </c>
    </row>
    <row r="126" spans="2:4" x14ac:dyDescent="0.3">
      <c r="B126" s="1" t="s">
        <v>111</v>
      </c>
      <c r="C126">
        <v>21918.629893897982</v>
      </c>
      <c r="D126" s="1">
        <v>6.2936363636363638E-2</v>
      </c>
    </row>
    <row r="127" spans="2:4" ht="13.8" customHeight="1" x14ac:dyDescent="0.3">
      <c r="B127" s="1" t="s">
        <v>111</v>
      </c>
      <c r="C127">
        <v>21791.168854506061</v>
      </c>
      <c r="D127" s="1">
        <v>6.362121212121212E-2</v>
      </c>
    </row>
    <row r="128" spans="2:4" x14ac:dyDescent="0.3">
      <c r="B128" s="1" t="s">
        <v>111</v>
      </c>
      <c r="C128">
        <v>21681.58381049598</v>
      </c>
      <c r="D128" s="1">
        <v>6.4306060606060603E-2</v>
      </c>
    </row>
    <row r="129" spans="2:4" x14ac:dyDescent="0.3">
      <c r="B129" s="1" t="s">
        <v>111</v>
      </c>
      <c r="C129">
        <v>21552.743840825889</v>
      </c>
      <c r="D129" s="1">
        <v>6.4990909090909099E-2</v>
      </c>
    </row>
    <row r="130" spans="2:4" x14ac:dyDescent="0.3">
      <c r="B130" s="1" t="s">
        <v>111</v>
      </c>
      <c r="C130">
        <v>21412.342046173071</v>
      </c>
      <c r="D130" s="1">
        <v>6.5675757575757582E-2</v>
      </c>
    </row>
    <row r="131" spans="2:4" x14ac:dyDescent="0.3">
      <c r="B131" s="1" t="s">
        <v>111</v>
      </c>
      <c r="C131">
        <v>21287.136220685989</v>
      </c>
      <c r="D131" s="1">
        <v>6.6360606060606064E-2</v>
      </c>
    </row>
    <row r="132" spans="2:4" x14ac:dyDescent="0.3">
      <c r="B132" s="1" t="s">
        <v>111</v>
      </c>
      <c r="C132">
        <v>21131.788796971839</v>
      </c>
      <c r="D132" s="1">
        <v>6.7045454545454547E-2</v>
      </c>
    </row>
    <row r="133" spans="2:4" x14ac:dyDescent="0.3">
      <c r="B133" s="1" t="s">
        <v>111</v>
      </c>
      <c r="C133">
        <v>21007.876500224451</v>
      </c>
      <c r="D133" s="1">
        <v>6.773030303030303E-2</v>
      </c>
    </row>
    <row r="134" spans="2:4" x14ac:dyDescent="0.3">
      <c r="B134" s="1" t="s">
        <v>111</v>
      </c>
      <c r="C134">
        <v>20852.529076510309</v>
      </c>
      <c r="D134" s="1">
        <v>6.8415151515151512E-2</v>
      </c>
    </row>
    <row r="135" spans="2:4" x14ac:dyDescent="0.3">
      <c r="B135" s="1" t="s">
        <v>111</v>
      </c>
      <c r="C135">
        <v>20739.509980427771</v>
      </c>
      <c r="D135" s="1">
        <v>6.9099999999999995E-2</v>
      </c>
    </row>
    <row r="136" spans="2:4" x14ac:dyDescent="0.3">
      <c r="B136" s="1" t="s">
        <v>111</v>
      </c>
      <c r="C136">
        <v>20597.50235916259</v>
      </c>
      <c r="D136" s="1">
        <v>6.9784848484848477E-2</v>
      </c>
    </row>
    <row r="137" spans="2:4" x14ac:dyDescent="0.3">
      <c r="B137" s="1" t="s">
        <v>111</v>
      </c>
      <c r="C137">
        <v>20457.751394151801</v>
      </c>
      <c r="D137" s="1">
        <v>7.0469696969696974E-2</v>
      </c>
    </row>
    <row r="138" spans="2:4" x14ac:dyDescent="0.3">
      <c r="B138" s="1" t="s">
        <v>111</v>
      </c>
      <c r="C138">
        <v>20333.184763732101</v>
      </c>
      <c r="D138" s="1">
        <v>7.1154545454545456E-2</v>
      </c>
    </row>
    <row r="139" spans="2:4" x14ac:dyDescent="0.3">
      <c r="B139" s="1" t="s">
        <v>111</v>
      </c>
      <c r="C139">
        <v>20191.75804400121</v>
      </c>
      <c r="D139" s="1">
        <v>7.1839393939393939E-2</v>
      </c>
    </row>
    <row r="140" spans="2:4" x14ac:dyDescent="0.3">
      <c r="B140" s="1" t="s">
        <v>111</v>
      </c>
      <c r="C140">
        <v>20062.907377075429</v>
      </c>
      <c r="D140" s="1">
        <v>7.2524242424242422E-2</v>
      </c>
    </row>
    <row r="141" spans="2:4" x14ac:dyDescent="0.3">
      <c r="B141" s="1" t="s">
        <v>111</v>
      </c>
      <c r="C141">
        <v>19938.325222550899</v>
      </c>
      <c r="D141" s="1">
        <v>7.3209090909090918E-2</v>
      </c>
    </row>
    <row r="142" spans="2:4" x14ac:dyDescent="0.3">
      <c r="B142" s="1" t="s">
        <v>111</v>
      </c>
      <c r="C142">
        <v>19797.097704613829</v>
      </c>
      <c r="D142" s="1">
        <v>7.3893939393939401E-2</v>
      </c>
    </row>
    <row r="143" spans="2:4" x14ac:dyDescent="0.3">
      <c r="B143" s="1" t="s">
        <v>111</v>
      </c>
      <c r="C143">
        <v>19658.025910589651</v>
      </c>
      <c r="D143" s="1">
        <v>7.4578787878787883E-2</v>
      </c>
    </row>
    <row r="144" spans="2:4" x14ac:dyDescent="0.3">
      <c r="B144" s="1" t="s">
        <v>111</v>
      </c>
      <c r="C144">
        <v>19532.159942251059</v>
      </c>
      <c r="D144" s="1">
        <v>7.5263636363636366E-2</v>
      </c>
    </row>
    <row r="145" spans="2:4" x14ac:dyDescent="0.3">
      <c r="B145" s="1" t="s">
        <v>111</v>
      </c>
      <c r="C145">
        <v>19405.913256932279</v>
      </c>
      <c r="D145" s="1">
        <v>7.5948484848484848E-2</v>
      </c>
    </row>
    <row r="146" spans="2:4" x14ac:dyDescent="0.3">
      <c r="B146" s="1" t="s">
        <v>111</v>
      </c>
      <c r="C146">
        <v>19250.56583321813</v>
      </c>
      <c r="D146" s="1">
        <v>7.6633333333333331E-2</v>
      </c>
    </row>
    <row r="147" spans="2:4" x14ac:dyDescent="0.3">
      <c r="B147" s="1" t="s">
        <v>111</v>
      </c>
      <c r="C147">
        <v>19110.814868207359</v>
      </c>
      <c r="D147" s="1">
        <v>7.7318181818181814E-2</v>
      </c>
    </row>
    <row r="148" spans="2:4" x14ac:dyDescent="0.3">
      <c r="B148" s="1" t="s">
        <v>111</v>
      </c>
      <c r="C148">
        <v>18999.191967706902</v>
      </c>
      <c r="D148" s="1">
        <v>7.8003030303030296E-2</v>
      </c>
    </row>
    <row r="149" spans="2:4" x14ac:dyDescent="0.3">
      <c r="B149" s="1" t="s">
        <v>111</v>
      </c>
      <c r="C149">
        <v>18843.84454399276</v>
      </c>
      <c r="D149" s="1">
        <v>7.8687878787878779E-2</v>
      </c>
    </row>
    <row r="150" spans="2:4" x14ac:dyDescent="0.3">
      <c r="B150" s="1" t="s">
        <v>111</v>
      </c>
      <c r="C150">
        <v>18715.834696993181</v>
      </c>
      <c r="D150" s="1">
        <v>7.9372727272727275E-2</v>
      </c>
    </row>
    <row r="151" spans="2:4" x14ac:dyDescent="0.3">
      <c r="B151" s="1" t="s">
        <v>111</v>
      </c>
      <c r="C151">
        <v>18576.306913407341</v>
      </c>
      <c r="D151" s="1">
        <v>8.0057575757575758E-2</v>
      </c>
    </row>
    <row r="152" spans="2:4" x14ac:dyDescent="0.3">
      <c r="B152" s="1" t="s">
        <v>111</v>
      </c>
      <c r="C152">
        <v>18420.959489693189</v>
      </c>
      <c r="D152" s="1">
        <v>8.0742424242424241E-2</v>
      </c>
    </row>
    <row r="153" spans="2:4" x14ac:dyDescent="0.3">
      <c r="B153" s="1" t="s">
        <v>111</v>
      </c>
      <c r="C153">
        <v>18310.754028713589</v>
      </c>
      <c r="D153" s="1">
        <v>8.1427272727272737E-2</v>
      </c>
    </row>
    <row r="154" spans="2:4" x14ac:dyDescent="0.3">
      <c r="B154" s="1" t="s">
        <v>111</v>
      </c>
      <c r="C154">
        <v>18170.566102276229</v>
      </c>
      <c r="D154" s="1">
        <v>8.211212121212122E-2</v>
      </c>
    </row>
    <row r="155" spans="2:4" x14ac:dyDescent="0.3">
      <c r="B155" s="1" t="s">
        <v>111</v>
      </c>
      <c r="C155">
        <v>18043.934906903982</v>
      </c>
      <c r="D155" s="1">
        <v>8.2796969696969702E-2</v>
      </c>
    </row>
    <row r="156" spans="2:4" x14ac:dyDescent="0.3">
      <c r="B156" s="1" t="s">
        <v>111</v>
      </c>
      <c r="C156">
        <v>17915.490530508549</v>
      </c>
      <c r="D156" s="1">
        <v>8.3481818181818185E-2</v>
      </c>
    </row>
    <row r="157" spans="2:4" x14ac:dyDescent="0.3">
      <c r="B157" s="1" t="s">
        <v>111</v>
      </c>
      <c r="C157">
        <v>17790.061523596542</v>
      </c>
      <c r="D157" s="1">
        <v>8.4166666666666667E-2</v>
      </c>
    </row>
    <row r="158" spans="2:4" x14ac:dyDescent="0.3">
      <c r="B158" s="1" t="s">
        <v>111</v>
      </c>
      <c r="C158">
        <v>17664.290806793069</v>
      </c>
      <c r="D158" s="1">
        <v>8.485151515151515E-2</v>
      </c>
    </row>
    <row r="159" spans="2:4" x14ac:dyDescent="0.3">
      <c r="B159" s="1" t="s">
        <v>111</v>
      </c>
      <c r="C159">
        <v>17508.94338307892</v>
      </c>
      <c r="D159" s="1">
        <v>8.5536363636363633E-2</v>
      </c>
    </row>
    <row r="160" spans="2:4" x14ac:dyDescent="0.3">
      <c r="B160" s="1" t="s">
        <v>111</v>
      </c>
      <c r="C160">
        <v>17368.122861103438</v>
      </c>
      <c r="D160" s="1">
        <v>8.6221212121212115E-2</v>
      </c>
    </row>
    <row r="161" spans="2:4" x14ac:dyDescent="0.3">
      <c r="B161" s="1" t="s">
        <v>111</v>
      </c>
      <c r="C161">
        <v>17242.319390020009</v>
      </c>
      <c r="D161" s="1">
        <v>8.6906060606060598E-2</v>
      </c>
    </row>
    <row r="162" spans="2:4" x14ac:dyDescent="0.3">
      <c r="B162" s="1" t="s">
        <v>111</v>
      </c>
      <c r="C162">
        <v>17101.70674437669</v>
      </c>
      <c r="D162" s="1">
        <v>8.7590909090909094E-2</v>
      </c>
    </row>
    <row r="163" spans="2:4" x14ac:dyDescent="0.3">
      <c r="B163" s="1" t="s">
        <v>111</v>
      </c>
      <c r="C163">
        <v>16975.601015453831</v>
      </c>
      <c r="D163" s="1">
        <v>8.8275757575757577E-2</v>
      </c>
    </row>
    <row r="164" spans="2:4" x14ac:dyDescent="0.3">
      <c r="B164" s="1" t="s">
        <v>111</v>
      </c>
      <c r="C164">
        <v>16835.199220801009</v>
      </c>
      <c r="D164" s="1">
        <v>8.8960606060606059E-2</v>
      </c>
    </row>
    <row r="165" spans="2:4" x14ac:dyDescent="0.3">
      <c r="B165" s="1" t="s">
        <v>111</v>
      </c>
      <c r="C165">
        <v>16695.011294363649</v>
      </c>
      <c r="D165" s="1">
        <v>8.9645454545454556E-2</v>
      </c>
    </row>
    <row r="166" spans="2:4" x14ac:dyDescent="0.3">
      <c r="B166" s="1" t="s">
        <v>111</v>
      </c>
      <c r="C166">
        <v>16555.04029654244</v>
      </c>
      <c r="D166" s="1">
        <v>9.0330303030303039E-2</v>
      </c>
    </row>
    <row r="167" spans="2:4" x14ac:dyDescent="0.3">
      <c r="B167" s="1" t="s">
        <v>111</v>
      </c>
      <c r="C167">
        <v>16415.289331531661</v>
      </c>
      <c r="D167" s="1">
        <v>9.1015151515151521E-2</v>
      </c>
    </row>
    <row r="168" spans="2:4" x14ac:dyDescent="0.3">
      <c r="B168" s="1" t="s">
        <v>111</v>
      </c>
      <c r="C168">
        <v>16289.90862702439</v>
      </c>
      <c r="D168" s="1">
        <v>9.1700000000000004E-2</v>
      </c>
    </row>
    <row r="169" spans="2:4" x14ac:dyDescent="0.3">
      <c r="B169" s="1" t="s">
        <v>111</v>
      </c>
      <c r="C169">
        <v>16148.68110908732</v>
      </c>
      <c r="D169" s="1">
        <v>9.2384848484848486E-2</v>
      </c>
    </row>
    <row r="170" spans="2:4" x14ac:dyDescent="0.3">
      <c r="B170" s="1" t="s">
        <v>111</v>
      </c>
      <c r="C170">
        <v>16022.304931752869</v>
      </c>
      <c r="D170" s="1">
        <v>9.3069696969696969E-2</v>
      </c>
    </row>
    <row r="171" spans="2:4" x14ac:dyDescent="0.3">
      <c r="B171" s="1" t="s">
        <v>111</v>
      </c>
      <c r="C171">
        <v>15881.27946613749</v>
      </c>
      <c r="D171" s="1">
        <v>9.3754545454545452E-2</v>
      </c>
    </row>
    <row r="172" spans="2:4" x14ac:dyDescent="0.3">
      <c r="B172" s="1" t="s">
        <v>111</v>
      </c>
      <c r="C172">
        <v>15725.932042423339</v>
      </c>
      <c r="D172" s="1">
        <v>9.4439393939393934E-2</v>
      </c>
    </row>
    <row r="173" spans="2:4" x14ac:dyDescent="0.3">
      <c r="B173" s="1" t="s">
        <v>111</v>
      </c>
      <c r="C173">
        <v>15613.812150137839</v>
      </c>
      <c r="D173" s="1">
        <v>9.5124242424242417E-2</v>
      </c>
    </row>
    <row r="174" spans="2:4" x14ac:dyDescent="0.3">
      <c r="B174" s="1" t="s">
        <v>111</v>
      </c>
      <c r="C174">
        <v>15486.53930694347</v>
      </c>
      <c r="D174" s="1">
        <v>9.5809090909090913E-2</v>
      </c>
    </row>
    <row r="175" spans="2:4" x14ac:dyDescent="0.3">
      <c r="B175" s="1" t="s">
        <v>111</v>
      </c>
      <c r="C175">
        <v>15359.66820397771</v>
      </c>
      <c r="D175" s="1">
        <v>9.6493939393939396E-2</v>
      </c>
    </row>
    <row r="176" spans="2:4" x14ac:dyDescent="0.3">
      <c r="B176" s="1" t="s">
        <v>111</v>
      </c>
      <c r="C176">
        <v>15234.85670343329</v>
      </c>
      <c r="D176" s="1">
        <v>9.7178787878787878E-2</v>
      </c>
    </row>
    <row r="177" spans="2:4" x14ac:dyDescent="0.3">
      <c r="B177" s="1" t="s">
        <v>111</v>
      </c>
      <c r="C177">
        <v>15108.830050924929</v>
      </c>
      <c r="D177" s="1">
        <v>9.7863636363636375E-2</v>
      </c>
    </row>
    <row r="178" spans="2:4" x14ac:dyDescent="0.3">
      <c r="B178" s="1" t="s">
        <v>111</v>
      </c>
      <c r="C178">
        <v>14969.528642434399</v>
      </c>
      <c r="D178" s="1">
        <v>9.8548484848484857E-2</v>
      </c>
    </row>
    <row r="179" spans="2:4" x14ac:dyDescent="0.3">
      <c r="B179" s="1" t="s">
        <v>111</v>
      </c>
      <c r="C179">
        <v>14814.18121872025</v>
      </c>
      <c r="D179" s="1">
        <v>9.923333333333334E-2</v>
      </c>
    </row>
    <row r="180" spans="2:4" x14ac:dyDescent="0.3">
      <c r="B180" s="1" t="s">
        <v>111</v>
      </c>
      <c r="C180">
        <v>14674.653435134411</v>
      </c>
      <c r="D180" s="1">
        <v>9.9918181818181823E-2</v>
      </c>
    </row>
    <row r="181" spans="2:4" x14ac:dyDescent="0.3">
      <c r="B181" s="1" t="s">
        <v>111</v>
      </c>
      <c r="C181">
        <v>14531.908810064</v>
      </c>
      <c r="D181" s="1">
        <v>0.10060303030303031</v>
      </c>
    </row>
    <row r="182" spans="2:4" x14ac:dyDescent="0.3">
      <c r="B182" s="1" t="s">
        <v>111</v>
      </c>
      <c r="C182">
        <v>14376.56138634986</v>
      </c>
      <c r="D182" s="1">
        <v>0.1012878787878788</v>
      </c>
    </row>
    <row r="183" spans="2:4" x14ac:dyDescent="0.3">
      <c r="B183" s="1" t="s">
        <v>111</v>
      </c>
      <c r="C183">
        <v>14262.03771393768</v>
      </c>
      <c r="D183" s="1">
        <v>0.1019727272727273</v>
      </c>
    </row>
    <row r="184" spans="2:4" x14ac:dyDescent="0.3">
      <c r="B184" s="1" t="s">
        <v>111</v>
      </c>
      <c r="C184">
        <v>14137.28787801227</v>
      </c>
      <c r="D184" s="1">
        <v>0.10265757575757579</v>
      </c>
    </row>
    <row r="185" spans="2:4" x14ac:dyDescent="0.3">
      <c r="B185" s="1" t="s">
        <v>111</v>
      </c>
      <c r="C185">
        <v>14011.202134107631</v>
      </c>
      <c r="D185" s="1">
        <v>0.10334242424242419</v>
      </c>
    </row>
    <row r="186" spans="2:4" x14ac:dyDescent="0.3">
      <c r="B186" s="1" t="s">
        <v>111</v>
      </c>
      <c r="C186">
        <v>13916.932721327899</v>
      </c>
      <c r="D186" s="1">
        <v>0.1040272727272727</v>
      </c>
    </row>
    <row r="187" spans="2:4" x14ac:dyDescent="0.3">
      <c r="B187" s="1" t="s">
        <v>111</v>
      </c>
      <c r="C187">
        <v>13774.55136271507</v>
      </c>
      <c r="D187" s="1">
        <v>0.1047121212121212</v>
      </c>
    </row>
    <row r="188" spans="2:4" x14ac:dyDescent="0.3">
      <c r="B188" s="1" t="s">
        <v>111</v>
      </c>
      <c r="C188">
        <v>13635.24995422455</v>
      </c>
      <c r="D188" s="1">
        <v>0.1053969696969697</v>
      </c>
    </row>
    <row r="189" spans="2:4" x14ac:dyDescent="0.3">
      <c r="B189" s="1" t="s">
        <v>111</v>
      </c>
      <c r="C189">
        <v>13479.902530510401</v>
      </c>
      <c r="D189" s="1">
        <v>0.10608181818181819</v>
      </c>
    </row>
    <row r="190" spans="2:4" x14ac:dyDescent="0.3">
      <c r="B190" s="1" t="s">
        <v>111</v>
      </c>
      <c r="C190">
        <v>13340.37474692455</v>
      </c>
      <c r="D190" s="1">
        <v>0.1067666666666667</v>
      </c>
    </row>
    <row r="191" spans="2:4" x14ac:dyDescent="0.3">
      <c r="B191" s="1" t="s">
        <v>111</v>
      </c>
      <c r="C191">
        <v>13198.178929461799</v>
      </c>
      <c r="D191" s="1">
        <v>0.1074515151515152</v>
      </c>
    </row>
    <row r="192" spans="2:4" x14ac:dyDescent="0.3">
      <c r="B192" s="1" t="s">
        <v>111</v>
      </c>
      <c r="C192">
        <v>13042.83150574765</v>
      </c>
      <c r="D192" s="1">
        <v>0.1081363636363636</v>
      </c>
    </row>
    <row r="193" spans="2:4" x14ac:dyDescent="0.3">
      <c r="B193" s="1" t="s">
        <v>111</v>
      </c>
      <c r="C193">
        <v>12928.078888671929</v>
      </c>
      <c r="D193" s="1">
        <v>0.1088212121212121</v>
      </c>
    </row>
    <row r="194" spans="2:4" x14ac:dyDescent="0.3">
      <c r="B194" s="1" t="s">
        <v>111</v>
      </c>
      <c r="C194">
        <v>12789.007094647761</v>
      </c>
      <c r="D194" s="1">
        <v>0.10950606060606061</v>
      </c>
    </row>
    <row r="195" spans="2:4" x14ac:dyDescent="0.3">
      <c r="B195" s="1" t="s">
        <v>111</v>
      </c>
      <c r="C195">
        <v>12633.65967093361</v>
      </c>
      <c r="D195" s="1">
        <v>0.1101909090909091</v>
      </c>
    </row>
    <row r="196" spans="2:4" x14ac:dyDescent="0.3">
      <c r="B196" s="1" t="s">
        <v>111</v>
      </c>
      <c r="C196">
        <v>12509.28513181577</v>
      </c>
      <c r="D196" s="1">
        <v>0.1108757575757576</v>
      </c>
    </row>
    <row r="197" spans="2:4" x14ac:dyDescent="0.3">
      <c r="B197" s="1" t="s">
        <v>111</v>
      </c>
      <c r="C197">
        <v>12427.626472348011</v>
      </c>
      <c r="D197" s="1">
        <v>0.1115606060606061</v>
      </c>
    </row>
    <row r="198" spans="2:4" x14ac:dyDescent="0.3">
      <c r="B198" s="1" t="s">
        <v>111</v>
      </c>
      <c r="C198">
        <v>12316.365673617811</v>
      </c>
      <c r="D198" s="1">
        <v>0.11224545454545461</v>
      </c>
    </row>
    <row r="199" spans="2:4" x14ac:dyDescent="0.3">
      <c r="B199" s="1" t="s">
        <v>111</v>
      </c>
      <c r="C199">
        <v>12161.01824990366</v>
      </c>
      <c r="D199" s="1">
        <v>0.11293030303030301</v>
      </c>
    </row>
    <row r="200" spans="2:4" x14ac:dyDescent="0.3">
      <c r="B200" s="1" t="s">
        <v>111</v>
      </c>
      <c r="C200">
        <v>12021.490466317809</v>
      </c>
      <c r="D200" s="1">
        <v>0.1136151515151515</v>
      </c>
    </row>
    <row r="201" spans="2:4" x14ac:dyDescent="0.3">
      <c r="B201" s="1" t="s">
        <v>111</v>
      </c>
      <c r="C201">
        <v>11866.14304260367</v>
      </c>
      <c r="D201" s="1">
        <v>0.1143</v>
      </c>
    </row>
    <row r="202" spans="2:4" x14ac:dyDescent="0.3">
      <c r="B2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3" spans="2:4" x14ac:dyDescent="0.3">
      <c r="B2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4" spans="2:4" x14ac:dyDescent="0.3">
      <c r="B2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5" spans="2:4" x14ac:dyDescent="0.3">
      <c r="B2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6" spans="2:4" x14ac:dyDescent="0.3">
      <c r="B2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7" spans="2:4" x14ac:dyDescent="0.3">
      <c r="B2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8" spans="2:4" x14ac:dyDescent="0.3">
      <c r="B2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9" spans="2:2" x14ac:dyDescent="0.3">
      <c r="B2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0" spans="2:2" x14ac:dyDescent="0.3">
      <c r="B2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1" spans="2:2" x14ac:dyDescent="0.3">
      <c r="B2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2" spans="2:2" x14ac:dyDescent="0.3">
      <c r="B2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3" spans="2:2" x14ac:dyDescent="0.3">
      <c r="B2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4" spans="2:2" x14ac:dyDescent="0.3">
      <c r="B2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5" spans="2:2" x14ac:dyDescent="0.3">
      <c r="B2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6" spans="2:2" x14ac:dyDescent="0.3">
      <c r="B2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7" spans="2:2" x14ac:dyDescent="0.3">
      <c r="B2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8" spans="2:2" x14ac:dyDescent="0.3">
      <c r="B2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9" spans="2:2" x14ac:dyDescent="0.3">
      <c r="B2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0" spans="2:2" x14ac:dyDescent="0.3">
      <c r="B2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1" spans="2:2" x14ac:dyDescent="0.3">
      <c r="B2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2" spans="2:2" x14ac:dyDescent="0.3">
      <c r="B2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3" spans="2:2" x14ac:dyDescent="0.3">
      <c r="B2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4" spans="2:2" x14ac:dyDescent="0.3">
      <c r="B2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5" spans="2:2" x14ac:dyDescent="0.3">
      <c r="B2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6" spans="2:2" x14ac:dyDescent="0.3">
      <c r="B2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7" spans="2:2" x14ac:dyDescent="0.3">
      <c r="B2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8" spans="2:2" x14ac:dyDescent="0.3">
      <c r="B2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9" spans="2:2" x14ac:dyDescent="0.3">
      <c r="B2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0" spans="2:2" x14ac:dyDescent="0.3">
      <c r="B2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1" spans="2:2" x14ac:dyDescent="0.3">
      <c r="B2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2" spans="2:2" x14ac:dyDescent="0.3">
      <c r="B2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3" spans="2:2" x14ac:dyDescent="0.3">
      <c r="B2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4" spans="2:2" x14ac:dyDescent="0.3">
      <c r="B2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5" spans="2:2" x14ac:dyDescent="0.3">
      <c r="B2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6" spans="2:2" x14ac:dyDescent="0.3">
      <c r="B2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7" spans="2:2" x14ac:dyDescent="0.3">
      <c r="B2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8" spans="2:2" x14ac:dyDescent="0.3">
      <c r="B2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9" spans="2:2" x14ac:dyDescent="0.3">
      <c r="B2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0" spans="2:2" x14ac:dyDescent="0.3">
      <c r="B2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1" spans="2:2" x14ac:dyDescent="0.3">
      <c r="B2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2" spans="2:2" x14ac:dyDescent="0.3">
      <c r="B2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3" spans="2:2" x14ac:dyDescent="0.3">
      <c r="B2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4" spans="2:2" x14ac:dyDescent="0.3">
      <c r="B2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5" spans="2:2" x14ac:dyDescent="0.3">
      <c r="B2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6" spans="2:2" x14ac:dyDescent="0.3">
      <c r="B2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7" spans="2:2" x14ac:dyDescent="0.3">
      <c r="B2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8" spans="2:2" x14ac:dyDescent="0.3">
      <c r="B2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9" spans="2:2" x14ac:dyDescent="0.3">
      <c r="B2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0" spans="2:2" x14ac:dyDescent="0.3">
      <c r="B2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1" spans="2:2" x14ac:dyDescent="0.3">
      <c r="B2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2" spans="2:2" x14ac:dyDescent="0.3">
      <c r="B2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3" spans="2:2" x14ac:dyDescent="0.3">
      <c r="B2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4" spans="2:2" x14ac:dyDescent="0.3">
      <c r="B2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5" spans="2:2" x14ac:dyDescent="0.3">
      <c r="B2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6" spans="2:2" x14ac:dyDescent="0.3">
      <c r="B2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7" spans="2:2" x14ac:dyDescent="0.3">
      <c r="B2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8" spans="2:2" x14ac:dyDescent="0.3">
      <c r="B2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9" spans="2:2" x14ac:dyDescent="0.3">
      <c r="B2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0" spans="2:2" x14ac:dyDescent="0.3">
      <c r="B2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1" spans="2:2" x14ac:dyDescent="0.3">
      <c r="B2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2" spans="2:2" x14ac:dyDescent="0.3">
      <c r="B2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3" spans="2:2" x14ac:dyDescent="0.3">
      <c r="B2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4" spans="2:2" x14ac:dyDescent="0.3">
      <c r="B2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5" spans="2:2" x14ac:dyDescent="0.3">
      <c r="B2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6" spans="2:2" x14ac:dyDescent="0.3">
      <c r="B2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7" spans="2:2" x14ac:dyDescent="0.3">
      <c r="B2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8" spans="2:2" x14ac:dyDescent="0.3">
      <c r="B2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9" spans="2:2" x14ac:dyDescent="0.3">
      <c r="B2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0" spans="2:2" x14ac:dyDescent="0.3">
      <c r="B2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1" spans="2:2" x14ac:dyDescent="0.3">
      <c r="B2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2" spans="2:2" x14ac:dyDescent="0.3">
      <c r="B2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3" spans="2:2" x14ac:dyDescent="0.3">
      <c r="B2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4" spans="2:2" x14ac:dyDescent="0.3">
      <c r="B2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5" spans="2:2" x14ac:dyDescent="0.3">
      <c r="B2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6" spans="2:2" x14ac:dyDescent="0.3">
      <c r="B2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7" spans="2:2" x14ac:dyDescent="0.3">
      <c r="B2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8" spans="2:2" x14ac:dyDescent="0.3">
      <c r="B2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9" spans="2:2" x14ac:dyDescent="0.3">
      <c r="B2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0" spans="2:2" x14ac:dyDescent="0.3">
      <c r="B2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1" spans="2:2" x14ac:dyDescent="0.3">
      <c r="B2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2" spans="2:2" x14ac:dyDescent="0.3">
      <c r="B2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3" spans="2:2" x14ac:dyDescent="0.3">
      <c r="B2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4" spans="2:2" x14ac:dyDescent="0.3">
      <c r="B2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5" spans="2:2" x14ac:dyDescent="0.3">
      <c r="B2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6" spans="2:2" x14ac:dyDescent="0.3">
      <c r="B2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7" spans="2:2" x14ac:dyDescent="0.3">
      <c r="B2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8" spans="2:2" x14ac:dyDescent="0.3">
      <c r="B2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9" spans="2:2" x14ac:dyDescent="0.3">
      <c r="B2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0" spans="2:2" x14ac:dyDescent="0.3">
      <c r="B2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1" spans="2:2" x14ac:dyDescent="0.3">
      <c r="B2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2" spans="2:2" x14ac:dyDescent="0.3">
      <c r="B2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3" spans="2:2" x14ac:dyDescent="0.3">
      <c r="B2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4" spans="2:2" x14ac:dyDescent="0.3">
      <c r="B2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5" spans="2:2" x14ac:dyDescent="0.3">
      <c r="B2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6" spans="2:2" x14ac:dyDescent="0.3">
      <c r="B2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7" spans="2:2" x14ac:dyDescent="0.3">
      <c r="B2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8" spans="2:2" x14ac:dyDescent="0.3">
      <c r="B2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9" spans="2:2" x14ac:dyDescent="0.3">
      <c r="B2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0" spans="2:2" x14ac:dyDescent="0.3">
      <c r="B3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1" spans="2:2" x14ac:dyDescent="0.3">
      <c r="B3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2" spans="2:2" x14ac:dyDescent="0.3">
      <c r="B3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3" spans="2:2" x14ac:dyDescent="0.3">
      <c r="B3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4" spans="2:2" x14ac:dyDescent="0.3">
      <c r="B3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5" spans="2:2" x14ac:dyDescent="0.3">
      <c r="B3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6" spans="2:2" x14ac:dyDescent="0.3">
      <c r="B3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7" spans="2:2" x14ac:dyDescent="0.3">
      <c r="B3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8" spans="2:2" x14ac:dyDescent="0.3">
      <c r="B3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9" spans="2:2" x14ac:dyDescent="0.3">
      <c r="B3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0" spans="2:2" x14ac:dyDescent="0.3">
      <c r="B3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1" spans="2:2" x14ac:dyDescent="0.3">
      <c r="B3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2" spans="2:2" x14ac:dyDescent="0.3">
      <c r="B3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3" spans="2:2" x14ac:dyDescent="0.3">
      <c r="B3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4" spans="2:2" x14ac:dyDescent="0.3">
      <c r="B3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5" spans="2:2" x14ac:dyDescent="0.3">
      <c r="B3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6" spans="2:2" x14ac:dyDescent="0.3">
      <c r="B3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7" spans="2:2" x14ac:dyDescent="0.3">
      <c r="B3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8" spans="2:2" x14ac:dyDescent="0.3">
      <c r="B3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9" spans="2:2" x14ac:dyDescent="0.3">
      <c r="B3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0" spans="2:2" x14ac:dyDescent="0.3">
      <c r="B3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1" spans="2:2" x14ac:dyDescent="0.3">
      <c r="B3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2" spans="2:2" x14ac:dyDescent="0.3">
      <c r="B3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3" spans="2:2" x14ac:dyDescent="0.3">
      <c r="B3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4" spans="2:2" x14ac:dyDescent="0.3">
      <c r="B3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5" spans="2:2" x14ac:dyDescent="0.3">
      <c r="B3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6" spans="2:2" x14ac:dyDescent="0.3">
      <c r="B3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7" spans="2:2" x14ac:dyDescent="0.3">
      <c r="B3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8" spans="2:2" x14ac:dyDescent="0.3">
      <c r="B3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9" spans="2:2" x14ac:dyDescent="0.3">
      <c r="B3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0" spans="2:2" x14ac:dyDescent="0.3">
      <c r="B3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1" spans="2:2" x14ac:dyDescent="0.3">
      <c r="B3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2" spans="2:2" x14ac:dyDescent="0.3">
      <c r="B3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3" spans="2:2" x14ac:dyDescent="0.3">
      <c r="B3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4" spans="2:2" x14ac:dyDescent="0.3">
      <c r="B3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5" spans="2:2" x14ac:dyDescent="0.3">
      <c r="B3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6" spans="2:2" x14ac:dyDescent="0.3">
      <c r="B3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7" spans="2:2" x14ac:dyDescent="0.3">
      <c r="B3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8" spans="2:2" x14ac:dyDescent="0.3">
      <c r="B3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9" spans="2:2" x14ac:dyDescent="0.3">
      <c r="B3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0" spans="2:2" x14ac:dyDescent="0.3">
      <c r="B3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1" spans="2:2" x14ac:dyDescent="0.3">
      <c r="B3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2" spans="2:2" x14ac:dyDescent="0.3">
      <c r="B3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3" spans="2:2" x14ac:dyDescent="0.3">
      <c r="B3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4" spans="2:2" x14ac:dyDescent="0.3">
      <c r="B3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5" spans="2:2" x14ac:dyDescent="0.3">
      <c r="B3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6" spans="2:2" x14ac:dyDescent="0.3">
      <c r="B3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7" spans="2:2" x14ac:dyDescent="0.3">
      <c r="B3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8" spans="2:2" x14ac:dyDescent="0.3">
      <c r="B3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9" spans="2:2" x14ac:dyDescent="0.3">
      <c r="B3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0" spans="2:2" x14ac:dyDescent="0.3">
      <c r="B3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1" spans="2:2" x14ac:dyDescent="0.3">
      <c r="B3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2" spans="2:2" x14ac:dyDescent="0.3">
      <c r="B3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3" spans="2:2" x14ac:dyDescent="0.3">
      <c r="B3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4" spans="2:2" x14ac:dyDescent="0.3">
      <c r="B3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5" spans="2:2" x14ac:dyDescent="0.3">
      <c r="B3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6" spans="2:2" x14ac:dyDescent="0.3">
      <c r="B3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7" spans="2:2" x14ac:dyDescent="0.3">
      <c r="B3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8" spans="2:2" x14ac:dyDescent="0.3">
      <c r="B3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9" spans="2:2" x14ac:dyDescent="0.3">
      <c r="B3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0" spans="2:2" x14ac:dyDescent="0.3">
      <c r="B3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1" spans="2:2" x14ac:dyDescent="0.3">
      <c r="B3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2" spans="2:2" x14ac:dyDescent="0.3">
      <c r="B3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3" spans="2:2" x14ac:dyDescent="0.3">
      <c r="B3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4" spans="2:2" x14ac:dyDescent="0.3">
      <c r="B3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5" spans="2:2" x14ac:dyDescent="0.3">
      <c r="B3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6" spans="2:2" x14ac:dyDescent="0.3">
      <c r="B3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7" spans="2:2" x14ac:dyDescent="0.3">
      <c r="B3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8" spans="2:2" x14ac:dyDescent="0.3">
      <c r="B3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9" spans="2:2" x14ac:dyDescent="0.3">
      <c r="B3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0" spans="2:2" x14ac:dyDescent="0.3">
      <c r="B3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1" spans="2:2" x14ac:dyDescent="0.3">
      <c r="B3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2" spans="2:2" x14ac:dyDescent="0.3">
      <c r="B3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3" spans="2:2" x14ac:dyDescent="0.3">
      <c r="B3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4" spans="2:2" x14ac:dyDescent="0.3">
      <c r="B3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5" spans="2:2" x14ac:dyDescent="0.3">
      <c r="B3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6" spans="2:2" x14ac:dyDescent="0.3">
      <c r="B3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7" spans="2:2" x14ac:dyDescent="0.3">
      <c r="B3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8" spans="2:2" x14ac:dyDescent="0.3">
      <c r="B3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9" spans="2:2" x14ac:dyDescent="0.3">
      <c r="B3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0" spans="2:2" x14ac:dyDescent="0.3">
      <c r="B3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1" spans="2:2" x14ac:dyDescent="0.3">
      <c r="B3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2" spans="2:2" x14ac:dyDescent="0.3">
      <c r="B3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3" spans="2:2" x14ac:dyDescent="0.3">
      <c r="B3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4" spans="2:2" x14ac:dyDescent="0.3">
      <c r="B3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5" spans="2:2" x14ac:dyDescent="0.3">
      <c r="B3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6" spans="2:2" x14ac:dyDescent="0.3">
      <c r="B3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7" spans="2:2" x14ac:dyDescent="0.3">
      <c r="B3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8" spans="2:2" x14ac:dyDescent="0.3">
      <c r="B3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9" spans="2:2" x14ac:dyDescent="0.3">
      <c r="B3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0" spans="2:2" x14ac:dyDescent="0.3">
      <c r="B3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1" spans="2:2" x14ac:dyDescent="0.3">
      <c r="B3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2" spans="2:2" x14ac:dyDescent="0.3">
      <c r="B3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3" spans="2:2" x14ac:dyDescent="0.3">
      <c r="B3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4" spans="2:2" x14ac:dyDescent="0.3">
      <c r="B3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5" spans="2:2" x14ac:dyDescent="0.3">
      <c r="B3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6" spans="2:2" x14ac:dyDescent="0.3">
      <c r="B3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7" spans="2:2" x14ac:dyDescent="0.3">
      <c r="B3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8" spans="2:2" x14ac:dyDescent="0.3">
      <c r="B3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9" spans="2:2" x14ac:dyDescent="0.3">
      <c r="B3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0" spans="2:2" x14ac:dyDescent="0.3">
      <c r="B4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1" spans="2:2" x14ac:dyDescent="0.3">
      <c r="B4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2" spans="2:2" x14ac:dyDescent="0.3">
      <c r="B4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3" spans="2:2" x14ac:dyDescent="0.3">
      <c r="B4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4" spans="2:2" x14ac:dyDescent="0.3">
      <c r="B4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5" spans="2:2" x14ac:dyDescent="0.3">
      <c r="B4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6" spans="2:2" x14ac:dyDescent="0.3">
      <c r="B4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7" spans="2:2" x14ac:dyDescent="0.3">
      <c r="B4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8" spans="2:2" x14ac:dyDescent="0.3">
      <c r="B4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9" spans="2:2" x14ac:dyDescent="0.3">
      <c r="B4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0" spans="2:2" x14ac:dyDescent="0.3">
      <c r="B4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1" spans="2:2" x14ac:dyDescent="0.3">
      <c r="B4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2" spans="2:2" x14ac:dyDescent="0.3">
      <c r="B4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3" spans="2:2" x14ac:dyDescent="0.3">
      <c r="B4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4" spans="2:2" x14ac:dyDescent="0.3">
      <c r="B4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5" spans="2:2" x14ac:dyDescent="0.3">
      <c r="B4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6" spans="2:2" x14ac:dyDescent="0.3">
      <c r="B4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7" spans="2:2" x14ac:dyDescent="0.3">
      <c r="B4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8" spans="2:2" x14ac:dyDescent="0.3">
      <c r="B4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9" spans="2:2" x14ac:dyDescent="0.3">
      <c r="B4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0" spans="2:2" x14ac:dyDescent="0.3">
      <c r="B4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1" spans="2:2" x14ac:dyDescent="0.3">
      <c r="B4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2" spans="2:2" x14ac:dyDescent="0.3">
      <c r="B4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3" spans="2:2" x14ac:dyDescent="0.3">
      <c r="B4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4" spans="2:2" x14ac:dyDescent="0.3">
      <c r="B4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5" spans="2:2" x14ac:dyDescent="0.3">
      <c r="B4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6" spans="2:2" x14ac:dyDescent="0.3">
      <c r="B4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7" spans="2:2" x14ac:dyDescent="0.3">
      <c r="B4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8" spans="2:2" x14ac:dyDescent="0.3">
      <c r="B4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9" spans="2:2" x14ac:dyDescent="0.3">
      <c r="B4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0" spans="2:2" x14ac:dyDescent="0.3">
      <c r="B4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1" spans="2:2" x14ac:dyDescent="0.3">
      <c r="B4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2" spans="2:2" x14ac:dyDescent="0.3">
      <c r="B4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3" spans="2:2" x14ac:dyDescent="0.3">
      <c r="B4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4" spans="2:2" x14ac:dyDescent="0.3">
      <c r="B4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5" spans="2:2" x14ac:dyDescent="0.3">
      <c r="B4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6" spans="2:2" x14ac:dyDescent="0.3">
      <c r="B4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7" spans="2:2" x14ac:dyDescent="0.3">
      <c r="B4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8" spans="2:2" x14ac:dyDescent="0.3">
      <c r="B4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9" spans="2:2" x14ac:dyDescent="0.3">
      <c r="B4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0" spans="2:2" x14ac:dyDescent="0.3">
      <c r="B4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1" spans="2:2" x14ac:dyDescent="0.3">
      <c r="B4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2" spans="2:2" x14ac:dyDescent="0.3">
      <c r="B4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3" spans="2:2" x14ac:dyDescent="0.3">
      <c r="B4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4" spans="2:2" x14ac:dyDescent="0.3">
      <c r="B4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5" spans="2:2" x14ac:dyDescent="0.3">
      <c r="B4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6" spans="2:2" x14ac:dyDescent="0.3">
      <c r="B4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7" spans="2:2" x14ac:dyDescent="0.3">
      <c r="B4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8" spans="2:2" x14ac:dyDescent="0.3">
      <c r="B4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9" spans="2:2" x14ac:dyDescent="0.3">
      <c r="B4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0" spans="2:2" x14ac:dyDescent="0.3">
      <c r="B4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1" spans="2:2" x14ac:dyDescent="0.3">
      <c r="B4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2" spans="2:2" x14ac:dyDescent="0.3">
      <c r="B4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3" spans="2:2" x14ac:dyDescent="0.3">
      <c r="B4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4" spans="2:2" x14ac:dyDescent="0.3">
      <c r="B4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5" spans="2:2" x14ac:dyDescent="0.3">
      <c r="B4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6" spans="2:2" x14ac:dyDescent="0.3">
      <c r="B4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7" spans="2:2" x14ac:dyDescent="0.3">
      <c r="B4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8" spans="2:2" x14ac:dyDescent="0.3">
      <c r="B4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9" spans="2:2" x14ac:dyDescent="0.3">
      <c r="B4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0" spans="2:2" x14ac:dyDescent="0.3">
      <c r="B4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1" spans="2:2" x14ac:dyDescent="0.3">
      <c r="B4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2" spans="2:2" x14ac:dyDescent="0.3">
      <c r="B4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3" spans="2:2" x14ac:dyDescent="0.3">
      <c r="B4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4" spans="2:2" x14ac:dyDescent="0.3">
      <c r="B4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5" spans="2:2" x14ac:dyDescent="0.3">
      <c r="B4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6" spans="2:2" x14ac:dyDescent="0.3">
      <c r="B4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7" spans="2:2" x14ac:dyDescent="0.3">
      <c r="B4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8" spans="2:2" x14ac:dyDescent="0.3">
      <c r="B4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9" spans="2:2" x14ac:dyDescent="0.3">
      <c r="B4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0" spans="2:2" x14ac:dyDescent="0.3">
      <c r="B4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1" spans="2:2" x14ac:dyDescent="0.3">
      <c r="B4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2" spans="2:2" x14ac:dyDescent="0.3">
      <c r="B4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3" spans="2:2" x14ac:dyDescent="0.3">
      <c r="B4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4" spans="2:2" x14ac:dyDescent="0.3">
      <c r="B4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5" spans="2:2" x14ac:dyDescent="0.3">
      <c r="B4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6" spans="2:2" x14ac:dyDescent="0.3">
      <c r="B4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7" spans="2:2" x14ac:dyDescent="0.3">
      <c r="B4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8" spans="2:2" x14ac:dyDescent="0.3">
      <c r="B4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9" spans="2:2" x14ac:dyDescent="0.3">
      <c r="B4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0" spans="2:2" x14ac:dyDescent="0.3">
      <c r="B4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1" spans="2:2" x14ac:dyDescent="0.3">
      <c r="B4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2" spans="2:2" x14ac:dyDescent="0.3">
      <c r="B4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3" spans="2:2" x14ac:dyDescent="0.3">
      <c r="B4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4" spans="2:2" x14ac:dyDescent="0.3">
      <c r="B4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5" spans="2:2" x14ac:dyDescent="0.3">
      <c r="B4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6" spans="2:2" x14ac:dyDescent="0.3">
      <c r="B4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7" spans="2:2" x14ac:dyDescent="0.3">
      <c r="B4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8" spans="2:2" x14ac:dyDescent="0.3">
      <c r="B4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9" spans="2:2" x14ac:dyDescent="0.3">
      <c r="B4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0" spans="2:2" x14ac:dyDescent="0.3">
      <c r="B4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1" spans="2:2" x14ac:dyDescent="0.3">
      <c r="B4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2" spans="2:2" x14ac:dyDescent="0.3">
      <c r="B4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3" spans="2:2" x14ac:dyDescent="0.3">
      <c r="B4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4" spans="2:2" x14ac:dyDescent="0.3">
      <c r="B4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5" spans="2:2" x14ac:dyDescent="0.3">
      <c r="B4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6" spans="2:2" x14ac:dyDescent="0.3">
      <c r="B4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7" spans="2:2" x14ac:dyDescent="0.3">
      <c r="B4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8" spans="2:2" x14ac:dyDescent="0.3">
      <c r="B4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9" spans="2:2" x14ac:dyDescent="0.3">
      <c r="B4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0" spans="2:2" x14ac:dyDescent="0.3">
      <c r="B5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1" spans="2:2" x14ac:dyDescent="0.3">
      <c r="B5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2" spans="2:2" x14ac:dyDescent="0.3">
      <c r="B5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3" spans="2:2" x14ac:dyDescent="0.3">
      <c r="B5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4" spans="2:2" x14ac:dyDescent="0.3">
      <c r="B5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5" spans="2:2" x14ac:dyDescent="0.3">
      <c r="B5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6" spans="2:2" x14ac:dyDescent="0.3">
      <c r="B5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7" spans="2:2" x14ac:dyDescent="0.3">
      <c r="B5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8" spans="2:2" x14ac:dyDescent="0.3">
      <c r="B5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9" spans="2:2" x14ac:dyDescent="0.3">
      <c r="B5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0" spans="2:2" x14ac:dyDescent="0.3">
      <c r="B5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1" spans="2:2" x14ac:dyDescent="0.3">
      <c r="B5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2" spans="2:2" x14ac:dyDescent="0.3">
      <c r="B5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3" spans="2:2" x14ac:dyDescent="0.3">
      <c r="B5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4" spans="2:2" x14ac:dyDescent="0.3">
      <c r="B5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5" spans="2:2" x14ac:dyDescent="0.3">
      <c r="B5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6" spans="2:2" x14ac:dyDescent="0.3">
      <c r="B5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7" spans="2:2" x14ac:dyDescent="0.3">
      <c r="B5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8" spans="2:2" x14ac:dyDescent="0.3">
      <c r="B5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9" spans="2:2" x14ac:dyDescent="0.3">
      <c r="B5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0" spans="2:2" x14ac:dyDescent="0.3">
      <c r="B5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1" spans="2:2" x14ac:dyDescent="0.3">
      <c r="B5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2" spans="2:2" x14ac:dyDescent="0.3">
      <c r="B5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3" spans="2:2" x14ac:dyDescent="0.3">
      <c r="B5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4" spans="2:2" x14ac:dyDescent="0.3">
      <c r="B5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5" spans="2:2" x14ac:dyDescent="0.3">
      <c r="B5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6" spans="2:2" x14ac:dyDescent="0.3">
      <c r="B5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7" spans="2:2" x14ac:dyDescent="0.3">
      <c r="B5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8" spans="2:2" x14ac:dyDescent="0.3">
      <c r="B5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9" spans="2:2" x14ac:dyDescent="0.3">
      <c r="B5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0" spans="2:2" x14ac:dyDescent="0.3">
      <c r="B5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1" spans="2:2" x14ac:dyDescent="0.3">
      <c r="B5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2" spans="2:2" x14ac:dyDescent="0.3">
      <c r="B5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3" spans="2:2" x14ac:dyDescent="0.3">
      <c r="B5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4" spans="2:2" x14ac:dyDescent="0.3">
      <c r="B5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5" spans="2:2" x14ac:dyDescent="0.3">
      <c r="B5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6" spans="2:2" x14ac:dyDescent="0.3">
      <c r="B5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7" spans="2:2" x14ac:dyDescent="0.3">
      <c r="B5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8" spans="2:2" x14ac:dyDescent="0.3">
      <c r="B5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9" spans="2:2" x14ac:dyDescent="0.3">
      <c r="B5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0" spans="2:2" x14ac:dyDescent="0.3">
      <c r="B5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1" spans="2:2" x14ac:dyDescent="0.3">
      <c r="B5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2" spans="2:2" x14ac:dyDescent="0.3">
      <c r="B5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3" spans="2:2" x14ac:dyDescent="0.3">
      <c r="B5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4" spans="2:2" x14ac:dyDescent="0.3">
      <c r="B5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5" spans="2:2" x14ac:dyDescent="0.3">
      <c r="B5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6" spans="2:2" x14ac:dyDescent="0.3">
      <c r="B5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7" spans="2:2" x14ac:dyDescent="0.3">
      <c r="B5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8" spans="2:2" x14ac:dyDescent="0.3">
      <c r="B5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9" spans="2:2" x14ac:dyDescent="0.3">
      <c r="B5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0" spans="2:2" x14ac:dyDescent="0.3">
      <c r="B5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1" spans="2:2" x14ac:dyDescent="0.3">
      <c r="B5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2" spans="2:2" x14ac:dyDescent="0.3">
      <c r="B5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3" spans="2:2" x14ac:dyDescent="0.3">
      <c r="B5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4" spans="2:2" x14ac:dyDescent="0.3">
      <c r="B5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5" spans="2:2" x14ac:dyDescent="0.3">
      <c r="B5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6" spans="2:2" x14ac:dyDescent="0.3">
      <c r="B5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7" spans="2:2" x14ac:dyDescent="0.3">
      <c r="B5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8" spans="2:2" x14ac:dyDescent="0.3">
      <c r="B5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9" spans="2:2" x14ac:dyDescent="0.3">
      <c r="B5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0" spans="2:2" x14ac:dyDescent="0.3">
      <c r="B5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1" spans="2:2" x14ac:dyDescent="0.3">
      <c r="B5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2" spans="2:2" x14ac:dyDescent="0.3">
      <c r="B5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3" spans="2:2" x14ac:dyDescent="0.3">
      <c r="B5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4" spans="2:2" x14ac:dyDescent="0.3">
      <c r="B5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5" spans="2:2" x14ac:dyDescent="0.3">
      <c r="B5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6" spans="2:2" x14ac:dyDescent="0.3">
      <c r="B5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7" spans="2:2" x14ac:dyDescent="0.3">
      <c r="B5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8" spans="2:2" x14ac:dyDescent="0.3">
      <c r="B5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9" spans="2:2" x14ac:dyDescent="0.3">
      <c r="B5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0" spans="2:2" x14ac:dyDescent="0.3">
      <c r="B5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1" spans="2:2" x14ac:dyDescent="0.3">
      <c r="B5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2" spans="2:2" x14ac:dyDescent="0.3">
      <c r="B5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3" spans="2:2" x14ac:dyDescent="0.3">
      <c r="B5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4" spans="2:2" x14ac:dyDescent="0.3">
      <c r="B5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5" spans="2:2" x14ac:dyDescent="0.3">
      <c r="B5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6" spans="2:2" x14ac:dyDescent="0.3">
      <c r="B5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7" spans="2:2" x14ac:dyDescent="0.3">
      <c r="B5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8" spans="2:2" x14ac:dyDescent="0.3">
      <c r="B5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9" spans="2:2" x14ac:dyDescent="0.3">
      <c r="B5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0" spans="2:2" x14ac:dyDescent="0.3">
      <c r="B5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1" spans="2:2" x14ac:dyDescent="0.3">
      <c r="B5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2" spans="2:2" x14ac:dyDescent="0.3">
      <c r="B5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3" spans="2:2" x14ac:dyDescent="0.3">
      <c r="B5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4" spans="2:2" x14ac:dyDescent="0.3">
      <c r="B5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5" spans="2:2" x14ac:dyDescent="0.3">
      <c r="B5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6" spans="2:2" x14ac:dyDescent="0.3">
      <c r="B5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7" spans="2:2" x14ac:dyDescent="0.3">
      <c r="B5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8" spans="2:2" x14ac:dyDescent="0.3">
      <c r="B5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9" spans="2:2" x14ac:dyDescent="0.3">
      <c r="B5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0" spans="2:2" x14ac:dyDescent="0.3">
      <c r="B5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1" spans="2:2" x14ac:dyDescent="0.3">
      <c r="B5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2" spans="2:2" x14ac:dyDescent="0.3">
      <c r="B5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3" spans="2:2" x14ac:dyDescent="0.3">
      <c r="B5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4" spans="2:2" x14ac:dyDescent="0.3">
      <c r="B5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5" spans="2:2" x14ac:dyDescent="0.3">
      <c r="B5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6" spans="2:2" x14ac:dyDescent="0.3">
      <c r="B5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7" spans="2:2" x14ac:dyDescent="0.3">
      <c r="B5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8" spans="2:2" x14ac:dyDescent="0.3">
      <c r="B5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9" spans="2:2" x14ac:dyDescent="0.3">
      <c r="B5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0" spans="2:2" x14ac:dyDescent="0.3">
      <c r="B6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1" spans="2:2" x14ac:dyDescent="0.3">
      <c r="B6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2" spans="2:2" x14ac:dyDescent="0.3">
      <c r="B6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3" spans="2:2" x14ac:dyDescent="0.3">
      <c r="B6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4" spans="2:2" x14ac:dyDescent="0.3">
      <c r="B6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5" spans="2:2" x14ac:dyDescent="0.3">
      <c r="B6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6" spans="2:2" x14ac:dyDescent="0.3">
      <c r="B6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7" spans="2:2" x14ac:dyDescent="0.3">
      <c r="B6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8" spans="2:2" x14ac:dyDescent="0.3">
      <c r="B6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9" spans="2:2" x14ac:dyDescent="0.3">
      <c r="B6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0" spans="2:2" x14ac:dyDescent="0.3">
      <c r="B6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1" spans="2:2" x14ac:dyDescent="0.3">
      <c r="B6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2" spans="2:2" x14ac:dyDescent="0.3">
      <c r="B6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3" spans="2:2" x14ac:dyDescent="0.3">
      <c r="B6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4" spans="2:2" x14ac:dyDescent="0.3">
      <c r="B6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5" spans="2:2" x14ac:dyDescent="0.3">
      <c r="B6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6" spans="2:2" x14ac:dyDescent="0.3">
      <c r="B6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7" spans="2:2" x14ac:dyDescent="0.3">
      <c r="B6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8" spans="2:2" x14ac:dyDescent="0.3">
      <c r="B6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9" spans="2:2" x14ac:dyDescent="0.3">
      <c r="B6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0" spans="2:2" x14ac:dyDescent="0.3">
      <c r="B6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1" spans="2:2" x14ac:dyDescent="0.3">
      <c r="B6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2" spans="2:2" x14ac:dyDescent="0.3">
      <c r="B6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3" spans="2:2" x14ac:dyDescent="0.3">
      <c r="B6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4" spans="2:2" x14ac:dyDescent="0.3">
      <c r="B6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5" spans="2:2" x14ac:dyDescent="0.3">
      <c r="B6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6" spans="2:2" x14ac:dyDescent="0.3">
      <c r="B6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7" spans="2:2" x14ac:dyDescent="0.3">
      <c r="B6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8" spans="2:2" x14ac:dyDescent="0.3">
      <c r="B6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9" spans="2:2" x14ac:dyDescent="0.3">
      <c r="B6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0" spans="2:2" x14ac:dyDescent="0.3">
      <c r="B6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1" spans="2:2" x14ac:dyDescent="0.3">
      <c r="B6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2" spans="2:2" x14ac:dyDescent="0.3">
      <c r="B6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3" spans="2:2" x14ac:dyDescent="0.3">
      <c r="B6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4" spans="2:2" x14ac:dyDescent="0.3">
      <c r="B6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5" spans="2:2" x14ac:dyDescent="0.3">
      <c r="B6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6" spans="2:2" x14ac:dyDescent="0.3">
      <c r="B6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7" spans="2:2" x14ac:dyDescent="0.3">
      <c r="B6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8" spans="2:2" x14ac:dyDescent="0.3">
      <c r="B6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9" spans="2:2" x14ac:dyDescent="0.3">
      <c r="B6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0" spans="2:2" x14ac:dyDescent="0.3">
      <c r="B6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1" spans="2:2" x14ac:dyDescent="0.3">
      <c r="B6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2" spans="2:2" x14ac:dyDescent="0.3">
      <c r="B6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3" spans="2:2" x14ac:dyDescent="0.3">
      <c r="B6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4" spans="2:2" x14ac:dyDescent="0.3">
      <c r="B6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5" spans="2:2" x14ac:dyDescent="0.3">
      <c r="B6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6" spans="2:2" x14ac:dyDescent="0.3">
      <c r="B6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7" spans="2:2" x14ac:dyDescent="0.3">
      <c r="B6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8" spans="2:2" x14ac:dyDescent="0.3">
      <c r="B6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9" spans="2:2" x14ac:dyDescent="0.3">
      <c r="B6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0" spans="2:2" x14ac:dyDescent="0.3">
      <c r="B6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1" spans="2:2" x14ac:dyDescent="0.3">
      <c r="B6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2" spans="2:2" x14ac:dyDescent="0.3">
      <c r="B6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3" spans="2:2" x14ac:dyDescent="0.3">
      <c r="B6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4" spans="2:2" x14ac:dyDescent="0.3">
      <c r="B6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5" spans="2:2" x14ac:dyDescent="0.3">
      <c r="B6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6" spans="2:2" x14ac:dyDescent="0.3">
      <c r="B6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7" spans="2:2" x14ac:dyDescent="0.3">
      <c r="B6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8" spans="2:2" x14ac:dyDescent="0.3">
      <c r="B6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9" spans="2:2" x14ac:dyDescent="0.3">
      <c r="B6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0" spans="2:2" x14ac:dyDescent="0.3">
      <c r="B6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1" spans="2:2" x14ac:dyDescent="0.3">
      <c r="B6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2" spans="2:2" x14ac:dyDescent="0.3">
      <c r="B6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3" spans="2:2" x14ac:dyDescent="0.3">
      <c r="B6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4" spans="2:2" x14ac:dyDescent="0.3">
      <c r="B6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5" spans="2:2" x14ac:dyDescent="0.3">
      <c r="B6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6" spans="2:2" x14ac:dyDescent="0.3">
      <c r="B6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7" spans="2:2" x14ac:dyDescent="0.3">
      <c r="B6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8" spans="2:2" x14ac:dyDescent="0.3">
      <c r="B6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9" spans="2:2" x14ac:dyDescent="0.3">
      <c r="B6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0" spans="2:2" x14ac:dyDescent="0.3">
      <c r="B6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1" spans="2:2" x14ac:dyDescent="0.3">
      <c r="B6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2" spans="2:2" x14ac:dyDescent="0.3">
      <c r="B6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3" spans="2:2" x14ac:dyDescent="0.3">
      <c r="B6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4" spans="2:2" x14ac:dyDescent="0.3">
      <c r="B6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5" spans="2:2" x14ac:dyDescent="0.3">
      <c r="B6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6" spans="2:2" x14ac:dyDescent="0.3">
      <c r="B6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7" spans="2:2" x14ac:dyDescent="0.3">
      <c r="B6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8" spans="2:2" x14ac:dyDescent="0.3">
      <c r="B6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9" spans="2:2" x14ac:dyDescent="0.3">
      <c r="B6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0" spans="2:2" x14ac:dyDescent="0.3">
      <c r="B6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1" spans="2:2" x14ac:dyDescent="0.3">
      <c r="B6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2" spans="2:2" x14ac:dyDescent="0.3">
      <c r="B6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3" spans="2:2" x14ac:dyDescent="0.3">
      <c r="B6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4" spans="2:2" x14ac:dyDescent="0.3">
      <c r="B6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5" spans="2:2" x14ac:dyDescent="0.3">
      <c r="B6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6" spans="2:2" x14ac:dyDescent="0.3">
      <c r="B6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7" spans="2:2" x14ac:dyDescent="0.3">
      <c r="B6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8" spans="2:2" x14ac:dyDescent="0.3">
      <c r="B6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9" spans="2:2" x14ac:dyDescent="0.3">
      <c r="B6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0" spans="2:2" x14ac:dyDescent="0.3">
      <c r="B6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1" spans="2:2" x14ac:dyDescent="0.3">
      <c r="B6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2" spans="2:2" x14ac:dyDescent="0.3">
      <c r="B6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3" spans="2:2" x14ac:dyDescent="0.3">
      <c r="B6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4" spans="2:2" x14ac:dyDescent="0.3">
      <c r="B6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5" spans="2:2" x14ac:dyDescent="0.3">
      <c r="B6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6" spans="2:2" x14ac:dyDescent="0.3">
      <c r="B6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7" spans="2:2" x14ac:dyDescent="0.3">
      <c r="B6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8" spans="2:2" x14ac:dyDescent="0.3">
      <c r="B6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9" spans="2:2" x14ac:dyDescent="0.3">
      <c r="B6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0" spans="2:2" x14ac:dyDescent="0.3">
      <c r="B7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1" spans="2:2" x14ac:dyDescent="0.3">
      <c r="B7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2" spans="2:2" x14ac:dyDescent="0.3">
      <c r="B7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3" spans="2:2" x14ac:dyDescent="0.3">
      <c r="B7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4" spans="2:2" x14ac:dyDescent="0.3">
      <c r="B7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5" spans="2:2" x14ac:dyDescent="0.3">
      <c r="B7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6" spans="2:2" x14ac:dyDescent="0.3">
      <c r="B7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7" spans="2:2" x14ac:dyDescent="0.3">
      <c r="B7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8" spans="2:2" x14ac:dyDescent="0.3">
      <c r="B7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9" spans="2:2" x14ac:dyDescent="0.3">
      <c r="B7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0" spans="2:2" x14ac:dyDescent="0.3">
      <c r="B7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1" spans="2:2" x14ac:dyDescent="0.3">
      <c r="B7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2" spans="2:2" x14ac:dyDescent="0.3">
      <c r="B7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3" spans="2:2" x14ac:dyDescent="0.3">
      <c r="B7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4" spans="2:2" x14ac:dyDescent="0.3">
      <c r="B7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5" spans="2:2" x14ac:dyDescent="0.3">
      <c r="B7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6" spans="2:2" x14ac:dyDescent="0.3">
      <c r="B7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7" spans="2:2" x14ac:dyDescent="0.3">
      <c r="B7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8" spans="2:2" x14ac:dyDescent="0.3">
      <c r="B7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9" spans="2:2" x14ac:dyDescent="0.3">
      <c r="B7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0" spans="2:2" x14ac:dyDescent="0.3">
      <c r="B7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1" spans="2:2" x14ac:dyDescent="0.3">
      <c r="B7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2" spans="2:2" x14ac:dyDescent="0.3">
      <c r="B7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3" spans="2:2" x14ac:dyDescent="0.3">
      <c r="B7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4" spans="2:2" x14ac:dyDescent="0.3">
      <c r="B7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5" spans="2:2" x14ac:dyDescent="0.3">
      <c r="B7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6" spans="2:2" x14ac:dyDescent="0.3">
      <c r="B7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7" spans="2:2" x14ac:dyDescent="0.3">
      <c r="B7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8" spans="2:2" x14ac:dyDescent="0.3">
      <c r="B7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9" spans="2:2" x14ac:dyDescent="0.3">
      <c r="B7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0" spans="2:2" x14ac:dyDescent="0.3">
      <c r="B7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1" spans="2:2" x14ac:dyDescent="0.3">
      <c r="B7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2" spans="2:2" x14ac:dyDescent="0.3">
      <c r="B7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3" spans="2:2" x14ac:dyDescent="0.3">
      <c r="B7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4" spans="2:2" x14ac:dyDescent="0.3">
      <c r="B7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5" spans="2:2" x14ac:dyDescent="0.3">
      <c r="B7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6" spans="2:2" x14ac:dyDescent="0.3">
      <c r="B7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7" spans="2:2" x14ac:dyDescent="0.3">
      <c r="B7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8" spans="2:2" x14ac:dyDescent="0.3">
      <c r="B7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9" spans="2:2" x14ac:dyDescent="0.3">
      <c r="B7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0" spans="2:2" x14ac:dyDescent="0.3">
      <c r="B7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1" spans="2:2" x14ac:dyDescent="0.3">
      <c r="B7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2" spans="2:2" x14ac:dyDescent="0.3">
      <c r="B7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3" spans="2:2" x14ac:dyDescent="0.3">
      <c r="B7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4" spans="2:2" x14ac:dyDescent="0.3">
      <c r="B7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5" spans="2:2" x14ac:dyDescent="0.3">
      <c r="B7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6" spans="2:2" x14ac:dyDescent="0.3">
      <c r="B7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7" spans="2:2" x14ac:dyDescent="0.3">
      <c r="B7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8" spans="2:2" x14ac:dyDescent="0.3">
      <c r="B7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9" spans="2:2" x14ac:dyDescent="0.3">
      <c r="B7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0" spans="2:2" x14ac:dyDescent="0.3">
      <c r="B7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1" spans="2:2" x14ac:dyDescent="0.3">
      <c r="B7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2" spans="2:2" x14ac:dyDescent="0.3">
      <c r="B7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3" spans="2:2" x14ac:dyDescent="0.3">
      <c r="B7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4" spans="2:2" x14ac:dyDescent="0.3">
      <c r="B7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5" spans="2:2" x14ac:dyDescent="0.3">
      <c r="B7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6" spans="2:2" x14ac:dyDescent="0.3">
      <c r="B7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7" spans="2:2" x14ac:dyDescent="0.3">
      <c r="B7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8" spans="2:2" x14ac:dyDescent="0.3">
      <c r="B7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9" spans="2:2" x14ac:dyDescent="0.3">
      <c r="B7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0" spans="2:2" x14ac:dyDescent="0.3">
      <c r="B7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1" spans="2:2" x14ac:dyDescent="0.3">
      <c r="B7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2" spans="2:2" x14ac:dyDescent="0.3">
      <c r="B7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3" spans="2:2" x14ac:dyDescent="0.3">
      <c r="B7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4" spans="2:2" x14ac:dyDescent="0.3">
      <c r="B7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5" spans="2:2" x14ac:dyDescent="0.3">
      <c r="B7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6" spans="2:2" x14ac:dyDescent="0.3">
      <c r="B7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7" spans="2:2" x14ac:dyDescent="0.3">
      <c r="B7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8" spans="2:2" x14ac:dyDescent="0.3">
      <c r="B7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9" spans="2:2" x14ac:dyDescent="0.3">
      <c r="B7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0" spans="2:2" x14ac:dyDescent="0.3">
      <c r="B7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1" spans="2:2" x14ac:dyDescent="0.3">
      <c r="B7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2" spans="2:2" x14ac:dyDescent="0.3">
      <c r="B7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3" spans="2:2" x14ac:dyDescent="0.3">
      <c r="B7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4" spans="2:2" x14ac:dyDescent="0.3">
      <c r="B7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5" spans="2:2" x14ac:dyDescent="0.3">
      <c r="B7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6" spans="2:2" x14ac:dyDescent="0.3">
      <c r="B7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7" spans="2:2" x14ac:dyDescent="0.3">
      <c r="B7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8" spans="2:2" x14ac:dyDescent="0.3">
      <c r="B7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9" spans="2:2" x14ac:dyDescent="0.3">
      <c r="B7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0" spans="2:2" x14ac:dyDescent="0.3">
      <c r="B7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1" spans="2:2" x14ac:dyDescent="0.3">
      <c r="B7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2" spans="2:2" x14ac:dyDescent="0.3">
      <c r="B7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3" spans="2:2" x14ac:dyDescent="0.3">
      <c r="B7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4" spans="2:2" x14ac:dyDescent="0.3">
      <c r="B7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5" spans="2:2" x14ac:dyDescent="0.3">
      <c r="B7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6" spans="2:2" x14ac:dyDescent="0.3">
      <c r="B7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7" spans="2:2" x14ac:dyDescent="0.3">
      <c r="B7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8" spans="2:2" x14ac:dyDescent="0.3">
      <c r="B7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9" spans="2:2" x14ac:dyDescent="0.3">
      <c r="B7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0" spans="2:2" x14ac:dyDescent="0.3">
      <c r="B7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1" spans="2:2" x14ac:dyDescent="0.3">
      <c r="B7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2" spans="2:2" x14ac:dyDescent="0.3">
      <c r="B7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3" spans="2:2" x14ac:dyDescent="0.3">
      <c r="B7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4" spans="2:2" x14ac:dyDescent="0.3">
      <c r="B7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5" spans="2:2" x14ac:dyDescent="0.3">
      <c r="B7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6" spans="2:2" x14ac:dyDescent="0.3">
      <c r="B7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7" spans="2:2" x14ac:dyDescent="0.3">
      <c r="B7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8" spans="2:2" x14ac:dyDescent="0.3">
      <c r="B7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9" spans="2:2" x14ac:dyDescent="0.3">
      <c r="B7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0" spans="2:2" x14ac:dyDescent="0.3">
      <c r="B8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1" spans="2:2" x14ac:dyDescent="0.3">
      <c r="B8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2" spans="2:2" x14ac:dyDescent="0.3">
      <c r="B8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3" spans="2:2" x14ac:dyDescent="0.3">
      <c r="B8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4" spans="2:2" x14ac:dyDescent="0.3">
      <c r="B8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5" spans="2:2" x14ac:dyDescent="0.3">
      <c r="B8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6" spans="2:2" x14ac:dyDescent="0.3">
      <c r="B8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7" spans="2:2" x14ac:dyDescent="0.3">
      <c r="B8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8" spans="2:2" x14ac:dyDescent="0.3">
      <c r="B8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9" spans="2:2" x14ac:dyDescent="0.3">
      <c r="B8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0" spans="2:2" x14ac:dyDescent="0.3">
      <c r="B8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1" spans="2:2" x14ac:dyDescent="0.3">
      <c r="B8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2" spans="2:2" x14ac:dyDescent="0.3">
      <c r="B8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3" spans="2:2" x14ac:dyDescent="0.3">
      <c r="B8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4" spans="2:2" x14ac:dyDescent="0.3">
      <c r="B8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5" spans="2:2" x14ac:dyDescent="0.3">
      <c r="B8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6" spans="2:2" x14ac:dyDescent="0.3">
      <c r="B8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7" spans="2:2" x14ac:dyDescent="0.3">
      <c r="B8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8" spans="2:2" x14ac:dyDescent="0.3">
      <c r="B8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9" spans="2:2" x14ac:dyDescent="0.3">
      <c r="B8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0" spans="2:2" x14ac:dyDescent="0.3">
      <c r="B8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1" spans="2:2" x14ac:dyDescent="0.3">
      <c r="B8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2" spans="2:2" x14ac:dyDescent="0.3">
      <c r="B8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3" spans="2:2" x14ac:dyDescent="0.3">
      <c r="B8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4" spans="2:2" x14ac:dyDescent="0.3">
      <c r="B8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5" spans="2:2" x14ac:dyDescent="0.3">
      <c r="B8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6" spans="2:2" x14ac:dyDescent="0.3">
      <c r="B8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7" spans="2:2" x14ac:dyDescent="0.3">
      <c r="B8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8" spans="2:2" x14ac:dyDescent="0.3">
      <c r="B8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9" spans="2:2" x14ac:dyDescent="0.3">
      <c r="B8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0" spans="2:2" x14ac:dyDescent="0.3">
      <c r="B8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1" spans="2:2" x14ac:dyDescent="0.3">
      <c r="B8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2" spans="2:2" x14ac:dyDescent="0.3">
      <c r="B8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3" spans="2:2" x14ac:dyDescent="0.3">
      <c r="B8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4" spans="2:2" x14ac:dyDescent="0.3">
      <c r="B8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5" spans="2:2" x14ac:dyDescent="0.3">
      <c r="B8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6" spans="2:2" x14ac:dyDescent="0.3">
      <c r="B8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7" spans="2:2" x14ac:dyDescent="0.3">
      <c r="B8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8" spans="2:2" x14ac:dyDescent="0.3">
      <c r="B8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9" spans="2:2" x14ac:dyDescent="0.3">
      <c r="B8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0" spans="2:2" x14ac:dyDescent="0.3">
      <c r="B8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1" spans="2:2" x14ac:dyDescent="0.3">
      <c r="B8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2" spans="2:2" x14ac:dyDescent="0.3">
      <c r="B8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3" spans="2:2" x14ac:dyDescent="0.3">
      <c r="B8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4" spans="2:2" x14ac:dyDescent="0.3">
      <c r="B8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5" spans="2:2" x14ac:dyDescent="0.3">
      <c r="B8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6" spans="2:2" x14ac:dyDescent="0.3">
      <c r="B8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7" spans="2:2" x14ac:dyDescent="0.3">
      <c r="B8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8" spans="2:2" x14ac:dyDescent="0.3">
      <c r="B8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9" spans="2:2" x14ac:dyDescent="0.3">
      <c r="B8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0" spans="2:2" x14ac:dyDescent="0.3">
      <c r="B8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1" spans="2:2" x14ac:dyDescent="0.3">
      <c r="B8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2" spans="2:2" x14ac:dyDescent="0.3">
      <c r="B8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3" spans="2:2" x14ac:dyDescent="0.3">
      <c r="B8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4" spans="2:2" x14ac:dyDescent="0.3">
      <c r="B8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5" spans="2:2" x14ac:dyDescent="0.3">
      <c r="B8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6" spans="2:2" x14ac:dyDescent="0.3">
      <c r="B8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7" spans="2:2" x14ac:dyDescent="0.3">
      <c r="B8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8" spans="2:2" x14ac:dyDescent="0.3">
      <c r="B8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9" spans="2:2" x14ac:dyDescent="0.3">
      <c r="B8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0" spans="2:2" x14ac:dyDescent="0.3">
      <c r="B8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1" spans="2:2" x14ac:dyDescent="0.3">
      <c r="B8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2" spans="2:2" x14ac:dyDescent="0.3">
      <c r="B8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3" spans="2:2" x14ac:dyDescent="0.3">
      <c r="B8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4" spans="2:2" x14ac:dyDescent="0.3">
      <c r="B8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5" spans="2:2" x14ac:dyDescent="0.3">
      <c r="B8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6" spans="2:2" x14ac:dyDescent="0.3">
      <c r="B8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7" spans="2:2" x14ac:dyDescent="0.3">
      <c r="B8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8" spans="2:2" x14ac:dyDescent="0.3">
      <c r="B8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9" spans="2:2" x14ac:dyDescent="0.3">
      <c r="B8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0" spans="2:2" x14ac:dyDescent="0.3">
      <c r="B8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1" spans="2:2" x14ac:dyDescent="0.3">
      <c r="B8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2" spans="2:2" x14ac:dyDescent="0.3">
      <c r="B8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3" spans="2:2" x14ac:dyDescent="0.3">
      <c r="B8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4" spans="2:2" x14ac:dyDescent="0.3">
      <c r="B8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5" spans="2:2" x14ac:dyDescent="0.3">
      <c r="B8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6" spans="2:2" x14ac:dyDescent="0.3">
      <c r="B8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7" spans="2:2" x14ac:dyDescent="0.3">
      <c r="B8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8" spans="2:2" x14ac:dyDescent="0.3">
      <c r="B8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9" spans="2:2" x14ac:dyDescent="0.3">
      <c r="B8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0" spans="2:2" x14ac:dyDescent="0.3">
      <c r="B8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1" spans="2:2" x14ac:dyDescent="0.3">
      <c r="B8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2" spans="2:2" x14ac:dyDescent="0.3">
      <c r="B8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3" spans="2:2" x14ac:dyDescent="0.3">
      <c r="B8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4" spans="2:2" x14ac:dyDescent="0.3">
      <c r="B8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5" spans="2:2" x14ac:dyDescent="0.3">
      <c r="B8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6" spans="2:2" x14ac:dyDescent="0.3">
      <c r="B8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7" spans="2:2" x14ac:dyDescent="0.3">
      <c r="B8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8" spans="2:2" x14ac:dyDescent="0.3">
      <c r="B8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9" spans="2:2" x14ac:dyDescent="0.3">
      <c r="B8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0" spans="2:2" x14ac:dyDescent="0.3">
      <c r="B8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1" spans="2:2" x14ac:dyDescent="0.3">
      <c r="B8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2" spans="2:2" x14ac:dyDescent="0.3">
      <c r="B8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3" spans="2:2" x14ac:dyDescent="0.3">
      <c r="B8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4" spans="2:2" x14ac:dyDescent="0.3">
      <c r="B8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5" spans="2:2" x14ac:dyDescent="0.3">
      <c r="B8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6" spans="2:2" x14ac:dyDescent="0.3">
      <c r="B8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7" spans="2:2" x14ac:dyDescent="0.3">
      <c r="B8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8" spans="2:2" x14ac:dyDescent="0.3">
      <c r="B8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9" spans="2:2" x14ac:dyDescent="0.3">
      <c r="B8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0" spans="2:2" x14ac:dyDescent="0.3">
      <c r="B9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1" spans="2:2" x14ac:dyDescent="0.3">
      <c r="B9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2" spans="2:2" x14ac:dyDescent="0.3">
      <c r="B9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3" spans="2:2" x14ac:dyDescent="0.3">
      <c r="B9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4" spans="2:2" x14ac:dyDescent="0.3">
      <c r="B9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5" spans="2:2" x14ac:dyDescent="0.3">
      <c r="B9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6" spans="2:2" x14ac:dyDescent="0.3">
      <c r="B9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7" spans="2:2" x14ac:dyDescent="0.3">
      <c r="B9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8" spans="2:2" x14ac:dyDescent="0.3">
      <c r="B9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9" spans="2:2" x14ac:dyDescent="0.3">
      <c r="B9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0" spans="2:2" x14ac:dyDescent="0.3">
      <c r="B9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1" spans="2:2" x14ac:dyDescent="0.3">
      <c r="B9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2" spans="2:2" x14ac:dyDescent="0.3">
      <c r="B9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3" spans="2:2" x14ac:dyDescent="0.3">
      <c r="B9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4" spans="2:2" x14ac:dyDescent="0.3">
      <c r="B9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5" spans="2:2" x14ac:dyDescent="0.3">
      <c r="B9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6" spans="2:2" x14ac:dyDescent="0.3">
      <c r="B9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7" spans="2:2" x14ac:dyDescent="0.3">
      <c r="B9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8" spans="2:2" x14ac:dyDescent="0.3">
      <c r="B9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9" spans="2:2" x14ac:dyDescent="0.3">
      <c r="B9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0" spans="2:2" x14ac:dyDescent="0.3">
      <c r="B9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1" spans="2:2" x14ac:dyDescent="0.3">
      <c r="B9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2" spans="2:2" x14ac:dyDescent="0.3">
      <c r="B9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3" spans="2:2" x14ac:dyDescent="0.3">
      <c r="B9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4" spans="2:2" x14ac:dyDescent="0.3">
      <c r="B9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5" spans="2:2" x14ac:dyDescent="0.3">
      <c r="B9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6" spans="2:2" x14ac:dyDescent="0.3">
      <c r="B9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7" spans="2:2" x14ac:dyDescent="0.3">
      <c r="B9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8" spans="2:2" x14ac:dyDescent="0.3">
      <c r="B9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9" spans="2:2" x14ac:dyDescent="0.3">
      <c r="B9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0" spans="2:2" x14ac:dyDescent="0.3">
      <c r="B9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1" spans="2:2" x14ac:dyDescent="0.3">
      <c r="B9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2" spans="2:2" x14ac:dyDescent="0.3">
      <c r="B9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3" spans="2:2" x14ac:dyDescent="0.3">
      <c r="B9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4" spans="2:2" x14ac:dyDescent="0.3">
      <c r="B9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5" spans="2:2" x14ac:dyDescent="0.3">
      <c r="B9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6" spans="2:2" x14ac:dyDescent="0.3">
      <c r="B9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7" spans="2:2" x14ac:dyDescent="0.3">
      <c r="B9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8" spans="2:2" x14ac:dyDescent="0.3">
      <c r="B9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9" spans="2:2" x14ac:dyDescent="0.3">
      <c r="B9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0" spans="2:2" x14ac:dyDescent="0.3">
      <c r="B9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1" spans="2:2" x14ac:dyDescent="0.3">
      <c r="B9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2" spans="2:2" x14ac:dyDescent="0.3">
      <c r="B9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3" spans="2:2" x14ac:dyDescent="0.3">
      <c r="B9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4" spans="2:2" x14ac:dyDescent="0.3">
      <c r="B9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5" spans="2:2" x14ac:dyDescent="0.3">
      <c r="B9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6" spans="2:2" x14ac:dyDescent="0.3">
      <c r="B9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7" spans="2:2" x14ac:dyDescent="0.3">
      <c r="B9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8" spans="2:2" x14ac:dyDescent="0.3">
      <c r="B9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9" spans="2:2" x14ac:dyDescent="0.3">
      <c r="B9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0" spans="2:2" x14ac:dyDescent="0.3">
      <c r="B9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1" spans="2:2" x14ac:dyDescent="0.3">
      <c r="B9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2" spans="2:2" x14ac:dyDescent="0.3">
      <c r="B9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3" spans="2:2" x14ac:dyDescent="0.3">
      <c r="B9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4" spans="2:2" x14ac:dyDescent="0.3">
      <c r="B9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5" spans="2:2" x14ac:dyDescent="0.3">
      <c r="B9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6" spans="2:2" x14ac:dyDescent="0.3">
      <c r="B9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7" spans="2:2" x14ac:dyDescent="0.3">
      <c r="B9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8" spans="2:2" x14ac:dyDescent="0.3">
      <c r="B9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9" spans="2:2" x14ac:dyDescent="0.3">
      <c r="B9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0" spans="2:2" x14ac:dyDescent="0.3">
      <c r="B9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1" spans="2:2" x14ac:dyDescent="0.3">
      <c r="B9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2" spans="2:2" x14ac:dyDescent="0.3">
      <c r="B9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3" spans="2:2" x14ac:dyDescent="0.3">
      <c r="B9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4" spans="2:2" x14ac:dyDescent="0.3">
      <c r="B9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5" spans="2:2" x14ac:dyDescent="0.3">
      <c r="B9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6" spans="2:2" x14ac:dyDescent="0.3">
      <c r="B9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7" spans="2:2" x14ac:dyDescent="0.3">
      <c r="B9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8" spans="2:2" x14ac:dyDescent="0.3">
      <c r="B9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9" spans="2:2" x14ac:dyDescent="0.3">
      <c r="B9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0" spans="2:2" x14ac:dyDescent="0.3">
      <c r="B9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1" spans="2:2" x14ac:dyDescent="0.3">
      <c r="B9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2" spans="2:2" x14ac:dyDescent="0.3">
      <c r="B9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3" spans="2:2" x14ac:dyDescent="0.3">
      <c r="B9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4" spans="2:2" x14ac:dyDescent="0.3">
      <c r="B9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5" spans="2:2" x14ac:dyDescent="0.3">
      <c r="B9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6" spans="2:2" x14ac:dyDescent="0.3">
      <c r="B9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7" spans="2:2" x14ac:dyDescent="0.3">
      <c r="B9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8" spans="2:2" x14ac:dyDescent="0.3">
      <c r="B9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9" spans="2:2" x14ac:dyDescent="0.3">
      <c r="B9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0" spans="2:2" x14ac:dyDescent="0.3">
      <c r="B9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1" spans="2:2" x14ac:dyDescent="0.3">
      <c r="B9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2" spans="2:2" x14ac:dyDescent="0.3">
      <c r="B9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3" spans="2:2" x14ac:dyDescent="0.3">
      <c r="B9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4" spans="2:2" x14ac:dyDescent="0.3">
      <c r="B9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5" spans="2:2" x14ac:dyDescent="0.3">
      <c r="B9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6" spans="2:2" x14ac:dyDescent="0.3">
      <c r="B9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7" spans="2:2" x14ac:dyDescent="0.3">
      <c r="B9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8" spans="2:2" x14ac:dyDescent="0.3">
      <c r="B9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9" spans="2:2" x14ac:dyDescent="0.3">
      <c r="B9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0" spans="2:2" x14ac:dyDescent="0.3">
      <c r="B9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1" spans="2:2" x14ac:dyDescent="0.3">
      <c r="B9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2" spans="2:2" x14ac:dyDescent="0.3">
      <c r="B9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3" spans="2:2" x14ac:dyDescent="0.3">
      <c r="B9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4" spans="2:2" x14ac:dyDescent="0.3">
      <c r="B9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5" spans="2:2" x14ac:dyDescent="0.3">
      <c r="B9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6" spans="2:2" x14ac:dyDescent="0.3">
      <c r="B9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7" spans="2:2" x14ac:dyDescent="0.3">
      <c r="B9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8" spans="2:2" x14ac:dyDescent="0.3">
      <c r="B9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9" spans="2:2" x14ac:dyDescent="0.3">
      <c r="B9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0" spans="2:2" x14ac:dyDescent="0.3">
      <c r="B10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1" spans="2:2" x14ac:dyDescent="0.3">
      <c r="B10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2" spans="2:2" x14ac:dyDescent="0.3">
      <c r="B10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3" spans="2:2" x14ac:dyDescent="0.3">
      <c r="B10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4" spans="2:2" x14ac:dyDescent="0.3">
      <c r="B10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5" spans="2:2" x14ac:dyDescent="0.3">
      <c r="B10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6" spans="2:2" x14ac:dyDescent="0.3">
      <c r="B10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7" spans="2:2" x14ac:dyDescent="0.3">
      <c r="B10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8" spans="2:2" x14ac:dyDescent="0.3">
      <c r="B10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9" spans="2:2" x14ac:dyDescent="0.3">
      <c r="B10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0" spans="2:2" x14ac:dyDescent="0.3">
      <c r="B10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1" spans="2:2" x14ac:dyDescent="0.3">
      <c r="B10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2" spans="2:2" x14ac:dyDescent="0.3">
      <c r="B10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3" spans="2:2" x14ac:dyDescent="0.3">
      <c r="B10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4" spans="2:2" x14ac:dyDescent="0.3">
      <c r="B10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5" spans="2:2" x14ac:dyDescent="0.3">
      <c r="B10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6" spans="2:2" x14ac:dyDescent="0.3">
      <c r="B10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7" spans="2:2" x14ac:dyDescent="0.3">
      <c r="B10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8" spans="2:2" x14ac:dyDescent="0.3">
      <c r="B10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9" spans="2:2" x14ac:dyDescent="0.3">
      <c r="B10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0" spans="2:2" x14ac:dyDescent="0.3">
      <c r="B10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1" spans="2:2" x14ac:dyDescent="0.3">
      <c r="B10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2" spans="2:2" x14ac:dyDescent="0.3">
      <c r="B10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3" spans="2:2" x14ac:dyDescent="0.3">
      <c r="B10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4" spans="2:2" x14ac:dyDescent="0.3">
      <c r="B10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5" spans="2:2" x14ac:dyDescent="0.3">
      <c r="B10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6" spans="2:2" x14ac:dyDescent="0.3">
      <c r="B10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7" spans="2:2" x14ac:dyDescent="0.3">
      <c r="B10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8" spans="2:2" x14ac:dyDescent="0.3">
      <c r="B10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9" spans="2:2" x14ac:dyDescent="0.3">
      <c r="B10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0" spans="2:2" x14ac:dyDescent="0.3">
      <c r="B10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1" spans="2:2" x14ac:dyDescent="0.3">
      <c r="B10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2" spans="2:2" x14ac:dyDescent="0.3">
      <c r="B10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3" spans="2:2" x14ac:dyDescent="0.3">
      <c r="B10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4" spans="2:2" x14ac:dyDescent="0.3">
      <c r="B10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5" spans="2:2" x14ac:dyDescent="0.3">
      <c r="B10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6" spans="2:2" x14ac:dyDescent="0.3">
      <c r="B10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7" spans="2:2" x14ac:dyDescent="0.3">
      <c r="B10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8" spans="2:2" x14ac:dyDescent="0.3">
      <c r="B10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9" spans="2:2" x14ac:dyDescent="0.3">
      <c r="B10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0" spans="2:2" x14ac:dyDescent="0.3">
      <c r="B10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1" spans="2:2" x14ac:dyDescent="0.3">
      <c r="B10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2" spans="2:2" x14ac:dyDescent="0.3">
      <c r="B10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3" spans="2:2" x14ac:dyDescent="0.3">
      <c r="B10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4" spans="2:2" x14ac:dyDescent="0.3">
      <c r="B10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5" spans="2:2" x14ac:dyDescent="0.3">
      <c r="B10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6" spans="2:2" x14ac:dyDescent="0.3">
      <c r="B10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7" spans="2:2" x14ac:dyDescent="0.3">
      <c r="B10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8" spans="2:2" x14ac:dyDescent="0.3">
      <c r="B10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9" spans="2:2" x14ac:dyDescent="0.3">
      <c r="B10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0" spans="2:2" x14ac:dyDescent="0.3">
      <c r="B10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1" spans="2:2" x14ac:dyDescent="0.3">
      <c r="B10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2" spans="2:2" x14ac:dyDescent="0.3">
      <c r="B10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3" spans="2:2" x14ac:dyDescent="0.3">
      <c r="B10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4" spans="2:2" x14ac:dyDescent="0.3">
      <c r="B10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5" spans="2:2" x14ac:dyDescent="0.3">
      <c r="B10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6" spans="2:2" x14ac:dyDescent="0.3">
      <c r="B10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7" spans="2:2" x14ac:dyDescent="0.3">
      <c r="B10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8" spans="2:2" x14ac:dyDescent="0.3">
      <c r="B10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9" spans="2:2" x14ac:dyDescent="0.3">
      <c r="B10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0" spans="2:2" x14ac:dyDescent="0.3">
      <c r="B10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1" spans="2:2" x14ac:dyDescent="0.3">
      <c r="B10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2" spans="2:2" x14ac:dyDescent="0.3">
      <c r="B10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3" spans="2:2" x14ac:dyDescent="0.3">
      <c r="B10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4" spans="2:2" x14ac:dyDescent="0.3">
      <c r="B10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5" spans="2:2" x14ac:dyDescent="0.3">
      <c r="B10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6" spans="2:2" x14ac:dyDescent="0.3">
      <c r="B10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7" spans="2:2" x14ac:dyDescent="0.3">
      <c r="B10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8" spans="2:2" x14ac:dyDescent="0.3">
      <c r="B10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9" spans="2:2" x14ac:dyDescent="0.3">
      <c r="B10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0" spans="2:2" x14ac:dyDescent="0.3">
      <c r="B10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1" spans="2:2" x14ac:dyDescent="0.3">
      <c r="B10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2" spans="2:2" x14ac:dyDescent="0.3">
      <c r="B10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3" spans="2:2" x14ac:dyDescent="0.3">
      <c r="B10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4" spans="2:2" x14ac:dyDescent="0.3">
      <c r="B10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5" spans="2:2" x14ac:dyDescent="0.3">
      <c r="B10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6" spans="2:2" x14ac:dyDescent="0.3">
      <c r="B10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7" spans="2:2" x14ac:dyDescent="0.3">
      <c r="B10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8" spans="2:2" x14ac:dyDescent="0.3">
      <c r="B10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9" spans="2:2" x14ac:dyDescent="0.3">
      <c r="B10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0" spans="2:2" x14ac:dyDescent="0.3">
      <c r="B10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1" spans="2:2" x14ac:dyDescent="0.3">
      <c r="B10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2" spans="2:2" x14ac:dyDescent="0.3">
      <c r="B10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3" spans="2:2" x14ac:dyDescent="0.3">
      <c r="B10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4" spans="2:2" x14ac:dyDescent="0.3">
      <c r="B10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5" spans="2:2" x14ac:dyDescent="0.3">
      <c r="B10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6" spans="2:2" x14ac:dyDescent="0.3">
      <c r="B10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7" spans="2:2" x14ac:dyDescent="0.3">
      <c r="B10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8" spans="2:2" x14ac:dyDescent="0.3">
      <c r="B10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9" spans="2:2" x14ac:dyDescent="0.3">
      <c r="B10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0" spans="2:2" x14ac:dyDescent="0.3">
      <c r="B10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1" spans="2:2" x14ac:dyDescent="0.3">
      <c r="B10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2" spans="2:2" x14ac:dyDescent="0.3">
      <c r="B10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3" spans="2:2" x14ac:dyDescent="0.3">
      <c r="B10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4" spans="2:2" x14ac:dyDescent="0.3">
      <c r="B10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5" spans="2:2" x14ac:dyDescent="0.3">
      <c r="B10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6" spans="2:2" x14ac:dyDescent="0.3">
      <c r="B10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7" spans="2:2" x14ac:dyDescent="0.3">
      <c r="B10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8" spans="2:2" x14ac:dyDescent="0.3">
      <c r="B10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9" spans="2:2" x14ac:dyDescent="0.3">
      <c r="B10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0" spans="2:2" x14ac:dyDescent="0.3">
      <c r="B11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1" spans="2:2" x14ac:dyDescent="0.3">
      <c r="B11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2" spans="2:2" x14ac:dyDescent="0.3">
      <c r="B11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3" spans="2:2" x14ac:dyDescent="0.3">
      <c r="B11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4" spans="2:2" x14ac:dyDescent="0.3">
      <c r="B11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5" spans="2:2" x14ac:dyDescent="0.3">
      <c r="B11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6" spans="2:2" x14ac:dyDescent="0.3">
      <c r="B11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7" spans="2:2" x14ac:dyDescent="0.3">
      <c r="B11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8" spans="2:2" x14ac:dyDescent="0.3">
      <c r="B11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9" spans="2:2" x14ac:dyDescent="0.3">
      <c r="B11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0" spans="2:2" x14ac:dyDescent="0.3">
      <c r="B11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1" spans="2:2" x14ac:dyDescent="0.3">
      <c r="B11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2" spans="2:2" x14ac:dyDescent="0.3">
      <c r="B11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3" spans="2:2" x14ac:dyDescent="0.3">
      <c r="B11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4" spans="2:2" x14ac:dyDescent="0.3">
      <c r="B11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5" spans="2:2" x14ac:dyDescent="0.3">
      <c r="B11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6" spans="2:2" x14ac:dyDescent="0.3">
      <c r="B11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7" spans="2:2" x14ac:dyDescent="0.3">
      <c r="B11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8" spans="2:2" x14ac:dyDescent="0.3">
      <c r="B11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9" spans="2:2" x14ac:dyDescent="0.3">
      <c r="B11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0" spans="2:2" x14ac:dyDescent="0.3">
      <c r="B11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1" spans="2:2" x14ac:dyDescent="0.3">
      <c r="B11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2" spans="2:2" x14ac:dyDescent="0.3">
      <c r="B11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3" spans="2:2" x14ac:dyDescent="0.3">
      <c r="B11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4" spans="2:2" x14ac:dyDescent="0.3">
      <c r="B11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5" spans="2:2" x14ac:dyDescent="0.3">
      <c r="B11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6" spans="2:2" x14ac:dyDescent="0.3">
      <c r="B11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7" spans="2:2" x14ac:dyDescent="0.3">
      <c r="B11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8" spans="2:2" x14ac:dyDescent="0.3">
      <c r="B11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9" spans="2:2" x14ac:dyDescent="0.3">
      <c r="B11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0" spans="2:2" x14ac:dyDescent="0.3">
      <c r="B11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1" spans="2:2" x14ac:dyDescent="0.3">
      <c r="B11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2" spans="2:2" x14ac:dyDescent="0.3">
      <c r="B11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3" spans="2:2" x14ac:dyDescent="0.3">
      <c r="B11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4" spans="2:2" x14ac:dyDescent="0.3">
      <c r="B11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5" spans="2:2" x14ac:dyDescent="0.3">
      <c r="B11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6" spans="2:2" x14ac:dyDescent="0.3">
      <c r="B11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7" spans="2:2" x14ac:dyDescent="0.3">
      <c r="B11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8" spans="2:2" x14ac:dyDescent="0.3">
      <c r="B11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9" spans="2:2" x14ac:dyDescent="0.3">
      <c r="B11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0" spans="2:2" x14ac:dyDescent="0.3">
      <c r="B11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1" spans="2:2" x14ac:dyDescent="0.3">
      <c r="B11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2" spans="2:2" x14ac:dyDescent="0.3">
      <c r="B11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3" spans="2:2" x14ac:dyDescent="0.3">
      <c r="B11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4" spans="2:2" x14ac:dyDescent="0.3">
      <c r="B11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5" spans="2:2" x14ac:dyDescent="0.3">
      <c r="B11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6" spans="2:2" x14ac:dyDescent="0.3">
      <c r="B11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7" spans="2:2" x14ac:dyDescent="0.3">
      <c r="B11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8" spans="2:2" x14ac:dyDescent="0.3">
      <c r="B11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9" spans="2:2" x14ac:dyDescent="0.3">
      <c r="B11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0" spans="2:2" x14ac:dyDescent="0.3">
      <c r="B11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1" spans="2:2" x14ac:dyDescent="0.3">
      <c r="B11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2" spans="2:2" x14ac:dyDescent="0.3">
      <c r="B11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3" spans="2:2" x14ac:dyDescent="0.3">
      <c r="B11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4" spans="2:2" x14ac:dyDescent="0.3">
      <c r="B11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5" spans="2:2" x14ac:dyDescent="0.3">
      <c r="B11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6" spans="2:2" x14ac:dyDescent="0.3">
      <c r="B11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7" spans="2:2" x14ac:dyDescent="0.3">
      <c r="B11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8" spans="2:2" x14ac:dyDescent="0.3">
      <c r="B11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9" spans="2:2" x14ac:dyDescent="0.3">
      <c r="B11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0" spans="2:2" x14ac:dyDescent="0.3">
      <c r="B11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1" spans="2:2" x14ac:dyDescent="0.3">
      <c r="B11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2" spans="2:2" x14ac:dyDescent="0.3">
      <c r="B11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3" spans="2:2" x14ac:dyDescent="0.3">
      <c r="B11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4" spans="2:2" x14ac:dyDescent="0.3">
      <c r="B11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5" spans="2:2" x14ac:dyDescent="0.3">
      <c r="B11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6" spans="2:2" x14ac:dyDescent="0.3">
      <c r="B11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7" spans="2:2" x14ac:dyDescent="0.3">
      <c r="B11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8" spans="2:2" x14ac:dyDescent="0.3">
      <c r="B11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9" spans="2:2" x14ac:dyDescent="0.3">
      <c r="B11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0" spans="2:2" x14ac:dyDescent="0.3">
      <c r="B11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1" spans="2:2" x14ac:dyDescent="0.3">
      <c r="B11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2" spans="2:2" x14ac:dyDescent="0.3">
      <c r="B11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3" spans="2:2" x14ac:dyDescent="0.3">
      <c r="B11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4" spans="2:2" x14ac:dyDescent="0.3">
      <c r="B11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5" spans="2:2" x14ac:dyDescent="0.3">
      <c r="B11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6" spans="2:2" x14ac:dyDescent="0.3">
      <c r="B11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7" spans="2:2" x14ac:dyDescent="0.3">
      <c r="B11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8" spans="2:2" x14ac:dyDescent="0.3">
      <c r="B11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9" spans="2:2" x14ac:dyDescent="0.3">
      <c r="B11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0" spans="2:2" x14ac:dyDescent="0.3">
      <c r="B11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1" spans="2:2" x14ac:dyDescent="0.3">
      <c r="B11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2" spans="2:2" x14ac:dyDescent="0.3">
      <c r="B11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3" spans="2:2" x14ac:dyDescent="0.3">
      <c r="B11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4" spans="2:2" x14ac:dyDescent="0.3">
      <c r="B11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5" spans="2:2" x14ac:dyDescent="0.3">
      <c r="B11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6" spans="2:2" x14ac:dyDescent="0.3">
      <c r="B11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7" spans="2:2" x14ac:dyDescent="0.3">
      <c r="B11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8" spans="2:2" x14ac:dyDescent="0.3">
      <c r="B11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9" spans="2:2" x14ac:dyDescent="0.3">
      <c r="B11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0" spans="2:2" x14ac:dyDescent="0.3">
      <c r="B11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1" spans="2:2" x14ac:dyDescent="0.3">
      <c r="B11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2" spans="2:2" x14ac:dyDescent="0.3">
      <c r="B11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3" spans="2:2" x14ac:dyDescent="0.3">
      <c r="B11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4" spans="2:2" x14ac:dyDescent="0.3">
      <c r="B11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5" spans="2:2" x14ac:dyDescent="0.3">
      <c r="B11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6" spans="2:2" x14ac:dyDescent="0.3">
      <c r="B11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7" spans="2:2" x14ac:dyDescent="0.3">
      <c r="B11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8" spans="2:2" x14ac:dyDescent="0.3">
      <c r="B11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9" spans="2:2" x14ac:dyDescent="0.3">
      <c r="B11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0" spans="2:2" x14ac:dyDescent="0.3">
      <c r="B12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1" spans="2:2" x14ac:dyDescent="0.3">
      <c r="B12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2" spans="2:2" x14ac:dyDescent="0.3">
      <c r="B12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3" spans="2:2" x14ac:dyDescent="0.3">
      <c r="B12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4" spans="2:2" x14ac:dyDescent="0.3">
      <c r="B12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5" spans="2:2" x14ac:dyDescent="0.3">
      <c r="B12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6" spans="2:2" x14ac:dyDescent="0.3">
      <c r="B12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7" spans="2:2" x14ac:dyDescent="0.3">
      <c r="B12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8" spans="2:2" x14ac:dyDescent="0.3">
      <c r="B12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9" spans="2:2" x14ac:dyDescent="0.3">
      <c r="B12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0" spans="2:2" x14ac:dyDescent="0.3">
      <c r="B12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1" spans="2:2" x14ac:dyDescent="0.3">
      <c r="B12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2" spans="2:2" x14ac:dyDescent="0.3">
      <c r="B12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3" spans="2:2" x14ac:dyDescent="0.3">
      <c r="B12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4" spans="2:2" x14ac:dyDescent="0.3">
      <c r="B12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5" spans="2:2" x14ac:dyDescent="0.3">
      <c r="B12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6" spans="2:2" x14ac:dyDescent="0.3">
      <c r="B12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7" spans="2:2" x14ac:dyDescent="0.3">
      <c r="B12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8" spans="2:2" x14ac:dyDescent="0.3">
      <c r="B12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9" spans="2:2" x14ac:dyDescent="0.3">
      <c r="B12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0" spans="2:2" x14ac:dyDescent="0.3">
      <c r="B12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1" spans="2:2" x14ac:dyDescent="0.3">
      <c r="B12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2" spans="2:2" x14ac:dyDescent="0.3">
      <c r="B12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3" spans="2:2" x14ac:dyDescent="0.3">
      <c r="B12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4" spans="2:2" x14ac:dyDescent="0.3">
      <c r="B12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5" spans="2:2" x14ac:dyDescent="0.3">
      <c r="B12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6" spans="2:2" x14ac:dyDescent="0.3">
      <c r="B12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7" spans="2:2" x14ac:dyDescent="0.3">
      <c r="B12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8" spans="2:2" x14ac:dyDescent="0.3">
      <c r="B12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9" spans="2:2" x14ac:dyDescent="0.3">
      <c r="B12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0" spans="2:2" x14ac:dyDescent="0.3">
      <c r="B12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1" spans="2:2" x14ac:dyDescent="0.3">
      <c r="B12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2" spans="2:2" x14ac:dyDescent="0.3">
      <c r="B12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3" spans="2:2" x14ac:dyDescent="0.3">
      <c r="B12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4" spans="2:2" x14ac:dyDescent="0.3">
      <c r="B12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5" spans="2:2" x14ac:dyDescent="0.3">
      <c r="B12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6" spans="2:2" x14ac:dyDescent="0.3">
      <c r="B12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7" spans="2:2" x14ac:dyDescent="0.3">
      <c r="B12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8" spans="2:2" x14ac:dyDescent="0.3">
      <c r="B12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9" spans="2:2" x14ac:dyDescent="0.3">
      <c r="B12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0" spans="2:2" x14ac:dyDescent="0.3">
      <c r="B12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1" spans="2:2" x14ac:dyDescent="0.3">
      <c r="B12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2" spans="2:2" x14ac:dyDescent="0.3">
      <c r="B12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3" spans="2:2" x14ac:dyDescent="0.3">
      <c r="B12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4" spans="2:2" x14ac:dyDescent="0.3">
      <c r="B12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5" spans="2:2" x14ac:dyDescent="0.3">
      <c r="B12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6" spans="2:2" x14ac:dyDescent="0.3">
      <c r="B12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7" spans="2:2" x14ac:dyDescent="0.3">
      <c r="B12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8" spans="2:2" x14ac:dyDescent="0.3">
      <c r="B12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9" spans="2:2" x14ac:dyDescent="0.3">
      <c r="B12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0" spans="2:2" x14ac:dyDescent="0.3">
      <c r="B12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1" spans="2:2" x14ac:dyDescent="0.3">
      <c r="B12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2" spans="2:2" x14ac:dyDescent="0.3">
      <c r="B12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3" spans="2:2" x14ac:dyDescent="0.3">
      <c r="B12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4" spans="2:2" x14ac:dyDescent="0.3">
      <c r="B12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5" spans="2:2" x14ac:dyDescent="0.3">
      <c r="B12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6" spans="2:2" x14ac:dyDescent="0.3">
      <c r="B12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7" spans="2:2" x14ac:dyDescent="0.3">
      <c r="B12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8" spans="2:2" x14ac:dyDescent="0.3">
      <c r="B12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9" spans="2:2" x14ac:dyDescent="0.3">
      <c r="B12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0" spans="2:2" x14ac:dyDescent="0.3">
      <c r="B12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1" spans="2:2" x14ac:dyDescent="0.3">
      <c r="B12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2" spans="2:2" x14ac:dyDescent="0.3">
      <c r="B12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3" spans="2:2" x14ac:dyDescent="0.3">
      <c r="B12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4" spans="2:2" x14ac:dyDescent="0.3">
      <c r="B12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5" spans="2:2" x14ac:dyDescent="0.3">
      <c r="B12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6" spans="2:2" x14ac:dyDescent="0.3">
      <c r="B12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7" spans="2:2" x14ac:dyDescent="0.3">
      <c r="B12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8" spans="2:2" x14ac:dyDescent="0.3">
      <c r="B12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9" spans="2:2" x14ac:dyDescent="0.3">
      <c r="B12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0" spans="2:2" x14ac:dyDescent="0.3">
      <c r="B12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1" spans="2:2" x14ac:dyDescent="0.3">
      <c r="B12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2" spans="2:2" x14ac:dyDescent="0.3">
      <c r="B12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3" spans="2:2" x14ac:dyDescent="0.3">
      <c r="B12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4" spans="2:2" x14ac:dyDescent="0.3">
      <c r="B12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5" spans="2:2" x14ac:dyDescent="0.3">
      <c r="B12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6" spans="2:2" x14ac:dyDescent="0.3">
      <c r="B12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7" spans="2:2" x14ac:dyDescent="0.3">
      <c r="B12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8" spans="2:2" x14ac:dyDescent="0.3">
      <c r="B12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9" spans="2:2" x14ac:dyDescent="0.3">
      <c r="B12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0" spans="2:2" x14ac:dyDescent="0.3">
      <c r="B12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1" spans="2:2" x14ac:dyDescent="0.3">
      <c r="B12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2" spans="2:2" x14ac:dyDescent="0.3">
      <c r="B12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3" spans="2:2" x14ac:dyDescent="0.3">
      <c r="B12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4" spans="2:2" x14ac:dyDescent="0.3">
      <c r="B12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5" spans="2:2" x14ac:dyDescent="0.3">
      <c r="B12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6" spans="2:2" x14ac:dyDescent="0.3">
      <c r="B12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7" spans="2:2" x14ac:dyDescent="0.3">
      <c r="B12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8" spans="2:2" x14ac:dyDescent="0.3">
      <c r="B12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9" spans="2:2" x14ac:dyDescent="0.3">
      <c r="B12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0" spans="2:2" x14ac:dyDescent="0.3">
      <c r="B12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1" spans="2:2" x14ac:dyDescent="0.3">
      <c r="B12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2" spans="2:2" x14ac:dyDescent="0.3">
      <c r="B12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3" spans="2:2" x14ac:dyDescent="0.3">
      <c r="B12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4" spans="2:2" x14ac:dyDescent="0.3">
      <c r="B12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5" spans="2:2" x14ac:dyDescent="0.3">
      <c r="B12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6" spans="2:2" x14ac:dyDescent="0.3">
      <c r="B12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7" spans="2:2" x14ac:dyDescent="0.3">
      <c r="B12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8" spans="2:2" x14ac:dyDescent="0.3">
      <c r="B12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9" spans="2:2" x14ac:dyDescent="0.3">
      <c r="B12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0" spans="2:2" x14ac:dyDescent="0.3">
      <c r="B13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1" spans="2:2" x14ac:dyDescent="0.3">
      <c r="B13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2" spans="2:2" x14ac:dyDescent="0.3">
      <c r="B13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3" spans="2:2" x14ac:dyDescent="0.3">
      <c r="B13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4" spans="2:2" x14ac:dyDescent="0.3">
      <c r="B13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5" spans="2:2" x14ac:dyDescent="0.3">
      <c r="B13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6" spans="2:2" x14ac:dyDescent="0.3">
      <c r="B13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7" spans="2:2" x14ac:dyDescent="0.3">
      <c r="B13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8" spans="2:2" x14ac:dyDescent="0.3">
      <c r="B13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9" spans="2:2" x14ac:dyDescent="0.3">
      <c r="B13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0" spans="2:2" x14ac:dyDescent="0.3">
      <c r="B13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1" spans="2:2" x14ac:dyDescent="0.3">
      <c r="B13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2" spans="2:2" x14ac:dyDescent="0.3">
      <c r="B13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3" spans="2:2" x14ac:dyDescent="0.3">
      <c r="B13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4" spans="2:2" x14ac:dyDescent="0.3">
      <c r="B13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5" spans="2:2" x14ac:dyDescent="0.3">
      <c r="B13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6" spans="2:2" x14ac:dyDescent="0.3">
      <c r="B13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7" spans="2:2" x14ac:dyDescent="0.3">
      <c r="B13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8" spans="2:2" x14ac:dyDescent="0.3">
      <c r="B13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9" spans="2:2" x14ac:dyDescent="0.3">
      <c r="B13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0" spans="2:2" x14ac:dyDescent="0.3">
      <c r="B13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1" spans="2:2" x14ac:dyDescent="0.3">
      <c r="B13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2" spans="2:2" x14ac:dyDescent="0.3">
      <c r="B13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3" spans="2:2" x14ac:dyDescent="0.3">
      <c r="B13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4" spans="2:2" x14ac:dyDescent="0.3">
      <c r="B13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5" spans="2:2" x14ac:dyDescent="0.3">
      <c r="B13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6" spans="2:2" x14ac:dyDescent="0.3">
      <c r="B13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7" spans="2:2" x14ac:dyDescent="0.3">
      <c r="B13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8" spans="2:2" x14ac:dyDescent="0.3">
      <c r="B13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9" spans="2:2" x14ac:dyDescent="0.3">
      <c r="B13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0" spans="2:2" x14ac:dyDescent="0.3">
      <c r="B13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1" spans="2:2" x14ac:dyDescent="0.3">
      <c r="B13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2" spans="2:2" x14ac:dyDescent="0.3">
      <c r="B13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3" spans="2:2" x14ac:dyDescent="0.3">
      <c r="B13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4" spans="2:2" x14ac:dyDescent="0.3">
      <c r="B13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5" spans="2:2" x14ac:dyDescent="0.3">
      <c r="B13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6" spans="2:2" x14ac:dyDescent="0.3">
      <c r="B13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7" spans="2:2" x14ac:dyDescent="0.3">
      <c r="B13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8" spans="2:2" x14ac:dyDescent="0.3">
      <c r="B13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9" spans="2:2" x14ac:dyDescent="0.3">
      <c r="B13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0" spans="2:2" x14ac:dyDescent="0.3">
      <c r="B13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1" spans="2:2" x14ac:dyDescent="0.3">
      <c r="B13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2" spans="2:2" x14ac:dyDescent="0.3">
      <c r="B13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3" spans="2:2" x14ac:dyDescent="0.3">
      <c r="B13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4" spans="2:2" x14ac:dyDescent="0.3">
      <c r="B13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5" spans="2:2" x14ac:dyDescent="0.3">
      <c r="B13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6" spans="2:2" x14ac:dyDescent="0.3">
      <c r="B13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7" spans="2:2" x14ac:dyDescent="0.3">
      <c r="B13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8" spans="2:2" x14ac:dyDescent="0.3">
      <c r="B13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9" spans="2:2" x14ac:dyDescent="0.3">
      <c r="B13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0" spans="2:2" x14ac:dyDescent="0.3">
      <c r="B13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1" spans="2:2" x14ac:dyDescent="0.3">
      <c r="B13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2" spans="2:2" x14ac:dyDescent="0.3">
      <c r="B13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3" spans="2:2" x14ac:dyDescent="0.3">
      <c r="B13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4" spans="2:2" x14ac:dyDescent="0.3">
      <c r="B13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5" spans="2:2" x14ac:dyDescent="0.3">
      <c r="B13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6" spans="2:2" x14ac:dyDescent="0.3">
      <c r="B13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7" spans="2:2" x14ac:dyDescent="0.3">
      <c r="B13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8" spans="2:2" x14ac:dyDescent="0.3">
      <c r="B13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9" spans="2:2" x14ac:dyDescent="0.3">
      <c r="B13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0" spans="2:2" x14ac:dyDescent="0.3">
      <c r="B13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1" spans="2:2" x14ac:dyDescent="0.3">
      <c r="B13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2" spans="2:2" x14ac:dyDescent="0.3">
      <c r="B13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3" spans="2:2" x14ac:dyDescent="0.3">
      <c r="B13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4" spans="2:2" x14ac:dyDescent="0.3">
      <c r="B13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5" spans="2:2" x14ac:dyDescent="0.3">
      <c r="B13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6" spans="2:2" x14ac:dyDescent="0.3">
      <c r="B13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7" spans="2:2" x14ac:dyDescent="0.3">
      <c r="B13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8" spans="2:2" x14ac:dyDescent="0.3">
      <c r="B13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9" spans="2:2" x14ac:dyDescent="0.3">
      <c r="B13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0" spans="2:2" x14ac:dyDescent="0.3">
      <c r="B13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1" spans="2:2" x14ac:dyDescent="0.3">
      <c r="B13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2" spans="2:2" x14ac:dyDescent="0.3">
      <c r="B13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3" spans="2:2" x14ac:dyDescent="0.3">
      <c r="B13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4" spans="2:2" x14ac:dyDescent="0.3">
      <c r="B13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5" spans="2:2" x14ac:dyDescent="0.3">
      <c r="B13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6" spans="2:2" x14ac:dyDescent="0.3">
      <c r="B13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7" spans="2:2" x14ac:dyDescent="0.3">
      <c r="B13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8" spans="2:2" x14ac:dyDescent="0.3">
      <c r="B13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9" spans="2:2" x14ac:dyDescent="0.3">
      <c r="B13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0" spans="2:2" x14ac:dyDescent="0.3">
      <c r="B13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1" spans="2:2" x14ac:dyDescent="0.3">
      <c r="B13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2" spans="2:2" x14ac:dyDescent="0.3">
      <c r="B13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3" spans="2:2" x14ac:dyDescent="0.3">
      <c r="B13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4" spans="2:2" x14ac:dyDescent="0.3">
      <c r="B13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5" spans="2:2" x14ac:dyDescent="0.3">
      <c r="B13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6" spans="2:2" x14ac:dyDescent="0.3">
      <c r="B13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7" spans="2:2" x14ac:dyDescent="0.3">
      <c r="B13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8" spans="2:2" x14ac:dyDescent="0.3">
      <c r="B13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9" spans="2:2" x14ac:dyDescent="0.3">
      <c r="B13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0" spans="2:2" x14ac:dyDescent="0.3">
      <c r="B13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1" spans="2:2" x14ac:dyDescent="0.3">
      <c r="B13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2" spans="2:2" x14ac:dyDescent="0.3">
      <c r="B13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3" spans="2:2" x14ac:dyDescent="0.3">
      <c r="B13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4" spans="2:2" x14ac:dyDescent="0.3">
      <c r="B13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5" spans="2:2" x14ac:dyDescent="0.3">
      <c r="B13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6" spans="2:2" x14ac:dyDescent="0.3">
      <c r="B13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7" spans="2:2" x14ac:dyDescent="0.3">
      <c r="B13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8" spans="2:2" x14ac:dyDescent="0.3">
      <c r="B13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9" spans="2:2" x14ac:dyDescent="0.3">
      <c r="B13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0" spans="2:2" x14ac:dyDescent="0.3">
      <c r="B14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1" spans="2:2" x14ac:dyDescent="0.3">
      <c r="B14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2" spans="2:2" x14ac:dyDescent="0.3">
      <c r="B14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3" spans="2:2" x14ac:dyDescent="0.3">
      <c r="B14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4" spans="2:2" x14ac:dyDescent="0.3">
      <c r="B14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5" spans="2:2" x14ac:dyDescent="0.3">
      <c r="B14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6" spans="2:2" x14ac:dyDescent="0.3">
      <c r="B14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7" spans="2:2" x14ac:dyDescent="0.3">
      <c r="B14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8" spans="2:2" x14ac:dyDescent="0.3">
      <c r="B14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9" spans="2:2" x14ac:dyDescent="0.3">
      <c r="B14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0" spans="2:2" x14ac:dyDescent="0.3">
      <c r="B14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1" spans="2:2" x14ac:dyDescent="0.3">
      <c r="B14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2" spans="2:2" x14ac:dyDescent="0.3">
      <c r="B14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3" spans="2:2" x14ac:dyDescent="0.3">
      <c r="B14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4" spans="2:2" x14ac:dyDescent="0.3">
      <c r="B14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5" spans="2:2" x14ac:dyDescent="0.3">
      <c r="B14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6" spans="2:2" x14ac:dyDescent="0.3">
      <c r="B14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7" spans="2:2" x14ac:dyDescent="0.3">
      <c r="B14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8" spans="2:2" x14ac:dyDescent="0.3">
      <c r="B14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9" spans="2:2" x14ac:dyDescent="0.3">
      <c r="B14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0" spans="2:2" x14ac:dyDescent="0.3">
      <c r="B14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1" spans="2:2" x14ac:dyDescent="0.3">
      <c r="B14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2" spans="2:2" x14ac:dyDescent="0.3">
      <c r="B14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3" spans="2:2" x14ac:dyDescent="0.3">
      <c r="B14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4" spans="2:2" x14ac:dyDescent="0.3">
      <c r="B14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5" spans="2:2" x14ac:dyDescent="0.3">
      <c r="B14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6" spans="2:2" x14ac:dyDescent="0.3">
      <c r="B14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7" spans="2:2" x14ac:dyDescent="0.3">
      <c r="B14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8" spans="2:2" x14ac:dyDescent="0.3">
      <c r="B14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9" spans="2:2" x14ac:dyDescent="0.3">
      <c r="B14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0" spans="2:2" x14ac:dyDescent="0.3">
      <c r="B14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1" spans="2:2" x14ac:dyDescent="0.3">
      <c r="B14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2" spans="2:2" x14ac:dyDescent="0.3">
      <c r="B14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3" spans="2:2" x14ac:dyDescent="0.3">
      <c r="B14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4" spans="2:2" x14ac:dyDescent="0.3">
      <c r="B14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5" spans="2:2" x14ac:dyDescent="0.3">
      <c r="B14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6" spans="2:2" x14ac:dyDescent="0.3">
      <c r="B14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7" spans="2:2" x14ac:dyDescent="0.3">
      <c r="B14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8" spans="2:2" x14ac:dyDescent="0.3">
      <c r="B14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9" spans="2:2" x14ac:dyDescent="0.3">
      <c r="B14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0" spans="2:2" x14ac:dyDescent="0.3">
      <c r="B14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1" spans="2:2" x14ac:dyDescent="0.3">
      <c r="B14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2" spans="2:2" x14ac:dyDescent="0.3">
      <c r="B14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3" spans="2:2" x14ac:dyDescent="0.3">
      <c r="B14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4" spans="2:2" x14ac:dyDescent="0.3">
      <c r="B14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5" spans="2:2" x14ac:dyDescent="0.3">
      <c r="B14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6" spans="2:2" x14ac:dyDescent="0.3">
      <c r="B14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7" spans="2:2" x14ac:dyDescent="0.3">
      <c r="B14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8" spans="2:2" x14ac:dyDescent="0.3">
      <c r="B14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9" spans="2:2" x14ac:dyDescent="0.3">
      <c r="B14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0" spans="2:2" x14ac:dyDescent="0.3">
      <c r="B14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1" spans="2:2" x14ac:dyDescent="0.3">
      <c r="B14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2" spans="2:2" x14ac:dyDescent="0.3">
      <c r="B14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3" spans="2:2" x14ac:dyDescent="0.3">
      <c r="B14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4" spans="2:2" x14ac:dyDescent="0.3">
      <c r="B14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5" spans="2:2" x14ac:dyDescent="0.3">
      <c r="B14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6" spans="2:2" x14ac:dyDescent="0.3">
      <c r="B14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7" spans="2:2" x14ac:dyDescent="0.3">
      <c r="B14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8" spans="2:2" x14ac:dyDescent="0.3">
      <c r="B14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9" spans="2:2" x14ac:dyDescent="0.3">
      <c r="B14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0" spans="2:2" x14ac:dyDescent="0.3">
      <c r="B14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1" spans="2:2" x14ac:dyDescent="0.3">
      <c r="B14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2" spans="2:2" x14ac:dyDescent="0.3">
      <c r="B14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3" spans="2:2" x14ac:dyDescent="0.3">
      <c r="B14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4" spans="2:2" x14ac:dyDescent="0.3">
      <c r="B14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5" spans="2:2" x14ac:dyDescent="0.3">
      <c r="B14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6" spans="2:2" x14ac:dyDescent="0.3">
      <c r="B14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7" spans="2:2" x14ac:dyDescent="0.3">
      <c r="B14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8" spans="2:2" x14ac:dyDescent="0.3">
      <c r="B14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9" spans="2:2" x14ac:dyDescent="0.3">
      <c r="B14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0" spans="2:2" x14ac:dyDescent="0.3">
      <c r="B14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1" spans="2:2" x14ac:dyDescent="0.3">
      <c r="B14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2" spans="2:2" x14ac:dyDescent="0.3">
      <c r="B14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3" spans="2:2" x14ac:dyDescent="0.3">
      <c r="B14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4" spans="2:2" x14ac:dyDescent="0.3">
      <c r="B14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5" spans="2:2" x14ac:dyDescent="0.3">
      <c r="B14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6" spans="2:2" x14ac:dyDescent="0.3">
      <c r="B14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7" spans="2:2" x14ac:dyDescent="0.3">
      <c r="B14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8" spans="2:2" x14ac:dyDescent="0.3">
      <c r="B14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9" spans="2:2" x14ac:dyDescent="0.3">
      <c r="B14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0" spans="2:2" x14ac:dyDescent="0.3">
      <c r="B14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1" spans="2:2" x14ac:dyDescent="0.3">
      <c r="B14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2" spans="2:2" x14ac:dyDescent="0.3">
      <c r="B14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3" spans="2:2" x14ac:dyDescent="0.3">
      <c r="B14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4" spans="2:2" x14ac:dyDescent="0.3">
      <c r="B14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5" spans="2:2" x14ac:dyDescent="0.3">
      <c r="B14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6" spans="2:2" x14ac:dyDescent="0.3">
      <c r="B14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7" spans="2:2" x14ac:dyDescent="0.3">
      <c r="B14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8" spans="2:2" x14ac:dyDescent="0.3">
      <c r="B14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9" spans="2:2" x14ac:dyDescent="0.3">
      <c r="B14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0" spans="2:2" x14ac:dyDescent="0.3">
      <c r="B14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1" spans="2:2" x14ac:dyDescent="0.3">
      <c r="B14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2" spans="2:2" x14ac:dyDescent="0.3">
      <c r="B14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3" spans="2:2" x14ac:dyDescent="0.3">
      <c r="B14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4" spans="2:2" x14ac:dyDescent="0.3">
      <c r="B14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5" spans="2:2" x14ac:dyDescent="0.3">
      <c r="B14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6" spans="2:2" x14ac:dyDescent="0.3">
      <c r="B14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7" spans="2:2" x14ac:dyDescent="0.3">
      <c r="B14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8" spans="2:2" x14ac:dyDescent="0.3">
      <c r="B14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9" spans="2:2" x14ac:dyDescent="0.3">
      <c r="B14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0" spans="2:2" x14ac:dyDescent="0.3">
      <c r="B15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1" spans="2:2" x14ac:dyDescent="0.3">
      <c r="B15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2" spans="2:2" x14ac:dyDescent="0.3">
      <c r="B15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3" spans="2:2" x14ac:dyDescent="0.3">
      <c r="B15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4" spans="2:2" x14ac:dyDescent="0.3">
      <c r="B15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5" spans="2:2" x14ac:dyDescent="0.3">
      <c r="B15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6" spans="2:2" x14ac:dyDescent="0.3">
      <c r="B15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7" spans="2:2" x14ac:dyDescent="0.3">
      <c r="B15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8" spans="2:2" x14ac:dyDescent="0.3">
      <c r="B15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9" spans="2:2" x14ac:dyDescent="0.3">
      <c r="B15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0" spans="2:2" x14ac:dyDescent="0.3">
      <c r="B15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1" spans="2:2" x14ac:dyDescent="0.3">
      <c r="B15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2" spans="2:2" x14ac:dyDescent="0.3">
      <c r="B15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3" spans="2:2" x14ac:dyDescent="0.3">
      <c r="B15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4" spans="2:2" x14ac:dyDescent="0.3">
      <c r="B15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5" spans="2:2" x14ac:dyDescent="0.3">
      <c r="B15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6" spans="2:2" x14ac:dyDescent="0.3">
      <c r="B15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7" spans="2:2" x14ac:dyDescent="0.3">
      <c r="B15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8" spans="2:2" x14ac:dyDescent="0.3">
      <c r="B15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9" spans="2:2" x14ac:dyDescent="0.3">
      <c r="B15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0" spans="2:2" x14ac:dyDescent="0.3">
      <c r="B15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1" spans="2:2" x14ac:dyDescent="0.3">
      <c r="B15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2" spans="2:2" x14ac:dyDescent="0.3">
      <c r="B15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3" spans="2:2" x14ac:dyDescent="0.3">
      <c r="B15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4" spans="2:2" x14ac:dyDescent="0.3">
      <c r="B15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5" spans="2:2" x14ac:dyDescent="0.3">
      <c r="B15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6" spans="2:2" x14ac:dyDescent="0.3">
      <c r="B15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7" spans="2:2" x14ac:dyDescent="0.3">
      <c r="B15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8" spans="2:2" x14ac:dyDescent="0.3">
      <c r="B15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9" spans="2:2" x14ac:dyDescent="0.3">
      <c r="B15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0" spans="2:2" x14ac:dyDescent="0.3">
      <c r="B15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1" spans="2:2" x14ac:dyDescent="0.3">
      <c r="B15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2" spans="2:2" x14ac:dyDescent="0.3">
      <c r="B15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3" spans="2:2" x14ac:dyDescent="0.3">
      <c r="B15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4" spans="2:2" x14ac:dyDescent="0.3">
      <c r="B15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5" spans="2:2" x14ac:dyDescent="0.3">
      <c r="B15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6" spans="2:2" x14ac:dyDescent="0.3">
      <c r="B15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7" spans="2:2" x14ac:dyDescent="0.3">
      <c r="B15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8" spans="2:2" x14ac:dyDescent="0.3">
      <c r="B15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9" spans="2:2" x14ac:dyDescent="0.3">
      <c r="B15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0" spans="2:2" x14ac:dyDescent="0.3">
      <c r="B15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1" spans="2:2" x14ac:dyDescent="0.3">
      <c r="B15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2" spans="2:2" x14ac:dyDescent="0.3">
      <c r="B15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3" spans="2:2" x14ac:dyDescent="0.3">
      <c r="B15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4" spans="2:2" x14ac:dyDescent="0.3">
      <c r="B15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5" spans="2:2" x14ac:dyDescent="0.3">
      <c r="B15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6" spans="2:2" x14ac:dyDescent="0.3">
      <c r="B15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7" spans="2:2" x14ac:dyDescent="0.3">
      <c r="B15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8" spans="2:2" x14ac:dyDescent="0.3">
      <c r="B15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9" spans="2:2" x14ac:dyDescent="0.3">
      <c r="B15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0" spans="2:2" x14ac:dyDescent="0.3">
      <c r="B15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1" spans="2:2" x14ac:dyDescent="0.3">
      <c r="B15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2" spans="2:2" x14ac:dyDescent="0.3">
      <c r="B15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3" spans="2:2" x14ac:dyDescent="0.3">
      <c r="B15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4" spans="2:2" x14ac:dyDescent="0.3">
      <c r="B15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5" spans="2:2" x14ac:dyDescent="0.3">
      <c r="B15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6" spans="2:2" x14ac:dyDescent="0.3">
      <c r="B15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7" spans="2:2" x14ac:dyDescent="0.3">
      <c r="B15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8" spans="2:2" x14ac:dyDescent="0.3">
      <c r="B15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9" spans="2:2" x14ac:dyDescent="0.3">
      <c r="B15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0" spans="2:2" x14ac:dyDescent="0.3">
      <c r="B15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1" spans="2:2" x14ac:dyDescent="0.3">
      <c r="B15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2" spans="2:2" x14ac:dyDescent="0.3">
      <c r="B15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3" spans="2:2" x14ac:dyDescent="0.3">
      <c r="B15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4" spans="2:2" x14ac:dyDescent="0.3">
      <c r="B15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5" spans="2:2" x14ac:dyDescent="0.3">
      <c r="B15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6" spans="2:2" x14ac:dyDescent="0.3">
      <c r="B15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7" spans="2:2" x14ac:dyDescent="0.3">
      <c r="B15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8" spans="2:2" x14ac:dyDescent="0.3">
      <c r="B15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9" spans="2:2" x14ac:dyDescent="0.3">
      <c r="B15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0" spans="2:2" x14ac:dyDescent="0.3">
      <c r="B15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1" spans="2:2" x14ac:dyDescent="0.3">
      <c r="B15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2" spans="2:2" x14ac:dyDescent="0.3">
      <c r="B15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3" spans="2:2" x14ac:dyDescent="0.3">
      <c r="B15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4" spans="2:2" x14ac:dyDescent="0.3">
      <c r="B15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5" spans="2:2" x14ac:dyDescent="0.3">
      <c r="B15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6" spans="2:2" x14ac:dyDescent="0.3">
      <c r="B15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7" spans="2:2" x14ac:dyDescent="0.3">
      <c r="B15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8" spans="2:2" x14ac:dyDescent="0.3">
      <c r="B15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9" spans="2:2" x14ac:dyDescent="0.3">
      <c r="B15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0" spans="2:2" x14ac:dyDescent="0.3">
      <c r="B15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1" spans="2:2" x14ac:dyDescent="0.3">
      <c r="B15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2" spans="2:2" x14ac:dyDescent="0.3">
      <c r="B15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3" spans="2:2" x14ac:dyDescent="0.3">
      <c r="B15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4" spans="2:2" x14ac:dyDescent="0.3">
      <c r="B15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5" spans="2:2" x14ac:dyDescent="0.3">
      <c r="B15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6" spans="2:2" x14ac:dyDescent="0.3">
      <c r="B15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7" spans="2:2" x14ac:dyDescent="0.3">
      <c r="B15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8" spans="2:2" x14ac:dyDescent="0.3">
      <c r="B15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9" spans="2:2" x14ac:dyDescent="0.3">
      <c r="B15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0" spans="2:2" x14ac:dyDescent="0.3">
      <c r="B15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1" spans="2:2" x14ac:dyDescent="0.3">
      <c r="B15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2" spans="2:2" x14ac:dyDescent="0.3">
      <c r="B15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3" spans="2:2" x14ac:dyDescent="0.3">
      <c r="B15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4" spans="2:2" x14ac:dyDescent="0.3">
      <c r="B15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5" spans="2:2" x14ac:dyDescent="0.3">
      <c r="B15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6" spans="2:2" x14ac:dyDescent="0.3">
      <c r="B15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7" spans="2:2" x14ac:dyDescent="0.3">
      <c r="B15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8" spans="2:2" x14ac:dyDescent="0.3">
      <c r="B15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9" spans="2:2" x14ac:dyDescent="0.3">
      <c r="B15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0" spans="2:2" x14ac:dyDescent="0.3">
      <c r="B16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1" spans="2:2" x14ac:dyDescent="0.3">
      <c r="B16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2" spans="2:2" x14ac:dyDescent="0.3">
      <c r="B16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3" spans="2:2" x14ac:dyDescent="0.3">
      <c r="B16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4" spans="2:2" x14ac:dyDescent="0.3">
      <c r="B16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5" spans="2:2" x14ac:dyDescent="0.3">
      <c r="B16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6" spans="2:2" x14ac:dyDescent="0.3">
      <c r="B16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7" spans="2:2" x14ac:dyDescent="0.3">
      <c r="B16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8" spans="2:2" x14ac:dyDescent="0.3">
      <c r="B16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9" spans="2:2" x14ac:dyDescent="0.3">
      <c r="B16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0" spans="2:2" x14ac:dyDescent="0.3">
      <c r="B16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1" spans="2:2" x14ac:dyDescent="0.3">
      <c r="B16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2" spans="2:2" x14ac:dyDescent="0.3">
      <c r="B16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3" spans="2:2" x14ac:dyDescent="0.3">
      <c r="B16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4" spans="2:2" x14ac:dyDescent="0.3">
      <c r="B16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5" spans="2:2" x14ac:dyDescent="0.3">
      <c r="B16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6" spans="2:2" x14ac:dyDescent="0.3">
      <c r="B16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7" spans="2:2" x14ac:dyDescent="0.3">
      <c r="B16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8" spans="2:2" x14ac:dyDescent="0.3">
      <c r="B16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9" spans="2:2" x14ac:dyDescent="0.3">
      <c r="B16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0" spans="2:2" x14ac:dyDescent="0.3">
      <c r="B16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1" spans="2:2" x14ac:dyDescent="0.3">
      <c r="B16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2" spans="2:2" x14ac:dyDescent="0.3">
      <c r="B16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3" spans="2:2" x14ac:dyDescent="0.3">
      <c r="B16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4" spans="2:2" x14ac:dyDescent="0.3">
      <c r="B16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5" spans="2:2" x14ac:dyDescent="0.3">
      <c r="B16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6" spans="2:2" x14ac:dyDescent="0.3">
      <c r="B16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7" spans="2:2" x14ac:dyDescent="0.3">
      <c r="B16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8" spans="2:2" x14ac:dyDescent="0.3">
      <c r="B16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9" spans="2:2" x14ac:dyDescent="0.3">
      <c r="B16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0" spans="2:2" x14ac:dyDescent="0.3">
      <c r="B16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1" spans="2:2" x14ac:dyDescent="0.3">
      <c r="B16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2" spans="2:2" x14ac:dyDescent="0.3">
      <c r="B16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3" spans="2:2" x14ac:dyDescent="0.3">
      <c r="B16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4" spans="2:2" x14ac:dyDescent="0.3">
      <c r="B16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5" spans="2:2" x14ac:dyDescent="0.3">
      <c r="B16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6" spans="2:2" x14ac:dyDescent="0.3">
      <c r="B16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7" spans="2:2" x14ac:dyDescent="0.3">
      <c r="B16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8" spans="2:2" x14ac:dyDescent="0.3">
      <c r="B16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9" spans="2:2" x14ac:dyDescent="0.3">
      <c r="B16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0" spans="2:2" x14ac:dyDescent="0.3">
      <c r="B16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1" spans="2:2" x14ac:dyDescent="0.3">
      <c r="B16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2" spans="2:2" x14ac:dyDescent="0.3">
      <c r="B16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3" spans="2:2" x14ac:dyDescent="0.3">
      <c r="B16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4" spans="2:2" x14ac:dyDescent="0.3">
      <c r="B16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5" spans="2:2" x14ac:dyDescent="0.3">
      <c r="B16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6" spans="2:2" x14ac:dyDescent="0.3">
      <c r="B16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7" spans="2:2" x14ac:dyDescent="0.3">
      <c r="B16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8" spans="2:2" x14ac:dyDescent="0.3">
      <c r="B16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9" spans="2:2" x14ac:dyDescent="0.3">
      <c r="B16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0" spans="2:2" x14ac:dyDescent="0.3">
      <c r="B16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1" spans="2:2" x14ac:dyDescent="0.3">
      <c r="B16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2" spans="2:2" x14ac:dyDescent="0.3">
      <c r="B16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3" spans="2:2" x14ac:dyDescent="0.3">
      <c r="B16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4" spans="2:2" x14ac:dyDescent="0.3">
      <c r="B16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5" spans="2:2" x14ac:dyDescent="0.3">
      <c r="B16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6" spans="2:2" x14ac:dyDescent="0.3">
      <c r="B16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7" spans="2:2" x14ac:dyDescent="0.3">
      <c r="B16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8" spans="2:2" x14ac:dyDescent="0.3">
      <c r="B16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9" spans="2:2" x14ac:dyDescent="0.3">
      <c r="B16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0" spans="2:2" x14ac:dyDescent="0.3">
      <c r="B16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1" spans="2:2" x14ac:dyDescent="0.3">
      <c r="B16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2" spans="2:2" x14ac:dyDescent="0.3">
      <c r="B16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3" spans="2:2" x14ac:dyDescent="0.3">
      <c r="B16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4" spans="2:2" x14ac:dyDescent="0.3">
      <c r="B16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5" spans="2:2" x14ac:dyDescent="0.3">
      <c r="B16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6" spans="2:2" x14ac:dyDescent="0.3">
      <c r="B16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7" spans="2:2" x14ac:dyDescent="0.3">
      <c r="B16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8" spans="2:2" x14ac:dyDescent="0.3">
      <c r="B16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9" spans="2:2" x14ac:dyDescent="0.3">
      <c r="B16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0" spans="2:2" x14ac:dyDescent="0.3">
      <c r="B16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1" spans="2:2" x14ac:dyDescent="0.3">
      <c r="B16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2" spans="2:2" x14ac:dyDescent="0.3">
      <c r="B16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3" spans="2:2" x14ac:dyDescent="0.3">
      <c r="B16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4" spans="2:2" x14ac:dyDescent="0.3">
      <c r="B16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5" spans="2:2" x14ac:dyDescent="0.3">
      <c r="B16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6" spans="2:2" x14ac:dyDescent="0.3">
      <c r="B16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7" spans="2:2" x14ac:dyDescent="0.3">
      <c r="B16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8" spans="2:2" x14ac:dyDescent="0.3">
      <c r="B16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9" spans="2:2" x14ac:dyDescent="0.3">
      <c r="B16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0" spans="2:2" x14ac:dyDescent="0.3">
      <c r="B16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1" spans="2:2" x14ac:dyDescent="0.3">
      <c r="B16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2" spans="2:2" x14ac:dyDescent="0.3">
      <c r="B16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3" spans="2:2" x14ac:dyDescent="0.3">
      <c r="B16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4" spans="2:2" x14ac:dyDescent="0.3">
      <c r="B16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5" spans="2:2" x14ac:dyDescent="0.3">
      <c r="B16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6" spans="2:2" x14ac:dyDescent="0.3">
      <c r="B16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7" spans="2:2" x14ac:dyDescent="0.3">
      <c r="B16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8" spans="2:2" x14ac:dyDescent="0.3">
      <c r="B16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9" spans="2:2" x14ac:dyDescent="0.3">
      <c r="B16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0" spans="2:2" x14ac:dyDescent="0.3">
      <c r="B16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1" spans="2:2" x14ac:dyDescent="0.3">
      <c r="B16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2" spans="2:2" x14ac:dyDescent="0.3">
      <c r="B16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3" spans="2:2" x14ac:dyDescent="0.3">
      <c r="B16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4" spans="2:2" x14ac:dyDescent="0.3">
      <c r="B16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5" spans="2:2" x14ac:dyDescent="0.3">
      <c r="B16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6" spans="2:2" x14ac:dyDescent="0.3">
      <c r="B16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7" spans="2:2" x14ac:dyDescent="0.3">
      <c r="B16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8" spans="2:2" x14ac:dyDescent="0.3">
      <c r="B16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9" spans="2:2" x14ac:dyDescent="0.3">
      <c r="B16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0" spans="2:2" x14ac:dyDescent="0.3">
      <c r="B17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1" spans="2:2" x14ac:dyDescent="0.3">
      <c r="B17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2" spans="2:2" x14ac:dyDescent="0.3">
      <c r="B17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3" spans="2:2" x14ac:dyDescent="0.3">
      <c r="B17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4" spans="2:2" x14ac:dyDescent="0.3">
      <c r="B17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5" spans="2:2" x14ac:dyDescent="0.3">
      <c r="B17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6" spans="2:2" x14ac:dyDescent="0.3">
      <c r="B17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7" spans="2:2" x14ac:dyDescent="0.3">
      <c r="B17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8" spans="2:2" x14ac:dyDescent="0.3">
      <c r="B17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9" spans="2:2" x14ac:dyDescent="0.3">
      <c r="B17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0" spans="2:2" x14ac:dyDescent="0.3">
      <c r="B17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1" spans="2:2" x14ac:dyDescent="0.3">
      <c r="B17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2" spans="2:2" x14ac:dyDescent="0.3">
      <c r="B17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3" spans="2:2" x14ac:dyDescent="0.3">
      <c r="B17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4" spans="2:2" x14ac:dyDescent="0.3">
      <c r="B17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5" spans="2:2" x14ac:dyDescent="0.3">
      <c r="B17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6" spans="2:2" x14ac:dyDescent="0.3">
      <c r="B17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7" spans="2:2" x14ac:dyDescent="0.3">
      <c r="B17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8" spans="2:2" x14ac:dyDescent="0.3">
      <c r="B17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9" spans="2:2" x14ac:dyDescent="0.3">
      <c r="B17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0" spans="2:2" x14ac:dyDescent="0.3">
      <c r="B17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1" spans="2:2" x14ac:dyDescent="0.3">
      <c r="B17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2" spans="2:2" x14ac:dyDescent="0.3">
      <c r="B17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3" spans="2:2" x14ac:dyDescent="0.3">
      <c r="B17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4" spans="2:2" x14ac:dyDescent="0.3">
      <c r="B17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5" spans="2:2" x14ac:dyDescent="0.3">
      <c r="B17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6" spans="2:2" x14ac:dyDescent="0.3">
      <c r="B17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7" spans="2:2" x14ac:dyDescent="0.3">
      <c r="B17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8" spans="2:2" x14ac:dyDescent="0.3">
      <c r="B17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9" spans="2:2" x14ac:dyDescent="0.3">
      <c r="B17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0" spans="2:2" x14ac:dyDescent="0.3">
      <c r="B17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1" spans="2:2" x14ac:dyDescent="0.3">
      <c r="B17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2" spans="2:2" x14ac:dyDescent="0.3">
      <c r="B17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3" spans="2:2" x14ac:dyDescent="0.3">
      <c r="B17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4" spans="2:2" x14ac:dyDescent="0.3">
      <c r="B17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5" spans="2:2" x14ac:dyDescent="0.3">
      <c r="B17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6" spans="2:2" x14ac:dyDescent="0.3">
      <c r="B17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7" spans="2:2" x14ac:dyDescent="0.3">
      <c r="B17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8" spans="2:2" x14ac:dyDescent="0.3">
      <c r="B17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9" spans="2:2" x14ac:dyDescent="0.3">
      <c r="B17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0" spans="2:2" x14ac:dyDescent="0.3">
      <c r="B17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1" spans="2:2" x14ac:dyDescent="0.3">
      <c r="B17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2" spans="2:2" x14ac:dyDescent="0.3">
      <c r="B17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3" spans="2:2" x14ac:dyDescent="0.3">
      <c r="B17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4" spans="2:2" x14ac:dyDescent="0.3">
      <c r="B17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5" spans="2:2" x14ac:dyDescent="0.3">
      <c r="B17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6" spans="2:2" x14ac:dyDescent="0.3">
      <c r="B17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7" spans="2:2" x14ac:dyDescent="0.3">
      <c r="B17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8" spans="2:2" x14ac:dyDescent="0.3">
      <c r="B17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9" spans="2:2" x14ac:dyDescent="0.3">
      <c r="B17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0" spans="2:2" x14ac:dyDescent="0.3">
      <c r="B17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1" spans="2:2" x14ac:dyDescent="0.3">
      <c r="B17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2" spans="2:2" x14ac:dyDescent="0.3">
      <c r="B17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3" spans="2:2" x14ac:dyDescent="0.3">
      <c r="B17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4" spans="2:2" x14ac:dyDescent="0.3">
      <c r="B17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5" spans="2:2" x14ac:dyDescent="0.3">
      <c r="B17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6" spans="2:2" x14ac:dyDescent="0.3">
      <c r="B17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7" spans="2:2" x14ac:dyDescent="0.3">
      <c r="B17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8" spans="2:2" x14ac:dyDescent="0.3">
      <c r="B17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9" spans="2:2" x14ac:dyDescent="0.3">
      <c r="B17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0" spans="2:2" x14ac:dyDescent="0.3">
      <c r="B17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1" spans="2:2" x14ac:dyDescent="0.3">
      <c r="B17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2" spans="2:2" x14ac:dyDescent="0.3">
      <c r="B17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3" spans="2:2" x14ac:dyDescent="0.3">
      <c r="B17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4" spans="2:2" x14ac:dyDescent="0.3">
      <c r="B17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5" spans="2:2" x14ac:dyDescent="0.3">
      <c r="B17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6" spans="2:2" x14ac:dyDescent="0.3">
      <c r="B17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7" spans="2:2" x14ac:dyDescent="0.3">
      <c r="B17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8" spans="2:2" x14ac:dyDescent="0.3">
      <c r="B17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9" spans="2:2" x14ac:dyDescent="0.3">
      <c r="B17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0" spans="2:2" x14ac:dyDescent="0.3">
      <c r="B17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1" spans="2:2" x14ac:dyDescent="0.3">
      <c r="B17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2" spans="2:2" x14ac:dyDescent="0.3">
      <c r="B17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3" spans="2:2" x14ac:dyDescent="0.3">
      <c r="B17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4" spans="2:2" x14ac:dyDescent="0.3">
      <c r="B17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5" spans="2:2" x14ac:dyDescent="0.3">
      <c r="B17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6" spans="2:2" x14ac:dyDescent="0.3">
      <c r="B17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7" spans="2:2" x14ac:dyDescent="0.3">
      <c r="B17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8" spans="2:2" x14ac:dyDescent="0.3">
      <c r="B17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9" spans="2:2" x14ac:dyDescent="0.3">
      <c r="B17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0" spans="2:2" x14ac:dyDescent="0.3">
      <c r="B17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1" spans="2:2" x14ac:dyDescent="0.3">
      <c r="B17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2" spans="2:2" x14ac:dyDescent="0.3">
      <c r="B17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3" spans="2:2" x14ac:dyDescent="0.3">
      <c r="B17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4" spans="2:2" x14ac:dyDescent="0.3">
      <c r="B17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5" spans="2:2" x14ac:dyDescent="0.3">
      <c r="B17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6" spans="2:2" x14ac:dyDescent="0.3">
      <c r="B17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7" spans="2:2" x14ac:dyDescent="0.3">
      <c r="B17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8" spans="2:2" x14ac:dyDescent="0.3">
      <c r="B17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9" spans="2:2" x14ac:dyDescent="0.3">
      <c r="B17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0" spans="2:2" x14ac:dyDescent="0.3">
      <c r="B17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1" spans="2:2" x14ac:dyDescent="0.3">
      <c r="B17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2" spans="2:2" x14ac:dyDescent="0.3">
      <c r="B17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3" spans="2:2" x14ac:dyDescent="0.3">
      <c r="B17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4" spans="2:2" x14ac:dyDescent="0.3">
      <c r="B17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5" spans="2:2" x14ac:dyDescent="0.3">
      <c r="B17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6" spans="2:2" x14ac:dyDescent="0.3">
      <c r="B17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7" spans="2:2" x14ac:dyDescent="0.3">
      <c r="B17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8" spans="2:2" x14ac:dyDescent="0.3">
      <c r="B17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9" spans="2:2" x14ac:dyDescent="0.3">
      <c r="B17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0" spans="2:2" x14ac:dyDescent="0.3">
      <c r="B18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1" spans="2:2" x14ac:dyDescent="0.3">
      <c r="B18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2" spans="2:2" x14ac:dyDescent="0.3">
      <c r="B18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3" spans="2:2" x14ac:dyDescent="0.3">
      <c r="B18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4" spans="2:2" x14ac:dyDescent="0.3">
      <c r="B18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5" spans="2:2" x14ac:dyDescent="0.3">
      <c r="B18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6" spans="2:2" x14ac:dyDescent="0.3">
      <c r="B18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7" spans="2:2" x14ac:dyDescent="0.3">
      <c r="B18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8" spans="2:2" x14ac:dyDescent="0.3">
      <c r="B18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9" spans="2:2" x14ac:dyDescent="0.3">
      <c r="B18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0" spans="2:2" x14ac:dyDescent="0.3">
      <c r="B18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1" spans="2:2" x14ac:dyDescent="0.3">
      <c r="B18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2" spans="2:2" x14ac:dyDescent="0.3">
      <c r="B18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3" spans="2:2" x14ac:dyDescent="0.3">
      <c r="B18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4" spans="2:2" x14ac:dyDescent="0.3">
      <c r="B18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5" spans="2:2" x14ac:dyDescent="0.3">
      <c r="B18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6" spans="2:2" x14ac:dyDescent="0.3">
      <c r="B18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7" spans="2:2" x14ac:dyDescent="0.3">
      <c r="B18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8" spans="2:2" x14ac:dyDescent="0.3">
      <c r="B18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9" spans="2:2" x14ac:dyDescent="0.3">
      <c r="B18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0" spans="2:2" x14ac:dyDescent="0.3">
      <c r="B18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1" spans="2:2" x14ac:dyDescent="0.3">
      <c r="B18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2" spans="2:2" x14ac:dyDescent="0.3">
      <c r="B18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3" spans="2:2" x14ac:dyDescent="0.3">
      <c r="B18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4" spans="2:2" x14ac:dyDescent="0.3">
      <c r="B18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5" spans="2:2" x14ac:dyDescent="0.3">
      <c r="B18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6" spans="2:2" x14ac:dyDescent="0.3">
      <c r="B18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7" spans="2:2" x14ac:dyDescent="0.3">
      <c r="B18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8" spans="2:2" x14ac:dyDescent="0.3">
      <c r="B18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9" spans="2:2" x14ac:dyDescent="0.3">
      <c r="B18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0" spans="2:2" x14ac:dyDescent="0.3">
      <c r="B18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1" spans="2:2" x14ac:dyDescent="0.3">
      <c r="B18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2" spans="2:2" x14ac:dyDescent="0.3">
      <c r="B18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3" spans="2:2" x14ac:dyDescent="0.3">
      <c r="B18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4" spans="2:2" x14ac:dyDescent="0.3">
      <c r="B18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5" spans="2:2" x14ac:dyDescent="0.3">
      <c r="B18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6" spans="2:2" x14ac:dyDescent="0.3">
      <c r="B18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7" spans="2:2" x14ac:dyDescent="0.3">
      <c r="B18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8" spans="2:2" x14ac:dyDescent="0.3">
      <c r="B18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9" spans="2:2" x14ac:dyDescent="0.3">
      <c r="B18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0" spans="2:2" x14ac:dyDescent="0.3">
      <c r="B18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1" spans="2:2" x14ac:dyDescent="0.3">
      <c r="B18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2" spans="2:2" x14ac:dyDescent="0.3">
      <c r="B18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3" spans="2:2" x14ac:dyDescent="0.3">
      <c r="B18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4" spans="2:2" x14ac:dyDescent="0.3">
      <c r="B18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5" spans="2:2" x14ac:dyDescent="0.3">
      <c r="B18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6" spans="2:2" x14ac:dyDescent="0.3">
      <c r="B18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7" spans="2:2" x14ac:dyDescent="0.3">
      <c r="B18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8" spans="2:2" x14ac:dyDescent="0.3">
      <c r="B18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9" spans="2:2" x14ac:dyDescent="0.3">
      <c r="B18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0" spans="2:2" x14ac:dyDescent="0.3">
      <c r="B18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1" spans="2:2" x14ac:dyDescent="0.3">
      <c r="B18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2" spans="2:2" x14ac:dyDescent="0.3">
      <c r="B18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3" spans="2:2" x14ac:dyDescent="0.3">
      <c r="B18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4" spans="2:2" x14ac:dyDescent="0.3">
      <c r="B18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5" spans="2:2" x14ac:dyDescent="0.3">
      <c r="B18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6" spans="2:2" x14ac:dyDescent="0.3">
      <c r="B18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7" spans="2:2" x14ac:dyDescent="0.3">
      <c r="B18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8" spans="2:2" x14ac:dyDescent="0.3">
      <c r="B18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9" spans="2:2" x14ac:dyDescent="0.3">
      <c r="B18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0" spans="2:2" x14ac:dyDescent="0.3">
      <c r="B18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1" spans="2:2" x14ac:dyDescent="0.3">
      <c r="B18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2" spans="2:2" x14ac:dyDescent="0.3">
      <c r="B18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3" spans="2:2" x14ac:dyDescent="0.3">
      <c r="B18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4" spans="2:2" x14ac:dyDescent="0.3">
      <c r="B18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5" spans="2:2" x14ac:dyDescent="0.3">
      <c r="B18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6" spans="2:2" x14ac:dyDescent="0.3">
      <c r="B18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7" spans="2:2" x14ac:dyDescent="0.3">
      <c r="B18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8" spans="2:2" x14ac:dyDescent="0.3">
      <c r="B18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9" spans="2:2" x14ac:dyDescent="0.3">
      <c r="B18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0" spans="2:2" x14ac:dyDescent="0.3">
      <c r="B18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1" spans="2:2" x14ac:dyDescent="0.3">
      <c r="B18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2" spans="2:2" x14ac:dyDescent="0.3">
      <c r="B18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3" spans="2:2" x14ac:dyDescent="0.3">
      <c r="B18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4" spans="2:2" x14ac:dyDescent="0.3">
      <c r="B18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5" spans="2:2" x14ac:dyDescent="0.3">
      <c r="B18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6" spans="2:2" x14ac:dyDescent="0.3">
      <c r="B18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7" spans="2:2" x14ac:dyDescent="0.3">
      <c r="B1877" t="str">
        <f>IFERROR(IF(LEFT(Sensitivität_bzw_Monte_Carlo_bei_Strom[[#This Row],[Source.Name]],SEARCH("aus_der",Sensitivität_bzw_Monte_Carlo_bei_Strom[[#This Row],[Source.Name]],1))="Auszahlung_a","Auszahlung",""),"")</f>
        <v/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63C51BA-FE91-471A-8990-0E048CD1D53C}">
  <sheetPr codeName="Tabelle6"/>
  <dimension ref="A1:O1551"/>
  <sheetViews>
    <sheetView zoomScale="55" zoomScaleNormal="55" workbookViewId="0">
      <selection activeCell="F8" sqref="F8:G9"/>
    </sheetView>
  </sheetViews>
  <sheetFormatPr baseColWidth="10" defaultRowHeight="14.4" x14ac:dyDescent="0.3"/>
  <cols>
    <col min="2" max="2" width="66.21875" bestFit="1" customWidth="1"/>
    <col min="3" max="3" width="11.5546875" style="2"/>
    <col min="4" max="4" width="17.77734375" bestFit="1" customWidth="1"/>
    <col min="7" max="7" width="18" bestFit="1" customWidth="1"/>
  </cols>
  <sheetData>
    <row r="1" spans="1:7" x14ac:dyDescent="0.3">
      <c r="A1" t="s">
        <v>17</v>
      </c>
      <c r="B1" t="s">
        <v>16</v>
      </c>
      <c r="C1" s="2" t="s">
        <v>15</v>
      </c>
      <c r="D1" t="s">
        <v>18</v>
      </c>
    </row>
    <row r="2" spans="1:7" x14ac:dyDescent="0.3">
      <c r="A2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" s="1" t="s">
        <v>84</v>
      </c>
      <c r="C2">
        <v>10557.88399604589</v>
      </c>
      <c r="D2" s="32">
        <v>0.5</v>
      </c>
    </row>
    <row r="3" spans="1:7" x14ac:dyDescent="0.3">
      <c r="A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" s="1" t="s">
        <v>84</v>
      </c>
      <c r="C3">
        <v>10551.29797362424</v>
      </c>
      <c r="D3" s="31">
        <v>0.49898989898989898</v>
      </c>
    </row>
    <row r="4" spans="1:7" x14ac:dyDescent="0.3">
      <c r="A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" s="1" t="s">
        <v>84</v>
      </c>
      <c r="C4">
        <v>10544.71195120258</v>
      </c>
      <c r="D4" s="32">
        <v>0.49797979797979802</v>
      </c>
      <c r="F4" t="s">
        <v>113</v>
      </c>
      <c r="G4" t="s">
        <v>114</v>
      </c>
    </row>
    <row r="5" spans="1:7" x14ac:dyDescent="0.3">
      <c r="A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" s="1" t="s">
        <v>84</v>
      </c>
      <c r="C5">
        <v>10538.125928780921</v>
      </c>
      <c r="D5" s="31">
        <v>0.49696969696969701</v>
      </c>
      <c r="F5">
        <f>MIN(C2:C101)</f>
        <v>10006.1214829934</v>
      </c>
      <c r="G5">
        <f>MAX(C2:C101)</f>
        <v>10557.88399604589</v>
      </c>
    </row>
    <row r="6" spans="1:7" x14ac:dyDescent="0.3">
      <c r="A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" s="1" t="s">
        <v>84</v>
      </c>
      <c r="C6">
        <v>10531.53990635927</v>
      </c>
      <c r="D6" s="32">
        <v>0.49595959595959588</v>
      </c>
    </row>
    <row r="7" spans="1:7" x14ac:dyDescent="0.3">
      <c r="A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" s="1" t="s">
        <v>84</v>
      </c>
      <c r="C7">
        <v>10524.953883937609</v>
      </c>
      <c r="D7" s="31">
        <v>0.49494949494949492</v>
      </c>
    </row>
    <row r="8" spans="1:7" x14ac:dyDescent="0.3">
      <c r="A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" s="1" t="s">
        <v>84</v>
      </c>
      <c r="C8">
        <v>10532.68981961473</v>
      </c>
      <c r="D8" s="32">
        <v>0.49393939393939401</v>
      </c>
    </row>
    <row r="9" spans="1:7" x14ac:dyDescent="0.3">
      <c r="A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" s="1" t="s">
        <v>84</v>
      </c>
      <c r="C9">
        <v>10526.103797193069</v>
      </c>
      <c r="D9" s="31">
        <v>0.49292929292929288</v>
      </c>
    </row>
    <row r="10" spans="1:7" x14ac:dyDescent="0.3">
      <c r="A1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0" s="1" t="s">
        <v>84</v>
      </c>
      <c r="C10">
        <v>10519.517774771421</v>
      </c>
      <c r="D10" s="32">
        <v>0.49191919191919192</v>
      </c>
    </row>
    <row r="11" spans="1:7" x14ac:dyDescent="0.3">
      <c r="A11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1" s="1" t="s">
        <v>84</v>
      </c>
      <c r="C11">
        <v>10512.931752349759</v>
      </c>
      <c r="D11" s="31">
        <v>0.49090909090909091</v>
      </c>
    </row>
    <row r="12" spans="1:7" x14ac:dyDescent="0.3">
      <c r="A12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2" s="1" t="s">
        <v>84</v>
      </c>
      <c r="C12">
        <v>10506.345729928111</v>
      </c>
      <c r="D12" s="32">
        <v>0.48989898989898989</v>
      </c>
      <c r="G12" s="3"/>
    </row>
    <row r="13" spans="1:7" x14ac:dyDescent="0.3">
      <c r="A1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3" s="1" t="s">
        <v>84</v>
      </c>
      <c r="C13">
        <v>10499.75970750645</v>
      </c>
      <c r="D13" s="31">
        <v>0.48888888888888887</v>
      </c>
    </row>
    <row r="14" spans="1:7" x14ac:dyDescent="0.3">
      <c r="A1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4" s="1" t="s">
        <v>84</v>
      </c>
      <c r="C14">
        <v>10493.173685084799</v>
      </c>
      <c r="D14" s="32">
        <v>0.48787878787878791</v>
      </c>
    </row>
    <row r="15" spans="1:7" x14ac:dyDescent="0.3">
      <c r="A1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5" s="1" t="s">
        <v>84</v>
      </c>
      <c r="C15">
        <v>10486.58766266314</v>
      </c>
      <c r="D15" s="31">
        <v>0.4868686868686869</v>
      </c>
    </row>
    <row r="16" spans="1:7" x14ac:dyDescent="0.3">
      <c r="A1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6" s="1" t="s">
        <v>84</v>
      </c>
      <c r="C16">
        <v>10480.001640241489</v>
      </c>
      <c r="D16" s="32">
        <v>0.48585858585858588</v>
      </c>
    </row>
    <row r="17" spans="1:4" x14ac:dyDescent="0.3">
      <c r="A1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7" s="1" t="s">
        <v>84</v>
      </c>
      <c r="C17">
        <v>10473.41561781983</v>
      </c>
      <c r="D17" s="31">
        <v>0.48484848484848492</v>
      </c>
    </row>
    <row r="18" spans="1:4" x14ac:dyDescent="0.3">
      <c r="A1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8" s="1" t="s">
        <v>84</v>
      </c>
      <c r="C18">
        <v>10466.829595398171</v>
      </c>
      <c r="D18" s="32">
        <v>0.48383838383838379</v>
      </c>
    </row>
    <row r="19" spans="1:4" x14ac:dyDescent="0.3">
      <c r="A1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9" s="1" t="s">
        <v>84</v>
      </c>
      <c r="C19">
        <v>10460.24357297652</v>
      </c>
      <c r="D19" s="31">
        <v>0.48282828282828277</v>
      </c>
    </row>
    <row r="20" spans="1:4" x14ac:dyDescent="0.3">
      <c r="A2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0" s="1" t="s">
        <v>84</v>
      </c>
      <c r="C20">
        <v>10453.657550554861</v>
      </c>
      <c r="D20" s="32">
        <v>0.48181818181818181</v>
      </c>
    </row>
    <row r="21" spans="1:4" x14ac:dyDescent="0.3">
      <c r="A21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1" s="1" t="s">
        <v>84</v>
      </c>
      <c r="C21">
        <v>10447.07152813321</v>
      </c>
      <c r="D21" s="31">
        <v>0.4808080808080808</v>
      </c>
    </row>
    <row r="22" spans="1:4" x14ac:dyDescent="0.3">
      <c r="A22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2" s="1" t="s">
        <v>84</v>
      </c>
      <c r="C22">
        <v>10454.807463810321</v>
      </c>
      <c r="D22" s="32">
        <v>0.47979797979797978</v>
      </c>
    </row>
    <row r="23" spans="1:4" x14ac:dyDescent="0.3">
      <c r="A2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3" s="1" t="s">
        <v>84</v>
      </c>
      <c r="C23">
        <v>10448.22144138867</v>
      </c>
      <c r="D23" s="31">
        <v>0.47878787878787882</v>
      </c>
    </row>
    <row r="24" spans="1:4" x14ac:dyDescent="0.3">
      <c r="A2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4" s="1" t="s">
        <v>84</v>
      </c>
      <c r="C24">
        <v>10441.635418967009</v>
      </c>
      <c r="D24" s="32">
        <v>0.4777777777777778</v>
      </c>
    </row>
    <row r="25" spans="1:4" x14ac:dyDescent="0.3">
      <c r="A2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5" s="1" t="s">
        <v>84</v>
      </c>
      <c r="C25">
        <v>10435.049396545361</v>
      </c>
      <c r="D25" s="31">
        <v>0.47676767676767678</v>
      </c>
    </row>
    <row r="26" spans="1:4" x14ac:dyDescent="0.3">
      <c r="A2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6" s="1" t="s">
        <v>84</v>
      </c>
      <c r="C26">
        <v>10428.463374123699</v>
      </c>
      <c r="D26" s="32">
        <v>0.47575757575757582</v>
      </c>
    </row>
    <row r="27" spans="1:4" x14ac:dyDescent="0.3">
      <c r="A2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7" s="1" t="s">
        <v>84</v>
      </c>
      <c r="C27">
        <v>10421.877351702051</v>
      </c>
      <c r="D27" s="31">
        <v>0.47474747474747481</v>
      </c>
    </row>
    <row r="28" spans="1:4" x14ac:dyDescent="0.3">
      <c r="A2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8" s="1" t="s">
        <v>84</v>
      </c>
      <c r="C28">
        <v>10415.29132928039</v>
      </c>
      <c r="D28" s="32">
        <v>0.47373737373737368</v>
      </c>
    </row>
    <row r="29" spans="1:4" x14ac:dyDescent="0.3">
      <c r="A2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29" s="1" t="s">
        <v>84</v>
      </c>
      <c r="C29">
        <v>10408.705306858739</v>
      </c>
      <c r="D29" s="31">
        <v>0.47272727272727272</v>
      </c>
    </row>
    <row r="30" spans="1:4" x14ac:dyDescent="0.3">
      <c r="A3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0" s="1" t="s">
        <v>84</v>
      </c>
      <c r="C30">
        <v>10402.11928443708</v>
      </c>
      <c r="D30" s="32">
        <v>0.47171717171717181</v>
      </c>
    </row>
    <row r="31" spans="1:4" x14ac:dyDescent="0.3">
      <c r="A31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1" s="1" t="s">
        <v>84</v>
      </c>
      <c r="C31">
        <v>10395.53326201543</v>
      </c>
      <c r="D31" s="31">
        <v>0.47070707070707068</v>
      </c>
    </row>
    <row r="32" spans="1:4" x14ac:dyDescent="0.3">
      <c r="A32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2" s="1" t="s">
        <v>84</v>
      </c>
      <c r="C32">
        <v>10388.94723959377</v>
      </c>
      <c r="D32" s="32">
        <v>0.46969696969696972</v>
      </c>
    </row>
    <row r="33" spans="1:4" x14ac:dyDescent="0.3">
      <c r="A3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3" s="1" t="s">
        <v>84</v>
      </c>
      <c r="C33">
        <v>10382.36121717212</v>
      </c>
      <c r="D33" s="31">
        <v>0.46868686868686871</v>
      </c>
    </row>
    <row r="34" spans="1:4" x14ac:dyDescent="0.3">
      <c r="A3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4" s="1" t="s">
        <v>84</v>
      </c>
      <c r="C34">
        <v>10375.77519475046</v>
      </c>
      <c r="D34" s="32">
        <v>0.46767676767676769</v>
      </c>
    </row>
    <row r="35" spans="1:4" x14ac:dyDescent="0.3">
      <c r="A3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5" s="1" t="s">
        <v>84</v>
      </c>
      <c r="C35">
        <v>10369.189172328801</v>
      </c>
      <c r="D35" s="31">
        <v>0.46666666666666667</v>
      </c>
    </row>
    <row r="36" spans="1:4" x14ac:dyDescent="0.3">
      <c r="A3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6" s="1" t="s">
        <v>84</v>
      </c>
      <c r="C36">
        <v>10362.603149907151</v>
      </c>
      <c r="D36" s="32">
        <v>0.46565656565656571</v>
      </c>
    </row>
    <row r="37" spans="1:4" x14ac:dyDescent="0.3">
      <c r="A3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7" s="1" t="s">
        <v>84</v>
      </c>
      <c r="C37">
        <v>10370.339085584261</v>
      </c>
      <c r="D37" s="31">
        <v>0.46464646464646459</v>
      </c>
    </row>
    <row r="38" spans="1:4" x14ac:dyDescent="0.3">
      <c r="A3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8" s="1" t="s">
        <v>84</v>
      </c>
      <c r="C38">
        <v>10363.75306316261</v>
      </c>
      <c r="D38" s="32">
        <v>0.46363636363636362</v>
      </c>
    </row>
    <row r="39" spans="1:4" x14ac:dyDescent="0.3">
      <c r="A3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39" s="1" t="s">
        <v>84</v>
      </c>
      <c r="C39">
        <v>10357.167040740949</v>
      </c>
      <c r="D39" s="31">
        <v>0.46262626262626261</v>
      </c>
    </row>
    <row r="40" spans="1:4" x14ac:dyDescent="0.3">
      <c r="A4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0" s="1" t="s">
        <v>84</v>
      </c>
      <c r="C40">
        <v>10350.581018319301</v>
      </c>
      <c r="D40" s="32">
        <v>0.46161616161616159</v>
      </c>
    </row>
    <row r="41" spans="1:4" x14ac:dyDescent="0.3">
      <c r="A41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1" s="1" t="s">
        <v>84</v>
      </c>
      <c r="C41">
        <v>10343.994995897639</v>
      </c>
      <c r="D41" s="31">
        <v>0.46060606060606057</v>
      </c>
    </row>
    <row r="42" spans="1:4" x14ac:dyDescent="0.3">
      <c r="A42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2" s="1" t="s">
        <v>84</v>
      </c>
      <c r="C42">
        <v>10337.408973475989</v>
      </c>
      <c r="D42" s="32">
        <v>0.45959595959595961</v>
      </c>
    </row>
    <row r="43" spans="1:4" x14ac:dyDescent="0.3">
      <c r="A4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3" s="1" t="s">
        <v>84</v>
      </c>
      <c r="C43">
        <v>10330.82295105433</v>
      </c>
      <c r="D43" s="31">
        <v>0.4585858585858586</v>
      </c>
    </row>
    <row r="44" spans="1:4" x14ac:dyDescent="0.3">
      <c r="A4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4" s="1" t="s">
        <v>84</v>
      </c>
      <c r="C44">
        <v>10324.236928632679</v>
      </c>
      <c r="D44" s="32">
        <v>0.45757575757575758</v>
      </c>
    </row>
    <row r="45" spans="1:4" x14ac:dyDescent="0.3">
      <c r="A4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5" s="1" t="s">
        <v>84</v>
      </c>
      <c r="C45">
        <v>10317.65090621102</v>
      </c>
      <c r="D45" s="31">
        <v>0.45656565656565662</v>
      </c>
    </row>
    <row r="46" spans="1:4" x14ac:dyDescent="0.3">
      <c r="A4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6" s="1" t="s">
        <v>84</v>
      </c>
      <c r="C46">
        <v>10311.06488378936</v>
      </c>
      <c r="D46" s="32">
        <v>0.45555555555555549</v>
      </c>
    </row>
    <row r="47" spans="1:4" x14ac:dyDescent="0.3">
      <c r="A4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7" s="1" t="s">
        <v>84</v>
      </c>
      <c r="C47">
        <v>10304.47886136771</v>
      </c>
      <c r="D47" s="31">
        <v>0.45454545454545459</v>
      </c>
    </row>
    <row r="48" spans="1:4" x14ac:dyDescent="0.3">
      <c r="A4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8" s="1" t="s">
        <v>84</v>
      </c>
      <c r="C48">
        <v>10297.892838946051</v>
      </c>
      <c r="D48" s="32">
        <v>0.45353535353535362</v>
      </c>
    </row>
    <row r="49" spans="1:15" x14ac:dyDescent="0.3">
      <c r="A4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49" s="1" t="s">
        <v>84</v>
      </c>
      <c r="C49">
        <v>10291.3068165244</v>
      </c>
      <c r="D49" s="31">
        <v>0.45252525252525261</v>
      </c>
    </row>
    <row r="50" spans="1:15" x14ac:dyDescent="0.3">
      <c r="A5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0" s="1" t="s">
        <v>84</v>
      </c>
      <c r="C50">
        <v>10284.72079410275</v>
      </c>
      <c r="D50" s="32">
        <v>0.45151515151515148</v>
      </c>
    </row>
    <row r="51" spans="1:15" x14ac:dyDescent="0.3">
      <c r="A51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1" s="1" t="s">
        <v>84</v>
      </c>
      <c r="C51">
        <v>10278.134771681091</v>
      </c>
      <c r="D51" s="31">
        <v>0.45050505050505052</v>
      </c>
    </row>
    <row r="52" spans="1:15" x14ac:dyDescent="0.3">
      <c r="A52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2" s="1" t="s">
        <v>84</v>
      </c>
      <c r="C52">
        <v>10285.870707358201</v>
      </c>
      <c r="D52" s="32">
        <v>0.4494949494949495</v>
      </c>
    </row>
    <row r="53" spans="1:15" x14ac:dyDescent="0.3">
      <c r="A5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3" s="1" t="s">
        <v>84</v>
      </c>
      <c r="C53">
        <v>10279.284684936551</v>
      </c>
      <c r="D53" s="31">
        <v>0.44848484848484849</v>
      </c>
    </row>
    <row r="54" spans="1:15" x14ac:dyDescent="0.3">
      <c r="A5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4" s="1" t="s">
        <v>84</v>
      </c>
      <c r="C54">
        <v>10272.698662514889</v>
      </c>
      <c r="D54" s="32">
        <v>0.44747474747474753</v>
      </c>
    </row>
    <row r="55" spans="1:15" x14ac:dyDescent="0.3">
      <c r="A5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5" s="1" t="s">
        <v>84</v>
      </c>
      <c r="C55">
        <v>10266.112640093241</v>
      </c>
      <c r="D55" s="31">
        <v>0.44646464646464651</v>
      </c>
    </row>
    <row r="56" spans="1:15" x14ac:dyDescent="0.3">
      <c r="A5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6" s="1" t="s">
        <v>84</v>
      </c>
      <c r="C56">
        <v>10259.52661767158</v>
      </c>
      <c r="D56" s="32">
        <v>0.44545454545454538</v>
      </c>
    </row>
    <row r="57" spans="1:15" x14ac:dyDescent="0.3">
      <c r="A5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7" s="1" t="s">
        <v>84</v>
      </c>
      <c r="C57">
        <v>10252.940595249929</v>
      </c>
      <c r="D57" s="31">
        <v>0.44444444444444448</v>
      </c>
    </row>
    <row r="58" spans="1:15" x14ac:dyDescent="0.3">
      <c r="A5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8" s="1" t="s">
        <v>84</v>
      </c>
      <c r="C58">
        <v>10246.35457282827</v>
      </c>
      <c r="D58" s="32">
        <v>0.44343434343434351</v>
      </c>
      <c r="O58">
        <f>22600/7.0412</f>
        <v>3209.6801681531556</v>
      </c>
    </row>
    <row r="59" spans="1:15" x14ac:dyDescent="0.3">
      <c r="A5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59" s="1" t="s">
        <v>84</v>
      </c>
      <c r="C59">
        <v>10239.768550406619</v>
      </c>
      <c r="D59" s="31">
        <v>0.44242424242424239</v>
      </c>
    </row>
    <row r="60" spans="1:15" x14ac:dyDescent="0.3">
      <c r="A6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0" s="1" t="s">
        <v>84</v>
      </c>
      <c r="C60">
        <v>10233.18252798496</v>
      </c>
      <c r="D60" s="32">
        <v>0.44141414141414143</v>
      </c>
    </row>
    <row r="61" spans="1:15" x14ac:dyDescent="0.3">
      <c r="A61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1" s="1" t="s">
        <v>84</v>
      </c>
      <c r="C61">
        <v>10226.59650556331</v>
      </c>
      <c r="D61" s="31">
        <v>0.44040404040404041</v>
      </c>
    </row>
    <row r="62" spans="1:15" x14ac:dyDescent="0.3">
      <c r="A62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2" s="1" t="s">
        <v>84</v>
      </c>
      <c r="C62">
        <v>10220.01048314165</v>
      </c>
      <c r="D62" s="32">
        <v>0.43939393939393939</v>
      </c>
    </row>
    <row r="63" spans="1:15" x14ac:dyDescent="0.3">
      <c r="A6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3" s="1" t="s">
        <v>84</v>
      </c>
      <c r="C63">
        <v>10213.42446072</v>
      </c>
      <c r="D63" s="31">
        <v>0.43838383838383838</v>
      </c>
    </row>
    <row r="64" spans="1:15" x14ac:dyDescent="0.3">
      <c r="A6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4" s="1" t="s">
        <v>84</v>
      </c>
      <c r="C64">
        <v>10206.83843829834</v>
      </c>
      <c r="D64" s="32">
        <v>0.43737373737373741</v>
      </c>
    </row>
    <row r="65" spans="1:4" x14ac:dyDescent="0.3">
      <c r="A6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5" s="1" t="s">
        <v>84</v>
      </c>
      <c r="C65">
        <v>10200.252415876679</v>
      </c>
      <c r="D65" s="31">
        <v>0.4363636363636364</v>
      </c>
    </row>
    <row r="66" spans="1:4" x14ac:dyDescent="0.3">
      <c r="A6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6" s="1" t="s">
        <v>84</v>
      </c>
      <c r="C66">
        <v>10193.666393455031</v>
      </c>
      <c r="D66" s="32">
        <v>0.43535353535353538</v>
      </c>
    </row>
    <row r="67" spans="1:4" x14ac:dyDescent="0.3">
      <c r="A6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7" s="1" t="s">
        <v>84</v>
      </c>
      <c r="C67">
        <v>10201.402329132139</v>
      </c>
      <c r="D67" s="31">
        <v>0.43434343434343442</v>
      </c>
    </row>
    <row r="68" spans="1:4" x14ac:dyDescent="0.3">
      <c r="A6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8" s="1" t="s">
        <v>84</v>
      </c>
      <c r="C68">
        <v>10194.816306710491</v>
      </c>
      <c r="D68" s="32">
        <v>0.43333333333333329</v>
      </c>
    </row>
    <row r="69" spans="1:4" x14ac:dyDescent="0.3">
      <c r="A6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69" s="1" t="s">
        <v>84</v>
      </c>
      <c r="C69">
        <v>10188.230284288829</v>
      </c>
      <c r="D69" s="31">
        <v>0.43232323232323228</v>
      </c>
    </row>
    <row r="70" spans="1:4" x14ac:dyDescent="0.3">
      <c r="A7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0" s="1" t="s">
        <v>84</v>
      </c>
      <c r="C70">
        <v>10181.644261867181</v>
      </c>
      <c r="D70" s="32">
        <v>0.43131313131313131</v>
      </c>
    </row>
    <row r="71" spans="1:4" x14ac:dyDescent="0.3">
      <c r="A71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1" s="1" t="s">
        <v>84</v>
      </c>
      <c r="C71">
        <v>10175.05823944552</v>
      </c>
      <c r="D71" s="31">
        <v>0.4303030303030303</v>
      </c>
    </row>
    <row r="72" spans="1:4" x14ac:dyDescent="0.3">
      <c r="A72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2" s="1" t="s">
        <v>84</v>
      </c>
      <c r="C72">
        <v>10168.472217023869</v>
      </c>
      <c r="D72" s="32">
        <v>0.42929292929292928</v>
      </c>
    </row>
    <row r="73" spans="1:4" x14ac:dyDescent="0.3">
      <c r="A7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3" s="1" t="s">
        <v>84</v>
      </c>
      <c r="C73">
        <v>10161.886194602221</v>
      </c>
      <c r="D73" s="31">
        <v>0.42828282828282832</v>
      </c>
    </row>
    <row r="74" spans="1:4" x14ac:dyDescent="0.3">
      <c r="A7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4" s="1" t="s">
        <v>84</v>
      </c>
      <c r="C74">
        <v>10155.300172180559</v>
      </c>
      <c r="D74" s="32">
        <v>0.4272727272727273</v>
      </c>
    </row>
    <row r="75" spans="1:4" x14ac:dyDescent="0.3">
      <c r="A7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5" s="1" t="s">
        <v>84</v>
      </c>
      <c r="C75">
        <v>10148.714149758909</v>
      </c>
      <c r="D75" s="31">
        <v>0.42626262626262629</v>
      </c>
    </row>
    <row r="76" spans="1:4" x14ac:dyDescent="0.3">
      <c r="A7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6" s="1" t="s">
        <v>84</v>
      </c>
      <c r="C76">
        <v>10142.12812733725</v>
      </c>
      <c r="D76" s="32">
        <v>0.42525252525252533</v>
      </c>
    </row>
    <row r="77" spans="1:4" x14ac:dyDescent="0.3">
      <c r="A7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7" s="1" t="s">
        <v>84</v>
      </c>
      <c r="C77">
        <v>10135.54210491559</v>
      </c>
      <c r="D77" s="31">
        <v>0.42424242424242431</v>
      </c>
    </row>
    <row r="78" spans="1:4" x14ac:dyDescent="0.3">
      <c r="A7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8" s="1" t="s">
        <v>84</v>
      </c>
      <c r="C78">
        <v>10128.95608249394</v>
      </c>
      <c r="D78" s="32">
        <v>0.42323232323232318</v>
      </c>
    </row>
    <row r="79" spans="1:4" x14ac:dyDescent="0.3">
      <c r="A7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79" s="1" t="s">
        <v>84</v>
      </c>
      <c r="C79">
        <v>10122.37006007228</v>
      </c>
      <c r="D79" s="31">
        <v>0.42222222222222222</v>
      </c>
    </row>
    <row r="80" spans="1:4" x14ac:dyDescent="0.3">
      <c r="A8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0" s="1" t="s">
        <v>84</v>
      </c>
      <c r="C80">
        <v>10115.784037650619</v>
      </c>
      <c r="D80" s="32">
        <v>0.4212121212121212</v>
      </c>
    </row>
    <row r="81" spans="1:4" x14ac:dyDescent="0.3">
      <c r="A81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1" s="1" t="s">
        <v>84</v>
      </c>
      <c r="C81">
        <v>10123.51997332774</v>
      </c>
      <c r="D81" s="31">
        <v>0.42020202020202019</v>
      </c>
    </row>
    <row r="82" spans="1:4" x14ac:dyDescent="0.3">
      <c r="A82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2" s="1" t="s">
        <v>84</v>
      </c>
      <c r="C82">
        <v>10116.933950906079</v>
      </c>
      <c r="D82" s="32">
        <v>0.41919191919191923</v>
      </c>
    </row>
    <row r="83" spans="1:4" x14ac:dyDescent="0.3">
      <c r="A8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3" s="1" t="s">
        <v>84</v>
      </c>
      <c r="C83">
        <v>10110.347928484431</v>
      </c>
      <c r="D83" s="31">
        <v>0.41818181818181821</v>
      </c>
    </row>
    <row r="84" spans="1:4" x14ac:dyDescent="0.3">
      <c r="A8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4" s="1" t="s">
        <v>84</v>
      </c>
      <c r="C84">
        <v>10103.761906062769</v>
      </c>
      <c r="D84" s="32">
        <v>0.41717171717171719</v>
      </c>
    </row>
    <row r="85" spans="1:4" x14ac:dyDescent="0.3">
      <c r="A8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5" s="1" t="s">
        <v>84</v>
      </c>
      <c r="C85">
        <v>10097.175883641121</v>
      </c>
      <c r="D85" s="31">
        <v>0.41616161616161618</v>
      </c>
    </row>
    <row r="86" spans="1:4" x14ac:dyDescent="0.3">
      <c r="A8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6" s="1" t="s">
        <v>84</v>
      </c>
      <c r="C86">
        <v>10090.58986121946</v>
      </c>
      <c r="D86" s="32">
        <v>0.41515151515151522</v>
      </c>
    </row>
    <row r="87" spans="1:4" x14ac:dyDescent="0.3">
      <c r="A8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7" s="1" t="s">
        <v>84</v>
      </c>
      <c r="C87">
        <v>10084.003838797809</v>
      </c>
      <c r="D87" s="31">
        <v>0.41414141414141409</v>
      </c>
    </row>
    <row r="88" spans="1:4" x14ac:dyDescent="0.3">
      <c r="A8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8" s="1" t="s">
        <v>84</v>
      </c>
      <c r="C88">
        <v>10077.41781637615</v>
      </c>
      <c r="D88" s="32">
        <v>0.41313131313131313</v>
      </c>
    </row>
    <row r="89" spans="1:4" x14ac:dyDescent="0.3">
      <c r="A8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89" s="1" t="s">
        <v>84</v>
      </c>
      <c r="C89">
        <v>10070.8317939545</v>
      </c>
      <c r="D89" s="31">
        <v>0.41212121212121222</v>
      </c>
    </row>
    <row r="90" spans="1:4" x14ac:dyDescent="0.3">
      <c r="A9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0" s="1" t="s">
        <v>84</v>
      </c>
      <c r="C90">
        <v>10064.24577153284</v>
      </c>
      <c r="D90" s="32">
        <v>0.41111111111111109</v>
      </c>
    </row>
    <row r="91" spans="1:4" x14ac:dyDescent="0.3">
      <c r="A91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1" s="1" t="s">
        <v>84</v>
      </c>
      <c r="C91">
        <v>10057.65974911119</v>
      </c>
      <c r="D91" s="31">
        <v>0.41010101010101008</v>
      </c>
    </row>
    <row r="92" spans="1:4" x14ac:dyDescent="0.3">
      <c r="A92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2" s="1" t="s">
        <v>84</v>
      </c>
      <c r="C92">
        <v>10051.07372668953</v>
      </c>
      <c r="D92" s="32">
        <v>0.40909090909090912</v>
      </c>
    </row>
    <row r="93" spans="1:4" x14ac:dyDescent="0.3">
      <c r="A93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3" s="1" t="s">
        <v>84</v>
      </c>
      <c r="C93">
        <v>10044.48770426788</v>
      </c>
      <c r="D93" s="31">
        <v>0.4080808080808081</v>
      </c>
    </row>
    <row r="94" spans="1:4" x14ac:dyDescent="0.3">
      <c r="A94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4" s="1" t="s">
        <v>84</v>
      </c>
      <c r="C94">
        <v>10037.901681846221</v>
      </c>
      <c r="D94" s="32">
        <v>0.40707070707070708</v>
      </c>
    </row>
    <row r="95" spans="1:4" x14ac:dyDescent="0.3">
      <c r="A95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5" s="1" t="s">
        <v>84</v>
      </c>
      <c r="C95">
        <v>10031.31565942457</v>
      </c>
      <c r="D95" s="31">
        <v>0.40606060606060612</v>
      </c>
    </row>
    <row r="96" spans="1:4" x14ac:dyDescent="0.3">
      <c r="A96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6" s="1" t="s">
        <v>84</v>
      </c>
      <c r="C96">
        <v>10039.051595101681</v>
      </c>
      <c r="D96" s="32">
        <v>0.40505050505050499</v>
      </c>
    </row>
    <row r="97" spans="1:4" x14ac:dyDescent="0.3">
      <c r="A97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7" s="1" t="s">
        <v>84</v>
      </c>
      <c r="C97">
        <v>10032.465572680019</v>
      </c>
      <c r="D97" s="31">
        <v>0.40404040404040409</v>
      </c>
    </row>
    <row r="98" spans="1:4" x14ac:dyDescent="0.3">
      <c r="A98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8" s="1" t="s">
        <v>84</v>
      </c>
      <c r="C98">
        <v>10025.879550258371</v>
      </c>
      <c r="D98" s="32">
        <v>0.40303030303030313</v>
      </c>
    </row>
    <row r="99" spans="1:4" x14ac:dyDescent="0.3">
      <c r="A99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99" s="1" t="s">
        <v>84</v>
      </c>
      <c r="C99">
        <v>10019.29352783672</v>
      </c>
      <c r="D99" s="31">
        <v>0.40202020202020211</v>
      </c>
    </row>
    <row r="100" spans="1:4" x14ac:dyDescent="0.3">
      <c r="A100" s="1" t="str">
        <f>IF(Tabelle256[[#This Row],[Auszahlung_aus_der_Szenario_Range]]="","",IFERROR(MID(Sensitivität_bzw_Monte_Carlo_bei_Strom[[#This Row],[Source.Name]],FIND("1",Sensitivität_bzw_Monte_Carlo_bei_Strom[[#This Row],[Source.Name]],1),1),2))</f>
        <v>1</v>
      </c>
      <c r="B100" s="1" t="s">
        <v>84</v>
      </c>
      <c r="C100">
        <v>10012.707505415059</v>
      </c>
      <c r="D100" s="32">
        <v>0.40101010101010098</v>
      </c>
    </row>
    <row r="101" spans="1:4" x14ac:dyDescent="0.3">
      <c r="A101" s="1">
        <f>IF(Tabelle256[[#This Row],[Auszahlung_aus_der_Szenario_Range]]="","",IFERROR(MID(Sensitivität_bzw_Monte_Carlo_bei_Strom[[#This Row],[Source.Name]],FIND("1",Sensitivität_bzw_Monte_Carlo_bei_Strom[[#This Row],[Source.Name]],1),1),2))</f>
        <v>2</v>
      </c>
      <c r="B101" s="1" t="s">
        <v>84</v>
      </c>
      <c r="C101">
        <v>10006.1214829934</v>
      </c>
      <c r="D101" s="34">
        <v>0.4</v>
      </c>
    </row>
    <row r="102" spans="1:4" x14ac:dyDescent="0.3">
      <c r="A102" s="1"/>
      <c r="B102" s="1"/>
    </row>
    <row r="103" spans="1:4" x14ac:dyDescent="0.3">
      <c r="A103" s="1"/>
      <c r="B103" s="1"/>
    </row>
    <row r="104" spans="1:4" x14ac:dyDescent="0.3">
      <c r="A104" s="1"/>
      <c r="B104" s="1"/>
    </row>
    <row r="105" spans="1:4" x14ac:dyDescent="0.3">
      <c r="A105" s="1"/>
      <c r="B105" s="1"/>
    </row>
    <row r="106" spans="1:4" x14ac:dyDescent="0.3">
      <c r="A106" s="1"/>
      <c r="B106" s="1"/>
    </row>
    <row r="107" spans="1:4" x14ac:dyDescent="0.3">
      <c r="A107" s="1"/>
      <c r="B107" s="1"/>
    </row>
    <row r="108" spans="1:4" x14ac:dyDescent="0.3">
      <c r="A108" s="1"/>
      <c r="B108" s="1"/>
    </row>
    <row r="109" spans="1:4" x14ac:dyDescent="0.3">
      <c r="A109" s="1"/>
      <c r="B109" s="1"/>
    </row>
    <row r="110" spans="1:4" x14ac:dyDescent="0.3">
      <c r="A110" s="1"/>
      <c r="B110" s="1"/>
    </row>
    <row r="111" spans="1:4" x14ac:dyDescent="0.3">
      <c r="A111" s="1"/>
      <c r="B111" s="1"/>
    </row>
    <row r="112" spans="1:4" x14ac:dyDescent="0.3">
      <c r="A112" s="1"/>
      <c r="B112" s="1"/>
    </row>
    <row r="113" spans="1:4" x14ac:dyDescent="0.3">
      <c r="A113" s="1"/>
      <c r="B113" s="1"/>
    </row>
    <row r="114" spans="1:4" x14ac:dyDescent="0.3">
      <c r="A114" s="1"/>
      <c r="B114" s="1"/>
    </row>
    <row r="115" spans="1:4" x14ac:dyDescent="0.3">
      <c r="A115" s="1"/>
      <c r="B115" s="1"/>
    </row>
    <row r="116" spans="1:4" x14ac:dyDescent="0.3">
      <c r="A116" s="1"/>
      <c r="B116" s="1" t="str">
        <f>IFERROR(IF(LEFT(Sensitivität_bzw_Monte_Carlo_bei_Strom[[#This Row],[Source.Name]],SEARCH("aus_der",Sensitivität_bzw_Monte_Carlo_bei_Strom[[#This Row],[Source.Name]],1))="Auszahlung_a","Auszahlung",""),"")</f>
        <v/>
      </c>
      <c r="D116" s="1"/>
    </row>
    <row r="117" spans="1:4" x14ac:dyDescent="0.3">
      <c r="A117" s="1"/>
      <c r="B117" s="1" t="str">
        <f>IFERROR(IF(LEFT(Sensitivität_bzw_Monte_Carlo_bei_Strom[[#This Row],[Source.Name]],SEARCH("aus_der",Sensitivität_bzw_Monte_Carlo_bei_Strom[[#This Row],[Source.Name]],1))="Auszahlung_a","Auszahlung",""),"")</f>
        <v/>
      </c>
      <c r="D117" s="1"/>
    </row>
    <row r="118" spans="1:4" x14ac:dyDescent="0.3">
      <c r="A118" s="1"/>
      <c r="B118" s="1" t="str">
        <f>IFERROR(IF(LEFT(Sensitivität_bzw_Monte_Carlo_bei_Strom[[#This Row],[Source.Name]],SEARCH("aus_der",Sensitivität_bzw_Monte_Carlo_bei_Strom[[#This Row],[Source.Name]],1))="Auszahlung_a","Auszahlung",""),"")</f>
        <v/>
      </c>
      <c r="D118" s="1"/>
    </row>
    <row r="119" spans="1:4" x14ac:dyDescent="0.3">
      <c r="A119" s="1"/>
      <c r="B119" s="1" t="str">
        <f>IFERROR(IF(LEFT(Sensitivität_bzw_Monte_Carlo_bei_Strom[[#This Row],[Source.Name]],SEARCH("aus_der",Sensitivität_bzw_Monte_Carlo_bei_Strom[[#This Row],[Source.Name]],1))="Auszahlung_a","Auszahlung",""),"")</f>
        <v/>
      </c>
      <c r="D119" s="1"/>
    </row>
    <row r="120" spans="1:4" x14ac:dyDescent="0.3">
      <c r="A120" s="1"/>
      <c r="B120" s="1" t="str">
        <f>IFERROR(IF(LEFT(Sensitivität_bzw_Monte_Carlo_bei_Strom[[#This Row],[Source.Name]],SEARCH("aus_der",Sensitivität_bzw_Monte_Carlo_bei_Strom[[#This Row],[Source.Name]],1))="Auszahlung_a","Auszahlung",""),"")</f>
        <v/>
      </c>
      <c r="D120" s="1"/>
    </row>
    <row r="121" spans="1:4" x14ac:dyDescent="0.3">
      <c r="A121" s="1"/>
      <c r="B121" s="1" t="str">
        <f>IFERROR(IF(LEFT(Sensitivität_bzw_Monte_Carlo_bei_Strom[[#This Row],[Source.Name]],SEARCH("aus_der",Sensitivität_bzw_Monte_Carlo_bei_Strom[[#This Row],[Source.Name]],1))="Auszahlung_a","Auszahlung",""),"")</f>
        <v/>
      </c>
      <c r="D121" s="1"/>
    </row>
    <row r="122" spans="1:4" x14ac:dyDescent="0.3">
      <c r="A122" s="1"/>
      <c r="B122" s="1" t="str">
        <f>IFERROR(IF(LEFT(Sensitivität_bzw_Monte_Carlo_bei_Strom[[#This Row],[Source.Name]],SEARCH("aus_der",Sensitivität_bzw_Monte_Carlo_bei_Strom[[#This Row],[Source.Name]],1))="Auszahlung_a","Auszahlung",""),"")</f>
        <v/>
      </c>
      <c r="D122" s="1"/>
    </row>
    <row r="123" spans="1:4" x14ac:dyDescent="0.3">
      <c r="A123" s="1"/>
      <c r="B123" s="1" t="str">
        <f>IFERROR(IF(LEFT(Sensitivität_bzw_Monte_Carlo_bei_Strom[[#This Row],[Source.Name]],SEARCH("aus_der",Sensitivität_bzw_Monte_Carlo_bei_Strom[[#This Row],[Source.Name]],1))="Auszahlung_a","Auszahlung",""),"")</f>
        <v/>
      </c>
      <c r="D123" s="1"/>
    </row>
    <row r="124" spans="1:4" x14ac:dyDescent="0.3">
      <c r="A124" s="1"/>
      <c r="B124" s="1" t="str">
        <f>IFERROR(IF(LEFT(Sensitivität_bzw_Monte_Carlo_bei_Strom[[#This Row],[Source.Name]],SEARCH("aus_der",Sensitivität_bzw_Monte_Carlo_bei_Strom[[#This Row],[Source.Name]],1))="Auszahlung_a","Auszahlung",""),"")</f>
        <v/>
      </c>
      <c r="D124" s="1"/>
    </row>
    <row r="125" spans="1:4" x14ac:dyDescent="0.3">
      <c r="A125" s="1"/>
      <c r="B125" s="1" t="str">
        <f>IFERROR(IF(LEFT(Sensitivität_bzw_Monte_Carlo_bei_Strom[[#This Row],[Source.Name]],SEARCH("aus_der",Sensitivität_bzw_Monte_Carlo_bei_Strom[[#This Row],[Source.Name]],1))="Auszahlung_a","Auszahlung",""),"")</f>
        <v/>
      </c>
      <c r="D125" s="1"/>
    </row>
    <row r="126" spans="1:4" x14ac:dyDescent="0.3">
      <c r="A126" s="1"/>
      <c r="B126" s="1" t="str">
        <f>IFERROR(IF(LEFT(Sensitivität_bzw_Monte_Carlo_bei_Strom[[#This Row],[Source.Name]],SEARCH("aus_der",Sensitivität_bzw_Monte_Carlo_bei_Strom[[#This Row],[Source.Name]],1))="Auszahlung_a","Auszahlung",""),"")</f>
        <v/>
      </c>
      <c r="D126" s="1"/>
    </row>
    <row r="127" spans="1:4" x14ac:dyDescent="0.3">
      <c r="A127" s="1"/>
      <c r="B127" s="1" t="str">
        <f>IFERROR(IF(LEFT(Sensitivität_bzw_Monte_Carlo_bei_Strom[[#This Row],[Source.Name]],SEARCH("aus_der",Sensitivität_bzw_Monte_Carlo_bei_Strom[[#This Row],[Source.Name]],1))="Auszahlung_a","Auszahlung",""),"")</f>
        <v/>
      </c>
      <c r="D127" s="1"/>
    </row>
    <row r="128" spans="1:4" x14ac:dyDescent="0.3">
      <c r="A128" s="1"/>
      <c r="B128" s="1" t="str">
        <f>IFERROR(IF(LEFT(Sensitivität_bzw_Monte_Carlo_bei_Strom[[#This Row],[Source.Name]],SEARCH("aus_der",Sensitivität_bzw_Monte_Carlo_bei_Strom[[#This Row],[Source.Name]],1))="Auszahlung_a","Auszahlung",""),"")</f>
        <v/>
      </c>
      <c r="D128" s="1"/>
    </row>
    <row r="129" spans="1:4" x14ac:dyDescent="0.3">
      <c r="A129" s="1"/>
      <c r="B129" s="1" t="str">
        <f>IFERROR(IF(LEFT(Sensitivität_bzw_Monte_Carlo_bei_Strom[[#This Row],[Source.Name]],SEARCH("aus_der",Sensitivität_bzw_Monte_Carlo_bei_Strom[[#This Row],[Source.Name]],1))="Auszahlung_a","Auszahlung",""),"")</f>
        <v/>
      </c>
      <c r="D129" s="1"/>
    </row>
    <row r="130" spans="1:4" x14ac:dyDescent="0.3">
      <c r="A130" s="1"/>
      <c r="B130" s="1" t="str">
        <f>IFERROR(IF(LEFT(Sensitivität_bzw_Monte_Carlo_bei_Strom[[#This Row],[Source.Name]],SEARCH("aus_der",Sensitivität_bzw_Monte_Carlo_bei_Strom[[#This Row],[Source.Name]],1))="Auszahlung_a","Auszahlung",""),"")</f>
        <v/>
      </c>
      <c r="D130" s="1"/>
    </row>
    <row r="131" spans="1:4" x14ac:dyDescent="0.3">
      <c r="A131" s="1"/>
      <c r="B131" s="1" t="str">
        <f>IFERROR(IF(LEFT(Sensitivität_bzw_Monte_Carlo_bei_Strom[[#This Row],[Source.Name]],SEARCH("aus_der",Sensitivität_bzw_Monte_Carlo_bei_Strom[[#This Row],[Source.Name]],1))="Auszahlung_a","Auszahlung",""),"")</f>
        <v/>
      </c>
      <c r="D131" s="1"/>
    </row>
    <row r="132" spans="1:4" x14ac:dyDescent="0.3">
      <c r="A132" s="1"/>
      <c r="B132" s="1" t="str">
        <f>IFERROR(IF(LEFT(Sensitivität_bzw_Monte_Carlo_bei_Strom[[#This Row],[Source.Name]],SEARCH("aus_der",Sensitivität_bzw_Monte_Carlo_bei_Strom[[#This Row],[Source.Name]],1))="Auszahlung_a","Auszahlung",""),"")</f>
        <v/>
      </c>
      <c r="D132" s="1"/>
    </row>
    <row r="133" spans="1:4" x14ac:dyDescent="0.3">
      <c r="A133" s="1"/>
      <c r="B133" s="1" t="str">
        <f>IFERROR(IF(LEFT(Sensitivität_bzw_Monte_Carlo_bei_Strom[[#This Row],[Source.Name]],SEARCH("aus_der",Sensitivität_bzw_Monte_Carlo_bei_Strom[[#This Row],[Source.Name]],1))="Auszahlung_a","Auszahlung",""),"")</f>
        <v/>
      </c>
      <c r="D133" s="1"/>
    </row>
    <row r="134" spans="1:4" x14ac:dyDescent="0.3">
      <c r="A134" s="1"/>
      <c r="B134" s="1" t="str">
        <f>IFERROR(IF(LEFT(Sensitivität_bzw_Monte_Carlo_bei_Strom[[#This Row],[Source.Name]],SEARCH("aus_der",Sensitivität_bzw_Monte_Carlo_bei_Strom[[#This Row],[Source.Name]],1))="Auszahlung_a","Auszahlung",""),"")</f>
        <v/>
      </c>
      <c r="D134" s="1"/>
    </row>
    <row r="135" spans="1:4" x14ac:dyDescent="0.3">
      <c r="A135" s="1"/>
      <c r="B135" s="1" t="str">
        <f>IFERROR(IF(LEFT(Sensitivität_bzw_Monte_Carlo_bei_Strom[[#This Row],[Source.Name]],SEARCH("aus_der",Sensitivität_bzw_Monte_Carlo_bei_Strom[[#This Row],[Source.Name]],1))="Auszahlung_a","Auszahlung",""),"")</f>
        <v/>
      </c>
      <c r="D135" s="1"/>
    </row>
    <row r="136" spans="1:4" x14ac:dyDescent="0.3">
      <c r="A136" s="1"/>
      <c r="B136" s="1" t="str">
        <f>IFERROR(IF(LEFT(Sensitivität_bzw_Monte_Carlo_bei_Strom[[#This Row],[Source.Name]],SEARCH("aus_der",Sensitivität_bzw_Monte_Carlo_bei_Strom[[#This Row],[Source.Name]],1))="Auszahlung_a","Auszahlung",""),"")</f>
        <v/>
      </c>
      <c r="D136" s="1"/>
    </row>
    <row r="137" spans="1:4" x14ac:dyDescent="0.3">
      <c r="A137" s="1"/>
      <c r="B137" s="1" t="str">
        <f>IFERROR(IF(LEFT(Sensitivität_bzw_Monte_Carlo_bei_Strom[[#This Row],[Source.Name]],SEARCH("aus_der",Sensitivität_bzw_Monte_Carlo_bei_Strom[[#This Row],[Source.Name]],1))="Auszahlung_a","Auszahlung",""),"")</f>
        <v/>
      </c>
      <c r="D137" s="1"/>
    </row>
    <row r="138" spans="1:4" x14ac:dyDescent="0.3">
      <c r="A138" s="1"/>
      <c r="B138" s="1" t="str">
        <f>IFERROR(IF(LEFT(Sensitivität_bzw_Monte_Carlo_bei_Strom[[#This Row],[Source.Name]],SEARCH("aus_der",Sensitivität_bzw_Monte_Carlo_bei_Strom[[#This Row],[Source.Name]],1))="Auszahlung_a","Auszahlung",""),"")</f>
        <v/>
      </c>
      <c r="D138" s="1"/>
    </row>
    <row r="139" spans="1:4" x14ac:dyDescent="0.3">
      <c r="A139" s="1"/>
      <c r="B139" s="1" t="str">
        <f>IFERROR(IF(LEFT(Sensitivität_bzw_Monte_Carlo_bei_Strom[[#This Row],[Source.Name]],SEARCH("aus_der",Sensitivität_bzw_Monte_Carlo_bei_Strom[[#This Row],[Source.Name]],1))="Auszahlung_a","Auszahlung",""),"")</f>
        <v/>
      </c>
      <c r="D139" s="1"/>
    </row>
    <row r="140" spans="1:4" x14ac:dyDescent="0.3">
      <c r="A140" s="1"/>
      <c r="B140" s="1" t="str">
        <f>IFERROR(IF(LEFT(Sensitivität_bzw_Monte_Carlo_bei_Strom[[#This Row],[Source.Name]],SEARCH("aus_der",Sensitivität_bzw_Monte_Carlo_bei_Strom[[#This Row],[Source.Name]],1))="Auszahlung_a","Auszahlung",""),"")</f>
        <v/>
      </c>
      <c r="D140" s="1"/>
    </row>
    <row r="141" spans="1:4" x14ac:dyDescent="0.3">
      <c r="A141" s="1"/>
      <c r="B141" s="1" t="str">
        <f>IFERROR(IF(LEFT(Sensitivität_bzw_Monte_Carlo_bei_Strom[[#This Row],[Source.Name]],SEARCH("aus_der",Sensitivität_bzw_Monte_Carlo_bei_Strom[[#This Row],[Source.Name]],1))="Auszahlung_a","Auszahlung",""),"")</f>
        <v/>
      </c>
      <c r="D141" s="1"/>
    </row>
    <row r="142" spans="1:4" x14ac:dyDescent="0.3">
      <c r="A142" s="1"/>
      <c r="B142" s="1" t="str">
        <f>IFERROR(IF(LEFT(Sensitivität_bzw_Monte_Carlo_bei_Strom[[#This Row],[Source.Name]],SEARCH("aus_der",Sensitivität_bzw_Monte_Carlo_bei_Strom[[#This Row],[Source.Name]],1))="Auszahlung_a","Auszahlung",""),"")</f>
        <v/>
      </c>
      <c r="D142" s="1"/>
    </row>
    <row r="143" spans="1:4" x14ac:dyDescent="0.3">
      <c r="A143" s="1"/>
      <c r="B143" s="1" t="str">
        <f>IFERROR(IF(LEFT(Sensitivität_bzw_Monte_Carlo_bei_Strom[[#This Row],[Source.Name]],SEARCH("aus_der",Sensitivität_bzw_Monte_Carlo_bei_Strom[[#This Row],[Source.Name]],1))="Auszahlung_a","Auszahlung",""),"")</f>
        <v/>
      </c>
      <c r="D143" s="1"/>
    </row>
    <row r="144" spans="1:4" x14ac:dyDescent="0.3">
      <c r="A144" s="1"/>
      <c r="B144" s="1" t="str">
        <f>IFERROR(IF(LEFT(Sensitivität_bzw_Monte_Carlo_bei_Strom[[#This Row],[Source.Name]],SEARCH("aus_der",Sensitivität_bzw_Monte_Carlo_bei_Strom[[#This Row],[Source.Name]],1))="Auszahlung_a","Auszahlung",""),"")</f>
        <v/>
      </c>
      <c r="D144" s="1"/>
    </row>
    <row r="145" spans="1:4" x14ac:dyDescent="0.3">
      <c r="A145" s="1"/>
      <c r="B145" s="1" t="str">
        <f>IFERROR(IF(LEFT(Sensitivität_bzw_Monte_Carlo_bei_Strom[[#This Row],[Source.Name]],SEARCH("aus_der",Sensitivität_bzw_Monte_Carlo_bei_Strom[[#This Row],[Source.Name]],1))="Auszahlung_a","Auszahlung",""),"")</f>
        <v/>
      </c>
      <c r="D145" s="1"/>
    </row>
    <row r="146" spans="1:4" x14ac:dyDescent="0.3">
      <c r="A146" s="1"/>
      <c r="B146" s="1" t="str">
        <f>IFERROR(IF(LEFT(Sensitivität_bzw_Monte_Carlo_bei_Strom[[#This Row],[Source.Name]],SEARCH("aus_der",Sensitivität_bzw_Monte_Carlo_bei_Strom[[#This Row],[Source.Name]],1))="Auszahlung_a","Auszahlung",""),"")</f>
        <v/>
      </c>
      <c r="D146" s="1"/>
    </row>
    <row r="147" spans="1:4" x14ac:dyDescent="0.3">
      <c r="A147" s="1"/>
      <c r="B147" s="1" t="str">
        <f>IFERROR(IF(LEFT(Sensitivität_bzw_Monte_Carlo_bei_Strom[[#This Row],[Source.Name]],SEARCH("aus_der",Sensitivität_bzw_Monte_Carlo_bei_Strom[[#This Row],[Source.Name]],1))="Auszahlung_a","Auszahlung",""),"")</f>
        <v/>
      </c>
      <c r="D147" s="1"/>
    </row>
    <row r="148" spans="1:4" x14ac:dyDescent="0.3">
      <c r="A148" s="1"/>
      <c r="B148" s="1" t="str">
        <f>IFERROR(IF(LEFT(Sensitivität_bzw_Monte_Carlo_bei_Strom[[#This Row],[Source.Name]],SEARCH("aus_der",Sensitivität_bzw_Monte_Carlo_bei_Strom[[#This Row],[Source.Name]],1))="Auszahlung_a","Auszahlung",""),"")</f>
        <v/>
      </c>
      <c r="D148" s="1"/>
    </row>
    <row r="149" spans="1:4" x14ac:dyDescent="0.3">
      <c r="A149" s="1"/>
      <c r="B149" s="1" t="str">
        <f>IFERROR(IF(LEFT(Sensitivität_bzw_Monte_Carlo_bei_Strom[[#This Row],[Source.Name]],SEARCH("aus_der",Sensitivität_bzw_Monte_Carlo_bei_Strom[[#This Row],[Source.Name]],1))="Auszahlung_a","Auszahlung",""),"")</f>
        <v/>
      </c>
      <c r="D149" s="1"/>
    </row>
    <row r="150" spans="1:4" x14ac:dyDescent="0.3">
      <c r="A150" s="1"/>
      <c r="B150" s="1" t="str">
        <f>IFERROR(IF(LEFT(Sensitivität_bzw_Monte_Carlo_bei_Strom[[#This Row],[Source.Name]],SEARCH("aus_der",Sensitivität_bzw_Monte_Carlo_bei_Strom[[#This Row],[Source.Name]],1))="Auszahlung_a","Auszahlung",""),"")</f>
        <v/>
      </c>
      <c r="D150" s="1"/>
    </row>
    <row r="151" spans="1:4" x14ac:dyDescent="0.3">
      <c r="A151" s="1"/>
      <c r="B151" s="1" t="str">
        <f>IFERROR(IF(LEFT(Sensitivität_bzw_Monte_Carlo_bei_Strom[[#This Row],[Source.Name]],SEARCH("aus_der",Sensitivität_bzw_Monte_Carlo_bei_Strom[[#This Row],[Source.Name]],1))="Auszahlung_a","Auszahlung",""),"")</f>
        <v/>
      </c>
      <c r="D151" s="1"/>
    </row>
    <row r="152" spans="1:4" x14ac:dyDescent="0.3">
      <c r="A152" s="1"/>
      <c r="B152" s="1" t="str">
        <f>IFERROR(IF(LEFT(Sensitivität_bzw_Monte_Carlo_bei_Strom[[#This Row],[Source.Name]],SEARCH("aus_der",Sensitivität_bzw_Monte_Carlo_bei_Strom[[#This Row],[Source.Name]],1))="Auszahlung_a","Auszahlung",""),"")</f>
        <v/>
      </c>
      <c r="D152" s="1"/>
    </row>
    <row r="153" spans="1:4" x14ac:dyDescent="0.3">
      <c r="A153" s="1"/>
      <c r="B153" s="1" t="str">
        <f>IFERROR(IF(LEFT(Sensitivität_bzw_Monte_Carlo_bei_Strom[[#This Row],[Source.Name]],SEARCH("aus_der",Sensitivität_bzw_Monte_Carlo_bei_Strom[[#This Row],[Source.Name]],1))="Auszahlung_a","Auszahlung",""),"")</f>
        <v/>
      </c>
      <c r="D153" s="1"/>
    </row>
    <row r="154" spans="1:4" x14ac:dyDescent="0.3">
      <c r="A154" s="1"/>
      <c r="B154" s="1" t="str">
        <f>IFERROR(IF(LEFT(Sensitivität_bzw_Monte_Carlo_bei_Strom[[#This Row],[Source.Name]],SEARCH("aus_der",Sensitivität_bzw_Monte_Carlo_bei_Strom[[#This Row],[Source.Name]],1))="Auszahlung_a","Auszahlung",""),"")</f>
        <v/>
      </c>
      <c r="D154" s="1"/>
    </row>
    <row r="155" spans="1:4" x14ac:dyDescent="0.3">
      <c r="A155" s="1"/>
      <c r="B155" s="1" t="str">
        <f>IFERROR(IF(LEFT(Sensitivität_bzw_Monte_Carlo_bei_Strom[[#This Row],[Source.Name]],SEARCH("aus_der",Sensitivität_bzw_Monte_Carlo_bei_Strom[[#This Row],[Source.Name]],1))="Auszahlung_a","Auszahlung",""),"")</f>
        <v/>
      </c>
      <c r="D155" s="1"/>
    </row>
    <row r="156" spans="1:4" x14ac:dyDescent="0.3">
      <c r="A156" s="1"/>
      <c r="B156" s="1" t="str">
        <f>IFERROR(IF(LEFT(Sensitivität_bzw_Monte_Carlo_bei_Strom[[#This Row],[Source.Name]],SEARCH("aus_der",Sensitivität_bzw_Monte_Carlo_bei_Strom[[#This Row],[Source.Name]],1))="Auszahlung_a","Auszahlung",""),"")</f>
        <v/>
      </c>
      <c r="D156" s="1"/>
    </row>
    <row r="157" spans="1:4" x14ac:dyDescent="0.3">
      <c r="A157" s="1"/>
      <c r="B157" s="1" t="str">
        <f>IFERROR(IF(LEFT(Sensitivität_bzw_Monte_Carlo_bei_Strom[[#This Row],[Source.Name]],SEARCH("aus_der",Sensitivität_bzw_Monte_Carlo_bei_Strom[[#This Row],[Source.Name]],1))="Auszahlung_a","Auszahlung",""),"")</f>
        <v/>
      </c>
      <c r="D157" s="1"/>
    </row>
    <row r="158" spans="1:4" x14ac:dyDescent="0.3">
      <c r="A158" s="1"/>
      <c r="B158" s="1" t="str">
        <f>IFERROR(IF(LEFT(Sensitivität_bzw_Monte_Carlo_bei_Strom[[#This Row],[Source.Name]],SEARCH("aus_der",Sensitivität_bzw_Monte_Carlo_bei_Strom[[#This Row],[Source.Name]],1))="Auszahlung_a","Auszahlung",""),"")</f>
        <v/>
      </c>
      <c r="D158" s="1"/>
    </row>
    <row r="159" spans="1:4" x14ac:dyDescent="0.3">
      <c r="A159" s="1"/>
      <c r="B159" s="1" t="str">
        <f>IFERROR(IF(LEFT(Sensitivität_bzw_Monte_Carlo_bei_Strom[[#This Row],[Source.Name]],SEARCH("aus_der",Sensitivität_bzw_Monte_Carlo_bei_Strom[[#This Row],[Source.Name]],1))="Auszahlung_a","Auszahlung",""),"")</f>
        <v/>
      </c>
      <c r="D159" s="1"/>
    </row>
    <row r="160" spans="1:4" x14ac:dyDescent="0.3">
      <c r="A160" s="1"/>
      <c r="B160" s="1" t="str">
        <f>IFERROR(IF(LEFT(Sensitivität_bzw_Monte_Carlo_bei_Strom[[#This Row],[Source.Name]],SEARCH("aus_der",Sensitivität_bzw_Monte_Carlo_bei_Strom[[#This Row],[Source.Name]],1))="Auszahlung_a","Auszahlung",""),"")</f>
        <v/>
      </c>
      <c r="D160" s="1"/>
    </row>
    <row r="161" spans="1:4" x14ac:dyDescent="0.3">
      <c r="A161" s="1"/>
      <c r="B161" s="1" t="str">
        <f>IFERROR(IF(LEFT(Sensitivität_bzw_Monte_Carlo_bei_Strom[[#This Row],[Source.Name]],SEARCH("aus_der",Sensitivität_bzw_Monte_Carlo_bei_Strom[[#This Row],[Source.Name]],1))="Auszahlung_a","Auszahlung",""),"")</f>
        <v/>
      </c>
      <c r="D161" s="1"/>
    </row>
    <row r="162" spans="1:4" x14ac:dyDescent="0.3">
      <c r="A162" s="1"/>
      <c r="B162" s="1" t="str">
        <f>IFERROR(IF(LEFT(Sensitivität_bzw_Monte_Carlo_bei_Strom[[#This Row],[Source.Name]],SEARCH("aus_der",Sensitivität_bzw_Monte_Carlo_bei_Strom[[#This Row],[Source.Name]],1))="Auszahlung_a","Auszahlung",""),"")</f>
        <v/>
      </c>
      <c r="D162" s="1"/>
    </row>
    <row r="163" spans="1:4" x14ac:dyDescent="0.3">
      <c r="A163" s="1"/>
      <c r="B163" s="1" t="str">
        <f>IFERROR(IF(LEFT(Sensitivität_bzw_Monte_Carlo_bei_Strom[[#This Row],[Source.Name]],SEARCH("aus_der",Sensitivität_bzw_Monte_Carlo_bei_Strom[[#This Row],[Source.Name]],1))="Auszahlung_a","Auszahlung",""),"")</f>
        <v/>
      </c>
      <c r="D163" s="1"/>
    </row>
    <row r="164" spans="1:4" x14ac:dyDescent="0.3">
      <c r="A164" s="1"/>
      <c r="B164" s="1" t="str">
        <f>IFERROR(IF(LEFT(Sensitivität_bzw_Monte_Carlo_bei_Strom[[#This Row],[Source.Name]],SEARCH("aus_der",Sensitivität_bzw_Monte_Carlo_bei_Strom[[#This Row],[Source.Name]],1))="Auszahlung_a","Auszahlung",""),"")</f>
        <v/>
      </c>
      <c r="D164" s="1"/>
    </row>
    <row r="165" spans="1:4" x14ac:dyDescent="0.3">
      <c r="A165" s="1"/>
      <c r="B165" s="1" t="str">
        <f>IFERROR(IF(LEFT(Sensitivität_bzw_Monte_Carlo_bei_Strom[[#This Row],[Source.Name]],SEARCH("aus_der",Sensitivität_bzw_Monte_Carlo_bei_Strom[[#This Row],[Source.Name]],1))="Auszahlung_a","Auszahlung",""),"")</f>
        <v/>
      </c>
      <c r="D165" s="1"/>
    </row>
    <row r="166" spans="1:4" x14ac:dyDescent="0.3">
      <c r="A166" s="1"/>
      <c r="B166" s="1" t="str">
        <f>IFERROR(IF(LEFT(Sensitivität_bzw_Monte_Carlo_bei_Strom[[#This Row],[Source.Name]],SEARCH("aus_der",Sensitivität_bzw_Monte_Carlo_bei_Strom[[#This Row],[Source.Name]],1))="Auszahlung_a","Auszahlung",""),"")</f>
        <v/>
      </c>
      <c r="D166" s="1"/>
    </row>
    <row r="167" spans="1:4" x14ac:dyDescent="0.3">
      <c r="A167" s="1"/>
      <c r="B167" s="1" t="str">
        <f>IFERROR(IF(LEFT(Sensitivität_bzw_Monte_Carlo_bei_Strom[[#This Row],[Source.Name]],SEARCH("aus_der",Sensitivität_bzw_Monte_Carlo_bei_Strom[[#This Row],[Source.Name]],1))="Auszahlung_a","Auszahlung",""),"")</f>
        <v/>
      </c>
      <c r="D167" s="1"/>
    </row>
    <row r="168" spans="1:4" x14ac:dyDescent="0.3">
      <c r="A168" s="1"/>
      <c r="B168" s="1" t="str">
        <f>IFERROR(IF(LEFT(Sensitivität_bzw_Monte_Carlo_bei_Strom[[#This Row],[Source.Name]],SEARCH("aus_der",Sensitivität_bzw_Monte_Carlo_bei_Strom[[#This Row],[Source.Name]],1))="Auszahlung_a","Auszahlung",""),"")</f>
        <v/>
      </c>
      <c r="D168" s="1"/>
    </row>
    <row r="169" spans="1:4" x14ac:dyDescent="0.3">
      <c r="A169" s="1"/>
      <c r="B169" s="1" t="str">
        <f>IFERROR(IF(LEFT(Sensitivität_bzw_Monte_Carlo_bei_Strom[[#This Row],[Source.Name]],SEARCH("aus_der",Sensitivität_bzw_Monte_Carlo_bei_Strom[[#This Row],[Source.Name]],1))="Auszahlung_a","Auszahlung",""),"")</f>
        <v/>
      </c>
      <c r="D169" s="1"/>
    </row>
    <row r="170" spans="1:4" x14ac:dyDescent="0.3">
      <c r="A170" s="1"/>
      <c r="B170" s="1" t="str">
        <f>IFERROR(IF(LEFT(Sensitivität_bzw_Monte_Carlo_bei_Strom[[#This Row],[Source.Name]],SEARCH("aus_der",Sensitivität_bzw_Monte_Carlo_bei_Strom[[#This Row],[Source.Name]],1))="Auszahlung_a","Auszahlung",""),"")</f>
        <v/>
      </c>
      <c r="D170" s="1"/>
    </row>
    <row r="171" spans="1:4" x14ac:dyDescent="0.3">
      <c r="A171" s="1"/>
      <c r="B171" s="1" t="str">
        <f>IFERROR(IF(LEFT(Sensitivität_bzw_Monte_Carlo_bei_Strom[[#This Row],[Source.Name]],SEARCH("aus_der",Sensitivität_bzw_Monte_Carlo_bei_Strom[[#This Row],[Source.Name]],1))="Auszahlung_a","Auszahlung",""),"")</f>
        <v/>
      </c>
      <c r="D171" s="1"/>
    </row>
    <row r="172" spans="1:4" x14ac:dyDescent="0.3">
      <c r="A172" s="1"/>
      <c r="B172" s="1" t="str">
        <f>IFERROR(IF(LEFT(Sensitivität_bzw_Monte_Carlo_bei_Strom[[#This Row],[Source.Name]],SEARCH("aus_der",Sensitivität_bzw_Monte_Carlo_bei_Strom[[#This Row],[Source.Name]],1))="Auszahlung_a","Auszahlung",""),"")</f>
        <v/>
      </c>
      <c r="D172" s="1"/>
    </row>
    <row r="173" spans="1:4" x14ac:dyDescent="0.3">
      <c r="A173" s="1"/>
      <c r="B173" s="1" t="str">
        <f>IFERROR(IF(LEFT(Sensitivität_bzw_Monte_Carlo_bei_Strom[[#This Row],[Source.Name]],SEARCH("aus_der",Sensitivität_bzw_Monte_Carlo_bei_Strom[[#This Row],[Source.Name]],1))="Auszahlung_a","Auszahlung",""),"")</f>
        <v/>
      </c>
      <c r="D173" s="1"/>
    </row>
    <row r="174" spans="1:4" x14ac:dyDescent="0.3">
      <c r="A174" s="1"/>
      <c r="B174" s="1" t="str">
        <f>IFERROR(IF(LEFT(Sensitivität_bzw_Monte_Carlo_bei_Strom[[#This Row],[Source.Name]],SEARCH("aus_der",Sensitivität_bzw_Monte_Carlo_bei_Strom[[#This Row],[Source.Name]],1))="Auszahlung_a","Auszahlung",""),"")</f>
        <v/>
      </c>
      <c r="D174" s="1"/>
    </row>
    <row r="175" spans="1:4" x14ac:dyDescent="0.3">
      <c r="A175" s="1"/>
      <c r="B175" s="1" t="str">
        <f>IFERROR(IF(LEFT(Sensitivität_bzw_Monte_Carlo_bei_Strom[[#This Row],[Source.Name]],SEARCH("aus_der",Sensitivität_bzw_Monte_Carlo_bei_Strom[[#This Row],[Source.Name]],1))="Auszahlung_a","Auszahlung",""),"")</f>
        <v/>
      </c>
      <c r="D175" s="1"/>
    </row>
    <row r="176" spans="1:4" x14ac:dyDescent="0.3">
      <c r="A176" s="1"/>
      <c r="B176" s="1" t="str">
        <f>IFERROR(IF(LEFT(Sensitivität_bzw_Monte_Carlo_bei_Strom[[#This Row],[Source.Name]],SEARCH("aus_der",Sensitivität_bzw_Monte_Carlo_bei_Strom[[#This Row],[Source.Name]],1))="Auszahlung_a","Auszahlung",""),"")</f>
        <v/>
      </c>
      <c r="D176" s="1"/>
    </row>
    <row r="177" spans="1:4" x14ac:dyDescent="0.3">
      <c r="A177" s="1"/>
      <c r="B177" s="1" t="str">
        <f>IFERROR(IF(LEFT(Sensitivität_bzw_Monte_Carlo_bei_Strom[[#This Row],[Source.Name]],SEARCH("aus_der",Sensitivität_bzw_Monte_Carlo_bei_Strom[[#This Row],[Source.Name]],1))="Auszahlung_a","Auszahlung",""),"")</f>
        <v/>
      </c>
      <c r="D177" s="1"/>
    </row>
    <row r="178" spans="1:4" x14ac:dyDescent="0.3">
      <c r="A178" s="1"/>
      <c r="B178" s="1" t="str">
        <f>IFERROR(IF(LEFT(Sensitivität_bzw_Monte_Carlo_bei_Strom[[#This Row],[Source.Name]],SEARCH("aus_der",Sensitivität_bzw_Monte_Carlo_bei_Strom[[#This Row],[Source.Name]],1))="Auszahlung_a","Auszahlung",""),"")</f>
        <v/>
      </c>
      <c r="D178" s="1"/>
    </row>
    <row r="179" spans="1:4" x14ac:dyDescent="0.3">
      <c r="A179" s="1"/>
      <c r="B179" s="1" t="str">
        <f>IFERROR(IF(LEFT(Sensitivität_bzw_Monte_Carlo_bei_Strom[[#This Row],[Source.Name]],SEARCH("aus_der",Sensitivität_bzw_Monte_Carlo_bei_Strom[[#This Row],[Source.Name]],1))="Auszahlung_a","Auszahlung",""),"")</f>
        <v/>
      </c>
      <c r="D179" s="1"/>
    </row>
    <row r="180" spans="1:4" x14ac:dyDescent="0.3">
      <c r="A180" s="1"/>
      <c r="B180" s="1" t="str">
        <f>IFERROR(IF(LEFT(Sensitivität_bzw_Monte_Carlo_bei_Strom[[#This Row],[Source.Name]],SEARCH("aus_der",Sensitivität_bzw_Monte_Carlo_bei_Strom[[#This Row],[Source.Name]],1))="Auszahlung_a","Auszahlung",""),"")</f>
        <v/>
      </c>
      <c r="D180" s="1"/>
    </row>
    <row r="181" spans="1:4" x14ac:dyDescent="0.3">
      <c r="A181" s="1"/>
      <c r="B181" s="1" t="str">
        <f>IFERROR(IF(LEFT(Sensitivität_bzw_Monte_Carlo_bei_Strom[[#This Row],[Source.Name]],SEARCH("aus_der",Sensitivität_bzw_Monte_Carlo_bei_Strom[[#This Row],[Source.Name]],1))="Auszahlung_a","Auszahlung",""),"")</f>
        <v/>
      </c>
      <c r="D181" s="1"/>
    </row>
    <row r="182" spans="1:4" x14ac:dyDescent="0.3">
      <c r="A182" s="1"/>
      <c r="B182" s="1" t="str">
        <f>IFERROR(IF(LEFT(Sensitivität_bzw_Monte_Carlo_bei_Strom[[#This Row],[Source.Name]],SEARCH("aus_der",Sensitivität_bzw_Monte_Carlo_bei_Strom[[#This Row],[Source.Name]],1))="Auszahlung_a","Auszahlung",""),"")</f>
        <v/>
      </c>
      <c r="D182" s="1"/>
    </row>
    <row r="183" spans="1:4" x14ac:dyDescent="0.3">
      <c r="A183" s="1"/>
      <c r="B183" s="1" t="str">
        <f>IFERROR(IF(LEFT(Sensitivität_bzw_Monte_Carlo_bei_Strom[[#This Row],[Source.Name]],SEARCH("aus_der",Sensitivität_bzw_Monte_Carlo_bei_Strom[[#This Row],[Source.Name]],1))="Auszahlung_a","Auszahlung",""),"")</f>
        <v/>
      </c>
      <c r="D183" s="1"/>
    </row>
    <row r="184" spans="1:4" x14ac:dyDescent="0.3">
      <c r="A184" s="1"/>
      <c r="B184" s="1" t="str">
        <f>IFERROR(IF(LEFT(Sensitivität_bzw_Monte_Carlo_bei_Strom[[#This Row],[Source.Name]],SEARCH("aus_der",Sensitivität_bzw_Monte_Carlo_bei_Strom[[#This Row],[Source.Name]],1))="Auszahlung_a","Auszahlung",""),"")</f>
        <v/>
      </c>
      <c r="D184" s="1"/>
    </row>
    <row r="185" spans="1:4" x14ac:dyDescent="0.3">
      <c r="A185" s="1"/>
      <c r="B185" s="1" t="str">
        <f>IFERROR(IF(LEFT(Sensitivität_bzw_Monte_Carlo_bei_Strom[[#This Row],[Source.Name]],SEARCH("aus_der",Sensitivität_bzw_Monte_Carlo_bei_Strom[[#This Row],[Source.Name]],1))="Auszahlung_a","Auszahlung",""),"")</f>
        <v/>
      </c>
      <c r="D185" s="1"/>
    </row>
    <row r="186" spans="1:4" x14ac:dyDescent="0.3">
      <c r="A186" s="1"/>
      <c r="B186" s="1" t="str">
        <f>IFERROR(IF(LEFT(Sensitivität_bzw_Monte_Carlo_bei_Strom[[#This Row],[Source.Name]],SEARCH("aus_der",Sensitivität_bzw_Monte_Carlo_bei_Strom[[#This Row],[Source.Name]],1))="Auszahlung_a","Auszahlung",""),"")</f>
        <v/>
      </c>
      <c r="D186" s="1"/>
    </row>
    <row r="187" spans="1:4" x14ac:dyDescent="0.3">
      <c r="A187" s="1"/>
      <c r="B187" s="1" t="str">
        <f>IFERROR(IF(LEFT(Sensitivität_bzw_Monte_Carlo_bei_Strom[[#This Row],[Source.Name]],SEARCH("aus_der",Sensitivität_bzw_Monte_Carlo_bei_Strom[[#This Row],[Source.Name]],1))="Auszahlung_a","Auszahlung",""),"")</f>
        <v/>
      </c>
      <c r="D187" s="1"/>
    </row>
    <row r="188" spans="1:4" x14ac:dyDescent="0.3">
      <c r="A188" s="1"/>
      <c r="B188" s="1" t="str">
        <f>IFERROR(IF(LEFT(Sensitivität_bzw_Monte_Carlo_bei_Strom[[#This Row],[Source.Name]],SEARCH("aus_der",Sensitivität_bzw_Monte_Carlo_bei_Strom[[#This Row],[Source.Name]],1))="Auszahlung_a","Auszahlung",""),"")</f>
        <v/>
      </c>
      <c r="D188" s="1"/>
    </row>
    <row r="189" spans="1:4" x14ac:dyDescent="0.3">
      <c r="A189" s="1"/>
      <c r="B189" s="1" t="str">
        <f>IFERROR(IF(LEFT(Sensitivität_bzw_Monte_Carlo_bei_Strom[[#This Row],[Source.Name]],SEARCH("aus_der",Sensitivität_bzw_Monte_Carlo_bei_Strom[[#This Row],[Source.Name]],1))="Auszahlung_a","Auszahlung",""),"")</f>
        <v/>
      </c>
      <c r="D189" s="1"/>
    </row>
    <row r="190" spans="1:4" x14ac:dyDescent="0.3">
      <c r="A190" s="1"/>
      <c r="B190" s="1" t="str">
        <f>IFERROR(IF(LEFT(Sensitivität_bzw_Monte_Carlo_bei_Strom[[#This Row],[Source.Name]],SEARCH("aus_der",Sensitivität_bzw_Monte_Carlo_bei_Strom[[#This Row],[Source.Name]],1))="Auszahlung_a","Auszahlung",""),"")</f>
        <v/>
      </c>
      <c r="D190" s="1"/>
    </row>
    <row r="191" spans="1:4" x14ac:dyDescent="0.3">
      <c r="A191" s="1"/>
      <c r="B191" s="1" t="str">
        <f>IFERROR(IF(LEFT(Sensitivität_bzw_Monte_Carlo_bei_Strom[[#This Row],[Source.Name]],SEARCH("aus_der",Sensitivität_bzw_Monte_Carlo_bei_Strom[[#This Row],[Source.Name]],1))="Auszahlung_a","Auszahlung",""),"")</f>
        <v/>
      </c>
      <c r="D191" s="1"/>
    </row>
    <row r="192" spans="1:4" x14ac:dyDescent="0.3">
      <c r="A192" s="1"/>
      <c r="B192" s="1" t="str">
        <f>IFERROR(IF(LEFT(Sensitivität_bzw_Monte_Carlo_bei_Strom[[#This Row],[Source.Name]],SEARCH("aus_der",Sensitivität_bzw_Monte_Carlo_bei_Strom[[#This Row],[Source.Name]],1))="Auszahlung_a","Auszahlung",""),"")</f>
        <v/>
      </c>
      <c r="D192" s="1"/>
    </row>
    <row r="193" spans="1:4" x14ac:dyDescent="0.3">
      <c r="A193" s="1"/>
      <c r="B193" s="1" t="str">
        <f>IFERROR(IF(LEFT(Sensitivität_bzw_Monte_Carlo_bei_Strom[[#This Row],[Source.Name]],SEARCH("aus_der",Sensitivität_bzw_Monte_Carlo_bei_Strom[[#This Row],[Source.Name]],1))="Auszahlung_a","Auszahlung",""),"")</f>
        <v/>
      </c>
      <c r="D193" s="1"/>
    </row>
    <row r="194" spans="1:4" x14ac:dyDescent="0.3">
      <c r="A194" s="1"/>
      <c r="B194" s="1" t="str">
        <f>IFERROR(IF(LEFT(Sensitivität_bzw_Monte_Carlo_bei_Strom[[#This Row],[Source.Name]],SEARCH("aus_der",Sensitivität_bzw_Monte_Carlo_bei_Strom[[#This Row],[Source.Name]],1))="Auszahlung_a","Auszahlung",""),"")</f>
        <v/>
      </c>
      <c r="D194" s="1"/>
    </row>
    <row r="195" spans="1:4" x14ac:dyDescent="0.3">
      <c r="A195" s="1"/>
      <c r="B195" s="1" t="str">
        <f>IFERROR(IF(LEFT(Sensitivität_bzw_Monte_Carlo_bei_Strom[[#This Row],[Source.Name]],SEARCH("aus_der",Sensitivität_bzw_Monte_Carlo_bei_Strom[[#This Row],[Source.Name]],1))="Auszahlung_a","Auszahlung",""),"")</f>
        <v/>
      </c>
      <c r="D195" s="1"/>
    </row>
    <row r="196" spans="1:4" x14ac:dyDescent="0.3">
      <c r="A196" s="1"/>
      <c r="B196" s="1" t="str">
        <f>IFERROR(IF(LEFT(Sensitivität_bzw_Monte_Carlo_bei_Strom[[#This Row],[Source.Name]],SEARCH("aus_der",Sensitivität_bzw_Monte_Carlo_bei_Strom[[#This Row],[Source.Name]],1))="Auszahlung_a","Auszahlung",""),"")</f>
        <v/>
      </c>
      <c r="D196" s="1"/>
    </row>
    <row r="197" spans="1:4" x14ac:dyDescent="0.3">
      <c r="A197" s="1"/>
      <c r="B197" s="1" t="str">
        <f>IFERROR(IF(LEFT(Sensitivität_bzw_Monte_Carlo_bei_Strom[[#This Row],[Source.Name]],SEARCH("aus_der",Sensitivität_bzw_Monte_Carlo_bei_Strom[[#This Row],[Source.Name]],1))="Auszahlung_a","Auszahlung",""),"")</f>
        <v/>
      </c>
      <c r="D197" s="1"/>
    </row>
    <row r="198" spans="1:4" x14ac:dyDescent="0.3">
      <c r="A198" s="1"/>
      <c r="B198" s="1" t="str">
        <f>IFERROR(IF(LEFT(Sensitivität_bzw_Monte_Carlo_bei_Strom[[#This Row],[Source.Name]],SEARCH("aus_der",Sensitivität_bzw_Monte_Carlo_bei_Strom[[#This Row],[Source.Name]],1))="Auszahlung_a","Auszahlung",""),"")</f>
        <v/>
      </c>
      <c r="D198" s="1"/>
    </row>
    <row r="199" spans="1:4" x14ac:dyDescent="0.3">
      <c r="A199" s="1"/>
      <c r="B199" s="1" t="str">
        <f>IFERROR(IF(LEFT(Sensitivität_bzw_Monte_Carlo_bei_Strom[[#This Row],[Source.Name]],SEARCH("aus_der",Sensitivität_bzw_Monte_Carlo_bei_Strom[[#This Row],[Source.Name]],1))="Auszahlung_a","Auszahlung",""),"")</f>
        <v/>
      </c>
      <c r="D199" s="1"/>
    </row>
    <row r="200" spans="1:4" x14ac:dyDescent="0.3">
      <c r="A200" s="1"/>
      <c r="B200" s="1" t="str">
        <f>IFERROR(IF(LEFT(Sensitivität_bzw_Monte_Carlo_bei_Strom[[#This Row],[Source.Name]],SEARCH("aus_der",Sensitivität_bzw_Monte_Carlo_bei_Strom[[#This Row],[Source.Name]],1))="Auszahlung_a","Auszahlung",""),"")</f>
        <v/>
      </c>
      <c r="D200" s="1"/>
    </row>
    <row r="201" spans="1:4" x14ac:dyDescent="0.3">
      <c r="A201" s="1"/>
      <c r="B201" s="1" t="str">
        <f>IFERROR(IF(LEFT(Sensitivität_bzw_Monte_Carlo_bei_Strom[[#This Row],[Source.Name]],SEARCH("aus_der",Sensitivität_bzw_Monte_Carlo_bei_Strom[[#This Row],[Source.Name]],1))="Auszahlung_a","Auszahlung",""),"")</f>
        <v/>
      </c>
      <c r="D201" s="1"/>
    </row>
    <row r="202" spans="1:4" x14ac:dyDescent="0.3">
      <c r="A202" s="1"/>
      <c r="B202" s="1" t="str">
        <f>IFERROR(IF(LEFT(Sensitivität_bzw_Monte_Carlo_bei_Strom[[#This Row],[Source.Name]],SEARCH("aus_der",Sensitivität_bzw_Monte_Carlo_bei_Strom[[#This Row],[Source.Name]],1))="Auszahlung_a","Auszahlung",""),"")</f>
        <v/>
      </c>
      <c r="D202" s="1"/>
    </row>
    <row r="203" spans="1:4" x14ac:dyDescent="0.3">
      <c r="A203" s="1"/>
      <c r="B203" s="1" t="str">
        <f>IFERROR(IF(LEFT(Sensitivität_bzw_Monte_Carlo_bei_Strom[[#This Row],[Source.Name]],SEARCH("aus_der",Sensitivität_bzw_Monte_Carlo_bei_Strom[[#This Row],[Source.Name]],1))="Auszahlung_a","Auszahlung",""),"")</f>
        <v/>
      </c>
      <c r="D203" s="1"/>
    </row>
    <row r="204" spans="1:4" x14ac:dyDescent="0.3">
      <c r="A204" s="1"/>
      <c r="B204" s="1" t="str">
        <f>IFERROR(IF(LEFT(Sensitivität_bzw_Monte_Carlo_bei_Strom[[#This Row],[Source.Name]],SEARCH("aus_der",Sensitivität_bzw_Monte_Carlo_bei_Strom[[#This Row],[Source.Name]],1))="Auszahlung_a","Auszahlung",""),"")</f>
        <v/>
      </c>
      <c r="D204" s="1"/>
    </row>
    <row r="205" spans="1:4" x14ac:dyDescent="0.3">
      <c r="A205" s="1"/>
      <c r="B205" s="1" t="str">
        <f>IFERROR(IF(LEFT(Sensitivität_bzw_Monte_Carlo_bei_Strom[[#This Row],[Source.Name]],SEARCH("aus_der",Sensitivität_bzw_Monte_Carlo_bei_Strom[[#This Row],[Source.Name]],1))="Auszahlung_a","Auszahlung",""),"")</f>
        <v/>
      </c>
      <c r="D205" s="1"/>
    </row>
    <row r="206" spans="1:4" x14ac:dyDescent="0.3">
      <c r="A206" s="1"/>
      <c r="B206" s="1" t="str">
        <f>IFERROR(IF(LEFT(Sensitivität_bzw_Monte_Carlo_bei_Strom[[#This Row],[Source.Name]],SEARCH("aus_der",Sensitivität_bzw_Monte_Carlo_bei_Strom[[#This Row],[Source.Name]],1))="Auszahlung_a","Auszahlung",""),"")</f>
        <v/>
      </c>
      <c r="D206" s="1"/>
    </row>
    <row r="207" spans="1:4" x14ac:dyDescent="0.3">
      <c r="A207" s="1"/>
      <c r="B207" s="1" t="str">
        <f>IFERROR(IF(LEFT(Sensitivität_bzw_Monte_Carlo_bei_Strom[[#This Row],[Source.Name]],SEARCH("aus_der",Sensitivität_bzw_Monte_Carlo_bei_Strom[[#This Row],[Source.Name]],1))="Auszahlung_a","Auszahlung",""),"")</f>
        <v/>
      </c>
      <c r="D207" s="1"/>
    </row>
    <row r="208" spans="1:4" x14ac:dyDescent="0.3">
      <c r="A208" s="1"/>
      <c r="B208" s="1" t="str">
        <f>IFERROR(IF(LEFT(Sensitivität_bzw_Monte_Carlo_bei_Strom[[#This Row],[Source.Name]],SEARCH("aus_der",Sensitivität_bzw_Monte_Carlo_bei_Strom[[#This Row],[Source.Name]],1))="Auszahlung_a","Auszahlung",""),"")</f>
        <v/>
      </c>
      <c r="D208" s="1"/>
    </row>
    <row r="209" spans="1:4" x14ac:dyDescent="0.3">
      <c r="A209" s="1"/>
      <c r="B209" s="1" t="str">
        <f>IFERROR(IF(LEFT(Sensitivität_bzw_Monte_Carlo_bei_Strom[[#This Row],[Source.Name]],SEARCH("aus_der",Sensitivität_bzw_Monte_Carlo_bei_Strom[[#This Row],[Source.Name]],1))="Auszahlung_a","Auszahlung",""),"")</f>
        <v/>
      </c>
      <c r="D209" s="1"/>
    </row>
    <row r="210" spans="1:4" x14ac:dyDescent="0.3">
      <c r="A210" s="1"/>
      <c r="B210" s="1" t="str">
        <f>IFERROR(IF(LEFT(Sensitivität_bzw_Monte_Carlo_bei_Strom[[#This Row],[Source.Name]],SEARCH("aus_der",Sensitivität_bzw_Monte_Carlo_bei_Strom[[#This Row],[Source.Name]],1))="Auszahlung_a","Auszahlung",""),"")</f>
        <v/>
      </c>
      <c r="D210" s="1"/>
    </row>
    <row r="211" spans="1:4" x14ac:dyDescent="0.3">
      <c r="A211" s="1"/>
      <c r="B211" s="1" t="str">
        <f>IFERROR(IF(LEFT(Sensitivität_bzw_Monte_Carlo_bei_Strom[[#This Row],[Source.Name]],SEARCH("aus_der",Sensitivität_bzw_Monte_Carlo_bei_Strom[[#This Row],[Source.Name]],1))="Auszahlung_a","Auszahlung",""),"")</f>
        <v/>
      </c>
      <c r="D211" s="1"/>
    </row>
    <row r="212" spans="1:4" x14ac:dyDescent="0.3">
      <c r="A212" s="1"/>
      <c r="B212" s="1" t="str">
        <f>IFERROR(IF(LEFT(Sensitivität_bzw_Monte_Carlo_bei_Strom[[#This Row],[Source.Name]],SEARCH("aus_der",Sensitivität_bzw_Monte_Carlo_bei_Strom[[#This Row],[Source.Name]],1))="Auszahlung_a","Auszahlung",""),"")</f>
        <v/>
      </c>
      <c r="D212" s="1"/>
    </row>
    <row r="213" spans="1:4" x14ac:dyDescent="0.3">
      <c r="A213" s="1"/>
      <c r="B213" s="1" t="str">
        <f>IFERROR(IF(LEFT(Sensitivität_bzw_Monte_Carlo_bei_Strom[[#This Row],[Source.Name]],SEARCH("aus_der",Sensitivität_bzw_Monte_Carlo_bei_Strom[[#This Row],[Source.Name]],1))="Auszahlung_a","Auszahlung",""),"")</f>
        <v/>
      </c>
      <c r="D213" s="1"/>
    </row>
    <row r="214" spans="1:4" x14ac:dyDescent="0.3">
      <c r="A214" s="1"/>
      <c r="B214" s="1" t="str">
        <f>IFERROR(IF(LEFT(Sensitivität_bzw_Monte_Carlo_bei_Strom[[#This Row],[Source.Name]],SEARCH("aus_der",Sensitivität_bzw_Monte_Carlo_bei_Strom[[#This Row],[Source.Name]],1))="Auszahlung_a","Auszahlung",""),"")</f>
        <v/>
      </c>
      <c r="D214" s="1"/>
    </row>
    <row r="215" spans="1:4" x14ac:dyDescent="0.3">
      <c r="A215" s="1"/>
      <c r="B215" s="1" t="str">
        <f>IFERROR(IF(LEFT(Sensitivität_bzw_Monte_Carlo_bei_Strom[[#This Row],[Source.Name]],SEARCH("aus_der",Sensitivität_bzw_Monte_Carlo_bei_Strom[[#This Row],[Source.Name]],1))="Auszahlung_a","Auszahlung",""),"")</f>
        <v/>
      </c>
      <c r="D215" s="1"/>
    </row>
    <row r="216" spans="1:4" x14ac:dyDescent="0.3">
      <c r="A216" s="1"/>
      <c r="B216" s="1" t="str">
        <f>IFERROR(IF(LEFT(Sensitivität_bzw_Monte_Carlo_bei_Strom[[#This Row],[Source.Name]],SEARCH("aus_der",Sensitivität_bzw_Monte_Carlo_bei_Strom[[#This Row],[Source.Name]],1))="Auszahlung_a","Auszahlung",""),"")</f>
        <v/>
      </c>
      <c r="D216" s="1"/>
    </row>
    <row r="217" spans="1:4" x14ac:dyDescent="0.3">
      <c r="A217" s="1"/>
      <c r="B217" s="1" t="str">
        <f>IFERROR(IF(LEFT(Sensitivität_bzw_Monte_Carlo_bei_Strom[[#This Row],[Source.Name]],SEARCH("aus_der",Sensitivität_bzw_Monte_Carlo_bei_Strom[[#This Row],[Source.Name]],1))="Auszahlung_a","Auszahlung",""),"")</f>
        <v/>
      </c>
      <c r="D217" s="1"/>
    </row>
    <row r="218" spans="1:4" x14ac:dyDescent="0.3">
      <c r="A218" s="1"/>
      <c r="B218" s="1" t="str">
        <f>IFERROR(IF(LEFT(Sensitivität_bzw_Monte_Carlo_bei_Strom[[#This Row],[Source.Name]],SEARCH("aus_der",Sensitivität_bzw_Monte_Carlo_bei_Strom[[#This Row],[Source.Name]],1))="Auszahlung_a","Auszahlung",""),"")</f>
        <v/>
      </c>
      <c r="D218" s="1"/>
    </row>
    <row r="219" spans="1:4" x14ac:dyDescent="0.3">
      <c r="A219" s="1"/>
      <c r="B219" s="1" t="str">
        <f>IFERROR(IF(LEFT(Sensitivität_bzw_Monte_Carlo_bei_Strom[[#This Row],[Source.Name]],SEARCH("aus_der",Sensitivität_bzw_Monte_Carlo_bei_Strom[[#This Row],[Source.Name]],1))="Auszahlung_a","Auszahlung",""),"")</f>
        <v/>
      </c>
      <c r="D219" s="1"/>
    </row>
    <row r="220" spans="1:4" x14ac:dyDescent="0.3">
      <c r="A220" s="1"/>
      <c r="B220" s="1" t="str">
        <f>IFERROR(IF(LEFT(Sensitivität_bzw_Monte_Carlo_bei_Strom[[#This Row],[Source.Name]],SEARCH("aus_der",Sensitivität_bzw_Monte_Carlo_bei_Strom[[#This Row],[Source.Name]],1))="Auszahlung_a","Auszahlung",""),"")</f>
        <v/>
      </c>
      <c r="D220" s="1"/>
    </row>
    <row r="221" spans="1:4" x14ac:dyDescent="0.3">
      <c r="A221" s="1"/>
      <c r="B221" s="1" t="str">
        <f>IFERROR(IF(LEFT(Sensitivität_bzw_Monte_Carlo_bei_Strom[[#This Row],[Source.Name]],SEARCH("aus_der",Sensitivität_bzw_Monte_Carlo_bei_Strom[[#This Row],[Source.Name]],1))="Auszahlung_a","Auszahlung",""),"")</f>
        <v/>
      </c>
      <c r="D221" s="1"/>
    </row>
    <row r="222" spans="1:4" x14ac:dyDescent="0.3">
      <c r="A222" s="1"/>
      <c r="B222" s="1" t="str">
        <f>IFERROR(IF(LEFT(Sensitivität_bzw_Monte_Carlo_bei_Strom[[#This Row],[Source.Name]],SEARCH("aus_der",Sensitivität_bzw_Monte_Carlo_bei_Strom[[#This Row],[Source.Name]],1))="Auszahlung_a","Auszahlung",""),"")</f>
        <v/>
      </c>
      <c r="D222" s="1"/>
    </row>
    <row r="223" spans="1:4" x14ac:dyDescent="0.3">
      <c r="A223" s="1"/>
      <c r="B223" s="1" t="str">
        <f>IFERROR(IF(LEFT(Sensitivität_bzw_Monte_Carlo_bei_Strom[[#This Row],[Source.Name]],SEARCH("aus_der",Sensitivität_bzw_Monte_Carlo_bei_Strom[[#This Row],[Source.Name]],1))="Auszahlung_a","Auszahlung",""),"")</f>
        <v/>
      </c>
      <c r="D223" s="1"/>
    </row>
    <row r="224" spans="1:4" x14ac:dyDescent="0.3">
      <c r="A224" s="1"/>
      <c r="B224" s="1" t="str">
        <f>IFERROR(IF(LEFT(Sensitivität_bzw_Monte_Carlo_bei_Strom[[#This Row],[Source.Name]],SEARCH("aus_der",Sensitivität_bzw_Monte_Carlo_bei_Strom[[#This Row],[Source.Name]],1))="Auszahlung_a","Auszahlung",""),"")</f>
        <v/>
      </c>
      <c r="D224" s="1"/>
    </row>
    <row r="225" spans="1:4" x14ac:dyDescent="0.3">
      <c r="A225" s="1"/>
      <c r="B225" s="1" t="str">
        <f>IFERROR(IF(LEFT(Sensitivität_bzw_Monte_Carlo_bei_Strom[[#This Row],[Source.Name]],SEARCH("aus_der",Sensitivität_bzw_Monte_Carlo_bei_Strom[[#This Row],[Source.Name]],1))="Auszahlung_a","Auszahlung",""),"")</f>
        <v/>
      </c>
      <c r="D225" s="1"/>
    </row>
    <row r="226" spans="1:4" x14ac:dyDescent="0.3">
      <c r="A226" s="1"/>
      <c r="B226" s="1" t="str">
        <f>IFERROR(IF(LEFT(Sensitivität_bzw_Monte_Carlo_bei_Strom[[#This Row],[Source.Name]],SEARCH("aus_der",Sensitivität_bzw_Monte_Carlo_bei_Strom[[#This Row],[Source.Name]],1))="Auszahlung_a","Auszahlung",""),"")</f>
        <v/>
      </c>
      <c r="D226" s="1"/>
    </row>
    <row r="227" spans="1:4" x14ac:dyDescent="0.3">
      <c r="A227" s="1"/>
      <c r="B227" s="1" t="str">
        <f>IFERROR(IF(LEFT(Sensitivität_bzw_Monte_Carlo_bei_Strom[[#This Row],[Source.Name]],SEARCH("aus_der",Sensitivität_bzw_Monte_Carlo_bei_Strom[[#This Row],[Source.Name]],1))="Auszahlung_a","Auszahlung",""),"")</f>
        <v/>
      </c>
      <c r="D227" s="1"/>
    </row>
    <row r="228" spans="1:4" x14ac:dyDescent="0.3">
      <c r="A228" s="1"/>
      <c r="B228" s="1" t="str">
        <f>IFERROR(IF(LEFT(Sensitivität_bzw_Monte_Carlo_bei_Strom[[#This Row],[Source.Name]],SEARCH("aus_der",Sensitivität_bzw_Monte_Carlo_bei_Strom[[#This Row],[Source.Name]],1))="Auszahlung_a","Auszahlung",""),"")</f>
        <v/>
      </c>
      <c r="D228" s="1"/>
    </row>
    <row r="229" spans="1:4" x14ac:dyDescent="0.3">
      <c r="A229" s="1"/>
      <c r="B229" s="1" t="str">
        <f>IFERROR(IF(LEFT(Sensitivität_bzw_Monte_Carlo_bei_Strom[[#This Row],[Source.Name]],SEARCH("aus_der",Sensitivität_bzw_Monte_Carlo_bei_Strom[[#This Row],[Source.Name]],1))="Auszahlung_a","Auszahlung",""),"")</f>
        <v/>
      </c>
      <c r="D229" s="1"/>
    </row>
    <row r="230" spans="1:4" x14ac:dyDescent="0.3">
      <c r="A230" s="1"/>
      <c r="B230" s="1" t="str">
        <f>IFERROR(IF(LEFT(Sensitivität_bzw_Monte_Carlo_bei_Strom[[#This Row],[Source.Name]],SEARCH("aus_der",Sensitivität_bzw_Monte_Carlo_bei_Strom[[#This Row],[Source.Name]],1))="Auszahlung_a","Auszahlung",""),"")</f>
        <v/>
      </c>
      <c r="D230" s="1"/>
    </row>
    <row r="231" spans="1:4" x14ac:dyDescent="0.3">
      <c r="A231" s="1"/>
      <c r="B231" s="1" t="str">
        <f>IFERROR(IF(LEFT(Sensitivität_bzw_Monte_Carlo_bei_Strom[[#This Row],[Source.Name]],SEARCH("aus_der",Sensitivität_bzw_Monte_Carlo_bei_Strom[[#This Row],[Source.Name]],1))="Auszahlung_a","Auszahlung",""),"")</f>
        <v/>
      </c>
      <c r="D231" s="1"/>
    </row>
    <row r="232" spans="1:4" x14ac:dyDescent="0.3">
      <c r="A232" s="1"/>
      <c r="B232" s="1" t="str">
        <f>IFERROR(IF(LEFT(Sensitivität_bzw_Monte_Carlo_bei_Strom[[#This Row],[Source.Name]],SEARCH("aus_der",Sensitivität_bzw_Monte_Carlo_bei_Strom[[#This Row],[Source.Name]],1))="Auszahlung_a","Auszahlung",""),"")</f>
        <v/>
      </c>
      <c r="D232" s="1"/>
    </row>
    <row r="233" spans="1:4" x14ac:dyDescent="0.3">
      <c r="A233" s="1"/>
      <c r="B233" s="1" t="str">
        <f>IFERROR(IF(LEFT(Sensitivität_bzw_Monte_Carlo_bei_Strom[[#This Row],[Source.Name]],SEARCH("aus_der",Sensitivität_bzw_Monte_Carlo_bei_Strom[[#This Row],[Source.Name]],1))="Auszahlung_a","Auszahlung",""),"")</f>
        <v/>
      </c>
      <c r="D233" s="1"/>
    </row>
    <row r="234" spans="1:4" x14ac:dyDescent="0.3">
      <c r="A234" s="1"/>
      <c r="B234" s="1" t="str">
        <f>IFERROR(IF(LEFT(Sensitivität_bzw_Monte_Carlo_bei_Strom[[#This Row],[Source.Name]],SEARCH("aus_der",Sensitivität_bzw_Monte_Carlo_bei_Strom[[#This Row],[Source.Name]],1))="Auszahlung_a","Auszahlung",""),"")</f>
        <v/>
      </c>
      <c r="D234" s="1"/>
    </row>
    <row r="235" spans="1:4" x14ac:dyDescent="0.3">
      <c r="A235" s="1"/>
      <c r="B235" s="1" t="str">
        <f>IFERROR(IF(LEFT(Sensitivität_bzw_Monte_Carlo_bei_Strom[[#This Row],[Source.Name]],SEARCH("aus_der",Sensitivität_bzw_Monte_Carlo_bei_Strom[[#This Row],[Source.Name]],1))="Auszahlung_a","Auszahlung",""),"")</f>
        <v/>
      </c>
      <c r="D235" s="1"/>
    </row>
    <row r="236" spans="1:4" x14ac:dyDescent="0.3">
      <c r="A236" s="1"/>
      <c r="B236" s="1" t="str">
        <f>IFERROR(IF(LEFT(Sensitivität_bzw_Monte_Carlo_bei_Strom[[#This Row],[Source.Name]],SEARCH("aus_der",Sensitivität_bzw_Monte_Carlo_bei_Strom[[#This Row],[Source.Name]],1))="Auszahlung_a","Auszahlung",""),"")</f>
        <v/>
      </c>
      <c r="D236" s="1"/>
    </row>
    <row r="237" spans="1:4" x14ac:dyDescent="0.3">
      <c r="A237" s="1"/>
      <c r="B237" s="1" t="str">
        <f>IFERROR(IF(LEFT(Sensitivität_bzw_Monte_Carlo_bei_Strom[[#This Row],[Source.Name]],SEARCH("aus_der",Sensitivität_bzw_Monte_Carlo_bei_Strom[[#This Row],[Source.Name]],1))="Auszahlung_a","Auszahlung",""),"")</f>
        <v/>
      </c>
      <c r="D237" s="1"/>
    </row>
    <row r="238" spans="1:4" x14ac:dyDescent="0.3">
      <c r="A238" s="1"/>
      <c r="B238" s="1" t="str">
        <f>IFERROR(IF(LEFT(Sensitivität_bzw_Monte_Carlo_bei_Strom[[#This Row],[Source.Name]],SEARCH("aus_der",Sensitivität_bzw_Monte_Carlo_bei_Strom[[#This Row],[Source.Name]],1))="Auszahlung_a","Auszahlung",""),"")</f>
        <v/>
      </c>
      <c r="D238" s="1"/>
    </row>
    <row r="239" spans="1:4" x14ac:dyDescent="0.3">
      <c r="A239" s="1"/>
      <c r="B239" s="1" t="str">
        <f>IFERROR(IF(LEFT(Sensitivität_bzw_Monte_Carlo_bei_Strom[[#This Row],[Source.Name]],SEARCH("aus_der",Sensitivität_bzw_Monte_Carlo_bei_Strom[[#This Row],[Source.Name]],1))="Auszahlung_a","Auszahlung",""),"")</f>
        <v/>
      </c>
      <c r="D239" s="1"/>
    </row>
    <row r="240" spans="1:4" x14ac:dyDescent="0.3">
      <c r="A240" s="1"/>
      <c r="B240" s="1" t="str">
        <f>IFERROR(IF(LEFT(Sensitivität_bzw_Monte_Carlo_bei_Strom[[#This Row],[Source.Name]],SEARCH("aus_der",Sensitivität_bzw_Monte_Carlo_bei_Strom[[#This Row],[Source.Name]],1))="Auszahlung_a","Auszahlung",""),"")</f>
        <v/>
      </c>
      <c r="D240" s="1"/>
    </row>
    <row r="241" spans="1:4" x14ac:dyDescent="0.3">
      <c r="A241" s="1"/>
      <c r="B241" s="1" t="str">
        <f>IFERROR(IF(LEFT(Sensitivität_bzw_Monte_Carlo_bei_Strom[[#This Row],[Source.Name]],SEARCH("aus_der",Sensitivität_bzw_Monte_Carlo_bei_Strom[[#This Row],[Source.Name]],1))="Auszahlung_a","Auszahlung",""),"")</f>
        <v/>
      </c>
      <c r="D241" s="1"/>
    </row>
    <row r="242" spans="1:4" x14ac:dyDescent="0.3">
      <c r="A242" s="1"/>
      <c r="B242" s="1" t="str">
        <f>IFERROR(IF(LEFT(Sensitivität_bzw_Monte_Carlo_bei_Strom[[#This Row],[Source.Name]],SEARCH("aus_der",Sensitivität_bzw_Monte_Carlo_bei_Strom[[#This Row],[Source.Name]],1))="Auszahlung_a","Auszahlung",""),"")</f>
        <v/>
      </c>
      <c r="D242" s="1"/>
    </row>
    <row r="243" spans="1:4" x14ac:dyDescent="0.3">
      <c r="A243" s="1"/>
      <c r="B243" s="1" t="str">
        <f>IFERROR(IF(LEFT(Sensitivität_bzw_Monte_Carlo_bei_Strom[[#This Row],[Source.Name]],SEARCH("aus_der",Sensitivität_bzw_Monte_Carlo_bei_Strom[[#This Row],[Source.Name]],1))="Auszahlung_a","Auszahlung",""),"")</f>
        <v/>
      </c>
      <c r="D243" s="1"/>
    </row>
    <row r="244" spans="1:4" x14ac:dyDescent="0.3">
      <c r="A244" s="1"/>
      <c r="B244" s="1" t="str">
        <f>IFERROR(IF(LEFT(Sensitivität_bzw_Monte_Carlo_bei_Strom[[#This Row],[Source.Name]],SEARCH("aus_der",Sensitivität_bzw_Monte_Carlo_bei_Strom[[#This Row],[Source.Name]],1))="Auszahlung_a","Auszahlung",""),"")</f>
        <v/>
      </c>
      <c r="D244" s="1"/>
    </row>
    <row r="245" spans="1:4" x14ac:dyDescent="0.3">
      <c r="A245" s="1"/>
      <c r="B245" s="1" t="str">
        <f>IFERROR(IF(LEFT(Sensitivität_bzw_Monte_Carlo_bei_Strom[[#This Row],[Source.Name]],SEARCH("aus_der",Sensitivität_bzw_Monte_Carlo_bei_Strom[[#This Row],[Source.Name]],1))="Auszahlung_a","Auszahlung",""),"")</f>
        <v/>
      </c>
      <c r="D245" s="1"/>
    </row>
    <row r="246" spans="1:4" x14ac:dyDescent="0.3">
      <c r="A246" s="1"/>
      <c r="B246" s="1" t="str">
        <f>IFERROR(IF(LEFT(Sensitivität_bzw_Monte_Carlo_bei_Strom[[#This Row],[Source.Name]],SEARCH("aus_der",Sensitivität_bzw_Monte_Carlo_bei_Strom[[#This Row],[Source.Name]],1))="Auszahlung_a","Auszahlung",""),"")</f>
        <v/>
      </c>
      <c r="D246" s="1"/>
    </row>
    <row r="247" spans="1:4" x14ac:dyDescent="0.3">
      <c r="A247" s="1"/>
      <c r="B247" s="1" t="str">
        <f>IFERROR(IF(LEFT(Sensitivität_bzw_Monte_Carlo_bei_Strom[[#This Row],[Source.Name]],SEARCH("aus_der",Sensitivität_bzw_Monte_Carlo_bei_Strom[[#This Row],[Source.Name]],1))="Auszahlung_a","Auszahlung",""),"")</f>
        <v/>
      </c>
      <c r="D247" s="1"/>
    </row>
    <row r="248" spans="1:4" x14ac:dyDescent="0.3">
      <c r="A248" s="1"/>
      <c r="B248" s="1" t="str">
        <f>IFERROR(IF(LEFT(Sensitivität_bzw_Monte_Carlo_bei_Strom[[#This Row],[Source.Name]],SEARCH("aus_der",Sensitivität_bzw_Monte_Carlo_bei_Strom[[#This Row],[Source.Name]],1))="Auszahlung_a","Auszahlung",""),"")</f>
        <v/>
      </c>
      <c r="D248" s="1"/>
    </row>
    <row r="249" spans="1:4" x14ac:dyDescent="0.3">
      <c r="A249" s="1"/>
      <c r="B249" s="1" t="str">
        <f>IFERROR(IF(LEFT(Sensitivität_bzw_Monte_Carlo_bei_Strom[[#This Row],[Source.Name]],SEARCH("aus_der",Sensitivität_bzw_Monte_Carlo_bei_Strom[[#This Row],[Source.Name]],1))="Auszahlung_a","Auszahlung",""),"")</f>
        <v/>
      </c>
      <c r="D249" s="1"/>
    </row>
    <row r="250" spans="1:4" x14ac:dyDescent="0.3">
      <c r="A250" s="1"/>
      <c r="B250" s="1" t="str">
        <f>IFERROR(IF(LEFT(Sensitivität_bzw_Monte_Carlo_bei_Strom[[#This Row],[Source.Name]],SEARCH("aus_der",Sensitivität_bzw_Monte_Carlo_bei_Strom[[#This Row],[Source.Name]],1))="Auszahlung_a","Auszahlung",""),"")</f>
        <v/>
      </c>
      <c r="D250" s="1"/>
    </row>
    <row r="251" spans="1:4" x14ac:dyDescent="0.3">
      <c r="A251" s="1"/>
      <c r="B251" s="1" t="str">
        <f>IFERROR(IF(LEFT(Sensitivität_bzw_Monte_Carlo_bei_Strom[[#This Row],[Source.Name]],SEARCH("aus_der",Sensitivität_bzw_Monte_Carlo_bei_Strom[[#This Row],[Source.Name]],1))="Auszahlung_a","Auszahlung",""),"")</f>
        <v/>
      </c>
      <c r="D251" s="1"/>
    </row>
    <row r="252" spans="1:4" x14ac:dyDescent="0.3">
      <c r="A252" s="1"/>
      <c r="B252" s="1" t="str">
        <f>IFERROR(IF(LEFT(Sensitivität_bzw_Monte_Carlo_bei_Strom[[#This Row],[Source.Name]],SEARCH("aus_der",Sensitivität_bzw_Monte_Carlo_bei_Strom[[#This Row],[Source.Name]],1))="Auszahlung_a","Auszahlung",""),"")</f>
        <v/>
      </c>
      <c r="D252" s="1"/>
    </row>
    <row r="253" spans="1:4" x14ac:dyDescent="0.3">
      <c r="A253" s="1"/>
      <c r="B253" s="1" t="str">
        <f>IFERROR(IF(LEFT(Sensitivität_bzw_Monte_Carlo_bei_Strom[[#This Row],[Source.Name]],SEARCH("aus_der",Sensitivität_bzw_Monte_Carlo_bei_Strom[[#This Row],[Source.Name]],1))="Auszahlung_a","Auszahlung",""),"")</f>
        <v/>
      </c>
      <c r="D253" s="1"/>
    </row>
    <row r="254" spans="1:4" x14ac:dyDescent="0.3">
      <c r="A254" s="1"/>
      <c r="B254" s="1" t="str">
        <f>IFERROR(IF(LEFT(Sensitivität_bzw_Monte_Carlo_bei_Strom[[#This Row],[Source.Name]],SEARCH("aus_der",Sensitivität_bzw_Monte_Carlo_bei_Strom[[#This Row],[Source.Name]],1))="Auszahlung_a","Auszahlung",""),"")</f>
        <v/>
      </c>
      <c r="D254" s="1"/>
    </row>
    <row r="255" spans="1:4" x14ac:dyDescent="0.3">
      <c r="A255" s="1"/>
      <c r="B255" s="1" t="str">
        <f>IFERROR(IF(LEFT(Sensitivität_bzw_Monte_Carlo_bei_Strom[[#This Row],[Source.Name]],SEARCH("aus_der",Sensitivität_bzw_Monte_Carlo_bei_Strom[[#This Row],[Source.Name]],1))="Auszahlung_a","Auszahlung",""),"")</f>
        <v/>
      </c>
      <c r="D255" s="1"/>
    </row>
    <row r="256" spans="1:4" x14ac:dyDescent="0.3">
      <c r="A256" s="1"/>
      <c r="B256" s="1" t="str">
        <f>IFERROR(IF(LEFT(Sensitivität_bzw_Monte_Carlo_bei_Strom[[#This Row],[Source.Name]],SEARCH("aus_der",Sensitivität_bzw_Monte_Carlo_bei_Strom[[#This Row],[Source.Name]],1))="Auszahlung_a","Auszahlung",""),"")</f>
        <v/>
      </c>
      <c r="D256" s="1"/>
    </row>
    <row r="257" spans="1:4" x14ac:dyDescent="0.3">
      <c r="A257" s="1"/>
      <c r="B257" s="1" t="str">
        <f>IFERROR(IF(LEFT(Sensitivität_bzw_Monte_Carlo_bei_Strom[[#This Row],[Source.Name]],SEARCH("aus_der",Sensitivität_bzw_Monte_Carlo_bei_Strom[[#This Row],[Source.Name]],1))="Auszahlung_a","Auszahlung",""),"")</f>
        <v/>
      </c>
      <c r="D257" s="1"/>
    </row>
    <row r="258" spans="1:4" x14ac:dyDescent="0.3">
      <c r="A258" s="1"/>
      <c r="B258" s="1" t="str">
        <f>IFERROR(IF(LEFT(Sensitivität_bzw_Monte_Carlo_bei_Strom[[#This Row],[Source.Name]],SEARCH("aus_der",Sensitivität_bzw_Monte_Carlo_bei_Strom[[#This Row],[Source.Name]],1))="Auszahlung_a","Auszahlung",""),"")</f>
        <v/>
      </c>
      <c r="D258" s="1"/>
    </row>
    <row r="259" spans="1:4" x14ac:dyDescent="0.3">
      <c r="A259" s="1"/>
      <c r="B259" s="1" t="str">
        <f>IFERROR(IF(LEFT(Sensitivität_bzw_Monte_Carlo_bei_Strom[[#This Row],[Source.Name]],SEARCH("aus_der",Sensitivität_bzw_Monte_Carlo_bei_Strom[[#This Row],[Source.Name]],1))="Auszahlung_a","Auszahlung",""),"")</f>
        <v/>
      </c>
      <c r="D259" s="1"/>
    </row>
    <row r="260" spans="1:4" x14ac:dyDescent="0.3">
      <c r="A260" s="1"/>
      <c r="B260" s="1" t="str">
        <f>IFERROR(IF(LEFT(Sensitivität_bzw_Monte_Carlo_bei_Strom[[#This Row],[Source.Name]],SEARCH("aus_der",Sensitivität_bzw_Monte_Carlo_bei_Strom[[#This Row],[Source.Name]],1))="Auszahlung_a","Auszahlung",""),"")</f>
        <v/>
      </c>
      <c r="D260" s="1"/>
    </row>
    <row r="261" spans="1:4" x14ac:dyDescent="0.3">
      <c r="A261" s="1"/>
      <c r="B261" s="1" t="str">
        <f>IFERROR(IF(LEFT(Sensitivität_bzw_Monte_Carlo_bei_Strom[[#This Row],[Source.Name]],SEARCH("aus_der",Sensitivität_bzw_Monte_Carlo_bei_Strom[[#This Row],[Source.Name]],1))="Auszahlung_a","Auszahlung",""),"")</f>
        <v/>
      </c>
      <c r="D261" s="1"/>
    </row>
    <row r="262" spans="1:4" x14ac:dyDescent="0.3">
      <c r="A262" s="1"/>
      <c r="B262" s="1" t="str">
        <f>IFERROR(IF(LEFT(Sensitivität_bzw_Monte_Carlo_bei_Strom[[#This Row],[Source.Name]],SEARCH("aus_der",Sensitivität_bzw_Monte_Carlo_bei_Strom[[#This Row],[Source.Name]],1))="Auszahlung_a","Auszahlung",""),"")</f>
        <v/>
      </c>
      <c r="D262" s="1"/>
    </row>
    <row r="263" spans="1:4" x14ac:dyDescent="0.3">
      <c r="A263" s="1"/>
      <c r="B263" s="1" t="str">
        <f>IFERROR(IF(LEFT(Sensitivität_bzw_Monte_Carlo_bei_Strom[[#This Row],[Source.Name]],SEARCH("aus_der",Sensitivität_bzw_Monte_Carlo_bei_Strom[[#This Row],[Source.Name]],1))="Auszahlung_a","Auszahlung",""),"")</f>
        <v/>
      </c>
      <c r="D263" s="1"/>
    </row>
    <row r="264" spans="1:4" x14ac:dyDescent="0.3">
      <c r="A264" s="1"/>
      <c r="B264" s="1" t="str">
        <f>IFERROR(IF(LEFT(Sensitivität_bzw_Monte_Carlo_bei_Strom[[#This Row],[Source.Name]],SEARCH("aus_der",Sensitivität_bzw_Monte_Carlo_bei_Strom[[#This Row],[Source.Name]],1))="Auszahlung_a","Auszahlung",""),"")</f>
        <v/>
      </c>
      <c r="D264" s="1"/>
    </row>
    <row r="265" spans="1:4" x14ac:dyDescent="0.3">
      <c r="A265" s="1"/>
      <c r="B265" s="1" t="str">
        <f>IFERROR(IF(LEFT(Sensitivität_bzw_Monte_Carlo_bei_Strom[[#This Row],[Source.Name]],SEARCH("aus_der",Sensitivität_bzw_Monte_Carlo_bei_Strom[[#This Row],[Source.Name]],1))="Auszahlung_a","Auszahlung",""),"")</f>
        <v/>
      </c>
      <c r="D265" s="1"/>
    </row>
    <row r="266" spans="1:4" x14ac:dyDescent="0.3">
      <c r="A266" s="1"/>
      <c r="B266" s="1" t="str">
        <f>IFERROR(IF(LEFT(Sensitivität_bzw_Monte_Carlo_bei_Strom[[#This Row],[Source.Name]],SEARCH("aus_der",Sensitivität_bzw_Monte_Carlo_bei_Strom[[#This Row],[Source.Name]],1))="Auszahlung_a","Auszahlung",""),"")</f>
        <v/>
      </c>
      <c r="D266" s="1"/>
    </row>
    <row r="267" spans="1:4" x14ac:dyDescent="0.3">
      <c r="A267" s="1"/>
      <c r="B267" s="1" t="str">
        <f>IFERROR(IF(LEFT(Sensitivität_bzw_Monte_Carlo_bei_Strom[[#This Row],[Source.Name]],SEARCH("aus_der",Sensitivität_bzw_Monte_Carlo_bei_Strom[[#This Row],[Source.Name]],1))="Auszahlung_a","Auszahlung",""),"")</f>
        <v/>
      </c>
      <c r="D267" s="1"/>
    </row>
    <row r="268" spans="1:4" x14ac:dyDescent="0.3">
      <c r="A268" s="1"/>
      <c r="B268" s="1" t="str">
        <f>IFERROR(IF(LEFT(Sensitivität_bzw_Monte_Carlo_bei_Strom[[#This Row],[Source.Name]],SEARCH("aus_der",Sensitivität_bzw_Monte_Carlo_bei_Strom[[#This Row],[Source.Name]],1))="Auszahlung_a","Auszahlung",""),"")</f>
        <v/>
      </c>
      <c r="D268" s="1"/>
    </row>
    <row r="269" spans="1:4" x14ac:dyDescent="0.3">
      <c r="A269" s="1"/>
      <c r="B269" s="1" t="str">
        <f>IFERROR(IF(LEFT(Sensitivität_bzw_Monte_Carlo_bei_Strom[[#This Row],[Source.Name]],SEARCH("aus_der",Sensitivität_bzw_Monte_Carlo_bei_Strom[[#This Row],[Source.Name]],1))="Auszahlung_a","Auszahlung",""),"")</f>
        <v/>
      </c>
      <c r="D269" s="1"/>
    </row>
    <row r="270" spans="1:4" x14ac:dyDescent="0.3">
      <c r="A270" s="1"/>
      <c r="B270" s="1" t="str">
        <f>IFERROR(IF(LEFT(Sensitivität_bzw_Monte_Carlo_bei_Strom[[#This Row],[Source.Name]],SEARCH("aus_der",Sensitivität_bzw_Monte_Carlo_bei_Strom[[#This Row],[Source.Name]],1))="Auszahlung_a","Auszahlung",""),"")</f>
        <v/>
      </c>
      <c r="D270" s="1"/>
    </row>
    <row r="271" spans="1:4" x14ac:dyDescent="0.3">
      <c r="A271" s="1"/>
      <c r="B271" s="1" t="str">
        <f>IFERROR(IF(LEFT(Sensitivität_bzw_Monte_Carlo_bei_Strom[[#This Row],[Source.Name]],SEARCH("aus_der",Sensitivität_bzw_Monte_Carlo_bei_Strom[[#This Row],[Source.Name]],1))="Auszahlung_a","Auszahlung",""),"")</f>
        <v/>
      </c>
      <c r="D271" s="1"/>
    </row>
    <row r="272" spans="1:4" x14ac:dyDescent="0.3">
      <c r="A272" s="1"/>
      <c r="B272" s="1" t="str">
        <f>IFERROR(IF(LEFT(Sensitivität_bzw_Monte_Carlo_bei_Strom[[#This Row],[Source.Name]],SEARCH("aus_der",Sensitivität_bzw_Monte_Carlo_bei_Strom[[#This Row],[Source.Name]],1))="Auszahlung_a","Auszahlung",""),"")</f>
        <v/>
      </c>
      <c r="D272" s="1"/>
    </row>
    <row r="273" spans="1:4" x14ac:dyDescent="0.3">
      <c r="A273" s="1"/>
      <c r="B273" s="1" t="str">
        <f>IFERROR(IF(LEFT(Sensitivität_bzw_Monte_Carlo_bei_Strom[[#This Row],[Source.Name]],SEARCH("aus_der",Sensitivität_bzw_Monte_Carlo_bei_Strom[[#This Row],[Source.Name]],1))="Auszahlung_a","Auszahlung",""),"")</f>
        <v/>
      </c>
      <c r="D273" s="1"/>
    </row>
    <row r="274" spans="1:4" x14ac:dyDescent="0.3">
      <c r="A274" s="1"/>
      <c r="B274" s="1" t="str">
        <f>IFERROR(IF(LEFT(Sensitivität_bzw_Monte_Carlo_bei_Strom[[#This Row],[Source.Name]],SEARCH("aus_der",Sensitivität_bzw_Monte_Carlo_bei_Strom[[#This Row],[Source.Name]],1))="Auszahlung_a","Auszahlung",""),"")</f>
        <v/>
      </c>
      <c r="D274" s="1"/>
    </row>
    <row r="275" spans="1:4" x14ac:dyDescent="0.3">
      <c r="A275" s="1"/>
      <c r="B275" s="1" t="str">
        <f>IFERROR(IF(LEFT(Sensitivität_bzw_Monte_Carlo_bei_Strom[[#This Row],[Source.Name]],SEARCH("aus_der",Sensitivität_bzw_Monte_Carlo_bei_Strom[[#This Row],[Source.Name]],1))="Auszahlung_a","Auszahlung",""),"")</f>
        <v/>
      </c>
      <c r="D275" s="1"/>
    </row>
    <row r="276" spans="1:4" x14ac:dyDescent="0.3">
      <c r="A276" s="1"/>
      <c r="B276" s="1" t="str">
        <f>IFERROR(IF(LEFT(Sensitivität_bzw_Monte_Carlo_bei_Strom[[#This Row],[Source.Name]],SEARCH("aus_der",Sensitivität_bzw_Monte_Carlo_bei_Strom[[#This Row],[Source.Name]],1))="Auszahlung_a","Auszahlung",""),"")</f>
        <v/>
      </c>
      <c r="D276" s="1"/>
    </row>
    <row r="277" spans="1:4" x14ac:dyDescent="0.3">
      <c r="A277" s="1"/>
      <c r="B277" s="1" t="str">
        <f>IFERROR(IF(LEFT(Sensitivität_bzw_Monte_Carlo_bei_Strom[[#This Row],[Source.Name]],SEARCH("aus_der",Sensitivität_bzw_Monte_Carlo_bei_Strom[[#This Row],[Source.Name]],1))="Auszahlung_a","Auszahlung",""),"")</f>
        <v/>
      </c>
      <c r="D277" s="1"/>
    </row>
    <row r="278" spans="1:4" x14ac:dyDescent="0.3">
      <c r="A278" s="1"/>
      <c r="B278" s="1" t="str">
        <f>IFERROR(IF(LEFT(Sensitivität_bzw_Monte_Carlo_bei_Strom[[#This Row],[Source.Name]],SEARCH("aus_der",Sensitivität_bzw_Monte_Carlo_bei_Strom[[#This Row],[Source.Name]],1))="Auszahlung_a","Auszahlung",""),"")</f>
        <v/>
      </c>
      <c r="D278" s="1"/>
    </row>
    <row r="279" spans="1:4" x14ac:dyDescent="0.3">
      <c r="A279" s="1"/>
      <c r="B279" s="1" t="str">
        <f>IFERROR(IF(LEFT(Sensitivität_bzw_Monte_Carlo_bei_Strom[[#This Row],[Source.Name]],SEARCH("aus_der",Sensitivität_bzw_Monte_Carlo_bei_Strom[[#This Row],[Source.Name]],1))="Auszahlung_a","Auszahlung",""),"")</f>
        <v/>
      </c>
      <c r="D279" s="1"/>
    </row>
    <row r="280" spans="1:4" x14ac:dyDescent="0.3">
      <c r="A280" s="1"/>
      <c r="B280" s="1" t="str">
        <f>IFERROR(IF(LEFT(Sensitivität_bzw_Monte_Carlo_bei_Strom[[#This Row],[Source.Name]],SEARCH("aus_der",Sensitivität_bzw_Monte_Carlo_bei_Strom[[#This Row],[Source.Name]],1))="Auszahlung_a","Auszahlung",""),"")</f>
        <v/>
      </c>
      <c r="D280" s="1"/>
    </row>
    <row r="281" spans="1:4" x14ac:dyDescent="0.3">
      <c r="A281" s="1"/>
      <c r="B281" s="1" t="str">
        <f>IFERROR(IF(LEFT(Sensitivität_bzw_Monte_Carlo_bei_Strom[[#This Row],[Source.Name]],SEARCH("aus_der",Sensitivität_bzw_Monte_Carlo_bei_Strom[[#This Row],[Source.Name]],1))="Auszahlung_a","Auszahlung",""),"")</f>
        <v/>
      </c>
      <c r="D281" s="1"/>
    </row>
    <row r="282" spans="1:4" x14ac:dyDescent="0.3">
      <c r="A282" s="1"/>
      <c r="B282" s="1" t="str">
        <f>IFERROR(IF(LEFT(Sensitivität_bzw_Monte_Carlo_bei_Strom[[#This Row],[Source.Name]],SEARCH("aus_der",Sensitivität_bzw_Monte_Carlo_bei_Strom[[#This Row],[Source.Name]],1))="Auszahlung_a","Auszahlung",""),"")</f>
        <v/>
      </c>
      <c r="D282" s="1"/>
    </row>
    <row r="283" spans="1:4" x14ac:dyDescent="0.3">
      <c r="A283" s="1"/>
      <c r="B283" s="1" t="str">
        <f>IFERROR(IF(LEFT(Sensitivität_bzw_Monte_Carlo_bei_Strom[[#This Row],[Source.Name]],SEARCH("aus_der",Sensitivität_bzw_Monte_Carlo_bei_Strom[[#This Row],[Source.Name]],1))="Auszahlung_a","Auszahlung",""),"")</f>
        <v/>
      </c>
      <c r="D283" s="1"/>
    </row>
    <row r="284" spans="1:4" x14ac:dyDescent="0.3">
      <c r="A284" s="1"/>
      <c r="B284" s="1" t="str">
        <f>IFERROR(IF(LEFT(Sensitivität_bzw_Monte_Carlo_bei_Strom[[#This Row],[Source.Name]],SEARCH("aus_der",Sensitivität_bzw_Monte_Carlo_bei_Strom[[#This Row],[Source.Name]],1))="Auszahlung_a","Auszahlung",""),"")</f>
        <v/>
      </c>
      <c r="D284" s="1"/>
    </row>
    <row r="285" spans="1:4" x14ac:dyDescent="0.3">
      <c r="A285" s="1"/>
      <c r="B285" s="1" t="str">
        <f>IFERROR(IF(LEFT(Sensitivität_bzw_Monte_Carlo_bei_Strom[[#This Row],[Source.Name]],SEARCH("aus_der",Sensitivität_bzw_Monte_Carlo_bei_Strom[[#This Row],[Source.Name]],1))="Auszahlung_a","Auszahlung",""),"")</f>
        <v/>
      </c>
      <c r="D285" s="1"/>
    </row>
    <row r="286" spans="1:4" x14ac:dyDescent="0.3">
      <c r="A286" s="1"/>
      <c r="B286" s="1" t="str">
        <f>IFERROR(IF(LEFT(Sensitivität_bzw_Monte_Carlo_bei_Strom[[#This Row],[Source.Name]],SEARCH("aus_der",Sensitivität_bzw_Monte_Carlo_bei_Strom[[#This Row],[Source.Name]],1))="Auszahlung_a","Auszahlung",""),"")</f>
        <v/>
      </c>
      <c r="D286" s="1"/>
    </row>
    <row r="287" spans="1:4" x14ac:dyDescent="0.3">
      <c r="A287" s="1"/>
      <c r="B287" s="1" t="str">
        <f>IFERROR(IF(LEFT(Sensitivität_bzw_Monte_Carlo_bei_Strom[[#This Row],[Source.Name]],SEARCH("aus_der",Sensitivität_bzw_Monte_Carlo_bei_Strom[[#This Row],[Source.Name]],1))="Auszahlung_a","Auszahlung",""),"")</f>
        <v/>
      </c>
      <c r="D287" s="1"/>
    </row>
    <row r="288" spans="1:4" x14ac:dyDescent="0.3">
      <c r="A288" s="1"/>
      <c r="B288" s="1" t="str">
        <f>IFERROR(IF(LEFT(Sensitivität_bzw_Monte_Carlo_bei_Strom[[#This Row],[Source.Name]],SEARCH("aus_der",Sensitivität_bzw_Monte_Carlo_bei_Strom[[#This Row],[Source.Name]],1))="Auszahlung_a","Auszahlung",""),"")</f>
        <v/>
      </c>
      <c r="D288" s="1"/>
    </row>
    <row r="289" spans="1:4" x14ac:dyDescent="0.3">
      <c r="A289" s="1"/>
      <c r="B289" s="1" t="str">
        <f>IFERROR(IF(LEFT(Sensitivität_bzw_Monte_Carlo_bei_Strom[[#This Row],[Source.Name]],SEARCH("aus_der",Sensitivität_bzw_Monte_Carlo_bei_Strom[[#This Row],[Source.Name]],1))="Auszahlung_a","Auszahlung",""),"")</f>
        <v/>
      </c>
      <c r="D289" s="1"/>
    </row>
    <row r="290" spans="1:4" x14ac:dyDescent="0.3">
      <c r="A290" s="1"/>
      <c r="B290" s="1" t="str">
        <f>IFERROR(IF(LEFT(Sensitivität_bzw_Monte_Carlo_bei_Strom[[#This Row],[Source.Name]],SEARCH("aus_der",Sensitivität_bzw_Monte_Carlo_bei_Strom[[#This Row],[Source.Name]],1))="Auszahlung_a","Auszahlung",""),"")</f>
        <v/>
      </c>
      <c r="D290" s="1"/>
    </row>
    <row r="291" spans="1:4" x14ac:dyDescent="0.3">
      <c r="A291" s="1"/>
      <c r="B291" s="1" t="str">
        <f>IFERROR(IF(LEFT(Sensitivität_bzw_Monte_Carlo_bei_Strom[[#This Row],[Source.Name]],SEARCH("aus_der",Sensitivität_bzw_Monte_Carlo_bei_Strom[[#This Row],[Source.Name]],1))="Auszahlung_a","Auszahlung",""),"")</f>
        <v/>
      </c>
      <c r="D291" s="1"/>
    </row>
    <row r="292" spans="1:4" x14ac:dyDescent="0.3">
      <c r="A292" s="1"/>
      <c r="B292" s="1" t="str">
        <f>IFERROR(IF(LEFT(Sensitivität_bzw_Monte_Carlo_bei_Strom[[#This Row],[Source.Name]],SEARCH("aus_der",Sensitivität_bzw_Monte_Carlo_bei_Strom[[#This Row],[Source.Name]],1))="Auszahlung_a","Auszahlung",""),"")</f>
        <v/>
      </c>
      <c r="D292" s="1"/>
    </row>
    <row r="293" spans="1:4" x14ac:dyDescent="0.3">
      <c r="A293" s="1"/>
      <c r="B293" s="1" t="str">
        <f>IFERROR(IF(LEFT(Sensitivität_bzw_Monte_Carlo_bei_Strom[[#This Row],[Source.Name]],SEARCH("aus_der",Sensitivität_bzw_Monte_Carlo_bei_Strom[[#This Row],[Source.Name]],1))="Auszahlung_a","Auszahlung",""),"")</f>
        <v/>
      </c>
      <c r="D293" s="1"/>
    </row>
    <row r="294" spans="1:4" x14ac:dyDescent="0.3">
      <c r="A294" s="1"/>
      <c r="B294" s="1" t="str">
        <f>IFERROR(IF(LEFT(Sensitivität_bzw_Monte_Carlo_bei_Strom[[#This Row],[Source.Name]],SEARCH("aus_der",Sensitivität_bzw_Monte_Carlo_bei_Strom[[#This Row],[Source.Name]],1))="Auszahlung_a","Auszahlung",""),"")</f>
        <v/>
      </c>
      <c r="D294" s="1"/>
    </row>
    <row r="295" spans="1:4" x14ac:dyDescent="0.3">
      <c r="A295" s="1"/>
      <c r="B295" s="1" t="str">
        <f>IFERROR(IF(LEFT(Sensitivität_bzw_Monte_Carlo_bei_Strom[[#This Row],[Source.Name]],SEARCH("aus_der",Sensitivität_bzw_Monte_Carlo_bei_Strom[[#This Row],[Source.Name]],1))="Auszahlung_a","Auszahlung",""),"")</f>
        <v/>
      </c>
      <c r="D295" s="1"/>
    </row>
    <row r="296" spans="1:4" x14ac:dyDescent="0.3">
      <c r="A296" s="1"/>
      <c r="B296" s="1" t="str">
        <f>IFERROR(IF(LEFT(Sensitivität_bzw_Monte_Carlo_bei_Strom[[#This Row],[Source.Name]],SEARCH("aus_der",Sensitivität_bzw_Monte_Carlo_bei_Strom[[#This Row],[Source.Name]],1))="Auszahlung_a","Auszahlung",""),"")</f>
        <v/>
      </c>
      <c r="D296" s="1"/>
    </row>
    <row r="297" spans="1:4" x14ac:dyDescent="0.3">
      <c r="A297" s="1"/>
      <c r="B297" s="1" t="str">
        <f>IFERROR(IF(LEFT(Sensitivität_bzw_Monte_Carlo_bei_Strom[[#This Row],[Source.Name]],SEARCH("aus_der",Sensitivität_bzw_Monte_Carlo_bei_Strom[[#This Row],[Source.Name]],1))="Auszahlung_a","Auszahlung",""),"")</f>
        <v/>
      </c>
      <c r="D297" s="1"/>
    </row>
    <row r="298" spans="1:4" x14ac:dyDescent="0.3">
      <c r="A298" s="1"/>
      <c r="B298" s="1" t="str">
        <f>IFERROR(IF(LEFT(Sensitivität_bzw_Monte_Carlo_bei_Strom[[#This Row],[Source.Name]],SEARCH("aus_der",Sensitivität_bzw_Monte_Carlo_bei_Strom[[#This Row],[Source.Name]],1))="Auszahlung_a","Auszahlung",""),"")</f>
        <v/>
      </c>
      <c r="D298" s="1"/>
    </row>
    <row r="299" spans="1:4" x14ac:dyDescent="0.3">
      <c r="A299" s="1"/>
      <c r="B299" s="1" t="str">
        <f>IFERROR(IF(LEFT(Sensitivität_bzw_Monte_Carlo_bei_Strom[[#This Row],[Source.Name]],SEARCH("aus_der",Sensitivität_bzw_Monte_Carlo_bei_Strom[[#This Row],[Source.Name]],1))="Auszahlung_a","Auszahlung",""),"")</f>
        <v/>
      </c>
      <c r="D299" s="1"/>
    </row>
    <row r="300" spans="1:4" x14ac:dyDescent="0.3">
      <c r="A300" s="1"/>
      <c r="B300" s="1" t="str">
        <f>IFERROR(IF(LEFT(Sensitivität_bzw_Monte_Carlo_bei_Strom[[#This Row],[Source.Name]],SEARCH("aus_der",Sensitivität_bzw_Monte_Carlo_bei_Strom[[#This Row],[Source.Name]],1))="Auszahlung_a","Auszahlung",""),"")</f>
        <v/>
      </c>
      <c r="D300" s="1"/>
    </row>
    <row r="301" spans="1:4" x14ac:dyDescent="0.3">
      <c r="A301" s="1"/>
      <c r="B301" s="1" t="str">
        <f>IFERROR(IF(LEFT(Sensitivität_bzw_Monte_Carlo_bei_Strom[[#This Row],[Source.Name]],SEARCH("aus_der",Sensitivität_bzw_Monte_Carlo_bei_Strom[[#This Row],[Source.Name]],1))="Auszahlung_a","Auszahlung",""),"")</f>
        <v/>
      </c>
      <c r="D301" s="1"/>
    </row>
    <row r="302" spans="1:4" x14ac:dyDescent="0.3">
      <c r="A302" s="1"/>
      <c r="B302" s="1" t="str">
        <f>IFERROR(IF(LEFT(Sensitivität_bzw_Monte_Carlo_bei_Strom[[#This Row],[Source.Name]],SEARCH("aus_der",Sensitivität_bzw_Monte_Carlo_bei_Strom[[#This Row],[Source.Name]],1))="Auszahlung_a","Auszahlung",""),"")</f>
        <v/>
      </c>
      <c r="D302" s="1"/>
    </row>
    <row r="303" spans="1:4" x14ac:dyDescent="0.3">
      <c r="A303" s="1"/>
      <c r="B303" s="1" t="str">
        <f>IFERROR(IF(LEFT(Sensitivität_bzw_Monte_Carlo_bei_Strom[[#This Row],[Source.Name]],SEARCH("aus_der",Sensitivität_bzw_Monte_Carlo_bei_Strom[[#This Row],[Source.Name]],1))="Auszahlung_a","Auszahlung",""),"")</f>
        <v/>
      </c>
      <c r="D303" s="1"/>
    </row>
    <row r="304" spans="1:4" x14ac:dyDescent="0.3">
      <c r="A304" s="1"/>
      <c r="B304" s="1" t="str">
        <f>IFERROR(IF(LEFT(Sensitivität_bzw_Monte_Carlo_bei_Strom[[#This Row],[Source.Name]],SEARCH("aus_der",Sensitivität_bzw_Monte_Carlo_bei_Strom[[#This Row],[Source.Name]],1))="Auszahlung_a","Auszahlung",""),"")</f>
        <v/>
      </c>
      <c r="D304" s="1"/>
    </row>
    <row r="305" spans="1:4" x14ac:dyDescent="0.3">
      <c r="A305" s="1"/>
      <c r="B305" s="1" t="str">
        <f>IFERROR(IF(LEFT(Sensitivität_bzw_Monte_Carlo_bei_Strom[[#This Row],[Source.Name]],SEARCH("aus_der",Sensitivität_bzw_Monte_Carlo_bei_Strom[[#This Row],[Source.Name]],1))="Auszahlung_a","Auszahlung",""),"")</f>
        <v/>
      </c>
      <c r="D305" s="1"/>
    </row>
    <row r="306" spans="1:4" x14ac:dyDescent="0.3">
      <c r="A306" s="1"/>
      <c r="B306" s="1" t="str">
        <f>IFERROR(IF(LEFT(Sensitivität_bzw_Monte_Carlo_bei_Strom[[#This Row],[Source.Name]],SEARCH("aus_der",Sensitivität_bzw_Monte_Carlo_bei_Strom[[#This Row],[Source.Name]],1))="Auszahlung_a","Auszahlung",""),"")</f>
        <v/>
      </c>
      <c r="D306" s="1"/>
    </row>
    <row r="307" spans="1:4" x14ac:dyDescent="0.3">
      <c r="A307" s="1"/>
      <c r="B307" s="1" t="str">
        <f>IFERROR(IF(LEFT(Sensitivität_bzw_Monte_Carlo_bei_Strom[[#This Row],[Source.Name]],SEARCH("aus_der",Sensitivität_bzw_Monte_Carlo_bei_Strom[[#This Row],[Source.Name]],1))="Auszahlung_a","Auszahlung",""),"")</f>
        <v/>
      </c>
      <c r="D307" s="1"/>
    </row>
    <row r="308" spans="1:4" x14ac:dyDescent="0.3">
      <c r="A308" s="1"/>
      <c r="B308" s="1" t="str">
        <f>IFERROR(IF(LEFT(Sensitivität_bzw_Monte_Carlo_bei_Strom[[#This Row],[Source.Name]],SEARCH("aus_der",Sensitivität_bzw_Monte_Carlo_bei_Strom[[#This Row],[Source.Name]],1))="Auszahlung_a","Auszahlung",""),"")</f>
        <v/>
      </c>
      <c r="D308" s="1"/>
    </row>
    <row r="309" spans="1:4" x14ac:dyDescent="0.3">
      <c r="A309" s="1"/>
      <c r="B309" s="1" t="str">
        <f>IFERROR(IF(LEFT(Sensitivität_bzw_Monte_Carlo_bei_Strom[[#This Row],[Source.Name]],SEARCH("aus_der",Sensitivität_bzw_Monte_Carlo_bei_Strom[[#This Row],[Source.Name]],1))="Auszahlung_a","Auszahlung",""),"")</f>
        <v/>
      </c>
      <c r="D309" s="1"/>
    </row>
    <row r="310" spans="1:4" x14ac:dyDescent="0.3">
      <c r="A310" s="1"/>
      <c r="B310" s="1" t="str">
        <f>IFERROR(IF(LEFT(Sensitivität_bzw_Monte_Carlo_bei_Strom[[#This Row],[Source.Name]],SEARCH("aus_der",Sensitivität_bzw_Monte_Carlo_bei_Strom[[#This Row],[Source.Name]],1))="Auszahlung_a","Auszahlung",""),"")</f>
        <v/>
      </c>
      <c r="D310" s="1"/>
    </row>
    <row r="311" spans="1:4" x14ac:dyDescent="0.3">
      <c r="A311" s="1"/>
      <c r="B311" s="1" t="str">
        <f>IFERROR(IF(LEFT(Sensitivität_bzw_Monte_Carlo_bei_Strom[[#This Row],[Source.Name]],SEARCH("aus_der",Sensitivität_bzw_Monte_Carlo_bei_Strom[[#This Row],[Source.Name]],1))="Auszahlung_a","Auszahlung",""),"")</f>
        <v/>
      </c>
      <c r="D311" s="1"/>
    </row>
    <row r="312" spans="1:4" x14ac:dyDescent="0.3">
      <c r="A312" s="1"/>
      <c r="B312" s="1" t="str">
        <f>IFERROR(IF(LEFT(Sensitivität_bzw_Monte_Carlo_bei_Strom[[#This Row],[Source.Name]],SEARCH("aus_der",Sensitivität_bzw_Monte_Carlo_bei_Strom[[#This Row],[Source.Name]],1))="Auszahlung_a","Auszahlung",""),"")</f>
        <v/>
      </c>
      <c r="D312" s="1"/>
    </row>
    <row r="313" spans="1:4" x14ac:dyDescent="0.3">
      <c r="A313" s="1"/>
      <c r="B313" s="1" t="str">
        <f>IFERROR(IF(LEFT(Sensitivität_bzw_Monte_Carlo_bei_Strom[[#This Row],[Source.Name]],SEARCH("aus_der",Sensitivität_bzw_Monte_Carlo_bei_Strom[[#This Row],[Source.Name]],1))="Auszahlung_a","Auszahlung",""),"")</f>
        <v/>
      </c>
      <c r="D313" s="1"/>
    </row>
    <row r="314" spans="1:4" x14ac:dyDescent="0.3">
      <c r="A314" s="1"/>
      <c r="B314" s="1" t="str">
        <f>IFERROR(IF(LEFT(Sensitivität_bzw_Monte_Carlo_bei_Strom[[#This Row],[Source.Name]],SEARCH("aus_der",Sensitivität_bzw_Monte_Carlo_bei_Strom[[#This Row],[Source.Name]],1))="Auszahlung_a","Auszahlung",""),"")</f>
        <v/>
      </c>
      <c r="D314" s="1"/>
    </row>
    <row r="315" spans="1:4" x14ac:dyDescent="0.3">
      <c r="A315" s="1"/>
      <c r="B315" s="1" t="str">
        <f>IFERROR(IF(LEFT(Sensitivität_bzw_Monte_Carlo_bei_Strom[[#This Row],[Source.Name]],SEARCH("aus_der",Sensitivität_bzw_Monte_Carlo_bei_Strom[[#This Row],[Source.Name]],1))="Auszahlung_a","Auszahlung",""),"")</f>
        <v/>
      </c>
      <c r="D315" s="1"/>
    </row>
    <row r="316" spans="1:4" x14ac:dyDescent="0.3">
      <c r="A316" s="1"/>
      <c r="B316" s="1" t="str">
        <f>IFERROR(IF(LEFT(Sensitivität_bzw_Monte_Carlo_bei_Strom[[#This Row],[Source.Name]],SEARCH("aus_der",Sensitivität_bzw_Monte_Carlo_bei_Strom[[#This Row],[Source.Name]],1))="Auszahlung_a","Auszahlung",""),"")</f>
        <v/>
      </c>
      <c r="D316" s="1"/>
    </row>
    <row r="317" spans="1:4" x14ac:dyDescent="0.3">
      <c r="A317" s="1"/>
      <c r="B317" s="1" t="str">
        <f>IFERROR(IF(LEFT(Sensitivität_bzw_Monte_Carlo_bei_Strom[[#This Row],[Source.Name]],SEARCH("aus_der",Sensitivität_bzw_Monte_Carlo_bei_Strom[[#This Row],[Source.Name]],1))="Auszahlung_a","Auszahlung",""),"")</f>
        <v/>
      </c>
      <c r="D317" s="1"/>
    </row>
    <row r="318" spans="1:4" x14ac:dyDescent="0.3">
      <c r="A318" s="1"/>
      <c r="B318" s="1" t="str">
        <f>IFERROR(IF(LEFT(Sensitivität_bzw_Monte_Carlo_bei_Strom[[#This Row],[Source.Name]],SEARCH("aus_der",Sensitivität_bzw_Monte_Carlo_bei_Strom[[#This Row],[Source.Name]],1))="Auszahlung_a","Auszahlung",""),"")</f>
        <v/>
      </c>
      <c r="D318" s="1"/>
    </row>
    <row r="319" spans="1:4" x14ac:dyDescent="0.3">
      <c r="A319" s="1"/>
      <c r="B319" s="1" t="str">
        <f>IFERROR(IF(LEFT(Sensitivität_bzw_Monte_Carlo_bei_Strom[[#This Row],[Source.Name]],SEARCH("aus_der",Sensitivität_bzw_Monte_Carlo_bei_Strom[[#This Row],[Source.Name]],1))="Auszahlung_a","Auszahlung",""),"")</f>
        <v/>
      </c>
      <c r="D319" s="1"/>
    </row>
    <row r="320" spans="1:4" x14ac:dyDescent="0.3">
      <c r="A320" s="1"/>
      <c r="B320" s="1" t="str">
        <f>IFERROR(IF(LEFT(Sensitivität_bzw_Monte_Carlo_bei_Strom[[#This Row],[Source.Name]],SEARCH("aus_der",Sensitivität_bzw_Monte_Carlo_bei_Strom[[#This Row],[Source.Name]],1))="Auszahlung_a","Auszahlung",""),"")</f>
        <v/>
      </c>
      <c r="D320" s="1"/>
    </row>
    <row r="321" spans="1:4" x14ac:dyDescent="0.3">
      <c r="A321" s="1"/>
      <c r="B321" s="1" t="str">
        <f>IFERROR(IF(LEFT(Sensitivität_bzw_Monte_Carlo_bei_Strom[[#This Row],[Source.Name]],SEARCH("aus_der",Sensitivität_bzw_Monte_Carlo_bei_Strom[[#This Row],[Source.Name]],1))="Auszahlung_a","Auszahlung",""),"")</f>
        <v/>
      </c>
      <c r="D321" s="1"/>
    </row>
    <row r="322" spans="1:4" x14ac:dyDescent="0.3">
      <c r="A322" s="1"/>
      <c r="B322" s="1" t="str">
        <f>IFERROR(IF(LEFT(Sensitivität_bzw_Monte_Carlo_bei_Strom[[#This Row],[Source.Name]],SEARCH("aus_der",Sensitivität_bzw_Monte_Carlo_bei_Strom[[#This Row],[Source.Name]],1))="Auszahlung_a","Auszahlung",""),"")</f>
        <v/>
      </c>
      <c r="D322" s="1"/>
    </row>
    <row r="323" spans="1:4" x14ac:dyDescent="0.3">
      <c r="A323" s="1"/>
      <c r="B323" s="1" t="str">
        <f>IFERROR(IF(LEFT(Sensitivität_bzw_Monte_Carlo_bei_Strom[[#This Row],[Source.Name]],SEARCH("aus_der",Sensitivität_bzw_Monte_Carlo_bei_Strom[[#This Row],[Source.Name]],1))="Auszahlung_a","Auszahlung",""),"")</f>
        <v/>
      </c>
      <c r="D323" s="1"/>
    </row>
    <row r="324" spans="1:4" x14ac:dyDescent="0.3">
      <c r="A324" s="1"/>
      <c r="B324" s="1" t="str">
        <f>IFERROR(IF(LEFT(Sensitivität_bzw_Monte_Carlo_bei_Strom[[#This Row],[Source.Name]],SEARCH("aus_der",Sensitivität_bzw_Monte_Carlo_bei_Strom[[#This Row],[Source.Name]],1))="Auszahlung_a","Auszahlung",""),"")</f>
        <v/>
      </c>
      <c r="D324" s="1"/>
    </row>
    <row r="325" spans="1:4" x14ac:dyDescent="0.3">
      <c r="A325" s="1"/>
      <c r="B325" s="1" t="str">
        <f>IFERROR(IF(LEFT(Sensitivität_bzw_Monte_Carlo_bei_Strom[[#This Row],[Source.Name]],SEARCH("aus_der",Sensitivität_bzw_Monte_Carlo_bei_Strom[[#This Row],[Source.Name]],1))="Auszahlung_a","Auszahlung",""),"")</f>
        <v/>
      </c>
      <c r="D325" s="1"/>
    </row>
    <row r="326" spans="1:4" x14ac:dyDescent="0.3">
      <c r="A326" s="1"/>
      <c r="B326" s="1" t="str">
        <f>IFERROR(IF(LEFT(Sensitivität_bzw_Monte_Carlo_bei_Strom[[#This Row],[Source.Name]],SEARCH("aus_der",Sensitivität_bzw_Monte_Carlo_bei_Strom[[#This Row],[Source.Name]],1))="Auszahlung_a","Auszahlung",""),"")</f>
        <v/>
      </c>
      <c r="D326" s="1"/>
    </row>
    <row r="327" spans="1:4" x14ac:dyDescent="0.3">
      <c r="A327" s="1"/>
      <c r="B327" s="1" t="str">
        <f>IFERROR(IF(LEFT(Sensitivität_bzw_Monte_Carlo_bei_Strom[[#This Row],[Source.Name]],SEARCH("aus_der",Sensitivität_bzw_Monte_Carlo_bei_Strom[[#This Row],[Source.Name]],1))="Auszahlung_a","Auszahlung",""),"")</f>
        <v/>
      </c>
      <c r="D327" s="1"/>
    </row>
    <row r="328" spans="1:4" x14ac:dyDescent="0.3">
      <c r="A328" s="1"/>
      <c r="B328" s="1" t="str">
        <f>IFERROR(IF(LEFT(Sensitivität_bzw_Monte_Carlo_bei_Strom[[#This Row],[Source.Name]],SEARCH("aus_der",Sensitivität_bzw_Monte_Carlo_bei_Strom[[#This Row],[Source.Name]],1))="Auszahlung_a","Auszahlung",""),"")</f>
        <v/>
      </c>
      <c r="D328" s="1"/>
    </row>
    <row r="329" spans="1:4" x14ac:dyDescent="0.3">
      <c r="A329" s="1"/>
      <c r="B329" s="1" t="str">
        <f>IFERROR(IF(LEFT(Sensitivität_bzw_Monte_Carlo_bei_Strom[[#This Row],[Source.Name]],SEARCH("aus_der",Sensitivität_bzw_Monte_Carlo_bei_Strom[[#This Row],[Source.Name]],1))="Auszahlung_a","Auszahlung",""),"")</f>
        <v/>
      </c>
      <c r="D329" s="1"/>
    </row>
    <row r="330" spans="1:4" x14ac:dyDescent="0.3">
      <c r="A330" s="1"/>
      <c r="B330" s="1" t="str">
        <f>IFERROR(IF(LEFT(Sensitivität_bzw_Monte_Carlo_bei_Strom[[#This Row],[Source.Name]],SEARCH("aus_der",Sensitivität_bzw_Monte_Carlo_bei_Strom[[#This Row],[Source.Name]],1))="Auszahlung_a","Auszahlung",""),"")</f>
        <v/>
      </c>
      <c r="D330" s="1"/>
    </row>
    <row r="331" spans="1:4" x14ac:dyDescent="0.3">
      <c r="A331" s="1"/>
      <c r="B331" s="1" t="str">
        <f>IFERROR(IF(LEFT(Sensitivität_bzw_Monte_Carlo_bei_Strom[[#This Row],[Source.Name]],SEARCH("aus_der",Sensitivität_bzw_Monte_Carlo_bei_Strom[[#This Row],[Source.Name]],1))="Auszahlung_a","Auszahlung",""),"")</f>
        <v/>
      </c>
      <c r="D331" s="1"/>
    </row>
    <row r="332" spans="1:4" x14ac:dyDescent="0.3">
      <c r="A332" s="1"/>
      <c r="B332" s="1" t="str">
        <f>IFERROR(IF(LEFT(Sensitivität_bzw_Monte_Carlo_bei_Strom[[#This Row],[Source.Name]],SEARCH("aus_der",Sensitivität_bzw_Monte_Carlo_bei_Strom[[#This Row],[Source.Name]],1))="Auszahlung_a","Auszahlung",""),"")</f>
        <v/>
      </c>
      <c r="D332" s="1"/>
    </row>
    <row r="333" spans="1:4" x14ac:dyDescent="0.3">
      <c r="A333" s="1"/>
      <c r="B333" s="1" t="str">
        <f>IFERROR(IF(LEFT(Sensitivität_bzw_Monte_Carlo_bei_Strom[[#This Row],[Source.Name]],SEARCH("aus_der",Sensitivität_bzw_Monte_Carlo_bei_Strom[[#This Row],[Source.Name]],1))="Auszahlung_a","Auszahlung",""),"")</f>
        <v/>
      </c>
      <c r="D333" s="1"/>
    </row>
    <row r="334" spans="1:4" x14ac:dyDescent="0.3">
      <c r="A334" s="1"/>
      <c r="B334" s="1" t="str">
        <f>IFERROR(IF(LEFT(Sensitivität_bzw_Monte_Carlo_bei_Strom[[#This Row],[Source.Name]],SEARCH("aus_der",Sensitivität_bzw_Monte_Carlo_bei_Strom[[#This Row],[Source.Name]],1))="Auszahlung_a","Auszahlung",""),"")</f>
        <v/>
      </c>
      <c r="D334" s="1"/>
    </row>
    <row r="335" spans="1:4" x14ac:dyDescent="0.3">
      <c r="A335" s="1"/>
      <c r="B335" s="1" t="str">
        <f>IFERROR(IF(LEFT(Sensitivität_bzw_Monte_Carlo_bei_Strom[[#This Row],[Source.Name]],SEARCH("aus_der",Sensitivität_bzw_Monte_Carlo_bei_Strom[[#This Row],[Source.Name]],1))="Auszahlung_a","Auszahlung",""),"")</f>
        <v/>
      </c>
      <c r="D335" s="1"/>
    </row>
    <row r="336" spans="1:4" x14ac:dyDescent="0.3">
      <c r="A336" s="1"/>
      <c r="B336" s="1" t="str">
        <f>IFERROR(IF(LEFT(Sensitivität_bzw_Monte_Carlo_bei_Strom[[#This Row],[Source.Name]],SEARCH("aus_der",Sensitivität_bzw_Monte_Carlo_bei_Strom[[#This Row],[Source.Name]],1))="Auszahlung_a","Auszahlung",""),"")</f>
        <v/>
      </c>
      <c r="D336" s="1"/>
    </row>
    <row r="337" spans="1:4" x14ac:dyDescent="0.3">
      <c r="A337" s="1"/>
      <c r="B337" s="1" t="str">
        <f>IFERROR(IF(LEFT(Sensitivität_bzw_Monte_Carlo_bei_Strom[[#This Row],[Source.Name]],SEARCH("aus_der",Sensitivität_bzw_Monte_Carlo_bei_Strom[[#This Row],[Source.Name]],1))="Auszahlung_a","Auszahlung",""),"")</f>
        <v/>
      </c>
      <c r="D337" s="1"/>
    </row>
    <row r="338" spans="1:4" x14ac:dyDescent="0.3">
      <c r="A338" s="1"/>
      <c r="B338" s="1" t="str">
        <f>IFERROR(IF(LEFT(Sensitivität_bzw_Monte_Carlo_bei_Strom[[#This Row],[Source.Name]],SEARCH("aus_der",Sensitivität_bzw_Monte_Carlo_bei_Strom[[#This Row],[Source.Name]],1))="Auszahlung_a","Auszahlung",""),"")</f>
        <v/>
      </c>
      <c r="D338" s="1"/>
    </row>
    <row r="339" spans="1:4" x14ac:dyDescent="0.3">
      <c r="A339" s="1"/>
      <c r="B339" s="1" t="str">
        <f>IFERROR(IF(LEFT(Sensitivität_bzw_Monte_Carlo_bei_Strom[[#This Row],[Source.Name]],SEARCH("aus_der",Sensitivität_bzw_Monte_Carlo_bei_Strom[[#This Row],[Source.Name]],1))="Auszahlung_a","Auszahlung",""),"")</f>
        <v/>
      </c>
      <c r="D339" s="1"/>
    </row>
    <row r="340" spans="1:4" x14ac:dyDescent="0.3">
      <c r="A340" s="1"/>
      <c r="B340" s="1" t="str">
        <f>IFERROR(IF(LEFT(Sensitivität_bzw_Monte_Carlo_bei_Strom[[#This Row],[Source.Name]],SEARCH("aus_der",Sensitivität_bzw_Monte_Carlo_bei_Strom[[#This Row],[Source.Name]],1))="Auszahlung_a","Auszahlung",""),"")</f>
        <v/>
      </c>
      <c r="D340" s="1"/>
    </row>
    <row r="341" spans="1:4" x14ac:dyDescent="0.3">
      <c r="A341" s="1"/>
      <c r="B341" s="1" t="str">
        <f>IFERROR(IF(LEFT(Sensitivität_bzw_Monte_Carlo_bei_Strom[[#This Row],[Source.Name]],SEARCH("aus_der",Sensitivität_bzw_Monte_Carlo_bei_Strom[[#This Row],[Source.Name]],1))="Auszahlung_a","Auszahlung",""),"")</f>
        <v/>
      </c>
      <c r="D341" s="1"/>
    </row>
    <row r="342" spans="1:4" x14ac:dyDescent="0.3">
      <c r="A342" s="1"/>
      <c r="B342" s="1" t="str">
        <f>IFERROR(IF(LEFT(Sensitivität_bzw_Monte_Carlo_bei_Strom[[#This Row],[Source.Name]],SEARCH("aus_der",Sensitivität_bzw_Monte_Carlo_bei_Strom[[#This Row],[Source.Name]],1))="Auszahlung_a","Auszahlung",""),"")</f>
        <v/>
      </c>
      <c r="D342" s="1"/>
    </row>
    <row r="343" spans="1:4" x14ac:dyDescent="0.3">
      <c r="A343" s="1"/>
      <c r="B343" s="1" t="str">
        <f>IFERROR(IF(LEFT(Sensitivität_bzw_Monte_Carlo_bei_Strom[[#This Row],[Source.Name]],SEARCH("aus_der",Sensitivität_bzw_Monte_Carlo_bei_Strom[[#This Row],[Source.Name]],1))="Auszahlung_a","Auszahlung",""),"")</f>
        <v/>
      </c>
      <c r="D343" s="1"/>
    </row>
    <row r="344" spans="1:4" x14ac:dyDescent="0.3">
      <c r="A344" s="1"/>
      <c r="B344" s="1" t="str">
        <f>IFERROR(IF(LEFT(Sensitivität_bzw_Monte_Carlo_bei_Strom[[#This Row],[Source.Name]],SEARCH("aus_der",Sensitivität_bzw_Monte_Carlo_bei_Strom[[#This Row],[Source.Name]],1))="Auszahlung_a","Auszahlung",""),"")</f>
        <v/>
      </c>
      <c r="D344" s="1"/>
    </row>
    <row r="345" spans="1:4" x14ac:dyDescent="0.3">
      <c r="A345" s="1"/>
      <c r="B345" s="1" t="str">
        <f>IFERROR(IF(LEFT(Sensitivität_bzw_Monte_Carlo_bei_Strom[[#This Row],[Source.Name]],SEARCH("aus_der",Sensitivität_bzw_Monte_Carlo_bei_Strom[[#This Row],[Source.Name]],1))="Auszahlung_a","Auszahlung",""),"")</f>
        <v/>
      </c>
      <c r="D345" s="1"/>
    </row>
    <row r="346" spans="1:4" x14ac:dyDescent="0.3">
      <c r="A346" s="1"/>
      <c r="B346" s="1" t="str">
        <f>IFERROR(IF(LEFT(Sensitivität_bzw_Monte_Carlo_bei_Strom[[#This Row],[Source.Name]],SEARCH("aus_der",Sensitivität_bzw_Monte_Carlo_bei_Strom[[#This Row],[Source.Name]],1))="Auszahlung_a","Auszahlung",""),"")</f>
        <v/>
      </c>
      <c r="D346" s="1"/>
    </row>
    <row r="347" spans="1:4" x14ac:dyDescent="0.3">
      <c r="A347" s="1"/>
      <c r="B347" s="1" t="str">
        <f>IFERROR(IF(LEFT(Sensitivität_bzw_Monte_Carlo_bei_Strom[[#This Row],[Source.Name]],SEARCH("aus_der",Sensitivität_bzw_Monte_Carlo_bei_Strom[[#This Row],[Source.Name]],1))="Auszahlung_a","Auszahlung",""),"")</f>
        <v/>
      </c>
      <c r="D347" s="1"/>
    </row>
    <row r="348" spans="1:4" x14ac:dyDescent="0.3">
      <c r="A348" s="1"/>
      <c r="B348" s="1" t="str">
        <f>IFERROR(IF(LEFT(Sensitivität_bzw_Monte_Carlo_bei_Strom[[#This Row],[Source.Name]],SEARCH("aus_der",Sensitivität_bzw_Monte_Carlo_bei_Strom[[#This Row],[Source.Name]],1))="Auszahlung_a","Auszahlung",""),"")</f>
        <v/>
      </c>
      <c r="D348" s="1"/>
    </row>
    <row r="349" spans="1:4" x14ac:dyDescent="0.3">
      <c r="A349" s="1"/>
      <c r="B349" s="1" t="str">
        <f>IFERROR(IF(LEFT(Sensitivität_bzw_Monte_Carlo_bei_Strom[[#This Row],[Source.Name]],SEARCH("aus_der",Sensitivität_bzw_Monte_Carlo_bei_Strom[[#This Row],[Source.Name]],1))="Auszahlung_a","Auszahlung",""),"")</f>
        <v/>
      </c>
      <c r="D349" s="1"/>
    </row>
    <row r="350" spans="1:4" x14ac:dyDescent="0.3">
      <c r="A350" s="1"/>
      <c r="B350" s="1" t="str">
        <f>IFERROR(IF(LEFT(Sensitivität_bzw_Monte_Carlo_bei_Strom[[#This Row],[Source.Name]],SEARCH("aus_der",Sensitivität_bzw_Monte_Carlo_bei_Strom[[#This Row],[Source.Name]],1))="Auszahlung_a","Auszahlung",""),"")</f>
        <v/>
      </c>
      <c r="D350" s="1"/>
    </row>
    <row r="351" spans="1:4" x14ac:dyDescent="0.3">
      <c r="A351" s="1"/>
      <c r="B351" s="1" t="str">
        <f>IFERROR(IF(LEFT(Sensitivität_bzw_Monte_Carlo_bei_Strom[[#This Row],[Source.Name]],SEARCH("aus_der",Sensitivität_bzw_Monte_Carlo_bei_Strom[[#This Row],[Source.Name]],1))="Auszahlung_a","Auszahlung",""),"")</f>
        <v/>
      </c>
      <c r="D351" s="1"/>
    </row>
    <row r="352" spans="1:4" x14ac:dyDescent="0.3">
      <c r="A352" s="1"/>
      <c r="B352" s="1" t="str">
        <f>IFERROR(IF(LEFT(Sensitivität_bzw_Monte_Carlo_bei_Strom[[#This Row],[Source.Name]],SEARCH("aus_der",Sensitivität_bzw_Monte_Carlo_bei_Strom[[#This Row],[Source.Name]],1))="Auszahlung_a","Auszahlung",""),"")</f>
        <v/>
      </c>
      <c r="D352" s="1"/>
    </row>
    <row r="353" spans="1:4" x14ac:dyDescent="0.3">
      <c r="A353" s="1"/>
      <c r="B353" s="1" t="str">
        <f>IFERROR(IF(LEFT(Sensitivität_bzw_Monte_Carlo_bei_Strom[[#This Row],[Source.Name]],SEARCH("aus_der",Sensitivität_bzw_Monte_Carlo_bei_Strom[[#This Row],[Source.Name]],1))="Auszahlung_a","Auszahlung",""),"")</f>
        <v/>
      </c>
      <c r="D353" s="1"/>
    </row>
    <row r="354" spans="1:4" x14ac:dyDescent="0.3">
      <c r="A354" s="1"/>
      <c r="B354" s="1" t="str">
        <f>IFERROR(IF(LEFT(Sensitivität_bzw_Monte_Carlo_bei_Strom[[#This Row],[Source.Name]],SEARCH("aus_der",Sensitivität_bzw_Monte_Carlo_bei_Strom[[#This Row],[Source.Name]],1))="Auszahlung_a","Auszahlung",""),"")</f>
        <v/>
      </c>
      <c r="D354" s="1"/>
    </row>
    <row r="355" spans="1:4" x14ac:dyDescent="0.3">
      <c r="A355" s="1"/>
      <c r="B355" s="1" t="str">
        <f>IFERROR(IF(LEFT(Sensitivität_bzw_Monte_Carlo_bei_Strom[[#This Row],[Source.Name]],SEARCH("aus_der",Sensitivität_bzw_Monte_Carlo_bei_Strom[[#This Row],[Source.Name]],1))="Auszahlung_a","Auszahlung",""),"")</f>
        <v/>
      </c>
      <c r="D355" s="1"/>
    </row>
    <row r="356" spans="1:4" x14ac:dyDescent="0.3">
      <c r="A356" s="1"/>
      <c r="B356" s="1" t="str">
        <f>IFERROR(IF(LEFT(Sensitivität_bzw_Monte_Carlo_bei_Strom[[#This Row],[Source.Name]],SEARCH("aus_der",Sensitivität_bzw_Monte_Carlo_bei_Strom[[#This Row],[Source.Name]],1))="Auszahlung_a","Auszahlung",""),"")</f>
        <v/>
      </c>
      <c r="D356" s="1"/>
    </row>
    <row r="357" spans="1:4" x14ac:dyDescent="0.3">
      <c r="A357" s="1"/>
      <c r="B357" s="1" t="str">
        <f>IFERROR(IF(LEFT(Sensitivität_bzw_Monte_Carlo_bei_Strom[[#This Row],[Source.Name]],SEARCH("aus_der",Sensitivität_bzw_Monte_Carlo_bei_Strom[[#This Row],[Source.Name]],1))="Auszahlung_a","Auszahlung",""),"")</f>
        <v/>
      </c>
      <c r="D357" s="1"/>
    </row>
    <row r="358" spans="1:4" x14ac:dyDescent="0.3">
      <c r="A358" s="1"/>
      <c r="B358" s="1" t="str">
        <f>IFERROR(IF(LEFT(Sensitivität_bzw_Monte_Carlo_bei_Strom[[#This Row],[Source.Name]],SEARCH("aus_der",Sensitivität_bzw_Monte_Carlo_bei_Strom[[#This Row],[Source.Name]],1))="Auszahlung_a","Auszahlung",""),"")</f>
        <v/>
      </c>
      <c r="D358" s="1"/>
    </row>
    <row r="359" spans="1:4" x14ac:dyDescent="0.3">
      <c r="A359" s="1"/>
      <c r="B359" s="1" t="str">
        <f>IFERROR(IF(LEFT(Sensitivität_bzw_Monte_Carlo_bei_Strom[[#This Row],[Source.Name]],SEARCH("aus_der",Sensitivität_bzw_Monte_Carlo_bei_Strom[[#This Row],[Source.Name]],1))="Auszahlung_a","Auszahlung",""),"")</f>
        <v/>
      </c>
      <c r="D359" s="1"/>
    </row>
    <row r="360" spans="1:4" x14ac:dyDescent="0.3">
      <c r="A360" s="1"/>
      <c r="B360" s="1" t="str">
        <f>IFERROR(IF(LEFT(Sensitivität_bzw_Monte_Carlo_bei_Strom[[#This Row],[Source.Name]],SEARCH("aus_der",Sensitivität_bzw_Monte_Carlo_bei_Strom[[#This Row],[Source.Name]],1))="Auszahlung_a","Auszahlung",""),"")</f>
        <v/>
      </c>
      <c r="D360" s="1"/>
    </row>
    <row r="361" spans="1:4" x14ac:dyDescent="0.3">
      <c r="A361" s="1"/>
      <c r="B361" s="1" t="str">
        <f>IFERROR(IF(LEFT(Sensitivität_bzw_Monte_Carlo_bei_Strom[[#This Row],[Source.Name]],SEARCH("aus_der",Sensitivität_bzw_Monte_Carlo_bei_Strom[[#This Row],[Source.Name]],1))="Auszahlung_a","Auszahlung",""),"")</f>
        <v/>
      </c>
      <c r="D361" s="1"/>
    </row>
    <row r="362" spans="1:4" x14ac:dyDescent="0.3">
      <c r="A362" s="1"/>
      <c r="B362" s="1" t="str">
        <f>IFERROR(IF(LEFT(Sensitivität_bzw_Monte_Carlo_bei_Strom[[#This Row],[Source.Name]],SEARCH("aus_der",Sensitivität_bzw_Monte_Carlo_bei_Strom[[#This Row],[Source.Name]],1))="Auszahlung_a","Auszahlung",""),"")</f>
        <v/>
      </c>
      <c r="D362" s="1"/>
    </row>
    <row r="363" spans="1:4" x14ac:dyDescent="0.3">
      <c r="A363" s="1"/>
      <c r="B363" s="1" t="str">
        <f>IFERROR(IF(LEFT(Sensitivität_bzw_Monte_Carlo_bei_Strom[[#This Row],[Source.Name]],SEARCH("aus_der",Sensitivität_bzw_Monte_Carlo_bei_Strom[[#This Row],[Source.Name]],1))="Auszahlung_a","Auszahlung",""),"")</f>
        <v/>
      </c>
      <c r="D363" s="1"/>
    </row>
    <row r="364" spans="1:4" x14ac:dyDescent="0.3">
      <c r="A364" s="1"/>
      <c r="B364" s="1" t="str">
        <f>IFERROR(IF(LEFT(Sensitivität_bzw_Monte_Carlo_bei_Strom[[#This Row],[Source.Name]],SEARCH("aus_der",Sensitivität_bzw_Monte_Carlo_bei_Strom[[#This Row],[Source.Name]],1))="Auszahlung_a","Auszahlung",""),"")</f>
        <v/>
      </c>
      <c r="D364" s="1"/>
    </row>
    <row r="365" spans="1:4" x14ac:dyDescent="0.3">
      <c r="A365" s="1"/>
      <c r="B365" s="1" t="str">
        <f>IFERROR(IF(LEFT(Sensitivität_bzw_Monte_Carlo_bei_Strom[[#This Row],[Source.Name]],SEARCH("aus_der",Sensitivität_bzw_Monte_Carlo_bei_Strom[[#This Row],[Source.Name]],1))="Auszahlung_a","Auszahlung",""),"")</f>
        <v/>
      </c>
      <c r="D365" s="1"/>
    </row>
    <row r="366" spans="1:4" x14ac:dyDescent="0.3">
      <c r="A366" s="1"/>
      <c r="B366" s="1" t="str">
        <f>IFERROR(IF(LEFT(Sensitivität_bzw_Monte_Carlo_bei_Strom[[#This Row],[Source.Name]],SEARCH("aus_der",Sensitivität_bzw_Monte_Carlo_bei_Strom[[#This Row],[Source.Name]],1))="Auszahlung_a","Auszahlung",""),"")</f>
        <v/>
      </c>
      <c r="D366" s="1"/>
    </row>
    <row r="367" spans="1:4" x14ac:dyDescent="0.3">
      <c r="A367" s="1"/>
      <c r="B367" s="1" t="str">
        <f>IFERROR(IF(LEFT(Sensitivität_bzw_Monte_Carlo_bei_Strom[[#This Row],[Source.Name]],SEARCH("aus_der",Sensitivität_bzw_Monte_Carlo_bei_Strom[[#This Row],[Source.Name]],1))="Auszahlung_a","Auszahlung",""),"")</f>
        <v/>
      </c>
      <c r="D367" s="1"/>
    </row>
    <row r="368" spans="1:4" x14ac:dyDescent="0.3">
      <c r="A368" s="1"/>
      <c r="B368" s="1" t="str">
        <f>IFERROR(IF(LEFT(Sensitivität_bzw_Monte_Carlo_bei_Strom[[#This Row],[Source.Name]],SEARCH("aus_der",Sensitivität_bzw_Monte_Carlo_bei_Strom[[#This Row],[Source.Name]],1))="Auszahlung_a","Auszahlung",""),"")</f>
        <v/>
      </c>
      <c r="D368" s="1"/>
    </row>
    <row r="369" spans="1:4" x14ac:dyDescent="0.3">
      <c r="A369" s="1"/>
      <c r="B369" s="1" t="str">
        <f>IFERROR(IF(LEFT(Sensitivität_bzw_Monte_Carlo_bei_Strom[[#This Row],[Source.Name]],SEARCH("aus_der",Sensitivität_bzw_Monte_Carlo_bei_Strom[[#This Row],[Source.Name]],1))="Auszahlung_a","Auszahlung",""),"")</f>
        <v/>
      </c>
      <c r="D369" s="1"/>
    </row>
    <row r="370" spans="1:4" x14ac:dyDescent="0.3">
      <c r="A370" s="1"/>
      <c r="B370" s="1" t="str">
        <f>IFERROR(IF(LEFT(Sensitivität_bzw_Monte_Carlo_bei_Strom[[#This Row],[Source.Name]],SEARCH("aus_der",Sensitivität_bzw_Monte_Carlo_bei_Strom[[#This Row],[Source.Name]],1))="Auszahlung_a","Auszahlung",""),"")</f>
        <v/>
      </c>
      <c r="D370" s="1"/>
    </row>
    <row r="371" spans="1:4" x14ac:dyDescent="0.3">
      <c r="A371" s="1"/>
      <c r="B371" s="1" t="str">
        <f>IFERROR(IF(LEFT(Sensitivität_bzw_Monte_Carlo_bei_Strom[[#This Row],[Source.Name]],SEARCH("aus_der",Sensitivität_bzw_Monte_Carlo_bei_Strom[[#This Row],[Source.Name]],1))="Auszahlung_a","Auszahlung",""),"")</f>
        <v/>
      </c>
      <c r="D371" s="1"/>
    </row>
    <row r="372" spans="1:4" x14ac:dyDescent="0.3">
      <c r="A372" s="1"/>
      <c r="B372" s="1" t="str">
        <f>IFERROR(IF(LEFT(Sensitivität_bzw_Monte_Carlo_bei_Strom[[#This Row],[Source.Name]],SEARCH("aus_der",Sensitivität_bzw_Monte_Carlo_bei_Strom[[#This Row],[Source.Name]],1))="Auszahlung_a","Auszahlung",""),"")</f>
        <v/>
      </c>
      <c r="D372" s="1"/>
    </row>
    <row r="373" spans="1:4" x14ac:dyDescent="0.3">
      <c r="A373" s="1"/>
      <c r="B373" s="1" t="str">
        <f>IFERROR(IF(LEFT(Sensitivität_bzw_Monte_Carlo_bei_Strom[[#This Row],[Source.Name]],SEARCH("aus_der",Sensitivität_bzw_Monte_Carlo_bei_Strom[[#This Row],[Source.Name]],1))="Auszahlung_a","Auszahlung",""),"")</f>
        <v/>
      </c>
      <c r="D373" s="1"/>
    </row>
    <row r="374" spans="1:4" x14ac:dyDescent="0.3">
      <c r="A374" s="1"/>
      <c r="B374" s="1" t="str">
        <f>IFERROR(IF(LEFT(Sensitivität_bzw_Monte_Carlo_bei_Strom[[#This Row],[Source.Name]],SEARCH("aus_der",Sensitivität_bzw_Monte_Carlo_bei_Strom[[#This Row],[Source.Name]],1))="Auszahlung_a","Auszahlung",""),"")</f>
        <v/>
      </c>
      <c r="D374" s="1"/>
    </row>
    <row r="375" spans="1:4" x14ac:dyDescent="0.3">
      <c r="A375" s="1"/>
      <c r="B375" s="1" t="str">
        <f>IFERROR(IF(LEFT(Sensitivität_bzw_Monte_Carlo_bei_Strom[[#This Row],[Source.Name]],SEARCH("aus_der",Sensitivität_bzw_Monte_Carlo_bei_Strom[[#This Row],[Source.Name]],1))="Auszahlung_a","Auszahlung",""),"")</f>
        <v/>
      </c>
      <c r="D375" s="1"/>
    </row>
    <row r="376" spans="1:4" x14ac:dyDescent="0.3">
      <c r="A376" s="1"/>
      <c r="B376" s="1" t="str">
        <f>IFERROR(IF(LEFT(Sensitivität_bzw_Monte_Carlo_bei_Strom[[#This Row],[Source.Name]],SEARCH("aus_der",Sensitivität_bzw_Monte_Carlo_bei_Strom[[#This Row],[Source.Name]],1))="Auszahlung_a","Auszahlung",""),"")</f>
        <v/>
      </c>
      <c r="D376" s="1"/>
    </row>
    <row r="377" spans="1:4" x14ac:dyDescent="0.3">
      <c r="A377" s="1"/>
      <c r="B377" s="1" t="str">
        <f>IFERROR(IF(LEFT(Sensitivität_bzw_Monte_Carlo_bei_Strom[[#This Row],[Source.Name]],SEARCH("aus_der",Sensitivität_bzw_Monte_Carlo_bei_Strom[[#This Row],[Source.Name]],1))="Auszahlung_a","Auszahlung",""),"")</f>
        <v/>
      </c>
      <c r="D377" s="1"/>
    </row>
    <row r="378" spans="1:4" x14ac:dyDescent="0.3">
      <c r="A378" s="1"/>
      <c r="B378" s="1" t="str">
        <f>IFERROR(IF(LEFT(Sensitivität_bzw_Monte_Carlo_bei_Strom[[#This Row],[Source.Name]],SEARCH("aus_der",Sensitivität_bzw_Monte_Carlo_bei_Strom[[#This Row],[Source.Name]],1))="Auszahlung_a","Auszahlung",""),"")</f>
        <v/>
      </c>
      <c r="D378" s="1"/>
    </row>
    <row r="379" spans="1:4" x14ac:dyDescent="0.3">
      <c r="A379" s="1"/>
      <c r="B379" s="1" t="str">
        <f>IFERROR(IF(LEFT(Sensitivität_bzw_Monte_Carlo_bei_Strom[[#This Row],[Source.Name]],SEARCH("aus_der",Sensitivität_bzw_Monte_Carlo_bei_Strom[[#This Row],[Source.Name]],1))="Auszahlung_a","Auszahlung",""),"")</f>
        <v/>
      </c>
      <c r="D379" s="1"/>
    </row>
    <row r="380" spans="1:4" x14ac:dyDescent="0.3">
      <c r="A380" s="1"/>
      <c r="B380" s="1" t="str">
        <f>IFERROR(IF(LEFT(Sensitivität_bzw_Monte_Carlo_bei_Strom[[#This Row],[Source.Name]],SEARCH("aus_der",Sensitivität_bzw_Monte_Carlo_bei_Strom[[#This Row],[Source.Name]],1))="Auszahlung_a","Auszahlung",""),"")</f>
        <v/>
      </c>
      <c r="D380" s="1"/>
    </row>
    <row r="381" spans="1:4" x14ac:dyDescent="0.3">
      <c r="A381" s="1"/>
      <c r="B381" s="1" t="str">
        <f>IFERROR(IF(LEFT(Sensitivität_bzw_Monte_Carlo_bei_Strom[[#This Row],[Source.Name]],SEARCH("aus_der",Sensitivität_bzw_Monte_Carlo_bei_Strom[[#This Row],[Source.Name]],1))="Auszahlung_a","Auszahlung",""),"")</f>
        <v/>
      </c>
      <c r="D381" s="1"/>
    </row>
    <row r="382" spans="1:4" x14ac:dyDescent="0.3">
      <c r="A382" s="1"/>
      <c r="B382" s="1" t="str">
        <f>IFERROR(IF(LEFT(Sensitivität_bzw_Monte_Carlo_bei_Strom[[#This Row],[Source.Name]],SEARCH("aus_der",Sensitivität_bzw_Monte_Carlo_bei_Strom[[#This Row],[Source.Name]],1))="Auszahlung_a","Auszahlung",""),"")</f>
        <v/>
      </c>
      <c r="D382" s="1"/>
    </row>
    <row r="383" spans="1:4" x14ac:dyDescent="0.3">
      <c r="A383" s="1"/>
      <c r="B383" s="1" t="str">
        <f>IFERROR(IF(LEFT(Sensitivität_bzw_Monte_Carlo_bei_Strom[[#This Row],[Source.Name]],SEARCH("aus_der",Sensitivität_bzw_Monte_Carlo_bei_Strom[[#This Row],[Source.Name]],1))="Auszahlung_a","Auszahlung",""),"")</f>
        <v/>
      </c>
      <c r="D383" s="1"/>
    </row>
    <row r="384" spans="1:4" x14ac:dyDescent="0.3">
      <c r="A384" s="1"/>
      <c r="B384" s="1" t="str">
        <f>IFERROR(IF(LEFT(Sensitivität_bzw_Monte_Carlo_bei_Strom[[#This Row],[Source.Name]],SEARCH("aus_der",Sensitivität_bzw_Monte_Carlo_bei_Strom[[#This Row],[Source.Name]],1))="Auszahlung_a","Auszahlung",""),"")</f>
        <v/>
      </c>
      <c r="D384" s="1"/>
    </row>
    <row r="385" spans="1:4" x14ac:dyDescent="0.3">
      <c r="A385" s="1"/>
      <c r="B385" s="1" t="str">
        <f>IFERROR(IF(LEFT(Sensitivität_bzw_Monte_Carlo_bei_Strom[[#This Row],[Source.Name]],SEARCH("aus_der",Sensitivität_bzw_Monte_Carlo_bei_Strom[[#This Row],[Source.Name]],1))="Auszahlung_a","Auszahlung",""),"")</f>
        <v/>
      </c>
      <c r="D385" s="1"/>
    </row>
    <row r="386" spans="1:4" x14ac:dyDescent="0.3">
      <c r="A386" s="1"/>
      <c r="B386" s="1" t="str">
        <f>IFERROR(IF(LEFT(Sensitivität_bzw_Monte_Carlo_bei_Strom[[#This Row],[Source.Name]],SEARCH("aus_der",Sensitivität_bzw_Monte_Carlo_bei_Strom[[#This Row],[Source.Name]],1))="Auszahlung_a","Auszahlung",""),"")</f>
        <v/>
      </c>
      <c r="D386" s="1"/>
    </row>
    <row r="387" spans="1:4" x14ac:dyDescent="0.3">
      <c r="A387" s="1"/>
      <c r="B387" s="1" t="str">
        <f>IFERROR(IF(LEFT(Sensitivität_bzw_Monte_Carlo_bei_Strom[[#This Row],[Source.Name]],SEARCH("aus_der",Sensitivität_bzw_Monte_Carlo_bei_Strom[[#This Row],[Source.Name]],1))="Auszahlung_a","Auszahlung",""),"")</f>
        <v/>
      </c>
      <c r="D387" s="1"/>
    </row>
    <row r="388" spans="1:4" x14ac:dyDescent="0.3">
      <c r="A388" s="1"/>
      <c r="B388" s="1" t="str">
        <f>IFERROR(IF(LEFT(Sensitivität_bzw_Monte_Carlo_bei_Strom[[#This Row],[Source.Name]],SEARCH("aus_der",Sensitivität_bzw_Monte_Carlo_bei_Strom[[#This Row],[Source.Name]],1))="Auszahlung_a","Auszahlung",""),"")</f>
        <v/>
      </c>
      <c r="D388" s="1"/>
    </row>
    <row r="389" spans="1:4" x14ac:dyDescent="0.3">
      <c r="A389" s="1"/>
      <c r="B389" s="1" t="str">
        <f>IFERROR(IF(LEFT(Sensitivität_bzw_Monte_Carlo_bei_Strom[[#This Row],[Source.Name]],SEARCH("aus_der",Sensitivität_bzw_Monte_Carlo_bei_Strom[[#This Row],[Source.Name]],1))="Auszahlung_a","Auszahlung",""),"")</f>
        <v/>
      </c>
      <c r="D389" s="1"/>
    </row>
    <row r="390" spans="1:4" x14ac:dyDescent="0.3">
      <c r="A390" s="1"/>
      <c r="B390" s="1" t="str">
        <f>IFERROR(IF(LEFT(Sensitivität_bzw_Monte_Carlo_bei_Strom[[#This Row],[Source.Name]],SEARCH("aus_der",Sensitivität_bzw_Monte_Carlo_bei_Strom[[#This Row],[Source.Name]],1))="Auszahlung_a","Auszahlung",""),"")</f>
        <v/>
      </c>
      <c r="D390" s="1"/>
    </row>
    <row r="391" spans="1:4" x14ac:dyDescent="0.3">
      <c r="A391" s="1"/>
      <c r="B391" s="1" t="str">
        <f>IFERROR(IF(LEFT(Sensitivität_bzw_Monte_Carlo_bei_Strom[[#This Row],[Source.Name]],SEARCH("aus_der",Sensitivität_bzw_Monte_Carlo_bei_Strom[[#This Row],[Source.Name]],1))="Auszahlung_a","Auszahlung",""),"")</f>
        <v/>
      </c>
      <c r="D391" s="1"/>
    </row>
    <row r="392" spans="1:4" x14ac:dyDescent="0.3">
      <c r="A392" s="1"/>
      <c r="B392" s="1" t="str">
        <f>IFERROR(IF(LEFT(Sensitivität_bzw_Monte_Carlo_bei_Strom[[#This Row],[Source.Name]],SEARCH("aus_der",Sensitivität_bzw_Monte_Carlo_bei_Strom[[#This Row],[Source.Name]],1))="Auszahlung_a","Auszahlung",""),"")</f>
        <v/>
      </c>
      <c r="D392" s="1"/>
    </row>
    <row r="393" spans="1:4" x14ac:dyDescent="0.3">
      <c r="A393" s="1"/>
      <c r="B393" s="1" t="str">
        <f>IFERROR(IF(LEFT(Sensitivität_bzw_Monte_Carlo_bei_Strom[[#This Row],[Source.Name]],SEARCH("aus_der",Sensitivität_bzw_Monte_Carlo_bei_Strom[[#This Row],[Source.Name]],1))="Auszahlung_a","Auszahlung",""),"")</f>
        <v/>
      </c>
      <c r="D393" s="1"/>
    </row>
    <row r="394" spans="1:4" x14ac:dyDescent="0.3">
      <c r="A394" s="1"/>
      <c r="B394" s="1" t="str">
        <f>IFERROR(IF(LEFT(Sensitivität_bzw_Monte_Carlo_bei_Strom[[#This Row],[Source.Name]],SEARCH("aus_der",Sensitivität_bzw_Monte_Carlo_bei_Strom[[#This Row],[Source.Name]],1))="Auszahlung_a","Auszahlung",""),"")</f>
        <v/>
      </c>
      <c r="D394" s="1"/>
    </row>
    <row r="395" spans="1:4" x14ac:dyDescent="0.3">
      <c r="A395" s="1"/>
      <c r="B395" s="1" t="str">
        <f>IFERROR(IF(LEFT(Sensitivität_bzw_Monte_Carlo_bei_Strom[[#This Row],[Source.Name]],SEARCH("aus_der",Sensitivität_bzw_Monte_Carlo_bei_Strom[[#This Row],[Source.Name]],1))="Auszahlung_a","Auszahlung",""),"")</f>
        <v/>
      </c>
      <c r="D395" s="1"/>
    </row>
    <row r="396" spans="1:4" x14ac:dyDescent="0.3">
      <c r="A396" s="1"/>
      <c r="B396" s="1" t="str">
        <f>IFERROR(IF(LEFT(Sensitivität_bzw_Monte_Carlo_bei_Strom[[#This Row],[Source.Name]],SEARCH("aus_der",Sensitivität_bzw_Monte_Carlo_bei_Strom[[#This Row],[Source.Name]],1))="Auszahlung_a","Auszahlung",""),"")</f>
        <v/>
      </c>
      <c r="D396" s="1"/>
    </row>
    <row r="397" spans="1:4" x14ac:dyDescent="0.3">
      <c r="A397" s="1"/>
      <c r="B397" s="1" t="str">
        <f>IFERROR(IF(LEFT(Sensitivität_bzw_Monte_Carlo_bei_Strom[[#This Row],[Source.Name]],SEARCH("aus_der",Sensitivität_bzw_Monte_Carlo_bei_Strom[[#This Row],[Source.Name]],1))="Auszahlung_a","Auszahlung",""),"")</f>
        <v/>
      </c>
      <c r="D397" s="1"/>
    </row>
    <row r="398" spans="1:4" x14ac:dyDescent="0.3">
      <c r="A398" s="1"/>
      <c r="B398" s="1" t="str">
        <f>IFERROR(IF(LEFT(Sensitivität_bzw_Monte_Carlo_bei_Strom[[#This Row],[Source.Name]],SEARCH("aus_der",Sensitivität_bzw_Monte_Carlo_bei_Strom[[#This Row],[Source.Name]],1))="Auszahlung_a","Auszahlung",""),"")</f>
        <v/>
      </c>
      <c r="D398" s="1"/>
    </row>
    <row r="399" spans="1:4" x14ac:dyDescent="0.3">
      <c r="A399" s="1"/>
      <c r="B399" s="1" t="str">
        <f>IFERROR(IF(LEFT(Sensitivität_bzw_Monte_Carlo_bei_Strom[[#This Row],[Source.Name]],SEARCH("aus_der",Sensitivität_bzw_Monte_Carlo_bei_Strom[[#This Row],[Source.Name]],1))="Auszahlung_a","Auszahlung",""),"")</f>
        <v/>
      </c>
      <c r="D399" s="1"/>
    </row>
    <row r="400" spans="1:4" x14ac:dyDescent="0.3">
      <c r="A400" s="1"/>
      <c r="B400" s="1" t="str">
        <f>IFERROR(IF(LEFT(Sensitivität_bzw_Monte_Carlo_bei_Strom[[#This Row],[Source.Name]],SEARCH("aus_der",Sensitivität_bzw_Monte_Carlo_bei_Strom[[#This Row],[Source.Name]],1))="Auszahlung_a","Auszahlung",""),"")</f>
        <v/>
      </c>
      <c r="D400" s="1"/>
    </row>
    <row r="401" spans="1:4" x14ac:dyDescent="0.3">
      <c r="A401" s="1"/>
      <c r="B401" s="1" t="str">
        <f>IFERROR(IF(LEFT(Sensitivität_bzw_Monte_Carlo_bei_Strom[[#This Row],[Source.Name]],SEARCH("aus_der",Sensitivität_bzw_Monte_Carlo_bei_Strom[[#This Row],[Source.Name]],1))="Auszahlung_a","Auszahlung",""),"")</f>
        <v/>
      </c>
      <c r="D401" s="1"/>
    </row>
    <row r="402" spans="1:4" x14ac:dyDescent="0.3">
      <c r="A402" s="1"/>
      <c r="B402" s="1" t="str">
        <f>IFERROR(IF(LEFT(Sensitivität_bzw_Monte_Carlo_bei_Strom[[#This Row],[Source.Name]],SEARCH("aus_der",Sensitivität_bzw_Monte_Carlo_bei_Strom[[#This Row],[Source.Name]],1))="Auszahlung_a","Auszahlung",""),"")</f>
        <v/>
      </c>
      <c r="D402" s="1"/>
    </row>
    <row r="403" spans="1:4" x14ac:dyDescent="0.3">
      <c r="A403" s="1"/>
      <c r="B403" s="1" t="str">
        <f>IFERROR(IF(LEFT(Sensitivität_bzw_Monte_Carlo_bei_Strom[[#This Row],[Source.Name]],SEARCH("aus_der",Sensitivität_bzw_Monte_Carlo_bei_Strom[[#This Row],[Source.Name]],1))="Auszahlung_a","Auszahlung",""),"")</f>
        <v/>
      </c>
      <c r="D403" s="1"/>
    </row>
    <row r="404" spans="1:4" x14ac:dyDescent="0.3">
      <c r="A404" s="1"/>
      <c r="B404" s="1" t="str">
        <f>IFERROR(IF(LEFT(Sensitivität_bzw_Monte_Carlo_bei_Strom[[#This Row],[Source.Name]],SEARCH("aus_der",Sensitivität_bzw_Monte_Carlo_bei_Strom[[#This Row],[Source.Name]],1))="Auszahlung_a","Auszahlung",""),"")</f>
        <v/>
      </c>
      <c r="D404" s="1"/>
    </row>
    <row r="405" spans="1:4" x14ac:dyDescent="0.3">
      <c r="A405" s="1"/>
      <c r="B405" s="1" t="str">
        <f>IFERROR(IF(LEFT(Sensitivität_bzw_Monte_Carlo_bei_Strom[[#This Row],[Source.Name]],SEARCH("aus_der",Sensitivität_bzw_Monte_Carlo_bei_Strom[[#This Row],[Source.Name]],1))="Auszahlung_a","Auszahlung",""),"")</f>
        <v/>
      </c>
      <c r="D405" s="1"/>
    </row>
    <row r="406" spans="1:4" x14ac:dyDescent="0.3">
      <c r="A406" s="1"/>
      <c r="B406" s="1" t="str">
        <f>IFERROR(IF(LEFT(Sensitivität_bzw_Monte_Carlo_bei_Strom[[#This Row],[Source.Name]],SEARCH("aus_der",Sensitivität_bzw_Monte_Carlo_bei_Strom[[#This Row],[Source.Name]],1))="Auszahlung_a","Auszahlung",""),"")</f>
        <v/>
      </c>
      <c r="D406" s="1"/>
    </row>
    <row r="407" spans="1:4" x14ac:dyDescent="0.3">
      <c r="A407" s="1"/>
      <c r="B407" s="1" t="str">
        <f>IFERROR(IF(LEFT(Sensitivität_bzw_Monte_Carlo_bei_Strom[[#This Row],[Source.Name]],SEARCH("aus_der",Sensitivität_bzw_Monte_Carlo_bei_Strom[[#This Row],[Source.Name]],1))="Auszahlung_a","Auszahlung",""),"")</f>
        <v/>
      </c>
      <c r="D407" s="1"/>
    </row>
    <row r="408" spans="1:4" x14ac:dyDescent="0.3">
      <c r="A408" s="1"/>
      <c r="B408" s="1" t="str">
        <f>IFERROR(IF(LEFT(Sensitivität_bzw_Monte_Carlo_bei_Strom[[#This Row],[Source.Name]],SEARCH("aus_der",Sensitivität_bzw_Monte_Carlo_bei_Strom[[#This Row],[Source.Name]],1))="Auszahlung_a","Auszahlung",""),"")</f>
        <v/>
      </c>
      <c r="D408" s="1"/>
    </row>
    <row r="409" spans="1:4" x14ac:dyDescent="0.3">
      <c r="A409" s="1"/>
      <c r="B409" s="1" t="str">
        <f>IFERROR(IF(LEFT(Sensitivität_bzw_Monte_Carlo_bei_Strom[[#This Row],[Source.Name]],SEARCH("aus_der",Sensitivität_bzw_Monte_Carlo_bei_Strom[[#This Row],[Source.Name]],1))="Auszahlung_a","Auszahlung",""),"")</f>
        <v/>
      </c>
      <c r="D409" s="1"/>
    </row>
    <row r="410" spans="1:4" x14ac:dyDescent="0.3">
      <c r="A410" s="1"/>
      <c r="B410" s="1" t="str">
        <f>IFERROR(IF(LEFT(Sensitivität_bzw_Monte_Carlo_bei_Strom[[#This Row],[Source.Name]],SEARCH("aus_der",Sensitivität_bzw_Monte_Carlo_bei_Strom[[#This Row],[Source.Name]],1))="Auszahlung_a","Auszahlung",""),"")</f>
        <v/>
      </c>
      <c r="D410" s="1"/>
    </row>
    <row r="411" spans="1:4" x14ac:dyDescent="0.3">
      <c r="A411" s="1"/>
      <c r="B411" s="1" t="str">
        <f>IFERROR(IF(LEFT(Sensitivität_bzw_Monte_Carlo_bei_Strom[[#This Row],[Source.Name]],SEARCH("aus_der",Sensitivität_bzw_Monte_Carlo_bei_Strom[[#This Row],[Source.Name]],1))="Auszahlung_a","Auszahlung",""),"")</f>
        <v/>
      </c>
      <c r="D411" s="1"/>
    </row>
    <row r="412" spans="1:4" x14ac:dyDescent="0.3">
      <c r="A412" s="1"/>
      <c r="B412" s="1" t="str">
        <f>IFERROR(IF(LEFT(Sensitivität_bzw_Monte_Carlo_bei_Strom[[#This Row],[Source.Name]],SEARCH("aus_der",Sensitivität_bzw_Monte_Carlo_bei_Strom[[#This Row],[Source.Name]],1))="Auszahlung_a","Auszahlung",""),"")</f>
        <v/>
      </c>
      <c r="D412" s="1"/>
    </row>
    <row r="413" spans="1:4" x14ac:dyDescent="0.3">
      <c r="A413" s="1"/>
      <c r="B413" s="1" t="str">
        <f>IFERROR(IF(LEFT(Sensitivität_bzw_Monte_Carlo_bei_Strom[[#This Row],[Source.Name]],SEARCH("aus_der",Sensitivität_bzw_Monte_Carlo_bei_Strom[[#This Row],[Source.Name]],1))="Auszahlung_a","Auszahlung",""),"")</f>
        <v/>
      </c>
      <c r="D413" s="1"/>
    </row>
    <row r="414" spans="1:4" x14ac:dyDescent="0.3">
      <c r="A414" s="1"/>
      <c r="B414" s="1" t="str">
        <f>IFERROR(IF(LEFT(Sensitivität_bzw_Monte_Carlo_bei_Strom[[#This Row],[Source.Name]],SEARCH("aus_der",Sensitivität_bzw_Monte_Carlo_bei_Strom[[#This Row],[Source.Name]],1))="Auszahlung_a","Auszahlung",""),"")</f>
        <v/>
      </c>
      <c r="D414" s="1"/>
    </row>
    <row r="415" spans="1:4" x14ac:dyDescent="0.3">
      <c r="A415" s="1"/>
      <c r="B415" s="1" t="str">
        <f>IFERROR(IF(LEFT(Sensitivität_bzw_Monte_Carlo_bei_Strom[[#This Row],[Source.Name]],SEARCH("aus_der",Sensitivität_bzw_Monte_Carlo_bei_Strom[[#This Row],[Source.Name]],1))="Auszahlung_a","Auszahlung",""),"")</f>
        <v/>
      </c>
      <c r="D415" s="1"/>
    </row>
    <row r="416" spans="1:4" x14ac:dyDescent="0.3">
      <c r="A416" s="1"/>
      <c r="B416" s="1" t="str">
        <f>IFERROR(IF(LEFT(Sensitivität_bzw_Monte_Carlo_bei_Strom[[#This Row],[Source.Name]],SEARCH("aus_der",Sensitivität_bzw_Monte_Carlo_bei_Strom[[#This Row],[Source.Name]],1))="Auszahlung_a","Auszahlung",""),"")</f>
        <v/>
      </c>
      <c r="D416" s="1"/>
    </row>
    <row r="417" spans="1:4" x14ac:dyDescent="0.3">
      <c r="A417" s="1"/>
      <c r="B417" s="1" t="str">
        <f>IFERROR(IF(LEFT(Sensitivität_bzw_Monte_Carlo_bei_Strom[[#This Row],[Source.Name]],SEARCH("aus_der",Sensitivität_bzw_Monte_Carlo_bei_Strom[[#This Row],[Source.Name]],1))="Auszahlung_a","Auszahlung",""),"")</f>
        <v/>
      </c>
      <c r="D417" s="1"/>
    </row>
    <row r="418" spans="1:4" x14ac:dyDescent="0.3">
      <c r="A418" s="1"/>
      <c r="B418" s="1" t="str">
        <f>IFERROR(IF(LEFT(Sensitivität_bzw_Monte_Carlo_bei_Strom[[#This Row],[Source.Name]],SEARCH("aus_der",Sensitivität_bzw_Monte_Carlo_bei_Strom[[#This Row],[Source.Name]],1))="Auszahlung_a","Auszahlung",""),"")</f>
        <v/>
      </c>
      <c r="D418" s="1"/>
    </row>
    <row r="419" spans="1:4" x14ac:dyDescent="0.3">
      <c r="A419" s="1"/>
      <c r="B419" s="1" t="str">
        <f>IFERROR(IF(LEFT(Sensitivität_bzw_Monte_Carlo_bei_Strom[[#This Row],[Source.Name]],SEARCH("aus_der",Sensitivität_bzw_Monte_Carlo_bei_Strom[[#This Row],[Source.Name]],1))="Auszahlung_a","Auszahlung",""),"")</f>
        <v/>
      </c>
      <c r="D419" s="1"/>
    </row>
    <row r="420" spans="1:4" x14ac:dyDescent="0.3">
      <c r="A420" s="1"/>
      <c r="B420" s="1" t="str">
        <f>IFERROR(IF(LEFT(Sensitivität_bzw_Monte_Carlo_bei_Strom[[#This Row],[Source.Name]],SEARCH("aus_der",Sensitivität_bzw_Monte_Carlo_bei_Strom[[#This Row],[Source.Name]],1))="Auszahlung_a","Auszahlung",""),"")</f>
        <v/>
      </c>
      <c r="D420" s="1"/>
    </row>
    <row r="421" spans="1:4" x14ac:dyDescent="0.3">
      <c r="A421" s="1"/>
      <c r="B421" s="1" t="str">
        <f>IFERROR(IF(LEFT(Sensitivität_bzw_Monte_Carlo_bei_Strom[[#This Row],[Source.Name]],SEARCH("aus_der",Sensitivität_bzw_Monte_Carlo_bei_Strom[[#This Row],[Source.Name]],1))="Auszahlung_a","Auszahlung",""),"")</f>
        <v/>
      </c>
      <c r="D421" s="1"/>
    </row>
    <row r="422" spans="1:4" x14ac:dyDescent="0.3">
      <c r="A422" s="1"/>
      <c r="B422" s="1" t="str">
        <f>IFERROR(IF(LEFT(Sensitivität_bzw_Monte_Carlo_bei_Strom[[#This Row],[Source.Name]],SEARCH("aus_der",Sensitivität_bzw_Monte_Carlo_bei_Strom[[#This Row],[Source.Name]],1))="Auszahlung_a","Auszahlung",""),"")</f>
        <v/>
      </c>
      <c r="D422" s="1"/>
    </row>
    <row r="423" spans="1:4" x14ac:dyDescent="0.3">
      <c r="A423" s="1"/>
      <c r="B423" s="1" t="str">
        <f>IFERROR(IF(LEFT(Sensitivität_bzw_Monte_Carlo_bei_Strom[[#This Row],[Source.Name]],SEARCH("aus_der",Sensitivität_bzw_Monte_Carlo_bei_Strom[[#This Row],[Source.Name]],1))="Auszahlung_a","Auszahlung",""),"")</f>
        <v/>
      </c>
      <c r="D423" s="1"/>
    </row>
    <row r="424" spans="1:4" x14ac:dyDescent="0.3">
      <c r="A424" s="1"/>
      <c r="B424" s="1" t="str">
        <f>IFERROR(IF(LEFT(Sensitivität_bzw_Monte_Carlo_bei_Strom[[#This Row],[Source.Name]],SEARCH("aus_der",Sensitivität_bzw_Monte_Carlo_bei_Strom[[#This Row],[Source.Name]],1))="Auszahlung_a","Auszahlung",""),"")</f>
        <v/>
      </c>
      <c r="D424" s="1"/>
    </row>
    <row r="425" spans="1:4" x14ac:dyDescent="0.3">
      <c r="A425" s="1"/>
      <c r="B425" s="1" t="str">
        <f>IFERROR(IF(LEFT(Sensitivität_bzw_Monte_Carlo_bei_Strom[[#This Row],[Source.Name]],SEARCH("aus_der",Sensitivität_bzw_Monte_Carlo_bei_Strom[[#This Row],[Source.Name]],1))="Auszahlung_a","Auszahlung",""),"")</f>
        <v/>
      </c>
      <c r="D425" s="1"/>
    </row>
    <row r="426" spans="1:4" x14ac:dyDescent="0.3">
      <c r="A426" s="1"/>
      <c r="B426" s="1" t="str">
        <f>IFERROR(IF(LEFT(Sensitivität_bzw_Monte_Carlo_bei_Strom[[#This Row],[Source.Name]],SEARCH("aus_der",Sensitivität_bzw_Monte_Carlo_bei_Strom[[#This Row],[Source.Name]],1))="Auszahlung_a","Auszahlung",""),"")</f>
        <v/>
      </c>
      <c r="D426" s="1"/>
    </row>
    <row r="427" spans="1:4" x14ac:dyDescent="0.3">
      <c r="A427" s="1"/>
      <c r="B427" s="1" t="str">
        <f>IFERROR(IF(LEFT(Sensitivität_bzw_Monte_Carlo_bei_Strom[[#This Row],[Source.Name]],SEARCH("aus_der",Sensitivität_bzw_Monte_Carlo_bei_Strom[[#This Row],[Source.Name]],1))="Auszahlung_a","Auszahlung",""),"")</f>
        <v/>
      </c>
      <c r="D427" s="1"/>
    </row>
    <row r="428" spans="1:4" x14ac:dyDescent="0.3">
      <c r="A428" s="1"/>
      <c r="B428" s="1" t="str">
        <f>IFERROR(IF(LEFT(Sensitivität_bzw_Monte_Carlo_bei_Strom[[#This Row],[Source.Name]],SEARCH("aus_der",Sensitivität_bzw_Monte_Carlo_bei_Strom[[#This Row],[Source.Name]],1))="Auszahlung_a","Auszahlung",""),"")</f>
        <v/>
      </c>
      <c r="D428" s="1"/>
    </row>
    <row r="429" spans="1:4" x14ac:dyDescent="0.3">
      <c r="A429" s="1"/>
      <c r="B429" s="1" t="str">
        <f>IFERROR(IF(LEFT(Sensitivität_bzw_Monte_Carlo_bei_Strom[[#This Row],[Source.Name]],SEARCH("aus_der",Sensitivität_bzw_Monte_Carlo_bei_Strom[[#This Row],[Source.Name]],1))="Auszahlung_a","Auszahlung",""),"")</f>
        <v/>
      </c>
      <c r="D429" s="1"/>
    </row>
    <row r="430" spans="1:4" x14ac:dyDescent="0.3">
      <c r="A430" s="1"/>
      <c r="B430" s="1" t="str">
        <f>IFERROR(IF(LEFT(Sensitivität_bzw_Monte_Carlo_bei_Strom[[#This Row],[Source.Name]],SEARCH("aus_der",Sensitivität_bzw_Monte_Carlo_bei_Strom[[#This Row],[Source.Name]],1))="Auszahlung_a","Auszahlung",""),"")</f>
        <v/>
      </c>
      <c r="D430" s="1"/>
    </row>
    <row r="431" spans="1:4" x14ac:dyDescent="0.3">
      <c r="A431" s="1"/>
      <c r="B431" s="1" t="str">
        <f>IFERROR(IF(LEFT(Sensitivität_bzw_Monte_Carlo_bei_Strom[[#This Row],[Source.Name]],SEARCH("aus_der",Sensitivität_bzw_Monte_Carlo_bei_Strom[[#This Row],[Source.Name]],1))="Auszahlung_a","Auszahlung",""),"")</f>
        <v/>
      </c>
      <c r="D431" s="1"/>
    </row>
    <row r="432" spans="1:4" x14ac:dyDescent="0.3">
      <c r="A432" s="1"/>
      <c r="B432" s="1" t="str">
        <f>IFERROR(IF(LEFT(Sensitivität_bzw_Monte_Carlo_bei_Strom[[#This Row],[Source.Name]],SEARCH("aus_der",Sensitivität_bzw_Monte_Carlo_bei_Strom[[#This Row],[Source.Name]],1))="Auszahlung_a","Auszahlung",""),"")</f>
        <v/>
      </c>
      <c r="D432" s="1"/>
    </row>
    <row r="433" spans="1:4" x14ac:dyDescent="0.3">
      <c r="A433" s="1"/>
      <c r="B433" s="1" t="str">
        <f>IFERROR(IF(LEFT(Sensitivität_bzw_Monte_Carlo_bei_Strom[[#This Row],[Source.Name]],SEARCH("aus_der",Sensitivität_bzw_Monte_Carlo_bei_Strom[[#This Row],[Source.Name]],1))="Auszahlung_a","Auszahlung",""),"")</f>
        <v/>
      </c>
      <c r="D433" s="1"/>
    </row>
    <row r="434" spans="1:4" x14ac:dyDescent="0.3">
      <c r="A434" s="1"/>
      <c r="B434" s="1" t="str">
        <f>IFERROR(IF(LEFT(Sensitivität_bzw_Monte_Carlo_bei_Strom[[#This Row],[Source.Name]],SEARCH("aus_der",Sensitivität_bzw_Monte_Carlo_bei_Strom[[#This Row],[Source.Name]],1))="Auszahlung_a","Auszahlung",""),"")</f>
        <v/>
      </c>
      <c r="D434" s="1"/>
    </row>
    <row r="435" spans="1:4" x14ac:dyDescent="0.3">
      <c r="A435" s="1"/>
      <c r="B435" s="1" t="str">
        <f>IFERROR(IF(LEFT(Sensitivität_bzw_Monte_Carlo_bei_Strom[[#This Row],[Source.Name]],SEARCH("aus_der",Sensitivität_bzw_Monte_Carlo_bei_Strom[[#This Row],[Source.Name]],1))="Auszahlung_a","Auszahlung",""),"")</f>
        <v/>
      </c>
      <c r="D435" s="1"/>
    </row>
    <row r="436" spans="1:4" x14ac:dyDescent="0.3">
      <c r="A436" s="1"/>
      <c r="B436" s="1" t="str">
        <f>IFERROR(IF(LEFT(Sensitivität_bzw_Monte_Carlo_bei_Strom[[#This Row],[Source.Name]],SEARCH("aus_der",Sensitivität_bzw_Monte_Carlo_bei_Strom[[#This Row],[Source.Name]],1))="Auszahlung_a","Auszahlung",""),"")</f>
        <v/>
      </c>
      <c r="D436" s="1"/>
    </row>
    <row r="437" spans="1:4" x14ac:dyDescent="0.3">
      <c r="A437" s="1"/>
      <c r="B437" s="1" t="str">
        <f>IFERROR(IF(LEFT(Sensitivität_bzw_Monte_Carlo_bei_Strom[[#This Row],[Source.Name]],SEARCH("aus_der",Sensitivität_bzw_Monte_Carlo_bei_Strom[[#This Row],[Source.Name]],1))="Auszahlung_a","Auszahlung",""),"")</f>
        <v/>
      </c>
      <c r="D437" s="1"/>
    </row>
    <row r="438" spans="1:4" x14ac:dyDescent="0.3">
      <c r="A438" s="1"/>
      <c r="B438" s="1" t="str">
        <f>IFERROR(IF(LEFT(Sensitivität_bzw_Monte_Carlo_bei_Strom[[#This Row],[Source.Name]],SEARCH("aus_der",Sensitivität_bzw_Monte_Carlo_bei_Strom[[#This Row],[Source.Name]],1))="Auszahlung_a","Auszahlung",""),"")</f>
        <v/>
      </c>
      <c r="D438" s="1"/>
    </row>
    <row r="439" spans="1:4" x14ac:dyDescent="0.3">
      <c r="A439" s="1"/>
      <c r="B439" s="1" t="str">
        <f>IFERROR(IF(LEFT(Sensitivität_bzw_Monte_Carlo_bei_Strom[[#This Row],[Source.Name]],SEARCH("aus_der",Sensitivität_bzw_Monte_Carlo_bei_Strom[[#This Row],[Source.Name]],1))="Auszahlung_a","Auszahlung",""),"")</f>
        <v/>
      </c>
      <c r="D439" s="1"/>
    </row>
    <row r="440" spans="1:4" x14ac:dyDescent="0.3">
      <c r="A440" s="1"/>
      <c r="B440" s="1" t="str">
        <f>IFERROR(IF(LEFT(Sensitivität_bzw_Monte_Carlo_bei_Strom[[#This Row],[Source.Name]],SEARCH("aus_der",Sensitivität_bzw_Monte_Carlo_bei_Strom[[#This Row],[Source.Name]],1))="Auszahlung_a","Auszahlung",""),"")</f>
        <v/>
      </c>
      <c r="D440" s="1"/>
    </row>
    <row r="441" spans="1:4" x14ac:dyDescent="0.3">
      <c r="A441" s="1"/>
      <c r="B441" s="1" t="str">
        <f>IFERROR(IF(LEFT(Sensitivität_bzw_Monte_Carlo_bei_Strom[[#This Row],[Source.Name]],SEARCH("aus_der",Sensitivität_bzw_Monte_Carlo_bei_Strom[[#This Row],[Source.Name]],1))="Auszahlung_a","Auszahlung",""),"")</f>
        <v/>
      </c>
      <c r="D441" s="1"/>
    </row>
    <row r="442" spans="1:4" x14ac:dyDescent="0.3">
      <c r="A442" s="1"/>
      <c r="B442" s="1" t="str">
        <f>IFERROR(IF(LEFT(Sensitivität_bzw_Monte_Carlo_bei_Strom[[#This Row],[Source.Name]],SEARCH("aus_der",Sensitivität_bzw_Monte_Carlo_bei_Strom[[#This Row],[Source.Name]],1))="Auszahlung_a","Auszahlung",""),"")</f>
        <v/>
      </c>
      <c r="D442" s="1"/>
    </row>
    <row r="443" spans="1:4" x14ac:dyDescent="0.3">
      <c r="A443" s="1"/>
      <c r="B443" s="1" t="str">
        <f>IFERROR(IF(LEFT(Sensitivität_bzw_Monte_Carlo_bei_Strom[[#This Row],[Source.Name]],SEARCH("aus_der",Sensitivität_bzw_Monte_Carlo_bei_Strom[[#This Row],[Source.Name]],1))="Auszahlung_a","Auszahlung",""),"")</f>
        <v/>
      </c>
      <c r="D443" s="1"/>
    </row>
    <row r="444" spans="1:4" x14ac:dyDescent="0.3">
      <c r="A444" s="1"/>
      <c r="B444" s="1" t="str">
        <f>IFERROR(IF(LEFT(Sensitivität_bzw_Monte_Carlo_bei_Strom[[#This Row],[Source.Name]],SEARCH("aus_der",Sensitivität_bzw_Monte_Carlo_bei_Strom[[#This Row],[Source.Name]],1))="Auszahlung_a","Auszahlung",""),"")</f>
        <v/>
      </c>
      <c r="D444" s="1"/>
    </row>
    <row r="445" spans="1:4" x14ac:dyDescent="0.3">
      <c r="A445" s="1"/>
      <c r="B445" s="1" t="str">
        <f>IFERROR(IF(LEFT(Sensitivität_bzw_Monte_Carlo_bei_Strom[[#This Row],[Source.Name]],SEARCH("aus_der",Sensitivität_bzw_Monte_Carlo_bei_Strom[[#This Row],[Source.Name]],1))="Auszahlung_a","Auszahlung",""),"")</f>
        <v/>
      </c>
      <c r="D445" s="1"/>
    </row>
    <row r="446" spans="1:4" x14ac:dyDescent="0.3">
      <c r="A446" s="1"/>
      <c r="B446" s="1" t="str">
        <f>IFERROR(IF(LEFT(Sensitivität_bzw_Monte_Carlo_bei_Strom[[#This Row],[Source.Name]],SEARCH("aus_der",Sensitivität_bzw_Monte_Carlo_bei_Strom[[#This Row],[Source.Name]],1))="Auszahlung_a","Auszahlung",""),"")</f>
        <v/>
      </c>
      <c r="D446" s="1"/>
    </row>
    <row r="447" spans="1:4" x14ac:dyDescent="0.3">
      <c r="A447" s="1"/>
      <c r="B447" s="1" t="str">
        <f>IFERROR(IF(LEFT(Sensitivität_bzw_Monte_Carlo_bei_Strom[[#This Row],[Source.Name]],SEARCH("aus_der",Sensitivität_bzw_Monte_Carlo_bei_Strom[[#This Row],[Source.Name]],1))="Auszahlung_a","Auszahlung",""),"")</f>
        <v/>
      </c>
      <c r="D447" s="1"/>
    </row>
    <row r="448" spans="1:4" x14ac:dyDescent="0.3">
      <c r="A448" s="1"/>
      <c r="B448" s="1" t="str">
        <f>IFERROR(IF(LEFT(Sensitivität_bzw_Monte_Carlo_bei_Strom[[#This Row],[Source.Name]],SEARCH("aus_der",Sensitivität_bzw_Monte_Carlo_bei_Strom[[#This Row],[Source.Name]],1))="Auszahlung_a","Auszahlung",""),"")</f>
        <v/>
      </c>
      <c r="D448" s="1"/>
    </row>
    <row r="449" spans="1:4" x14ac:dyDescent="0.3">
      <c r="A449" s="1"/>
      <c r="B449" s="1" t="str">
        <f>IFERROR(IF(LEFT(Sensitivität_bzw_Monte_Carlo_bei_Strom[[#This Row],[Source.Name]],SEARCH("aus_der",Sensitivität_bzw_Monte_Carlo_bei_Strom[[#This Row],[Source.Name]],1))="Auszahlung_a","Auszahlung",""),"")</f>
        <v/>
      </c>
      <c r="D449" s="1"/>
    </row>
    <row r="450" spans="1:4" x14ac:dyDescent="0.3">
      <c r="A450" s="1"/>
      <c r="B450" s="1" t="str">
        <f>IFERROR(IF(LEFT(Sensitivität_bzw_Monte_Carlo_bei_Strom[[#This Row],[Source.Name]],SEARCH("aus_der",Sensitivität_bzw_Monte_Carlo_bei_Strom[[#This Row],[Source.Name]],1))="Auszahlung_a","Auszahlung",""),"")</f>
        <v/>
      </c>
      <c r="D450" s="1"/>
    </row>
    <row r="451" spans="1:4" x14ac:dyDescent="0.3">
      <c r="A451" s="1"/>
      <c r="B451" s="1" t="str">
        <f>IFERROR(IF(LEFT(Sensitivität_bzw_Monte_Carlo_bei_Strom[[#This Row],[Source.Name]],SEARCH("aus_der",Sensitivität_bzw_Monte_Carlo_bei_Strom[[#This Row],[Source.Name]],1))="Auszahlung_a","Auszahlung",""),"")</f>
        <v/>
      </c>
      <c r="D451" s="1"/>
    </row>
    <row r="452" spans="1:4" x14ac:dyDescent="0.3">
      <c r="A452" s="1"/>
      <c r="B452" s="1" t="str">
        <f>IFERROR(IF(LEFT(Sensitivität_bzw_Monte_Carlo_bei_Strom[[#This Row],[Source.Name]],SEARCH("aus_der",Sensitivität_bzw_Monte_Carlo_bei_Strom[[#This Row],[Source.Name]],1))="Auszahlung_a","Auszahlung",""),"")</f>
        <v/>
      </c>
      <c r="D452" s="1"/>
    </row>
    <row r="453" spans="1:4" x14ac:dyDescent="0.3">
      <c r="A453" s="1"/>
      <c r="B453" s="1" t="str">
        <f>IFERROR(IF(LEFT(Sensitivität_bzw_Monte_Carlo_bei_Strom[[#This Row],[Source.Name]],SEARCH("aus_der",Sensitivität_bzw_Monte_Carlo_bei_Strom[[#This Row],[Source.Name]],1))="Auszahlung_a","Auszahlung",""),"")</f>
        <v/>
      </c>
      <c r="D453" s="1"/>
    </row>
    <row r="454" spans="1:4" x14ac:dyDescent="0.3">
      <c r="A454" s="1"/>
      <c r="B454" s="1" t="str">
        <f>IFERROR(IF(LEFT(Sensitivität_bzw_Monte_Carlo_bei_Strom[[#This Row],[Source.Name]],SEARCH("aus_der",Sensitivität_bzw_Monte_Carlo_bei_Strom[[#This Row],[Source.Name]],1))="Auszahlung_a","Auszahlung",""),"")</f>
        <v/>
      </c>
      <c r="D454" s="1"/>
    </row>
    <row r="455" spans="1:4" x14ac:dyDescent="0.3">
      <c r="A455" s="1"/>
      <c r="B455" s="1" t="str">
        <f>IFERROR(IF(LEFT(Sensitivität_bzw_Monte_Carlo_bei_Strom[[#This Row],[Source.Name]],SEARCH("aus_der",Sensitivität_bzw_Monte_Carlo_bei_Strom[[#This Row],[Source.Name]],1))="Auszahlung_a","Auszahlung",""),"")</f>
        <v/>
      </c>
      <c r="D455" s="1"/>
    </row>
    <row r="456" spans="1:4" x14ac:dyDescent="0.3">
      <c r="A456" s="1"/>
      <c r="B456" s="1" t="str">
        <f>IFERROR(IF(LEFT(Sensitivität_bzw_Monte_Carlo_bei_Strom[[#This Row],[Source.Name]],SEARCH("aus_der",Sensitivität_bzw_Monte_Carlo_bei_Strom[[#This Row],[Source.Name]],1))="Auszahlung_a","Auszahlung",""),"")</f>
        <v/>
      </c>
      <c r="D456" s="1"/>
    </row>
    <row r="457" spans="1:4" x14ac:dyDescent="0.3">
      <c r="A457" s="1"/>
      <c r="B457" s="1" t="str">
        <f>IFERROR(IF(LEFT(Sensitivität_bzw_Monte_Carlo_bei_Strom[[#This Row],[Source.Name]],SEARCH("aus_der",Sensitivität_bzw_Monte_Carlo_bei_Strom[[#This Row],[Source.Name]],1))="Auszahlung_a","Auszahlung",""),"")</f>
        <v/>
      </c>
      <c r="D457" s="1"/>
    </row>
    <row r="458" spans="1:4" x14ac:dyDescent="0.3">
      <c r="A458" s="1"/>
      <c r="B458" s="1" t="str">
        <f>IFERROR(IF(LEFT(Sensitivität_bzw_Monte_Carlo_bei_Strom[[#This Row],[Source.Name]],SEARCH("aus_der",Sensitivität_bzw_Monte_Carlo_bei_Strom[[#This Row],[Source.Name]],1))="Auszahlung_a","Auszahlung",""),"")</f>
        <v/>
      </c>
      <c r="D458" s="1"/>
    </row>
    <row r="459" spans="1:4" x14ac:dyDescent="0.3">
      <c r="A459" s="1"/>
      <c r="B459" s="1" t="str">
        <f>IFERROR(IF(LEFT(Sensitivität_bzw_Monte_Carlo_bei_Strom[[#This Row],[Source.Name]],SEARCH("aus_der",Sensitivität_bzw_Monte_Carlo_bei_Strom[[#This Row],[Source.Name]],1))="Auszahlung_a","Auszahlung",""),"")</f>
        <v/>
      </c>
      <c r="D459" s="1"/>
    </row>
    <row r="460" spans="1:4" x14ac:dyDescent="0.3">
      <c r="A460" s="1"/>
      <c r="B460" s="1" t="str">
        <f>IFERROR(IF(LEFT(Sensitivität_bzw_Monte_Carlo_bei_Strom[[#This Row],[Source.Name]],SEARCH("aus_der",Sensitivität_bzw_Monte_Carlo_bei_Strom[[#This Row],[Source.Name]],1))="Auszahlung_a","Auszahlung",""),"")</f>
        <v/>
      </c>
      <c r="D460" s="1"/>
    </row>
    <row r="461" spans="1:4" x14ac:dyDescent="0.3">
      <c r="A461" s="1"/>
      <c r="B461" s="1" t="str">
        <f>IFERROR(IF(LEFT(Sensitivität_bzw_Monte_Carlo_bei_Strom[[#This Row],[Source.Name]],SEARCH("aus_der",Sensitivität_bzw_Monte_Carlo_bei_Strom[[#This Row],[Source.Name]],1))="Auszahlung_a","Auszahlung",""),"")</f>
        <v/>
      </c>
      <c r="D461" s="1"/>
    </row>
    <row r="462" spans="1:4" x14ac:dyDescent="0.3">
      <c r="A462" s="1"/>
      <c r="B462" s="1" t="str">
        <f>IFERROR(IF(LEFT(Sensitivität_bzw_Monte_Carlo_bei_Strom[[#This Row],[Source.Name]],SEARCH("aus_der",Sensitivität_bzw_Monte_Carlo_bei_Strom[[#This Row],[Source.Name]],1))="Auszahlung_a","Auszahlung",""),"")</f>
        <v/>
      </c>
      <c r="D462" s="1"/>
    </row>
    <row r="463" spans="1:4" x14ac:dyDescent="0.3">
      <c r="A463" s="1"/>
      <c r="B463" s="1" t="str">
        <f>IFERROR(IF(LEFT(Sensitivität_bzw_Monte_Carlo_bei_Strom[[#This Row],[Source.Name]],SEARCH("aus_der",Sensitivität_bzw_Monte_Carlo_bei_Strom[[#This Row],[Source.Name]],1))="Auszahlung_a","Auszahlung",""),"")</f>
        <v/>
      </c>
      <c r="D463" s="1"/>
    </row>
    <row r="464" spans="1:4" x14ac:dyDescent="0.3">
      <c r="A464" s="1"/>
      <c r="B464" s="1" t="str">
        <f>IFERROR(IF(LEFT(Sensitivität_bzw_Monte_Carlo_bei_Strom[[#This Row],[Source.Name]],SEARCH("aus_der",Sensitivität_bzw_Monte_Carlo_bei_Strom[[#This Row],[Source.Name]],1))="Auszahlung_a","Auszahlung",""),"")</f>
        <v/>
      </c>
      <c r="D464" s="1"/>
    </row>
    <row r="465" spans="1:4" x14ac:dyDescent="0.3">
      <c r="A465" s="1"/>
      <c r="B465" s="1" t="str">
        <f>IFERROR(IF(LEFT(Sensitivität_bzw_Monte_Carlo_bei_Strom[[#This Row],[Source.Name]],SEARCH("aus_der",Sensitivität_bzw_Monte_Carlo_bei_Strom[[#This Row],[Source.Name]],1))="Auszahlung_a","Auszahlung",""),"")</f>
        <v/>
      </c>
      <c r="D465" s="1"/>
    </row>
    <row r="466" spans="1:4" x14ac:dyDescent="0.3">
      <c r="A466" s="1"/>
      <c r="B466" s="1" t="str">
        <f>IFERROR(IF(LEFT(Sensitivität_bzw_Monte_Carlo_bei_Strom[[#This Row],[Source.Name]],SEARCH("aus_der",Sensitivität_bzw_Monte_Carlo_bei_Strom[[#This Row],[Source.Name]],1))="Auszahlung_a","Auszahlung",""),"")</f>
        <v/>
      </c>
      <c r="D466" s="1"/>
    </row>
    <row r="467" spans="1:4" x14ac:dyDescent="0.3">
      <c r="A467" s="1"/>
      <c r="B467" s="1" t="str">
        <f>IFERROR(IF(LEFT(Sensitivität_bzw_Monte_Carlo_bei_Strom[[#This Row],[Source.Name]],SEARCH("aus_der",Sensitivität_bzw_Monte_Carlo_bei_Strom[[#This Row],[Source.Name]],1))="Auszahlung_a","Auszahlung",""),"")</f>
        <v/>
      </c>
      <c r="D467" s="1"/>
    </row>
    <row r="468" spans="1:4" x14ac:dyDescent="0.3">
      <c r="A468" s="1"/>
      <c r="B468" s="1" t="str">
        <f>IFERROR(IF(LEFT(Sensitivität_bzw_Monte_Carlo_bei_Strom[[#This Row],[Source.Name]],SEARCH("aus_der",Sensitivität_bzw_Monte_Carlo_bei_Strom[[#This Row],[Source.Name]],1))="Auszahlung_a","Auszahlung",""),"")</f>
        <v/>
      </c>
      <c r="D468" s="1"/>
    </row>
    <row r="469" spans="1:4" x14ac:dyDescent="0.3">
      <c r="A469" s="1"/>
      <c r="B469" s="1" t="str">
        <f>IFERROR(IF(LEFT(Sensitivität_bzw_Monte_Carlo_bei_Strom[[#This Row],[Source.Name]],SEARCH("aus_der",Sensitivität_bzw_Monte_Carlo_bei_Strom[[#This Row],[Source.Name]],1))="Auszahlung_a","Auszahlung",""),"")</f>
        <v/>
      </c>
      <c r="D469" s="1"/>
    </row>
    <row r="470" spans="1:4" x14ac:dyDescent="0.3">
      <c r="A470" s="1"/>
      <c r="B470" s="1" t="str">
        <f>IFERROR(IF(LEFT(Sensitivität_bzw_Monte_Carlo_bei_Strom[[#This Row],[Source.Name]],SEARCH("aus_der",Sensitivität_bzw_Monte_Carlo_bei_Strom[[#This Row],[Source.Name]],1))="Auszahlung_a","Auszahlung",""),"")</f>
        <v/>
      </c>
      <c r="D470" s="1"/>
    </row>
    <row r="471" spans="1:4" x14ac:dyDescent="0.3">
      <c r="A471" s="1"/>
      <c r="B471" s="1" t="str">
        <f>IFERROR(IF(LEFT(Sensitivität_bzw_Monte_Carlo_bei_Strom[[#This Row],[Source.Name]],SEARCH("aus_der",Sensitivität_bzw_Monte_Carlo_bei_Strom[[#This Row],[Source.Name]],1))="Auszahlung_a","Auszahlung",""),"")</f>
        <v/>
      </c>
      <c r="D471" s="1"/>
    </row>
    <row r="472" spans="1:4" x14ac:dyDescent="0.3">
      <c r="A472" s="1"/>
      <c r="B472" s="1" t="str">
        <f>IFERROR(IF(LEFT(Sensitivität_bzw_Monte_Carlo_bei_Strom[[#This Row],[Source.Name]],SEARCH("aus_der",Sensitivität_bzw_Monte_Carlo_bei_Strom[[#This Row],[Source.Name]],1))="Auszahlung_a","Auszahlung",""),"")</f>
        <v/>
      </c>
      <c r="D472" s="1"/>
    </row>
    <row r="473" spans="1:4" x14ac:dyDescent="0.3">
      <c r="A473" s="1"/>
      <c r="B473" s="1" t="str">
        <f>IFERROR(IF(LEFT(Sensitivität_bzw_Monte_Carlo_bei_Strom[[#This Row],[Source.Name]],SEARCH("aus_der",Sensitivität_bzw_Monte_Carlo_bei_Strom[[#This Row],[Source.Name]],1))="Auszahlung_a","Auszahlung",""),"")</f>
        <v/>
      </c>
      <c r="D473" s="1"/>
    </row>
    <row r="474" spans="1:4" x14ac:dyDescent="0.3">
      <c r="A474" s="1"/>
      <c r="B474" s="1" t="str">
        <f>IFERROR(IF(LEFT(Sensitivität_bzw_Monte_Carlo_bei_Strom[[#This Row],[Source.Name]],SEARCH("aus_der",Sensitivität_bzw_Monte_Carlo_bei_Strom[[#This Row],[Source.Name]],1))="Auszahlung_a","Auszahlung",""),"")</f>
        <v/>
      </c>
      <c r="D474" s="1"/>
    </row>
    <row r="475" spans="1:4" x14ac:dyDescent="0.3">
      <c r="A475" s="1"/>
      <c r="B475" s="1" t="str">
        <f>IFERROR(IF(LEFT(Sensitivität_bzw_Monte_Carlo_bei_Strom[[#This Row],[Source.Name]],SEARCH("aus_der",Sensitivität_bzw_Monte_Carlo_bei_Strom[[#This Row],[Source.Name]],1))="Auszahlung_a","Auszahlung",""),"")</f>
        <v/>
      </c>
      <c r="D475" s="1"/>
    </row>
    <row r="476" spans="1:4" x14ac:dyDescent="0.3">
      <c r="A476" s="1"/>
      <c r="B476" s="1" t="str">
        <f>IFERROR(IF(LEFT(Sensitivität_bzw_Monte_Carlo_bei_Strom[[#This Row],[Source.Name]],SEARCH("aus_der",Sensitivität_bzw_Monte_Carlo_bei_Strom[[#This Row],[Source.Name]],1))="Auszahlung_a","Auszahlung",""),"")</f>
        <v/>
      </c>
      <c r="D476" s="1"/>
    </row>
    <row r="477" spans="1:4" x14ac:dyDescent="0.3">
      <c r="A477" s="1"/>
      <c r="B477" s="1" t="str">
        <f>IFERROR(IF(LEFT(Sensitivität_bzw_Monte_Carlo_bei_Strom[[#This Row],[Source.Name]],SEARCH("aus_der",Sensitivität_bzw_Monte_Carlo_bei_Strom[[#This Row],[Source.Name]],1))="Auszahlung_a","Auszahlung",""),"")</f>
        <v/>
      </c>
      <c r="D477" s="1"/>
    </row>
    <row r="478" spans="1:4" x14ac:dyDescent="0.3">
      <c r="A478" s="1"/>
      <c r="B478" s="1" t="str">
        <f>IFERROR(IF(LEFT(Sensitivität_bzw_Monte_Carlo_bei_Strom[[#This Row],[Source.Name]],SEARCH("aus_der",Sensitivität_bzw_Monte_Carlo_bei_Strom[[#This Row],[Source.Name]],1))="Auszahlung_a","Auszahlung",""),"")</f>
        <v/>
      </c>
      <c r="D478" s="1"/>
    </row>
    <row r="479" spans="1:4" x14ac:dyDescent="0.3">
      <c r="A479" s="1"/>
      <c r="B479" s="1" t="str">
        <f>IFERROR(IF(LEFT(Sensitivität_bzw_Monte_Carlo_bei_Strom[[#This Row],[Source.Name]],SEARCH("aus_der",Sensitivität_bzw_Monte_Carlo_bei_Strom[[#This Row],[Source.Name]],1))="Auszahlung_a","Auszahlung",""),"")</f>
        <v/>
      </c>
      <c r="D479" s="1"/>
    </row>
    <row r="480" spans="1:4" x14ac:dyDescent="0.3">
      <c r="A480" s="1"/>
      <c r="B480" s="1" t="str">
        <f>IFERROR(IF(LEFT(Sensitivität_bzw_Monte_Carlo_bei_Strom[[#This Row],[Source.Name]],SEARCH("aus_der",Sensitivität_bzw_Monte_Carlo_bei_Strom[[#This Row],[Source.Name]],1))="Auszahlung_a","Auszahlung",""),"")</f>
        <v/>
      </c>
      <c r="D480" s="1"/>
    </row>
    <row r="481" spans="1:4" x14ac:dyDescent="0.3">
      <c r="A481" s="1"/>
      <c r="B481" s="1" t="str">
        <f>IFERROR(IF(LEFT(Sensitivität_bzw_Monte_Carlo_bei_Strom[[#This Row],[Source.Name]],SEARCH("aus_der",Sensitivität_bzw_Monte_Carlo_bei_Strom[[#This Row],[Source.Name]],1))="Auszahlung_a","Auszahlung",""),"")</f>
        <v/>
      </c>
      <c r="D481" s="1"/>
    </row>
    <row r="482" spans="1:4" x14ac:dyDescent="0.3">
      <c r="A482" s="1"/>
      <c r="B482" s="1" t="str">
        <f>IFERROR(IF(LEFT(Sensitivität_bzw_Monte_Carlo_bei_Strom[[#This Row],[Source.Name]],SEARCH("aus_der",Sensitivität_bzw_Monte_Carlo_bei_Strom[[#This Row],[Source.Name]],1))="Auszahlung_a","Auszahlung",""),"")</f>
        <v/>
      </c>
      <c r="D482" s="1"/>
    </row>
    <row r="483" spans="1:4" x14ac:dyDescent="0.3">
      <c r="A483" s="1"/>
      <c r="B483" s="1" t="str">
        <f>IFERROR(IF(LEFT(Sensitivität_bzw_Monte_Carlo_bei_Strom[[#This Row],[Source.Name]],SEARCH("aus_der",Sensitivität_bzw_Monte_Carlo_bei_Strom[[#This Row],[Source.Name]],1))="Auszahlung_a","Auszahlung",""),"")</f>
        <v/>
      </c>
      <c r="D483" s="1"/>
    </row>
    <row r="484" spans="1:4" x14ac:dyDescent="0.3">
      <c r="A484" s="1"/>
      <c r="B484" s="1" t="str">
        <f>IFERROR(IF(LEFT(Sensitivität_bzw_Monte_Carlo_bei_Strom[[#This Row],[Source.Name]],SEARCH("aus_der",Sensitivität_bzw_Monte_Carlo_bei_Strom[[#This Row],[Source.Name]],1))="Auszahlung_a","Auszahlung",""),"")</f>
        <v/>
      </c>
      <c r="D484" s="1"/>
    </row>
    <row r="485" spans="1:4" x14ac:dyDescent="0.3">
      <c r="A485" s="1"/>
      <c r="B485" s="1" t="str">
        <f>IFERROR(IF(LEFT(Sensitivität_bzw_Monte_Carlo_bei_Strom[[#This Row],[Source.Name]],SEARCH("aus_der",Sensitivität_bzw_Monte_Carlo_bei_Strom[[#This Row],[Source.Name]],1))="Auszahlung_a","Auszahlung",""),"")</f>
        <v/>
      </c>
      <c r="D485" s="1"/>
    </row>
    <row r="486" spans="1:4" x14ac:dyDescent="0.3">
      <c r="A486" s="1"/>
      <c r="B486" s="1" t="str">
        <f>IFERROR(IF(LEFT(Sensitivität_bzw_Monte_Carlo_bei_Strom[[#This Row],[Source.Name]],SEARCH("aus_der",Sensitivität_bzw_Monte_Carlo_bei_Strom[[#This Row],[Source.Name]],1))="Auszahlung_a","Auszahlung",""),"")</f>
        <v/>
      </c>
      <c r="D486" s="1"/>
    </row>
    <row r="487" spans="1:4" x14ac:dyDescent="0.3">
      <c r="A487" s="1"/>
      <c r="B487" s="1" t="str">
        <f>IFERROR(IF(LEFT(Sensitivität_bzw_Monte_Carlo_bei_Strom[[#This Row],[Source.Name]],SEARCH("aus_der",Sensitivität_bzw_Monte_Carlo_bei_Strom[[#This Row],[Source.Name]],1))="Auszahlung_a","Auszahlung",""),"")</f>
        <v/>
      </c>
      <c r="D487" s="1"/>
    </row>
    <row r="488" spans="1:4" x14ac:dyDescent="0.3">
      <c r="A488" s="1"/>
      <c r="B488" s="1" t="str">
        <f>IFERROR(IF(LEFT(Sensitivität_bzw_Monte_Carlo_bei_Strom[[#This Row],[Source.Name]],SEARCH("aus_der",Sensitivität_bzw_Monte_Carlo_bei_Strom[[#This Row],[Source.Name]],1))="Auszahlung_a","Auszahlung",""),"")</f>
        <v/>
      </c>
      <c r="D488" s="1"/>
    </row>
    <row r="489" spans="1:4" x14ac:dyDescent="0.3">
      <c r="A489" s="1"/>
      <c r="B489" s="1" t="str">
        <f>IFERROR(IF(LEFT(Sensitivität_bzw_Monte_Carlo_bei_Strom[[#This Row],[Source.Name]],SEARCH("aus_der",Sensitivität_bzw_Monte_Carlo_bei_Strom[[#This Row],[Source.Name]],1))="Auszahlung_a","Auszahlung",""),"")</f>
        <v/>
      </c>
      <c r="D489" s="1"/>
    </row>
    <row r="490" spans="1:4" x14ac:dyDescent="0.3">
      <c r="A490" s="1"/>
      <c r="B490" s="1" t="str">
        <f>IFERROR(IF(LEFT(Sensitivität_bzw_Monte_Carlo_bei_Strom[[#This Row],[Source.Name]],SEARCH("aus_der",Sensitivität_bzw_Monte_Carlo_bei_Strom[[#This Row],[Source.Name]],1))="Auszahlung_a","Auszahlung",""),"")</f>
        <v/>
      </c>
      <c r="D490" s="1"/>
    </row>
    <row r="491" spans="1:4" x14ac:dyDescent="0.3">
      <c r="A491" s="1"/>
      <c r="B491" s="1" t="str">
        <f>IFERROR(IF(LEFT(Sensitivität_bzw_Monte_Carlo_bei_Strom[[#This Row],[Source.Name]],SEARCH("aus_der",Sensitivität_bzw_Monte_Carlo_bei_Strom[[#This Row],[Source.Name]],1))="Auszahlung_a","Auszahlung",""),"")</f>
        <v/>
      </c>
      <c r="D491" s="1"/>
    </row>
    <row r="492" spans="1:4" x14ac:dyDescent="0.3">
      <c r="A492" s="1"/>
      <c r="B492" s="1" t="str">
        <f>IFERROR(IF(LEFT(Sensitivität_bzw_Monte_Carlo_bei_Strom[[#This Row],[Source.Name]],SEARCH("aus_der",Sensitivität_bzw_Monte_Carlo_bei_Strom[[#This Row],[Source.Name]],1))="Auszahlung_a","Auszahlung",""),"")</f>
        <v/>
      </c>
      <c r="D492" s="1"/>
    </row>
    <row r="493" spans="1:4" x14ac:dyDescent="0.3">
      <c r="A493" s="1"/>
      <c r="B493" s="1" t="str">
        <f>IFERROR(IF(LEFT(Sensitivität_bzw_Monte_Carlo_bei_Strom[[#This Row],[Source.Name]],SEARCH("aus_der",Sensitivität_bzw_Monte_Carlo_bei_Strom[[#This Row],[Source.Name]],1))="Auszahlung_a","Auszahlung",""),"")</f>
        <v/>
      </c>
      <c r="D493" s="1"/>
    </row>
    <row r="494" spans="1:4" x14ac:dyDescent="0.3">
      <c r="A494" s="1"/>
      <c r="B494" s="1" t="str">
        <f>IFERROR(IF(LEFT(Sensitivität_bzw_Monte_Carlo_bei_Strom[[#This Row],[Source.Name]],SEARCH("aus_der",Sensitivität_bzw_Monte_Carlo_bei_Strom[[#This Row],[Source.Name]],1))="Auszahlung_a","Auszahlung",""),"")</f>
        <v/>
      </c>
      <c r="D494" s="1"/>
    </row>
    <row r="495" spans="1:4" x14ac:dyDescent="0.3">
      <c r="A495" s="1"/>
      <c r="B495" s="1" t="str">
        <f>IFERROR(IF(LEFT(Sensitivität_bzw_Monte_Carlo_bei_Strom[[#This Row],[Source.Name]],SEARCH("aus_der",Sensitivität_bzw_Monte_Carlo_bei_Strom[[#This Row],[Source.Name]],1))="Auszahlung_a","Auszahlung",""),"")</f>
        <v/>
      </c>
      <c r="D495" s="1"/>
    </row>
    <row r="496" spans="1:4" x14ac:dyDescent="0.3">
      <c r="A496" s="1"/>
      <c r="B496" s="1" t="str">
        <f>IFERROR(IF(LEFT(Sensitivität_bzw_Monte_Carlo_bei_Strom[[#This Row],[Source.Name]],SEARCH("aus_der",Sensitivität_bzw_Monte_Carlo_bei_Strom[[#This Row],[Source.Name]],1))="Auszahlung_a","Auszahlung",""),"")</f>
        <v/>
      </c>
      <c r="D496" s="1"/>
    </row>
    <row r="497" spans="1:4" x14ac:dyDescent="0.3">
      <c r="A497" s="1"/>
      <c r="B497" s="1" t="str">
        <f>IFERROR(IF(LEFT(Sensitivität_bzw_Monte_Carlo_bei_Strom[[#This Row],[Source.Name]],SEARCH("aus_der",Sensitivität_bzw_Monte_Carlo_bei_Strom[[#This Row],[Source.Name]],1))="Auszahlung_a","Auszahlung",""),"")</f>
        <v/>
      </c>
      <c r="D497" s="1"/>
    </row>
    <row r="498" spans="1:4" x14ac:dyDescent="0.3">
      <c r="A498" s="1"/>
      <c r="B498" s="1" t="str">
        <f>IFERROR(IF(LEFT(Sensitivität_bzw_Monte_Carlo_bei_Strom[[#This Row],[Source.Name]],SEARCH("aus_der",Sensitivität_bzw_Monte_Carlo_bei_Strom[[#This Row],[Source.Name]],1))="Auszahlung_a","Auszahlung",""),"")</f>
        <v/>
      </c>
      <c r="D498" s="1"/>
    </row>
    <row r="499" spans="1:4" x14ac:dyDescent="0.3">
      <c r="A499" s="1"/>
      <c r="B499" s="1" t="str">
        <f>IFERROR(IF(LEFT(Sensitivität_bzw_Monte_Carlo_bei_Strom[[#This Row],[Source.Name]],SEARCH("aus_der",Sensitivität_bzw_Monte_Carlo_bei_Strom[[#This Row],[Source.Name]],1))="Auszahlung_a","Auszahlung",""),"")</f>
        <v/>
      </c>
      <c r="D499" s="1"/>
    </row>
    <row r="500" spans="1:4" x14ac:dyDescent="0.3">
      <c r="A500" s="1"/>
      <c r="B500" s="1" t="str">
        <f>IFERROR(IF(LEFT(Sensitivität_bzw_Monte_Carlo_bei_Strom[[#This Row],[Source.Name]],SEARCH("aus_der",Sensitivität_bzw_Monte_Carlo_bei_Strom[[#This Row],[Source.Name]],1))="Auszahlung_a","Auszahlung",""),"")</f>
        <v/>
      </c>
      <c r="D500" s="1"/>
    </row>
    <row r="501" spans="1:4" x14ac:dyDescent="0.3">
      <c r="A501" s="1"/>
      <c r="B501" s="1" t="str">
        <f>IFERROR(IF(LEFT(Sensitivität_bzw_Monte_Carlo_bei_Strom[[#This Row],[Source.Name]],SEARCH("aus_der",Sensitivität_bzw_Monte_Carlo_bei_Strom[[#This Row],[Source.Name]],1))="Auszahlung_a","Auszahlung",""),"")</f>
        <v/>
      </c>
      <c r="D501" s="1"/>
    </row>
    <row r="502" spans="1:4" x14ac:dyDescent="0.3">
      <c r="A502" s="1"/>
      <c r="B502" s="1" t="str">
        <f>IFERROR(IF(LEFT(Sensitivität_bzw_Monte_Carlo_bei_Strom[[#This Row],[Source.Name]],SEARCH("aus_der",Sensitivität_bzw_Monte_Carlo_bei_Strom[[#This Row],[Source.Name]],1))="Auszahlung_a","Auszahlung",""),"")</f>
        <v/>
      </c>
      <c r="D502" s="1"/>
    </row>
    <row r="503" spans="1:4" x14ac:dyDescent="0.3">
      <c r="A503" s="1"/>
      <c r="B503" s="1" t="str">
        <f>IFERROR(IF(LEFT(Sensitivität_bzw_Monte_Carlo_bei_Strom[[#This Row],[Source.Name]],SEARCH("aus_der",Sensitivität_bzw_Monte_Carlo_bei_Strom[[#This Row],[Source.Name]],1))="Auszahlung_a","Auszahlung",""),"")</f>
        <v/>
      </c>
      <c r="D503" s="1"/>
    </row>
    <row r="504" spans="1:4" x14ac:dyDescent="0.3">
      <c r="A504" s="1"/>
      <c r="B504" s="1" t="str">
        <f>IFERROR(IF(LEFT(Sensitivität_bzw_Monte_Carlo_bei_Strom[[#This Row],[Source.Name]],SEARCH("aus_der",Sensitivität_bzw_Monte_Carlo_bei_Strom[[#This Row],[Source.Name]],1))="Auszahlung_a","Auszahlung",""),"")</f>
        <v/>
      </c>
      <c r="D504" s="1"/>
    </row>
    <row r="505" spans="1:4" x14ac:dyDescent="0.3">
      <c r="A505" s="1"/>
      <c r="B505" s="1" t="str">
        <f>IFERROR(IF(LEFT(Sensitivität_bzw_Monte_Carlo_bei_Strom[[#This Row],[Source.Name]],SEARCH("aus_der",Sensitivität_bzw_Monte_Carlo_bei_Strom[[#This Row],[Source.Name]],1))="Auszahlung_a","Auszahlung",""),"")</f>
        <v/>
      </c>
      <c r="D505" s="1"/>
    </row>
    <row r="506" spans="1:4" x14ac:dyDescent="0.3">
      <c r="A506" s="1"/>
      <c r="B506" s="1" t="str">
        <f>IFERROR(IF(LEFT(Sensitivität_bzw_Monte_Carlo_bei_Strom[[#This Row],[Source.Name]],SEARCH("aus_der",Sensitivität_bzw_Monte_Carlo_bei_Strom[[#This Row],[Source.Name]],1))="Auszahlung_a","Auszahlung",""),"")</f>
        <v/>
      </c>
      <c r="D506" s="1"/>
    </row>
    <row r="507" spans="1:4" x14ac:dyDescent="0.3">
      <c r="A507" s="1"/>
      <c r="B507" s="1" t="str">
        <f>IFERROR(IF(LEFT(Sensitivität_bzw_Monte_Carlo_bei_Strom[[#This Row],[Source.Name]],SEARCH("aus_der",Sensitivität_bzw_Monte_Carlo_bei_Strom[[#This Row],[Source.Name]],1))="Auszahlung_a","Auszahlung",""),"")</f>
        <v/>
      </c>
      <c r="D507" s="1"/>
    </row>
    <row r="508" spans="1:4" x14ac:dyDescent="0.3">
      <c r="A508" s="1"/>
      <c r="B508" s="1" t="str">
        <f>IFERROR(IF(LEFT(Sensitivität_bzw_Monte_Carlo_bei_Strom[[#This Row],[Source.Name]],SEARCH("aus_der",Sensitivität_bzw_Monte_Carlo_bei_Strom[[#This Row],[Source.Name]],1))="Auszahlung_a","Auszahlung",""),"")</f>
        <v/>
      </c>
      <c r="D508" s="1"/>
    </row>
    <row r="509" spans="1:4" x14ac:dyDescent="0.3">
      <c r="A509" s="1"/>
      <c r="B509" s="1" t="str">
        <f>IFERROR(IF(LEFT(Sensitivität_bzw_Monte_Carlo_bei_Strom[[#This Row],[Source.Name]],SEARCH("aus_der",Sensitivität_bzw_Monte_Carlo_bei_Strom[[#This Row],[Source.Name]],1))="Auszahlung_a","Auszahlung",""),"")</f>
        <v/>
      </c>
      <c r="D509" s="1"/>
    </row>
    <row r="510" spans="1:4" x14ac:dyDescent="0.3">
      <c r="A510" s="1"/>
      <c r="B510" s="1" t="str">
        <f>IFERROR(IF(LEFT(Sensitivität_bzw_Monte_Carlo_bei_Strom[[#This Row],[Source.Name]],SEARCH("aus_der",Sensitivität_bzw_Monte_Carlo_bei_Strom[[#This Row],[Source.Name]],1))="Auszahlung_a","Auszahlung",""),"")</f>
        <v/>
      </c>
      <c r="D510" s="1"/>
    </row>
    <row r="511" spans="1:4" x14ac:dyDescent="0.3">
      <c r="A511" s="1"/>
      <c r="B511" s="1" t="str">
        <f>IFERROR(IF(LEFT(Sensitivität_bzw_Monte_Carlo_bei_Strom[[#This Row],[Source.Name]],SEARCH("aus_der",Sensitivität_bzw_Monte_Carlo_bei_Strom[[#This Row],[Source.Name]],1))="Auszahlung_a","Auszahlung",""),"")</f>
        <v/>
      </c>
      <c r="D511" s="1"/>
    </row>
    <row r="512" spans="1:4" x14ac:dyDescent="0.3">
      <c r="A512" s="1"/>
      <c r="B512" s="1" t="str">
        <f>IFERROR(IF(LEFT(Sensitivität_bzw_Monte_Carlo_bei_Strom[[#This Row],[Source.Name]],SEARCH("aus_der",Sensitivität_bzw_Monte_Carlo_bei_Strom[[#This Row],[Source.Name]],1))="Auszahlung_a","Auszahlung",""),"")</f>
        <v/>
      </c>
      <c r="D512" s="1"/>
    </row>
    <row r="513" spans="1:4" x14ac:dyDescent="0.3">
      <c r="A513" s="1"/>
      <c r="B513" s="1" t="str">
        <f>IFERROR(IF(LEFT(Sensitivität_bzw_Monte_Carlo_bei_Strom[[#This Row],[Source.Name]],SEARCH("aus_der",Sensitivität_bzw_Monte_Carlo_bei_Strom[[#This Row],[Source.Name]],1))="Auszahlung_a","Auszahlung",""),"")</f>
        <v/>
      </c>
      <c r="D513" s="1"/>
    </row>
    <row r="514" spans="1:4" x14ac:dyDescent="0.3">
      <c r="A514" s="1"/>
      <c r="B514" s="1" t="str">
        <f>IFERROR(IF(LEFT(Sensitivität_bzw_Monte_Carlo_bei_Strom[[#This Row],[Source.Name]],SEARCH("aus_der",Sensitivität_bzw_Monte_Carlo_bei_Strom[[#This Row],[Source.Name]],1))="Auszahlung_a","Auszahlung",""),"")</f>
        <v/>
      </c>
      <c r="D514" s="1"/>
    </row>
    <row r="515" spans="1:4" x14ac:dyDescent="0.3">
      <c r="A515" s="1"/>
      <c r="B515" s="1" t="str">
        <f>IFERROR(IF(LEFT(Sensitivität_bzw_Monte_Carlo_bei_Strom[[#This Row],[Source.Name]],SEARCH("aus_der",Sensitivität_bzw_Monte_Carlo_bei_Strom[[#This Row],[Source.Name]],1))="Auszahlung_a","Auszahlung",""),"")</f>
        <v/>
      </c>
      <c r="D515" s="1"/>
    </row>
    <row r="516" spans="1:4" x14ac:dyDescent="0.3">
      <c r="A516" s="1"/>
      <c r="B516" s="1" t="str">
        <f>IFERROR(IF(LEFT(Sensitivität_bzw_Monte_Carlo_bei_Strom[[#This Row],[Source.Name]],SEARCH("aus_der",Sensitivität_bzw_Monte_Carlo_bei_Strom[[#This Row],[Source.Name]],1))="Auszahlung_a","Auszahlung",""),"")</f>
        <v/>
      </c>
      <c r="D516" s="1"/>
    </row>
    <row r="517" spans="1:4" x14ac:dyDescent="0.3">
      <c r="A517" s="1"/>
      <c r="B517" s="1" t="str">
        <f>IFERROR(IF(LEFT(Sensitivität_bzw_Monte_Carlo_bei_Strom[[#This Row],[Source.Name]],SEARCH("aus_der",Sensitivität_bzw_Monte_Carlo_bei_Strom[[#This Row],[Source.Name]],1))="Auszahlung_a","Auszahlung",""),"")</f>
        <v/>
      </c>
      <c r="D517" s="1"/>
    </row>
    <row r="518" spans="1:4" x14ac:dyDescent="0.3">
      <c r="A518" s="1"/>
      <c r="B518" s="1" t="str">
        <f>IFERROR(IF(LEFT(Sensitivität_bzw_Monte_Carlo_bei_Strom[[#This Row],[Source.Name]],SEARCH("aus_der",Sensitivität_bzw_Monte_Carlo_bei_Strom[[#This Row],[Source.Name]],1))="Auszahlung_a","Auszahlung",""),"")</f>
        <v/>
      </c>
      <c r="D518" s="1"/>
    </row>
    <row r="519" spans="1:4" x14ac:dyDescent="0.3">
      <c r="A519" s="1"/>
      <c r="B519" s="1" t="str">
        <f>IFERROR(IF(LEFT(Sensitivität_bzw_Monte_Carlo_bei_Strom[[#This Row],[Source.Name]],SEARCH("aus_der",Sensitivität_bzw_Monte_Carlo_bei_Strom[[#This Row],[Source.Name]],1))="Auszahlung_a","Auszahlung",""),"")</f>
        <v/>
      </c>
      <c r="D519" s="1"/>
    </row>
    <row r="520" spans="1:4" x14ac:dyDescent="0.3">
      <c r="A520" s="1"/>
      <c r="B520" s="1" t="str">
        <f>IFERROR(IF(LEFT(Sensitivität_bzw_Monte_Carlo_bei_Strom[[#This Row],[Source.Name]],SEARCH("aus_der",Sensitivität_bzw_Monte_Carlo_bei_Strom[[#This Row],[Source.Name]],1))="Auszahlung_a","Auszahlung",""),"")</f>
        <v/>
      </c>
      <c r="D520" s="1"/>
    </row>
    <row r="521" spans="1:4" x14ac:dyDescent="0.3">
      <c r="A521" s="1"/>
      <c r="B521" s="1" t="str">
        <f>IFERROR(IF(LEFT(Sensitivität_bzw_Monte_Carlo_bei_Strom[[#This Row],[Source.Name]],SEARCH("aus_der",Sensitivität_bzw_Monte_Carlo_bei_Strom[[#This Row],[Source.Name]],1))="Auszahlung_a","Auszahlung",""),"")</f>
        <v/>
      </c>
      <c r="D521" s="1"/>
    </row>
    <row r="522" spans="1:4" x14ac:dyDescent="0.3">
      <c r="A522" s="1"/>
      <c r="B522" s="1" t="str">
        <f>IFERROR(IF(LEFT(Sensitivität_bzw_Monte_Carlo_bei_Strom[[#This Row],[Source.Name]],SEARCH("aus_der",Sensitivität_bzw_Monte_Carlo_bei_Strom[[#This Row],[Source.Name]],1))="Auszahlung_a","Auszahlung",""),"")</f>
        <v/>
      </c>
      <c r="D522" s="1"/>
    </row>
    <row r="523" spans="1:4" x14ac:dyDescent="0.3">
      <c r="A523" s="1"/>
      <c r="B523" s="1" t="str">
        <f>IFERROR(IF(LEFT(Sensitivität_bzw_Monte_Carlo_bei_Strom[[#This Row],[Source.Name]],SEARCH("aus_der",Sensitivität_bzw_Monte_Carlo_bei_Strom[[#This Row],[Source.Name]],1))="Auszahlung_a","Auszahlung",""),"")</f>
        <v/>
      </c>
      <c r="D523" s="1"/>
    </row>
    <row r="524" spans="1:4" x14ac:dyDescent="0.3">
      <c r="A524" s="1"/>
      <c r="B524" s="1" t="str">
        <f>IFERROR(IF(LEFT(Sensitivität_bzw_Monte_Carlo_bei_Strom[[#This Row],[Source.Name]],SEARCH("aus_der",Sensitivität_bzw_Monte_Carlo_bei_Strom[[#This Row],[Source.Name]],1))="Auszahlung_a","Auszahlung",""),"")</f>
        <v/>
      </c>
      <c r="D524" s="1"/>
    </row>
    <row r="525" spans="1:4" x14ac:dyDescent="0.3">
      <c r="A525" s="1"/>
      <c r="B525" s="1" t="str">
        <f>IFERROR(IF(LEFT(Sensitivität_bzw_Monte_Carlo_bei_Strom[[#This Row],[Source.Name]],SEARCH("aus_der",Sensitivität_bzw_Monte_Carlo_bei_Strom[[#This Row],[Source.Name]],1))="Auszahlung_a","Auszahlung",""),"")</f>
        <v/>
      </c>
      <c r="D525" s="1"/>
    </row>
    <row r="526" spans="1:4" x14ac:dyDescent="0.3">
      <c r="A526" s="1"/>
      <c r="B526" s="1" t="str">
        <f>IFERROR(IF(LEFT(Sensitivität_bzw_Monte_Carlo_bei_Strom[[#This Row],[Source.Name]],SEARCH("aus_der",Sensitivität_bzw_Monte_Carlo_bei_Strom[[#This Row],[Source.Name]],1))="Auszahlung_a","Auszahlung",""),"")</f>
        <v/>
      </c>
      <c r="D526" s="1"/>
    </row>
    <row r="527" spans="1:4" x14ac:dyDescent="0.3">
      <c r="A527" s="1"/>
      <c r="B527" s="1" t="str">
        <f>IFERROR(IF(LEFT(Sensitivität_bzw_Monte_Carlo_bei_Strom[[#This Row],[Source.Name]],SEARCH("aus_der",Sensitivität_bzw_Monte_Carlo_bei_Strom[[#This Row],[Source.Name]],1))="Auszahlung_a","Auszahlung",""),"")</f>
        <v/>
      </c>
      <c r="D527" s="1"/>
    </row>
    <row r="528" spans="1:4" x14ac:dyDescent="0.3">
      <c r="A528" s="1"/>
      <c r="B528" s="1" t="str">
        <f>IFERROR(IF(LEFT(Sensitivität_bzw_Monte_Carlo_bei_Strom[[#This Row],[Source.Name]],SEARCH("aus_der",Sensitivität_bzw_Monte_Carlo_bei_Strom[[#This Row],[Source.Name]],1))="Auszahlung_a","Auszahlung",""),"")</f>
        <v/>
      </c>
      <c r="D528" s="1"/>
    </row>
    <row r="529" spans="1:4" x14ac:dyDescent="0.3">
      <c r="A529" s="1"/>
      <c r="B529" s="1" t="str">
        <f>IFERROR(IF(LEFT(Sensitivität_bzw_Monte_Carlo_bei_Strom[[#This Row],[Source.Name]],SEARCH("aus_der",Sensitivität_bzw_Monte_Carlo_bei_Strom[[#This Row],[Source.Name]],1))="Auszahlung_a","Auszahlung",""),"")</f>
        <v/>
      </c>
      <c r="D529" s="1"/>
    </row>
    <row r="530" spans="1:4" x14ac:dyDescent="0.3">
      <c r="A530" s="1"/>
      <c r="B530" s="1" t="str">
        <f>IFERROR(IF(LEFT(Sensitivität_bzw_Monte_Carlo_bei_Strom[[#This Row],[Source.Name]],SEARCH("aus_der",Sensitivität_bzw_Monte_Carlo_bei_Strom[[#This Row],[Source.Name]],1))="Auszahlung_a","Auszahlung",""),"")</f>
        <v/>
      </c>
      <c r="D530" s="1"/>
    </row>
    <row r="531" spans="1:4" x14ac:dyDescent="0.3">
      <c r="A531" s="1"/>
      <c r="B531" s="1" t="str">
        <f>IFERROR(IF(LEFT(Sensitivität_bzw_Monte_Carlo_bei_Strom[[#This Row],[Source.Name]],SEARCH("aus_der",Sensitivität_bzw_Monte_Carlo_bei_Strom[[#This Row],[Source.Name]],1))="Auszahlung_a","Auszahlung",""),"")</f>
        <v/>
      </c>
      <c r="D531" s="1"/>
    </row>
    <row r="532" spans="1:4" x14ac:dyDescent="0.3">
      <c r="A532" s="1"/>
      <c r="B532" s="1" t="str">
        <f>IFERROR(IF(LEFT(Sensitivität_bzw_Monte_Carlo_bei_Strom[[#This Row],[Source.Name]],SEARCH("aus_der",Sensitivität_bzw_Monte_Carlo_bei_Strom[[#This Row],[Source.Name]],1))="Auszahlung_a","Auszahlung",""),"")</f>
        <v/>
      </c>
      <c r="D532" s="1"/>
    </row>
    <row r="533" spans="1:4" x14ac:dyDescent="0.3">
      <c r="A533" s="1"/>
      <c r="B533" s="1" t="str">
        <f>IFERROR(IF(LEFT(Sensitivität_bzw_Monte_Carlo_bei_Strom[[#This Row],[Source.Name]],SEARCH("aus_der",Sensitivität_bzw_Monte_Carlo_bei_Strom[[#This Row],[Source.Name]],1))="Auszahlung_a","Auszahlung",""),"")</f>
        <v/>
      </c>
      <c r="D533" s="1"/>
    </row>
    <row r="534" spans="1:4" x14ac:dyDescent="0.3">
      <c r="A534" s="1"/>
      <c r="B534" s="1" t="str">
        <f>IFERROR(IF(LEFT(Sensitivität_bzw_Monte_Carlo_bei_Strom[[#This Row],[Source.Name]],SEARCH("aus_der",Sensitivität_bzw_Monte_Carlo_bei_Strom[[#This Row],[Source.Name]],1))="Auszahlung_a","Auszahlung",""),"")</f>
        <v/>
      </c>
      <c r="D534" s="1"/>
    </row>
    <row r="535" spans="1:4" x14ac:dyDescent="0.3">
      <c r="A535" s="1"/>
      <c r="B535" s="1" t="str">
        <f>IFERROR(IF(LEFT(Sensitivität_bzw_Monte_Carlo_bei_Strom[[#This Row],[Source.Name]],SEARCH("aus_der",Sensitivität_bzw_Monte_Carlo_bei_Strom[[#This Row],[Source.Name]],1))="Auszahlung_a","Auszahlung",""),"")</f>
        <v/>
      </c>
      <c r="D535" s="1"/>
    </row>
    <row r="536" spans="1:4" x14ac:dyDescent="0.3">
      <c r="A536" s="1"/>
      <c r="B536" s="1" t="str">
        <f>IFERROR(IF(LEFT(Sensitivität_bzw_Monte_Carlo_bei_Strom[[#This Row],[Source.Name]],SEARCH("aus_der",Sensitivität_bzw_Monte_Carlo_bei_Strom[[#This Row],[Source.Name]],1))="Auszahlung_a","Auszahlung",""),"")</f>
        <v/>
      </c>
      <c r="D536" s="1"/>
    </row>
    <row r="537" spans="1:4" x14ac:dyDescent="0.3">
      <c r="A537" s="1"/>
      <c r="B537" s="1" t="str">
        <f>IFERROR(IF(LEFT(Sensitivität_bzw_Monte_Carlo_bei_Strom[[#This Row],[Source.Name]],SEARCH("aus_der",Sensitivität_bzw_Monte_Carlo_bei_Strom[[#This Row],[Source.Name]],1))="Auszahlung_a","Auszahlung",""),"")</f>
        <v/>
      </c>
      <c r="D537" s="1"/>
    </row>
    <row r="538" spans="1:4" x14ac:dyDescent="0.3">
      <c r="A538" s="1"/>
      <c r="B538" s="1" t="str">
        <f>IFERROR(IF(LEFT(Sensitivität_bzw_Monte_Carlo_bei_Strom[[#This Row],[Source.Name]],SEARCH("aus_der",Sensitivität_bzw_Monte_Carlo_bei_Strom[[#This Row],[Source.Name]],1))="Auszahlung_a","Auszahlung",""),"")</f>
        <v/>
      </c>
      <c r="D538" s="1"/>
    </row>
    <row r="539" spans="1:4" x14ac:dyDescent="0.3">
      <c r="A539" s="1"/>
      <c r="B539" s="1" t="str">
        <f>IFERROR(IF(LEFT(Sensitivität_bzw_Monte_Carlo_bei_Strom[[#This Row],[Source.Name]],SEARCH("aus_der",Sensitivität_bzw_Monte_Carlo_bei_Strom[[#This Row],[Source.Name]],1))="Auszahlung_a","Auszahlung",""),"")</f>
        <v/>
      </c>
      <c r="D539" s="1"/>
    </row>
    <row r="540" spans="1:4" x14ac:dyDescent="0.3">
      <c r="A540" s="1"/>
      <c r="B540" s="1" t="str">
        <f>IFERROR(IF(LEFT(Sensitivität_bzw_Monte_Carlo_bei_Strom[[#This Row],[Source.Name]],SEARCH("aus_der",Sensitivität_bzw_Monte_Carlo_bei_Strom[[#This Row],[Source.Name]],1))="Auszahlung_a","Auszahlung",""),"")</f>
        <v/>
      </c>
      <c r="D540" s="1"/>
    </row>
    <row r="541" spans="1:4" x14ac:dyDescent="0.3">
      <c r="A541" s="1"/>
      <c r="B541" s="1" t="str">
        <f>IFERROR(IF(LEFT(Sensitivität_bzw_Monte_Carlo_bei_Strom[[#This Row],[Source.Name]],SEARCH("aus_der",Sensitivität_bzw_Monte_Carlo_bei_Strom[[#This Row],[Source.Name]],1))="Auszahlung_a","Auszahlung",""),"")</f>
        <v/>
      </c>
      <c r="D541" s="1"/>
    </row>
    <row r="542" spans="1:4" x14ac:dyDescent="0.3">
      <c r="A542" s="1"/>
      <c r="B542" s="1" t="str">
        <f>IFERROR(IF(LEFT(Sensitivität_bzw_Monte_Carlo_bei_Strom[[#This Row],[Source.Name]],SEARCH("aus_der",Sensitivität_bzw_Monte_Carlo_bei_Strom[[#This Row],[Source.Name]],1))="Auszahlung_a","Auszahlung",""),"")</f>
        <v/>
      </c>
      <c r="D542" s="1"/>
    </row>
    <row r="543" spans="1:4" x14ac:dyDescent="0.3">
      <c r="A543" s="1"/>
      <c r="B543" s="1" t="str">
        <f>IFERROR(IF(LEFT(Sensitivität_bzw_Monte_Carlo_bei_Strom[[#This Row],[Source.Name]],SEARCH("aus_der",Sensitivität_bzw_Monte_Carlo_bei_Strom[[#This Row],[Source.Name]],1))="Auszahlung_a","Auszahlung",""),"")</f>
        <v/>
      </c>
      <c r="D543" s="1"/>
    </row>
    <row r="544" spans="1:4" x14ac:dyDescent="0.3">
      <c r="A544" s="1"/>
      <c r="B544" s="1" t="str">
        <f>IFERROR(IF(LEFT(Sensitivität_bzw_Monte_Carlo_bei_Strom[[#This Row],[Source.Name]],SEARCH("aus_der",Sensitivität_bzw_Monte_Carlo_bei_Strom[[#This Row],[Source.Name]],1))="Auszahlung_a","Auszahlung",""),"")</f>
        <v/>
      </c>
      <c r="D544" s="1"/>
    </row>
    <row r="545" spans="1:4" x14ac:dyDescent="0.3">
      <c r="A545" s="1"/>
      <c r="B545" s="1" t="str">
        <f>IFERROR(IF(LEFT(Sensitivität_bzw_Monte_Carlo_bei_Strom[[#This Row],[Source.Name]],SEARCH("aus_der",Sensitivität_bzw_Monte_Carlo_bei_Strom[[#This Row],[Source.Name]],1))="Auszahlung_a","Auszahlung",""),"")</f>
        <v/>
      </c>
      <c r="D545" s="1"/>
    </row>
    <row r="546" spans="1:4" x14ac:dyDescent="0.3">
      <c r="A546" s="1"/>
      <c r="B546" s="1" t="str">
        <f>IFERROR(IF(LEFT(Sensitivität_bzw_Monte_Carlo_bei_Strom[[#This Row],[Source.Name]],SEARCH("aus_der",Sensitivität_bzw_Monte_Carlo_bei_Strom[[#This Row],[Source.Name]],1))="Auszahlung_a","Auszahlung",""),"")</f>
        <v/>
      </c>
      <c r="D546" s="1"/>
    </row>
    <row r="547" spans="1:4" x14ac:dyDescent="0.3">
      <c r="A547" s="1"/>
      <c r="B547" s="1" t="str">
        <f>IFERROR(IF(LEFT(Sensitivität_bzw_Monte_Carlo_bei_Strom[[#This Row],[Source.Name]],SEARCH("aus_der",Sensitivität_bzw_Monte_Carlo_bei_Strom[[#This Row],[Source.Name]],1))="Auszahlung_a","Auszahlung",""),"")</f>
        <v/>
      </c>
      <c r="D547" s="1"/>
    </row>
    <row r="548" spans="1:4" x14ac:dyDescent="0.3">
      <c r="A548" s="1"/>
      <c r="B548" s="1" t="str">
        <f>IFERROR(IF(LEFT(Sensitivität_bzw_Monte_Carlo_bei_Strom[[#This Row],[Source.Name]],SEARCH("aus_der",Sensitivität_bzw_Monte_Carlo_bei_Strom[[#This Row],[Source.Name]],1))="Auszahlung_a","Auszahlung",""),"")</f>
        <v/>
      </c>
      <c r="D548" s="1"/>
    </row>
    <row r="549" spans="1:4" x14ac:dyDescent="0.3">
      <c r="A549" s="1"/>
      <c r="B549" s="1" t="str">
        <f>IFERROR(IF(LEFT(Sensitivität_bzw_Monte_Carlo_bei_Strom[[#This Row],[Source.Name]],SEARCH("aus_der",Sensitivität_bzw_Monte_Carlo_bei_Strom[[#This Row],[Source.Name]],1))="Auszahlung_a","Auszahlung",""),"")</f>
        <v/>
      </c>
      <c r="D549" s="1"/>
    </row>
    <row r="550" spans="1:4" x14ac:dyDescent="0.3">
      <c r="A550" s="1"/>
      <c r="B550" s="1" t="str">
        <f>IFERROR(IF(LEFT(Sensitivität_bzw_Monte_Carlo_bei_Strom[[#This Row],[Source.Name]],SEARCH("aus_der",Sensitivität_bzw_Monte_Carlo_bei_Strom[[#This Row],[Source.Name]],1))="Auszahlung_a","Auszahlung",""),"")</f>
        <v/>
      </c>
      <c r="D550" s="1"/>
    </row>
    <row r="551" spans="1:4" x14ac:dyDescent="0.3">
      <c r="A551" s="1"/>
      <c r="B551" s="1" t="str">
        <f>IFERROR(IF(LEFT(Sensitivität_bzw_Monte_Carlo_bei_Strom[[#This Row],[Source.Name]],SEARCH("aus_der",Sensitivität_bzw_Monte_Carlo_bei_Strom[[#This Row],[Source.Name]],1))="Auszahlung_a","Auszahlung",""),"")</f>
        <v/>
      </c>
      <c r="D551" s="1"/>
    </row>
    <row r="552" spans="1:4" x14ac:dyDescent="0.3">
      <c r="A552" s="1"/>
      <c r="B552" s="1" t="str">
        <f>IFERROR(IF(LEFT(Sensitivität_bzw_Monte_Carlo_bei_Strom[[#This Row],[Source.Name]],SEARCH("aus_der",Sensitivität_bzw_Monte_Carlo_bei_Strom[[#This Row],[Source.Name]],1))="Auszahlung_a","Auszahlung",""),"")</f>
        <v/>
      </c>
      <c r="D552" s="1"/>
    </row>
    <row r="553" spans="1:4" x14ac:dyDescent="0.3">
      <c r="A553" s="1"/>
      <c r="B553" s="1" t="str">
        <f>IFERROR(IF(LEFT(Sensitivität_bzw_Monte_Carlo_bei_Strom[[#This Row],[Source.Name]],SEARCH("aus_der",Sensitivität_bzw_Monte_Carlo_bei_Strom[[#This Row],[Source.Name]],1))="Auszahlung_a","Auszahlung",""),"")</f>
        <v/>
      </c>
      <c r="D553" s="1"/>
    </row>
    <row r="554" spans="1:4" x14ac:dyDescent="0.3">
      <c r="A554" s="1"/>
      <c r="B554" s="1" t="str">
        <f>IFERROR(IF(LEFT(Sensitivität_bzw_Monte_Carlo_bei_Strom[[#This Row],[Source.Name]],SEARCH("aus_der",Sensitivität_bzw_Monte_Carlo_bei_Strom[[#This Row],[Source.Name]],1))="Auszahlung_a","Auszahlung",""),"")</f>
        <v/>
      </c>
      <c r="D554" s="1"/>
    </row>
    <row r="555" spans="1:4" x14ac:dyDescent="0.3">
      <c r="A555" s="1"/>
      <c r="B555" s="1" t="str">
        <f>IFERROR(IF(LEFT(Sensitivität_bzw_Monte_Carlo_bei_Strom[[#This Row],[Source.Name]],SEARCH("aus_der",Sensitivität_bzw_Monte_Carlo_bei_Strom[[#This Row],[Source.Name]],1))="Auszahlung_a","Auszahlung",""),"")</f>
        <v/>
      </c>
      <c r="D555" s="1"/>
    </row>
    <row r="556" spans="1:4" x14ac:dyDescent="0.3">
      <c r="A556" s="1"/>
      <c r="B556" s="1" t="str">
        <f>IFERROR(IF(LEFT(Sensitivität_bzw_Monte_Carlo_bei_Strom[[#This Row],[Source.Name]],SEARCH("aus_der",Sensitivität_bzw_Monte_Carlo_bei_Strom[[#This Row],[Source.Name]],1))="Auszahlung_a","Auszahlung",""),"")</f>
        <v/>
      </c>
      <c r="D556" s="1"/>
    </row>
    <row r="557" spans="1:4" x14ac:dyDescent="0.3">
      <c r="A557" s="1"/>
      <c r="B557" s="1" t="str">
        <f>IFERROR(IF(LEFT(Sensitivität_bzw_Monte_Carlo_bei_Strom[[#This Row],[Source.Name]],SEARCH("aus_der",Sensitivität_bzw_Monte_Carlo_bei_Strom[[#This Row],[Source.Name]],1))="Auszahlung_a","Auszahlung",""),"")</f>
        <v/>
      </c>
      <c r="D557" s="1"/>
    </row>
    <row r="558" spans="1:4" x14ac:dyDescent="0.3">
      <c r="A558" s="1"/>
      <c r="B558" s="1" t="str">
        <f>IFERROR(IF(LEFT(Sensitivität_bzw_Monte_Carlo_bei_Strom[[#This Row],[Source.Name]],SEARCH("aus_der",Sensitivität_bzw_Monte_Carlo_bei_Strom[[#This Row],[Source.Name]],1))="Auszahlung_a","Auszahlung",""),"")</f>
        <v/>
      </c>
      <c r="D558" s="1"/>
    </row>
    <row r="559" spans="1:4" x14ac:dyDescent="0.3">
      <c r="A559" s="1"/>
      <c r="B559" s="1" t="str">
        <f>IFERROR(IF(LEFT(Sensitivität_bzw_Monte_Carlo_bei_Strom[[#This Row],[Source.Name]],SEARCH("aus_der",Sensitivität_bzw_Monte_Carlo_bei_Strom[[#This Row],[Source.Name]],1))="Auszahlung_a","Auszahlung",""),"")</f>
        <v/>
      </c>
      <c r="D559" s="1"/>
    </row>
    <row r="560" spans="1:4" x14ac:dyDescent="0.3">
      <c r="A560" s="1"/>
      <c r="B560" s="1" t="str">
        <f>IFERROR(IF(LEFT(Sensitivität_bzw_Monte_Carlo_bei_Strom[[#This Row],[Source.Name]],SEARCH("aus_der",Sensitivität_bzw_Monte_Carlo_bei_Strom[[#This Row],[Source.Name]],1))="Auszahlung_a","Auszahlung",""),"")</f>
        <v/>
      </c>
      <c r="D560" s="1"/>
    </row>
    <row r="561" spans="1:4" x14ac:dyDescent="0.3">
      <c r="A561" s="1"/>
      <c r="B561" s="1" t="str">
        <f>IFERROR(IF(LEFT(Sensitivität_bzw_Monte_Carlo_bei_Strom[[#This Row],[Source.Name]],SEARCH("aus_der",Sensitivität_bzw_Monte_Carlo_bei_Strom[[#This Row],[Source.Name]],1))="Auszahlung_a","Auszahlung",""),"")</f>
        <v/>
      </c>
      <c r="D561" s="1"/>
    </row>
    <row r="562" spans="1:4" x14ac:dyDescent="0.3">
      <c r="A562" s="1"/>
      <c r="B562" s="1" t="str">
        <f>IFERROR(IF(LEFT(Sensitivität_bzw_Monte_Carlo_bei_Strom[[#This Row],[Source.Name]],SEARCH("aus_der",Sensitivität_bzw_Monte_Carlo_bei_Strom[[#This Row],[Source.Name]],1))="Auszahlung_a","Auszahlung",""),"")</f>
        <v/>
      </c>
      <c r="D562" s="1"/>
    </row>
    <row r="563" spans="1:4" x14ac:dyDescent="0.3">
      <c r="A563" s="1"/>
      <c r="B563" s="1" t="str">
        <f>IFERROR(IF(LEFT(Sensitivität_bzw_Monte_Carlo_bei_Strom[[#This Row],[Source.Name]],SEARCH("aus_der",Sensitivität_bzw_Monte_Carlo_bei_Strom[[#This Row],[Source.Name]],1))="Auszahlung_a","Auszahlung",""),"")</f>
        <v/>
      </c>
      <c r="D563" s="1"/>
    </row>
    <row r="564" spans="1:4" x14ac:dyDescent="0.3">
      <c r="A564" s="1"/>
      <c r="B564" s="1" t="str">
        <f>IFERROR(IF(LEFT(Sensitivität_bzw_Monte_Carlo_bei_Strom[[#This Row],[Source.Name]],SEARCH("aus_der",Sensitivität_bzw_Monte_Carlo_bei_Strom[[#This Row],[Source.Name]],1))="Auszahlung_a","Auszahlung",""),"")</f>
        <v/>
      </c>
      <c r="D564" s="1"/>
    </row>
    <row r="565" spans="1:4" x14ac:dyDescent="0.3">
      <c r="A565" s="1"/>
      <c r="B565" s="1" t="str">
        <f>IFERROR(IF(LEFT(Sensitivität_bzw_Monte_Carlo_bei_Strom[[#This Row],[Source.Name]],SEARCH("aus_der",Sensitivität_bzw_Monte_Carlo_bei_Strom[[#This Row],[Source.Name]],1))="Auszahlung_a","Auszahlung",""),"")</f>
        <v/>
      </c>
      <c r="D565" s="1"/>
    </row>
    <row r="566" spans="1:4" x14ac:dyDescent="0.3">
      <c r="A566" s="1"/>
      <c r="B566" s="1" t="str">
        <f>IFERROR(IF(LEFT(Sensitivität_bzw_Monte_Carlo_bei_Strom[[#This Row],[Source.Name]],SEARCH("aus_der",Sensitivität_bzw_Monte_Carlo_bei_Strom[[#This Row],[Source.Name]],1))="Auszahlung_a","Auszahlung",""),"")</f>
        <v/>
      </c>
      <c r="D566" s="1"/>
    </row>
    <row r="567" spans="1:4" x14ac:dyDescent="0.3">
      <c r="A567" s="1"/>
      <c r="B567" s="1" t="str">
        <f>IFERROR(IF(LEFT(Sensitivität_bzw_Monte_Carlo_bei_Strom[[#This Row],[Source.Name]],SEARCH("aus_der",Sensitivität_bzw_Monte_Carlo_bei_Strom[[#This Row],[Source.Name]],1))="Auszahlung_a","Auszahlung",""),"")</f>
        <v/>
      </c>
      <c r="D567" s="1"/>
    </row>
    <row r="568" spans="1:4" x14ac:dyDescent="0.3">
      <c r="A568" s="1"/>
      <c r="B568" s="1" t="str">
        <f>IFERROR(IF(LEFT(Sensitivität_bzw_Monte_Carlo_bei_Strom[[#This Row],[Source.Name]],SEARCH("aus_der",Sensitivität_bzw_Monte_Carlo_bei_Strom[[#This Row],[Source.Name]],1))="Auszahlung_a","Auszahlung",""),"")</f>
        <v/>
      </c>
      <c r="D568" s="1"/>
    </row>
    <row r="569" spans="1:4" x14ac:dyDescent="0.3">
      <c r="A569" s="1"/>
      <c r="B569" s="1" t="str">
        <f>IFERROR(IF(LEFT(Sensitivität_bzw_Monte_Carlo_bei_Strom[[#This Row],[Source.Name]],SEARCH("aus_der",Sensitivität_bzw_Monte_Carlo_bei_Strom[[#This Row],[Source.Name]],1))="Auszahlung_a","Auszahlung",""),"")</f>
        <v/>
      </c>
      <c r="D569" s="1"/>
    </row>
    <row r="570" spans="1:4" x14ac:dyDescent="0.3">
      <c r="A570" s="1"/>
      <c r="B570" s="1" t="str">
        <f>IFERROR(IF(LEFT(Sensitivität_bzw_Monte_Carlo_bei_Strom[[#This Row],[Source.Name]],SEARCH("aus_der",Sensitivität_bzw_Monte_Carlo_bei_Strom[[#This Row],[Source.Name]],1))="Auszahlung_a","Auszahlung",""),"")</f>
        <v/>
      </c>
      <c r="D570" s="1"/>
    </row>
    <row r="571" spans="1:4" x14ac:dyDescent="0.3">
      <c r="A571" s="1"/>
      <c r="B571" s="1" t="str">
        <f>IFERROR(IF(LEFT(Sensitivität_bzw_Monte_Carlo_bei_Strom[[#This Row],[Source.Name]],SEARCH("aus_der",Sensitivität_bzw_Monte_Carlo_bei_Strom[[#This Row],[Source.Name]],1))="Auszahlung_a","Auszahlung",""),"")</f>
        <v/>
      </c>
      <c r="D571" s="1"/>
    </row>
    <row r="572" spans="1:4" x14ac:dyDescent="0.3">
      <c r="A572" s="1"/>
      <c r="B572" s="1" t="str">
        <f>IFERROR(IF(LEFT(Sensitivität_bzw_Monte_Carlo_bei_Strom[[#This Row],[Source.Name]],SEARCH("aus_der",Sensitivität_bzw_Monte_Carlo_bei_Strom[[#This Row],[Source.Name]],1))="Auszahlung_a","Auszahlung",""),"")</f>
        <v/>
      </c>
      <c r="D572" s="1"/>
    </row>
    <row r="573" spans="1:4" x14ac:dyDescent="0.3">
      <c r="A573" s="1"/>
      <c r="B573" s="1" t="str">
        <f>IFERROR(IF(LEFT(Sensitivität_bzw_Monte_Carlo_bei_Strom[[#This Row],[Source.Name]],SEARCH("aus_der",Sensitivität_bzw_Monte_Carlo_bei_Strom[[#This Row],[Source.Name]],1))="Auszahlung_a","Auszahlung",""),"")</f>
        <v/>
      </c>
      <c r="D573" s="1"/>
    </row>
    <row r="574" spans="1:4" x14ac:dyDescent="0.3">
      <c r="A574" s="1"/>
      <c r="B574" s="1" t="str">
        <f>IFERROR(IF(LEFT(Sensitivität_bzw_Monte_Carlo_bei_Strom[[#This Row],[Source.Name]],SEARCH("aus_der",Sensitivität_bzw_Monte_Carlo_bei_Strom[[#This Row],[Source.Name]],1))="Auszahlung_a","Auszahlung",""),"")</f>
        <v/>
      </c>
      <c r="D574" s="1"/>
    </row>
    <row r="575" spans="1:4" x14ac:dyDescent="0.3">
      <c r="A575" s="1"/>
      <c r="B575" s="1" t="str">
        <f>IFERROR(IF(LEFT(Sensitivität_bzw_Monte_Carlo_bei_Strom[[#This Row],[Source.Name]],SEARCH("aus_der",Sensitivität_bzw_Monte_Carlo_bei_Strom[[#This Row],[Source.Name]],1))="Auszahlung_a","Auszahlung",""),"")</f>
        <v/>
      </c>
      <c r="D575" s="1"/>
    </row>
    <row r="576" spans="1:4" x14ac:dyDescent="0.3">
      <c r="A576" s="1"/>
      <c r="B576" s="1" t="str">
        <f>IFERROR(IF(LEFT(Sensitivität_bzw_Monte_Carlo_bei_Strom[[#This Row],[Source.Name]],SEARCH("aus_der",Sensitivität_bzw_Monte_Carlo_bei_Strom[[#This Row],[Source.Name]],1))="Auszahlung_a","Auszahlung",""),"")</f>
        <v/>
      </c>
      <c r="D576" s="1"/>
    </row>
    <row r="577" spans="1:4" x14ac:dyDescent="0.3">
      <c r="A577" s="1"/>
      <c r="B577" s="1" t="str">
        <f>IFERROR(IF(LEFT(Sensitivität_bzw_Monte_Carlo_bei_Strom[[#This Row],[Source.Name]],SEARCH("aus_der",Sensitivität_bzw_Monte_Carlo_bei_Strom[[#This Row],[Source.Name]],1))="Auszahlung_a","Auszahlung",""),"")</f>
        <v/>
      </c>
      <c r="D577" s="1"/>
    </row>
    <row r="578" spans="1:4" x14ac:dyDescent="0.3">
      <c r="A578" s="1"/>
      <c r="B578" s="1" t="str">
        <f>IFERROR(IF(LEFT(Sensitivität_bzw_Monte_Carlo_bei_Strom[[#This Row],[Source.Name]],SEARCH("aus_der",Sensitivität_bzw_Monte_Carlo_bei_Strom[[#This Row],[Source.Name]],1))="Auszahlung_a","Auszahlung",""),"")</f>
        <v/>
      </c>
      <c r="D578" s="1"/>
    </row>
    <row r="579" spans="1:4" x14ac:dyDescent="0.3">
      <c r="A579" s="1"/>
      <c r="B579" s="1" t="str">
        <f>IFERROR(IF(LEFT(Sensitivität_bzw_Monte_Carlo_bei_Strom[[#This Row],[Source.Name]],SEARCH("aus_der",Sensitivität_bzw_Monte_Carlo_bei_Strom[[#This Row],[Source.Name]],1))="Auszahlung_a","Auszahlung",""),"")</f>
        <v/>
      </c>
      <c r="D579" s="1"/>
    </row>
    <row r="580" spans="1:4" x14ac:dyDescent="0.3">
      <c r="A580" s="1"/>
      <c r="B580" s="1" t="str">
        <f>IFERROR(IF(LEFT(Sensitivität_bzw_Monte_Carlo_bei_Strom[[#This Row],[Source.Name]],SEARCH("aus_der",Sensitivität_bzw_Monte_Carlo_bei_Strom[[#This Row],[Source.Name]],1))="Auszahlung_a","Auszahlung",""),"")</f>
        <v/>
      </c>
      <c r="D580" s="1"/>
    </row>
    <row r="581" spans="1:4" x14ac:dyDescent="0.3">
      <c r="A581" s="1"/>
      <c r="B581" s="1" t="str">
        <f>IFERROR(IF(LEFT(Sensitivität_bzw_Monte_Carlo_bei_Strom[[#This Row],[Source.Name]],SEARCH("aus_der",Sensitivität_bzw_Monte_Carlo_bei_Strom[[#This Row],[Source.Name]],1))="Auszahlung_a","Auszahlung",""),"")</f>
        <v/>
      </c>
      <c r="D581" s="1"/>
    </row>
    <row r="582" spans="1:4" x14ac:dyDescent="0.3">
      <c r="A582" s="1"/>
      <c r="B582" s="1" t="str">
        <f>IFERROR(IF(LEFT(Sensitivität_bzw_Monte_Carlo_bei_Strom[[#This Row],[Source.Name]],SEARCH("aus_der",Sensitivität_bzw_Monte_Carlo_bei_Strom[[#This Row],[Source.Name]],1))="Auszahlung_a","Auszahlung",""),"")</f>
        <v/>
      </c>
      <c r="D582" s="1"/>
    </row>
    <row r="583" spans="1:4" x14ac:dyDescent="0.3">
      <c r="A583" s="1"/>
      <c r="B583" s="1" t="str">
        <f>IFERROR(IF(LEFT(Sensitivität_bzw_Monte_Carlo_bei_Strom[[#This Row],[Source.Name]],SEARCH("aus_der",Sensitivität_bzw_Monte_Carlo_bei_Strom[[#This Row],[Source.Name]],1))="Auszahlung_a","Auszahlung",""),"")</f>
        <v/>
      </c>
      <c r="D583" s="1"/>
    </row>
    <row r="584" spans="1:4" x14ac:dyDescent="0.3">
      <c r="A584" s="1"/>
      <c r="B584" s="1" t="str">
        <f>IFERROR(IF(LEFT(Sensitivität_bzw_Monte_Carlo_bei_Strom[[#This Row],[Source.Name]],SEARCH("aus_der",Sensitivität_bzw_Monte_Carlo_bei_Strom[[#This Row],[Source.Name]],1))="Auszahlung_a","Auszahlung",""),"")</f>
        <v/>
      </c>
      <c r="D584" s="1"/>
    </row>
    <row r="585" spans="1:4" x14ac:dyDescent="0.3">
      <c r="A585" s="1"/>
      <c r="B585" s="1" t="str">
        <f>IFERROR(IF(LEFT(Sensitivität_bzw_Monte_Carlo_bei_Strom[[#This Row],[Source.Name]],SEARCH("aus_der",Sensitivität_bzw_Monte_Carlo_bei_Strom[[#This Row],[Source.Name]],1))="Auszahlung_a","Auszahlung",""),"")</f>
        <v/>
      </c>
      <c r="D585" s="1"/>
    </row>
    <row r="586" spans="1:4" x14ac:dyDescent="0.3">
      <c r="A586" s="1"/>
      <c r="B586" s="1" t="str">
        <f>IFERROR(IF(LEFT(Sensitivität_bzw_Monte_Carlo_bei_Strom[[#This Row],[Source.Name]],SEARCH("aus_der",Sensitivität_bzw_Monte_Carlo_bei_Strom[[#This Row],[Source.Name]],1))="Auszahlung_a","Auszahlung",""),"")</f>
        <v/>
      </c>
      <c r="D586" s="1"/>
    </row>
    <row r="587" spans="1:4" x14ac:dyDescent="0.3">
      <c r="A587" s="1"/>
      <c r="B587" s="1" t="str">
        <f>IFERROR(IF(LEFT(Sensitivität_bzw_Monte_Carlo_bei_Strom[[#This Row],[Source.Name]],SEARCH("aus_der",Sensitivität_bzw_Monte_Carlo_bei_Strom[[#This Row],[Source.Name]],1))="Auszahlung_a","Auszahlung",""),"")</f>
        <v/>
      </c>
      <c r="D587" s="1"/>
    </row>
    <row r="588" spans="1:4" x14ac:dyDescent="0.3">
      <c r="A588" s="1"/>
      <c r="B588" s="1" t="str">
        <f>IFERROR(IF(LEFT(Sensitivität_bzw_Monte_Carlo_bei_Strom[[#This Row],[Source.Name]],SEARCH("aus_der",Sensitivität_bzw_Monte_Carlo_bei_Strom[[#This Row],[Source.Name]],1))="Auszahlung_a","Auszahlung",""),"")</f>
        <v/>
      </c>
      <c r="D588" s="1"/>
    </row>
    <row r="589" spans="1:4" x14ac:dyDescent="0.3">
      <c r="A589" s="1"/>
      <c r="B589" s="1" t="str">
        <f>IFERROR(IF(LEFT(Sensitivität_bzw_Monte_Carlo_bei_Strom[[#This Row],[Source.Name]],SEARCH("aus_der",Sensitivität_bzw_Monte_Carlo_bei_Strom[[#This Row],[Source.Name]],1))="Auszahlung_a","Auszahlung",""),"")</f>
        <v/>
      </c>
      <c r="D589" s="1"/>
    </row>
    <row r="590" spans="1:4" x14ac:dyDescent="0.3">
      <c r="A590" s="1"/>
      <c r="B590" s="1" t="str">
        <f>IFERROR(IF(LEFT(Sensitivität_bzw_Monte_Carlo_bei_Strom[[#This Row],[Source.Name]],SEARCH("aus_der",Sensitivität_bzw_Monte_Carlo_bei_Strom[[#This Row],[Source.Name]],1))="Auszahlung_a","Auszahlung",""),"")</f>
        <v/>
      </c>
      <c r="D590" s="1"/>
    </row>
    <row r="591" spans="1:4" x14ac:dyDescent="0.3">
      <c r="A591" s="1"/>
      <c r="B591" s="1" t="str">
        <f>IFERROR(IF(LEFT(Sensitivität_bzw_Monte_Carlo_bei_Strom[[#This Row],[Source.Name]],SEARCH("aus_der",Sensitivität_bzw_Monte_Carlo_bei_Strom[[#This Row],[Source.Name]],1))="Auszahlung_a","Auszahlung",""),"")</f>
        <v/>
      </c>
      <c r="D591" s="1"/>
    </row>
    <row r="592" spans="1:4" x14ac:dyDescent="0.3">
      <c r="A592" s="1"/>
      <c r="B592" s="1" t="str">
        <f>IFERROR(IF(LEFT(Sensitivität_bzw_Monte_Carlo_bei_Strom[[#This Row],[Source.Name]],SEARCH("aus_der",Sensitivität_bzw_Monte_Carlo_bei_Strom[[#This Row],[Source.Name]],1))="Auszahlung_a","Auszahlung",""),"")</f>
        <v/>
      </c>
      <c r="D592" s="1"/>
    </row>
    <row r="593" spans="1:4" x14ac:dyDescent="0.3">
      <c r="A593" s="1"/>
      <c r="B593" s="1" t="str">
        <f>IFERROR(IF(LEFT(Sensitivität_bzw_Monte_Carlo_bei_Strom[[#This Row],[Source.Name]],SEARCH("aus_der",Sensitivität_bzw_Monte_Carlo_bei_Strom[[#This Row],[Source.Name]],1))="Auszahlung_a","Auszahlung",""),"")</f>
        <v/>
      </c>
      <c r="D593" s="1"/>
    </row>
    <row r="594" spans="1:4" x14ac:dyDescent="0.3">
      <c r="A594" s="1"/>
      <c r="B594" s="1" t="str">
        <f>IFERROR(IF(LEFT(Sensitivität_bzw_Monte_Carlo_bei_Strom[[#This Row],[Source.Name]],SEARCH("aus_der",Sensitivität_bzw_Monte_Carlo_bei_Strom[[#This Row],[Source.Name]],1))="Auszahlung_a","Auszahlung",""),"")</f>
        <v/>
      </c>
      <c r="D594" s="1"/>
    </row>
    <row r="595" spans="1:4" x14ac:dyDescent="0.3">
      <c r="A595" s="1"/>
      <c r="B595" s="1" t="str">
        <f>IFERROR(IF(LEFT(Sensitivität_bzw_Monte_Carlo_bei_Strom[[#This Row],[Source.Name]],SEARCH("aus_der",Sensitivität_bzw_Monte_Carlo_bei_Strom[[#This Row],[Source.Name]],1))="Auszahlung_a","Auszahlung",""),"")</f>
        <v/>
      </c>
      <c r="D595" s="1"/>
    </row>
    <row r="596" spans="1:4" x14ac:dyDescent="0.3">
      <c r="A596" s="1"/>
      <c r="B596" s="1" t="str">
        <f>IFERROR(IF(LEFT(Sensitivität_bzw_Monte_Carlo_bei_Strom[[#This Row],[Source.Name]],SEARCH("aus_der",Sensitivität_bzw_Monte_Carlo_bei_Strom[[#This Row],[Source.Name]],1))="Auszahlung_a","Auszahlung",""),"")</f>
        <v/>
      </c>
      <c r="D596" s="1"/>
    </row>
    <row r="597" spans="1:4" x14ac:dyDescent="0.3">
      <c r="A597" s="1"/>
      <c r="B597" s="1" t="str">
        <f>IFERROR(IF(LEFT(Sensitivität_bzw_Monte_Carlo_bei_Strom[[#This Row],[Source.Name]],SEARCH("aus_der",Sensitivität_bzw_Monte_Carlo_bei_Strom[[#This Row],[Source.Name]],1))="Auszahlung_a","Auszahlung",""),"")</f>
        <v/>
      </c>
      <c r="D597" s="1"/>
    </row>
    <row r="598" spans="1:4" x14ac:dyDescent="0.3">
      <c r="A598" s="1"/>
      <c r="B598" s="1" t="str">
        <f>IFERROR(IF(LEFT(Sensitivität_bzw_Monte_Carlo_bei_Strom[[#This Row],[Source.Name]],SEARCH("aus_der",Sensitivität_bzw_Monte_Carlo_bei_Strom[[#This Row],[Source.Name]],1))="Auszahlung_a","Auszahlung",""),"")</f>
        <v/>
      </c>
      <c r="D598" s="1"/>
    </row>
    <row r="599" spans="1:4" x14ac:dyDescent="0.3">
      <c r="A599" s="1"/>
      <c r="B599" s="1" t="str">
        <f>IFERROR(IF(LEFT(Sensitivität_bzw_Monte_Carlo_bei_Strom[[#This Row],[Source.Name]],SEARCH("aus_der",Sensitivität_bzw_Monte_Carlo_bei_Strom[[#This Row],[Source.Name]],1))="Auszahlung_a","Auszahlung",""),"")</f>
        <v/>
      </c>
      <c r="D599" s="1"/>
    </row>
    <row r="600" spans="1:4" x14ac:dyDescent="0.3">
      <c r="A600" s="1"/>
      <c r="B600" s="1" t="str">
        <f>IFERROR(IF(LEFT(Sensitivität_bzw_Monte_Carlo_bei_Strom[[#This Row],[Source.Name]],SEARCH("aus_der",Sensitivität_bzw_Monte_Carlo_bei_Strom[[#This Row],[Source.Name]],1))="Auszahlung_a","Auszahlung",""),"")</f>
        <v/>
      </c>
      <c r="D600" s="1"/>
    </row>
    <row r="601" spans="1:4" x14ac:dyDescent="0.3">
      <c r="A601" s="1"/>
      <c r="B601" s="1" t="str">
        <f>IFERROR(IF(LEFT(Sensitivität_bzw_Monte_Carlo_bei_Strom[[#This Row],[Source.Name]],SEARCH("aus_der",Sensitivität_bzw_Monte_Carlo_bei_Strom[[#This Row],[Source.Name]],1))="Auszahlung_a","Auszahlung",""),"")</f>
        <v/>
      </c>
      <c r="D601" s="1"/>
    </row>
    <row r="602" spans="1:4" x14ac:dyDescent="0.3">
      <c r="A602" s="1"/>
      <c r="B602" s="1" t="str">
        <f>IFERROR(IF(LEFT(Sensitivität_bzw_Monte_Carlo_bei_Strom[[#This Row],[Source.Name]],SEARCH("aus_der",Sensitivität_bzw_Monte_Carlo_bei_Strom[[#This Row],[Source.Name]],1))="Auszahlung_a","Auszahlung",""),"")</f>
        <v/>
      </c>
      <c r="D602" s="1"/>
    </row>
    <row r="603" spans="1:4" x14ac:dyDescent="0.3">
      <c r="A603" s="1"/>
      <c r="B603" s="1" t="str">
        <f>IFERROR(IF(LEFT(Sensitivität_bzw_Monte_Carlo_bei_Strom[[#This Row],[Source.Name]],SEARCH("aus_der",Sensitivität_bzw_Monte_Carlo_bei_Strom[[#This Row],[Source.Name]],1))="Auszahlung_a","Auszahlung",""),"")</f>
        <v/>
      </c>
      <c r="D603" s="1"/>
    </row>
    <row r="604" spans="1:4" x14ac:dyDescent="0.3">
      <c r="A604" s="1"/>
      <c r="B604" s="1" t="str">
        <f>IFERROR(IF(LEFT(Sensitivität_bzw_Monte_Carlo_bei_Strom[[#This Row],[Source.Name]],SEARCH("aus_der",Sensitivität_bzw_Monte_Carlo_bei_Strom[[#This Row],[Source.Name]],1))="Auszahlung_a","Auszahlung",""),"")</f>
        <v/>
      </c>
      <c r="D604" s="1"/>
    </row>
    <row r="605" spans="1:4" x14ac:dyDescent="0.3">
      <c r="A605" s="1"/>
      <c r="B605" s="1" t="str">
        <f>IFERROR(IF(LEFT(Sensitivität_bzw_Monte_Carlo_bei_Strom[[#This Row],[Source.Name]],SEARCH("aus_der",Sensitivität_bzw_Monte_Carlo_bei_Strom[[#This Row],[Source.Name]],1))="Auszahlung_a","Auszahlung",""),"")</f>
        <v/>
      </c>
      <c r="D605" s="1"/>
    </row>
    <row r="606" spans="1:4" x14ac:dyDescent="0.3">
      <c r="A606" s="1"/>
      <c r="B606" s="1" t="str">
        <f>IFERROR(IF(LEFT(Sensitivität_bzw_Monte_Carlo_bei_Strom[[#This Row],[Source.Name]],SEARCH("aus_der",Sensitivität_bzw_Monte_Carlo_bei_Strom[[#This Row],[Source.Name]],1))="Auszahlung_a","Auszahlung",""),"")</f>
        <v/>
      </c>
      <c r="D606" s="1"/>
    </row>
    <row r="607" spans="1:4" x14ac:dyDescent="0.3">
      <c r="A607" s="1"/>
      <c r="B607" s="1" t="str">
        <f>IFERROR(IF(LEFT(Sensitivität_bzw_Monte_Carlo_bei_Strom[[#This Row],[Source.Name]],SEARCH("aus_der",Sensitivität_bzw_Monte_Carlo_bei_Strom[[#This Row],[Source.Name]],1))="Auszahlung_a","Auszahlung",""),"")</f>
        <v/>
      </c>
      <c r="D607" s="1"/>
    </row>
    <row r="608" spans="1:4" x14ac:dyDescent="0.3">
      <c r="A608" s="1"/>
      <c r="B608" s="1" t="str">
        <f>IFERROR(IF(LEFT(Sensitivität_bzw_Monte_Carlo_bei_Strom[[#This Row],[Source.Name]],SEARCH("aus_der",Sensitivität_bzw_Monte_Carlo_bei_Strom[[#This Row],[Source.Name]],1))="Auszahlung_a","Auszahlung",""),"")</f>
        <v/>
      </c>
      <c r="D608" s="1"/>
    </row>
    <row r="609" spans="1:4" x14ac:dyDescent="0.3">
      <c r="A609" s="1"/>
      <c r="B609" s="1" t="str">
        <f>IFERROR(IF(LEFT(Sensitivität_bzw_Monte_Carlo_bei_Strom[[#This Row],[Source.Name]],SEARCH("aus_der",Sensitivität_bzw_Monte_Carlo_bei_Strom[[#This Row],[Source.Name]],1))="Auszahlung_a","Auszahlung",""),"")</f>
        <v/>
      </c>
      <c r="D609" s="1"/>
    </row>
    <row r="610" spans="1:4" x14ac:dyDescent="0.3">
      <c r="A610" s="1"/>
      <c r="B610" s="1" t="str">
        <f>IFERROR(IF(LEFT(Sensitivität_bzw_Monte_Carlo_bei_Strom[[#This Row],[Source.Name]],SEARCH("aus_der",Sensitivität_bzw_Monte_Carlo_bei_Strom[[#This Row],[Source.Name]],1))="Auszahlung_a","Auszahlung",""),"")</f>
        <v/>
      </c>
      <c r="D610" s="1"/>
    </row>
    <row r="611" spans="1:4" x14ac:dyDescent="0.3">
      <c r="A611" s="1"/>
      <c r="B611" s="1" t="str">
        <f>IFERROR(IF(LEFT(Sensitivität_bzw_Monte_Carlo_bei_Strom[[#This Row],[Source.Name]],SEARCH("aus_der",Sensitivität_bzw_Monte_Carlo_bei_Strom[[#This Row],[Source.Name]],1))="Auszahlung_a","Auszahlung",""),"")</f>
        <v/>
      </c>
      <c r="D611" s="1"/>
    </row>
    <row r="612" spans="1:4" x14ac:dyDescent="0.3">
      <c r="A612" s="1"/>
      <c r="B612" s="1" t="str">
        <f>IFERROR(IF(LEFT(Sensitivität_bzw_Monte_Carlo_bei_Strom[[#This Row],[Source.Name]],SEARCH("aus_der",Sensitivität_bzw_Monte_Carlo_bei_Strom[[#This Row],[Source.Name]],1))="Auszahlung_a","Auszahlung",""),"")</f>
        <v/>
      </c>
      <c r="D612" s="1"/>
    </row>
    <row r="613" spans="1:4" x14ac:dyDescent="0.3">
      <c r="A613" s="1"/>
      <c r="B613" s="1" t="str">
        <f>IFERROR(IF(LEFT(Sensitivität_bzw_Monte_Carlo_bei_Strom[[#This Row],[Source.Name]],SEARCH("aus_der",Sensitivität_bzw_Monte_Carlo_bei_Strom[[#This Row],[Source.Name]],1))="Auszahlung_a","Auszahlung",""),"")</f>
        <v/>
      </c>
      <c r="D613" s="1"/>
    </row>
    <row r="614" spans="1:4" x14ac:dyDescent="0.3">
      <c r="A614" s="1"/>
      <c r="B614" s="1" t="str">
        <f>IFERROR(IF(LEFT(Sensitivität_bzw_Monte_Carlo_bei_Strom[[#This Row],[Source.Name]],SEARCH("aus_der",Sensitivität_bzw_Monte_Carlo_bei_Strom[[#This Row],[Source.Name]],1))="Auszahlung_a","Auszahlung",""),"")</f>
        <v/>
      </c>
      <c r="D614" s="1"/>
    </row>
    <row r="615" spans="1:4" x14ac:dyDescent="0.3">
      <c r="A615" s="1"/>
      <c r="B615" s="1" t="str">
        <f>IFERROR(IF(LEFT(Sensitivität_bzw_Monte_Carlo_bei_Strom[[#This Row],[Source.Name]],SEARCH("aus_der",Sensitivität_bzw_Monte_Carlo_bei_Strom[[#This Row],[Source.Name]],1))="Auszahlung_a","Auszahlung",""),"")</f>
        <v/>
      </c>
      <c r="D615" s="1"/>
    </row>
    <row r="616" spans="1:4" x14ac:dyDescent="0.3">
      <c r="A616" s="1"/>
      <c r="B616" s="1" t="str">
        <f>IFERROR(IF(LEFT(Sensitivität_bzw_Monte_Carlo_bei_Strom[[#This Row],[Source.Name]],SEARCH("aus_der",Sensitivität_bzw_Monte_Carlo_bei_Strom[[#This Row],[Source.Name]],1))="Auszahlung_a","Auszahlung",""),"")</f>
        <v/>
      </c>
      <c r="D616" s="1"/>
    </row>
    <row r="617" spans="1:4" x14ac:dyDescent="0.3">
      <c r="A617" s="1"/>
      <c r="B617" s="1" t="str">
        <f>IFERROR(IF(LEFT(Sensitivität_bzw_Monte_Carlo_bei_Strom[[#This Row],[Source.Name]],SEARCH("aus_der",Sensitivität_bzw_Monte_Carlo_bei_Strom[[#This Row],[Source.Name]],1))="Auszahlung_a","Auszahlung",""),"")</f>
        <v/>
      </c>
      <c r="D617" s="1"/>
    </row>
    <row r="618" spans="1:4" x14ac:dyDescent="0.3">
      <c r="A618" s="1"/>
      <c r="B618" s="1" t="str">
        <f>IFERROR(IF(LEFT(Sensitivität_bzw_Monte_Carlo_bei_Strom[[#This Row],[Source.Name]],SEARCH("aus_der",Sensitivität_bzw_Monte_Carlo_bei_Strom[[#This Row],[Source.Name]],1))="Auszahlung_a","Auszahlung",""),"")</f>
        <v/>
      </c>
      <c r="D618" s="1"/>
    </row>
    <row r="619" spans="1:4" x14ac:dyDescent="0.3">
      <c r="A619" s="1"/>
      <c r="B619" s="1" t="str">
        <f>IFERROR(IF(LEFT(Sensitivität_bzw_Monte_Carlo_bei_Strom[[#This Row],[Source.Name]],SEARCH("aus_der",Sensitivität_bzw_Monte_Carlo_bei_Strom[[#This Row],[Source.Name]],1))="Auszahlung_a","Auszahlung",""),"")</f>
        <v/>
      </c>
      <c r="D619" s="1"/>
    </row>
    <row r="620" spans="1:4" x14ac:dyDescent="0.3">
      <c r="A620" s="1"/>
      <c r="B620" s="1" t="str">
        <f>IFERROR(IF(LEFT(Sensitivität_bzw_Monte_Carlo_bei_Strom[[#This Row],[Source.Name]],SEARCH("aus_der",Sensitivität_bzw_Monte_Carlo_bei_Strom[[#This Row],[Source.Name]],1))="Auszahlung_a","Auszahlung",""),"")</f>
        <v/>
      </c>
      <c r="D620" s="1"/>
    </row>
    <row r="621" spans="1:4" x14ac:dyDescent="0.3">
      <c r="A621" s="1"/>
      <c r="B621" s="1" t="str">
        <f>IFERROR(IF(LEFT(Sensitivität_bzw_Monte_Carlo_bei_Strom[[#This Row],[Source.Name]],SEARCH("aus_der",Sensitivität_bzw_Monte_Carlo_bei_Strom[[#This Row],[Source.Name]],1))="Auszahlung_a","Auszahlung",""),"")</f>
        <v/>
      </c>
      <c r="D621" s="1"/>
    </row>
    <row r="622" spans="1:4" x14ac:dyDescent="0.3">
      <c r="A622" s="1"/>
      <c r="B622" s="1" t="str">
        <f>IFERROR(IF(LEFT(Sensitivität_bzw_Monte_Carlo_bei_Strom[[#This Row],[Source.Name]],SEARCH("aus_der",Sensitivität_bzw_Monte_Carlo_bei_Strom[[#This Row],[Source.Name]],1))="Auszahlung_a","Auszahlung",""),"")</f>
        <v/>
      </c>
      <c r="D622" s="1"/>
    </row>
    <row r="623" spans="1:4" x14ac:dyDescent="0.3">
      <c r="A623" s="1"/>
      <c r="B623" s="1" t="str">
        <f>IFERROR(IF(LEFT(Sensitivität_bzw_Monte_Carlo_bei_Strom[[#This Row],[Source.Name]],SEARCH("aus_der",Sensitivität_bzw_Monte_Carlo_bei_Strom[[#This Row],[Source.Name]],1))="Auszahlung_a","Auszahlung",""),"")</f>
        <v/>
      </c>
      <c r="D623" s="1"/>
    </row>
    <row r="624" spans="1:4" x14ac:dyDescent="0.3">
      <c r="A624" s="1"/>
      <c r="B624" s="1" t="str">
        <f>IFERROR(IF(LEFT(Sensitivität_bzw_Monte_Carlo_bei_Strom[[#This Row],[Source.Name]],SEARCH("aus_der",Sensitivität_bzw_Monte_Carlo_bei_Strom[[#This Row],[Source.Name]],1))="Auszahlung_a","Auszahlung",""),"")</f>
        <v/>
      </c>
      <c r="D624" s="1"/>
    </row>
    <row r="625" spans="1:4" x14ac:dyDescent="0.3">
      <c r="A625" s="1"/>
      <c r="B625" s="1" t="str">
        <f>IFERROR(IF(LEFT(Sensitivität_bzw_Monte_Carlo_bei_Strom[[#This Row],[Source.Name]],SEARCH("aus_der",Sensitivität_bzw_Monte_Carlo_bei_Strom[[#This Row],[Source.Name]],1))="Auszahlung_a","Auszahlung",""),"")</f>
        <v/>
      </c>
      <c r="D625" s="1"/>
    </row>
    <row r="626" spans="1:4" x14ac:dyDescent="0.3">
      <c r="A626" s="1"/>
      <c r="B626" s="1" t="str">
        <f>IFERROR(IF(LEFT(Sensitivität_bzw_Monte_Carlo_bei_Strom[[#This Row],[Source.Name]],SEARCH("aus_der",Sensitivität_bzw_Monte_Carlo_bei_Strom[[#This Row],[Source.Name]],1))="Auszahlung_a","Auszahlung",""),"")</f>
        <v/>
      </c>
      <c r="D626" s="1"/>
    </row>
    <row r="627" spans="1:4" x14ac:dyDescent="0.3">
      <c r="A627" s="1"/>
      <c r="B627" s="1" t="str">
        <f>IFERROR(IF(LEFT(Sensitivität_bzw_Monte_Carlo_bei_Strom[[#This Row],[Source.Name]],SEARCH("aus_der",Sensitivität_bzw_Monte_Carlo_bei_Strom[[#This Row],[Source.Name]],1))="Auszahlung_a","Auszahlung",""),"")</f>
        <v/>
      </c>
      <c r="D627" s="1"/>
    </row>
    <row r="628" spans="1:4" x14ac:dyDescent="0.3">
      <c r="A628" s="1"/>
      <c r="B628" s="1" t="str">
        <f>IFERROR(IF(LEFT(Sensitivität_bzw_Monte_Carlo_bei_Strom[[#This Row],[Source.Name]],SEARCH("aus_der",Sensitivität_bzw_Monte_Carlo_bei_Strom[[#This Row],[Source.Name]],1))="Auszahlung_a","Auszahlung",""),"")</f>
        <v/>
      </c>
      <c r="D628" s="1"/>
    </row>
    <row r="629" spans="1:4" x14ac:dyDescent="0.3">
      <c r="A629" s="1"/>
      <c r="B629" s="1" t="str">
        <f>IFERROR(IF(LEFT(Sensitivität_bzw_Monte_Carlo_bei_Strom[[#This Row],[Source.Name]],SEARCH("aus_der",Sensitivität_bzw_Monte_Carlo_bei_Strom[[#This Row],[Source.Name]],1))="Auszahlung_a","Auszahlung",""),"")</f>
        <v/>
      </c>
      <c r="D629" s="1"/>
    </row>
    <row r="630" spans="1:4" x14ac:dyDescent="0.3">
      <c r="A630" s="1"/>
      <c r="B630" s="1" t="str">
        <f>IFERROR(IF(LEFT(Sensitivität_bzw_Monte_Carlo_bei_Strom[[#This Row],[Source.Name]],SEARCH("aus_der",Sensitivität_bzw_Monte_Carlo_bei_Strom[[#This Row],[Source.Name]],1))="Auszahlung_a","Auszahlung",""),"")</f>
        <v/>
      </c>
      <c r="D630" s="1"/>
    </row>
    <row r="631" spans="1:4" x14ac:dyDescent="0.3">
      <c r="A631" s="1"/>
      <c r="B631" s="1" t="str">
        <f>IFERROR(IF(LEFT(Sensitivität_bzw_Monte_Carlo_bei_Strom[[#This Row],[Source.Name]],SEARCH("aus_der",Sensitivität_bzw_Monte_Carlo_bei_Strom[[#This Row],[Source.Name]],1))="Auszahlung_a","Auszahlung",""),"")</f>
        <v/>
      </c>
      <c r="D631" s="1"/>
    </row>
    <row r="632" spans="1:4" x14ac:dyDescent="0.3">
      <c r="A632" s="1"/>
      <c r="B632" s="1" t="str">
        <f>IFERROR(IF(LEFT(Sensitivität_bzw_Monte_Carlo_bei_Strom[[#This Row],[Source.Name]],SEARCH("aus_der",Sensitivität_bzw_Monte_Carlo_bei_Strom[[#This Row],[Source.Name]],1))="Auszahlung_a","Auszahlung",""),"")</f>
        <v/>
      </c>
      <c r="D632" s="1"/>
    </row>
    <row r="633" spans="1:4" x14ac:dyDescent="0.3">
      <c r="A633" s="1"/>
      <c r="B633" s="1" t="str">
        <f>IFERROR(IF(LEFT(Sensitivität_bzw_Monte_Carlo_bei_Strom[[#This Row],[Source.Name]],SEARCH("aus_der",Sensitivität_bzw_Monte_Carlo_bei_Strom[[#This Row],[Source.Name]],1))="Auszahlung_a","Auszahlung",""),"")</f>
        <v/>
      </c>
      <c r="D633" s="1"/>
    </row>
    <row r="634" spans="1:4" x14ac:dyDescent="0.3">
      <c r="A634" s="1"/>
      <c r="B634" s="1" t="str">
        <f>IFERROR(IF(LEFT(Sensitivität_bzw_Monte_Carlo_bei_Strom[[#This Row],[Source.Name]],SEARCH("aus_der",Sensitivität_bzw_Monte_Carlo_bei_Strom[[#This Row],[Source.Name]],1))="Auszahlung_a","Auszahlung",""),"")</f>
        <v/>
      </c>
      <c r="D634" s="1"/>
    </row>
    <row r="635" spans="1:4" x14ac:dyDescent="0.3">
      <c r="A635" s="1"/>
      <c r="B635" s="1" t="str">
        <f>IFERROR(IF(LEFT(Sensitivität_bzw_Monte_Carlo_bei_Strom[[#This Row],[Source.Name]],SEARCH("aus_der",Sensitivität_bzw_Monte_Carlo_bei_Strom[[#This Row],[Source.Name]],1))="Auszahlung_a","Auszahlung",""),"")</f>
        <v/>
      </c>
      <c r="D635" s="1"/>
    </row>
    <row r="636" spans="1:4" x14ac:dyDescent="0.3">
      <c r="A636" s="1"/>
      <c r="B636" s="1" t="str">
        <f>IFERROR(IF(LEFT(Sensitivität_bzw_Monte_Carlo_bei_Strom[[#This Row],[Source.Name]],SEARCH("aus_der",Sensitivität_bzw_Monte_Carlo_bei_Strom[[#This Row],[Source.Name]],1))="Auszahlung_a","Auszahlung",""),"")</f>
        <v/>
      </c>
      <c r="D636" s="1"/>
    </row>
    <row r="637" spans="1:4" x14ac:dyDescent="0.3">
      <c r="A637" s="1"/>
      <c r="B637" s="1" t="str">
        <f>IFERROR(IF(LEFT(Sensitivität_bzw_Monte_Carlo_bei_Strom[[#This Row],[Source.Name]],SEARCH("aus_der",Sensitivität_bzw_Monte_Carlo_bei_Strom[[#This Row],[Source.Name]],1))="Auszahlung_a","Auszahlung",""),"")</f>
        <v/>
      </c>
      <c r="D637" s="1"/>
    </row>
    <row r="638" spans="1:4" x14ac:dyDescent="0.3">
      <c r="A638" s="1"/>
      <c r="B638" s="1" t="str">
        <f>IFERROR(IF(LEFT(Sensitivität_bzw_Monte_Carlo_bei_Strom[[#This Row],[Source.Name]],SEARCH("aus_der",Sensitivität_bzw_Monte_Carlo_bei_Strom[[#This Row],[Source.Name]],1))="Auszahlung_a","Auszahlung",""),"")</f>
        <v/>
      </c>
      <c r="D638" s="1"/>
    </row>
    <row r="639" spans="1:4" x14ac:dyDescent="0.3">
      <c r="A639" s="1"/>
      <c r="B639" s="1" t="str">
        <f>IFERROR(IF(LEFT(Sensitivität_bzw_Monte_Carlo_bei_Strom[[#This Row],[Source.Name]],SEARCH("aus_der",Sensitivität_bzw_Monte_Carlo_bei_Strom[[#This Row],[Source.Name]],1))="Auszahlung_a","Auszahlung",""),"")</f>
        <v/>
      </c>
      <c r="D639" s="1"/>
    </row>
    <row r="640" spans="1:4" x14ac:dyDescent="0.3">
      <c r="A640" s="1"/>
      <c r="B640" s="1" t="str">
        <f>IFERROR(IF(LEFT(Sensitivität_bzw_Monte_Carlo_bei_Strom[[#This Row],[Source.Name]],SEARCH("aus_der",Sensitivität_bzw_Monte_Carlo_bei_Strom[[#This Row],[Source.Name]],1))="Auszahlung_a","Auszahlung",""),"")</f>
        <v/>
      </c>
      <c r="D640" s="1"/>
    </row>
    <row r="641" spans="1:4" x14ac:dyDescent="0.3">
      <c r="A641" s="1"/>
      <c r="B641" s="1" t="str">
        <f>IFERROR(IF(LEFT(Sensitivität_bzw_Monte_Carlo_bei_Strom[[#This Row],[Source.Name]],SEARCH("aus_der",Sensitivität_bzw_Monte_Carlo_bei_Strom[[#This Row],[Source.Name]],1))="Auszahlung_a","Auszahlung",""),"")</f>
        <v/>
      </c>
      <c r="D641" s="1"/>
    </row>
    <row r="642" spans="1:4" x14ac:dyDescent="0.3">
      <c r="A642" s="1"/>
      <c r="B642" s="1" t="str">
        <f>IFERROR(IF(LEFT(Sensitivität_bzw_Monte_Carlo_bei_Strom[[#This Row],[Source.Name]],SEARCH("aus_der",Sensitivität_bzw_Monte_Carlo_bei_Strom[[#This Row],[Source.Name]],1))="Auszahlung_a","Auszahlung",""),"")</f>
        <v/>
      </c>
      <c r="D642" s="1"/>
    </row>
    <row r="643" spans="1:4" x14ac:dyDescent="0.3">
      <c r="A643" s="1"/>
      <c r="B643" s="1" t="str">
        <f>IFERROR(IF(LEFT(Sensitivität_bzw_Monte_Carlo_bei_Strom[[#This Row],[Source.Name]],SEARCH("aus_der",Sensitivität_bzw_Monte_Carlo_bei_Strom[[#This Row],[Source.Name]],1))="Auszahlung_a","Auszahlung",""),"")</f>
        <v/>
      </c>
      <c r="D643" s="1"/>
    </row>
    <row r="644" spans="1:4" x14ac:dyDescent="0.3">
      <c r="A644" s="1"/>
      <c r="B644" s="1" t="str">
        <f>IFERROR(IF(LEFT(Sensitivität_bzw_Monte_Carlo_bei_Strom[[#This Row],[Source.Name]],SEARCH("aus_der",Sensitivität_bzw_Monte_Carlo_bei_Strom[[#This Row],[Source.Name]],1))="Auszahlung_a","Auszahlung",""),"")</f>
        <v/>
      </c>
      <c r="D644" s="1"/>
    </row>
    <row r="645" spans="1:4" x14ac:dyDescent="0.3">
      <c r="A645" s="1"/>
      <c r="B645" s="1" t="str">
        <f>IFERROR(IF(LEFT(Sensitivität_bzw_Monte_Carlo_bei_Strom[[#This Row],[Source.Name]],SEARCH("aus_der",Sensitivität_bzw_Monte_Carlo_bei_Strom[[#This Row],[Source.Name]],1))="Auszahlung_a","Auszahlung",""),"")</f>
        <v/>
      </c>
      <c r="D645" s="1"/>
    </row>
    <row r="646" spans="1:4" x14ac:dyDescent="0.3">
      <c r="A646" s="1"/>
      <c r="B646" s="1" t="str">
        <f>IFERROR(IF(LEFT(Sensitivität_bzw_Monte_Carlo_bei_Strom[[#This Row],[Source.Name]],SEARCH("aus_der",Sensitivität_bzw_Monte_Carlo_bei_Strom[[#This Row],[Source.Name]],1))="Auszahlung_a","Auszahlung",""),"")</f>
        <v/>
      </c>
      <c r="D646" s="1"/>
    </row>
    <row r="647" spans="1:4" x14ac:dyDescent="0.3">
      <c r="A647" s="1"/>
      <c r="B647" s="1" t="str">
        <f>IFERROR(IF(LEFT(Sensitivität_bzw_Monte_Carlo_bei_Strom[[#This Row],[Source.Name]],SEARCH("aus_der",Sensitivität_bzw_Monte_Carlo_bei_Strom[[#This Row],[Source.Name]],1))="Auszahlung_a","Auszahlung",""),"")</f>
        <v/>
      </c>
      <c r="D647" s="1"/>
    </row>
    <row r="648" spans="1:4" x14ac:dyDescent="0.3">
      <c r="A648" s="1"/>
      <c r="B648" s="1" t="str">
        <f>IFERROR(IF(LEFT(Sensitivität_bzw_Monte_Carlo_bei_Strom[[#This Row],[Source.Name]],SEARCH("aus_der",Sensitivität_bzw_Monte_Carlo_bei_Strom[[#This Row],[Source.Name]],1))="Auszahlung_a","Auszahlung",""),"")</f>
        <v/>
      </c>
      <c r="D648" s="1"/>
    </row>
    <row r="649" spans="1:4" x14ac:dyDescent="0.3">
      <c r="A649" s="1"/>
      <c r="B649" s="1" t="str">
        <f>IFERROR(IF(LEFT(Sensitivität_bzw_Monte_Carlo_bei_Strom[[#This Row],[Source.Name]],SEARCH("aus_der",Sensitivität_bzw_Monte_Carlo_bei_Strom[[#This Row],[Source.Name]],1))="Auszahlung_a","Auszahlung",""),"")</f>
        <v/>
      </c>
      <c r="D649" s="1"/>
    </row>
    <row r="650" spans="1:4" x14ac:dyDescent="0.3">
      <c r="A650" s="1"/>
      <c r="B650" s="1" t="str">
        <f>IFERROR(IF(LEFT(Sensitivität_bzw_Monte_Carlo_bei_Strom[[#This Row],[Source.Name]],SEARCH("aus_der",Sensitivität_bzw_Monte_Carlo_bei_Strom[[#This Row],[Source.Name]],1))="Auszahlung_a","Auszahlung",""),"")</f>
        <v/>
      </c>
      <c r="D650" s="1"/>
    </row>
    <row r="651" spans="1:4" x14ac:dyDescent="0.3">
      <c r="A651" s="1"/>
      <c r="B651" s="1" t="str">
        <f>IFERROR(IF(LEFT(Sensitivität_bzw_Monte_Carlo_bei_Strom[[#This Row],[Source.Name]],SEARCH("aus_der",Sensitivität_bzw_Monte_Carlo_bei_Strom[[#This Row],[Source.Name]],1))="Auszahlung_a","Auszahlung",""),"")</f>
        <v/>
      </c>
      <c r="D651" s="1"/>
    </row>
    <row r="652" spans="1:4" x14ac:dyDescent="0.3">
      <c r="A652" s="1"/>
      <c r="B652" s="1" t="str">
        <f>IFERROR(IF(LEFT(Sensitivität_bzw_Monte_Carlo_bei_Strom[[#This Row],[Source.Name]],SEARCH("aus_der",Sensitivität_bzw_Monte_Carlo_bei_Strom[[#This Row],[Source.Name]],1))="Auszahlung_a","Auszahlung",""),"")</f>
        <v/>
      </c>
      <c r="D652" s="1"/>
    </row>
    <row r="653" spans="1:4" x14ac:dyDescent="0.3">
      <c r="A653" s="1"/>
      <c r="B653" s="1" t="str">
        <f>IFERROR(IF(LEFT(Sensitivität_bzw_Monte_Carlo_bei_Strom[[#This Row],[Source.Name]],SEARCH("aus_der",Sensitivität_bzw_Monte_Carlo_bei_Strom[[#This Row],[Source.Name]],1))="Auszahlung_a","Auszahlung",""),"")</f>
        <v/>
      </c>
      <c r="D653" s="1"/>
    </row>
    <row r="654" spans="1:4" x14ac:dyDescent="0.3">
      <c r="A654" s="1"/>
      <c r="B654" s="1" t="str">
        <f>IFERROR(IF(LEFT(Sensitivität_bzw_Monte_Carlo_bei_Strom[[#This Row],[Source.Name]],SEARCH("aus_der",Sensitivität_bzw_Monte_Carlo_bei_Strom[[#This Row],[Source.Name]],1))="Auszahlung_a","Auszahlung",""),"")</f>
        <v/>
      </c>
      <c r="D654" s="1"/>
    </row>
    <row r="655" spans="1:4" x14ac:dyDescent="0.3">
      <c r="A655" s="1"/>
      <c r="B655" s="1" t="str">
        <f>IFERROR(IF(LEFT(Sensitivität_bzw_Monte_Carlo_bei_Strom[[#This Row],[Source.Name]],SEARCH("aus_der",Sensitivität_bzw_Monte_Carlo_bei_Strom[[#This Row],[Source.Name]],1))="Auszahlung_a","Auszahlung",""),"")</f>
        <v/>
      </c>
      <c r="D655" s="1"/>
    </row>
    <row r="656" spans="1:4" x14ac:dyDescent="0.3">
      <c r="A656" s="1"/>
      <c r="B656" s="1" t="str">
        <f>IFERROR(IF(LEFT(Sensitivität_bzw_Monte_Carlo_bei_Strom[[#This Row],[Source.Name]],SEARCH("aus_der",Sensitivität_bzw_Monte_Carlo_bei_Strom[[#This Row],[Source.Name]],1))="Auszahlung_a","Auszahlung",""),"")</f>
        <v/>
      </c>
      <c r="D656" s="1"/>
    </row>
    <row r="657" spans="1:4" x14ac:dyDescent="0.3">
      <c r="A657" s="1"/>
      <c r="B657" s="1" t="str">
        <f>IFERROR(IF(LEFT(Sensitivität_bzw_Monte_Carlo_bei_Strom[[#This Row],[Source.Name]],SEARCH("aus_der",Sensitivität_bzw_Monte_Carlo_bei_Strom[[#This Row],[Source.Name]],1))="Auszahlung_a","Auszahlung",""),"")</f>
        <v/>
      </c>
      <c r="D657" s="1"/>
    </row>
    <row r="658" spans="1:4" x14ac:dyDescent="0.3">
      <c r="A658" s="1"/>
      <c r="B658" s="1" t="str">
        <f>IFERROR(IF(LEFT(Sensitivität_bzw_Monte_Carlo_bei_Strom[[#This Row],[Source.Name]],SEARCH("aus_der",Sensitivität_bzw_Monte_Carlo_bei_Strom[[#This Row],[Source.Name]],1))="Auszahlung_a","Auszahlung",""),"")</f>
        <v/>
      </c>
      <c r="D658" s="1"/>
    </row>
    <row r="659" spans="1:4" x14ac:dyDescent="0.3">
      <c r="A659" s="1"/>
      <c r="B659" s="1" t="str">
        <f>IFERROR(IF(LEFT(Sensitivität_bzw_Monte_Carlo_bei_Strom[[#This Row],[Source.Name]],SEARCH("aus_der",Sensitivität_bzw_Monte_Carlo_bei_Strom[[#This Row],[Source.Name]],1))="Auszahlung_a","Auszahlung",""),"")</f>
        <v/>
      </c>
      <c r="D659" s="1"/>
    </row>
    <row r="660" spans="1:4" x14ac:dyDescent="0.3">
      <c r="A660" s="1"/>
      <c r="B660" s="1" t="str">
        <f>IFERROR(IF(LEFT(Sensitivität_bzw_Monte_Carlo_bei_Strom[[#This Row],[Source.Name]],SEARCH("aus_der",Sensitivität_bzw_Monte_Carlo_bei_Strom[[#This Row],[Source.Name]],1))="Auszahlung_a","Auszahlung",""),"")</f>
        <v/>
      </c>
      <c r="D660" s="1"/>
    </row>
    <row r="661" spans="1:4" x14ac:dyDescent="0.3">
      <c r="A661" s="1"/>
      <c r="B661" s="1" t="str">
        <f>IFERROR(IF(LEFT(Sensitivität_bzw_Monte_Carlo_bei_Strom[[#This Row],[Source.Name]],SEARCH("aus_der",Sensitivität_bzw_Monte_Carlo_bei_Strom[[#This Row],[Source.Name]],1))="Auszahlung_a","Auszahlung",""),"")</f>
        <v/>
      </c>
      <c r="D661" s="1"/>
    </row>
    <row r="662" spans="1:4" x14ac:dyDescent="0.3">
      <c r="A662" s="1"/>
      <c r="B662" s="1" t="str">
        <f>IFERROR(IF(LEFT(Sensitivität_bzw_Monte_Carlo_bei_Strom[[#This Row],[Source.Name]],SEARCH("aus_der",Sensitivität_bzw_Monte_Carlo_bei_Strom[[#This Row],[Source.Name]],1))="Auszahlung_a","Auszahlung",""),"")</f>
        <v/>
      </c>
      <c r="D662" s="1"/>
    </row>
    <row r="663" spans="1:4" x14ac:dyDescent="0.3">
      <c r="A663" s="1"/>
      <c r="B663" s="1" t="str">
        <f>IFERROR(IF(LEFT(Sensitivität_bzw_Monte_Carlo_bei_Strom[[#This Row],[Source.Name]],SEARCH("aus_der",Sensitivität_bzw_Monte_Carlo_bei_Strom[[#This Row],[Source.Name]],1))="Auszahlung_a","Auszahlung",""),"")</f>
        <v/>
      </c>
      <c r="D663" s="1"/>
    </row>
    <row r="664" spans="1:4" x14ac:dyDescent="0.3">
      <c r="A664" s="1"/>
      <c r="B664" s="1" t="str">
        <f>IFERROR(IF(LEFT(Sensitivität_bzw_Monte_Carlo_bei_Strom[[#This Row],[Source.Name]],SEARCH("aus_der",Sensitivität_bzw_Monte_Carlo_bei_Strom[[#This Row],[Source.Name]],1))="Auszahlung_a","Auszahlung",""),"")</f>
        <v/>
      </c>
      <c r="D664" s="1"/>
    </row>
    <row r="665" spans="1:4" x14ac:dyDescent="0.3">
      <c r="A665" s="1"/>
      <c r="B665" s="1" t="str">
        <f>IFERROR(IF(LEFT(Sensitivität_bzw_Monte_Carlo_bei_Strom[[#This Row],[Source.Name]],SEARCH("aus_der",Sensitivität_bzw_Monte_Carlo_bei_Strom[[#This Row],[Source.Name]],1))="Auszahlung_a","Auszahlung",""),"")</f>
        <v/>
      </c>
      <c r="D665" s="1"/>
    </row>
    <row r="666" spans="1:4" x14ac:dyDescent="0.3">
      <c r="A666" s="1"/>
      <c r="B666" s="1" t="str">
        <f>IFERROR(IF(LEFT(Sensitivität_bzw_Monte_Carlo_bei_Strom[[#This Row],[Source.Name]],SEARCH("aus_der",Sensitivität_bzw_Monte_Carlo_bei_Strom[[#This Row],[Source.Name]],1))="Auszahlung_a","Auszahlung",""),"")</f>
        <v/>
      </c>
      <c r="D666" s="1"/>
    </row>
    <row r="667" spans="1:4" x14ac:dyDescent="0.3">
      <c r="A667" s="1"/>
      <c r="B667" s="1" t="str">
        <f>IFERROR(IF(LEFT(Sensitivität_bzw_Monte_Carlo_bei_Strom[[#This Row],[Source.Name]],SEARCH("aus_der",Sensitivität_bzw_Monte_Carlo_bei_Strom[[#This Row],[Source.Name]],1))="Auszahlung_a","Auszahlung",""),"")</f>
        <v/>
      </c>
      <c r="D667" s="1"/>
    </row>
    <row r="668" spans="1:4" x14ac:dyDescent="0.3">
      <c r="A668" s="1"/>
      <c r="B668" s="1" t="str">
        <f>IFERROR(IF(LEFT(Sensitivität_bzw_Monte_Carlo_bei_Strom[[#This Row],[Source.Name]],SEARCH("aus_der",Sensitivität_bzw_Monte_Carlo_bei_Strom[[#This Row],[Source.Name]],1))="Auszahlung_a","Auszahlung",""),"")</f>
        <v/>
      </c>
      <c r="D668" s="1"/>
    </row>
    <row r="669" spans="1:4" x14ac:dyDescent="0.3">
      <c r="A669" s="1"/>
      <c r="B669" s="1" t="str">
        <f>IFERROR(IF(LEFT(Sensitivität_bzw_Monte_Carlo_bei_Strom[[#This Row],[Source.Name]],SEARCH("aus_der",Sensitivität_bzw_Monte_Carlo_bei_Strom[[#This Row],[Source.Name]],1))="Auszahlung_a","Auszahlung",""),"")</f>
        <v/>
      </c>
      <c r="D669" s="1"/>
    </row>
    <row r="670" spans="1:4" x14ac:dyDescent="0.3">
      <c r="A670" s="1"/>
      <c r="B670" s="1" t="str">
        <f>IFERROR(IF(LEFT(Sensitivität_bzw_Monte_Carlo_bei_Strom[[#This Row],[Source.Name]],SEARCH("aus_der",Sensitivität_bzw_Monte_Carlo_bei_Strom[[#This Row],[Source.Name]],1))="Auszahlung_a","Auszahlung",""),"")</f>
        <v/>
      </c>
      <c r="D670" s="1"/>
    </row>
    <row r="671" spans="1:4" x14ac:dyDescent="0.3">
      <c r="A671" s="1"/>
      <c r="B671" s="1" t="str">
        <f>IFERROR(IF(LEFT(Sensitivität_bzw_Monte_Carlo_bei_Strom[[#This Row],[Source.Name]],SEARCH("aus_der",Sensitivität_bzw_Monte_Carlo_bei_Strom[[#This Row],[Source.Name]],1))="Auszahlung_a","Auszahlung",""),"")</f>
        <v/>
      </c>
      <c r="D671" s="1"/>
    </row>
    <row r="672" spans="1:4" x14ac:dyDescent="0.3">
      <c r="A672" s="1"/>
      <c r="B672" s="1" t="str">
        <f>IFERROR(IF(LEFT(Sensitivität_bzw_Monte_Carlo_bei_Strom[[#This Row],[Source.Name]],SEARCH("aus_der",Sensitivität_bzw_Monte_Carlo_bei_Strom[[#This Row],[Source.Name]],1))="Auszahlung_a","Auszahlung",""),"")</f>
        <v/>
      </c>
      <c r="D672" s="1"/>
    </row>
    <row r="673" spans="1:4" x14ac:dyDescent="0.3">
      <c r="A673" s="1"/>
      <c r="B673" s="1" t="str">
        <f>IFERROR(IF(LEFT(Sensitivität_bzw_Monte_Carlo_bei_Strom[[#This Row],[Source.Name]],SEARCH("aus_der",Sensitivität_bzw_Monte_Carlo_bei_Strom[[#This Row],[Source.Name]],1))="Auszahlung_a","Auszahlung",""),"")</f>
        <v/>
      </c>
      <c r="D673" s="1"/>
    </row>
    <row r="674" spans="1:4" x14ac:dyDescent="0.3">
      <c r="A674" s="1"/>
      <c r="B674" s="1" t="str">
        <f>IFERROR(IF(LEFT(Sensitivität_bzw_Monte_Carlo_bei_Strom[[#This Row],[Source.Name]],SEARCH("aus_der",Sensitivität_bzw_Monte_Carlo_bei_Strom[[#This Row],[Source.Name]],1))="Auszahlung_a","Auszahlung",""),"")</f>
        <v/>
      </c>
      <c r="D674" s="1"/>
    </row>
    <row r="675" spans="1:4" x14ac:dyDescent="0.3">
      <c r="A675" s="1"/>
      <c r="B675" s="1" t="str">
        <f>IFERROR(IF(LEFT(Sensitivität_bzw_Monte_Carlo_bei_Strom[[#This Row],[Source.Name]],SEARCH("aus_der",Sensitivität_bzw_Monte_Carlo_bei_Strom[[#This Row],[Source.Name]],1))="Auszahlung_a","Auszahlung",""),"")</f>
        <v/>
      </c>
      <c r="D675" s="1"/>
    </row>
    <row r="676" spans="1:4" x14ac:dyDescent="0.3">
      <c r="A676" s="1"/>
      <c r="B676" s="1" t="str">
        <f>IFERROR(IF(LEFT(Sensitivität_bzw_Monte_Carlo_bei_Strom[[#This Row],[Source.Name]],SEARCH("aus_der",Sensitivität_bzw_Monte_Carlo_bei_Strom[[#This Row],[Source.Name]],1))="Auszahlung_a","Auszahlung",""),"")</f>
        <v/>
      </c>
      <c r="D676" s="1"/>
    </row>
    <row r="677" spans="1:4" x14ac:dyDescent="0.3">
      <c r="A677" s="1"/>
      <c r="B677" s="1" t="str">
        <f>IFERROR(IF(LEFT(Sensitivität_bzw_Monte_Carlo_bei_Strom[[#This Row],[Source.Name]],SEARCH("aus_der",Sensitivität_bzw_Monte_Carlo_bei_Strom[[#This Row],[Source.Name]],1))="Auszahlung_a","Auszahlung",""),"")</f>
        <v/>
      </c>
      <c r="D677" s="1"/>
    </row>
    <row r="678" spans="1:4" x14ac:dyDescent="0.3">
      <c r="A678" s="1"/>
      <c r="B678" s="1" t="str">
        <f>IFERROR(IF(LEFT(Sensitivität_bzw_Monte_Carlo_bei_Strom[[#This Row],[Source.Name]],SEARCH("aus_der",Sensitivität_bzw_Monte_Carlo_bei_Strom[[#This Row],[Source.Name]],1))="Auszahlung_a","Auszahlung",""),"")</f>
        <v/>
      </c>
      <c r="D678" s="1"/>
    </row>
    <row r="679" spans="1:4" x14ac:dyDescent="0.3">
      <c r="A679" s="1"/>
      <c r="B679" s="1" t="str">
        <f>IFERROR(IF(LEFT(Sensitivität_bzw_Monte_Carlo_bei_Strom[[#This Row],[Source.Name]],SEARCH("aus_der",Sensitivität_bzw_Monte_Carlo_bei_Strom[[#This Row],[Source.Name]],1))="Auszahlung_a","Auszahlung",""),"")</f>
        <v/>
      </c>
      <c r="D679" s="1"/>
    </row>
    <row r="680" spans="1:4" x14ac:dyDescent="0.3">
      <c r="A680" s="1"/>
      <c r="B680" s="1" t="str">
        <f>IFERROR(IF(LEFT(Sensitivität_bzw_Monte_Carlo_bei_Strom[[#This Row],[Source.Name]],SEARCH("aus_der",Sensitivität_bzw_Monte_Carlo_bei_Strom[[#This Row],[Source.Name]],1))="Auszahlung_a","Auszahlung",""),"")</f>
        <v/>
      </c>
      <c r="D680" s="1"/>
    </row>
    <row r="681" spans="1:4" x14ac:dyDescent="0.3">
      <c r="A681" s="1"/>
      <c r="B681" s="1" t="str">
        <f>IFERROR(IF(LEFT(Sensitivität_bzw_Monte_Carlo_bei_Strom[[#This Row],[Source.Name]],SEARCH("aus_der",Sensitivität_bzw_Monte_Carlo_bei_Strom[[#This Row],[Source.Name]],1))="Auszahlung_a","Auszahlung",""),"")</f>
        <v/>
      </c>
      <c r="D681" s="1"/>
    </row>
    <row r="682" spans="1:4" x14ac:dyDescent="0.3">
      <c r="A682" s="1"/>
      <c r="B682" s="1" t="str">
        <f>IFERROR(IF(LEFT(Sensitivität_bzw_Monte_Carlo_bei_Strom[[#This Row],[Source.Name]],SEARCH("aus_der",Sensitivität_bzw_Monte_Carlo_bei_Strom[[#This Row],[Source.Name]],1))="Auszahlung_a","Auszahlung",""),"")</f>
        <v/>
      </c>
      <c r="D682" s="1"/>
    </row>
    <row r="683" spans="1:4" x14ac:dyDescent="0.3">
      <c r="A683" s="1"/>
      <c r="B683" s="1" t="str">
        <f>IFERROR(IF(LEFT(Sensitivität_bzw_Monte_Carlo_bei_Strom[[#This Row],[Source.Name]],SEARCH("aus_der",Sensitivität_bzw_Monte_Carlo_bei_Strom[[#This Row],[Source.Name]],1))="Auszahlung_a","Auszahlung",""),"")</f>
        <v/>
      </c>
      <c r="D683" s="1"/>
    </row>
    <row r="684" spans="1:4" x14ac:dyDescent="0.3">
      <c r="A684" s="1"/>
      <c r="B684" s="1" t="str">
        <f>IFERROR(IF(LEFT(Sensitivität_bzw_Monte_Carlo_bei_Strom[[#This Row],[Source.Name]],SEARCH("aus_der",Sensitivität_bzw_Monte_Carlo_bei_Strom[[#This Row],[Source.Name]],1))="Auszahlung_a","Auszahlung",""),"")</f>
        <v/>
      </c>
      <c r="D684" s="1"/>
    </row>
    <row r="685" spans="1:4" x14ac:dyDescent="0.3">
      <c r="A685" s="1"/>
      <c r="B685" s="1" t="str">
        <f>IFERROR(IF(LEFT(Sensitivität_bzw_Monte_Carlo_bei_Strom[[#This Row],[Source.Name]],SEARCH("aus_der",Sensitivität_bzw_Monte_Carlo_bei_Strom[[#This Row],[Source.Name]],1))="Auszahlung_a","Auszahlung",""),"")</f>
        <v/>
      </c>
      <c r="D685" s="1"/>
    </row>
    <row r="686" spans="1:4" x14ac:dyDescent="0.3">
      <c r="A686" s="1"/>
      <c r="B686" s="1" t="str">
        <f>IFERROR(IF(LEFT(Sensitivität_bzw_Monte_Carlo_bei_Strom[[#This Row],[Source.Name]],SEARCH("aus_der",Sensitivität_bzw_Monte_Carlo_bei_Strom[[#This Row],[Source.Name]],1))="Auszahlung_a","Auszahlung",""),"")</f>
        <v/>
      </c>
      <c r="D686" s="1"/>
    </row>
    <row r="687" spans="1:4" x14ac:dyDescent="0.3">
      <c r="A687" s="1"/>
      <c r="B687" s="1" t="str">
        <f>IFERROR(IF(LEFT(Sensitivität_bzw_Monte_Carlo_bei_Strom[[#This Row],[Source.Name]],SEARCH("aus_der",Sensitivität_bzw_Monte_Carlo_bei_Strom[[#This Row],[Source.Name]],1))="Auszahlung_a","Auszahlung",""),"")</f>
        <v/>
      </c>
      <c r="D687" s="1"/>
    </row>
    <row r="688" spans="1:4" x14ac:dyDescent="0.3">
      <c r="A688" s="1"/>
      <c r="B688" s="1" t="str">
        <f>IFERROR(IF(LEFT(Sensitivität_bzw_Monte_Carlo_bei_Strom[[#This Row],[Source.Name]],SEARCH("aus_der",Sensitivität_bzw_Monte_Carlo_bei_Strom[[#This Row],[Source.Name]],1))="Auszahlung_a","Auszahlung",""),"")</f>
        <v/>
      </c>
      <c r="D688" s="1"/>
    </row>
    <row r="689" spans="1:4" x14ac:dyDescent="0.3">
      <c r="A689" s="1"/>
      <c r="B689" s="1" t="str">
        <f>IFERROR(IF(LEFT(Sensitivität_bzw_Monte_Carlo_bei_Strom[[#This Row],[Source.Name]],SEARCH("aus_der",Sensitivität_bzw_Monte_Carlo_bei_Strom[[#This Row],[Source.Name]],1))="Auszahlung_a","Auszahlung",""),"")</f>
        <v/>
      </c>
      <c r="D689" s="1"/>
    </row>
    <row r="690" spans="1:4" x14ac:dyDescent="0.3">
      <c r="A690" s="1"/>
      <c r="B690" s="1" t="str">
        <f>IFERROR(IF(LEFT(Sensitivität_bzw_Monte_Carlo_bei_Strom[[#This Row],[Source.Name]],SEARCH("aus_der",Sensitivität_bzw_Monte_Carlo_bei_Strom[[#This Row],[Source.Name]],1))="Auszahlung_a","Auszahlung",""),"")</f>
        <v/>
      </c>
      <c r="D690" s="1"/>
    </row>
    <row r="691" spans="1:4" x14ac:dyDescent="0.3">
      <c r="A691" s="1"/>
      <c r="B691" s="1" t="str">
        <f>IFERROR(IF(LEFT(Sensitivität_bzw_Monte_Carlo_bei_Strom[[#This Row],[Source.Name]],SEARCH("aus_der",Sensitivität_bzw_Monte_Carlo_bei_Strom[[#This Row],[Source.Name]],1))="Auszahlung_a","Auszahlung",""),"")</f>
        <v/>
      </c>
      <c r="D691" s="1"/>
    </row>
    <row r="692" spans="1:4" x14ac:dyDescent="0.3">
      <c r="A692" s="1"/>
      <c r="B692" s="1" t="str">
        <f>IFERROR(IF(LEFT(Sensitivität_bzw_Monte_Carlo_bei_Strom[[#This Row],[Source.Name]],SEARCH("aus_der",Sensitivität_bzw_Monte_Carlo_bei_Strom[[#This Row],[Source.Name]],1))="Auszahlung_a","Auszahlung",""),"")</f>
        <v/>
      </c>
      <c r="D692" s="1"/>
    </row>
    <row r="693" spans="1:4" x14ac:dyDescent="0.3">
      <c r="A693" s="1"/>
      <c r="B693" s="1" t="str">
        <f>IFERROR(IF(LEFT(Sensitivität_bzw_Monte_Carlo_bei_Strom[[#This Row],[Source.Name]],SEARCH("aus_der",Sensitivität_bzw_Monte_Carlo_bei_Strom[[#This Row],[Source.Name]],1))="Auszahlung_a","Auszahlung",""),"")</f>
        <v/>
      </c>
      <c r="D693" s="1"/>
    </row>
    <row r="694" spans="1:4" x14ac:dyDescent="0.3">
      <c r="A694" s="1"/>
      <c r="B694" s="1" t="str">
        <f>IFERROR(IF(LEFT(Sensitivität_bzw_Monte_Carlo_bei_Strom[[#This Row],[Source.Name]],SEARCH("aus_der",Sensitivität_bzw_Monte_Carlo_bei_Strom[[#This Row],[Source.Name]],1))="Auszahlung_a","Auszahlung",""),"")</f>
        <v/>
      </c>
      <c r="D694" s="1"/>
    </row>
    <row r="695" spans="1:4" x14ac:dyDescent="0.3">
      <c r="A695" s="1"/>
      <c r="B695" s="1" t="str">
        <f>IFERROR(IF(LEFT(Sensitivität_bzw_Monte_Carlo_bei_Strom[[#This Row],[Source.Name]],SEARCH("aus_der",Sensitivität_bzw_Monte_Carlo_bei_Strom[[#This Row],[Source.Name]],1))="Auszahlung_a","Auszahlung",""),"")</f>
        <v/>
      </c>
      <c r="D695" s="1"/>
    </row>
    <row r="696" spans="1:4" x14ac:dyDescent="0.3">
      <c r="A696" s="1"/>
      <c r="B696" s="1" t="str">
        <f>IFERROR(IF(LEFT(Sensitivität_bzw_Monte_Carlo_bei_Strom[[#This Row],[Source.Name]],SEARCH("aus_der",Sensitivität_bzw_Monte_Carlo_bei_Strom[[#This Row],[Source.Name]],1))="Auszahlung_a","Auszahlung",""),"")</f>
        <v/>
      </c>
      <c r="D696" s="1"/>
    </row>
    <row r="697" spans="1:4" x14ac:dyDescent="0.3">
      <c r="A697" s="1"/>
      <c r="B697" s="1" t="str">
        <f>IFERROR(IF(LEFT(Sensitivität_bzw_Monte_Carlo_bei_Strom[[#This Row],[Source.Name]],SEARCH("aus_der",Sensitivität_bzw_Monte_Carlo_bei_Strom[[#This Row],[Source.Name]],1))="Auszahlung_a","Auszahlung",""),"")</f>
        <v/>
      </c>
      <c r="D697" s="1"/>
    </row>
    <row r="698" spans="1:4" x14ac:dyDescent="0.3">
      <c r="A698" s="1"/>
      <c r="B698" s="1" t="str">
        <f>IFERROR(IF(LEFT(Sensitivität_bzw_Monte_Carlo_bei_Strom[[#This Row],[Source.Name]],SEARCH("aus_der",Sensitivität_bzw_Monte_Carlo_bei_Strom[[#This Row],[Source.Name]],1))="Auszahlung_a","Auszahlung",""),"")</f>
        <v/>
      </c>
      <c r="D698" s="1"/>
    </row>
    <row r="699" spans="1:4" x14ac:dyDescent="0.3">
      <c r="A699" s="1"/>
      <c r="B699" s="1" t="str">
        <f>IFERROR(IF(LEFT(Sensitivität_bzw_Monte_Carlo_bei_Strom[[#This Row],[Source.Name]],SEARCH("aus_der",Sensitivität_bzw_Monte_Carlo_bei_Strom[[#This Row],[Source.Name]],1))="Auszahlung_a","Auszahlung",""),"")</f>
        <v/>
      </c>
      <c r="D699" s="1"/>
    </row>
    <row r="700" spans="1:4" x14ac:dyDescent="0.3">
      <c r="A700" s="1"/>
      <c r="B700" s="1" t="str">
        <f>IFERROR(IF(LEFT(Sensitivität_bzw_Monte_Carlo_bei_Strom[[#This Row],[Source.Name]],SEARCH("aus_der",Sensitivität_bzw_Monte_Carlo_bei_Strom[[#This Row],[Source.Name]],1))="Auszahlung_a","Auszahlung",""),"")</f>
        <v/>
      </c>
      <c r="D700" s="1"/>
    </row>
    <row r="701" spans="1:4" x14ac:dyDescent="0.3">
      <c r="A701" s="1"/>
      <c r="B701" s="1" t="str">
        <f>IFERROR(IF(LEFT(Sensitivität_bzw_Monte_Carlo_bei_Strom[[#This Row],[Source.Name]],SEARCH("aus_der",Sensitivität_bzw_Monte_Carlo_bei_Strom[[#This Row],[Source.Name]],1))="Auszahlung_a","Auszahlung",""),"")</f>
        <v/>
      </c>
      <c r="D701" s="1"/>
    </row>
    <row r="702" spans="1:4" x14ac:dyDescent="0.3">
      <c r="A702" s="1"/>
      <c r="B702" s="1" t="str">
        <f>IFERROR(IF(LEFT(Sensitivität_bzw_Monte_Carlo_bei_Strom[[#This Row],[Source.Name]],SEARCH("aus_der",Sensitivität_bzw_Monte_Carlo_bei_Strom[[#This Row],[Source.Name]],1))="Auszahlung_a","Auszahlung",""),"")</f>
        <v/>
      </c>
      <c r="D702" s="1"/>
    </row>
    <row r="703" spans="1:4" x14ac:dyDescent="0.3">
      <c r="A703" s="1"/>
      <c r="B703" s="1" t="str">
        <f>IFERROR(IF(LEFT(Sensitivität_bzw_Monte_Carlo_bei_Strom[[#This Row],[Source.Name]],SEARCH("aus_der",Sensitivität_bzw_Monte_Carlo_bei_Strom[[#This Row],[Source.Name]],1))="Auszahlung_a","Auszahlung",""),"")</f>
        <v/>
      </c>
      <c r="D703" s="1"/>
    </row>
    <row r="704" spans="1:4" x14ac:dyDescent="0.3">
      <c r="A704" s="1"/>
      <c r="B704" s="1" t="str">
        <f>IFERROR(IF(LEFT(Sensitivität_bzw_Monte_Carlo_bei_Strom[[#This Row],[Source.Name]],SEARCH("aus_der",Sensitivität_bzw_Monte_Carlo_bei_Strom[[#This Row],[Source.Name]],1))="Auszahlung_a","Auszahlung",""),"")</f>
        <v/>
      </c>
      <c r="D704" s="1"/>
    </row>
    <row r="705" spans="1:4" x14ac:dyDescent="0.3">
      <c r="A705" s="1"/>
      <c r="B705" s="1" t="str">
        <f>IFERROR(IF(LEFT(Sensitivität_bzw_Monte_Carlo_bei_Strom[[#This Row],[Source.Name]],SEARCH("aus_der",Sensitivität_bzw_Monte_Carlo_bei_Strom[[#This Row],[Source.Name]],1))="Auszahlung_a","Auszahlung",""),"")</f>
        <v/>
      </c>
      <c r="D705" s="1"/>
    </row>
    <row r="706" spans="1:4" x14ac:dyDescent="0.3">
      <c r="A706" s="1"/>
      <c r="B706" s="1" t="str">
        <f>IFERROR(IF(LEFT(Sensitivität_bzw_Monte_Carlo_bei_Strom[[#This Row],[Source.Name]],SEARCH("aus_der",Sensitivität_bzw_Monte_Carlo_bei_Strom[[#This Row],[Source.Name]],1))="Auszahlung_a","Auszahlung",""),"")</f>
        <v/>
      </c>
      <c r="D706" s="1"/>
    </row>
    <row r="707" spans="1:4" x14ac:dyDescent="0.3">
      <c r="A707" s="1"/>
      <c r="B707" s="1" t="str">
        <f>IFERROR(IF(LEFT(Sensitivität_bzw_Monte_Carlo_bei_Strom[[#This Row],[Source.Name]],SEARCH("aus_der",Sensitivität_bzw_Monte_Carlo_bei_Strom[[#This Row],[Source.Name]],1))="Auszahlung_a","Auszahlung",""),"")</f>
        <v/>
      </c>
      <c r="D707" s="1"/>
    </row>
    <row r="708" spans="1:4" x14ac:dyDescent="0.3">
      <c r="A708" s="1"/>
      <c r="B708" s="1" t="str">
        <f>IFERROR(IF(LEFT(Sensitivität_bzw_Monte_Carlo_bei_Strom[[#This Row],[Source.Name]],SEARCH("aus_der",Sensitivität_bzw_Monte_Carlo_bei_Strom[[#This Row],[Source.Name]],1))="Auszahlung_a","Auszahlung",""),"")</f>
        <v/>
      </c>
      <c r="D708" s="1"/>
    </row>
    <row r="709" spans="1:4" x14ac:dyDescent="0.3">
      <c r="A709" s="1"/>
      <c r="B709" s="1" t="str">
        <f>IFERROR(IF(LEFT(Sensitivität_bzw_Monte_Carlo_bei_Strom[[#This Row],[Source.Name]],SEARCH("aus_der",Sensitivität_bzw_Monte_Carlo_bei_Strom[[#This Row],[Source.Name]],1))="Auszahlung_a","Auszahlung",""),"")</f>
        <v/>
      </c>
      <c r="D709" s="1"/>
    </row>
    <row r="710" spans="1:4" x14ac:dyDescent="0.3">
      <c r="A710" s="1"/>
      <c r="B710" s="1" t="str">
        <f>IFERROR(IF(LEFT(Sensitivität_bzw_Monte_Carlo_bei_Strom[[#This Row],[Source.Name]],SEARCH("aus_der",Sensitivität_bzw_Monte_Carlo_bei_Strom[[#This Row],[Source.Name]],1))="Auszahlung_a","Auszahlung",""),"")</f>
        <v/>
      </c>
      <c r="D710" s="1"/>
    </row>
    <row r="711" spans="1:4" x14ac:dyDescent="0.3">
      <c r="A711" s="1"/>
      <c r="B711" s="1" t="str">
        <f>IFERROR(IF(LEFT(Sensitivität_bzw_Monte_Carlo_bei_Strom[[#This Row],[Source.Name]],SEARCH("aus_der",Sensitivität_bzw_Monte_Carlo_bei_Strom[[#This Row],[Source.Name]],1))="Auszahlung_a","Auszahlung",""),"")</f>
        <v/>
      </c>
      <c r="D711" s="1"/>
    </row>
    <row r="712" spans="1:4" x14ac:dyDescent="0.3">
      <c r="A712" s="1"/>
      <c r="B712" s="1" t="str">
        <f>IFERROR(IF(LEFT(Sensitivität_bzw_Monte_Carlo_bei_Strom[[#This Row],[Source.Name]],SEARCH("aus_der",Sensitivität_bzw_Monte_Carlo_bei_Strom[[#This Row],[Source.Name]],1))="Auszahlung_a","Auszahlung",""),"")</f>
        <v/>
      </c>
      <c r="D712" s="1"/>
    </row>
    <row r="713" spans="1:4" x14ac:dyDescent="0.3">
      <c r="A713" s="1"/>
      <c r="B713" s="1" t="str">
        <f>IFERROR(IF(LEFT(Sensitivität_bzw_Monte_Carlo_bei_Strom[[#This Row],[Source.Name]],SEARCH("aus_der",Sensitivität_bzw_Monte_Carlo_bei_Strom[[#This Row],[Source.Name]],1))="Auszahlung_a","Auszahlung",""),"")</f>
        <v/>
      </c>
      <c r="D713" s="1"/>
    </row>
    <row r="714" spans="1:4" x14ac:dyDescent="0.3">
      <c r="A714" s="1"/>
      <c r="B714" s="1" t="str">
        <f>IFERROR(IF(LEFT(Sensitivität_bzw_Monte_Carlo_bei_Strom[[#This Row],[Source.Name]],SEARCH("aus_der",Sensitivität_bzw_Monte_Carlo_bei_Strom[[#This Row],[Source.Name]],1))="Auszahlung_a","Auszahlung",""),"")</f>
        <v/>
      </c>
      <c r="D714" s="1"/>
    </row>
    <row r="715" spans="1:4" x14ac:dyDescent="0.3">
      <c r="A715" s="1"/>
      <c r="B715" s="1" t="str">
        <f>IFERROR(IF(LEFT(Sensitivität_bzw_Monte_Carlo_bei_Strom[[#This Row],[Source.Name]],SEARCH("aus_der",Sensitivität_bzw_Monte_Carlo_bei_Strom[[#This Row],[Source.Name]],1))="Auszahlung_a","Auszahlung",""),"")</f>
        <v/>
      </c>
      <c r="D715" s="1"/>
    </row>
    <row r="716" spans="1:4" x14ac:dyDescent="0.3">
      <c r="A716" s="1"/>
      <c r="B716" s="1" t="str">
        <f>IFERROR(IF(LEFT(Sensitivität_bzw_Monte_Carlo_bei_Strom[[#This Row],[Source.Name]],SEARCH("aus_der",Sensitivität_bzw_Monte_Carlo_bei_Strom[[#This Row],[Source.Name]],1))="Auszahlung_a","Auszahlung",""),"")</f>
        <v/>
      </c>
      <c r="D716" s="1"/>
    </row>
    <row r="717" spans="1:4" x14ac:dyDescent="0.3">
      <c r="A717" s="1"/>
      <c r="B717" s="1" t="str">
        <f>IFERROR(IF(LEFT(Sensitivität_bzw_Monte_Carlo_bei_Strom[[#This Row],[Source.Name]],SEARCH("aus_der",Sensitivität_bzw_Monte_Carlo_bei_Strom[[#This Row],[Source.Name]],1))="Auszahlung_a","Auszahlung",""),"")</f>
        <v/>
      </c>
      <c r="D717" s="1"/>
    </row>
    <row r="718" spans="1:4" x14ac:dyDescent="0.3">
      <c r="A718" s="1"/>
      <c r="B718" s="1" t="str">
        <f>IFERROR(IF(LEFT(Sensitivität_bzw_Monte_Carlo_bei_Strom[[#This Row],[Source.Name]],SEARCH("aus_der",Sensitivität_bzw_Monte_Carlo_bei_Strom[[#This Row],[Source.Name]],1))="Auszahlung_a","Auszahlung",""),"")</f>
        <v/>
      </c>
      <c r="D718" s="1"/>
    </row>
    <row r="719" spans="1:4" x14ac:dyDescent="0.3">
      <c r="A719" s="1"/>
      <c r="B719" s="1" t="str">
        <f>IFERROR(IF(LEFT(Sensitivität_bzw_Monte_Carlo_bei_Strom[[#This Row],[Source.Name]],SEARCH("aus_der",Sensitivität_bzw_Monte_Carlo_bei_Strom[[#This Row],[Source.Name]],1))="Auszahlung_a","Auszahlung",""),"")</f>
        <v/>
      </c>
      <c r="D719" s="1"/>
    </row>
    <row r="720" spans="1:4" x14ac:dyDescent="0.3">
      <c r="A720" s="1"/>
      <c r="B720" s="1" t="str">
        <f>IFERROR(IF(LEFT(Sensitivität_bzw_Monte_Carlo_bei_Strom[[#This Row],[Source.Name]],SEARCH("aus_der",Sensitivität_bzw_Monte_Carlo_bei_Strom[[#This Row],[Source.Name]],1))="Auszahlung_a","Auszahlung",""),"")</f>
        <v/>
      </c>
      <c r="D720" s="1"/>
    </row>
    <row r="721" spans="1:4" x14ac:dyDescent="0.3">
      <c r="A721" s="1"/>
      <c r="B721" s="1" t="str">
        <f>IFERROR(IF(LEFT(Sensitivität_bzw_Monte_Carlo_bei_Strom[[#This Row],[Source.Name]],SEARCH("aus_der",Sensitivität_bzw_Monte_Carlo_bei_Strom[[#This Row],[Source.Name]],1))="Auszahlung_a","Auszahlung",""),"")</f>
        <v/>
      </c>
      <c r="D721" s="1"/>
    </row>
    <row r="722" spans="1:4" x14ac:dyDescent="0.3">
      <c r="A722" s="1"/>
      <c r="B722" s="1" t="str">
        <f>IFERROR(IF(LEFT(Sensitivität_bzw_Monte_Carlo_bei_Strom[[#This Row],[Source.Name]],SEARCH("aus_der",Sensitivität_bzw_Monte_Carlo_bei_Strom[[#This Row],[Source.Name]],1))="Auszahlung_a","Auszahlung",""),"")</f>
        <v/>
      </c>
      <c r="D722" s="1"/>
    </row>
    <row r="723" spans="1:4" x14ac:dyDescent="0.3">
      <c r="A723" s="1"/>
      <c r="B723" s="1" t="str">
        <f>IFERROR(IF(LEFT(Sensitivität_bzw_Monte_Carlo_bei_Strom[[#This Row],[Source.Name]],SEARCH("aus_der",Sensitivität_bzw_Monte_Carlo_bei_Strom[[#This Row],[Source.Name]],1))="Auszahlung_a","Auszahlung",""),"")</f>
        <v/>
      </c>
      <c r="D723" s="1"/>
    </row>
    <row r="724" spans="1:4" x14ac:dyDescent="0.3">
      <c r="A724" s="1"/>
      <c r="B724" s="1" t="str">
        <f>IFERROR(IF(LEFT(Sensitivität_bzw_Monte_Carlo_bei_Strom[[#This Row],[Source.Name]],SEARCH("aus_der",Sensitivität_bzw_Monte_Carlo_bei_Strom[[#This Row],[Source.Name]],1))="Auszahlung_a","Auszahlung",""),"")</f>
        <v/>
      </c>
      <c r="D724" s="1"/>
    </row>
    <row r="725" spans="1:4" x14ac:dyDescent="0.3">
      <c r="A725" s="1"/>
      <c r="B725" s="1" t="str">
        <f>IFERROR(IF(LEFT(Sensitivität_bzw_Monte_Carlo_bei_Strom[[#This Row],[Source.Name]],SEARCH("aus_der",Sensitivität_bzw_Monte_Carlo_bei_Strom[[#This Row],[Source.Name]],1))="Auszahlung_a","Auszahlung",""),"")</f>
        <v/>
      </c>
      <c r="D725" s="1"/>
    </row>
    <row r="726" spans="1:4" x14ac:dyDescent="0.3">
      <c r="A726" s="1"/>
      <c r="B726" s="1" t="str">
        <f>IFERROR(IF(LEFT(Sensitivität_bzw_Monte_Carlo_bei_Strom[[#This Row],[Source.Name]],SEARCH("aus_der",Sensitivität_bzw_Monte_Carlo_bei_Strom[[#This Row],[Source.Name]],1))="Auszahlung_a","Auszahlung",""),"")</f>
        <v/>
      </c>
      <c r="D726" s="1"/>
    </row>
    <row r="727" spans="1:4" x14ac:dyDescent="0.3">
      <c r="A727" s="1"/>
      <c r="B727" s="1" t="str">
        <f>IFERROR(IF(LEFT(Sensitivität_bzw_Monte_Carlo_bei_Strom[[#This Row],[Source.Name]],SEARCH("aus_der",Sensitivität_bzw_Monte_Carlo_bei_Strom[[#This Row],[Source.Name]],1))="Auszahlung_a","Auszahlung",""),"")</f>
        <v/>
      </c>
      <c r="D727" s="1"/>
    </row>
    <row r="728" spans="1:4" x14ac:dyDescent="0.3">
      <c r="A728" s="1"/>
      <c r="B728" s="1" t="str">
        <f>IFERROR(IF(LEFT(Sensitivität_bzw_Monte_Carlo_bei_Strom[[#This Row],[Source.Name]],SEARCH("aus_der",Sensitivität_bzw_Monte_Carlo_bei_Strom[[#This Row],[Source.Name]],1))="Auszahlung_a","Auszahlung",""),"")</f>
        <v/>
      </c>
      <c r="D728" s="1"/>
    </row>
    <row r="729" spans="1:4" x14ac:dyDescent="0.3">
      <c r="A729" s="1"/>
      <c r="B729" s="1" t="str">
        <f>IFERROR(IF(LEFT(Sensitivität_bzw_Monte_Carlo_bei_Strom[[#This Row],[Source.Name]],SEARCH("aus_der",Sensitivität_bzw_Monte_Carlo_bei_Strom[[#This Row],[Source.Name]],1))="Auszahlung_a","Auszahlung",""),"")</f>
        <v/>
      </c>
      <c r="D729" s="1"/>
    </row>
    <row r="730" spans="1:4" x14ac:dyDescent="0.3">
      <c r="A730" s="1"/>
      <c r="B730" s="1" t="str">
        <f>IFERROR(IF(LEFT(Sensitivität_bzw_Monte_Carlo_bei_Strom[[#This Row],[Source.Name]],SEARCH("aus_der",Sensitivität_bzw_Monte_Carlo_bei_Strom[[#This Row],[Source.Name]],1))="Auszahlung_a","Auszahlung",""),"")</f>
        <v/>
      </c>
      <c r="D730" s="1"/>
    </row>
    <row r="731" spans="1:4" x14ac:dyDescent="0.3">
      <c r="A731" s="1"/>
      <c r="B731" s="1" t="str">
        <f>IFERROR(IF(LEFT(Sensitivität_bzw_Monte_Carlo_bei_Strom[[#This Row],[Source.Name]],SEARCH("aus_der",Sensitivität_bzw_Monte_Carlo_bei_Strom[[#This Row],[Source.Name]],1))="Auszahlung_a","Auszahlung",""),"")</f>
        <v/>
      </c>
      <c r="D731" s="1"/>
    </row>
    <row r="732" spans="1:4" x14ac:dyDescent="0.3">
      <c r="A732" s="1"/>
      <c r="B732" s="1" t="str">
        <f>IFERROR(IF(LEFT(Sensitivität_bzw_Monte_Carlo_bei_Strom[[#This Row],[Source.Name]],SEARCH("aus_der",Sensitivität_bzw_Monte_Carlo_bei_Strom[[#This Row],[Source.Name]],1))="Auszahlung_a","Auszahlung",""),"")</f>
        <v/>
      </c>
      <c r="D732" s="1"/>
    </row>
    <row r="733" spans="1:4" x14ac:dyDescent="0.3">
      <c r="A733" s="1"/>
      <c r="B733" s="1" t="str">
        <f>IFERROR(IF(LEFT(Sensitivität_bzw_Monte_Carlo_bei_Strom[[#This Row],[Source.Name]],SEARCH("aus_der",Sensitivität_bzw_Monte_Carlo_bei_Strom[[#This Row],[Source.Name]],1))="Auszahlung_a","Auszahlung",""),"")</f>
        <v/>
      </c>
      <c r="D733" s="1"/>
    </row>
    <row r="734" spans="1:4" x14ac:dyDescent="0.3">
      <c r="A734" s="1"/>
      <c r="B734" s="1" t="str">
        <f>IFERROR(IF(LEFT(Sensitivität_bzw_Monte_Carlo_bei_Strom[[#This Row],[Source.Name]],SEARCH("aus_der",Sensitivität_bzw_Monte_Carlo_bei_Strom[[#This Row],[Source.Name]],1))="Auszahlung_a","Auszahlung",""),"")</f>
        <v/>
      </c>
      <c r="D734" s="1"/>
    </row>
    <row r="735" spans="1:4" x14ac:dyDescent="0.3">
      <c r="A735" s="1"/>
      <c r="B735" s="1" t="str">
        <f>IFERROR(IF(LEFT(Sensitivität_bzw_Monte_Carlo_bei_Strom[[#This Row],[Source.Name]],SEARCH("aus_der",Sensitivität_bzw_Monte_Carlo_bei_Strom[[#This Row],[Source.Name]],1))="Auszahlung_a","Auszahlung",""),"")</f>
        <v/>
      </c>
      <c r="D735" s="1"/>
    </row>
    <row r="736" spans="1:4" x14ac:dyDescent="0.3">
      <c r="A736" s="1"/>
      <c r="B736" s="1" t="str">
        <f>IFERROR(IF(LEFT(Sensitivität_bzw_Monte_Carlo_bei_Strom[[#This Row],[Source.Name]],SEARCH("aus_der",Sensitivität_bzw_Monte_Carlo_bei_Strom[[#This Row],[Source.Name]],1))="Auszahlung_a","Auszahlung",""),"")</f>
        <v/>
      </c>
      <c r="D736" s="1"/>
    </row>
    <row r="737" spans="1:4" x14ac:dyDescent="0.3">
      <c r="A737" s="1"/>
      <c r="B737" s="1" t="str">
        <f>IFERROR(IF(LEFT(Sensitivität_bzw_Monte_Carlo_bei_Strom[[#This Row],[Source.Name]],SEARCH("aus_der",Sensitivität_bzw_Monte_Carlo_bei_Strom[[#This Row],[Source.Name]],1))="Auszahlung_a","Auszahlung",""),"")</f>
        <v/>
      </c>
      <c r="D737" s="1"/>
    </row>
    <row r="738" spans="1:4" x14ac:dyDescent="0.3">
      <c r="A738" s="1"/>
      <c r="B738" s="1" t="str">
        <f>IFERROR(IF(LEFT(Sensitivität_bzw_Monte_Carlo_bei_Strom[[#This Row],[Source.Name]],SEARCH("aus_der",Sensitivität_bzw_Monte_Carlo_bei_Strom[[#This Row],[Source.Name]],1))="Auszahlung_a","Auszahlung",""),"")</f>
        <v/>
      </c>
      <c r="D738" s="1"/>
    </row>
    <row r="739" spans="1:4" x14ac:dyDescent="0.3">
      <c r="A739" s="1"/>
      <c r="B739" s="1" t="str">
        <f>IFERROR(IF(LEFT(Sensitivität_bzw_Monte_Carlo_bei_Strom[[#This Row],[Source.Name]],SEARCH("aus_der",Sensitivität_bzw_Monte_Carlo_bei_Strom[[#This Row],[Source.Name]],1))="Auszahlung_a","Auszahlung",""),"")</f>
        <v/>
      </c>
      <c r="D739" s="1"/>
    </row>
    <row r="740" spans="1:4" x14ac:dyDescent="0.3">
      <c r="A740" s="1"/>
      <c r="B740" s="1" t="str">
        <f>IFERROR(IF(LEFT(Sensitivität_bzw_Monte_Carlo_bei_Strom[[#This Row],[Source.Name]],SEARCH("aus_der",Sensitivität_bzw_Monte_Carlo_bei_Strom[[#This Row],[Source.Name]],1))="Auszahlung_a","Auszahlung",""),"")</f>
        <v/>
      </c>
      <c r="D740" s="1"/>
    </row>
    <row r="741" spans="1:4" x14ac:dyDescent="0.3">
      <c r="A741" s="1"/>
      <c r="B741" s="1" t="str">
        <f>IFERROR(IF(LEFT(Sensitivität_bzw_Monte_Carlo_bei_Strom[[#This Row],[Source.Name]],SEARCH("aus_der",Sensitivität_bzw_Monte_Carlo_bei_Strom[[#This Row],[Source.Name]],1))="Auszahlung_a","Auszahlung",""),"")</f>
        <v/>
      </c>
      <c r="D741" s="1"/>
    </row>
    <row r="742" spans="1:4" x14ac:dyDescent="0.3">
      <c r="A742" s="1"/>
      <c r="B742" s="1" t="str">
        <f>IFERROR(IF(LEFT(Sensitivität_bzw_Monte_Carlo_bei_Strom[[#This Row],[Source.Name]],SEARCH("aus_der",Sensitivität_bzw_Monte_Carlo_bei_Strom[[#This Row],[Source.Name]],1))="Auszahlung_a","Auszahlung",""),"")</f>
        <v/>
      </c>
      <c r="D742" s="1"/>
    </row>
    <row r="743" spans="1:4" x14ac:dyDescent="0.3">
      <c r="A743" s="1"/>
      <c r="B743" s="1" t="str">
        <f>IFERROR(IF(LEFT(Sensitivität_bzw_Monte_Carlo_bei_Strom[[#This Row],[Source.Name]],SEARCH("aus_der",Sensitivität_bzw_Monte_Carlo_bei_Strom[[#This Row],[Source.Name]],1))="Auszahlung_a","Auszahlung",""),"")</f>
        <v/>
      </c>
      <c r="D743" s="1"/>
    </row>
    <row r="744" spans="1:4" x14ac:dyDescent="0.3">
      <c r="A744" s="1"/>
      <c r="B744" s="1" t="str">
        <f>IFERROR(IF(LEFT(Sensitivität_bzw_Monte_Carlo_bei_Strom[[#This Row],[Source.Name]],SEARCH("aus_der",Sensitivität_bzw_Monte_Carlo_bei_Strom[[#This Row],[Source.Name]],1))="Auszahlung_a","Auszahlung",""),"")</f>
        <v/>
      </c>
      <c r="D744" s="1"/>
    </row>
    <row r="745" spans="1:4" x14ac:dyDescent="0.3">
      <c r="A745" s="1"/>
      <c r="B745" s="1" t="str">
        <f>IFERROR(IF(LEFT(Sensitivität_bzw_Monte_Carlo_bei_Strom[[#This Row],[Source.Name]],SEARCH("aus_der",Sensitivität_bzw_Monte_Carlo_bei_Strom[[#This Row],[Source.Name]],1))="Auszahlung_a","Auszahlung",""),"")</f>
        <v/>
      </c>
      <c r="D745" s="1"/>
    </row>
    <row r="746" spans="1:4" x14ac:dyDescent="0.3">
      <c r="A746" s="1"/>
      <c r="B746" s="1" t="str">
        <f>IFERROR(IF(LEFT(Sensitivität_bzw_Monte_Carlo_bei_Strom[[#This Row],[Source.Name]],SEARCH("aus_der",Sensitivität_bzw_Monte_Carlo_bei_Strom[[#This Row],[Source.Name]],1))="Auszahlung_a","Auszahlung",""),"")</f>
        <v/>
      </c>
      <c r="D746" s="1"/>
    </row>
    <row r="747" spans="1:4" x14ac:dyDescent="0.3">
      <c r="A747" s="1"/>
      <c r="B747" s="1" t="str">
        <f>IFERROR(IF(LEFT(Sensitivität_bzw_Monte_Carlo_bei_Strom[[#This Row],[Source.Name]],SEARCH("aus_der",Sensitivität_bzw_Monte_Carlo_bei_Strom[[#This Row],[Source.Name]],1))="Auszahlung_a","Auszahlung",""),"")</f>
        <v/>
      </c>
      <c r="D747" s="1"/>
    </row>
    <row r="748" spans="1:4" x14ac:dyDescent="0.3">
      <c r="A748" s="1"/>
      <c r="B748" s="1" t="str">
        <f>IFERROR(IF(LEFT(Sensitivität_bzw_Monte_Carlo_bei_Strom[[#This Row],[Source.Name]],SEARCH("aus_der",Sensitivität_bzw_Monte_Carlo_bei_Strom[[#This Row],[Source.Name]],1))="Auszahlung_a","Auszahlung",""),"")</f>
        <v/>
      </c>
      <c r="D748" s="1"/>
    </row>
    <row r="749" spans="1:4" x14ac:dyDescent="0.3">
      <c r="A749" s="1"/>
      <c r="B749" s="1" t="str">
        <f>IFERROR(IF(LEFT(Sensitivität_bzw_Monte_Carlo_bei_Strom[[#This Row],[Source.Name]],SEARCH("aus_der",Sensitivität_bzw_Monte_Carlo_bei_Strom[[#This Row],[Source.Name]],1))="Auszahlung_a","Auszahlung",""),"")</f>
        <v/>
      </c>
      <c r="D749" s="1"/>
    </row>
    <row r="750" spans="1:4" x14ac:dyDescent="0.3">
      <c r="A750" s="1"/>
      <c r="B750" s="1" t="str">
        <f>IFERROR(IF(LEFT(Sensitivität_bzw_Monte_Carlo_bei_Strom[[#This Row],[Source.Name]],SEARCH("aus_der",Sensitivität_bzw_Monte_Carlo_bei_Strom[[#This Row],[Source.Name]],1))="Auszahlung_a","Auszahlung",""),"")</f>
        <v/>
      </c>
      <c r="D750" s="1"/>
    </row>
    <row r="751" spans="1:4" x14ac:dyDescent="0.3">
      <c r="A751" s="1"/>
      <c r="B751" s="1" t="str">
        <f>IFERROR(IF(LEFT(Sensitivität_bzw_Monte_Carlo_bei_Strom[[#This Row],[Source.Name]],SEARCH("aus_der",Sensitivität_bzw_Monte_Carlo_bei_Strom[[#This Row],[Source.Name]],1))="Auszahlung_a","Auszahlung",""),"")</f>
        <v/>
      </c>
      <c r="D751" s="1"/>
    </row>
    <row r="752" spans="1:4" x14ac:dyDescent="0.3">
      <c r="A752" s="1"/>
      <c r="B752" s="1" t="str">
        <f>IFERROR(IF(LEFT(Sensitivität_bzw_Monte_Carlo_bei_Strom[[#This Row],[Source.Name]],SEARCH("aus_der",Sensitivität_bzw_Monte_Carlo_bei_Strom[[#This Row],[Source.Name]],1))="Auszahlung_a","Auszahlung",""),"")</f>
        <v/>
      </c>
      <c r="D752" s="1"/>
    </row>
    <row r="753" spans="1:4" x14ac:dyDescent="0.3">
      <c r="A753" s="1"/>
      <c r="B753" s="1" t="str">
        <f>IFERROR(IF(LEFT(Sensitivität_bzw_Monte_Carlo_bei_Strom[[#This Row],[Source.Name]],SEARCH("aus_der",Sensitivität_bzw_Monte_Carlo_bei_Strom[[#This Row],[Source.Name]],1))="Auszahlung_a","Auszahlung",""),"")</f>
        <v/>
      </c>
      <c r="D753" s="1"/>
    </row>
    <row r="754" spans="1:4" x14ac:dyDescent="0.3">
      <c r="A754" s="1"/>
      <c r="B754" s="1" t="str">
        <f>IFERROR(IF(LEFT(Sensitivität_bzw_Monte_Carlo_bei_Strom[[#This Row],[Source.Name]],SEARCH("aus_der",Sensitivität_bzw_Monte_Carlo_bei_Strom[[#This Row],[Source.Name]],1))="Auszahlung_a","Auszahlung",""),"")</f>
        <v/>
      </c>
      <c r="D754" s="1"/>
    </row>
    <row r="755" spans="1:4" x14ac:dyDescent="0.3">
      <c r="A755" s="1"/>
      <c r="B755" s="1" t="str">
        <f>IFERROR(IF(LEFT(Sensitivität_bzw_Monte_Carlo_bei_Strom[[#This Row],[Source.Name]],SEARCH("aus_der",Sensitivität_bzw_Monte_Carlo_bei_Strom[[#This Row],[Source.Name]],1))="Auszahlung_a","Auszahlung",""),"")</f>
        <v/>
      </c>
      <c r="D755" s="1"/>
    </row>
    <row r="756" spans="1:4" x14ac:dyDescent="0.3">
      <c r="A756" s="1"/>
      <c r="B756" s="1" t="str">
        <f>IFERROR(IF(LEFT(Sensitivität_bzw_Monte_Carlo_bei_Strom[[#This Row],[Source.Name]],SEARCH("aus_der",Sensitivität_bzw_Monte_Carlo_bei_Strom[[#This Row],[Source.Name]],1))="Auszahlung_a","Auszahlung",""),"")</f>
        <v/>
      </c>
      <c r="D756" s="1"/>
    </row>
    <row r="757" spans="1:4" x14ac:dyDescent="0.3">
      <c r="A757" s="1"/>
      <c r="B757" s="1" t="str">
        <f>IFERROR(IF(LEFT(Sensitivität_bzw_Monte_Carlo_bei_Strom[[#This Row],[Source.Name]],SEARCH("aus_der",Sensitivität_bzw_Monte_Carlo_bei_Strom[[#This Row],[Source.Name]],1))="Auszahlung_a","Auszahlung",""),"")</f>
        <v/>
      </c>
      <c r="D757" s="1"/>
    </row>
    <row r="758" spans="1:4" x14ac:dyDescent="0.3">
      <c r="A758" s="1"/>
      <c r="B758" s="1" t="str">
        <f>IFERROR(IF(LEFT(Sensitivität_bzw_Monte_Carlo_bei_Strom[[#This Row],[Source.Name]],SEARCH("aus_der",Sensitivität_bzw_Monte_Carlo_bei_Strom[[#This Row],[Source.Name]],1))="Auszahlung_a","Auszahlung",""),"")</f>
        <v/>
      </c>
      <c r="D758" s="1"/>
    </row>
    <row r="759" spans="1:4" x14ac:dyDescent="0.3">
      <c r="A759" s="1"/>
      <c r="B759" s="1" t="str">
        <f>IFERROR(IF(LEFT(Sensitivität_bzw_Monte_Carlo_bei_Strom[[#This Row],[Source.Name]],SEARCH("aus_der",Sensitivität_bzw_Monte_Carlo_bei_Strom[[#This Row],[Source.Name]],1))="Auszahlung_a","Auszahlung",""),"")</f>
        <v/>
      </c>
      <c r="D759" s="1"/>
    </row>
    <row r="760" spans="1:4" x14ac:dyDescent="0.3">
      <c r="A760" s="1"/>
      <c r="B760" s="1" t="str">
        <f>IFERROR(IF(LEFT(Sensitivität_bzw_Monte_Carlo_bei_Strom[[#This Row],[Source.Name]],SEARCH("aus_der",Sensitivität_bzw_Monte_Carlo_bei_Strom[[#This Row],[Source.Name]],1))="Auszahlung_a","Auszahlung",""),"")</f>
        <v/>
      </c>
      <c r="D760" s="1"/>
    </row>
    <row r="761" spans="1:4" x14ac:dyDescent="0.3">
      <c r="A761" s="1"/>
      <c r="B761" s="1" t="str">
        <f>IFERROR(IF(LEFT(Sensitivität_bzw_Monte_Carlo_bei_Strom[[#This Row],[Source.Name]],SEARCH("aus_der",Sensitivität_bzw_Monte_Carlo_bei_Strom[[#This Row],[Source.Name]],1))="Auszahlung_a","Auszahlung",""),"")</f>
        <v/>
      </c>
      <c r="D761" s="1"/>
    </row>
    <row r="762" spans="1:4" x14ac:dyDescent="0.3">
      <c r="A762" s="1"/>
      <c r="B762" s="1" t="str">
        <f>IFERROR(IF(LEFT(Sensitivität_bzw_Monte_Carlo_bei_Strom[[#This Row],[Source.Name]],SEARCH("aus_der",Sensitivität_bzw_Monte_Carlo_bei_Strom[[#This Row],[Source.Name]],1))="Auszahlung_a","Auszahlung",""),"")</f>
        <v/>
      </c>
      <c r="D762" s="1"/>
    </row>
    <row r="763" spans="1:4" x14ac:dyDescent="0.3">
      <c r="A763" s="1"/>
      <c r="B763" s="1" t="str">
        <f>IFERROR(IF(LEFT(Sensitivität_bzw_Monte_Carlo_bei_Strom[[#This Row],[Source.Name]],SEARCH("aus_der",Sensitivität_bzw_Monte_Carlo_bei_Strom[[#This Row],[Source.Name]],1))="Auszahlung_a","Auszahlung",""),"")</f>
        <v/>
      </c>
      <c r="D763" s="1"/>
    </row>
    <row r="764" spans="1:4" x14ac:dyDescent="0.3">
      <c r="A764" s="1"/>
      <c r="B764" s="1" t="str">
        <f>IFERROR(IF(LEFT(Sensitivität_bzw_Monte_Carlo_bei_Strom[[#This Row],[Source.Name]],SEARCH("aus_der",Sensitivität_bzw_Monte_Carlo_bei_Strom[[#This Row],[Source.Name]],1))="Auszahlung_a","Auszahlung",""),"")</f>
        <v/>
      </c>
      <c r="D764" s="1"/>
    </row>
    <row r="765" spans="1:4" x14ac:dyDescent="0.3">
      <c r="A765" s="1"/>
      <c r="B765" s="1" t="str">
        <f>IFERROR(IF(LEFT(Sensitivität_bzw_Monte_Carlo_bei_Strom[[#This Row],[Source.Name]],SEARCH("aus_der",Sensitivität_bzw_Monte_Carlo_bei_Strom[[#This Row],[Source.Name]],1))="Auszahlung_a","Auszahlung",""),"")</f>
        <v/>
      </c>
      <c r="D765" s="1"/>
    </row>
    <row r="766" spans="1:4" x14ac:dyDescent="0.3">
      <c r="A766" s="1"/>
      <c r="B766" s="1" t="str">
        <f>IFERROR(IF(LEFT(Sensitivität_bzw_Monte_Carlo_bei_Strom[[#This Row],[Source.Name]],SEARCH("aus_der",Sensitivität_bzw_Monte_Carlo_bei_Strom[[#This Row],[Source.Name]],1))="Auszahlung_a","Auszahlung",""),"")</f>
        <v/>
      </c>
      <c r="D766" s="1"/>
    </row>
    <row r="767" spans="1:4" x14ac:dyDescent="0.3">
      <c r="A767" s="1"/>
      <c r="B767" s="1" t="str">
        <f>IFERROR(IF(LEFT(Sensitivität_bzw_Monte_Carlo_bei_Strom[[#This Row],[Source.Name]],SEARCH("aus_der",Sensitivität_bzw_Monte_Carlo_bei_Strom[[#This Row],[Source.Name]],1))="Auszahlung_a","Auszahlung",""),"")</f>
        <v/>
      </c>
      <c r="D767" s="1"/>
    </row>
    <row r="768" spans="1:4" x14ac:dyDescent="0.3">
      <c r="A768" s="1"/>
      <c r="B768" s="1" t="str">
        <f>IFERROR(IF(LEFT(Sensitivität_bzw_Monte_Carlo_bei_Strom[[#This Row],[Source.Name]],SEARCH("aus_der",Sensitivität_bzw_Monte_Carlo_bei_Strom[[#This Row],[Source.Name]],1))="Auszahlung_a","Auszahlung",""),"")</f>
        <v/>
      </c>
      <c r="D768" s="1"/>
    </row>
    <row r="769" spans="1:4" x14ac:dyDescent="0.3">
      <c r="A769" s="1"/>
      <c r="B769" s="1" t="str">
        <f>IFERROR(IF(LEFT(Sensitivität_bzw_Monte_Carlo_bei_Strom[[#This Row],[Source.Name]],SEARCH("aus_der",Sensitivität_bzw_Monte_Carlo_bei_Strom[[#This Row],[Source.Name]],1))="Auszahlung_a","Auszahlung",""),"")</f>
        <v/>
      </c>
      <c r="D769" s="1"/>
    </row>
    <row r="770" spans="1:4" x14ac:dyDescent="0.3">
      <c r="A770" s="1"/>
      <c r="B770" s="1" t="str">
        <f>IFERROR(IF(LEFT(Sensitivität_bzw_Monte_Carlo_bei_Strom[[#This Row],[Source.Name]],SEARCH("aus_der",Sensitivität_bzw_Monte_Carlo_bei_Strom[[#This Row],[Source.Name]],1))="Auszahlung_a","Auszahlung",""),"")</f>
        <v/>
      </c>
      <c r="D770" s="1"/>
    </row>
    <row r="771" spans="1:4" x14ac:dyDescent="0.3">
      <c r="A771" s="1"/>
      <c r="B771" s="1" t="str">
        <f>IFERROR(IF(LEFT(Sensitivität_bzw_Monte_Carlo_bei_Strom[[#This Row],[Source.Name]],SEARCH("aus_der",Sensitivität_bzw_Monte_Carlo_bei_Strom[[#This Row],[Source.Name]],1))="Auszahlung_a","Auszahlung",""),"")</f>
        <v/>
      </c>
      <c r="D771" s="1"/>
    </row>
    <row r="772" spans="1:4" x14ac:dyDescent="0.3">
      <c r="A772" s="1"/>
      <c r="B772" s="1" t="str">
        <f>IFERROR(IF(LEFT(Sensitivität_bzw_Monte_Carlo_bei_Strom[[#This Row],[Source.Name]],SEARCH("aus_der",Sensitivität_bzw_Monte_Carlo_bei_Strom[[#This Row],[Source.Name]],1))="Auszahlung_a","Auszahlung",""),"")</f>
        <v/>
      </c>
      <c r="D772" s="1"/>
    </row>
    <row r="773" spans="1:4" x14ac:dyDescent="0.3">
      <c r="A773" s="1"/>
      <c r="B773" s="1" t="str">
        <f>IFERROR(IF(LEFT(Sensitivität_bzw_Monte_Carlo_bei_Strom[[#This Row],[Source.Name]],SEARCH("aus_der",Sensitivität_bzw_Monte_Carlo_bei_Strom[[#This Row],[Source.Name]],1))="Auszahlung_a","Auszahlung",""),"")</f>
        <v/>
      </c>
      <c r="D773" s="1"/>
    </row>
    <row r="774" spans="1:4" x14ac:dyDescent="0.3">
      <c r="A774" s="1"/>
      <c r="B774" s="1" t="str">
        <f>IFERROR(IF(LEFT(Sensitivität_bzw_Monte_Carlo_bei_Strom[[#This Row],[Source.Name]],SEARCH("aus_der",Sensitivität_bzw_Monte_Carlo_bei_Strom[[#This Row],[Source.Name]],1))="Auszahlung_a","Auszahlung",""),"")</f>
        <v/>
      </c>
      <c r="D774" s="1"/>
    </row>
    <row r="775" spans="1:4" x14ac:dyDescent="0.3">
      <c r="A775" s="1"/>
      <c r="B775" s="1" t="str">
        <f>IFERROR(IF(LEFT(Sensitivität_bzw_Monte_Carlo_bei_Strom[[#This Row],[Source.Name]],SEARCH("aus_der",Sensitivität_bzw_Monte_Carlo_bei_Strom[[#This Row],[Source.Name]],1))="Auszahlung_a","Auszahlung",""),"")</f>
        <v/>
      </c>
      <c r="D775" s="1"/>
    </row>
    <row r="776" spans="1:4" x14ac:dyDescent="0.3">
      <c r="A776" s="1"/>
      <c r="B776" s="1" t="str">
        <f>IFERROR(IF(LEFT(Sensitivität_bzw_Monte_Carlo_bei_Strom[[#This Row],[Source.Name]],SEARCH("aus_der",Sensitivität_bzw_Monte_Carlo_bei_Strom[[#This Row],[Source.Name]],1))="Auszahlung_a","Auszahlung",""),"")</f>
        <v/>
      </c>
      <c r="D776" s="1"/>
    </row>
    <row r="777" spans="1:4" x14ac:dyDescent="0.3">
      <c r="A777" s="1"/>
      <c r="B777" s="1" t="str">
        <f>IFERROR(IF(LEFT(Sensitivität_bzw_Monte_Carlo_bei_Strom[[#This Row],[Source.Name]],SEARCH("aus_der",Sensitivität_bzw_Monte_Carlo_bei_Strom[[#This Row],[Source.Name]],1))="Auszahlung_a","Auszahlung",""),"")</f>
        <v/>
      </c>
      <c r="D777" s="1"/>
    </row>
    <row r="778" spans="1:4" x14ac:dyDescent="0.3">
      <c r="A778" s="1"/>
      <c r="B778" s="1" t="str">
        <f>IFERROR(IF(LEFT(Sensitivität_bzw_Monte_Carlo_bei_Strom[[#This Row],[Source.Name]],SEARCH("aus_der",Sensitivität_bzw_Monte_Carlo_bei_Strom[[#This Row],[Source.Name]],1))="Auszahlung_a","Auszahlung",""),"")</f>
        <v/>
      </c>
      <c r="D778" s="1"/>
    </row>
    <row r="779" spans="1:4" x14ac:dyDescent="0.3">
      <c r="A779" s="1"/>
      <c r="B779" s="1" t="str">
        <f>IFERROR(IF(LEFT(Sensitivität_bzw_Monte_Carlo_bei_Strom[[#This Row],[Source.Name]],SEARCH("aus_der",Sensitivität_bzw_Monte_Carlo_bei_Strom[[#This Row],[Source.Name]],1))="Auszahlung_a","Auszahlung",""),"")</f>
        <v/>
      </c>
      <c r="D779" s="1"/>
    </row>
    <row r="780" spans="1:4" x14ac:dyDescent="0.3">
      <c r="A780" s="1"/>
      <c r="B780" s="1" t="str">
        <f>IFERROR(IF(LEFT(Sensitivität_bzw_Monte_Carlo_bei_Strom[[#This Row],[Source.Name]],SEARCH("aus_der",Sensitivität_bzw_Monte_Carlo_bei_Strom[[#This Row],[Source.Name]],1))="Auszahlung_a","Auszahlung",""),"")</f>
        <v/>
      </c>
      <c r="D780" s="1"/>
    </row>
    <row r="781" spans="1:4" x14ac:dyDescent="0.3">
      <c r="A781" s="1"/>
      <c r="B781" s="1" t="str">
        <f>IFERROR(IF(LEFT(Sensitivität_bzw_Monte_Carlo_bei_Strom[[#This Row],[Source.Name]],SEARCH("aus_der",Sensitivität_bzw_Monte_Carlo_bei_Strom[[#This Row],[Source.Name]],1))="Auszahlung_a","Auszahlung",""),"")</f>
        <v/>
      </c>
      <c r="D781" s="1"/>
    </row>
    <row r="782" spans="1:4" x14ac:dyDescent="0.3">
      <c r="A782" s="1"/>
      <c r="B782" s="1" t="str">
        <f>IFERROR(IF(LEFT(Sensitivität_bzw_Monte_Carlo_bei_Strom[[#This Row],[Source.Name]],SEARCH("aus_der",Sensitivität_bzw_Monte_Carlo_bei_Strom[[#This Row],[Source.Name]],1))="Auszahlung_a","Auszahlung",""),"")</f>
        <v/>
      </c>
      <c r="D782" s="1"/>
    </row>
    <row r="783" spans="1:4" x14ac:dyDescent="0.3">
      <c r="A783" s="1"/>
      <c r="B783" s="1" t="str">
        <f>IFERROR(IF(LEFT(Sensitivität_bzw_Monte_Carlo_bei_Strom[[#This Row],[Source.Name]],SEARCH("aus_der",Sensitivität_bzw_Monte_Carlo_bei_Strom[[#This Row],[Source.Name]],1))="Auszahlung_a","Auszahlung",""),"")</f>
        <v/>
      </c>
      <c r="D783" s="1"/>
    </row>
    <row r="784" spans="1:4" x14ac:dyDescent="0.3">
      <c r="A784" s="1"/>
      <c r="B784" s="1" t="str">
        <f>IFERROR(IF(LEFT(Sensitivität_bzw_Monte_Carlo_bei_Strom[[#This Row],[Source.Name]],SEARCH("aus_der",Sensitivität_bzw_Monte_Carlo_bei_Strom[[#This Row],[Source.Name]],1))="Auszahlung_a","Auszahlung",""),"")</f>
        <v/>
      </c>
      <c r="D784" s="1"/>
    </row>
    <row r="785" spans="1:4" x14ac:dyDescent="0.3">
      <c r="A785" s="1"/>
      <c r="B785" s="1" t="str">
        <f>IFERROR(IF(LEFT(Sensitivität_bzw_Monte_Carlo_bei_Strom[[#This Row],[Source.Name]],SEARCH("aus_der",Sensitivität_bzw_Monte_Carlo_bei_Strom[[#This Row],[Source.Name]],1))="Auszahlung_a","Auszahlung",""),"")</f>
        <v/>
      </c>
      <c r="D785" s="1"/>
    </row>
    <row r="786" spans="1:4" x14ac:dyDescent="0.3">
      <c r="A786" s="1"/>
      <c r="B786" s="1" t="str">
        <f>IFERROR(IF(LEFT(Sensitivität_bzw_Monte_Carlo_bei_Strom[[#This Row],[Source.Name]],SEARCH("aus_der",Sensitivität_bzw_Monte_Carlo_bei_Strom[[#This Row],[Source.Name]],1))="Auszahlung_a","Auszahlung",""),"")</f>
        <v/>
      </c>
      <c r="D786" s="1"/>
    </row>
    <row r="787" spans="1:4" x14ac:dyDescent="0.3">
      <c r="A787" s="1"/>
      <c r="B787" s="1" t="str">
        <f>IFERROR(IF(LEFT(Sensitivität_bzw_Monte_Carlo_bei_Strom[[#This Row],[Source.Name]],SEARCH("aus_der",Sensitivität_bzw_Monte_Carlo_bei_Strom[[#This Row],[Source.Name]],1))="Auszahlung_a","Auszahlung",""),"")</f>
        <v/>
      </c>
      <c r="D787" s="1"/>
    </row>
    <row r="788" spans="1:4" x14ac:dyDescent="0.3">
      <c r="A788" s="1"/>
      <c r="B788" s="1" t="str">
        <f>IFERROR(IF(LEFT(Sensitivität_bzw_Monte_Carlo_bei_Strom[[#This Row],[Source.Name]],SEARCH("aus_der",Sensitivität_bzw_Monte_Carlo_bei_Strom[[#This Row],[Source.Name]],1))="Auszahlung_a","Auszahlung",""),"")</f>
        <v/>
      </c>
      <c r="D788" s="1"/>
    </row>
    <row r="789" spans="1:4" x14ac:dyDescent="0.3">
      <c r="A789" s="1"/>
      <c r="B789" s="1" t="str">
        <f>IFERROR(IF(LEFT(Sensitivität_bzw_Monte_Carlo_bei_Strom[[#This Row],[Source.Name]],SEARCH("aus_der",Sensitivität_bzw_Monte_Carlo_bei_Strom[[#This Row],[Source.Name]],1))="Auszahlung_a","Auszahlung",""),"")</f>
        <v/>
      </c>
      <c r="D789" s="1"/>
    </row>
    <row r="790" spans="1:4" x14ac:dyDescent="0.3">
      <c r="A790" s="1"/>
      <c r="B790" s="1" t="str">
        <f>IFERROR(IF(LEFT(Sensitivität_bzw_Monte_Carlo_bei_Strom[[#This Row],[Source.Name]],SEARCH("aus_der",Sensitivität_bzw_Monte_Carlo_bei_Strom[[#This Row],[Source.Name]],1))="Auszahlung_a","Auszahlung",""),"")</f>
        <v/>
      </c>
      <c r="D790" s="1"/>
    </row>
    <row r="791" spans="1:4" x14ac:dyDescent="0.3">
      <c r="A791" s="1"/>
      <c r="B791" s="1" t="str">
        <f>IFERROR(IF(LEFT(Sensitivität_bzw_Monte_Carlo_bei_Strom[[#This Row],[Source.Name]],SEARCH("aus_der",Sensitivität_bzw_Monte_Carlo_bei_Strom[[#This Row],[Source.Name]],1))="Auszahlung_a","Auszahlung",""),"")</f>
        <v/>
      </c>
      <c r="D791" s="1"/>
    </row>
    <row r="792" spans="1:4" x14ac:dyDescent="0.3">
      <c r="A792" s="1"/>
      <c r="B792" s="1" t="str">
        <f>IFERROR(IF(LEFT(Sensitivität_bzw_Monte_Carlo_bei_Strom[[#This Row],[Source.Name]],SEARCH("aus_der",Sensitivität_bzw_Monte_Carlo_bei_Strom[[#This Row],[Source.Name]],1))="Auszahlung_a","Auszahlung",""),"")</f>
        <v/>
      </c>
      <c r="D792" s="1"/>
    </row>
    <row r="793" spans="1:4" x14ac:dyDescent="0.3">
      <c r="A793" s="1"/>
      <c r="B793" s="1" t="str">
        <f>IFERROR(IF(LEFT(Sensitivität_bzw_Monte_Carlo_bei_Strom[[#This Row],[Source.Name]],SEARCH("aus_der",Sensitivität_bzw_Monte_Carlo_bei_Strom[[#This Row],[Source.Name]],1))="Auszahlung_a","Auszahlung",""),"")</f>
        <v/>
      </c>
      <c r="D793" s="1"/>
    </row>
    <row r="794" spans="1:4" x14ac:dyDescent="0.3">
      <c r="A794" s="1"/>
      <c r="B794" s="1" t="str">
        <f>IFERROR(IF(LEFT(Sensitivität_bzw_Monte_Carlo_bei_Strom[[#This Row],[Source.Name]],SEARCH("aus_der",Sensitivität_bzw_Monte_Carlo_bei_Strom[[#This Row],[Source.Name]],1))="Auszahlung_a","Auszahlung",""),"")</f>
        <v/>
      </c>
      <c r="D794" s="1"/>
    </row>
    <row r="795" spans="1:4" x14ac:dyDescent="0.3">
      <c r="A795" s="1"/>
      <c r="B795" s="1" t="str">
        <f>IFERROR(IF(LEFT(Sensitivität_bzw_Monte_Carlo_bei_Strom[[#This Row],[Source.Name]],SEARCH("aus_der",Sensitivität_bzw_Monte_Carlo_bei_Strom[[#This Row],[Source.Name]],1))="Auszahlung_a","Auszahlung",""),"")</f>
        <v/>
      </c>
      <c r="D795" s="1"/>
    </row>
    <row r="796" spans="1:4" x14ac:dyDescent="0.3">
      <c r="A796" s="1"/>
      <c r="B796" s="1" t="str">
        <f>IFERROR(IF(LEFT(Sensitivität_bzw_Monte_Carlo_bei_Strom[[#This Row],[Source.Name]],SEARCH("aus_der",Sensitivität_bzw_Monte_Carlo_bei_Strom[[#This Row],[Source.Name]],1))="Auszahlung_a","Auszahlung",""),"")</f>
        <v/>
      </c>
      <c r="D796" s="1"/>
    </row>
    <row r="797" spans="1:4" x14ac:dyDescent="0.3">
      <c r="A797" s="1"/>
      <c r="B797" s="1" t="str">
        <f>IFERROR(IF(LEFT(Sensitivität_bzw_Monte_Carlo_bei_Strom[[#This Row],[Source.Name]],SEARCH("aus_der",Sensitivität_bzw_Monte_Carlo_bei_Strom[[#This Row],[Source.Name]],1))="Auszahlung_a","Auszahlung",""),"")</f>
        <v/>
      </c>
      <c r="D797" s="1"/>
    </row>
    <row r="798" spans="1:4" x14ac:dyDescent="0.3">
      <c r="A798" s="1"/>
      <c r="B798" s="1" t="str">
        <f>IFERROR(IF(LEFT(Sensitivität_bzw_Monte_Carlo_bei_Strom[[#This Row],[Source.Name]],SEARCH("aus_der",Sensitivität_bzw_Monte_Carlo_bei_Strom[[#This Row],[Source.Name]],1))="Auszahlung_a","Auszahlung",""),"")</f>
        <v/>
      </c>
      <c r="D798" s="1"/>
    </row>
    <row r="799" spans="1:4" x14ac:dyDescent="0.3">
      <c r="A799" s="1"/>
      <c r="B799" s="1" t="str">
        <f>IFERROR(IF(LEFT(Sensitivität_bzw_Monte_Carlo_bei_Strom[[#This Row],[Source.Name]],SEARCH("aus_der",Sensitivität_bzw_Monte_Carlo_bei_Strom[[#This Row],[Source.Name]],1))="Auszahlung_a","Auszahlung",""),"")</f>
        <v/>
      </c>
      <c r="D799" s="1"/>
    </row>
    <row r="800" spans="1:4" x14ac:dyDescent="0.3">
      <c r="A800" s="1"/>
      <c r="B800" s="1" t="str">
        <f>IFERROR(IF(LEFT(Sensitivität_bzw_Monte_Carlo_bei_Strom[[#This Row],[Source.Name]],SEARCH("aus_der",Sensitivität_bzw_Monte_Carlo_bei_Strom[[#This Row],[Source.Name]],1))="Auszahlung_a","Auszahlung",""),"")</f>
        <v/>
      </c>
      <c r="D800" s="1"/>
    </row>
    <row r="801" spans="1:4" x14ac:dyDescent="0.3">
      <c r="A801" s="1"/>
      <c r="B801" s="1" t="str">
        <f>IFERROR(IF(LEFT(Sensitivität_bzw_Monte_Carlo_bei_Strom[[#This Row],[Source.Name]],SEARCH("aus_der",Sensitivität_bzw_Monte_Carlo_bei_Strom[[#This Row],[Source.Name]],1))="Auszahlung_a","Auszahlung",""),"")</f>
        <v/>
      </c>
      <c r="D801" s="1"/>
    </row>
    <row r="802" spans="1:4" x14ac:dyDescent="0.3">
      <c r="A802" s="1"/>
      <c r="B802" s="1" t="str">
        <f>IFERROR(IF(LEFT(Sensitivität_bzw_Monte_Carlo_bei_Strom[[#This Row],[Source.Name]],SEARCH("aus_der",Sensitivität_bzw_Monte_Carlo_bei_Strom[[#This Row],[Source.Name]],1))="Auszahlung_a","Auszahlung",""),"")</f>
        <v/>
      </c>
      <c r="D802" s="1"/>
    </row>
    <row r="803" spans="1:4" x14ac:dyDescent="0.3">
      <c r="A803" s="1"/>
      <c r="B803" s="1" t="str">
        <f>IFERROR(IF(LEFT(Sensitivität_bzw_Monte_Carlo_bei_Strom[[#This Row],[Source.Name]],SEARCH("aus_der",Sensitivität_bzw_Monte_Carlo_bei_Strom[[#This Row],[Source.Name]],1))="Auszahlung_a","Auszahlung",""),"")</f>
        <v/>
      </c>
      <c r="D803" s="1"/>
    </row>
    <row r="804" spans="1:4" x14ac:dyDescent="0.3">
      <c r="A804" s="1"/>
      <c r="B804" s="1" t="str">
        <f>IFERROR(IF(LEFT(Sensitivität_bzw_Monte_Carlo_bei_Strom[[#This Row],[Source.Name]],SEARCH("aus_der",Sensitivität_bzw_Monte_Carlo_bei_Strom[[#This Row],[Source.Name]],1))="Auszahlung_a","Auszahlung",""),"")</f>
        <v/>
      </c>
      <c r="D804" s="1"/>
    </row>
    <row r="805" spans="1:4" x14ac:dyDescent="0.3">
      <c r="A805" s="1"/>
      <c r="B805" s="1" t="str">
        <f>IFERROR(IF(LEFT(Sensitivität_bzw_Monte_Carlo_bei_Strom[[#This Row],[Source.Name]],SEARCH("aus_der",Sensitivität_bzw_Monte_Carlo_bei_Strom[[#This Row],[Source.Name]],1))="Auszahlung_a","Auszahlung",""),"")</f>
        <v/>
      </c>
      <c r="D805" s="1"/>
    </row>
    <row r="806" spans="1:4" x14ac:dyDescent="0.3">
      <c r="A806" s="1"/>
      <c r="B806" s="1" t="str">
        <f>IFERROR(IF(LEFT(Sensitivität_bzw_Monte_Carlo_bei_Strom[[#This Row],[Source.Name]],SEARCH("aus_der",Sensitivität_bzw_Monte_Carlo_bei_Strom[[#This Row],[Source.Name]],1))="Auszahlung_a","Auszahlung",""),"")</f>
        <v/>
      </c>
      <c r="D806" s="1"/>
    </row>
    <row r="807" spans="1:4" x14ac:dyDescent="0.3">
      <c r="A807" s="1"/>
      <c r="B807" s="1" t="str">
        <f>IFERROR(IF(LEFT(Sensitivität_bzw_Monte_Carlo_bei_Strom[[#This Row],[Source.Name]],SEARCH("aus_der",Sensitivität_bzw_Monte_Carlo_bei_Strom[[#This Row],[Source.Name]],1))="Auszahlung_a","Auszahlung",""),"")</f>
        <v/>
      </c>
      <c r="D807" s="1"/>
    </row>
    <row r="808" spans="1:4" x14ac:dyDescent="0.3">
      <c r="A808" s="1"/>
      <c r="B808" s="1" t="str">
        <f>IFERROR(IF(LEFT(Sensitivität_bzw_Monte_Carlo_bei_Strom[[#This Row],[Source.Name]],SEARCH("aus_der",Sensitivität_bzw_Monte_Carlo_bei_Strom[[#This Row],[Source.Name]],1))="Auszahlung_a","Auszahlung",""),"")</f>
        <v/>
      </c>
      <c r="D808" s="1"/>
    </row>
    <row r="809" spans="1:4" x14ac:dyDescent="0.3">
      <c r="A809" s="1"/>
      <c r="B809" s="1" t="str">
        <f>IFERROR(IF(LEFT(Sensitivität_bzw_Monte_Carlo_bei_Strom[[#This Row],[Source.Name]],SEARCH("aus_der",Sensitivität_bzw_Monte_Carlo_bei_Strom[[#This Row],[Source.Name]],1))="Auszahlung_a","Auszahlung",""),"")</f>
        <v/>
      </c>
      <c r="D809" s="1"/>
    </row>
    <row r="810" spans="1:4" x14ac:dyDescent="0.3">
      <c r="A810" s="1"/>
      <c r="B810" s="1" t="str">
        <f>IFERROR(IF(LEFT(Sensitivität_bzw_Monte_Carlo_bei_Strom[[#This Row],[Source.Name]],SEARCH("aus_der",Sensitivität_bzw_Monte_Carlo_bei_Strom[[#This Row],[Source.Name]],1))="Auszahlung_a","Auszahlung",""),"")</f>
        <v/>
      </c>
      <c r="D810" s="1"/>
    </row>
    <row r="811" spans="1:4" x14ac:dyDescent="0.3">
      <c r="A811" s="1"/>
      <c r="B811" s="1" t="str">
        <f>IFERROR(IF(LEFT(Sensitivität_bzw_Monte_Carlo_bei_Strom[[#This Row],[Source.Name]],SEARCH("aus_der",Sensitivität_bzw_Monte_Carlo_bei_Strom[[#This Row],[Source.Name]],1))="Auszahlung_a","Auszahlung",""),"")</f>
        <v/>
      </c>
      <c r="D811" s="1"/>
    </row>
    <row r="812" spans="1:4" x14ac:dyDescent="0.3">
      <c r="A812" s="1"/>
      <c r="B812" s="1" t="str">
        <f>IFERROR(IF(LEFT(Sensitivität_bzw_Monte_Carlo_bei_Strom[[#This Row],[Source.Name]],SEARCH("aus_der",Sensitivität_bzw_Monte_Carlo_bei_Strom[[#This Row],[Source.Name]],1))="Auszahlung_a","Auszahlung",""),"")</f>
        <v/>
      </c>
      <c r="D812" s="1"/>
    </row>
    <row r="813" spans="1:4" x14ac:dyDescent="0.3">
      <c r="A813" s="1"/>
      <c r="B813" s="1" t="str">
        <f>IFERROR(IF(LEFT(Sensitivität_bzw_Monte_Carlo_bei_Strom[[#This Row],[Source.Name]],SEARCH("aus_der",Sensitivität_bzw_Monte_Carlo_bei_Strom[[#This Row],[Source.Name]],1))="Auszahlung_a","Auszahlung",""),"")</f>
        <v/>
      </c>
      <c r="D813" s="1"/>
    </row>
    <row r="814" spans="1:4" x14ac:dyDescent="0.3">
      <c r="A814" s="1"/>
      <c r="B814" s="1" t="str">
        <f>IFERROR(IF(LEFT(Sensitivität_bzw_Monte_Carlo_bei_Strom[[#This Row],[Source.Name]],SEARCH("aus_der",Sensitivität_bzw_Monte_Carlo_bei_Strom[[#This Row],[Source.Name]],1))="Auszahlung_a","Auszahlung",""),"")</f>
        <v/>
      </c>
      <c r="D814" s="1"/>
    </row>
    <row r="815" spans="1:4" x14ac:dyDescent="0.3">
      <c r="A815" s="1"/>
      <c r="B815" s="1" t="str">
        <f>IFERROR(IF(LEFT(Sensitivität_bzw_Monte_Carlo_bei_Strom[[#This Row],[Source.Name]],SEARCH("aus_der",Sensitivität_bzw_Monte_Carlo_bei_Strom[[#This Row],[Source.Name]],1))="Auszahlung_a","Auszahlung",""),"")</f>
        <v/>
      </c>
      <c r="D815" s="1"/>
    </row>
    <row r="816" spans="1:4" x14ac:dyDescent="0.3">
      <c r="A816" s="1"/>
      <c r="B816" s="1" t="str">
        <f>IFERROR(IF(LEFT(Sensitivität_bzw_Monte_Carlo_bei_Strom[[#This Row],[Source.Name]],SEARCH("aus_der",Sensitivität_bzw_Monte_Carlo_bei_Strom[[#This Row],[Source.Name]],1))="Auszahlung_a","Auszahlung",""),"")</f>
        <v/>
      </c>
      <c r="D816" s="1"/>
    </row>
    <row r="817" spans="1:4" x14ac:dyDescent="0.3">
      <c r="A817" s="1"/>
      <c r="B817" s="1" t="str">
        <f>IFERROR(IF(LEFT(Sensitivität_bzw_Monte_Carlo_bei_Strom[[#This Row],[Source.Name]],SEARCH("aus_der",Sensitivität_bzw_Monte_Carlo_bei_Strom[[#This Row],[Source.Name]],1))="Auszahlung_a","Auszahlung",""),"")</f>
        <v/>
      </c>
      <c r="D817" s="1"/>
    </row>
    <row r="818" spans="1:4" x14ac:dyDescent="0.3">
      <c r="A818" s="1"/>
      <c r="B818" s="1" t="str">
        <f>IFERROR(IF(LEFT(Sensitivität_bzw_Monte_Carlo_bei_Strom[[#This Row],[Source.Name]],SEARCH("aus_der",Sensitivität_bzw_Monte_Carlo_bei_Strom[[#This Row],[Source.Name]],1))="Auszahlung_a","Auszahlung",""),"")</f>
        <v/>
      </c>
      <c r="D818" s="1"/>
    </row>
    <row r="819" spans="1:4" x14ac:dyDescent="0.3">
      <c r="A819" s="1"/>
      <c r="B819" s="1" t="str">
        <f>IFERROR(IF(LEFT(Sensitivität_bzw_Monte_Carlo_bei_Strom[[#This Row],[Source.Name]],SEARCH("aus_der",Sensitivität_bzw_Monte_Carlo_bei_Strom[[#This Row],[Source.Name]],1))="Auszahlung_a","Auszahlung",""),"")</f>
        <v/>
      </c>
      <c r="D819" s="1"/>
    </row>
    <row r="820" spans="1:4" x14ac:dyDescent="0.3">
      <c r="A820" s="1"/>
      <c r="B820" s="1" t="str">
        <f>IFERROR(IF(LEFT(Sensitivität_bzw_Monte_Carlo_bei_Strom[[#This Row],[Source.Name]],SEARCH("aus_der",Sensitivität_bzw_Monte_Carlo_bei_Strom[[#This Row],[Source.Name]],1))="Auszahlung_a","Auszahlung",""),"")</f>
        <v/>
      </c>
      <c r="D820" s="1"/>
    </row>
    <row r="821" spans="1:4" x14ac:dyDescent="0.3">
      <c r="A821" s="1"/>
      <c r="B821" s="1" t="str">
        <f>IFERROR(IF(LEFT(Sensitivität_bzw_Monte_Carlo_bei_Strom[[#This Row],[Source.Name]],SEARCH("aus_der",Sensitivität_bzw_Monte_Carlo_bei_Strom[[#This Row],[Source.Name]],1))="Auszahlung_a","Auszahlung",""),"")</f>
        <v/>
      </c>
      <c r="D821" s="1"/>
    </row>
    <row r="822" spans="1:4" x14ac:dyDescent="0.3">
      <c r="A822" s="1"/>
      <c r="B822" s="1" t="str">
        <f>IFERROR(IF(LEFT(Sensitivität_bzw_Monte_Carlo_bei_Strom[[#This Row],[Source.Name]],SEARCH("aus_der",Sensitivität_bzw_Monte_Carlo_bei_Strom[[#This Row],[Source.Name]],1))="Auszahlung_a","Auszahlung",""),"")</f>
        <v/>
      </c>
      <c r="D822" s="1"/>
    </row>
    <row r="823" spans="1:4" x14ac:dyDescent="0.3">
      <c r="A823" s="1"/>
      <c r="B823" s="1" t="str">
        <f>IFERROR(IF(LEFT(Sensitivität_bzw_Monte_Carlo_bei_Strom[[#This Row],[Source.Name]],SEARCH("aus_der",Sensitivität_bzw_Monte_Carlo_bei_Strom[[#This Row],[Source.Name]],1))="Auszahlung_a","Auszahlung",""),"")</f>
        <v/>
      </c>
      <c r="D823" s="1"/>
    </row>
    <row r="824" spans="1:4" x14ac:dyDescent="0.3">
      <c r="A824" s="1"/>
      <c r="B824" s="1" t="str">
        <f>IFERROR(IF(LEFT(Sensitivität_bzw_Monte_Carlo_bei_Strom[[#This Row],[Source.Name]],SEARCH("aus_der",Sensitivität_bzw_Monte_Carlo_bei_Strom[[#This Row],[Source.Name]],1))="Auszahlung_a","Auszahlung",""),"")</f>
        <v/>
      </c>
      <c r="D824" s="1"/>
    </row>
    <row r="825" spans="1:4" x14ac:dyDescent="0.3">
      <c r="A825" s="1"/>
      <c r="B825" s="1" t="str">
        <f>IFERROR(IF(LEFT(Sensitivität_bzw_Monte_Carlo_bei_Strom[[#This Row],[Source.Name]],SEARCH("aus_der",Sensitivität_bzw_Monte_Carlo_bei_Strom[[#This Row],[Source.Name]],1))="Auszahlung_a","Auszahlung",""),"")</f>
        <v/>
      </c>
      <c r="D825" s="1"/>
    </row>
    <row r="826" spans="1:4" x14ac:dyDescent="0.3">
      <c r="A826" s="1"/>
      <c r="B826" s="1" t="str">
        <f>IFERROR(IF(LEFT(Sensitivität_bzw_Monte_Carlo_bei_Strom[[#This Row],[Source.Name]],SEARCH("aus_der",Sensitivität_bzw_Monte_Carlo_bei_Strom[[#This Row],[Source.Name]],1))="Auszahlung_a","Auszahlung",""),"")</f>
        <v/>
      </c>
      <c r="D826" s="1"/>
    </row>
    <row r="827" spans="1:4" x14ac:dyDescent="0.3">
      <c r="A827" s="1"/>
      <c r="B827" s="1" t="str">
        <f>IFERROR(IF(LEFT(Sensitivität_bzw_Monte_Carlo_bei_Strom[[#This Row],[Source.Name]],SEARCH("aus_der",Sensitivität_bzw_Monte_Carlo_bei_Strom[[#This Row],[Source.Name]],1))="Auszahlung_a","Auszahlung",""),"")</f>
        <v/>
      </c>
      <c r="D827" s="1"/>
    </row>
    <row r="828" spans="1:4" x14ac:dyDescent="0.3">
      <c r="A828" s="1"/>
      <c r="B828" s="1" t="str">
        <f>IFERROR(IF(LEFT(Sensitivität_bzw_Monte_Carlo_bei_Strom[[#This Row],[Source.Name]],SEARCH("aus_der",Sensitivität_bzw_Monte_Carlo_bei_Strom[[#This Row],[Source.Name]],1))="Auszahlung_a","Auszahlung",""),"")</f>
        <v/>
      </c>
      <c r="D828" s="1"/>
    </row>
    <row r="829" spans="1:4" x14ac:dyDescent="0.3">
      <c r="A829" s="1"/>
      <c r="B829" s="1" t="str">
        <f>IFERROR(IF(LEFT(Sensitivität_bzw_Monte_Carlo_bei_Strom[[#This Row],[Source.Name]],SEARCH("aus_der",Sensitivität_bzw_Monte_Carlo_bei_Strom[[#This Row],[Source.Name]],1))="Auszahlung_a","Auszahlung",""),"")</f>
        <v/>
      </c>
      <c r="D829" s="1"/>
    </row>
    <row r="830" spans="1:4" x14ac:dyDescent="0.3">
      <c r="A830" s="1"/>
      <c r="B830" s="1" t="str">
        <f>IFERROR(IF(LEFT(Sensitivität_bzw_Monte_Carlo_bei_Strom[[#This Row],[Source.Name]],SEARCH("aus_der",Sensitivität_bzw_Monte_Carlo_bei_Strom[[#This Row],[Source.Name]],1))="Auszahlung_a","Auszahlung",""),"")</f>
        <v/>
      </c>
      <c r="D830" s="1"/>
    </row>
    <row r="831" spans="1:4" x14ac:dyDescent="0.3">
      <c r="A831" s="1"/>
      <c r="B831" s="1" t="str">
        <f>IFERROR(IF(LEFT(Sensitivität_bzw_Monte_Carlo_bei_Strom[[#This Row],[Source.Name]],SEARCH("aus_der",Sensitivität_bzw_Monte_Carlo_bei_Strom[[#This Row],[Source.Name]],1))="Auszahlung_a","Auszahlung",""),"")</f>
        <v/>
      </c>
      <c r="D831" s="1"/>
    </row>
    <row r="832" spans="1:4" x14ac:dyDescent="0.3">
      <c r="A832" s="1"/>
      <c r="B832" s="1" t="str">
        <f>IFERROR(IF(LEFT(Sensitivität_bzw_Monte_Carlo_bei_Strom[[#This Row],[Source.Name]],SEARCH("aus_der",Sensitivität_bzw_Monte_Carlo_bei_Strom[[#This Row],[Source.Name]],1))="Auszahlung_a","Auszahlung",""),"")</f>
        <v/>
      </c>
      <c r="D832" s="1"/>
    </row>
    <row r="833" spans="1:4" x14ac:dyDescent="0.3">
      <c r="A833" s="1"/>
      <c r="B833" s="1" t="str">
        <f>IFERROR(IF(LEFT(Sensitivität_bzw_Monte_Carlo_bei_Strom[[#This Row],[Source.Name]],SEARCH("aus_der",Sensitivität_bzw_Monte_Carlo_bei_Strom[[#This Row],[Source.Name]],1))="Auszahlung_a","Auszahlung",""),"")</f>
        <v/>
      </c>
      <c r="D833" s="1"/>
    </row>
    <row r="834" spans="1:4" x14ac:dyDescent="0.3">
      <c r="A834" s="1"/>
      <c r="B834" s="1" t="str">
        <f>IFERROR(IF(LEFT(Sensitivität_bzw_Monte_Carlo_bei_Strom[[#This Row],[Source.Name]],SEARCH("aus_der",Sensitivität_bzw_Monte_Carlo_bei_Strom[[#This Row],[Source.Name]],1))="Auszahlung_a","Auszahlung",""),"")</f>
        <v/>
      </c>
      <c r="D834" s="1"/>
    </row>
    <row r="835" spans="1:4" x14ac:dyDescent="0.3">
      <c r="A835" s="1"/>
      <c r="B835" s="1" t="str">
        <f>IFERROR(IF(LEFT(Sensitivität_bzw_Monte_Carlo_bei_Strom[[#This Row],[Source.Name]],SEARCH("aus_der",Sensitivität_bzw_Monte_Carlo_bei_Strom[[#This Row],[Source.Name]],1))="Auszahlung_a","Auszahlung",""),"")</f>
        <v/>
      </c>
      <c r="D835" s="1"/>
    </row>
    <row r="836" spans="1:4" x14ac:dyDescent="0.3">
      <c r="A836" s="1"/>
      <c r="B836" s="1" t="str">
        <f>IFERROR(IF(LEFT(Sensitivität_bzw_Monte_Carlo_bei_Strom[[#This Row],[Source.Name]],SEARCH("aus_der",Sensitivität_bzw_Monte_Carlo_bei_Strom[[#This Row],[Source.Name]],1))="Auszahlung_a","Auszahlung",""),"")</f>
        <v/>
      </c>
      <c r="D836" s="1"/>
    </row>
    <row r="837" spans="1:4" x14ac:dyDescent="0.3">
      <c r="A837" s="1"/>
      <c r="B837" s="1" t="str">
        <f>IFERROR(IF(LEFT(Sensitivität_bzw_Monte_Carlo_bei_Strom[[#This Row],[Source.Name]],SEARCH("aus_der",Sensitivität_bzw_Monte_Carlo_bei_Strom[[#This Row],[Source.Name]],1))="Auszahlung_a","Auszahlung",""),"")</f>
        <v/>
      </c>
      <c r="D837" s="1"/>
    </row>
    <row r="838" spans="1:4" x14ac:dyDescent="0.3">
      <c r="A838" s="1"/>
      <c r="B838" s="1" t="str">
        <f>IFERROR(IF(LEFT(Sensitivität_bzw_Monte_Carlo_bei_Strom[[#This Row],[Source.Name]],SEARCH("aus_der",Sensitivität_bzw_Monte_Carlo_bei_Strom[[#This Row],[Source.Name]],1))="Auszahlung_a","Auszahlung",""),"")</f>
        <v/>
      </c>
      <c r="D838" s="1"/>
    </row>
    <row r="839" spans="1:4" x14ac:dyDescent="0.3">
      <c r="A839" s="1"/>
      <c r="B839" s="1" t="str">
        <f>IFERROR(IF(LEFT(Sensitivität_bzw_Monte_Carlo_bei_Strom[[#This Row],[Source.Name]],SEARCH("aus_der",Sensitivität_bzw_Monte_Carlo_bei_Strom[[#This Row],[Source.Name]],1))="Auszahlung_a","Auszahlung",""),"")</f>
        <v/>
      </c>
      <c r="D839" s="1"/>
    </row>
    <row r="840" spans="1:4" x14ac:dyDescent="0.3">
      <c r="A840" s="1"/>
      <c r="B840" s="1" t="str">
        <f>IFERROR(IF(LEFT(Sensitivität_bzw_Monte_Carlo_bei_Strom[[#This Row],[Source.Name]],SEARCH("aus_der",Sensitivität_bzw_Monte_Carlo_bei_Strom[[#This Row],[Source.Name]],1))="Auszahlung_a","Auszahlung",""),"")</f>
        <v/>
      </c>
      <c r="D840" s="1"/>
    </row>
    <row r="841" spans="1:4" x14ac:dyDescent="0.3">
      <c r="A841" s="1"/>
      <c r="B841" s="1" t="str">
        <f>IFERROR(IF(LEFT(Sensitivität_bzw_Monte_Carlo_bei_Strom[[#This Row],[Source.Name]],SEARCH("aus_der",Sensitivität_bzw_Monte_Carlo_bei_Strom[[#This Row],[Source.Name]],1))="Auszahlung_a","Auszahlung",""),"")</f>
        <v/>
      </c>
      <c r="D841" s="1"/>
    </row>
    <row r="842" spans="1:4" x14ac:dyDescent="0.3">
      <c r="A842" s="1"/>
      <c r="B842" s="1" t="str">
        <f>IFERROR(IF(LEFT(Sensitivität_bzw_Monte_Carlo_bei_Strom[[#This Row],[Source.Name]],SEARCH("aus_der",Sensitivität_bzw_Monte_Carlo_bei_Strom[[#This Row],[Source.Name]],1))="Auszahlung_a","Auszahlung",""),"")</f>
        <v/>
      </c>
      <c r="D842" s="1"/>
    </row>
    <row r="843" spans="1:4" x14ac:dyDescent="0.3">
      <c r="A843" s="1"/>
      <c r="B843" s="1" t="str">
        <f>IFERROR(IF(LEFT(Sensitivität_bzw_Monte_Carlo_bei_Strom[[#This Row],[Source.Name]],SEARCH("aus_der",Sensitivität_bzw_Monte_Carlo_bei_Strom[[#This Row],[Source.Name]],1))="Auszahlung_a","Auszahlung",""),"")</f>
        <v/>
      </c>
      <c r="D843" s="1"/>
    </row>
    <row r="844" spans="1:4" x14ac:dyDescent="0.3">
      <c r="A844" s="1"/>
      <c r="B844" s="1" t="str">
        <f>IFERROR(IF(LEFT(Sensitivität_bzw_Monte_Carlo_bei_Strom[[#This Row],[Source.Name]],SEARCH("aus_der",Sensitivität_bzw_Monte_Carlo_bei_Strom[[#This Row],[Source.Name]],1))="Auszahlung_a","Auszahlung",""),"")</f>
        <v/>
      </c>
      <c r="D844" s="1"/>
    </row>
    <row r="845" spans="1:4" x14ac:dyDescent="0.3">
      <c r="A845" s="1"/>
      <c r="B845" s="1" t="str">
        <f>IFERROR(IF(LEFT(Sensitivität_bzw_Monte_Carlo_bei_Strom[[#This Row],[Source.Name]],SEARCH("aus_der",Sensitivität_bzw_Monte_Carlo_bei_Strom[[#This Row],[Source.Name]],1))="Auszahlung_a","Auszahlung",""),"")</f>
        <v/>
      </c>
      <c r="D845" s="1"/>
    </row>
    <row r="846" spans="1:4" x14ac:dyDescent="0.3">
      <c r="A846" s="1"/>
      <c r="B846" s="1" t="str">
        <f>IFERROR(IF(LEFT(Sensitivität_bzw_Monte_Carlo_bei_Strom[[#This Row],[Source.Name]],SEARCH("aus_der",Sensitivität_bzw_Monte_Carlo_bei_Strom[[#This Row],[Source.Name]],1))="Auszahlung_a","Auszahlung",""),"")</f>
        <v/>
      </c>
      <c r="D846" s="1"/>
    </row>
    <row r="847" spans="1:4" x14ac:dyDescent="0.3">
      <c r="A847" s="1"/>
      <c r="B847" s="1" t="str">
        <f>IFERROR(IF(LEFT(Sensitivität_bzw_Monte_Carlo_bei_Strom[[#This Row],[Source.Name]],SEARCH("aus_der",Sensitivität_bzw_Monte_Carlo_bei_Strom[[#This Row],[Source.Name]],1))="Auszahlung_a","Auszahlung",""),"")</f>
        <v/>
      </c>
      <c r="D847" s="1"/>
    </row>
    <row r="848" spans="1:4" x14ac:dyDescent="0.3">
      <c r="A848" s="1"/>
      <c r="B848" s="1" t="str">
        <f>IFERROR(IF(LEFT(Sensitivität_bzw_Monte_Carlo_bei_Strom[[#This Row],[Source.Name]],SEARCH("aus_der",Sensitivität_bzw_Monte_Carlo_bei_Strom[[#This Row],[Source.Name]],1))="Auszahlung_a","Auszahlung",""),"")</f>
        <v/>
      </c>
      <c r="D848" s="1"/>
    </row>
    <row r="849" spans="1:4" x14ac:dyDescent="0.3">
      <c r="A849" s="1"/>
      <c r="B849" s="1" t="str">
        <f>IFERROR(IF(LEFT(Sensitivität_bzw_Monte_Carlo_bei_Strom[[#This Row],[Source.Name]],SEARCH("aus_der",Sensitivität_bzw_Monte_Carlo_bei_Strom[[#This Row],[Source.Name]],1))="Auszahlung_a","Auszahlung",""),"")</f>
        <v/>
      </c>
      <c r="D849" s="1"/>
    </row>
    <row r="850" spans="1:4" x14ac:dyDescent="0.3">
      <c r="A850" s="1"/>
      <c r="B850" s="1" t="str">
        <f>IFERROR(IF(LEFT(Sensitivität_bzw_Monte_Carlo_bei_Strom[[#This Row],[Source.Name]],SEARCH("aus_der",Sensitivität_bzw_Monte_Carlo_bei_Strom[[#This Row],[Source.Name]],1))="Auszahlung_a","Auszahlung",""),"")</f>
        <v/>
      </c>
      <c r="D850" s="1"/>
    </row>
    <row r="851" spans="1:4" x14ac:dyDescent="0.3">
      <c r="A851" s="1"/>
      <c r="B851" s="1" t="str">
        <f>IFERROR(IF(LEFT(Sensitivität_bzw_Monte_Carlo_bei_Strom[[#This Row],[Source.Name]],SEARCH("aus_der",Sensitivität_bzw_Monte_Carlo_bei_Strom[[#This Row],[Source.Name]],1))="Auszahlung_a","Auszahlung",""),"")</f>
        <v/>
      </c>
      <c r="D851" s="1"/>
    </row>
    <row r="852" spans="1:4" x14ac:dyDescent="0.3">
      <c r="A852" s="1"/>
      <c r="B852" s="1" t="str">
        <f>IFERROR(IF(LEFT(Sensitivität_bzw_Monte_Carlo_bei_Strom[[#This Row],[Source.Name]],SEARCH("aus_der",Sensitivität_bzw_Monte_Carlo_bei_Strom[[#This Row],[Source.Name]],1))="Auszahlung_a","Auszahlung",""),"")</f>
        <v/>
      </c>
      <c r="D852" s="1"/>
    </row>
    <row r="853" spans="1:4" x14ac:dyDescent="0.3">
      <c r="A853" s="1"/>
      <c r="B853" s="1" t="str">
        <f>IFERROR(IF(LEFT(Sensitivität_bzw_Monte_Carlo_bei_Strom[[#This Row],[Source.Name]],SEARCH("aus_der",Sensitivität_bzw_Monte_Carlo_bei_Strom[[#This Row],[Source.Name]],1))="Auszahlung_a","Auszahlung",""),"")</f>
        <v/>
      </c>
      <c r="D853" s="1"/>
    </row>
    <row r="854" spans="1:4" x14ac:dyDescent="0.3">
      <c r="A854" s="1"/>
      <c r="B854" s="1" t="str">
        <f>IFERROR(IF(LEFT(Sensitivität_bzw_Monte_Carlo_bei_Strom[[#This Row],[Source.Name]],SEARCH("aus_der",Sensitivität_bzw_Monte_Carlo_bei_Strom[[#This Row],[Source.Name]],1))="Auszahlung_a","Auszahlung",""),"")</f>
        <v/>
      </c>
      <c r="D854" s="1"/>
    </row>
    <row r="855" spans="1:4" x14ac:dyDescent="0.3">
      <c r="A855" s="1"/>
      <c r="B855" s="1" t="str">
        <f>IFERROR(IF(LEFT(Sensitivität_bzw_Monte_Carlo_bei_Strom[[#This Row],[Source.Name]],SEARCH("aus_der",Sensitivität_bzw_Monte_Carlo_bei_Strom[[#This Row],[Source.Name]],1))="Auszahlung_a","Auszahlung",""),"")</f>
        <v/>
      </c>
      <c r="D855" s="1"/>
    </row>
    <row r="856" spans="1:4" x14ac:dyDescent="0.3">
      <c r="A856" s="1"/>
      <c r="B856" s="1" t="str">
        <f>IFERROR(IF(LEFT(Sensitivität_bzw_Monte_Carlo_bei_Strom[[#This Row],[Source.Name]],SEARCH("aus_der",Sensitivität_bzw_Monte_Carlo_bei_Strom[[#This Row],[Source.Name]],1))="Auszahlung_a","Auszahlung",""),"")</f>
        <v/>
      </c>
      <c r="D856" s="1"/>
    </row>
    <row r="857" spans="1:4" x14ac:dyDescent="0.3">
      <c r="A857" s="1"/>
      <c r="B857" s="1" t="str">
        <f>IFERROR(IF(LEFT(Sensitivität_bzw_Monte_Carlo_bei_Strom[[#This Row],[Source.Name]],SEARCH("aus_der",Sensitivität_bzw_Monte_Carlo_bei_Strom[[#This Row],[Source.Name]],1))="Auszahlung_a","Auszahlung",""),"")</f>
        <v/>
      </c>
      <c r="D857" s="1"/>
    </row>
    <row r="858" spans="1:4" x14ac:dyDescent="0.3">
      <c r="A858" s="1"/>
      <c r="B858" s="1" t="str">
        <f>IFERROR(IF(LEFT(Sensitivität_bzw_Monte_Carlo_bei_Strom[[#This Row],[Source.Name]],SEARCH("aus_der",Sensitivität_bzw_Monte_Carlo_bei_Strom[[#This Row],[Source.Name]],1))="Auszahlung_a","Auszahlung",""),"")</f>
        <v/>
      </c>
      <c r="D858" s="1"/>
    </row>
    <row r="859" spans="1:4" x14ac:dyDescent="0.3">
      <c r="A859" s="1"/>
      <c r="B859" s="1" t="str">
        <f>IFERROR(IF(LEFT(Sensitivität_bzw_Monte_Carlo_bei_Strom[[#This Row],[Source.Name]],SEARCH("aus_der",Sensitivität_bzw_Monte_Carlo_bei_Strom[[#This Row],[Source.Name]],1))="Auszahlung_a","Auszahlung",""),"")</f>
        <v/>
      </c>
      <c r="D859" s="1"/>
    </row>
    <row r="860" spans="1:4" x14ac:dyDescent="0.3">
      <c r="A860" s="1"/>
      <c r="B860" s="1" t="str">
        <f>IFERROR(IF(LEFT(Sensitivität_bzw_Monte_Carlo_bei_Strom[[#This Row],[Source.Name]],SEARCH("aus_der",Sensitivität_bzw_Monte_Carlo_bei_Strom[[#This Row],[Source.Name]],1))="Auszahlung_a","Auszahlung",""),"")</f>
        <v/>
      </c>
      <c r="D860" s="1"/>
    </row>
    <row r="861" spans="1:4" x14ac:dyDescent="0.3">
      <c r="A861" s="1"/>
      <c r="B861" s="1" t="str">
        <f>IFERROR(IF(LEFT(Sensitivität_bzw_Monte_Carlo_bei_Strom[[#This Row],[Source.Name]],SEARCH("aus_der",Sensitivität_bzw_Monte_Carlo_bei_Strom[[#This Row],[Source.Name]],1))="Auszahlung_a","Auszahlung",""),"")</f>
        <v/>
      </c>
      <c r="D861" s="1"/>
    </row>
    <row r="862" spans="1:4" x14ac:dyDescent="0.3">
      <c r="A862" s="1"/>
      <c r="B862" s="1" t="str">
        <f>IFERROR(IF(LEFT(Sensitivität_bzw_Monte_Carlo_bei_Strom[[#This Row],[Source.Name]],SEARCH("aus_der",Sensitivität_bzw_Monte_Carlo_bei_Strom[[#This Row],[Source.Name]],1))="Auszahlung_a","Auszahlung",""),"")</f>
        <v/>
      </c>
      <c r="D862" s="1"/>
    </row>
    <row r="863" spans="1:4" x14ac:dyDescent="0.3">
      <c r="A863" s="1"/>
      <c r="B863" s="1" t="str">
        <f>IFERROR(IF(LEFT(Sensitivität_bzw_Monte_Carlo_bei_Strom[[#This Row],[Source.Name]],SEARCH("aus_der",Sensitivität_bzw_Monte_Carlo_bei_Strom[[#This Row],[Source.Name]],1))="Auszahlung_a","Auszahlung",""),"")</f>
        <v/>
      </c>
      <c r="D863" s="1"/>
    </row>
    <row r="864" spans="1:4" x14ac:dyDescent="0.3">
      <c r="A864" s="1"/>
      <c r="B864" s="1" t="str">
        <f>IFERROR(IF(LEFT(Sensitivität_bzw_Monte_Carlo_bei_Strom[[#This Row],[Source.Name]],SEARCH("aus_der",Sensitivität_bzw_Monte_Carlo_bei_Strom[[#This Row],[Source.Name]],1))="Auszahlung_a","Auszahlung",""),"")</f>
        <v/>
      </c>
      <c r="D864" s="1"/>
    </row>
    <row r="865" spans="1:4" x14ac:dyDescent="0.3">
      <c r="A865" s="1"/>
      <c r="B865" s="1" t="str">
        <f>IFERROR(IF(LEFT(Sensitivität_bzw_Monte_Carlo_bei_Strom[[#This Row],[Source.Name]],SEARCH("aus_der",Sensitivität_bzw_Monte_Carlo_bei_Strom[[#This Row],[Source.Name]],1))="Auszahlung_a","Auszahlung",""),"")</f>
        <v/>
      </c>
      <c r="D865" s="1"/>
    </row>
    <row r="866" spans="1:4" x14ac:dyDescent="0.3">
      <c r="A866" s="1"/>
      <c r="B866" s="1" t="str">
        <f>IFERROR(IF(LEFT(Sensitivität_bzw_Monte_Carlo_bei_Strom[[#This Row],[Source.Name]],SEARCH("aus_der",Sensitivität_bzw_Monte_Carlo_bei_Strom[[#This Row],[Source.Name]],1))="Auszahlung_a","Auszahlung",""),"")</f>
        <v/>
      </c>
      <c r="D866" s="1"/>
    </row>
    <row r="867" spans="1:4" x14ac:dyDescent="0.3">
      <c r="A867" s="1"/>
      <c r="B867" s="1" t="str">
        <f>IFERROR(IF(LEFT(Sensitivität_bzw_Monte_Carlo_bei_Strom[[#This Row],[Source.Name]],SEARCH("aus_der",Sensitivität_bzw_Monte_Carlo_bei_Strom[[#This Row],[Source.Name]],1))="Auszahlung_a","Auszahlung",""),"")</f>
        <v/>
      </c>
      <c r="D867" s="1"/>
    </row>
    <row r="868" spans="1:4" x14ac:dyDescent="0.3">
      <c r="A868" s="1"/>
      <c r="B868" s="1" t="str">
        <f>IFERROR(IF(LEFT(Sensitivität_bzw_Monte_Carlo_bei_Strom[[#This Row],[Source.Name]],SEARCH("aus_der",Sensitivität_bzw_Monte_Carlo_bei_Strom[[#This Row],[Source.Name]],1))="Auszahlung_a","Auszahlung",""),"")</f>
        <v/>
      </c>
      <c r="D868" s="1"/>
    </row>
    <row r="869" spans="1:4" x14ac:dyDescent="0.3">
      <c r="A869" s="1"/>
      <c r="B869" s="1" t="str">
        <f>IFERROR(IF(LEFT(Sensitivität_bzw_Monte_Carlo_bei_Strom[[#This Row],[Source.Name]],SEARCH("aus_der",Sensitivität_bzw_Monte_Carlo_bei_Strom[[#This Row],[Source.Name]],1))="Auszahlung_a","Auszahlung",""),"")</f>
        <v/>
      </c>
      <c r="D869" s="1"/>
    </row>
    <row r="870" spans="1:4" x14ac:dyDescent="0.3">
      <c r="A870" s="1"/>
      <c r="B870" s="1" t="str">
        <f>IFERROR(IF(LEFT(Sensitivität_bzw_Monte_Carlo_bei_Strom[[#This Row],[Source.Name]],SEARCH("aus_der",Sensitivität_bzw_Monte_Carlo_bei_Strom[[#This Row],[Source.Name]],1))="Auszahlung_a","Auszahlung",""),"")</f>
        <v/>
      </c>
      <c r="D870" s="1"/>
    </row>
    <row r="871" spans="1:4" x14ac:dyDescent="0.3">
      <c r="A871" s="1"/>
      <c r="B871" s="1" t="str">
        <f>IFERROR(IF(LEFT(Sensitivität_bzw_Monte_Carlo_bei_Strom[[#This Row],[Source.Name]],SEARCH("aus_der",Sensitivität_bzw_Monte_Carlo_bei_Strom[[#This Row],[Source.Name]],1))="Auszahlung_a","Auszahlung",""),"")</f>
        <v/>
      </c>
      <c r="D871" s="1"/>
    </row>
    <row r="872" spans="1:4" x14ac:dyDescent="0.3">
      <c r="A872" s="1"/>
      <c r="B872" s="1" t="str">
        <f>IFERROR(IF(LEFT(Sensitivität_bzw_Monte_Carlo_bei_Strom[[#This Row],[Source.Name]],SEARCH("aus_der",Sensitivität_bzw_Monte_Carlo_bei_Strom[[#This Row],[Source.Name]],1))="Auszahlung_a","Auszahlung",""),"")</f>
        <v/>
      </c>
      <c r="D872" s="1"/>
    </row>
    <row r="873" spans="1:4" x14ac:dyDescent="0.3">
      <c r="A873" s="1"/>
      <c r="B873" s="1" t="str">
        <f>IFERROR(IF(LEFT(Sensitivität_bzw_Monte_Carlo_bei_Strom[[#This Row],[Source.Name]],SEARCH("aus_der",Sensitivität_bzw_Monte_Carlo_bei_Strom[[#This Row],[Source.Name]],1))="Auszahlung_a","Auszahlung",""),"")</f>
        <v/>
      </c>
      <c r="D873" s="1"/>
    </row>
    <row r="874" spans="1:4" x14ac:dyDescent="0.3">
      <c r="A874" s="1"/>
      <c r="B874" s="1" t="str">
        <f>IFERROR(IF(LEFT(Sensitivität_bzw_Monte_Carlo_bei_Strom[[#This Row],[Source.Name]],SEARCH("aus_der",Sensitivität_bzw_Monte_Carlo_bei_Strom[[#This Row],[Source.Name]],1))="Auszahlung_a","Auszahlung",""),"")</f>
        <v/>
      </c>
      <c r="D874" s="1"/>
    </row>
    <row r="875" spans="1:4" x14ac:dyDescent="0.3">
      <c r="A875" s="1"/>
      <c r="B875" s="1" t="str">
        <f>IFERROR(IF(LEFT(Sensitivität_bzw_Monte_Carlo_bei_Strom[[#This Row],[Source.Name]],SEARCH("aus_der",Sensitivität_bzw_Monte_Carlo_bei_Strom[[#This Row],[Source.Name]],1))="Auszahlung_a","Auszahlung",""),"")</f>
        <v/>
      </c>
      <c r="D875" s="1"/>
    </row>
    <row r="876" spans="1:4" x14ac:dyDescent="0.3">
      <c r="A876" s="1"/>
      <c r="B876" s="1" t="str">
        <f>IFERROR(IF(LEFT(Sensitivität_bzw_Monte_Carlo_bei_Strom[[#This Row],[Source.Name]],SEARCH("aus_der",Sensitivität_bzw_Monte_Carlo_bei_Strom[[#This Row],[Source.Name]],1))="Auszahlung_a","Auszahlung",""),"")</f>
        <v/>
      </c>
      <c r="D876" s="1"/>
    </row>
    <row r="877" spans="1:4" x14ac:dyDescent="0.3">
      <c r="A877" s="1"/>
      <c r="B877" s="1" t="str">
        <f>IFERROR(IF(LEFT(Sensitivität_bzw_Monte_Carlo_bei_Strom[[#This Row],[Source.Name]],SEARCH("aus_der",Sensitivität_bzw_Monte_Carlo_bei_Strom[[#This Row],[Source.Name]],1))="Auszahlung_a","Auszahlung",""),"")</f>
        <v/>
      </c>
      <c r="D877" s="1"/>
    </row>
    <row r="878" spans="1:4" x14ac:dyDescent="0.3">
      <c r="A878" s="1"/>
      <c r="B878" s="1" t="str">
        <f>IFERROR(IF(LEFT(Sensitivität_bzw_Monte_Carlo_bei_Strom[[#This Row],[Source.Name]],SEARCH("aus_der",Sensitivität_bzw_Monte_Carlo_bei_Strom[[#This Row],[Source.Name]],1))="Auszahlung_a","Auszahlung",""),"")</f>
        <v/>
      </c>
      <c r="D878" s="1"/>
    </row>
    <row r="879" spans="1:4" x14ac:dyDescent="0.3">
      <c r="A879" s="1"/>
      <c r="B879" s="1" t="str">
        <f>IFERROR(IF(LEFT(Sensitivität_bzw_Monte_Carlo_bei_Strom[[#This Row],[Source.Name]],SEARCH("aus_der",Sensitivität_bzw_Monte_Carlo_bei_Strom[[#This Row],[Source.Name]],1))="Auszahlung_a","Auszahlung",""),"")</f>
        <v/>
      </c>
      <c r="D879" s="1"/>
    </row>
    <row r="880" spans="1:4" x14ac:dyDescent="0.3">
      <c r="A880" s="1"/>
      <c r="B880" s="1" t="str">
        <f>IFERROR(IF(LEFT(Sensitivität_bzw_Monte_Carlo_bei_Strom[[#This Row],[Source.Name]],SEARCH("aus_der",Sensitivität_bzw_Monte_Carlo_bei_Strom[[#This Row],[Source.Name]],1))="Auszahlung_a","Auszahlung",""),"")</f>
        <v/>
      </c>
      <c r="D880" s="1"/>
    </row>
    <row r="881" spans="1:4" x14ac:dyDescent="0.3">
      <c r="A881" s="1"/>
      <c r="B881" s="1" t="str">
        <f>IFERROR(IF(LEFT(Sensitivität_bzw_Monte_Carlo_bei_Strom[[#This Row],[Source.Name]],SEARCH("aus_der",Sensitivität_bzw_Monte_Carlo_bei_Strom[[#This Row],[Source.Name]],1))="Auszahlung_a","Auszahlung",""),"")</f>
        <v/>
      </c>
      <c r="D881" s="1"/>
    </row>
    <row r="882" spans="1:4" x14ac:dyDescent="0.3">
      <c r="A882" s="1"/>
      <c r="B882" s="1" t="str">
        <f>IFERROR(IF(LEFT(Sensitivität_bzw_Monte_Carlo_bei_Strom[[#This Row],[Source.Name]],SEARCH("aus_der",Sensitivität_bzw_Monte_Carlo_bei_Strom[[#This Row],[Source.Name]],1))="Auszahlung_a","Auszahlung",""),"")</f>
        <v/>
      </c>
      <c r="D882" s="1"/>
    </row>
    <row r="883" spans="1:4" x14ac:dyDescent="0.3">
      <c r="A883" s="1"/>
      <c r="B883" s="1" t="str">
        <f>IFERROR(IF(LEFT(Sensitivität_bzw_Monte_Carlo_bei_Strom[[#This Row],[Source.Name]],SEARCH("aus_der",Sensitivität_bzw_Monte_Carlo_bei_Strom[[#This Row],[Source.Name]],1))="Auszahlung_a","Auszahlung",""),"")</f>
        <v/>
      </c>
      <c r="D883" s="1"/>
    </row>
    <row r="884" spans="1:4" x14ac:dyDescent="0.3">
      <c r="A884" s="1"/>
      <c r="B884" s="1" t="str">
        <f>IFERROR(IF(LEFT(Sensitivität_bzw_Monte_Carlo_bei_Strom[[#This Row],[Source.Name]],SEARCH("aus_der",Sensitivität_bzw_Monte_Carlo_bei_Strom[[#This Row],[Source.Name]],1))="Auszahlung_a","Auszahlung",""),"")</f>
        <v/>
      </c>
      <c r="D884" s="1"/>
    </row>
    <row r="885" spans="1:4" x14ac:dyDescent="0.3">
      <c r="A885" s="1"/>
      <c r="B885" s="1" t="str">
        <f>IFERROR(IF(LEFT(Sensitivität_bzw_Monte_Carlo_bei_Strom[[#This Row],[Source.Name]],SEARCH("aus_der",Sensitivität_bzw_Monte_Carlo_bei_Strom[[#This Row],[Source.Name]],1))="Auszahlung_a","Auszahlung",""),"")</f>
        <v/>
      </c>
      <c r="D885" s="1"/>
    </row>
    <row r="886" spans="1:4" x14ac:dyDescent="0.3">
      <c r="A886" s="1"/>
      <c r="B886" s="1" t="str">
        <f>IFERROR(IF(LEFT(Sensitivität_bzw_Monte_Carlo_bei_Strom[[#This Row],[Source.Name]],SEARCH("aus_der",Sensitivität_bzw_Monte_Carlo_bei_Strom[[#This Row],[Source.Name]],1))="Auszahlung_a","Auszahlung",""),"")</f>
        <v/>
      </c>
      <c r="D886" s="1"/>
    </row>
    <row r="887" spans="1:4" x14ac:dyDescent="0.3">
      <c r="A887" s="1"/>
      <c r="B887" s="1" t="str">
        <f>IFERROR(IF(LEFT(Sensitivität_bzw_Monte_Carlo_bei_Strom[[#This Row],[Source.Name]],SEARCH("aus_der",Sensitivität_bzw_Monte_Carlo_bei_Strom[[#This Row],[Source.Name]],1))="Auszahlung_a","Auszahlung",""),"")</f>
        <v/>
      </c>
      <c r="D887" s="1"/>
    </row>
    <row r="888" spans="1:4" x14ac:dyDescent="0.3">
      <c r="A888" s="1"/>
      <c r="B888" s="1" t="str">
        <f>IFERROR(IF(LEFT(Sensitivität_bzw_Monte_Carlo_bei_Strom[[#This Row],[Source.Name]],SEARCH("aus_der",Sensitivität_bzw_Monte_Carlo_bei_Strom[[#This Row],[Source.Name]],1))="Auszahlung_a","Auszahlung",""),"")</f>
        <v/>
      </c>
      <c r="D888" s="1"/>
    </row>
    <row r="889" spans="1:4" x14ac:dyDescent="0.3">
      <c r="A889" s="1"/>
      <c r="B889" s="1" t="str">
        <f>IFERROR(IF(LEFT(Sensitivität_bzw_Monte_Carlo_bei_Strom[[#This Row],[Source.Name]],SEARCH("aus_der",Sensitivität_bzw_Monte_Carlo_bei_Strom[[#This Row],[Source.Name]],1))="Auszahlung_a","Auszahlung",""),"")</f>
        <v/>
      </c>
      <c r="D889" s="1"/>
    </row>
    <row r="890" spans="1:4" x14ac:dyDescent="0.3">
      <c r="A890" s="1"/>
      <c r="B890" s="1" t="str">
        <f>IFERROR(IF(LEFT(Sensitivität_bzw_Monte_Carlo_bei_Strom[[#This Row],[Source.Name]],SEARCH("aus_der",Sensitivität_bzw_Monte_Carlo_bei_Strom[[#This Row],[Source.Name]],1))="Auszahlung_a","Auszahlung",""),"")</f>
        <v/>
      </c>
      <c r="D890" s="1"/>
    </row>
    <row r="891" spans="1:4" x14ac:dyDescent="0.3">
      <c r="A891" s="1"/>
      <c r="B891" s="1" t="str">
        <f>IFERROR(IF(LEFT(Sensitivität_bzw_Monte_Carlo_bei_Strom[[#This Row],[Source.Name]],SEARCH("aus_der",Sensitivität_bzw_Monte_Carlo_bei_Strom[[#This Row],[Source.Name]],1))="Auszahlung_a","Auszahlung",""),"")</f>
        <v/>
      </c>
      <c r="D891" s="1"/>
    </row>
    <row r="892" spans="1:4" x14ac:dyDescent="0.3">
      <c r="A892" s="1"/>
      <c r="B892" s="1" t="str">
        <f>IFERROR(IF(LEFT(Sensitivität_bzw_Monte_Carlo_bei_Strom[[#This Row],[Source.Name]],SEARCH("aus_der",Sensitivität_bzw_Monte_Carlo_bei_Strom[[#This Row],[Source.Name]],1))="Auszahlung_a","Auszahlung",""),"")</f>
        <v/>
      </c>
      <c r="D892" s="1"/>
    </row>
    <row r="893" spans="1:4" x14ac:dyDescent="0.3">
      <c r="A893" s="1"/>
      <c r="B893" s="1" t="str">
        <f>IFERROR(IF(LEFT(Sensitivität_bzw_Monte_Carlo_bei_Strom[[#This Row],[Source.Name]],SEARCH("aus_der",Sensitivität_bzw_Monte_Carlo_bei_Strom[[#This Row],[Source.Name]],1))="Auszahlung_a","Auszahlung",""),"")</f>
        <v/>
      </c>
      <c r="D893" s="1"/>
    </row>
    <row r="894" spans="1:4" x14ac:dyDescent="0.3">
      <c r="A894" s="1"/>
      <c r="B894" s="1" t="str">
        <f>IFERROR(IF(LEFT(Sensitivität_bzw_Monte_Carlo_bei_Strom[[#This Row],[Source.Name]],SEARCH("aus_der",Sensitivität_bzw_Monte_Carlo_bei_Strom[[#This Row],[Source.Name]],1))="Auszahlung_a","Auszahlung",""),"")</f>
        <v/>
      </c>
      <c r="D894" s="1"/>
    </row>
    <row r="895" spans="1:4" x14ac:dyDescent="0.3">
      <c r="A895" s="1"/>
      <c r="B895" s="1" t="str">
        <f>IFERROR(IF(LEFT(Sensitivität_bzw_Monte_Carlo_bei_Strom[[#This Row],[Source.Name]],SEARCH("aus_der",Sensitivität_bzw_Monte_Carlo_bei_Strom[[#This Row],[Source.Name]],1))="Auszahlung_a","Auszahlung",""),"")</f>
        <v/>
      </c>
      <c r="D895" s="1"/>
    </row>
    <row r="896" spans="1:4" x14ac:dyDescent="0.3">
      <c r="A896" s="1"/>
      <c r="B896" s="1" t="str">
        <f>IFERROR(IF(LEFT(Sensitivität_bzw_Monte_Carlo_bei_Strom[[#This Row],[Source.Name]],SEARCH("aus_der",Sensitivität_bzw_Monte_Carlo_bei_Strom[[#This Row],[Source.Name]],1))="Auszahlung_a","Auszahlung",""),"")</f>
        <v/>
      </c>
      <c r="D896" s="1"/>
    </row>
    <row r="897" spans="1:4" x14ac:dyDescent="0.3">
      <c r="A897" s="1"/>
      <c r="B897" s="1" t="str">
        <f>IFERROR(IF(LEFT(Sensitivität_bzw_Monte_Carlo_bei_Strom[[#This Row],[Source.Name]],SEARCH("aus_der",Sensitivität_bzw_Monte_Carlo_bei_Strom[[#This Row],[Source.Name]],1))="Auszahlung_a","Auszahlung",""),"")</f>
        <v/>
      </c>
      <c r="D897" s="1"/>
    </row>
    <row r="898" spans="1:4" x14ac:dyDescent="0.3">
      <c r="A898" s="1"/>
      <c r="B898" s="1" t="str">
        <f>IFERROR(IF(LEFT(Sensitivität_bzw_Monte_Carlo_bei_Strom[[#This Row],[Source.Name]],SEARCH("aus_der",Sensitivität_bzw_Monte_Carlo_bei_Strom[[#This Row],[Source.Name]],1))="Auszahlung_a","Auszahlung",""),"")</f>
        <v/>
      </c>
      <c r="D898" s="1"/>
    </row>
    <row r="899" spans="1:4" x14ac:dyDescent="0.3">
      <c r="A899" s="1"/>
      <c r="B899" s="1" t="str">
        <f>IFERROR(IF(LEFT(Sensitivität_bzw_Monte_Carlo_bei_Strom[[#This Row],[Source.Name]],SEARCH("aus_der",Sensitivität_bzw_Monte_Carlo_bei_Strom[[#This Row],[Source.Name]],1))="Auszahlung_a","Auszahlung",""),"")</f>
        <v/>
      </c>
      <c r="D899" s="1"/>
    </row>
    <row r="900" spans="1:4" x14ac:dyDescent="0.3">
      <c r="A900" s="1"/>
      <c r="B900" s="1" t="str">
        <f>IFERROR(IF(LEFT(Sensitivität_bzw_Monte_Carlo_bei_Strom[[#This Row],[Source.Name]],SEARCH("aus_der",Sensitivität_bzw_Monte_Carlo_bei_Strom[[#This Row],[Source.Name]],1))="Auszahlung_a","Auszahlung",""),"")</f>
        <v/>
      </c>
      <c r="D900" s="1"/>
    </row>
    <row r="901" spans="1:4" x14ac:dyDescent="0.3">
      <c r="A901" s="1"/>
      <c r="B901" s="1" t="str">
        <f>IFERROR(IF(LEFT(Sensitivität_bzw_Monte_Carlo_bei_Strom[[#This Row],[Source.Name]],SEARCH("aus_der",Sensitivität_bzw_Monte_Carlo_bei_Strom[[#This Row],[Source.Name]],1))="Auszahlung_a","Auszahlung",""),"")</f>
        <v/>
      </c>
      <c r="D901" s="1"/>
    </row>
    <row r="902" spans="1:4" x14ac:dyDescent="0.3">
      <c r="A902" s="1"/>
      <c r="B902" s="1" t="str">
        <f>IFERROR(IF(LEFT(Sensitivität_bzw_Monte_Carlo_bei_Strom[[#This Row],[Source.Name]],SEARCH("aus_der",Sensitivität_bzw_Monte_Carlo_bei_Strom[[#This Row],[Source.Name]],1))="Auszahlung_a","Auszahlung",""),"")</f>
        <v/>
      </c>
      <c r="D902" s="1"/>
    </row>
    <row r="903" spans="1:4" x14ac:dyDescent="0.3">
      <c r="A903" s="1"/>
      <c r="B903" s="1" t="str">
        <f>IFERROR(IF(LEFT(Sensitivität_bzw_Monte_Carlo_bei_Strom[[#This Row],[Source.Name]],SEARCH("aus_der",Sensitivität_bzw_Monte_Carlo_bei_Strom[[#This Row],[Source.Name]],1))="Auszahlung_a","Auszahlung",""),"")</f>
        <v/>
      </c>
      <c r="D903" s="1"/>
    </row>
    <row r="904" spans="1:4" x14ac:dyDescent="0.3">
      <c r="A904" s="1"/>
      <c r="B904" s="1" t="str">
        <f>IFERROR(IF(LEFT(Sensitivität_bzw_Monte_Carlo_bei_Strom[[#This Row],[Source.Name]],SEARCH("aus_der",Sensitivität_bzw_Monte_Carlo_bei_Strom[[#This Row],[Source.Name]],1))="Auszahlung_a","Auszahlung",""),"")</f>
        <v/>
      </c>
      <c r="D904" s="1"/>
    </row>
    <row r="905" spans="1:4" x14ac:dyDescent="0.3">
      <c r="A905" s="1"/>
      <c r="B905" s="1" t="str">
        <f>IFERROR(IF(LEFT(Sensitivität_bzw_Monte_Carlo_bei_Strom[[#This Row],[Source.Name]],SEARCH("aus_der",Sensitivität_bzw_Monte_Carlo_bei_Strom[[#This Row],[Source.Name]],1))="Auszahlung_a","Auszahlung",""),"")</f>
        <v/>
      </c>
      <c r="D905" s="1"/>
    </row>
    <row r="906" spans="1:4" x14ac:dyDescent="0.3">
      <c r="A906" s="1"/>
      <c r="B906" s="1" t="str">
        <f>IFERROR(IF(LEFT(Sensitivität_bzw_Monte_Carlo_bei_Strom[[#This Row],[Source.Name]],SEARCH("aus_der",Sensitivität_bzw_Monte_Carlo_bei_Strom[[#This Row],[Source.Name]],1))="Auszahlung_a","Auszahlung",""),"")</f>
        <v/>
      </c>
      <c r="D906" s="1"/>
    </row>
    <row r="907" spans="1:4" x14ac:dyDescent="0.3">
      <c r="A907" s="1"/>
      <c r="B907" s="1" t="str">
        <f>IFERROR(IF(LEFT(Sensitivität_bzw_Monte_Carlo_bei_Strom[[#This Row],[Source.Name]],SEARCH("aus_der",Sensitivität_bzw_Monte_Carlo_bei_Strom[[#This Row],[Source.Name]],1))="Auszahlung_a","Auszahlung",""),"")</f>
        <v/>
      </c>
      <c r="D907" s="1"/>
    </row>
    <row r="908" spans="1:4" x14ac:dyDescent="0.3">
      <c r="A908" s="1"/>
      <c r="B908" s="1" t="str">
        <f>IFERROR(IF(LEFT(Sensitivität_bzw_Monte_Carlo_bei_Strom[[#This Row],[Source.Name]],SEARCH("aus_der",Sensitivität_bzw_Monte_Carlo_bei_Strom[[#This Row],[Source.Name]],1))="Auszahlung_a","Auszahlung",""),"")</f>
        <v/>
      </c>
      <c r="D908" s="1"/>
    </row>
    <row r="909" spans="1:4" x14ac:dyDescent="0.3">
      <c r="A909" s="1"/>
      <c r="B909" s="1" t="str">
        <f>IFERROR(IF(LEFT(Sensitivität_bzw_Monte_Carlo_bei_Strom[[#This Row],[Source.Name]],SEARCH("aus_der",Sensitivität_bzw_Monte_Carlo_bei_Strom[[#This Row],[Source.Name]],1))="Auszahlung_a","Auszahlung",""),"")</f>
        <v/>
      </c>
      <c r="D909" s="1"/>
    </row>
    <row r="910" spans="1:4" x14ac:dyDescent="0.3">
      <c r="A910" s="1"/>
      <c r="B910" s="1" t="str">
        <f>IFERROR(IF(LEFT(Sensitivität_bzw_Monte_Carlo_bei_Strom[[#This Row],[Source.Name]],SEARCH("aus_der",Sensitivität_bzw_Monte_Carlo_bei_Strom[[#This Row],[Source.Name]],1))="Auszahlung_a","Auszahlung",""),"")</f>
        <v/>
      </c>
      <c r="D910" s="1"/>
    </row>
    <row r="911" spans="1:4" x14ac:dyDescent="0.3">
      <c r="A911" s="1"/>
      <c r="B911" s="1" t="str">
        <f>IFERROR(IF(LEFT(Sensitivität_bzw_Monte_Carlo_bei_Strom[[#This Row],[Source.Name]],SEARCH("aus_der",Sensitivität_bzw_Monte_Carlo_bei_Strom[[#This Row],[Source.Name]],1))="Auszahlung_a","Auszahlung",""),"")</f>
        <v/>
      </c>
      <c r="D911" s="1"/>
    </row>
    <row r="912" spans="1:4" x14ac:dyDescent="0.3">
      <c r="A912" s="1"/>
      <c r="B912" s="1" t="str">
        <f>IFERROR(IF(LEFT(Sensitivität_bzw_Monte_Carlo_bei_Strom[[#This Row],[Source.Name]],SEARCH("aus_der",Sensitivität_bzw_Monte_Carlo_bei_Strom[[#This Row],[Source.Name]],1))="Auszahlung_a","Auszahlung",""),"")</f>
        <v/>
      </c>
      <c r="D912" s="1"/>
    </row>
    <row r="913" spans="1:4" x14ac:dyDescent="0.3">
      <c r="A913" s="1"/>
      <c r="B913" s="1" t="str">
        <f>IFERROR(IF(LEFT(Sensitivität_bzw_Monte_Carlo_bei_Strom[[#This Row],[Source.Name]],SEARCH("aus_der",Sensitivität_bzw_Monte_Carlo_bei_Strom[[#This Row],[Source.Name]],1))="Auszahlung_a","Auszahlung",""),"")</f>
        <v/>
      </c>
      <c r="D913" s="1"/>
    </row>
    <row r="914" spans="1:4" x14ac:dyDescent="0.3">
      <c r="A914" s="1"/>
      <c r="B914" s="1" t="str">
        <f>IFERROR(IF(LEFT(Sensitivität_bzw_Monte_Carlo_bei_Strom[[#This Row],[Source.Name]],SEARCH("aus_der",Sensitivität_bzw_Monte_Carlo_bei_Strom[[#This Row],[Source.Name]],1))="Auszahlung_a","Auszahlung",""),"")</f>
        <v/>
      </c>
      <c r="D914" s="1"/>
    </row>
    <row r="915" spans="1:4" x14ac:dyDescent="0.3">
      <c r="A915" s="1"/>
      <c r="B915" s="1" t="str">
        <f>IFERROR(IF(LEFT(Sensitivität_bzw_Monte_Carlo_bei_Strom[[#This Row],[Source.Name]],SEARCH("aus_der",Sensitivität_bzw_Monte_Carlo_bei_Strom[[#This Row],[Source.Name]],1))="Auszahlung_a","Auszahlung",""),"")</f>
        <v/>
      </c>
      <c r="D915" s="1"/>
    </row>
    <row r="916" spans="1:4" x14ac:dyDescent="0.3">
      <c r="A916" s="1"/>
      <c r="B916" s="1" t="str">
        <f>IFERROR(IF(LEFT(Sensitivität_bzw_Monte_Carlo_bei_Strom[[#This Row],[Source.Name]],SEARCH("aus_der",Sensitivität_bzw_Monte_Carlo_bei_Strom[[#This Row],[Source.Name]],1))="Auszahlung_a","Auszahlung",""),"")</f>
        <v/>
      </c>
      <c r="D916" s="1"/>
    </row>
    <row r="917" spans="1:4" x14ac:dyDescent="0.3">
      <c r="A917" s="1"/>
      <c r="B917" s="1" t="str">
        <f>IFERROR(IF(LEFT(Sensitivität_bzw_Monte_Carlo_bei_Strom[[#This Row],[Source.Name]],SEARCH("aus_der",Sensitivität_bzw_Monte_Carlo_bei_Strom[[#This Row],[Source.Name]],1))="Auszahlung_a","Auszahlung",""),"")</f>
        <v/>
      </c>
      <c r="D917" s="1"/>
    </row>
    <row r="918" spans="1:4" x14ac:dyDescent="0.3">
      <c r="A918" s="1"/>
      <c r="B918" s="1" t="str">
        <f>IFERROR(IF(LEFT(Sensitivität_bzw_Monte_Carlo_bei_Strom[[#This Row],[Source.Name]],SEARCH("aus_der",Sensitivität_bzw_Monte_Carlo_bei_Strom[[#This Row],[Source.Name]],1))="Auszahlung_a","Auszahlung",""),"")</f>
        <v/>
      </c>
      <c r="D918" s="1"/>
    </row>
    <row r="919" spans="1:4" x14ac:dyDescent="0.3">
      <c r="A919" s="1"/>
      <c r="B919" s="1" t="str">
        <f>IFERROR(IF(LEFT(Sensitivität_bzw_Monte_Carlo_bei_Strom[[#This Row],[Source.Name]],SEARCH("aus_der",Sensitivität_bzw_Monte_Carlo_bei_Strom[[#This Row],[Source.Name]],1))="Auszahlung_a","Auszahlung",""),"")</f>
        <v/>
      </c>
      <c r="D919" s="1"/>
    </row>
    <row r="920" spans="1:4" x14ac:dyDescent="0.3">
      <c r="A920" s="1"/>
      <c r="B920" s="1" t="str">
        <f>IFERROR(IF(LEFT(Sensitivität_bzw_Monte_Carlo_bei_Strom[[#This Row],[Source.Name]],SEARCH("aus_der",Sensitivität_bzw_Monte_Carlo_bei_Strom[[#This Row],[Source.Name]],1))="Auszahlung_a","Auszahlung",""),"")</f>
        <v/>
      </c>
      <c r="D920" s="1"/>
    </row>
    <row r="921" spans="1:4" x14ac:dyDescent="0.3">
      <c r="A921" s="1"/>
      <c r="B921" s="1" t="str">
        <f>IFERROR(IF(LEFT(Sensitivität_bzw_Monte_Carlo_bei_Strom[[#This Row],[Source.Name]],SEARCH("aus_der",Sensitivität_bzw_Monte_Carlo_bei_Strom[[#This Row],[Source.Name]],1))="Auszahlung_a","Auszahlung",""),"")</f>
        <v/>
      </c>
      <c r="D921" s="1"/>
    </row>
    <row r="922" spans="1:4" x14ac:dyDescent="0.3">
      <c r="A922" s="1"/>
      <c r="B922" s="1" t="str">
        <f>IFERROR(IF(LEFT(Sensitivität_bzw_Monte_Carlo_bei_Strom[[#This Row],[Source.Name]],SEARCH("aus_der",Sensitivität_bzw_Monte_Carlo_bei_Strom[[#This Row],[Source.Name]],1))="Auszahlung_a","Auszahlung",""),"")</f>
        <v/>
      </c>
      <c r="D922" s="1"/>
    </row>
    <row r="923" spans="1:4" x14ac:dyDescent="0.3">
      <c r="A923" s="1"/>
      <c r="B923" s="1" t="str">
        <f>IFERROR(IF(LEFT(Sensitivität_bzw_Monte_Carlo_bei_Strom[[#This Row],[Source.Name]],SEARCH("aus_der",Sensitivität_bzw_Monte_Carlo_bei_Strom[[#This Row],[Source.Name]],1))="Auszahlung_a","Auszahlung",""),"")</f>
        <v/>
      </c>
      <c r="D923" s="1"/>
    </row>
    <row r="924" spans="1:4" x14ac:dyDescent="0.3">
      <c r="A924" s="1"/>
      <c r="B924" s="1" t="str">
        <f>IFERROR(IF(LEFT(Sensitivität_bzw_Monte_Carlo_bei_Strom[[#This Row],[Source.Name]],SEARCH("aus_der",Sensitivität_bzw_Monte_Carlo_bei_Strom[[#This Row],[Source.Name]],1))="Auszahlung_a","Auszahlung",""),"")</f>
        <v/>
      </c>
      <c r="D924" s="1"/>
    </row>
    <row r="925" spans="1:4" x14ac:dyDescent="0.3">
      <c r="A925" s="1"/>
      <c r="B925" s="1" t="str">
        <f>IFERROR(IF(LEFT(Sensitivität_bzw_Monte_Carlo_bei_Strom[[#This Row],[Source.Name]],SEARCH("aus_der",Sensitivität_bzw_Monte_Carlo_bei_Strom[[#This Row],[Source.Name]],1))="Auszahlung_a","Auszahlung",""),"")</f>
        <v/>
      </c>
      <c r="D925" s="1"/>
    </row>
    <row r="926" spans="1:4" x14ac:dyDescent="0.3">
      <c r="A926" s="1"/>
      <c r="B926" s="1" t="str">
        <f>IFERROR(IF(LEFT(Sensitivität_bzw_Monte_Carlo_bei_Strom[[#This Row],[Source.Name]],SEARCH("aus_der",Sensitivität_bzw_Monte_Carlo_bei_Strom[[#This Row],[Source.Name]],1))="Auszahlung_a","Auszahlung",""),"")</f>
        <v/>
      </c>
      <c r="D926" s="1"/>
    </row>
    <row r="927" spans="1:4" x14ac:dyDescent="0.3">
      <c r="A927" s="1"/>
      <c r="B927" s="1" t="str">
        <f>IFERROR(IF(LEFT(Sensitivität_bzw_Monte_Carlo_bei_Strom[[#This Row],[Source.Name]],SEARCH("aus_der",Sensitivität_bzw_Monte_Carlo_bei_Strom[[#This Row],[Source.Name]],1))="Auszahlung_a","Auszahlung",""),"")</f>
        <v/>
      </c>
      <c r="D927" s="1"/>
    </row>
    <row r="928" spans="1:4" x14ac:dyDescent="0.3">
      <c r="A928" s="1"/>
      <c r="B928" s="1" t="str">
        <f>IFERROR(IF(LEFT(Sensitivität_bzw_Monte_Carlo_bei_Strom[[#This Row],[Source.Name]],SEARCH("aus_der",Sensitivität_bzw_Monte_Carlo_bei_Strom[[#This Row],[Source.Name]],1))="Auszahlung_a","Auszahlung",""),"")</f>
        <v/>
      </c>
      <c r="D928" s="1"/>
    </row>
    <row r="929" spans="1:4" x14ac:dyDescent="0.3">
      <c r="A929" s="1"/>
      <c r="B929" s="1" t="str">
        <f>IFERROR(IF(LEFT(Sensitivität_bzw_Monte_Carlo_bei_Strom[[#This Row],[Source.Name]],SEARCH("aus_der",Sensitivität_bzw_Monte_Carlo_bei_Strom[[#This Row],[Source.Name]],1))="Auszahlung_a","Auszahlung",""),"")</f>
        <v/>
      </c>
      <c r="D929" s="1"/>
    </row>
    <row r="930" spans="1:4" x14ac:dyDescent="0.3">
      <c r="A930" s="1"/>
      <c r="B930" s="1" t="str">
        <f>IFERROR(IF(LEFT(Sensitivität_bzw_Monte_Carlo_bei_Strom[[#This Row],[Source.Name]],SEARCH("aus_der",Sensitivität_bzw_Monte_Carlo_bei_Strom[[#This Row],[Source.Name]],1))="Auszahlung_a","Auszahlung",""),"")</f>
        <v/>
      </c>
      <c r="D930" s="1"/>
    </row>
    <row r="931" spans="1:4" x14ac:dyDescent="0.3">
      <c r="A931" s="1"/>
      <c r="B931" s="1" t="str">
        <f>IFERROR(IF(LEFT(Sensitivität_bzw_Monte_Carlo_bei_Strom[[#This Row],[Source.Name]],SEARCH("aus_der",Sensitivität_bzw_Monte_Carlo_bei_Strom[[#This Row],[Source.Name]],1))="Auszahlung_a","Auszahlung",""),"")</f>
        <v/>
      </c>
      <c r="D931" s="1"/>
    </row>
    <row r="932" spans="1:4" x14ac:dyDescent="0.3">
      <c r="A932" s="1"/>
      <c r="B932" s="1" t="str">
        <f>IFERROR(IF(LEFT(Sensitivität_bzw_Monte_Carlo_bei_Strom[[#This Row],[Source.Name]],SEARCH("aus_der",Sensitivität_bzw_Monte_Carlo_bei_Strom[[#This Row],[Source.Name]],1))="Auszahlung_a","Auszahlung",""),"")</f>
        <v/>
      </c>
      <c r="D932" s="1"/>
    </row>
    <row r="933" spans="1:4" x14ac:dyDescent="0.3">
      <c r="A933" s="1"/>
      <c r="B933" s="1" t="str">
        <f>IFERROR(IF(LEFT(Sensitivität_bzw_Monte_Carlo_bei_Strom[[#This Row],[Source.Name]],SEARCH("aus_der",Sensitivität_bzw_Monte_Carlo_bei_Strom[[#This Row],[Source.Name]],1))="Auszahlung_a","Auszahlung",""),"")</f>
        <v/>
      </c>
      <c r="D933" s="1"/>
    </row>
    <row r="934" spans="1:4" x14ac:dyDescent="0.3">
      <c r="A934" s="1"/>
      <c r="B934" s="1" t="str">
        <f>IFERROR(IF(LEFT(Sensitivität_bzw_Monte_Carlo_bei_Strom[[#This Row],[Source.Name]],SEARCH("aus_der",Sensitivität_bzw_Monte_Carlo_bei_Strom[[#This Row],[Source.Name]],1))="Auszahlung_a","Auszahlung",""),"")</f>
        <v/>
      </c>
      <c r="D934" s="1"/>
    </row>
    <row r="935" spans="1:4" x14ac:dyDescent="0.3">
      <c r="A935" s="1"/>
      <c r="B935" s="1" t="str">
        <f>IFERROR(IF(LEFT(Sensitivität_bzw_Monte_Carlo_bei_Strom[[#This Row],[Source.Name]],SEARCH("aus_der",Sensitivität_bzw_Monte_Carlo_bei_Strom[[#This Row],[Source.Name]],1))="Auszahlung_a","Auszahlung",""),"")</f>
        <v/>
      </c>
      <c r="D935" s="1"/>
    </row>
    <row r="936" spans="1:4" x14ac:dyDescent="0.3">
      <c r="A936" s="1"/>
      <c r="B936" s="1" t="str">
        <f>IFERROR(IF(LEFT(Sensitivität_bzw_Monte_Carlo_bei_Strom[[#This Row],[Source.Name]],SEARCH("aus_der",Sensitivität_bzw_Monte_Carlo_bei_Strom[[#This Row],[Source.Name]],1))="Auszahlung_a","Auszahlung",""),"")</f>
        <v/>
      </c>
      <c r="D936" s="1"/>
    </row>
    <row r="937" spans="1:4" x14ac:dyDescent="0.3">
      <c r="A937" s="1"/>
      <c r="B937" s="1" t="str">
        <f>IFERROR(IF(LEFT(Sensitivität_bzw_Monte_Carlo_bei_Strom[[#This Row],[Source.Name]],SEARCH("aus_der",Sensitivität_bzw_Monte_Carlo_bei_Strom[[#This Row],[Source.Name]],1))="Auszahlung_a","Auszahlung",""),"")</f>
        <v/>
      </c>
      <c r="D937" s="1"/>
    </row>
    <row r="938" spans="1:4" x14ac:dyDescent="0.3">
      <c r="A938" s="1"/>
      <c r="B938" s="1" t="str">
        <f>IFERROR(IF(LEFT(Sensitivität_bzw_Monte_Carlo_bei_Strom[[#This Row],[Source.Name]],SEARCH("aus_der",Sensitivität_bzw_Monte_Carlo_bei_Strom[[#This Row],[Source.Name]],1))="Auszahlung_a","Auszahlung",""),"")</f>
        <v/>
      </c>
      <c r="D938" s="1"/>
    </row>
    <row r="939" spans="1:4" x14ac:dyDescent="0.3">
      <c r="A939" s="1"/>
      <c r="B939" s="1" t="str">
        <f>IFERROR(IF(LEFT(Sensitivität_bzw_Monte_Carlo_bei_Strom[[#This Row],[Source.Name]],SEARCH("aus_der",Sensitivität_bzw_Monte_Carlo_bei_Strom[[#This Row],[Source.Name]],1))="Auszahlung_a","Auszahlung",""),"")</f>
        <v/>
      </c>
      <c r="D939" s="1"/>
    </row>
    <row r="940" spans="1:4" x14ac:dyDescent="0.3">
      <c r="A940" s="1"/>
      <c r="B940" s="1" t="str">
        <f>IFERROR(IF(LEFT(Sensitivität_bzw_Monte_Carlo_bei_Strom[[#This Row],[Source.Name]],SEARCH("aus_der",Sensitivität_bzw_Monte_Carlo_bei_Strom[[#This Row],[Source.Name]],1))="Auszahlung_a","Auszahlung",""),"")</f>
        <v/>
      </c>
      <c r="D940" s="1"/>
    </row>
    <row r="941" spans="1:4" x14ac:dyDescent="0.3">
      <c r="A941" s="1"/>
      <c r="B941" s="1" t="str">
        <f>IFERROR(IF(LEFT(Sensitivität_bzw_Monte_Carlo_bei_Strom[[#This Row],[Source.Name]],SEARCH("aus_der",Sensitivität_bzw_Monte_Carlo_bei_Strom[[#This Row],[Source.Name]],1))="Auszahlung_a","Auszahlung",""),"")</f>
        <v/>
      </c>
      <c r="D941" s="1"/>
    </row>
    <row r="942" spans="1:4" x14ac:dyDescent="0.3">
      <c r="A942" s="1"/>
      <c r="B942" s="1" t="str">
        <f>IFERROR(IF(LEFT(Sensitivität_bzw_Monte_Carlo_bei_Strom[[#This Row],[Source.Name]],SEARCH("aus_der",Sensitivität_bzw_Monte_Carlo_bei_Strom[[#This Row],[Source.Name]],1))="Auszahlung_a","Auszahlung",""),"")</f>
        <v/>
      </c>
      <c r="D942" s="1"/>
    </row>
    <row r="943" spans="1:4" x14ac:dyDescent="0.3">
      <c r="A943" s="1"/>
      <c r="B943" s="1" t="str">
        <f>IFERROR(IF(LEFT(Sensitivität_bzw_Monte_Carlo_bei_Strom[[#This Row],[Source.Name]],SEARCH("aus_der",Sensitivität_bzw_Monte_Carlo_bei_Strom[[#This Row],[Source.Name]],1))="Auszahlung_a","Auszahlung",""),"")</f>
        <v/>
      </c>
      <c r="D943" s="1"/>
    </row>
    <row r="944" spans="1:4" x14ac:dyDescent="0.3">
      <c r="A944" s="1"/>
      <c r="B944" s="1" t="str">
        <f>IFERROR(IF(LEFT(Sensitivität_bzw_Monte_Carlo_bei_Strom[[#This Row],[Source.Name]],SEARCH("aus_der",Sensitivität_bzw_Monte_Carlo_bei_Strom[[#This Row],[Source.Name]],1))="Auszahlung_a","Auszahlung",""),"")</f>
        <v/>
      </c>
      <c r="D944" s="1"/>
    </row>
    <row r="945" spans="1:4" x14ac:dyDescent="0.3">
      <c r="A945" s="1"/>
      <c r="B945" s="1" t="str">
        <f>IFERROR(IF(LEFT(Sensitivität_bzw_Monte_Carlo_bei_Strom[[#This Row],[Source.Name]],SEARCH("aus_der",Sensitivität_bzw_Monte_Carlo_bei_Strom[[#This Row],[Source.Name]],1))="Auszahlung_a","Auszahlung",""),"")</f>
        <v/>
      </c>
      <c r="D945" s="1"/>
    </row>
    <row r="946" spans="1:4" x14ac:dyDescent="0.3">
      <c r="A946" s="1"/>
      <c r="B946" s="1" t="str">
        <f>IFERROR(IF(LEFT(Sensitivität_bzw_Monte_Carlo_bei_Strom[[#This Row],[Source.Name]],SEARCH("aus_der",Sensitivität_bzw_Monte_Carlo_bei_Strom[[#This Row],[Source.Name]],1))="Auszahlung_a","Auszahlung",""),"")</f>
        <v/>
      </c>
      <c r="D946" s="1"/>
    </row>
    <row r="947" spans="1:4" x14ac:dyDescent="0.3">
      <c r="A947" s="1"/>
      <c r="B947" s="1" t="str">
        <f>IFERROR(IF(LEFT(Sensitivität_bzw_Monte_Carlo_bei_Strom[[#This Row],[Source.Name]],SEARCH("aus_der",Sensitivität_bzw_Monte_Carlo_bei_Strom[[#This Row],[Source.Name]],1))="Auszahlung_a","Auszahlung",""),"")</f>
        <v/>
      </c>
      <c r="D947" s="1"/>
    </row>
    <row r="948" spans="1:4" x14ac:dyDescent="0.3">
      <c r="A948" s="1"/>
      <c r="B948" s="1" t="str">
        <f>IFERROR(IF(LEFT(Sensitivität_bzw_Monte_Carlo_bei_Strom[[#This Row],[Source.Name]],SEARCH("aus_der",Sensitivität_bzw_Monte_Carlo_bei_Strom[[#This Row],[Source.Name]],1))="Auszahlung_a","Auszahlung",""),"")</f>
        <v/>
      </c>
      <c r="D948" s="1"/>
    </row>
    <row r="949" spans="1:4" x14ac:dyDescent="0.3">
      <c r="A949" s="1"/>
      <c r="B949" s="1" t="str">
        <f>IFERROR(IF(LEFT(Sensitivität_bzw_Monte_Carlo_bei_Strom[[#This Row],[Source.Name]],SEARCH("aus_der",Sensitivität_bzw_Monte_Carlo_bei_Strom[[#This Row],[Source.Name]],1))="Auszahlung_a","Auszahlung",""),"")</f>
        <v/>
      </c>
      <c r="D949" s="1"/>
    </row>
    <row r="950" spans="1:4" x14ac:dyDescent="0.3">
      <c r="A950" s="1"/>
      <c r="B950" s="1" t="str">
        <f>IFERROR(IF(LEFT(Sensitivität_bzw_Monte_Carlo_bei_Strom[[#This Row],[Source.Name]],SEARCH("aus_der",Sensitivität_bzw_Monte_Carlo_bei_Strom[[#This Row],[Source.Name]],1))="Auszahlung_a","Auszahlung",""),"")</f>
        <v/>
      </c>
      <c r="D950" s="1"/>
    </row>
    <row r="951" spans="1:4" x14ac:dyDescent="0.3">
      <c r="A951" s="1"/>
      <c r="B951" s="1" t="str">
        <f>IFERROR(IF(LEFT(Sensitivität_bzw_Monte_Carlo_bei_Strom[[#This Row],[Source.Name]],SEARCH("aus_der",Sensitivität_bzw_Monte_Carlo_bei_Strom[[#This Row],[Source.Name]],1))="Auszahlung_a","Auszahlung",""),"")</f>
        <v/>
      </c>
      <c r="D951" s="1"/>
    </row>
    <row r="952" spans="1:4" x14ac:dyDescent="0.3">
      <c r="A952" s="1"/>
      <c r="B952" s="1" t="str">
        <f>IFERROR(IF(LEFT(Sensitivität_bzw_Monte_Carlo_bei_Strom[[#This Row],[Source.Name]],SEARCH("aus_der",Sensitivität_bzw_Monte_Carlo_bei_Strom[[#This Row],[Source.Name]],1))="Auszahlung_a","Auszahlung",""),"")</f>
        <v/>
      </c>
      <c r="D952" s="1"/>
    </row>
    <row r="953" spans="1:4" x14ac:dyDescent="0.3">
      <c r="A953" s="1"/>
      <c r="B953" s="1" t="str">
        <f>IFERROR(IF(LEFT(Sensitivität_bzw_Monte_Carlo_bei_Strom[[#This Row],[Source.Name]],SEARCH("aus_der",Sensitivität_bzw_Monte_Carlo_bei_Strom[[#This Row],[Source.Name]],1))="Auszahlung_a","Auszahlung",""),"")</f>
        <v/>
      </c>
      <c r="D953" s="1"/>
    </row>
    <row r="954" spans="1:4" x14ac:dyDescent="0.3">
      <c r="A954" s="1"/>
      <c r="B954" s="1" t="str">
        <f>IFERROR(IF(LEFT(Sensitivität_bzw_Monte_Carlo_bei_Strom[[#This Row],[Source.Name]],SEARCH("aus_der",Sensitivität_bzw_Monte_Carlo_bei_Strom[[#This Row],[Source.Name]],1))="Auszahlung_a","Auszahlung",""),"")</f>
        <v/>
      </c>
      <c r="D954" s="1"/>
    </row>
    <row r="955" spans="1:4" x14ac:dyDescent="0.3">
      <c r="A955" s="1"/>
      <c r="B955" s="1" t="str">
        <f>IFERROR(IF(LEFT(Sensitivität_bzw_Monte_Carlo_bei_Strom[[#This Row],[Source.Name]],SEARCH("aus_der",Sensitivität_bzw_Monte_Carlo_bei_Strom[[#This Row],[Source.Name]],1))="Auszahlung_a","Auszahlung",""),"")</f>
        <v/>
      </c>
      <c r="D955" s="1"/>
    </row>
    <row r="956" spans="1:4" x14ac:dyDescent="0.3">
      <c r="A956" s="1"/>
      <c r="B956" s="1" t="str">
        <f>IFERROR(IF(LEFT(Sensitivität_bzw_Monte_Carlo_bei_Strom[[#This Row],[Source.Name]],SEARCH("aus_der",Sensitivität_bzw_Monte_Carlo_bei_Strom[[#This Row],[Source.Name]],1))="Auszahlung_a","Auszahlung",""),"")</f>
        <v/>
      </c>
      <c r="D956" s="1"/>
    </row>
    <row r="957" spans="1:4" x14ac:dyDescent="0.3">
      <c r="A957" s="1"/>
      <c r="B957" s="1" t="str">
        <f>IFERROR(IF(LEFT(Sensitivität_bzw_Monte_Carlo_bei_Strom[[#This Row],[Source.Name]],SEARCH("aus_der",Sensitivität_bzw_Monte_Carlo_bei_Strom[[#This Row],[Source.Name]],1))="Auszahlung_a","Auszahlung",""),"")</f>
        <v/>
      </c>
      <c r="D957" s="1"/>
    </row>
    <row r="958" spans="1:4" x14ac:dyDescent="0.3">
      <c r="A958" s="1"/>
      <c r="B958" s="1" t="str">
        <f>IFERROR(IF(LEFT(Sensitivität_bzw_Monte_Carlo_bei_Strom[[#This Row],[Source.Name]],SEARCH("aus_der",Sensitivität_bzw_Monte_Carlo_bei_Strom[[#This Row],[Source.Name]],1))="Auszahlung_a","Auszahlung",""),"")</f>
        <v/>
      </c>
      <c r="D958" s="1"/>
    </row>
    <row r="959" spans="1:4" x14ac:dyDescent="0.3">
      <c r="A959" s="1"/>
      <c r="B959" s="1" t="str">
        <f>IFERROR(IF(LEFT(Sensitivität_bzw_Monte_Carlo_bei_Strom[[#This Row],[Source.Name]],SEARCH("aus_der",Sensitivität_bzw_Monte_Carlo_bei_Strom[[#This Row],[Source.Name]],1))="Auszahlung_a","Auszahlung",""),"")</f>
        <v/>
      </c>
      <c r="D959" s="1"/>
    </row>
    <row r="960" spans="1:4" x14ac:dyDescent="0.3">
      <c r="A960" s="1"/>
      <c r="B960" s="1" t="str">
        <f>IFERROR(IF(LEFT(Sensitivität_bzw_Monte_Carlo_bei_Strom[[#This Row],[Source.Name]],SEARCH("aus_der",Sensitivität_bzw_Monte_Carlo_bei_Strom[[#This Row],[Source.Name]],1))="Auszahlung_a","Auszahlung",""),"")</f>
        <v/>
      </c>
      <c r="D960" s="1"/>
    </row>
    <row r="961" spans="1:4" x14ac:dyDescent="0.3">
      <c r="A961" s="1"/>
      <c r="B961" s="1" t="str">
        <f>IFERROR(IF(LEFT(Sensitivität_bzw_Monte_Carlo_bei_Strom[[#This Row],[Source.Name]],SEARCH("aus_der",Sensitivität_bzw_Monte_Carlo_bei_Strom[[#This Row],[Source.Name]],1))="Auszahlung_a","Auszahlung",""),"")</f>
        <v/>
      </c>
      <c r="D961" s="1"/>
    </row>
    <row r="962" spans="1:4" x14ac:dyDescent="0.3">
      <c r="A962" s="1"/>
      <c r="B962" s="1" t="str">
        <f>IFERROR(IF(LEFT(Sensitivität_bzw_Monte_Carlo_bei_Strom[[#This Row],[Source.Name]],SEARCH("aus_der",Sensitivität_bzw_Monte_Carlo_bei_Strom[[#This Row],[Source.Name]],1))="Auszahlung_a","Auszahlung",""),"")</f>
        <v/>
      </c>
      <c r="D962" s="1"/>
    </row>
    <row r="963" spans="1:4" x14ac:dyDescent="0.3">
      <c r="A963" s="1"/>
      <c r="B963" s="1" t="str">
        <f>IFERROR(IF(LEFT(Sensitivität_bzw_Monte_Carlo_bei_Strom[[#This Row],[Source.Name]],SEARCH("aus_der",Sensitivität_bzw_Monte_Carlo_bei_Strom[[#This Row],[Source.Name]],1))="Auszahlung_a","Auszahlung",""),"")</f>
        <v/>
      </c>
      <c r="D963" s="1"/>
    </row>
    <row r="964" spans="1:4" x14ac:dyDescent="0.3">
      <c r="A964" s="1"/>
      <c r="B964" s="1" t="str">
        <f>IFERROR(IF(LEFT(Sensitivität_bzw_Monte_Carlo_bei_Strom[[#This Row],[Source.Name]],SEARCH("aus_der",Sensitivität_bzw_Monte_Carlo_bei_Strom[[#This Row],[Source.Name]],1))="Auszahlung_a","Auszahlung",""),"")</f>
        <v/>
      </c>
      <c r="D964" s="1"/>
    </row>
    <row r="965" spans="1:4" x14ac:dyDescent="0.3">
      <c r="A965" s="1"/>
      <c r="B965" s="1" t="str">
        <f>IFERROR(IF(LEFT(Sensitivität_bzw_Monte_Carlo_bei_Strom[[#This Row],[Source.Name]],SEARCH("aus_der",Sensitivität_bzw_Monte_Carlo_bei_Strom[[#This Row],[Source.Name]],1))="Auszahlung_a","Auszahlung",""),"")</f>
        <v/>
      </c>
      <c r="D965" s="1"/>
    </row>
    <row r="966" spans="1:4" x14ac:dyDescent="0.3">
      <c r="A966" s="1"/>
      <c r="B966" s="1" t="str">
        <f>IFERROR(IF(LEFT(Sensitivität_bzw_Monte_Carlo_bei_Strom[[#This Row],[Source.Name]],SEARCH("aus_der",Sensitivität_bzw_Monte_Carlo_bei_Strom[[#This Row],[Source.Name]],1))="Auszahlung_a","Auszahlung",""),"")</f>
        <v/>
      </c>
      <c r="D966" s="1"/>
    </row>
    <row r="967" spans="1:4" x14ac:dyDescent="0.3">
      <c r="A967" s="1"/>
      <c r="B967" s="1" t="str">
        <f>IFERROR(IF(LEFT(Sensitivität_bzw_Monte_Carlo_bei_Strom[[#This Row],[Source.Name]],SEARCH("aus_der",Sensitivität_bzw_Monte_Carlo_bei_Strom[[#This Row],[Source.Name]],1))="Auszahlung_a","Auszahlung",""),"")</f>
        <v/>
      </c>
      <c r="D967" s="1"/>
    </row>
    <row r="968" spans="1:4" x14ac:dyDescent="0.3">
      <c r="A968" s="1"/>
      <c r="B968" s="1" t="str">
        <f>IFERROR(IF(LEFT(Sensitivität_bzw_Monte_Carlo_bei_Strom[[#This Row],[Source.Name]],SEARCH("aus_der",Sensitivität_bzw_Monte_Carlo_bei_Strom[[#This Row],[Source.Name]],1))="Auszahlung_a","Auszahlung",""),"")</f>
        <v/>
      </c>
      <c r="D968" s="1"/>
    </row>
    <row r="969" spans="1:4" x14ac:dyDescent="0.3">
      <c r="A969" s="1"/>
      <c r="B969" s="1" t="str">
        <f>IFERROR(IF(LEFT(Sensitivität_bzw_Monte_Carlo_bei_Strom[[#This Row],[Source.Name]],SEARCH("aus_der",Sensitivität_bzw_Monte_Carlo_bei_Strom[[#This Row],[Source.Name]],1))="Auszahlung_a","Auszahlung",""),"")</f>
        <v/>
      </c>
      <c r="D969" s="1"/>
    </row>
    <row r="970" spans="1:4" x14ac:dyDescent="0.3">
      <c r="A970" s="1"/>
      <c r="B970" s="1" t="str">
        <f>IFERROR(IF(LEFT(Sensitivität_bzw_Monte_Carlo_bei_Strom[[#This Row],[Source.Name]],SEARCH("aus_der",Sensitivität_bzw_Monte_Carlo_bei_Strom[[#This Row],[Source.Name]],1))="Auszahlung_a","Auszahlung",""),"")</f>
        <v/>
      </c>
      <c r="D970" s="1"/>
    </row>
    <row r="971" spans="1:4" x14ac:dyDescent="0.3">
      <c r="A971" s="1"/>
      <c r="B971" s="1" t="str">
        <f>IFERROR(IF(LEFT(Sensitivität_bzw_Monte_Carlo_bei_Strom[[#This Row],[Source.Name]],SEARCH("aus_der",Sensitivität_bzw_Monte_Carlo_bei_Strom[[#This Row],[Source.Name]],1))="Auszahlung_a","Auszahlung",""),"")</f>
        <v/>
      </c>
      <c r="D971" s="1"/>
    </row>
    <row r="972" spans="1:4" x14ac:dyDescent="0.3">
      <c r="A972" s="1"/>
      <c r="B972" s="1" t="str">
        <f>IFERROR(IF(LEFT(Sensitivität_bzw_Monte_Carlo_bei_Strom[[#This Row],[Source.Name]],SEARCH("aus_der",Sensitivität_bzw_Monte_Carlo_bei_Strom[[#This Row],[Source.Name]],1))="Auszahlung_a","Auszahlung",""),"")</f>
        <v/>
      </c>
      <c r="D972" s="1"/>
    </row>
    <row r="973" spans="1:4" x14ac:dyDescent="0.3">
      <c r="A973" s="1"/>
      <c r="B973" s="1" t="str">
        <f>IFERROR(IF(LEFT(Sensitivität_bzw_Monte_Carlo_bei_Strom[[#This Row],[Source.Name]],SEARCH("aus_der",Sensitivität_bzw_Monte_Carlo_bei_Strom[[#This Row],[Source.Name]],1))="Auszahlung_a","Auszahlung",""),"")</f>
        <v/>
      </c>
      <c r="D973" s="1"/>
    </row>
    <row r="974" spans="1:4" x14ac:dyDescent="0.3">
      <c r="A974" s="1"/>
      <c r="B974" s="1" t="str">
        <f>IFERROR(IF(LEFT(Sensitivität_bzw_Monte_Carlo_bei_Strom[[#This Row],[Source.Name]],SEARCH("aus_der",Sensitivität_bzw_Monte_Carlo_bei_Strom[[#This Row],[Source.Name]],1))="Auszahlung_a","Auszahlung",""),"")</f>
        <v/>
      </c>
      <c r="D974" s="1"/>
    </row>
    <row r="975" spans="1:4" x14ac:dyDescent="0.3">
      <c r="A975" s="1"/>
      <c r="B975" s="1" t="str">
        <f>IFERROR(IF(LEFT(Sensitivität_bzw_Monte_Carlo_bei_Strom[[#This Row],[Source.Name]],SEARCH("aus_der",Sensitivität_bzw_Monte_Carlo_bei_Strom[[#This Row],[Source.Name]],1))="Auszahlung_a","Auszahlung",""),"")</f>
        <v/>
      </c>
      <c r="D975" s="1"/>
    </row>
    <row r="976" spans="1:4" x14ac:dyDescent="0.3">
      <c r="A976" s="1"/>
      <c r="B976" s="1" t="str">
        <f>IFERROR(IF(LEFT(Sensitivität_bzw_Monte_Carlo_bei_Strom[[#This Row],[Source.Name]],SEARCH("aus_der",Sensitivität_bzw_Monte_Carlo_bei_Strom[[#This Row],[Source.Name]],1))="Auszahlung_a","Auszahlung",""),"")</f>
        <v/>
      </c>
      <c r="D976" s="1"/>
    </row>
    <row r="977" spans="1:4" x14ac:dyDescent="0.3">
      <c r="A977" s="1"/>
      <c r="B977" s="1" t="str">
        <f>IFERROR(IF(LEFT(Sensitivität_bzw_Monte_Carlo_bei_Strom[[#This Row],[Source.Name]],SEARCH("aus_der",Sensitivität_bzw_Monte_Carlo_bei_Strom[[#This Row],[Source.Name]],1))="Auszahlung_a","Auszahlung",""),"")</f>
        <v/>
      </c>
      <c r="D977" s="1"/>
    </row>
    <row r="978" spans="1:4" x14ac:dyDescent="0.3">
      <c r="A978" s="1"/>
      <c r="B978" s="1" t="str">
        <f>IFERROR(IF(LEFT(Sensitivität_bzw_Monte_Carlo_bei_Strom[[#This Row],[Source.Name]],SEARCH("aus_der",Sensitivität_bzw_Monte_Carlo_bei_Strom[[#This Row],[Source.Name]],1))="Auszahlung_a","Auszahlung",""),"")</f>
        <v/>
      </c>
      <c r="D978" s="1"/>
    </row>
    <row r="979" spans="1:4" x14ac:dyDescent="0.3">
      <c r="A979" s="1"/>
      <c r="B979" s="1" t="str">
        <f>IFERROR(IF(LEFT(Sensitivität_bzw_Monte_Carlo_bei_Strom[[#This Row],[Source.Name]],SEARCH("aus_der",Sensitivität_bzw_Monte_Carlo_bei_Strom[[#This Row],[Source.Name]],1))="Auszahlung_a","Auszahlung",""),"")</f>
        <v/>
      </c>
      <c r="D979" s="1"/>
    </row>
    <row r="980" spans="1:4" x14ac:dyDescent="0.3">
      <c r="A980" s="1"/>
      <c r="B980" s="1" t="str">
        <f>IFERROR(IF(LEFT(Sensitivität_bzw_Monte_Carlo_bei_Strom[[#This Row],[Source.Name]],SEARCH("aus_der",Sensitivität_bzw_Monte_Carlo_bei_Strom[[#This Row],[Source.Name]],1))="Auszahlung_a","Auszahlung",""),"")</f>
        <v/>
      </c>
      <c r="D980" s="1"/>
    </row>
    <row r="981" spans="1:4" x14ac:dyDescent="0.3">
      <c r="A981" s="1"/>
      <c r="B981" s="1" t="str">
        <f>IFERROR(IF(LEFT(Sensitivität_bzw_Monte_Carlo_bei_Strom[[#This Row],[Source.Name]],SEARCH("aus_der",Sensitivität_bzw_Monte_Carlo_bei_Strom[[#This Row],[Source.Name]],1))="Auszahlung_a","Auszahlung",""),"")</f>
        <v/>
      </c>
      <c r="D981" s="1"/>
    </row>
    <row r="982" spans="1:4" x14ac:dyDescent="0.3">
      <c r="A982" s="1"/>
      <c r="B982" s="1" t="str">
        <f>IFERROR(IF(LEFT(Sensitivität_bzw_Monte_Carlo_bei_Strom[[#This Row],[Source.Name]],SEARCH("aus_der",Sensitivität_bzw_Monte_Carlo_bei_Strom[[#This Row],[Source.Name]],1))="Auszahlung_a","Auszahlung",""),"")</f>
        <v/>
      </c>
      <c r="D982" s="1"/>
    </row>
    <row r="983" spans="1:4" x14ac:dyDescent="0.3">
      <c r="A983" s="1"/>
      <c r="B983" s="1" t="str">
        <f>IFERROR(IF(LEFT(Sensitivität_bzw_Monte_Carlo_bei_Strom[[#This Row],[Source.Name]],SEARCH("aus_der",Sensitivität_bzw_Monte_Carlo_bei_Strom[[#This Row],[Source.Name]],1))="Auszahlung_a","Auszahlung",""),"")</f>
        <v/>
      </c>
      <c r="D983" s="1"/>
    </row>
    <row r="984" spans="1:4" x14ac:dyDescent="0.3">
      <c r="A984" s="1"/>
      <c r="B984" s="1" t="str">
        <f>IFERROR(IF(LEFT(Sensitivität_bzw_Monte_Carlo_bei_Strom[[#This Row],[Source.Name]],SEARCH("aus_der",Sensitivität_bzw_Monte_Carlo_bei_Strom[[#This Row],[Source.Name]],1))="Auszahlung_a","Auszahlung",""),"")</f>
        <v/>
      </c>
      <c r="D984" s="1"/>
    </row>
    <row r="985" spans="1:4" x14ac:dyDescent="0.3">
      <c r="A985" s="1"/>
      <c r="B985" s="1" t="str">
        <f>IFERROR(IF(LEFT(Sensitivität_bzw_Monte_Carlo_bei_Strom[[#This Row],[Source.Name]],SEARCH("aus_der",Sensitivität_bzw_Monte_Carlo_bei_Strom[[#This Row],[Source.Name]],1))="Auszahlung_a","Auszahlung",""),"")</f>
        <v/>
      </c>
      <c r="D985" s="1"/>
    </row>
    <row r="986" spans="1:4" x14ac:dyDescent="0.3">
      <c r="A986" s="1"/>
      <c r="B986" s="1" t="str">
        <f>IFERROR(IF(LEFT(Sensitivität_bzw_Monte_Carlo_bei_Strom[[#This Row],[Source.Name]],SEARCH("aus_der",Sensitivität_bzw_Monte_Carlo_bei_Strom[[#This Row],[Source.Name]],1))="Auszahlung_a","Auszahlung",""),"")</f>
        <v/>
      </c>
      <c r="D986" s="1"/>
    </row>
    <row r="987" spans="1:4" x14ac:dyDescent="0.3">
      <c r="A987" s="1"/>
      <c r="B987" s="1" t="str">
        <f>IFERROR(IF(LEFT(Sensitivität_bzw_Monte_Carlo_bei_Strom[[#This Row],[Source.Name]],SEARCH("aus_der",Sensitivität_bzw_Monte_Carlo_bei_Strom[[#This Row],[Source.Name]],1))="Auszahlung_a","Auszahlung",""),"")</f>
        <v/>
      </c>
      <c r="D987" s="1"/>
    </row>
    <row r="988" spans="1:4" x14ac:dyDescent="0.3">
      <c r="A988" s="1"/>
      <c r="B988" s="1" t="str">
        <f>IFERROR(IF(LEFT(Sensitivität_bzw_Monte_Carlo_bei_Strom[[#This Row],[Source.Name]],SEARCH("aus_der",Sensitivität_bzw_Monte_Carlo_bei_Strom[[#This Row],[Source.Name]],1))="Auszahlung_a","Auszahlung",""),"")</f>
        <v/>
      </c>
      <c r="D988" s="1"/>
    </row>
    <row r="989" spans="1:4" x14ac:dyDescent="0.3">
      <c r="A989" s="1"/>
      <c r="B989" s="1" t="str">
        <f>IFERROR(IF(LEFT(Sensitivität_bzw_Monte_Carlo_bei_Strom[[#This Row],[Source.Name]],SEARCH("aus_der",Sensitivität_bzw_Monte_Carlo_bei_Strom[[#This Row],[Source.Name]],1))="Auszahlung_a","Auszahlung",""),"")</f>
        <v/>
      </c>
      <c r="D989" s="1"/>
    </row>
    <row r="990" spans="1:4" x14ac:dyDescent="0.3">
      <c r="A990" s="1"/>
      <c r="B990" s="1" t="str">
        <f>IFERROR(IF(LEFT(Sensitivität_bzw_Monte_Carlo_bei_Strom[[#This Row],[Source.Name]],SEARCH("aus_der",Sensitivität_bzw_Monte_Carlo_bei_Strom[[#This Row],[Source.Name]],1))="Auszahlung_a","Auszahlung",""),"")</f>
        <v/>
      </c>
      <c r="D990" s="1"/>
    </row>
    <row r="991" spans="1:4" x14ac:dyDescent="0.3">
      <c r="A991" s="1"/>
      <c r="B991" s="1" t="str">
        <f>IFERROR(IF(LEFT(Sensitivität_bzw_Monte_Carlo_bei_Strom[[#This Row],[Source.Name]],SEARCH("aus_der",Sensitivität_bzw_Monte_Carlo_bei_Strom[[#This Row],[Source.Name]],1))="Auszahlung_a","Auszahlung",""),"")</f>
        <v/>
      </c>
      <c r="D991" s="1"/>
    </row>
    <row r="992" spans="1:4" x14ac:dyDescent="0.3">
      <c r="A992" s="1"/>
      <c r="B992" s="1" t="str">
        <f>IFERROR(IF(LEFT(Sensitivität_bzw_Monte_Carlo_bei_Strom[[#This Row],[Source.Name]],SEARCH("aus_der",Sensitivität_bzw_Monte_Carlo_bei_Strom[[#This Row],[Source.Name]],1))="Auszahlung_a","Auszahlung",""),"")</f>
        <v/>
      </c>
      <c r="D992" s="1"/>
    </row>
    <row r="993" spans="1:4" x14ac:dyDescent="0.3">
      <c r="A993" s="1"/>
      <c r="B993" s="1" t="str">
        <f>IFERROR(IF(LEFT(Sensitivität_bzw_Monte_Carlo_bei_Strom[[#This Row],[Source.Name]],SEARCH("aus_der",Sensitivität_bzw_Monte_Carlo_bei_Strom[[#This Row],[Source.Name]],1))="Auszahlung_a","Auszahlung",""),"")</f>
        <v/>
      </c>
      <c r="D993" s="1"/>
    </row>
    <row r="994" spans="1:4" x14ac:dyDescent="0.3">
      <c r="A994" s="1"/>
      <c r="B994" s="1" t="str">
        <f>IFERROR(IF(LEFT(Sensitivität_bzw_Monte_Carlo_bei_Strom[[#This Row],[Source.Name]],SEARCH("aus_der",Sensitivität_bzw_Monte_Carlo_bei_Strom[[#This Row],[Source.Name]],1))="Auszahlung_a","Auszahlung",""),"")</f>
        <v/>
      </c>
      <c r="D994" s="1"/>
    </row>
    <row r="995" spans="1:4" x14ac:dyDescent="0.3">
      <c r="A995" s="1"/>
      <c r="B995" s="1" t="str">
        <f>IFERROR(IF(LEFT(Sensitivität_bzw_Monte_Carlo_bei_Strom[[#This Row],[Source.Name]],SEARCH("aus_der",Sensitivität_bzw_Monte_Carlo_bei_Strom[[#This Row],[Source.Name]],1))="Auszahlung_a","Auszahlung",""),"")</f>
        <v/>
      </c>
      <c r="D995" s="1"/>
    </row>
    <row r="996" spans="1:4" x14ac:dyDescent="0.3">
      <c r="A996" s="1"/>
      <c r="B996" s="1" t="str">
        <f>IFERROR(IF(LEFT(Sensitivität_bzw_Monte_Carlo_bei_Strom[[#This Row],[Source.Name]],SEARCH("aus_der",Sensitivität_bzw_Monte_Carlo_bei_Strom[[#This Row],[Source.Name]],1))="Auszahlung_a","Auszahlung",""),"")</f>
        <v/>
      </c>
      <c r="D996" s="1"/>
    </row>
    <row r="997" spans="1:4" x14ac:dyDescent="0.3">
      <c r="A997" s="1"/>
      <c r="B997" s="1" t="str">
        <f>IFERROR(IF(LEFT(Sensitivität_bzw_Monte_Carlo_bei_Strom[[#This Row],[Source.Name]],SEARCH("aus_der",Sensitivität_bzw_Monte_Carlo_bei_Strom[[#This Row],[Source.Name]],1))="Auszahlung_a","Auszahlung",""),"")</f>
        <v/>
      </c>
      <c r="D997" s="1"/>
    </row>
    <row r="998" spans="1:4" x14ac:dyDescent="0.3">
      <c r="A998" s="1"/>
      <c r="B998" s="1" t="str">
        <f>IFERROR(IF(LEFT(Sensitivität_bzw_Monte_Carlo_bei_Strom[[#This Row],[Source.Name]],SEARCH("aus_der",Sensitivität_bzw_Monte_Carlo_bei_Strom[[#This Row],[Source.Name]],1))="Auszahlung_a","Auszahlung",""),"")</f>
        <v/>
      </c>
      <c r="D998" s="1"/>
    </row>
    <row r="999" spans="1:4" x14ac:dyDescent="0.3">
      <c r="A999" s="1"/>
      <c r="B999" s="1" t="str">
        <f>IFERROR(IF(LEFT(Sensitivität_bzw_Monte_Carlo_bei_Strom[[#This Row],[Source.Name]],SEARCH("aus_der",Sensitivität_bzw_Monte_Carlo_bei_Strom[[#This Row],[Source.Name]],1))="Auszahlung_a","Auszahlung",""),"")</f>
        <v/>
      </c>
      <c r="D999" s="1"/>
    </row>
    <row r="1000" spans="1:4" x14ac:dyDescent="0.3">
      <c r="A1000" s="1"/>
      <c r="B1000" s="1" t="str">
        <f>IFERROR(IF(LEFT(Sensitivität_bzw_Monte_Carlo_bei_Strom[[#This Row],[Source.Name]],SEARCH("aus_der",Sensitivität_bzw_Monte_Carlo_bei_Strom[[#This Row],[Source.Name]],1))="Auszahlung_a","Auszahlung",""),"")</f>
        <v/>
      </c>
      <c r="D1000" s="1"/>
    </row>
    <row r="1001" spans="1:4" x14ac:dyDescent="0.3">
      <c r="A1001" s="1"/>
      <c r="B1001" s="1" t="str">
        <f>IFERROR(IF(LEFT(Sensitivität_bzw_Monte_Carlo_bei_Strom[[#This Row],[Source.Name]],SEARCH("aus_der",Sensitivität_bzw_Monte_Carlo_bei_Strom[[#This Row],[Source.Name]],1))="Auszahlung_a","Auszahlung",""),"")</f>
        <v/>
      </c>
      <c r="D1001" s="1"/>
    </row>
    <row r="1002" spans="1:4" x14ac:dyDescent="0.3">
      <c r="A1002" s="1"/>
      <c r="B1002" s="1" t="str">
        <f>IFERROR(IF(LEFT(Sensitivität_bzw_Monte_Carlo_bei_Strom[[#This Row],[Source.Name]],SEARCH("aus_der",Sensitivität_bzw_Monte_Carlo_bei_Strom[[#This Row],[Source.Name]],1))="Auszahlung_a","Auszahlung",""),"")</f>
        <v/>
      </c>
      <c r="D1002" s="1"/>
    </row>
    <row r="1003" spans="1:4" x14ac:dyDescent="0.3">
      <c r="A1003" s="1"/>
      <c r="B1003" s="1" t="str">
        <f>IFERROR(IF(LEFT(Sensitivität_bzw_Monte_Carlo_bei_Strom[[#This Row],[Source.Name]],SEARCH("aus_der",Sensitivität_bzw_Monte_Carlo_bei_Strom[[#This Row],[Source.Name]],1))="Auszahlung_a","Auszahlung",""),"")</f>
        <v/>
      </c>
      <c r="D1003" s="1"/>
    </row>
    <row r="1004" spans="1:4" x14ac:dyDescent="0.3">
      <c r="A1004" s="1"/>
      <c r="B1004" s="1" t="str">
        <f>IFERROR(IF(LEFT(Sensitivität_bzw_Monte_Carlo_bei_Strom[[#This Row],[Source.Name]],SEARCH("aus_der",Sensitivität_bzw_Monte_Carlo_bei_Strom[[#This Row],[Source.Name]],1))="Auszahlung_a","Auszahlung",""),"")</f>
        <v/>
      </c>
      <c r="D1004" s="1"/>
    </row>
    <row r="1005" spans="1:4" x14ac:dyDescent="0.3">
      <c r="A1005" s="1"/>
      <c r="B1005" s="1" t="str">
        <f>IFERROR(IF(LEFT(Sensitivität_bzw_Monte_Carlo_bei_Strom[[#This Row],[Source.Name]],SEARCH("aus_der",Sensitivität_bzw_Monte_Carlo_bei_Strom[[#This Row],[Source.Name]],1))="Auszahlung_a","Auszahlung",""),"")</f>
        <v/>
      </c>
      <c r="D1005" s="1"/>
    </row>
    <row r="1006" spans="1:4" x14ac:dyDescent="0.3">
      <c r="A1006" s="1"/>
      <c r="B1006" s="1" t="str">
        <f>IFERROR(IF(LEFT(Sensitivität_bzw_Monte_Carlo_bei_Strom[[#This Row],[Source.Name]],SEARCH("aus_der",Sensitivität_bzw_Monte_Carlo_bei_Strom[[#This Row],[Source.Name]],1))="Auszahlung_a","Auszahlung",""),"")</f>
        <v/>
      </c>
      <c r="D1006" s="1"/>
    </row>
    <row r="1007" spans="1:4" x14ac:dyDescent="0.3">
      <c r="A1007" s="1"/>
      <c r="B1007" s="1" t="str">
        <f>IFERROR(IF(LEFT(Sensitivität_bzw_Monte_Carlo_bei_Strom[[#This Row],[Source.Name]],SEARCH("aus_der",Sensitivität_bzw_Monte_Carlo_bei_Strom[[#This Row],[Source.Name]],1))="Auszahlung_a","Auszahlung",""),"")</f>
        <v/>
      </c>
      <c r="D1007" s="1"/>
    </row>
    <row r="1008" spans="1:4" x14ac:dyDescent="0.3">
      <c r="A1008" s="1"/>
      <c r="B1008" s="1" t="str">
        <f>IFERROR(IF(LEFT(Sensitivität_bzw_Monte_Carlo_bei_Strom[[#This Row],[Source.Name]],SEARCH("aus_der",Sensitivität_bzw_Monte_Carlo_bei_Strom[[#This Row],[Source.Name]],1))="Auszahlung_a","Auszahlung",""),"")</f>
        <v/>
      </c>
      <c r="D1008" s="1"/>
    </row>
    <row r="1009" spans="1:4" x14ac:dyDescent="0.3">
      <c r="A1009" s="1"/>
      <c r="B1009" s="1" t="str">
        <f>IFERROR(IF(LEFT(Sensitivität_bzw_Monte_Carlo_bei_Strom[[#This Row],[Source.Name]],SEARCH("aus_der",Sensitivität_bzw_Monte_Carlo_bei_Strom[[#This Row],[Source.Name]],1))="Auszahlung_a","Auszahlung",""),"")</f>
        <v/>
      </c>
      <c r="D1009" s="1"/>
    </row>
    <row r="1010" spans="1:4" x14ac:dyDescent="0.3">
      <c r="A1010" s="1"/>
      <c r="B1010" s="1" t="str">
        <f>IFERROR(IF(LEFT(Sensitivität_bzw_Monte_Carlo_bei_Strom[[#This Row],[Source.Name]],SEARCH("aus_der",Sensitivität_bzw_Monte_Carlo_bei_Strom[[#This Row],[Source.Name]],1))="Auszahlung_a","Auszahlung",""),"")</f>
        <v/>
      </c>
      <c r="D1010" s="1"/>
    </row>
    <row r="1011" spans="1:4" x14ac:dyDescent="0.3">
      <c r="A1011" s="1"/>
      <c r="B1011" s="1" t="str">
        <f>IFERROR(IF(LEFT(Sensitivität_bzw_Monte_Carlo_bei_Strom[[#This Row],[Source.Name]],SEARCH("aus_der",Sensitivität_bzw_Monte_Carlo_bei_Strom[[#This Row],[Source.Name]],1))="Auszahlung_a","Auszahlung",""),"")</f>
        <v/>
      </c>
      <c r="D1011" s="1"/>
    </row>
    <row r="1012" spans="1:4" x14ac:dyDescent="0.3">
      <c r="A1012" s="1"/>
      <c r="B1012" s="1" t="str">
        <f>IFERROR(IF(LEFT(Sensitivität_bzw_Monte_Carlo_bei_Strom[[#This Row],[Source.Name]],SEARCH("aus_der",Sensitivität_bzw_Monte_Carlo_bei_Strom[[#This Row],[Source.Name]],1))="Auszahlung_a","Auszahlung",""),"")</f>
        <v/>
      </c>
      <c r="D1012" s="1"/>
    </row>
    <row r="1013" spans="1:4" x14ac:dyDescent="0.3">
      <c r="A1013" s="1"/>
      <c r="B1013" s="1" t="str">
        <f>IFERROR(IF(LEFT(Sensitivität_bzw_Monte_Carlo_bei_Strom[[#This Row],[Source.Name]],SEARCH("aus_der",Sensitivität_bzw_Monte_Carlo_bei_Strom[[#This Row],[Source.Name]],1))="Auszahlung_a","Auszahlung",""),"")</f>
        <v/>
      </c>
      <c r="D1013" s="1"/>
    </row>
    <row r="1014" spans="1:4" x14ac:dyDescent="0.3">
      <c r="A1014" s="1"/>
      <c r="B1014" s="1" t="str">
        <f>IFERROR(IF(LEFT(Sensitivität_bzw_Monte_Carlo_bei_Strom[[#This Row],[Source.Name]],SEARCH("aus_der",Sensitivität_bzw_Monte_Carlo_bei_Strom[[#This Row],[Source.Name]],1))="Auszahlung_a","Auszahlung",""),"")</f>
        <v/>
      </c>
      <c r="D1014" s="1"/>
    </row>
    <row r="1015" spans="1:4" x14ac:dyDescent="0.3">
      <c r="A1015" s="1"/>
      <c r="B1015" s="1" t="str">
        <f>IFERROR(IF(LEFT(Sensitivität_bzw_Monte_Carlo_bei_Strom[[#This Row],[Source.Name]],SEARCH("aus_der",Sensitivität_bzw_Monte_Carlo_bei_Strom[[#This Row],[Source.Name]],1))="Auszahlung_a","Auszahlung",""),"")</f>
        <v/>
      </c>
      <c r="D1015" s="1"/>
    </row>
    <row r="1016" spans="1:4" x14ac:dyDescent="0.3">
      <c r="A1016" s="1"/>
      <c r="B1016" s="1" t="str">
        <f>IFERROR(IF(LEFT(Sensitivität_bzw_Monte_Carlo_bei_Strom[[#This Row],[Source.Name]],SEARCH("aus_der",Sensitivität_bzw_Monte_Carlo_bei_Strom[[#This Row],[Source.Name]],1))="Auszahlung_a","Auszahlung",""),"")</f>
        <v/>
      </c>
      <c r="D1016" s="1"/>
    </row>
    <row r="1017" spans="1:4" x14ac:dyDescent="0.3">
      <c r="A1017" s="1"/>
      <c r="B1017" s="1" t="str">
        <f>IFERROR(IF(LEFT(Sensitivität_bzw_Monte_Carlo_bei_Strom[[#This Row],[Source.Name]],SEARCH("aus_der",Sensitivität_bzw_Monte_Carlo_bei_Strom[[#This Row],[Source.Name]],1))="Auszahlung_a","Auszahlung",""),"")</f>
        <v/>
      </c>
      <c r="D1017" s="1"/>
    </row>
    <row r="1018" spans="1:4" x14ac:dyDescent="0.3">
      <c r="A1018" s="1"/>
      <c r="B1018" s="1" t="str">
        <f>IFERROR(IF(LEFT(Sensitivität_bzw_Monte_Carlo_bei_Strom[[#This Row],[Source.Name]],SEARCH("aus_der",Sensitivität_bzw_Monte_Carlo_bei_Strom[[#This Row],[Source.Name]],1))="Auszahlung_a","Auszahlung",""),"")</f>
        <v/>
      </c>
      <c r="D1018" s="1"/>
    </row>
    <row r="1019" spans="1:4" x14ac:dyDescent="0.3">
      <c r="A1019" s="1"/>
      <c r="B1019" s="1" t="str">
        <f>IFERROR(IF(LEFT(Sensitivität_bzw_Monte_Carlo_bei_Strom[[#This Row],[Source.Name]],SEARCH("aus_der",Sensitivität_bzw_Monte_Carlo_bei_Strom[[#This Row],[Source.Name]],1))="Auszahlung_a","Auszahlung",""),"")</f>
        <v/>
      </c>
      <c r="D1019" s="1"/>
    </row>
    <row r="1020" spans="1:4" x14ac:dyDescent="0.3">
      <c r="A1020" s="1"/>
      <c r="B1020" s="1" t="str">
        <f>IFERROR(IF(LEFT(Sensitivität_bzw_Monte_Carlo_bei_Strom[[#This Row],[Source.Name]],SEARCH("aus_der",Sensitivität_bzw_Monte_Carlo_bei_Strom[[#This Row],[Source.Name]],1))="Auszahlung_a","Auszahlung",""),"")</f>
        <v/>
      </c>
      <c r="D1020" s="1"/>
    </row>
    <row r="1021" spans="1:4" x14ac:dyDescent="0.3">
      <c r="A1021" s="1"/>
      <c r="B1021" s="1" t="str">
        <f>IFERROR(IF(LEFT(Sensitivität_bzw_Monte_Carlo_bei_Strom[[#This Row],[Source.Name]],SEARCH("aus_der",Sensitivität_bzw_Monte_Carlo_bei_Strom[[#This Row],[Source.Name]],1))="Auszahlung_a","Auszahlung",""),"")</f>
        <v/>
      </c>
      <c r="D1021" s="1"/>
    </row>
    <row r="1022" spans="1:4" x14ac:dyDescent="0.3">
      <c r="A1022" s="1"/>
      <c r="B1022" s="1" t="str">
        <f>IFERROR(IF(LEFT(Sensitivität_bzw_Monte_Carlo_bei_Strom[[#This Row],[Source.Name]],SEARCH("aus_der",Sensitivität_bzw_Monte_Carlo_bei_Strom[[#This Row],[Source.Name]],1))="Auszahlung_a","Auszahlung",""),"")</f>
        <v/>
      </c>
      <c r="D1022" s="1"/>
    </row>
    <row r="1023" spans="1:4" x14ac:dyDescent="0.3">
      <c r="A1023" s="1"/>
      <c r="B1023" s="1" t="str">
        <f>IFERROR(IF(LEFT(Sensitivität_bzw_Monte_Carlo_bei_Strom[[#This Row],[Source.Name]],SEARCH("aus_der",Sensitivität_bzw_Monte_Carlo_bei_Strom[[#This Row],[Source.Name]],1))="Auszahlung_a","Auszahlung",""),"")</f>
        <v/>
      </c>
      <c r="D1023" s="1"/>
    </row>
    <row r="1024" spans="1:4" x14ac:dyDescent="0.3">
      <c r="A1024" s="1"/>
      <c r="B1024" s="1" t="str">
        <f>IFERROR(IF(LEFT(Sensitivität_bzw_Monte_Carlo_bei_Strom[[#This Row],[Source.Name]],SEARCH("aus_der",Sensitivität_bzw_Monte_Carlo_bei_Strom[[#This Row],[Source.Name]],1))="Auszahlung_a","Auszahlung",""),"")</f>
        <v/>
      </c>
      <c r="D1024" s="1"/>
    </row>
    <row r="1025" spans="1:4" x14ac:dyDescent="0.3">
      <c r="A1025" s="1"/>
      <c r="B1025" s="1" t="str">
        <f>IFERROR(IF(LEFT(Sensitivität_bzw_Monte_Carlo_bei_Strom[[#This Row],[Source.Name]],SEARCH("aus_der",Sensitivität_bzw_Monte_Carlo_bei_Strom[[#This Row],[Source.Name]],1))="Auszahlung_a","Auszahlung",""),"")</f>
        <v/>
      </c>
      <c r="D1025" s="1"/>
    </row>
    <row r="1026" spans="1:4" x14ac:dyDescent="0.3">
      <c r="A1026" s="1"/>
      <c r="B1026" s="1" t="str">
        <f>IFERROR(IF(LEFT(Sensitivität_bzw_Monte_Carlo_bei_Strom[[#This Row],[Source.Name]],SEARCH("aus_der",Sensitivität_bzw_Monte_Carlo_bei_Strom[[#This Row],[Source.Name]],1))="Auszahlung_a","Auszahlung",""),"")</f>
        <v/>
      </c>
      <c r="D1026" s="1"/>
    </row>
    <row r="1027" spans="1:4" x14ac:dyDescent="0.3">
      <c r="A1027" s="1"/>
      <c r="B1027" s="1" t="str">
        <f>IFERROR(IF(LEFT(Sensitivität_bzw_Monte_Carlo_bei_Strom[[#This Row],[Source.Name]],SEARCH("aus_der",Sensitivität_bzw_Monte_Carlo_bei_Strom[[#This Row],[Source.Name]],1))="Auszahlung_a","Auszahlung",""),"")</f>
        <v/>
      </c>
      <c r="D1027" s="1"/>
    </row>
    <row r="1028" spans="1:4" x14ac:dyDescent="0.3">
      <c r="A1028" s="1"/>
      <c r="B1028" s="1" t="str">
        <f>IFERROR(IF(LEFT(Sensitivität_bzw_Monte_Carlo_bei_Strom[[#This Row],[Source.Name]],SEARCH("aus_der",Sensitivität_bzw_Monte_Carlo_bei_Strom[[#This Row],[Source.Name]],1))="Auszahlung_a","Auszahlung",""),"")</f>
        <v/>
      </c>
      <c r="D1028" s="1"/>
    </row>
    <row r="1029" spans="1:4" x14ac:dyDescent="0.3">
      <c r="A1029" s="1"/>
      <c r="B1029" s="1" t="str">
        <f>IFERROR(IF(LEFT(Sensitivität_bzw_Monte_Carlo_bei_Strom[[#This Row],[Source.Name]],SEARCH("aus_der",Sensitivität_bzw_Monte_Carlo_bei_Strom[[#This Row],[Source.Name]],1))="Auszahlung_a","Auszahlung",""),"")</f>
        <v/>
      </c>
      <c r="D1029" s="1"/>
    </row>
    <row r="1030" spans="1:4" x14ac:dyDescent="0.3">
      <c r="A1030" s="1"/>
      <c r="B1030" s="1" t="str">
        <f>IFERROR(IF(LEFT(Sensitivität_bzw_Monte_Carlo_bei_Strom[[#This Row],[Source.Name]],SEARCH("aus_der",Sensitivität_bzw_Monte_Carlo_bei_Strom[[#This Row],[Source.Name]],1))="Auszahlung_a","Auszahlung",""),"")</f>
        <v/>
      </c>
      <c r="D1030" s="1"/>
    </row>
    <row r="1031" spans="1:4" x14ac:dyDescent="0.3">
      <c r="A1031" s="1"/>
      <c r="B1031" s="1" t="str">
        <f>IFERROR(IF(LEFT(Sensitivität_bzw_Monte_Carlo_bei_Strom[[#This Row],[Source.Name]],SEARCH("aus_der",Sensitivität_bzw_Monte_Carlo_bei_Strom[[#This Row],[Source.Name]],1))="Auszahlung_a","Auszahlung",""),"")</f>
        <v/>
      </c>
      <c r="D1031" s="1"/>
    </row>
    <row r="1032" spans="1:4" x14ac:dyDescent="0.3">
      <c r="A1032" s="1"/>
      <c r="B1032" s="1" t="str">
        <f>IFERROR(IF(LEFT(Sensitivität_bzw_Monte_Carlo_bei_Strom[[#This Row],[Source.Name]],SEARCH("aus_der",Sensitivität_bzw_Monte_Carlo_bei_Strom[[#This Row],[Source.Name]],1))="Auszahlung_a","Auszahlung",""),"")</f>
        <v/>
      </c>
      <c r="D1032" s="1"/>
    </row>
    <row r="1033" spans="1:4" x14ac:dyDescent="0.3">
      <c r="A1033" s="1"/>
      <c r="B1033" s="1" t="str">
        <f>IFERROR(IF(LEFT(Sensitivität_bzw_Monte_Carlo_bei_Strom[[#This Row],[Source.Name]],SEARCH("aus_der",Sensitivität_bzw_Monte_Carlo_bei_Strom[[#This Row],[Source.Name]],1))="Auszahlung_a","Auszahlung",""),"")</f>
        <v/>
      </c>
      <c r="D1033" s="1"/>
    </row>
    <row r="1034" spans="1:4" x14ac:dyDescent="0.3">
      <c r="A1034" s="1"/>
      <c r="B1034" s="1" t="str">
        <f>IFERROR(IF(LEFT(Sensitivität_bzw_Monte_Carlo_bei_Strom[[#This Row],[Source.Name]],SEARCH("aus_der",Sensitivität_bzw_Monte_Carlo_bei_Strom[[#This Row],[Source.Name]],1))="Auszahlung_a","Auszahlung",""),"")</f>
        <v/>
      </c>
      <c r="D1034" s="1"/>
    </row>
    <row r="1035" spans="1:4" x14ac:dyDescent="0.3">
      <c r="A1035" s="1"/>
      <c r="B1035" s="1" t="str">
        <f>IFERROR(IF(LEFT(Sensitivität_bzw_Monte_Carlo_bei_Strom[[#This Row],[Source.Name]],SEARCH("aus_der",Sensitivität_bzw_Monte_Carlo_bei_Strom[[#This Row],[Source.Name]],1))="Auszahlung_a","Auszahlung",""),"")</f>
        <v/>
      </c>
      <c r="D1035" s="1"/>
    </row>
    <row r="1036" spans="1:4" x14ac:dyDescent="0.3">
      <c r="A1036" s="1"/>
      <c r="B1036" s="1" t="str">
        <f>IFERROR(IF(LEFT(Sensitivität_bzw_Monte_Carlo_bei_Strom[[#This Row],[Source.Name]],SEARCH("aus_der",Sensitivität_bzw_Monte_Carlo_bei_Strom[[#This Row],[Source.Name]],1))="Auszahlung_a","Auszahlung",""),"")</f>
        <v/>
      </c>
      <c r="D1036" s="1"/>
    </row>
    <row r="1037" spans="1:4" x14ac:dyDescent="0.3">
      <c r="A1037" s="1"/>
      <c r="B1037" s="1" t="str">
        <f>IFERROR(IF(LEFT(Sensitivität_bzw_Monte_Carlo_bei_Strom[[#This Row],[Source.Name]],SEARCH("aus_der",Sensitivität_bzw_Monte_Carlo_bei_Strom[[#This Row],[Source.Name]],1))="Auszahlung_a","Auszahlung",""),"")</f>
        <v/>
      </c>
      <c r="D1037" s="1"/>
    </row>
    <row r="1038" spans="1:4" x14ac:dyDescent="0.3">
      <c r="A1038" s="1"/>
      <c r="B1038" s="1" t="str">
        <f>IFERROR(IF(LEFT(Sensitivität_bzw_Monte_Carlo_bei_Strom[[#This Row],[Source.Name]],SEARCH("aus_der",Sensitivität_bzw_Monte_Carlo_bei_Strom[[#This Row],[Source.Name]],1))="Auszahlung_a","Auszahlung",""),"")</f>
        <v/>
      </c>
      <c r="D1038" s="1"/>
    </row>
    <row r="1039" spans="1:4" x14ac:dyDescent="0.3">
      <c r="A1039" s="1"/>
      <c r="B1039" s="1" t="str">
        <f>IFERROR(IF(LEFT(Sensitivität_bzw_Monte_Carlo_bei_Strom[[#This Row],[Source.Name]],SEARCH("aus_der",Sensitivität_bzw_Monte_Carlo_bei_Strom[[#This Row],[Source.Name]],1))="Auszahlung_a","Auszahlung",""),"")</f>
        <v/>
      </c>
      <c r="D1039" s="1"/>
    </row>
    <row r="1040" spans="1:4" x14ac:dyDescent="0.3">
      <c r="A1040" s="1"/>
      <c r="B1040" s="1" t="str">
        <f>IFERROR(IF(LEFT(Sensitivität_bzw_Monte_Carlo_bei_Strom[[#This Row],[Source.Name]],SEARCH("aus_der",Sensitivität_bzw_Monte_Carlo_bei_Strom[[#This Row],[Source.Name]],1))="Auszahlung_a","Auszahlung",""),"")</f>
        <v/>
      </c>
      <c r="D1040" s="1"/>
    </row>
    <row r="1041" spans="1:4" x14ac:dyDescent="0.3">
      <c r="A1041" s="1"/>
      <c r="B1041" s="1" t="str">
        <f>IFERROR(IF(LEFT(Sensitivität_bzw_Monte_Carlo_bei_Strom[[#This Row],[Source.Name]],SEARCH("aus_der",Sensitivität_bzw_Monte_Carlo_bei_Strom[[#This Row],[Source.Name]],1))="Auszahlung_a","Auszahlung",""),"")</f>
        <v/>
      </c>
      <c r="D1041" s="1"/>
    </row>
    <row r="1042" spans="1:4" x14ac:dyDescent="0.3">
      <c r="A1042" s="1"/>
      <c r="B1042" s="1" t="str">
        <f>IFERROR(IF(LEFT(Sensitivität_bzw_Monte_Carlo_bei_Strom[[#This Row],[Source.Name]],SEARCH("aus_der",Sensitivität_bzw_Monte_Carlo_bei_Strom[[#This Row],[Source.Name]],1))="Auszahlung_a","Auszahlung",""),"")</f>
        <v/>
      </c>
      <c r="D1042" s="1"/>
    </row>
    <row r="1043" spans="1:4" x14ac:dyDescent="0.3">
      <c r="A1043" s="1"/>
      <c r="B1043" s="1" t="str">
        <f>IFERROR(IF(LEFT(Sensitivität_bzw_Monte_Carlo_bei_Strom[[#This Row],[Source.Name]],SEARCH("aus_der",Sensitivität_bzw_Monte_Carlo_bei_Strom[[#This Row],[Source.Name]],1))="Auszahlung_a","Auszahlung",""),"")</f>
        <v/>
      </c>
      <c r="D1043" s="1"/>
    </row>
    <row r="1044" spans="1:4" x14ac:dyDescent="0.3">
      <c r="A1044" s="1"/>
      <c r="B1044" s="1" t="str">
        <f>IFERROR(IF(LEFT(Sensitivität_bzw_Monte_Carlo_bei_Strom[[#This Row],[Source.Name]],SEARCH("aus_der",Sensitivität_bzw_Monte_Carlo_bei_Strom[[#This Row],[Source.Name]],1))="Auszahlung_a","Auszahlung",""),"")</f>
        <v/>
      </c>
      <c r="D1044" s="1"/>
    </row>
    <row r="1045" spans="1:4" x14ac:dyDescent="0.3">
      <c r="A1045" s="1"/>
      <c r="B1045" s="1" t="str">
        <f>IFERROR(IF(LEFT(Sensitivität_bzw_Monte_Carlo_bei_Strom[[#This Row],[Source.Name]],SEARCH("aus_der",Sensitivität_bzw_Monte_Carlo_bei_Strom[[#This Row],[Source.Name]],1))="Auszahlung_a","Auszahlung",""),"")</f>
        <v/>
      </c>
      <c r="D1045" s="1"/>
    </row>
    <row r="1046" spans="1:4" x14ac:dyDescent="0.3">
      <c r="A1046" s="1"/>
      <c r="B1046" s="1" t="str">
        <f>IFERROR(IF(LEFT(Sensitivität_bzw_Monte_Carlo_bei_Strom[[#This Row],[Source.Name]],SEARCH("aus_der",Sensitivität_bzw_Monte_Carlo_bei_Strom[[#This Row],[Source.Name]],1))="Auszahlung_a","Auszahlung",""),"")</f>
        <v/>
      </c>
      <c r="D1046" s="1"/>
    </row>
    <row r="1047" spans="1:4" x14ac:dyDescent="0.3">
      <c r="A1047" s="1"/>
      <c r="B1047" s="1" t="str">
        <f>IFERROR(IF(LEFT(Sensitivität_bzw_Monte_Carlo_bei_Strom[[#This Row],[Source.Name]],SEARCH("aus_der",Sensitivität_bzw_Monte_Carlo_bei_Strom[[#This Row],[Source.Name]],1))="Auszahlung_a","Auszahlung",""),"")</f>
        <v/>
      </c>
      <c r="D1047" s="1"/>
    </row>
    <row r="1048" spans="1:4" x14ac:dyDescent="0.3">
      <c r="A1048" s="1"/>
      <c r="B1048" s="1" t="str">
        <f>IFERROR(IF(LEFT(Sensitivität_bzw_Monte_Carlo_bei_Strom[[#This Row],[Source.Name]],SEARCH("aus_der",Sensitivität_bzw_Monte_Carlo_bei_Strom[[#This Row],[Source.Name]],1))="Auszahlung_a","Auszahlung",""),"")</f>
        <v/>
      </c>
      <c r="D1048" s="1"/>
    </row>
    <row r="1049" spans="1:4" x14ac:dyDescent="0.3">
      <c r="A1049" s="1"/>
      <c r="B1049" s="1" t="str">
        <f>IFERROR(IF(LEFT(Sensitivität_bzw_Monte_Carlo_bei_Strom[[#This Row],[Source.Name]],SEARCH("aus_der",Sensitivität_bzw_Monte_Carlo_bei_Strom[[#This Row],[Source.Name]],1))="Auszahlung_a","Auszahlung",""),"")</f>
        <v/>
      </c>
      <c r="D1049" s="1"/>
    </row>
    <row r="1050" spans="1:4" x14ac:dyDescent="0.3">
      <c r="A1050" s="1"/>
      <c r="B1050" s="1" t="str">
        <f>IFERROR(IF(LEFT(Sensitivität_bzw_Monte_Carlo_bei_Strom[[#This Row],[Source.Name]],SEARCH("aus_der",Sensitivität_bzw_Monte_Carlo_bei_Strom[[#This Row],[Source.Name]],1))="Auszahlung_a","Auszahlung",""),"")</f>
        <v/>
      </c>
      <c r="D1050" s="1"/>
    </row>
    <row r="1051" spans="1:4" x14ac:dyDescent="0.3">
      <c r="A1051" s="1"/>
      <c r="B1051" s="1" t="str">
        <f>IFERROR(IF(LEFT(Sensitivität_bzw_Monte_Carlo_bei_Strom[[#This Row],[Source.Name]],SEARCH("aus_der",Sensitivität_bzw_Monte_Carlo_bei_Strom[[#This Row],[Source.Name]],1))="Auszahlung_a","Auszahlung",""),"")</f>
        <v/>
      </c>
      <c r="D1051" s="1"/>
    </row>
    <row r="1052" spans="1:4" x14ac:dyDescent="0.3">
      <c r="A1052" s="1"/>
      <c r="B1052" s="1" t="str">
        <f>IFERROR(IF(LEFT(Sensitivität_bzw_Monte_Carlo_bei_Strom[[#This Row],[Source.Name]],SEARCH("aus_der",Sensitivität_bzw_Monte_Carlo_bei_Strom[[#This Row],[Source.Name]],1))="Auszahlung_a","Auszahlung",""),"")</f>
        <v/>
      </c>
      <c r="D1052" s="1"/>
    </row>
    <row r="1053" spans="1:4" x14ac:dyDescent="0.3">
      <c r="A1053" s="1"/>
      <c r="B1053" s="1" t="str">
        <f>IFERROR(IF(LEFT(Sensitivität_bzw_Monte_Carlo_bei_Strom[[#This Row],[Source.Name]],SEARCH("aus_der",Sensitivität_bzw_Monte_Carlo_bei_Strom[[#This Row],[Source.Name]],1))="Auszahlung_a","Auszahlung",""),"")</f>
        <v/>
      </c>
      <c r="D1053" s="1"/>
    </row>
    <row r="1054" spans="1:4" x14ac:dyDescent="0.3">
      <c r="A1054" s="1"/>
      <c r="B1054" s="1" t="str">
        <f>IFERROR(IF(LEFT(Sensitivität_bzw_Monte_Carlo_bei_Strom[[#This Row],[Source.Name]],SEARCH("aus_der",Sensitivität_bzw_Monte_Carlo_bei_Strom[[#This Row],[Source.Name]],1))="Auszahlung_a","Auszahlung",""),"")</f>
        <v/>
      </c>
      <c r="D1054" s="1"/>
    </row>
    <row r="1055" spans="1:4" x14ac:dyDescent="0.3">
      <c r="A1055" s="1"/>
      <c r="B1055" s="1" t="str">
        <f>IFERROR(IF(LEFT(Sensitivität_bzw_Monte_Carlo_bei_Strom[[#This Row],[Source.Name]],SEARCH("aus_der",Sensitivität_bzw_Monte_Carlo_bei_Strom[[#This Row],[Source.Name]],1))="Auszahlung_a","Auszahlung",""),"")</f>
        <v/>
      </c>
      <c r="D1055" s="1"/>
    </row>
    <row r="1056" spans="1:4" x14ac:dyDescent="0.3">
      <c r="A1056" s="1"/>
      <c r="B1056" s="1" t="str">
        <f>IFERROR(IF(LEFT(Sensitivität_bzw_Monte_Carlo_bei_Strom[[#This Row],[Source.Name]],SEARCH("aus_der",Sensitivität_bzw_Monte_Carlo_bei_Strom[[#This Row],[Source.Name]],1))="Auszahlung_a","Auszahlung",""),"")</f>
        <v/>
      </c>
      <c r="D1056" s="1"/>
    </row>
    <row r="1057" spans="1:4" x14ac:dyDescent="0.3">
      <c r="A1057" s="1"/>
      <c r="B1057" s="1" t="str">
        <f>IFERROR(IF(LEFT(Sensitivität_bzw_Monte_Carlo_bei_Strom[[#This Row],[Source.Name]],SEARCH("aus_der",Sensitivität_bzw_Monte_Carlo_bei_Strom[[#This Row],[Source.Name]],1))="Auszahlung_a","Auszahlung",""),"")</f>
        <v/>
      </c>
      <c r="D1057" s="1"/>
    </row>
    <row r="1058" spans="1:4" x14ac:dyDescent="0.3">
      <c r="A1058" s="1"/>
      <c r="B1058" s="1" t="str">
        <f>IFERROR(IF(LEFT(Sensitivität_bzw_Monte_Carlo_bei_Strom[[#This Row],[Source.Name]],SEARCH("aus_der",Sensitivität_bzw_Monte_Carlo_bei_Strom[[#This Row],[Source.Name]],1))="Auszahlung_a","Auszahlung",""),"")</f>
        <v/>
      </c>
      <c r="D1058" s="1"/>
    </row>
    <row r="1059" spans="1:4" x14ac:dyDescent="0.3">
      <c r="A1059" s="1"/>
      <c r="B1059" s="1" t="str">
        <f>IFERROR(IF(LEFT(Sensitivität_bzw_Monte_Carlo_bei_Strom[[#This Row],[Source.Name]],SEARCH("aus_der",Sensitivität_bzw_Monte_Carlo_bei_Strom[[#This Row],[Source.Name]],1))="Auszahlung_a","Auszahlung",""),"")</f>
        <v/>
      </c>
      <c r="D1059" s="1"/>
    </row>
    <row r="1060" spans="1:4" x14ac:dyDescent="0.3">
      <c r="A1060" s="1"/>
      <c r="B1060" s="1" t="str">
        <f>IFERROR(IF(LEFT(Sensitivität_bzw_Monte_Carlo_bei_Strom[[#This Row],[Source.Name]],SEARCH("aus_der",Sensitivität_bzw_Monte_Carlo_bei_Strom[[#This Row],[Source.Name]],1))="Auszahlung_a","Auszahlung",""),"")</f>
        <v/>
      </c>
      <c r="D1060" s="1"/>
    </row>
    <row r="1061" spans="1:4" x14ac:dyDescent="0.3">
      <c r="A1061" s="1"/>
      <c r="B1061" s="1" t="str">
        <f>IFERROR(IF(LEFT(Sensitivität_bzw_Monte_Carlo_bei_Strom[[#This Row],[Source.Name]],SEARCH("aus_der",Sensitivität_bzw_Monte_Carlo_bei_Strom[[#This Row],[Source.Name]],1))="Auszahlung_a","Auszahlung",""),"")</f>
        <v/>
      </c>
      <c r="D1061" s="1"/>
    </row>
    <row r="1062" spans="1:4" x14ac:dyDescent="0.3">
      <c r="A1062" s="1"/>
      <c r="B1062" s="1" t="str">
        <f>IFERROR(IF(LEFT(Sensitivität_bzw_Monte_Carlo_bei_Strom[[#This Row],[Source.Name]],SEARCH("aus_der",Sensitivität_bzw_Monte_Carlo_bei_Strom[[#This Row],[Source.Name]],1))="Auszahlung_a","Auszahlung",""),"")</f>
        <v/>
      </c>
      <c r="D1062" s="1"/>
    </row>
    <row r="1063" spans="1:4" x14ac:dyDescent="0.3">
      <c r="A1063" s="1"/>
      <c r="B1063" s="1" t="str">
        <f>IFERROR(IF(LEFT(Sensitivität_bzw_Monte_Carlo_bei_Strom[[#This Row],[Source.Name]],SEARCH("aus_der",Sensitivität_bzw_Monte_Carlo_bei_Strom[[#This Row],[Source.Name]],1))="Auszahlung_a","Auszahlung",""),"")</f>
        <v/>
      </c>
      <c r="D1063" s="1"/>
    </row>
    <row r="1064" spans="1:4" x14ac:dyDescent="0.3">
      <c r="A1064" s="1"/>
      <c r="B1064" s="1" t="str">
        <f>IFERROR(IF(LEFT(Sensitivität_bzw_Monte_Carlo_bei_Strom[[#This Row],[Source.Name]],SEARCH("aus_der",Sensitivität_bzw_Monte_Carlo_bei_Strom[[#This Row],[Source.Name]],1))="Auszahlung_a","Auszahlung",""),"")</f>
        <v/>
      </c>
      <c r="D1064" s="1"/>
    </row>
    <row r="1065" spans="1:4" x14ac:dyDescent="0.3">
      <c r="A1065" s="1"/>
      <c r="B1065" s="1" t="str">
        <f>IFERROR(IF(LEFT(Sensitivität_bzw_Monte_Carlo_bei_Strom[[#This Row],[Source.Name]],SEARCH("aus_der",Sensitivität_bzw_Monte_Carlo_bei_Strom[[#This Row],[Source.Name]],1))="Auszahlung_a","Auszahlung",""),"")</f>
        <v/>
      </c>
      <c r="D1065" s="1"/>
    </row>
    <row r="1066" spans="1:4" x14ac:dyDescent="0.3">
      <c r="A1066" s="1"/>
      <c r="B1066" s="1" t="str">
        <f>IFERROR(IF(LEFT(Sensitivität_bzw_Monte_Carlo_bei_Strom[[#This Row],[Source.Name]],SEARCH("aus_der",Sensitivität_bzw_Monte_Carlo_bei_Strom[[#This Row],[Source.Name]],1))="Auszahlung_a","Auszahlung",""),"")</f>
        <v/>
      </c>
      <c r="D1066" s="1"/>
    </row>
    <row r="1067" spans="1:4" x14ac:dyDescent="0.3">
      <c r="A1067" s="1"/>
      <c r="B1067" s="1" t="str">
        <f>IFERROR(IF(LEFT(Sensitivität_bzw_Monte_Carlo_bei_Strom[[#This Row],[Source.Name]],SEARCH("aus_der",Sensitivität_bzw_Monte_Carlo_bei_Strom[[#This Row],[Source.Name]],1))="Auszahlung_a","Auszahlung",""),"")</f>
        <v/>
      </c>
      <c r="D1067" s="1"/>
    </row>
    <row r="1068" spans="1:4" x14ac:dyDescent="0.3">
      <c r="A1068" s="1"/>
      <c r="B1068" s="1" t="str">
        <f>IFERROR(IF(LEFT(Sensitivität_bzw_Monte_Carlo_bei_Strom[[#This Row],[Source.Name]],SEARCH("aus_der",Sensitivität_bzw_Monte_Carlo_bei_Strom[[#This Row],[Source.Name]],1))="Auszahlung_a","Auszahlung",""),"")</f>
        <v/>
      </c>
      <c r="D1068" s="1"/>
    </row>
    <row r="1069" spans="1:4" x14ac:dyDescent="0.3">
      <c r="A1069" s="1"/>
      <c r="B1069" s="1" t="str">
        <f>IFERROR(IF(LEFT(Sensitivität_bzw_Monte_Carlo_bei_Strom[[#This Row],[Source.Name]],SEARCH("aus_der",Sensitivität_bzw_Monte_Carlo_bei_Strom[[#This Row],[Source.Name]],1))="Auszahlung_a","Auszahlung",""),"")</f>
        <v/>
      </c>
      <c r="D1069" s="1"/>
    </row>
    <row r="1070" spans="1:4" x14ac:dyDescent="0.3">
      <c r="A1070" s="1"/>
      <c r="B1070" s="1" t="str">
        <f>IFERROR(IF(LEFT(Sensitivität_bzw_Monte_Carlo_bei_Strom[[#This Row],[Source.Name]],SEARCH("aus_der",Sensitivität_bzw_Monte_Carlo_bei_Strom[[#This Row],[Source.Name]],1))="Auszahlung_a","Auszahlung",""),"")</f>
        <v/>
      </c>
      <c r="D1070" s="1"/>
    </row>
    <row r="1071" spans="1:4" x14ac:dyDescent="0.3">
      <c r="A1071" s="1"/>
      <c r="B1071" s="1" t="str">
        <f>IFERROR(IF(LEFT(Sensitivität_bzw_Monte_Carlo_bei_Strom[[#This Row],[Source.Name]],SEARCH("aus_der",Sensitivität_bzw_Monte_Carlo_bei_Strom[[#This Row],[Source.Name]],1))="Auszahlung_a","Auszahlung",""),"")</f>
        <v/>
      </c>
      <c r="D1071" s="1"/>
    </row>
    <row r="1072" spans="1:4" x14ac:dyDescent="0.3">
      <c r="A1072" s="1"/>
      <c r="B1072" s="1" t="str">
        <f>IFERROR(IF(LEFT(Sensitivität_bzw_Monte_Carlo_bei_Strom[[#This Row],[Source.Name]],SEARCH("aus_der",Sensitivität_bzw_Monte_Carlo_bei_Strom[[#This Row],[Source.Name]],1))="Auszahlung_a","Auszahlung",""),"")</f>
        <v/>
      </c>
      <c r="D1072" s="1"/>
    </row>
    <row r="1073" spans="1:4" x14ac:dyDescent="0.3">
      <c r="A1073" s="1"/>
      <c r="B1073" s="1" t="str">
        <f>IFERROR(IF(LEFT(Sensitivität_bzw_Monte_Carlo_bei_Strom[[#This Row],[Source.Name]],SEARCH("aus_der",Sensitivität_bzw_Monte_Carlo_bei_Strom[[#This Row],[Source.Name]],1))="Auszahlung_a","Auszahlung",""),"")</f>
        <v/>
      </c>
      <c r="D1073" s="1"/>
    </row>
    <row r="1074" spans="1:4" x14ac:dyDescent="0.3">
      <c r="A1074" s="1"/>
      <c r="B1074" s="1" t="str">
        <f>IFERROR(IF(LEFT(Sensitivität_bzw_Monte_Carlo_bei_Strom[[#This Row],[Source.Name]],SEARCH("aus_der",Sensitivität_bzw_Monte_Carlo_bei_Strom[[#This Row],[Source.Name]],1))="Auszahlung_a","Auszahlung",""),"")</f>
        <v/>
      </c>
      <c r="D1074" s="1"/>
    </row>
    <row r="1075" spans="1:4" x14ac:dyDescent="0.3">
      <c r="A1075" s="1"/>
      <c r="B1075" s="1" t="str">
        <f>IFERROR(IF(LEFT(Sensitivität_bzw_Monte_Carlo_bei_Strom[[#This Row],[Source.Name]],SEARCH("aus_der",Sensitivität_bzw_Monte_Carlo_bei_Strom[[#This Row],[Source.Name]],1))="Auszahlung_a","Auszahlung",""),"")</f>
        <v/>
      </c>
      <c r="D1075" s="1"/>
    </row>
    <row r="1076" spans="1:4" x14ac:dyDescent="0.3">
      <c r="A1076" s="1"/>
      <c r="B1076" s="1" t="str">
        <f>IFERROR(IF(LEFT(Sensitivität_bzw_Monte_Carlo_bei_Strom[[#This Row],[Source.Name]],SEARCH("aus_der",Sensitivität_bzw_Monte_Carlo_bei_Strom[[#This Row],[Source.Name]],1))="Auszahlung_a","Auszahlung",""),"")</f>
        <v/>
      </c>
      <c r="D1076" s="1"/>
    </row>
    <row r="1077" spans="1:4" x14ac:dyDescent="0.3">
      <c r="A1077" s="1"/>
      <c r="B1077" s="1" t="str">
        <f>IFERROR(IF(LEFT(Sensitivität_bzw_Monte_Carlo_bei_Strom[[#This Row],[Source.Name]],SEARCH("aus_der",Sensitivität_bzw_Monte_Carlo_bei_Strom[[#This Row],[Source.Name]],1))="Auszahlung_a","Auszahlung",""),"")</f>
        <v/>
      </c>
      <c r="D1077" s="1"/>
    </row>
    <row r="1078" spans="1:4" x14ac:dyDescent="0.3">
      <c r="A1078" s="1"/>
      <c r="B1078" s="1" t="str">
        <f>IFERROR(IF(LEFT(Sensitivität_bzw_Monte_Carlo_bei_Strom[[#This Row],[Source.Name]],SEARCH("aus_der",Sensitivität_bzw_Monte_Carlo_bei_Strom[[#This Row],[Source.Name]],1))="Auszahlung_a","Auszahlung",""),"")</f>
        <v/>
      </c>
      <c r="D1078" s="1"/>
    </row>
    <row r="1079" spans="1:4" x14ac:dyDescent="0.3">
      <c r="A1079" s="1"/>
      <c r="B1079" s="1" t="str">
        <f>IFERROR(IF(LEFT(Sensitivität_bzw_Monte_Carlo_bei_Strom[[#This Row],[Source.Name]],SEARCH("aus_der",Sensitivität_bzw_Monte_Carlo_bei_Strom[[#This Row],[Source.Name]],1))="Auszahlung_a","Auszahlung",""),"")</f>
        <v/>
      </c>
      <c r="D1079" s="1"/>
    </row>
    <row r="1080" spans="1:4" x14ac:dyDescent="0.3">
      <c r="A1080" s="1"/>
      <c r="B1080" s="1" t="str">
        <f>IFERROR(IF(LEFT(Sensitivität_bzw_Monte_Carlo_bei_Strom[[#This Row],[Source.Name]],SEARCH("aus_der",Sensitivität_bzw_Monte_Carlo_bei_Strom[[#This Row],[Source.Name]],1))="Auszahlung_a","Auszahlung",""),"")</f>
        <v/>
      </c>
      <c r="D1080" s="1"/>
    </row>
    <row r="1081" spans="1:4" x14ac:dyDescent="0.3">
      <c r="A1081" s="1"/>
      <c r="B1081" s="1" t="str">
        <f>IFERROR(IF(LEFT(Sensitivität_bzw_Monte_Carlo_bei_Strom[[#This Row],[Source.Name]],SEARCH("aus_der",Sensitivität_bzw_Monte_Carlo_bei_Strom[[#This Row],[Source.Name]],1))="Auszahlung_a","Auszahlung",""),"")</f>
        <v/>
      </c>
      <c r="D1081" s="1"/>
    </row>
    <row r="1082" spans="1:4" x14ac:dyDescent="0.3">
      <c r="A1082" s="1"/>
      <c r="B1082" s="1" t="str">
        <f>IFERROR(IF(LEFT(Sensitivität_bzw_Monte_Carlo_bei_Strom[[#This Row],[Source.Name]],SEARCH("aus_der",Sensitivität_bzw_Monte_Carlo_bei_Strom[[#This Row],[Source.Name]],1))="Auszahlung_a","Auszahlung",""),"")</f>
        <v/>
      </c>
      <c r="D1082" s="1"/>
    </row>
    <row r="1083" spans="1:4" x14ac:dyDescent="0.3">
      <c r="A1083" s="1"/>
      <c r="B1083" s="1" t="str">
        <f>IFERROR(IF(LEFT(Sensitivität_bzw_Monte_Carlo_bei_Strom[[#This Row],[Source.Name]],SEARCH("aus_der",Sensitivität_bzw_Monte_Carlo_bei_Strom[[#This Row],[Source.Name]],1))="Auszahlung_a","Auszahlung",""),"")</f>
        <v/>
      </c>
      <c r="D1083" s="1"/>
    </row>
    <row r="1084" spans="1:4" x14ac:dyDescent="0.3">
      <c r="A1084" s="1"/>
      <c r="B1084" s="1" t="str">
        <f>IFERROR(IF(LEFT(Sensitivität_bzw_Monte_Carlo_bei_Strom[[#This Row],[Source.Name]],SEARCH("aus_der",Sensitivität_bzw_Monte_Carlo_bei_Strom[[#This Row],[Source.Name]],1))="Auszahlung_a","Auszahlung",""),"")</f>
        <v/>
      </c>
      <c r="D1084" s="1"/>
    </row>
    <row r="1085" spans="1:4" x14ac:dyDescent="0.3">
      <c r="A1085" s="1"/>
      <c r="B1085" s="1" t="str">
        <f>IFERROR(IF(LEFT(Sensitivität_bzw_Monte_Carlo_bei_Strom[[#This Row],[Source.Name]],SEARCH("aus_der",Sensitivität_bzw_Monte_Carlo_bei_Strom[[#This Row],[Source.Name]],1))="Auszahlung_a","Auszahlung",""),"")</f>
        <v/>
      </c>
      <c r="D1085" s="1"/>
    </row>
    <row r="1086" spans="1:4" x14ac:dyDescent="0.3">
      <c r="A1086" s="1"/>
      <c r="B1086" s="1" t="str">
        <f>IFERROR(IF(LEFT(Sensitivität_bzw_Monte_Carlo_bei_Strom[[#This Row],[Source.Name]],SEARCH("aus_der",Sensitivität_bzw_Monte_Carlo_bei_Strom[[#This Row],[Source.Name]],1))="Auszahlung_a","Auszahlung",""),"")</f>
        <v/>
      </c>
      <c r="D1086" s="1"/>
    </row>
    <row r="1087" spans="1:4" x14ac:dyDescent="0.3">
      <c r="A1087" s="1"/>
      <c r="B1087" s="1" t="str">
        <f>IFERROR(IF(LEFT(Sensitivität_bzw_Monte_Carlo_bei_Strom[[#This Row],[Source.Name]],SEARCH("aus_der",Sensitivität_bzw_Monte_Carlo_bei_Strom[[#This Row],[Source.Name]],1))="Auszahlung_a","Auszahlung",""),"")</f>
        <v/>
      </c>
      <c r="D1087" s="1"/>
    </row>
    <row r="1088" spans="1:4" x14ac:dyDescent="0.3">
      <c r="A1088" s="1"/>
      <c r="B1088" s="1" t="str">
        <f>IFERROR(IF(LEFT(Sensitivität_bzw_Monte_Carlo_bei_Strom[[#This Row],[Source.Name]],SEARCH("aus_der",Sensitivität_bzw_Monte_Carlo_bei_Strom[[#This Row],[Source.Name]],1))="Auszahlung_a","Auszahlung",""),"")</f>
        <v/>
      </c>
      <c r="D1088" s="1"/>
    </row>
    <row r="1089" spans="1:4" x14ac:dyDescent="0.3">
      <c r="A1089" s="1"/>
      <c r="B1089" s="1" t="str">
        <f>IFERROR(IF(LEFT(Sensitivität_bzw_Monte_Carlo_bei_Strom[[#This Row],[Source.Name]],SEARCH("aus_der",Sensitivität_bzw_Monte_Carlo_bei_Strom[[#This Row],[Source.Name]],1))="Auszahlung_a","Auszahlung",""),"")</f>
        <v/>
      </c>
      <c r="D1089" s="1"/>
    </row>
    <row r="1090" spans="1:4" x14ac:dyDescent="0.3">
      <c r="A1090" s="1"/>
      <c r="B1090" s="1" t="str">
        <f>IFERROR(IF(LEFT(Sensitivität_bzw_Monte_Carlo_bei_Strom[[#This Row],[Source.Name]],SEARCH("aus_der",Sensitivität_bzw_Monte_Carlo_bei_Strom[[#This Row],[Source.Name]],1))="Auszahlung_a","Auszahlung",""),"")</f>
        <v/>
      </c>
      <c r="D1090" s="1"/>
    </row>
    <row r="1091" spans="1:4" x14ac:dyDescent="0.3">
      <c r="A1091" s="1"/>
      <c r="B1091" s="1" t="str">
        <f>IFERROR(IF(LEFT(Sensitivität_bzw_Monte_Carlo_bei_Strom[[#This Row],[Source.Name]],SEARCH("aus_der",Sensitivität_bzw_Monte_Carlo_bei_Strom[[#This Row],[Source.Name]],1))="Auszahlung_a","Auszahlung",""),"")</f>
        <v/>
      </c>
      <c r="D1091" s="1"/>
    </row>
    <row r="1092" spans="1:4" x14ac:dyDescent="0.3">
      <c r="A1092" s="1"/>
      <c r="B1092" s="1" t="str">
        <f>IFERROR(IF(LEFT(Sensitivität_bzw_Monte_Carlo_bei_Strom[[#This Row],[Source.Name]],SEARCH("aus_der",Sensitivität_bzw_Monte_Carlo_bei_Strom[[#This Row],[Source.Name]],1))="Auszahlung_a","Auszahlung",""),"")</f>
        <v/>
      </c>
      <c r="D1092" s="1"/>
    </row>
    <row r="1093" spans="1:4" x14ac:dyDescent="0.3">
      <c r="A1093" s="1"/>
      <c r="B1093" s="1" t="str">
        <f>IFERROR(IF(LEFT(Sensitivität_bzw_Monte_Carlo_bei_Strom[[#This Row],[Source.Name]],SEARCH("aus_der",Sensitivität_bzw_Monte_Carlo_bei_Strom[[#This Row],[Source.Name]],1))="Auszahlung_a","Auszahlung",""),"")</f>
        <v/>
      </c>
      <c r="D1093" s="1"/>
    </row>
    <row r="1094" spans="1:4" x14ac:dyDescent="0.3">
      <c r="A1094" s="1"/>
      <c r="B1094" s="1" t="str">
        <f>IFERROR(IF(LEFT(Sensitivität_bzw_Monte_Carlo_bei_Strom[[#This Row],[Source.Name]],SEARCH("aus_der",Sensitivität_bzw_Monte_Carlo_bei_Strom[[#This Row],[Source.Name]],1))="Auszahlung_a","Auszahlung",""),"")</f>
        <v/>
      </c>
      <c r="D1094" s="1"/>
    </row>
    <row r="1095" spans="1:4" x14ac:dyDescent="0.3">
      <c r="A1095" s="1"/>
      <c r="B1095" s="1" t="str">
        <f>IFERROR(IF(LEFT(Sensitivität_bzw_Monte_Carlo_bei_Strom[[#This Row],[Source.Name]],SEARCH("aus_der",Sensitivität_bzw_Monte_Carlo_bei_Strom[[#This Row],[Source.Name]],1))="Auszahlung_a","Auszahlung",""),"")</f>
        <v/>
      </c>
      <c r="D1095" s="1"/>
    </row>
    <row r="1096" spans="1:4" x14ac:dyDescent="0.3">
      <c r="A1096" s="1"/>
      <c r="B1096" s="1" t="str">
        <f>IFERROR(IF(LEFT(Sensitivität_bzw_Monte_Carlo_bei_Strom[[#This Row],[Source.Name]],SEARCH("aus_der",Sensitivität_bzw_Monte_Carlo_bei_Strom[[#This Row],[Source.Name]],1))="Auszahlung_a","Auszahlung",""),"")</f>
        <v/>
      </c>
      <c r="D1096" s="1"/>
    </row>
    <row r="1097" spans="1:4" x14ac:dyDescent="0.3">
      <c r="A1097" s="1"/>
      <c r="B1097" s="1" t="str">
        <f>IFERROR(IF(LEFT(Sensitivität_bzw_Monte_Carlo_bei_Strom[[#This Row],[Source.Name]],SEARCH("aus_der",Sensitivität_bzw_Monte_Carlo_bei_Strom[[#This Row],[Source.Name]],1))="Auszahlung_a","Auszahlung",""),"")</f>
        <v/>
      </c>
      <c r="D1097" s="1"/>
    </row>
    <row r="1098" spans="1:4" x14ac:dyDescent="0.3">
      <c r="A1098" s="1"/>
      <c r="B1098" s="1" t="str">
        <f>IFERROR(IF(LEFT(Sensitivität_bzw_Monte_Carlo_bei_Strom[[#This Row],[Source.Name]],SEARCH("aus_der",Sensitivität_bzw_Monte_Carlo_bei_Strom[[#This Row],[Source.Name]],1))="Auszahlung_a","Auszahlung",""),"")</f>
        <v/>
      </c>
      <c r="D1098" s="1"/>
    </row>
    <row r="1099" spans="1:4" x14ac:dyDescent="0.3">
      <c r="A1099" s="1"/>
      <c r="B1099" s="1" t="str">
        <f>IFERROR(IF(LEFT(Sensitivität_bzw_Monte_Carlo_bei_Strom[[#This Row],[Source.Name]],SEARCH("aus_der",Sensitivität_bzw_Monte_Carlo_bei_Strom[[#This Row],[Source.Name]],1))="Auszahlung_a","Auszahlung",""),"")</f>
        <v/>
      </c>
      <c r="D1099" s="1"/>
    </row>
    <row r="1100" spans="1:4" x14ac:dyDescent="0.3">
      <c r="A1100" s="1"/>
      <c r="B1100" s="1" t="str">
        <f>IFERROR(IF(LEFT(Sensitivität_bzw_Monte_Carlo_bei_Strom[[#This Row],[Source.Name]],SEARCH("aus_der",Sensitivität_bzw_Monte_Carlo_bei_Strom[[#This Row],[Source.Name]],1))="Auszahlung_a","Auszahlung",""),"")</f>
        <v/>
      </c>
      <c r="D1100" s="1"/>
    </row>
    <row r="1101" spans="1:4" x14ac:dyDescent="0.3">
      <c r="A1101" s="1"/>
      <c r="B1101" s="1" t="str">
        <f>IFERROR(IF(LEFT(Sensitivität_bzw_Monte_Carlo_bei_Strom[[#This Row],[Source.Name]],SEARCH("aus_der",Sensitivität_bzw_Monte_Carlo_bei_Strom[[#This Row],[Source.Name]],1))="Auszahlung_a","Auszahlung",""),"")</f>
        <v/>
      </c>
      <c r="D1101" s="1"/>
    </row>
    <row r="1102" spans="1:4" x14ac:dyDescent="0.3">
      <c r="A1102" s="1"/>
      <c r="B1102" s="1" t="str">
        <f>IFERROR(IF(LEFT(Sensitivität_bzw_Monte_Carlo_bei_Strom[[#This Row],[Source.Name]],SEARCH("aus_der",Sensitivität_bzw_Monte_Carlo_bei_Strom[[#This Row],[Source.Name]],1))="Auszahlung_a","Auszahlung",""),"")</f>
        <v/>
      </c>
      <c r="D1102" s="1"/>
    </row>
    <row r="1103" spans="1:4" x14ac:dyDescent="0.3">
      <c r="A1103" s="1"/>
      <c r="B1103" s="1" t="str">
        <f>IFERROR(IF(LEFT(Sensitivität_bzw_Monte_Carlo_bei_Strom[[#This Row],[Source.Name]],SEARCH("aus_der",Sensitivität_bzw_Monte_Carlo_bei_Strom[[#This Row],[Source.Name]],1))="Auszahlung_a","Auszahlung",""),"")</f>
        <v/>
      </c>
      <c r="D1103" s="1"/>
    </row>
    <row r="1104" spans="1:4" x14ac:dyDescent="0.3">
      <c r="A1104" s="1"/>
      <c r="B1104" s="1" t="str">
        <f>IFERROR(IF(LEFT(Sensitivität_bzw_Monte_Carlo_bei_Strom[[#This Row],[Source.Name]],SEARCH("aus_der",Sensitivität_bzw_Monte_Carlo_bei_Strom[[#This Row],[Source.Name]],1))="Auszahlung_a","Auszahlung",""),"")</f>
        <v/>
      </c>
      <c r="D1104" s="1"/>
    </row>
    <row r="1105" spans="1:4" x14ac:dyDescent="0.3">
      <c r="A1105" s="1"/>
      <c r="B1105" s="1" t="str">
        <f>IFERROR(IF(LEFT(Sensitivität_bzw_Monte_Carlo_bei_Strom[[#This Row],[Source.Name]],SEARCH("aus_der",Sensitivität_bzw_Monte_Carlo_bei_Strom[[#This Row],[Source.Name]],1))="Auszahlung_a","Auszahlung",""),"")</f>
        <v/>
      </c>
      <c r="D1105" s="1"/>
    </row>
    <row r="1106" spans="1:4" x14ac:dyDescent="0.3">
      <c r="A1106" s="1"/>
      <c r="B1106" s="1" t="str">
        <f>IFERROR(IF(LEFT(Sensitivität_bzw_Monte_Carlo_bei_Strom[[#This Row],[Source.Name]],SEARCH("aus_der",Sensitivität_bzw_Monte_Carlo_bei_Strom[[#This Row],[Source.Name]],1))="Auszahlung_a","Auszahlung",""),"")</f>
        <v/>
      </c>
      <c r="D1106" s="1"/>
    </row>
    <row r="1107" spans="1:4" x14ac:dyDescent="0.3">
      <c r="A1107" s="1"/>
      <c r="B1107" s="1" t="str">
        <f>IFERROR(IF(LEFT(Sensitivität_bzw_Monte_Carlo_bei_Strom[[#This Row],[Source.Name]],SEARCH("aus_der",Sensitivität_bzw_Monte_Carlo_bei_Strom[[#This Row],[Source.Name]],1))="Auszahlung_a","Auszahlung",""),"")</f>
        <v/>
      </c>
      <c r="D1107" s="1"/>
    </row>
    <row r="1108" spans="1:4" x14ac:dyDescent="0.3">
      <c r="A1108" s="1"/>
      <c r="B1108" s="1" t="str">
        <f>IFERROR(IF(LEFT(Sensitivität_bzw_Monte_Carlo_bei_Strom[[#This Row],[Source.Name]],SEARCH("aus_der",Sensitivität_bzw_Monte_Carlo_bei_Strom[[#This Row],[Source.Name]],1))="Auszahlung_a","Auszahlung",""),"")</f>
        <v/>
      </c>
      <c r="D1108" s="1"/>
    </row>
    <row r="1109" spans="1:4" x14ac:dyDescent="0.3">
      <c r="A1109" s="1"/>
      <c r="B1109" s="1" t="str">
        <f>IFERROR(IF(LEFT(Sensitivität_bzw_Monte_Carlo_bei_Strom[[#This Row],[Source.Name]],SEARCH("aus_der",Sensitivität_bzw_Monte_Carlo_bei_Strom[[#This Row],[Source.Name]],1))="Auszahlung_a","Auszahlung",""),"")</f>
        <v/>
      </c>
      <c r="D1109" s="1"/>
    </row>
    <row r="1110" spans="1:4" x14ac:dyDescent="0.3">
      <c r="A1110" s="1"/>
      <c r="B1110" s="1" t="str">
        <f>IFERROR(IF(LEFT(Sensitivität_bzw_Monte_Carlo_bei_Strom[[#This Row],[Source.Name]],SEARCH("aus_der",Sensitivität_bzw_Monte_Carlo_bei_Strom[[#This Row],[Source.Name]],1))="Auszahlung_a","Auszahlung",""),"")</f>
        <v/>
      </c>
      <c r="D1110" s="1"/>
    </row>
    <row r="1111" spans="1:4" x14ac:dyDescent="0.3">
      <c r="A1111" s="1"/>
      <c r="B1111" s="1" t="str">
        <f>IFERROR(IF(LEFT(Sensitivität_bzw_Monte_Carlo_bei_Strom[[#This Row],[Source.Name]],SEARCH("aus_der",Sensitivität_bzw_Monte_Carlo_bei_Strom[[#This Row],[Source.Name]],1))="Auszahlung_a","Auszahlung",""),"")</f>
        <v/>
      </c>
      <c r="D1111" s="1"/>
    </row>
    <row r="1112" spans="1:4" x14ac:dyDescent="0.3">
      <c r="A1112" s="1"/>
      <c r="B1112" s="1" t="str">
        <f>IFERROR(IF(LEFT(Sensitivität_bzw_Monte_Carlo_bei_Strom[[#This Row],[Source.Name]],SEARCH("aus_der",Sensitivität_bzw_Monte_Carlo_bei_Strom[[#This Row],[Source.Name]],1))="Auszahlung_a","Auszahlung",""),"")</f>
        <v/>
      </c>
      <c r="D1112" s="1"/>
    </row>
    <row r="1113" spans="1:4" x14ac:dyDescent="0.3">
      <c r="A1113" s="1"/>
      <c r="B1113" s="1" t="str">
        <f>IFERROR(IF(LEFT(Sensitivität_bzw_Monte_Carlo_bei_Strom[[#This Row],[Source.Name]],SEARCH("aus_der",Sensitivität_bzw_Monte_Carlo_bei_Strom[[#This Row],[Source.Name]],1))="Auszahlung_a","Auszahlung",""),"")</f>
        <v/>
      </c>
      <c r="D1113" s="1"/>
    </row>
    <row r="1114" spans="1:4" x14ac:dyDescent="0.3">
      <c r="A1114" s="1"/>
      <c r="B1114" s="1" t="str">
        <f>IFERROR(IF(LEFT(Sensitivität_bzw_Monte_Carlo_bei_Strom[[#This Row],[Source.Name]],SEARCH("aus_der",Sensitivität_bzw_Monte_Carlo_bei_Strom[[#This Row],[Source.Name]],1))="Auszahlung_a","Auszahlung",""),"")</f>
        <v/>
      </c>
      <c r="D1114" s="1"/>
    </row>
    <row r="1115" spans="1:4" x14ac:dyDescent="0.3">
      <c r="A1115" s="1"/>
      <c r="B1115" s="1" t="str">
        <f>IFERROR(IF(LEFT(Sensitivität_bzw_Monte_Carlo_bei_Strom[[#This Row],[Source.Name]],SEARCH("aus_der",Sensitivität_bzw_Monte_Carlo_bei_Strom[[#This Row],[Source.Name]],1))="Auszahlung_a","Auszahlung",""),"")</f>
        <v/>
      </c>
      <c r="D1115" s="1"/>
    </row>
    <row r="1116" spans="1:4" x14ac:dyDescent="0.3">
      <c r="A1116" s="1"/>
      <c r="B1116" s="1" t="str">
        <f>IFERROR(IF(LEFT(Sensitivität_bzw_Monte_Carlo_bei_Strom[[#This Row],[Source.Name]],SEARCH("aus_der",Sensitivität_bzw_Monte_Carlo_bei_Strom[[#This Row],[Source.Name]],1))="Auszahlung_a","Auszahlung",""),"")</f>
        <v/>
      </c>
      <c r="D1116" s="1"/>
    </row>
    <row r="1117" spans="1:4" x14ac:dyDescent="0.3">
      <c r="A1117" s="1"/>
      <c r="B1117" s="1" t="str">
        <f>IFERROR(IF(LEFT(Sensitivität_bzw_Monte_Carlo_bei_Strom[[#This Row],[Source.Name]],SEARCH("aus_der",Sensitivität_bzw_Monte_Carlo_bei_Strom[[#This Row],[Source.Name]],1))="Auszahlung_a","Auszahlung",""),"")</f>
        <v/>
      </c>
      <c r="D1117" s="1"/>
    </row>
    <row r="1118" spans="1:4" x14ac:dyDescent="0.3">
      <c r="A1118" s="1"/>
      <c r="B1118" s="1" t="str">
        <f>IFERROR(IF(LEFT(Sensitivität_bzw_Monte_Carlo_bei_Strom[[#This Row],[Source.Name]],SEARCH("aus_der",Sensitivität_bzw_Monte_Carlo_bei_Strom[[#This Row],[Source.Name]],1))="Auszahlung_a","Auszahlung",""),"")</f>
        <v/>
      </c>
      <c r="D1118" s="1"/>
    </row>
    <row r="1119" spans="1:4" x14ac:dyDescent="0.3">
      <c r="A1119" s="1"/>
      <c r="B1119" s="1" t="str">
        <f>IFERROR(IF(LEFT(Sensitivität_bzw_Monte_Carlo_bei_Strom[[#This Row],[Source.Name]],SEARCH("aus_der",Sensitivität_bzw_Monte_Carlo_bei_Strom[[#This Row],[Source.Name]],1))="Auszahlung_a","Auszahlung",""),"")</f>
        <v/>
      </c>
      <c r="D1119" s="1"/>
    </row>
    <row r="1120" spans="1:4" x14ac:dyDescent="0.3">
      <c r="A1120" s="1"/>
      <c r="B1120" s="1" t="str">
        <f>IFERROR(IF(LEFT(Sensitivität_bzw_Monte_Carlo_bei_Strom[[#This Row],[Source.Name]],SEARCH("aus_der",Sensitivität_bzw_Monte_Carlo_bei_Strom[[#This Row],[Source.Name]],1))="Auszahlung_a","Auszahlung",""),"")</f>
        <v/>
      </c>
      <c r="D1120" s="1"/>
    </row>
    <row r="1121" spans="1:4" x14ac:dyDescent="0.3">
      <c r="A1121" s="1"/>
      <c r="B1121" s="1" t="str">
        <f>IFERROR(IF(LEFT(Sensitivität_bzw_Monte_Carlo_bei_Strom[[#This Row],[Source.Name]],SEARCH("aus_der",Sensitivität_bzw_Monte_Carlo_bei_Strom[[#This Row],[Source.Name]],1))="Auszahlung_a","Auszahlung",""),"")</f>
        <v/>
      </c>
      <c r="D1121" s="1"/>
    </row>
    <row r="1122" spans="1:4" x14ac:dyDescent="0.3">
      <c r="A1122" s="1"/>
      <c r="B1122" s="1" t="str">
        <f>IFERROR(IF(LEFT(Sensitivität_bzw_Monte_Carlo_bei_Strom[[#This Row],[Source.Name]],SEARCH("aus_der",Sensitivität_bzw_Monte_Carlo_bei_Strom[[#This Row],[Source.Name]],1))="Auszahlung_a","Auszahlung",""),"")</f>
        <v/>
      </c>
      <c r="D1122" s="1"/>
    </row>
    <row r="1123" spans="1:4" x14ac:dyDescent="0.3">
      <c r="A1123" s="1"/>
      <c r="B1123" s="1" t="str">
        <f>IFERROR(IF(LEFT(Sensitivität_bzw_Monte_Carlo_bei_Strom[[#This Row],[Source.Name]],SEARCH("aus_der",Sensitivität_bzw_Monte_Carlo_bei_Strom[[#This Row],[Source.Name]],1))="Auszahlung_a","Auszahlung",""),"")</f>
        <v/>
      </c>
      <c r="D1123" s="1"/>
    </row>
    <row r="1124" spans="1:4" x14ac:dyDescent="0.3">
      <c r="A1124" s="1"/>
      <c r="B1124" s="1" t="str">
        <f>IFERROR(IF(LEFT(Sensitivität_bzw_Monte_Carlo_bei_Strom[[#This Row],[Source.Name]],SEARCH("aus_der",Sensitivität_bzw_Monte_Carlo_bei_Strom[[#This Row],[Source.Name]],1))="Auszahlung_a","Auszahlung",""),"")</f>
        <v/>
      </c>
      <c r="D1124" s="1"/>
    </row>
    <row r="1125" spans="1:4" x14ac:dyDescent="0.3">
      <c r="A1125" s="1"/>
      <c r="B1125" s="1" t="str">
        <f>IFERROR(IF(LEFT(Sensitivität_bzw_Monte_Carlo_bei_Strom[[#This Row],[Source.Name]],SEARCH("aus_der",Sensitivität_bzw_Monte_Carlo_bei_Strom[[#This Row],[Source.Name]],1))="Auszahlung_a","Auszahlung",""),"")</f>
        <v/>
      </c>
      <c r="D1125" s="1"/>
    </row>
    <row r="1126" spans="1:4" x14ac:dyDescent="0.3">
      <c r="A1126" s="1"/>
      <c r="B1126" s="1" t="str">
        <f>IFERROR(IF(LEFT(Sensitivität_bzw_Monte_Carlo_bei_Strom[[#This Row],[Source.Name]],SEARCH("aus_der",Sensitivität_bzw_Monte_Carlo_bei_Strom[[#This Row],[Source.Name]],1))="Auszahlung_a","Auszahlung",""),"")</f>
        <v/>
      </c>
      <c r="D1126" s="1"/>
    </row>
    <row r="1127" spans="1:4" x14ac:dyDescent="0.3">
      <c r="A1127" s="1"/>
      <c r="B1127" s="1" t="str">
        <f>IFERROR(IF(LEFT(Sensitivität_bzw_Monte_Carlo_bei_Strom[[#This Row],[Source.Name]],SEARCH("aus_der",Sensitivität_bzw_Monte_Carlo_bei_Strom[[#This Row],[Source.Name]],1))="Auszahlung_a","Auszahlung",""),"")</f>
        <v/>
      </c>
      <c r="D1127" s="1"/>
    </row>
    <row r="1128" spans="1:4" x14ac:dyDescent="0.3">
      <c r="A1128" s="1"/>
      <c r="B1128" s="1" t="str">
        <f>IFERROR(IF(LEFT(Sensitivität_bzw_Monte_Carlo_bei_Strom[[#This Row],[Source.Name]],SEARCH("aus_der",Sensitivität_bzw_Monte_Carlo_bei_Strom[[#This Row],[Source.Name]],1))="Auszahlung_a","Auszahlung",""),"")</f>
        <v/>
      </c>
      <c r="D1128" s="1"/>
    </row>
    <row r="1129" spans="1:4" x14ac:dyDescent="0.3">
      <c r="A1129" s="1"/>
      <c r="B1129" s="1" t="str">
        <f>IFERROR(IF(LEFT(Sensitivität_bzw_Monte_Carlo_bei_Strom[[#This Row],[Source.Name]],SEARCH("aus_der",Sensitivität_bzw_Monte_Carlo_bei_Strom[[#This Row],[Source.Name]],1))="Auszahlung_a","Auszahlung",""),"")</f>
        <v/>
      </c>
      <c r="D1129" s="1"/>
    </row>
    <row r="1130" spans="1:4" x14ac:dyDescent="0.3">
      <c r="A1130" s="1"/>
      <c r="B1130" s="1" t="str">
        <f>IFERROR(IF(LEFT(Sensitivität_bzw_Monte_Carlo_bei_Strom[[#This Row],[Source.Name]],SEARCH("aus_der",Sensitivität_bzw_Monte_Carlo_bei_Strom[[#This Row],[Source.Name]],1))="Auszahlung_a","Auszahlung",""),"")</f>
        <v/>
      </c>
      <c r="D1130" s="1"/>
    </row>
    <row r="1131" spans="1:4" x14ac:dyDescent="0.3">
      <c r="A1131" s="1"/>
      <c r="B1131" s="1" t="str">
        <f>IFERROR(IF(LEFT(Sensitivität_bzw_Monte_Carlo_bei_Strom[[#This Row],[Source.Name]],SEARCH("aus_der",Sensitivität_bzw_Monte_Carlo_bei_Strom[[#This Row],[Source.Name]],1))="Auszahlung_a","Auszahlung",""),"")</f>
        <v/>
      </c>
      <c r="D1131" s="1"/>
    </row>
    <row r="1132" spans="1:4" x14ac:dyDescent="0.3">
      <c r="A1132" s="1"/>
      <c r="B1132" s="1" t="str">
        <f>IFERROR(IF(LEFT(Sensitivität_bzw_Monte_Carlo_bei_Strom[[#This Row],[Source.Name]],SEARCH("aus_der",Sensitivität_bzw_Monte_Carlo_bei_Strom[[#This Row],[Source.Name]],1))="Auszahlung_a","Auszahlung",""),"")</f>
        <v/>
      </c>
      <c r="D1132" s="1"/>
    </row>
    <row r="1133" spans="1:4" x14ac:dyDescent="0.3">
      <c r="A1133" s="1"/>
      <c r="B1133" s="1" t="str">
        <f>IFERROR(IF(LEFT(Sensitivität_bzw_Monte_Carlo_bei_Strom[[#This Row],[Source.Name]],SEARCH("aus_der",Sensitivität_bzw_Monte_Carlo_bei_Strom[[#This Row],[Source.Name]],1))="Auszahlung_a","Auszahlung",""),"")</f>
        <v/>
      </c>
      <c r="D1133" s="1"/>
    </row>
    <row r="1134" spans="1:4" x14ac:dyDescent="0.3">
      <c r="A1134" s="1"/>
      <c r="B1134" s="1" t="str">
        <f>IFERROR(IF(LEFT(Sensitivität_bzw_Monte_Carlo_bei_Strom[[#This Row],[Source.Name]],SEARCH("aus_der",Sensitivität_bzw_Monte_Carlo_bei_Strom[[#This Row],[Source.Name]],1))="Auszahlung_a","Auszahlung",""),"")</f>
        <v/>
      </c>
      <c r="D1134" s="1"/>
    </row>
    <row r="1135" spans="1:4" x14ac:dyDescent="0.3">
      <c r="A1135" s="1"/>
      <c r="B1135" s="1" t="str">
        <f>IFERROR(IF(LEFT(Sensitivität_bzw_Monte_Carlo_bei_Strom[[#This Row],[Source.Name]],SEARCH("aus_der",Sensitivität_bzw_Monte_Carlo_bei_Strom[[#This Row],[Source.Name]],1))="Auszahlung_a","Auszahlung",""),"")</f>
        <v/>
      </c>
      <c r="D1135" s="1"/>
    </row>
    <row r="1136" spans="1:4" x14ac:dyDescent="0.3">
      <c r="A1136" s="1"/>
      <c r="B1136" s="1" t="str">
        <f>IFERROR(IF(LEFT(Sensitivität_bzw_Monte_Carlo_bei_Strom[[#This Row],[Source.Name]],SEARCH("aus_der",Sensitivität_bzw_Monte_Carlo_bei_Strom[[#This Row],[Source.Name]],1))="Auszahlung_a","Auszahlung",""),"")</f>
        <v/>
      </c>
      <c r="D1136" s="1"/>
    </row>
    <row r="1137" spans="1:4" x14ac:dyDescent="0.3">
      <c r="A1137" s="1"/>
      <c r="B1137" s="1" t="str">
        <f>IFERROR(IF(LEFT(Sensitivität_bzw_Monte_Carlo_bei_Strom[[#This Row],[Source.Name]],SEARCH("aus_der",Sensitivität_bzw_Monte_Carlo_bei_Strom[[#This Row],[Source.Name]],1))="Auszahlung_a","Auszahlung",""),"")</f>
        <v/>
      </c>
      <c r="D1137" s="1"/>
    </row>
    <row r="1138" spans="1:4" x14ac:dyDescent="0.3">
      <c r="A1138" s="1"/>
      <c r="B1138" s="1" t="str">
        <f>IFERROR(IF(LEFT(Sensitivität_bzw_Monte_Carlo_bei_Strom[[#This Row],[Source.Name]],SEARCH("aus_der",Sensitivität_bzw_Monte_Carlo_bei_Strom[[#This Row],[Source.Name]],1))="Auszahlung_a","Auszahlung",""),"")</f>
        <v/>
      </c>
      <c r="D1138" s="1"/>
    </row>
    <row r="1139" spans="1:4" x14ac:dyDescent="0.3">
      <c r="A1139" s="1"/>
      <c r="B1139" s="1" t="str">
        <f>IFERROR(IF(LEFT(Sensitivität_bzw_Monte_Carlo_bei_Strom[[#This Row],[Source.Name]],SEARCH("aus_der",Sensitivität_bzw_Monte_Carlo_bei_Strom[[#This Row],[Source.Name]],1))="Auszahlung_a","Auszahlung",""),"")</f>
        <v/>
      </c>
      <c r="D1139" s="1"/>
    </row>
    <row r="1140" spans="1:4" x14ac:dyDescent="0.3">
      <c r="A1140" s="1"/>
      <c r="B1140" s="1" t="str">
        <f>IFERROR(IF(LEFT(Sensitivität_bzw_Monte_Carlo_bei_Strom[[#This Row],[Source.Name]],SEARCH("aus_der",Sensitivität_bzw_Monte_Carlo_bei_Strom[[#This Row],[Source.Name]],1))="Auszahlung_a","Auszahlung",""),"")</f>
        <v/>
      </c>
      <c r="D1140" s="1"/>
    </row>
    <row r="1141" spans="1:4" x14ac:dyDescent="0.3">
      <c r="A1141" s="1"/>
      <c r="B1141" s="1" t="str">
        <f>IFERROR(IF(LEFT(Sensitivität_bzw_Monte_Carlo_bei_Strom[[#This Row],[Source.Name]],SEARCH("aus_der",Sensitivität_bzw_Monte_Carlo_bei_Strom[[#This Row],[Source.Name]],1))="Auszahlung_a","Auszahlung",""),"")</f>
        <v/>
      </c>
      <c r="D1141" s="1"/>
    </row>
    <row r="1142" spans="1:4" x14ac:dyDescent="0.3">
      <c r="A1142" s="1"/>
      <c r="B1142" s="1" t="str">
        <f>IFERROR(IF(LEFT(Sensitivität_bzw_Monte_Carlo_bei_Strom[[#This Row],[Source.Name]],SEARCH("aus_der",Sensitivität_bzw_Monte_Carlo_bei_Strom[[#This Row],[Source.Name]],1))="Auszahlung_a","Auszahlung",""),"")</f>
        <v/>
      </c>
      <c r="D1142" s="1"/>
    </row>
    <row r="1143" spans="1:4" x14ac:dyDescent="0.3">
      <c r="A1143" s="1"/>
      <c r="B1143" s="1" t="str">
        <f>IFERROR(IF(LEFT(Sensitivität_bzw_Monte_Carlo_bei_Strom[[#This Row],[Source.Name]],SEARCH("aus_der",Sensitivität_bzw_Monte_Carlo_bei_Strom[[#This Row],[Source.Name]],1))="Auszahlung_a","Auszahlung",""),"")</f>
        <v/>
      </c>
      <c r="D1143" s="1"/>
    </row>
    <row r="1144" spans="1:4" x14ac:dyDescent="0.3">
      <c r="A1144" s="1"/>
      <c r="B1144" s="1" t="str">
        <f>IFERROR(IF(LEFT(Sensitivität_bzw_Monte_Carlo_bei_Strom[[#This Row],[Source.Name]],SEARCH("aus_der",Sensitivität_bzw_Monte_Carlo_bei_Strom[[#This Row],[Source.Name]],1))="Auszahlung_a","Auszahlung",""),"")</f>
        <v/>
      </c>
      <c r="D1144" s="1"/>
    </row>
    <row r="1145" spans="1:4" x14ac:dyDescent="0.3">
      <c r="A1145" s="1"/>
      <c r="B1145" s="1" t="str">
        <f>IFERROR(IF(LEFT(Sensitivität_bzw_Monte_Carlo_bei_Strom[[#This Row],[Source.Name]],SEARCH("aus_der",Sensitivität_bzw_Monte_Carlo_bei_Strom[[#This Row],[Source.Name]],1))="Auszahlung_a","Auszahlung",""),"")</f>
        <v/>
      </c>
      <c r="D1145" s="1"/>
    </row>
    <row r="1146" spans="1:4" x14ac:dyDescent="0.3">
      <c r="A1146" s="1"/>
      <c r="B1146" s="1" t="str">
        <f>IFERROR(IF(LEFT(Sensitivität_bzw_Monte_Carlo_bei_Strom[[#This Row],[Source.Name]],SEARCH("aus_der",Sensitivität_bzw_Monte_Carlo_bei_Strom[[#This Row],[Source.Name]],1))="Auszahlung_a","Auszahlung",""),"")</f>
        <v/>
      </c>
      <c r="D1146" s="1"/>
    </row>
    <row r="1147" spans="1:4" x14ac:dyDescent="0.3">
      <c r="A1147" s="1"/>
      <c r="B1147" s="1" t="str">
        <f>IFERROR(IF(LEFT(Sensitivität_bzw_Monte_Carlo_bei_Strom[[#This Row],[Source.Name]],SEARCH("aus_der",Sensitivität_bzw_Monte_Carlo_bei_Strom[[#This Row],[Source.Name]],1))="Auszahlung_a","Auszahlung",""),"")</f>
        <v/>
      </c>
      <c r="D1147" s="1"/>
    </row>
    <row r="1148" spans="1:4" x14ac:dyDescent="0.3">
      <c r="A1148" s="1"/>
      <c r="B1148" s="1" t="str">
        <f>IFERROR(IF(LEFT(Sensitivität_bzw_Monte_Carlo_bei_Strom[[#This Row],[Source.Name]],SEARCH("aus_der",Sensitivität_bzw_Monte_Carlo_bei_Strom[[#This Row],[Source.Name]],1))="Auszahlung_a","Auszahlung",""),"")</f>
        <v/>
      </c>
      <c r="D1148" s="1"/>
    </row>
    <row r="1149" spans="1:4" x14ac:dyDescent="0.3">
      <c r="A1149" s="1"/>
      <c r="B1149" s="1" t="str">
        <f>IFERROR(IF(LEFT(Sensitivität_bzw_Monte_Carlo_bei_Strom[[#This Row],[Source.Name]],SEARCH("aus_der",Sensitivität_bzw_Monte_Carlo_bei_Strom[[#This Row],[Source.Name]],1))="Auszahlung_a","Auszahlung",""),"")</f>
        <v/>
      </c>
      <c r="D1149" s="1"/>
    </row>
    <row r="1150" spans="1:4" x14ac:dyDescent="0.3">
      <c r="A1150" s="1"/>
      <c r="B1150" s="1" t="str">
        <f>IFERROR(IF(LEFT(Sensitivität_bzw_Monte_Carlo_bei_Strom[[#This Row],[Source.Name]],SEARCH("aus_der",Sensitivität_bzw_Monte_Carlo_bei_Strom[[#This Row],[Source.Name]],1))="Auszahlung_a","Auszahlung",""),"")</f>
        <v/>
      </c>
      <c r="D1150" s="1"/>
    </row>
    <row r="1151" spans="1:4" x14ac:dyDescent="0.3">
      <c r="A1151" s="1"/>
      <c r="B1151" s="1" t="str">
        <f>IFERROR(IF(LEFT(Sensitivität_bzw_Monte_Carlo_bei_Strom[[#This Row],[Source.Name]],SEARCH("aus_der",Sensitivität_bzw_Monte_Carlo_bei_Strom[[#This Row],[Source.Name]],1))="Auszahlung_a","Auszahlung",""),"")</f>
        <v/>
      </c>
      <c r="D1151" s="1"/>
    </row>
    <row r="1152" spans="1:4" x14ac:dyDescent="0.3">
      <c r="A1152" s="1"/>
      <c r="B1152" s="1" t="str">
        <f>IFERROR(IF(LEFT(Sensitivität_bzw_Monte_Carlo_bei_Strom[[#This Row],[Source.Name]],SEARCH("aus_der",Sensitivität_bzw_Monte_Carlo_bei_Strom[[#This Row],[Source.Name]],1))="Auszahlung_a","Auszahlung",""),"")</f>
        <v/>
      </c>
      <c r="D1152" s="1"/>
    </row>
    <row r="1153" spans="1:4" x14ac:dyDescent="0.3">
      <c r="A1153" s="1"/>
      <c r="B1153" s="1" t="str">
        <f>IFERROR(IF(LEFT(Sensitivität_bzw_Monte_Carlo_bei_Strom[[#This Row],[Source.Name]],SEARCH("aus_der",Sensitivität_bzw_Monte_Carlo_bei_Strom[[#This Row],[Source.Name]],1))="Auszahlung_a","Auszahlung",""),"")</f>
        <v/>
      </c>
      <c r="D1153" s="1"/>
    </row>
    <row r="1154" spans="1:4" x14ac:dyDescent="0.3">
      <c r="A1154" s="1"/>
      <c r="B1154" s="1" t="str">
        <f>IFERROR(IF(LEFT(Sensitivität_bzw_Monte_Carlo_bei_Strom[[#This Row],[Source.Name]],SEARCH("aus_der",Sensitivität_bzw_Monte_Carlo_bei_Strom[[#This Row],[Source.Name]],1))="Auszahlung_a","Auszahlung",""),"")</f>
        <v/>
      </c>
      <c r="D1154" s="1"/>
    </row>
    <row r="1155" spans="1:4" x14ac:dyDescent="0.3">
      <c r="A1155" s="1"/>
      <c r="B1155" s="1" t="str">
        <f>IFERROR(IF(LEFT(Sensitivität_bzw_Monte_Carlo_bei_Strom[[#This Row],[Source.Name]],SEARCH("aus_der",Sensitivität_bzw_Monte_Carlo_bei_Strom[[#This Row],[Source.Name]],1))="Auszahlung_a","Auszahlung",""),"")</f>
        <v/>
      </c>
      <c r="D1155" s="1"/>
    </row>
    <row r="1156" spans="1:4" x14ac:dyDescent="0.3">
      <c r="A1156" s="1"/>
      <c r="B1156" s="1" t="str">
        <f>IFERROR(IF(LEFT(Sensitivität_bzw_Monte_Carlo_bei_Strom[[#This Row],[Source.Name]],SEARCH("aus_der",Sensitivität_bzw_Monte_Carlo_bei_Strom[[#This Row],[Source.Name]],1))="Auszahlung_a","Auszahlung",""),"")</f>
        <v/>
      </c>
      <c r="D1156" s="1"/>
    </row>
    <row r="1157" spans="1:4" x14ac:dyDescent="0.3">
      <c r="A1157" s="1"/>
      <c r="B1157" s="1" t="str">
        <f>IFERROR(IF(LEFT(Sensitivität_bzw_Monte_Carlo_bei_Strom[[#This Row],[Source.Name]],SEARCH("aus_der",Sensitivität_bzw_Monte_Carlo_bei_Strom[[#This Row],[Source.Name]],1))="Auszahlung_a","Auszahlung",""),"")</f>
        <v/>
      </c>
      <c r="D1157" s="1"/>
    </row>
    <row r="1158" spans="1:4" x14ac:dyDescent="0.3">
      <c r="A1158" s="1"/>
      <c r="B1158" s="1" t="str">
        <f>IFERROR(IF(LEFT(Sensitivität_bzw_Monte_Carlo_bei_Strom[[#This Row],[Source.Name]],SEARCH("aus_der",Sensitivität_bzw_Monte_Carlo_bei_Strom[[#This Row],[Source.Name]],1))="Auszahlung_a","Auszahlung",""),"")</f>
        <v/>
      </c>
      <c r="D1158" s="1"/>
    </row>
    <row r="1159" spans="1:4" x14ac:dyDescent="0.3">
      <c r="A1159" s="1"/>
      <c r="B1159" s="1" t="str">
        <f>IFERROR(IF(LEFT(Sensitivität_bzw_Monte_Carlo_bei_Strom[[#This Row],[Source.Name]],SEARCH("aus_der",Sensitivität_bzw_Monte_Carlo_bei_Strom[[#This Row],[Source.Name]],1))="Auszahlung_a","Auszahlung",""),"")</f>
        <v/>
      </c>
      <c r="D1159" s="1"/>
    </row>
    <row r="1160" spans="1:4" x14ac:dyDescent="0.3">
      <c r="A1160" s="1"/>
      <c r="B1160" s="1" t="str">
        <f>IFERROR(IF(LEFT(Sensitivität_bzw_Monte_Carlo_bei_Strom[[#This Row],[Source.Name]],SEARCH("aus_der",Sensitivität_bzw_Monte_Carlo_bei_Strom[[#This Row],[Source.Name]],1))="Auszahlung_a","Auszahlung",""),"")</f>
        <v/>
      </c>
      <c r="D1160" s="1"/>
    </row>
    <row r="1161" spans="1:4" x14ac:dyDescent="0.3">
      <c r="A1161" s="1"/>
      <c r="B1161" s="1" t="str">
        <f>IFERROR(IF(LEFT(Sensitivität_bzw_Monte_Carlo_bei_Strom[[#This Row],[Source.Name]],SEARCH("aus_der",Sensitivität_bzw_Monte_Carlo_bei_Strom[[#This Row],[Source.Name]],1))="Auszahlung_a","Auszahlung",""),"")</f>
        <v/>
      </c>
      <c r="D1161" s="1"/>
    </row>
    <row r="1162" spans="1:4" x14ac:dyDescent="0.3">
      <c r="A1162" s="1"/>
      <c r="B1162" s="1" t="str">
        <f>IFERROR(IF(LEFT(Sensitivität_bzw_Monte_Carlo_bei_Strom[[#This Row],[Source.Name]],SEARCH("aus_der",Sensitivität_bzw_Monte_Carlo_bei_Strom[[#This Row],[Source.Name]],1))="Auszahlung_a","Auszahlung",""),"")</f>
        <v/>
      </c>
      <c r="D1162" s="1"/>
    </row>
    <row r="1163" spans="1:4" x14ac:dyDescent="0.3">
      <c r="A1163" s="1"/>
      <c r="B1163" s="1" t="str">
        <f>IFERROR(IF(LEFT(Sensitivität_bzw_Monte_Carlo_bei_Strom[[#This Row],[Source.Name]],SEARCH("aus_der",Sensitivität_bzw_Monte_Carlo_bei_Strom[[#This Row],[Source.Name]],1))="Auszahlung_a","Auszahlung",""),"")</f>
        <v/>
      </c>
      <c r="D1163" s="1"/>
    </row>
    <row r="1164" spans="1:4" x14ac:dyDescent="0.3">
      <c r="A1164" s="1"/>
      <c r="B1164" s="1" t="str">
        <f>IFERROR(IF(LEFT(Sensitivität_bzw_Monte_Carlo_bei_Strom[[#This Row],[Source.Name]],SEARCH("aus_der",Sensitivität_bzw_Monte_Carlo_bei_Strom[[#This Row],[Source.Name]],1))="Auszahlung_a","Auszahlung",""),"")</f>
        <v/>
      </c>
      <c r="D1164" s="1"/>
    </row>
    <row r="1165" spans="1:4" x14ac:dyDescent="0.3">
      <c r="A1165" s="1"/>
      <c r="B1165" s="1" t="str">
        <f>IFERROR(IF(LEFT(Sensitivität_bzw_Monte_Carlo_bei_Strom[[#This Row],[Source.Name]],SEARCH("aus_der",Sensitivität_bzw_Monte_Carlo_bei_Strom[[#This Row],[Source.Name]],1))="Auszahlung_a","Auszahlung",""),"")</f>
        <v/>
      </c>
      <c r="D1165" s="1"/>
    </row>
    <row r="1166" spans="1:4" x14ac:dyDescent="0.3">
      <c r="A1166" s="1"/>
      <c r="B1166" s="1" t="str">
        <f>IFERROR(IF(LEFT(Sensitivität_bzw_Monte_Carlo_bei_Strom[[#This Row],[Source.Name]],SEARCH("aus_der",Sensitivität_bzw_Monte_Carlo_bei_Strom[[#This Row],[Source.Name]],1))="Auszahlung_a","Auszahlung",""),"")</f>
        <v/>
      </c>
      <c r="D1166" s="1"/>
    </row>
    <row r="1167" spans="1:4" x14ac:dyDescent="0.3">
      <c r="A1167" s="1"/>
      <c r="B1167" s="1" t="str">
        <f>IFERROR(IF(LEFT(Sensitivität_bzw_Monte_Carlo_bei_Strom[[#This Row],[Source.Name]],SEARCH("aus_der",Sensitivität_bzw_Monte_Carlo_bei_Strom[[#This Row],[Source.Name]],1))="Auszahlung_a","Auszahlung",""),"")</f>
        <v/>
      </c>
      <c r="D1167" s="1"/>
    </row>
    <row r="1168" spans="1:4" x14ac:dyDescent="0.3">
      <c r="A1168" s="1"/>
      <c r="B1168" s="1" t="str">
        <f>IFERROR(IF(LEFT(Sensitivität_bzw_Monte_Carlo_bei_Strom[[#This Row],[Source.Name]],SEARCH("aus_der",Sensitivität_bzw_Monte_Carlo_bei_Strom[[#This Row],[Source.Name]],1))="Auszahlung_a","Auszahlung",""),"")</f>
        <v/>
      </c>
      <c r="D1168" s="1"/>
    </row>
    <row r="1169" spans="1:4" x14ac:dyDescent="0.3">
      <c r="A1169" s="1"/>
      <c r="B1169" s="1" t="str">
        <f>IFERROR(IF(LEFT(Sensitivität_bzw_Monte_Carlo_bei_Strom[[#This Row],[Source.Name]],SEARCH("aus_der",Sensitivität_bzw_Monte_Carlo_bei_Strom[[#This Row],[Source.Name]],1))="Auszahlung_a","Auszahlung",""),"")</f>
        <v/>
      </c>
      <c r="D1169" s="1"/>
    </row>
    <row r="1170" spans="1:4" x14ac:dyDescent="0.3">
      <c r="A1170" s="1"/>
      <c r="B1170" s="1" t="str">
        <f>IFERROR(IF(LEFT(Sensitivität_bzw_Monte_Carlo_bei_Strom[[#This Row],[Source.Name]],SEARCH("aus_der",Sensitivität_bzw_Monte_Carlo_bei_Strom[[#This Row],[Source.Name]],1))="Auszahlung_a","Auszahlung",""),"")</f>
        <v/>
      </c>
      <c r="D1170" s="1"/>
    </row>
    <row r="1171" spans="1:4" x14ac:dyDescent="0.3">
      <c r="A1171" s="1"/>
      <c r="B1171" s="1" t="str">
        <f>IFERROR(IF(LEFT(Sensitivität_bzw_Monte_Carlo_bei_Strom[[#This Row],[Source.Name]],SEARCH("aus_der",Sensitivität_bzw_Monte_Carlo_bei_Strom[[#This Row],[Source.Name]],1))="Auszahlung_a","Auszahlung",""),"")</f>
        <v/>
      </c>
      <c r="D1171" s="1"/>
    </row>
    <row r="1172" spans="1:4" x14ac:dyDescent="0.3">
      <c r="A1172" s="1"/>
      <c r="B1172" s="1" t="str">
        <f>IFERROR(IF(LEFT(Sensitivität_bzw_Monte_Carlo_bei_Strom[[#This Row],[Source.Name]],SEARCH("aus_der",Sensitivität_bzw_Monte_Carlo_bei_Strom[[#This Row],[Source.Name]],1))="Auszahlung_a","Auszahlung",""),"")</f>
        <v/>
      </c>
      <c r="D1172" s="1"/>
    </row>
    <row r="1173" spans="1:4" x14ac:dyDescent="0.3">
      <c r="A1173" s="1"/>
      <c r="B1173" s="1" t="str">
        <f>IFERROR(IF(LEFT(Sensitivität_bzw_Monte_Carlo_bei_Strom[[#This Row],[Source.Name]],SEARCH("aus_der",Sensitivität_bzw_Monte_Carlo_bei_Strom[[#This Row],[Source.Name]],1))="Auszahlung_a","Auszahlung",""),"")</f>
        <v/>
      </c>
      <c r="D1173" s="1"/>
    </row>
    <row r="1174" spans="1:4" x14ac:dyDescent="0.3">
      <c r="A1174" s="1"/>
      <c r="B1174" s="1" t="str">
        <f>IFERROR(IF(LEFT(Sensitivität_bzw_Monte_Carlo_bei_Strom[[#This Row],[Source.Name]],SEARCH("aus_der",Sensitivität_bzw_Monte_Carlo_bei_Strom[[#This Row],[Source.Name]],1))="Auszahlung_a","Auszahlung",""),"")</f>
        <v/>
      </c>
      <c r="D1174" s="1"/>
    </row>
    <row r="1175" spans="1:4" x14ac:dyDescent="0.3">
      <c r="A1175" s="1"/>
      <c r="B1175" s="1" t="str">
        <f>IFERROR(IF(LEFT(Sensitivität_bzw_Monte_Carlo_bei_Strom[[#This Row],[Source.Name]],SEARCH("aus_der",Sensitivität_bzw_Monte_Carlo_bei_Strom[[#This Row],[Source.Name]],1))="Auszahlung_a","Auszahlung",""),"")</f>
        <v/>
      </c>
      <c r="D1175" s="1"/>
    </row>
    <row r="1176" spans="1:4" x14ac:dyDescent="0.3">
      <c r="A1176" s="1"/>
      <c r="B1176" s="1" t="str">
        <f>IFERROR(IF(LEFT(Sensitivität_bzw_Monte_Carlo_bei_Strom[[#This Row],[Source.Name]],SEARCH("aus_der",Sensitivität_bzw_Monte_Carlo_bei_Strom[[#This Row],[Source.Name]],1))="Auszahlung_a","Auszahlung",""),"")</f>
        <v/>
      </c>
      <c r="D1176" s="1"/>
    </row>
    <row r="1177" spans="1:4" x14ac:dyDescent="0.3">
      <c r="A1177" s="1"/>
      <c r="B1177" s="1" t="str">
        <f>IFERROR(IF(LEFT(Sensitivität_bzw_Monte_Carlo_bei_Strom[[#This Row],[Source.Name]],SEARCH("aus_der",Sensitivität_bzw_Monte_Carlo_bei_Strom[[#This Row],[Source.Name]],1))="Auszahlung_a","Auszahlung",""),"")</f>
        <v/>
      </c>
      <c r="D1177" s="1"/>
    </row>
    <row r="1178" spans="1:4" x14ac:dyDescent="0.3">
      <c r="A1178" s="1"/>
      <c r="B1178" s="1" t="str">
        <f>IFERROR(IF(LEFT(Sensitivität_bzw_Monte_Carlo_bei_Strom[[#This Row],[Source.Name]],SEARCH("aus_der",Sensitivität_bzw_Monte_Carlo_bei_Strom[[#This Row],[Source.Name]],1))="Auszahlung_a","Auszahlung",""),"")</f>
        <v/>
      </c>
      <c r="D1178" s="1"/>
    </row>
    <row r="1179" spans="1:4" x14ac:dyDescent="0.3">
      <c r="A1179" s="1"/>
      <c r="B1179" s="1" t="str">
        <f>IFERROR(IF(LEFT(Sensitivität_bzw_Monte_Carlo_bei_Strom[[#This Row],[Source.Name]],SEARCH("aus_der",Sensitivität_bzw_Monte_Carlo_bei_Strom[[#This Row],[Source.Name]],1))="Auszahlung_a","Auszahlung",""),"")</f>
        <v/>
      </c>
      <c r="D1179" s="1"/>
    </row>
    <row r="1180" spans="1:4" x14ac:dyDescent="0.3">
      <c r="A1180" s="1"/>
      <c r="B1180" s="1" t="str">
        <f>IFERROR(IF(LEFT(Sensitivität_bzw_Monte_Carlo_bei_Strom[[#This Row],[Source.Name]],SEARCH("aus_der",Sensitivität_bzw_Monte_Carlo_bei_Strom[[#This Row],[Source.Name]],1))="Auszahlung_a","Auszahlung",""),"")</f>
        <v/>
      </c>
      <c r="D1180" s="1"/>
    </row>
    <row r="1181" spans="1:4" x14ac:dyDescent="0.3">
      <c r="A1181" s="1"/>
      <c r="B1181" s="1" t="str">
        <f>IFERROR(IF(LEFT(Sensitivität_bzw_Monte_Carlo_bei_Strom[[#This Row],[Source.Name]],SEARCH("aus_der",Sensitivität_bzw_Monte_Carlo_bei_Strom[[#This Row],[Source.Name]],1))="Auszahlung_a","Auszahlung",""),"")</f>
        <v/>
      </c>
      <c r="D1181" s="1"/>
    </row>
    <row r="1182" spans="1:4" x14ac:dyDescent="0.3">
      <c r="A1182" s="1"/>
      <c r="B1182" s="1" t="str">
        <f>IFERROR(IF(LEFT(Sensitivität_bzw_Monte_Carlo_bei_Strom[[#This Row],[Source.Name]],SEARCH("aus_der",Sensitivität_bzw_Monte_Carlo_bei_Strom[[#This Row],[Source.Name]],1))="Auszahlung_a","Auszahlung",""),"")</f>
        <v/>
      </c>
      <c r="D1182" s="1"/>
    </row>
    <row r="1183" spans="1:4" x14ac:dyDescent="0.3">
      <c r="A1183" s="1"/>
      <c r="B1183" s="1" t="str">
        <f>IFERROR(IF(LEFT(Sensitivität_bzw_Monte_Carlo_bei_Strom[[#This Row],[Source.Name]],SEARCH("aus_der",Sensitivität_bzw_Monte_Carlo_bei_Strom[[#This Row],[Source.Name]],1))="Auszahlung_a","Auszahlung",""),"")</f>
        <v/>
      </c>
      <c r="D1183" s="1"/>
    </row>
    <row r="1184" spans="1:4" x14ac:dyDescent="0.3">
      <c r="A1184" s="1"/>
      <c r="B1184" s="1" t="str">
        <f>IFERROR(IF(LEFT(Sensitivität_bzw_Monte_Carlo_bei_Strom[[#This Row],[Source.Name]],SEARCH("aus_der",Sensitivität_bzw_Monte_Carlo_bei_Strom[[#This Row],[Source.Name]],1))="Auszahlung_a","Auszahlung",""),"")</f>
        <v/>
      </c>
      <c r="D1184" s="1"/>
    </row>
    <row r="1185" spans="1:4" x14ac:dyDescent="0.3">
      <c r="A1185" s="1"/>
      <c r="B1185" s="1" t="str">
        <f>IFERROR(IF(LEFT(Sensitivität_bzw_Monte_Carlo_bei_Strom[[#This Row],[Source.Name]],SEARCH("aus_der",Sensitivität_bzw_Monte_Carlo_bei_Strom[[#This Row],[Source.Name]],1))="Auszahlung_a","Auszahlung",""),"")</f>
        <v/>
      </c>
      <c r="D1185" s="1"/>
    </row>
    <row r="1186" spans="1:4" x14ac:dyDescent="0.3">
      <c r="A1186" s="1"/>
      <c r="B1186" s="1" t="str">
        <f>IFERROR(IF(LEFT(Sensitivität_bzw_Monte_Carlo_bei_Strom[[#This Row],[Source.Name]],SEARCH("aus_der",Sensitivität_bzw_Monte_Carlo_bei_Strom[[#This Row],[Source.Name]],1))="Auszahlung_a","Auszahlung",""),"")</f>
        <v/>
      </c>
      <c r="D1186" s="1"/>
    </row>
    <row r="1187" spans="1:4" x14ac:dyDescent="0.3">
      <c r="A1187" s="1"/>
      <c r="B1187" s="1" t="str">
        <f>IFERROR(IF(LEFT(Sensitivität_bzw_Monte_Carlo_bei_Strom[[#This Row],[Source.Name]],SEARCH("aus_der",Sensitivität_bzw_Monte_Carlo_bei_Strom[[#This Row],[Source.Name]],1))="Auszahlung_a","Auszahlung",""),"")</f>
        <v/>
      </c>
      <c r="D1187" s="1"/>
    </row>
    <row r="1188" spans="1:4" x14ac:dyDescent="0.3">
      <c r="A1188" s="1"/>
      <c r="B1188" s="1" t="str">
        <f>IFERROR(IF(LEFT(Sensitivität_bzw_Monte_Carlo_bei_Strom[[#This Row],[Source.Name]],SEARCH("aus_der",Sensitivität_bzw_Monte_Carlo_bei_Strom[[#This Row],[Source.Name]],1))="Auszahlung_a","Auszahlung",""),"")</f>
        <v/>
      </c>
      <c r="D1188" s="1"/>
    </row>
    <row r="1189" spans="1:4" x14ac:dyDescent="0.3">
      <c r="A1189" s="1"/>
      <c r="B1189" s="1" t="str">
        <f>IFERROR(IF(LEFT(Sensitivität_bzw_Monte_Carlo_bei_Strom[[#This Row],[Source.Name]],SEARCH("aus_der",Sensitivität_bzw_Monte_Carlo_bei_Strom[[#This Row],[Source.Name]],1))="Auszahlung_a","Auszahlung",""),"")</f>
        <v/>
      </c>
      <c r="D1189" s="1"/>
    </row>
    <row r="1190" spans="1:4" x14ac:dyDescent="0.3">
      <c r="A1190" s="1"/>
      <c r="B1190" s="1" t="str">
        <f>IFERROR(IF(LEFT(Sensitivität_bzw_Monte_Carlo_bei_Strom[[#This Row],[Source.Name]],SEARCH("aus_der",Sensitivität_bzw_Monte_Carlo_bei_Strom[[#This Row],[Source.Name]],1))="Auszahlung_a","Auszahlung",""),"")</f>
        <v/>
      </c>
      <c r="D1190" s="1"/>
    </row>
    <row r="1191" spans="1:4" x14ac:dyDescent="0.3">
      <c r="A1191" s="1"/>
      <c r="B1191" s="1" t="str">
        <f>IFERROR(IF(LEFT(Sensitivität_bzw_Monte_Carlo_bei_Strom[[#This Row],[Source.Name]],SEARCH("aus_der",Sensitivität_bzw_Monte_Carlo_bei_Strom[[#This Row],[Source.Name]],1))="Auszahlung_a","Auszahlung",""),"")</f>
        <v/>
      </c>
      <c r="D1191" s="1"/>
    </row>
    <row r="1192" spans="1:4" x14ac:dyDescent="0.3">
      <c r="A1192" s="1"/>
      <c r="B1192" s="1" t="str">
        <f>IFERROR(IF(LEFT(Sensitivität_bzw_Monte_Carlo_bei_Strom[[#This Row],[Source.Name]],SEARCH("aus_der",Sensitivität_bzw_Monte_Carlo_bei_Strom[[#This Row],[Source.Name]],1))="Auszahlung_a","Auszahlung",""),"")</f>
        <v/>
      </c>
      <c r="D1192" s="1"/>
    </row>
    <row r="1193" spans="1:4" x14ac:dyDescent="0.3">
      <c r="A1193" s="1"/>
      <c r="B1193" s="1" t="str">
        <f>IFERROR(IF(LEFT(Sensitivität_bzw_Monte_Carlo_bei_Strom[[#This Row],[Source.Name]],SEARCH("aus_der",Sensitivität_bzw_Monte_Carlo_bei_Strom[[#This Row],[Source.Name]],1))="Auszahlung_a","Auszahlung",""),"")</f>
        <v/>
      </c>
      <c r="D1193" s="1"/>
    </row>
    <row r="1194" spans="1:4" x14ac:dyDescent="0.3">
      <c r="A1194" s="1"/>
      <c r="B1194" s="1" t="str">
        <f>IFERROR(IF(LEFT(Sensitivität_bzw_Monte_Carlo_bei_Strom[[#This Row],[Source.Name]],SEARCH("aus_der",Sensitivität_bzw_Monte_Carlo_bei_Strom[[#This Row],[Source.Name]],1))="Auszahlung_a","Auszahlung",""),"")</f>
        <v/>
      </c>
      <c r="D1194" s="1"/>
    </row>
    <row r="1195" spans="1:4" x14ac:dyDescent="0.3">
      <c r="A1195" s="1"/>
      <c r="B1195" s="1" t="str">
        <f>IFERROR(IF(LEFT(Sensitivität_bzw_Monte_Carlo_bei_Strom[[#This Row],[Source.Name]],SEARCH("aus_der",Sensitivität_bzw_Monte_Carlo_bei_Strom[[#This Row],[Source.Name]],1))="Auszahlung_a","Auszahlung",""),"")</f>
        <v/>
      </c>
      <c r="D1195" s="1"/>
    </row>
    <row r="1196" spans="1:4" x14ac:dyDescent="0.3">
      <c r="A1196" s="1"/>
      <c r="B1196" s="1" t="str">
        <f>IFERROR(IF(LEFT(Sensitivität_bzw_Monte_Carlo_bei_Strom[[#This Row],[Source.Name]],SEARCH("aus_der",Sensitivität_bzw_Monte_Carlo_bei_Strom[[#This Row],[Source.Name]],1))="Auszahlung_a","Auszahlung",""),"")</f>
        <v/>
      </c>
      <c r="D1196" s="1"/>
    </row>
    <row r="1197" spans="1:4" x14ac:dyDescent="0.3">
      <c r="A1197" s="1"/>
      <c r="B1197" s="1" t="str">
        <f>IFERROR(IF(LEFT(Sensitivität_bzw_Monte_Carlo_bei_Strom[[#This Row],[Source.Name]],SEARCH("aus_der",Sensitivität_bzw_Monte_Carlo_bei_Strom[[#This Row],[Source.Name]],1))="Auszahlung_a","Auszahlung",""),"")</f>
        <v/>
      </c>
      <c r="D1197" s="1"/>
    </row>
    <row r="1198" spans="1:4" x14ac:dyDescent="0.3">
      <c r="A1198" s="1"/>
      <c r="B1198" s="1" t="str">
        <f>IFERROR(IF(LEFT(Sensitivität_bzw_Monte_Carlo_bei_Strom[[#This Row],[Source.Name]],SEARCH("aus_der",Sensitivität_bzw_Monte_Carlo_bei_Strom[[#This Row],[Source.Name]],1))="Auszahlung_a","Auszahlung",""),"")</f>
        <v/>
      </c>
      <c r="D1198" s="1"/>
    </row>
    <row r="1199" spans="1:4" x14ac:dyDescent="0.3">
      <c r="A1199" s="1"/>
      <c r="B1199" s="1" t="str">
        <f>IFERROR(IF(LEFT(Sensitivität_bzw_Monte_Carlo_bei_Strom[[#This Row],[Source.Name]],SEARCH("aus_der",Sensitivität_bzw_Monte_Carlo_bei_Strom[[#This Row],[Source.Name]],1))="Auszahlung_a","Auszahlung",""),"")</f>
        <v/>
      </c>
      <c r="D1199" s="1"/>
    </row>
    <row r="1200" spans="1:4" x14ac:dyDescent="0.3">
      <c r="A1200" s="1"/>
      <c r="B1200" s="1" t="str">
        <f>IFERROR(IF(LEFT(Sensitivität_bzw_Monte_Carlo_bei_Strom[[#This Row],[Source.Name]],SEARCH("aus_der",Sensitivität_bzw_Monte_Carlo_bei_Strom[[#This Row],[Source.Name]],1))="Auszahlung_a","Auszahlung",""),"")</f>
        <v/>
      </c>
      <c r="D1200" s="1"/>
    </row>
    <row r="1201" spans="1:4" x14ac:dyDescent="0.3">
      <c r="A1201" s="1"/>
      <c r="B1201" s="1" t="str">
        <f>IFERROR(IF(LEFT(Sensitivität_bzw_Monte_Carlo_bei_Strom[[#This Row],[Source.Name]],SEARCH("aus_der",Sensitivität_bzw_Monte_Carlo_bei_Strom[[#This Row],[Source.Name]],1))="Auszahlung_a","Auszahlung",""),"")</f>
        <v/>
      </c>
      <c r="D1201" s="1"/>
    </row>
    <row r="1202" spans="1:4" x14ac:dyDescent="0.3">
      <c r="A1202" s="1"/>
      <c r="B1202" s="1" t="str">
        <f>IFERROR(IF(LEFT(Sensitivität_bzw_Monte_Carlo_bei_Strom[[#This Row],[Source.Name]],SEARCH("aus_der",Sensitivität_bzw_Monte_Carlo_bei_Strom[[#This Row],[Source.Name]],1))="Auszahlung_a","Auszahlung",""),"")</f>
        <v/>
      </c>
      <c r="D1202" s="1"/>
    </row>
    <row r="1203" spans="1:4" x14ac:dyDescent="0.3">
      <c r="A1203" s="1"/>
      <c r="B1203" s="1" t="str">
        <f>IFERROR(IF(LEFT(Sensitivität_bzw_Monte_Carlo_bei_Strom[[#This Row],[Source.Name]],SEARCH("aus_der",Sensitivität_bzw_Monte_Carlo_bei_Strom[[#This Row],[Source.Name]],1))="Auszahlung_a","Auszahlung",""),"")</f>
        <v/>
      </c>
      <c r="D1203" s="1"/>
    </row>
    <row r="1204" spans="1:4" x14ac:dyDescent="0.3">
      <c r="A1204" s="1"/>
      <c r="B1204" s="1" t="str">
        <f>IFERROR(IF(LEFT(Sensitivität_bzw_Monte_Carlo_bei_Strom[[#This Row],[Source.Name]],SEARCH("aus_der",Sensitivität_bzw_Monte_Carlo_bei_Strom[[#This Row],[Source.Name]],1))="Auszahlung_a","Auszahlung",""),"")</f>
        <v/>
      </c>
      <c r="D1204" s="1"/>
    </row>
    <row r="1205" spans="1:4" x14ac:dyDescent="0.3">
      <c r="A1205" s="1"/>
      <c r="B1205" s="1" t="str">
        <f>IFERROR(IF(LEFT(Sensitivität_bzw_Monte_Carlo_bei_Strom[[#This Row],[Source.Name]],SEARCH("aus_der",Sensitivität_bzw_Monte_Carlo_bei_Strom[[#This Row],[Source.Name]],1))="Auszahlung_a","Auszahlung",""),"")</f>
        <v/>
      </c>
      <c r="D1205" s="1"/>
    </row>
    <row r="1206" spans="1:4" x14ac:dyDescent="0.3">
      <c r="A1206" s="1"/>
      <c r="B1206" s="1" t="str">
        <f>IFERROR(IF(LEFT(Sensitivität_bzw_Monte_Carlo_bei_Strom[[#This Row],[Source.Name]],SEARCH("aus_der",Sensitivität_bzw_Monte_Carlo_bei_Strom[[#This Row],[Source.Name]],1))="Auszahlung_a","Auszahlung",""),"")</f>
        <v/>
      </c>
      <c r="D1206" s="1"/>
    </row>
    <row r="1207" spans="1:4" x14ac:dyDescent="0.3">
      <c r="A1207" s="1"/>
      <c r="B1207" s="1" t="str">
        <f>IFERROR(IF(LEFT(Sensitivität_bzw_Monte_Carlo_bei_Strom[[#This Row],[Source.Name]],SEARCH("aus_der",Sensitivität_bzw_Monte_Carlo_bei_Strom[[#This Row],[Source.Name]],1))="Auszahlung_a","Auszahlung",""),"")</f>
        <v/>
      </c>
      <c r="D1207" s="1"/>
    </row>
    <row r="1208" spans="1:4" x14ac:dyDescent="0.3">
      <c r="A1208" s="1"/>
      <c r="B1208" s="1" t="str">
        <f>IFERROR(IF(LEFT(Sensitivität_bzw_Monte_Carlo_bei_Strom[[#This Row],[Source.Name]],SEARCH("aus_der",Sensitivität_bzw_Monte_Carlo_bei_Strom[[#This Row],[Source.Name]],1))="Auszahlung_a","Auszahlung",""),"")</f>
        <v/>
      </c>
      <c r="D1208" s="1"/>
    </row>
    <row r="1209" spans="1:4" x14ac:dyDescent="0.3">
      <c r="A1209" s="1"/>
      <c r="B1209" s="1" t="str">
        <f>IFERROR(IF(LEFT(Sensitivität_bzw_Monte_Carlo_bei_Strom[[#This Row],[Source.Name]],SEARCH("aus_der",Sensitivität_bzw_Monte_Carlo_bei_Strom[[#This Row],[Source.Name]],1))="Auszahlung_a","Auszahlung",""),"")</f>
        <v/>
      </c>
      <c r="D1209" s="1"/>
    </row>
    <row r="1210" spans="1:4" x14ac:dyDescent="0.3">
      <c r="A1210" s="1"/>
      <c r="B1210" s="1" t="str">
        <f>IFERROR(IF(LEFT(Sensitivität_bzw_Monte_Carlo_bei_Strom[[#This Row],[Source.Name]],SEARCH("aus_der",Sensitivität_bzw_Monte_Carlo_bei_Strom[[#This Row],[Source.Name]],1))="Auszahlung_a","Auszahlung",""),"")</f>
        <v/>
      </c>
      <c r="D1210" s="1"/>
    </row>
    <row r="1211" spans="1:4" x14ac:dyDescent="0.3">
      <c r="A1211" s="1"/>
      <c r="B1211" s="1" t="str">
        <f>IFERROR(IF(LEFT(Sensitivität_bzw_Monte_Carlo_bei_Strom[[#This Row],[Source.Name]],SEARCH("aus_der",Sensitivität_bzw_Monte_Carlo_bei_Strom[[#This Row],[Source.Name]],1))="Auszahlung_a","Auszahlung",""),"")</f>
        <v/>
      </c>
      <c r="D1211" s="1"/>
    </row>
    <row r="1212" spans="1:4" x14ac:dyDescent="0.3">
      <c r="A1212" s="1"/>
      <c r="B1212" s="1" t="str">
        <f>IFERROR(IF(LEFT(Sensitivität_bzw_Monte_Carlo_bei_Strom[[#This Row],[Source.Name]],SEARCH("aus_der",Sensitivität_bzw_Monte_Carlo_bei_Strom[[#This Row],[Source.Name]],1))="Auszahlung_a","Auszahlung",""),"")</f>
        <v/>
      </c>
      <c r="D1212" s="1"/>
    </row>
    <row r="1213" spans="1:4" x14ac:dyDescent="0.3">
      <c r="A1213" s="1"/>
      <c r="B1213" s="1" t="str">
        <f>IFERROR(IF(LEFT(Sensitivität_bzw_Monte_Carlo_bei_Strom[[#This Row],[Source.Name]],SEARCH("aus_der",Sensitivität_bzw_Monte_Carlo_bei_Strom[[#This Row],[Source.Name]],1))="Auszahlung_a","Auszahlung",""),"")</f>
        <v/>
      </c>
      <c r="D1213" s="1"/>
    </row>
    <row r="1214" spans="1:4" x14ac:dyDescent="0.3">
      <c r="A1214" s="1"/>
      <c r="B1214" s="1" t="str">
        <f>IFERROR(IF(LEFT(Sensitivität_bzw_Monte_Carlo_bei_Strom[[#This Row],[Source.Name]],SEARCH("aus_der",Sensitivität_bzw_Monte_Carlo_bei_Strom[[#This Row],[Source.Name]],1))="Auszahlung_a","Auszahlung",""),"")</f>
        <v/>
      </c>
      <c r="D1214" s="1"/>
    </row>
    <row r="1215" spans="1:4" x14ac:dyDescent="0.3">
      <c r="A1215" s="1"/>
      <c r="B1215" s="1" t="str">
        <f>IFERROR(IF(LEFT(Sensitivität_bzw_Monte_Carlo_bei_Strom[[#This Row],[Source.Name]],SEARCH("aus_der",Sensitivität_bzw_Monte_Carlo_bei_Strom[[#This Row],[Source.Name]],1))="Auszahlung_a","Auszahlung",""),"")</f>
        <v/>
      </c>
      <c r="D1215" s="1"/>
    </row>
    <row r="1216" spans="1:4" x14ac:dyDescent="0.3">
      <c r="A1216" s="1"/>
      <c r="B1216" s="1" t="str">
        <f>IFERROR(IF(LEFT(Sensitivität_bzw_Monte_Carlo_bei_Strom[[#This Row],[Source.Name]],SEARCH("aus_der",Sensitivität_bzw_Monte_Carlo_bei_Strom[[#This Row],[Source.Name]],1))="Auszahlung_a","Auszahlung",""),"")</f>
        <v/>
      </c>
      <c r="D1216" s="1"/>
    </row>
    <row r="1217" spans="1:4" x14ac:dyDescent="0.3">
      <c r="A1217" s="1"/>
      <c r="B1217" s="1" t="str">
        <f>IFERROR(IF(LEFT(Sensitivität_bzw_Monte_Carlo_bei_Strom[[#This Row],[Source.Name]],SEARCH("aus_der",Sensitivität_bzw_Monte_Carlo_bei_Strom[[#This Row],[Source.Name]],1))="Auszahlung_a","Auszahlung",""),"")</f>
        <v/>
      </c>
      <c r="D1217" s="1"/>
    </row>
    <row r="1218" spans="1:4" x14ac:dyDescent="0.3">
      <c r="A1218" s="1"/>
      <c r="B1218" s="1" t="str">
        <f>IFERROR(IF(LEFT(Sensitivität_bzw_Monte_Carlo_bei_Strom[[#This Row],[Source.Name]],SEARCH("aus_der",Sensitivität_bzw_Monte_Carlo_bei_Strom[[#This Row],[Source.Name]],1))="Auszahlung_a","Auszahlung",""),"")</f>
        <v/>
      </c>
      <c r="D1218" s="1"/>
    </row>
    <row r="1219" spans="1:4" x14ac:dyDescent="0.3">
      <c r="A1219" s="1"/>
      <c r="B1219" s="1" t="str">
        <f>IFERROR(IF(LEFT(Sensitivität_bzw_Monte_Carlo_bei_Strom[[#This Row],[Source.Name]],SEARCH("aus_der",Sensitivität_bzw_Monte_Carlo_bei_Strom[[#This Row],[Source.Name]],1))="Auszahlung_a","Auszahlung",""),"")</f>
        <v/>
      </c>
      <c r="D1219" s="1"/>
    </row>
    <row r="1220" spans="1:4" x14ac:dyDescent="0.3">
      <c r="A1220" s="1"/>
      <c r="B1220" s="1" t="str">
        <f>IFERROR(IF(LEFT(Sensitivität_bzw_Monte_Carlo_bei_Strom[[#This Row],[Source.Name]],SEARCH("aus_der",Sensitivität_bzw_Monte_Carlo_bei_Strom[[#This Row],[Source.Name]],1))="Auszahlung_a","Auszahlung",""),"")</f>
        <v/>
      </c>
      <c r="D1220" s="1"/>
    </row>
    <row r="1221" spans="1:4" x14ac:dyDescent="0.3">
      <c r="A1221" s="1"/>
      <c r="B1221" s="1" t="str">
        <f>IFERROR(IF(LEFT(Sensitivität_bzw_Monte_Carlo_bei_Strom[[#This Row],[Source.Name]],SEARCH("aus_der",Sensitivität_bzw_Monte_Carlo_bei_Strom[[#This Row],[Source.Name]],1))="Auszahlung_a","Auszahlung",""),"")</f>
        <v/>
      </c>
      <c r="D1221" s="1"/>
    </row>
    <row r="1222" spans="1:4" x14ac:dyDescent="0.3">
      <c r="A1222" s="1"/>
      <c r="B1222" s="1" t="str">
        <f>IFERROR(IF(LEFT(Sensitivität_bzw_Monte_Carlo_bei_Strom[[#This Row],[Source.Name]],SEARCH("aus_der",Sensitivität_bzw_Monte_Carlo_bei_Strom[[#This Row],[Source.Name]],1))="Auszahlung_a","Auszahlung",""),"")</f>
        <v/>
      </c>
      <c r="D1222" s="1"/>
    </row>
    <row r="1223" spans="1:4" x14ac:dyDescent="0.3">
      <c r="A1223" s="1"/>
      <c r="B1223" s="1" t="str">
        <f>IFERROR(IF(LEFT(Sensitivität_bzw_Monte_Carlo_bei_Strom[[#This Row],[Source.Name]],SEARCH("aus_der",Sensitivität_bzw_Monte_Carlo_bei_Strom[[#This Row],[Source.Name]],1))="Auszahlung_a","Auszahlung",""),"")</f>
        <v/>
      </c>
      <c r="D1223" s="1"/>
    </row>
    <row r="1224" spans="1:4" x14ac:dyDescent="0.3">
      <c r="A1224" s="1"/>
      <c r="B1224" s="1" t="str">
        <f>IFERROR(IF(LEFT(Sensitivität_bzw_Monte_Carlo_bei_Strom[[#This Row],[Source.Name]],SEARCH("aus_der",Sensitivität_bzw_Monte_Carlo_bei_Strom[[#This Row],[Source.Name]],1))="Auszahlung_a","Auszahlung",""),"")</f>
        <v/>
      </c>
      <c r="D1224" s="1"/>
    </row>
    <row r="1225" spans="1:4" x14ac:dyDescent="0.3">
      <c r="A1225" s="1"/>
      <c r="B1225" s="1" t="str">
        <f>IFERROR(IF(LEFT(Sensitivität_bzw_Monte_Carlo_bei_Strom[[#This Row],[Source.Name]],SEARCH("aus_der",Sensitivität_bzw_Monte_Carlo_bei_Strom[[#This Row],[Source.Name]],1))="Auszahlung_a","Auszahlung",""),"")</f>
        <v/>
      </c>
      <c r="D1225" s="1"/>
    </row>
    <row r="1226" spans="1:4" x14ac:dyDescent="0.3">
      <c r="A1226" s="1"/>
      <c r="B1226" s="1" t="str">
        <f>IFERROR(IF(LEFT(Sensitivität_bzw_Monte_Carlo_bei_Strom[[#This Row],[Source.Name]],SEARCH("aus_der",Sensitivität_bzw_Monte_Carlo_bei_Strom[[#This Row],[Source.Name]],1))="Auszahlung_a","Auszahlung",""),"")</f>
        <v/>
      </c>
      <c r="D1226" s="1"/>
    </row>
    <row r="1227" spans="1:4" x14ac:dyDescent="0.3">
      <c r="A1227" s="1"/>
      <c r="B1227" s="1" t="str">
        <f>IFERROR(IF(LEFT(Sensitivität_bzw_Monte_Carlo_bei_Strom[[#This Row],[Source.Name]],SEARCH("aus_der",Sensitivität_bzw_Monte_Carlo_bei_Strom[[#This Row],[Source.Name]],1))="Auszahlung_a","Auszahlung",""),"")</f>
        <v/>
      </c>
      <c r="D1227" s="1"/>
    </row>
    <row r="1228" spans="1:4" x14ac:dyDescent="0.3">
      <c r="A1228" s="1"/>
      <c r="B1228" s="1" t="str">
        <f>IFERROR(IF(LEFT(Sensitivität_bzw_Monte_Carlo_bei_Strom[[#This Row],[Source.Name]],SEARCH("aus_der",Sensitivität_bzw_Monte_Carlo_bei_Strom[[#This Row],[Source.Name]],1))="Auszahlung_a","Auszahlung",""),"")</f>
        <v/>
      </c>
      <c r="D1228" s="1"/>
    </row>
    <row r="1229" spans="1:4" x14ac:dyDescent="0.3">
      <c r="A1229" s="1"/>
      <c r="B1229" s="1" t="str">
        <f>IFERROR(IF(LEFT(Sensitivität_bzw_Monte_Carlo_bei_Strom[[#This Row],[Source.Name]],SEARCH("aus_der",Sensitivität_bzw_Monte_Carlo_bei_Strom[[#This Row],[Source.Name]],1))="Auszahlung_a","Auszahlung",""),"")</f>
        <v/>
      </c>
      <c r="D1229" s="1"/>
    </row>
    <row r="1230" spans="1:4" x14ac:dyDescent="0.3">
      <c r="A1230" s="1"/>
      <c r="B1230" s="1" t="str">
        <f>IFERROR(IF(LEFT(Sensitivität_bzw_Monte_Carlo_bei_Strom[[#This Row],[Source.Name]],SEARCH("aus_der",Sensitivität_bzw_Monte_Carlo_bei_Strom[[#This Row],[Source.Name]],1))="Auszahlung_a","Auszahlung",""),"")</f>
        <v/>
      </c>
      <c r="D1230" s="1"/>
    </row>
    <row r="1231" spans="1:4" x14ac:dyDescent="0.3">
      <c r="A1231" s="1"/>
      <c r="B1231" s="1" t="str">
        <f>IFERROR(IF(LEFT(Sensitivität_bzw_Monte_Carlo_bei_Strom[[#This Row],[Source.Name]],SEARCH("aus_der",Sensitivität_bzw_Monte_Carlo_bei_Strom[[#This Row],[Source.Name]],1))="Auszahlung_a","Auszahlung",""),"")</f>
        <v/>
      </c>
      <c r="D1231" s="1"/>
    </row>
    <row r="1232" spans="1:4" x14ac:dyDescent="0.3">
      <c r="A1232" s="1"/>
      <c r="B1232" s="1" t="str">
        <f>IFERROR(IF(LEFT(Sensitivität_bzw_Monte_Carlo_bei_Strom[[#This Row],[Source.Name]],SEARCH("aus_der",Sensitivität_bzw_Monte_Carlo_bei_Strom[[#This Row],[Source.Name]],1))="Auszahlung_a","Auszahlung",""),"")</f>
        <v/>
      </c>
      <c r="D1232" s="1"/>
    </row>
    <row r="1233" spans="1:4" x14ac:dyDescent="0.3">
      <c r="A1233" s="1"/>
      <c r="B1233" s="1" t="str">
        <f>IFERROR(IF(LEFT(Sensitivität_bzw_Monte_Carlo_bei_Strom[[#This Row],[Source.Name]],SEARCH("aus_der",Sensitivität_bzw_Monte_Carlo_bei_Strom[[#This Row],[Source.Name]],1))="Auszahlung_a","Auszahlung",""),"")</f>
        <v/>
      </c>
      <c r="D1233" s="1"/>
    </row>
    <row r="1234" spans="1:4" x14ac:dyDescent="0.3">
      <c r="A1234" s="1"/>
      <c r="B1234" s="1" t="str">
        <f>IFERROR(IF(LEFT(Sensitivität_bzw_Monte_Carlo_bei_Strom[[#This Row],[Source.Name]],SEARCH("aus_der",Sensitivität_bzw_Monte_Carlo_bei_Strom[[#This Row],[Source.Name]],1))="Auszahlung_a","Auszahlung",""),"")</f>
        <v/>
      </c>
      <c r="D1234" s="1"/>
    </row>
    <row r="1235" spans="1:4" x14ac:dyDescent="0.3">
      <c r="A1235" s="1"/>
      <c r="B1235" s="1" t="str">
        <f>IFERROR(IF(LEFT(Sensitivität_bzw_Monte_Carlo_bei_Strom[[#This Row],[Source.Name]],SEARCH("aus_der",Sensitivität_bzw_Monte_Carlo_bei_Strom[[#This Row],[Source.Name]],1))="Auszahlung_a","Auszahlung",""),"")</f>
        <v/>
      </c>
      <c r="D1235" s="1"/>
    </row>
    <row r="1236" spans="1:4" x14ac:dyDescent="0.3">
      <c r="A1236" s="1"/>
      <c r="B1236" s="1" t="str">
        <f>IFERROR(IF(LEFT(Sensitivität_bzw_Monte_Carlo_bei_Strom[[#This Row],[Source.Name]],SEARCH("aus_der",Sensitivität_bzw_Monte_Carlo_bei_Strom[[#This Row],[Source.Name]],1))="Auszahlung_a","Auszahlung",""),"")</f>
        <v/>
      </c>
      <c r="D1236" s="1"/>
    </row>
    <row r="1237" spans="1:4" x14ac:dyDescent="0.3">
      <c r="A1237" s="1"/>
      <c r="B1237" s="1" t="str">
        <f>IFERROR(IF(LEFT(Sensitivität_bzw_Monte_Carlo_bei_Strom[[#This Row],[Source.Name]],SEARCH("aus_der",Sensitivität_bzw_Monte_Carlo_bei_Strom[[#This Row],[Source.Name]],1))="Auszahlung_a","Auszahlung",""),"")</f>
        <v/>
      </c>
      <c r="D1237" s="1"/>
    </row>
    <row r="1238" spans="1:4" x14ac:dyDescent="0.3">
      <c r="A1238" s="1"/>
      <c r="B1238" s="1" t="str">
        <f>IFERROR(IF(LEFT(Sensitivität_bzw_Monte_Carlo_bei_Strom[[#This Row],[Source.Name]],SEARCH("aus_der",Sensitivität_bzw_Monte_Carlo_bei_Strom[[#This Row],[Source.Name]],1))="Auszahlung_a","Auszahlung",""),"")</f>
        <v/>
      </c>
      <c r="D1238" s="1"/>
    </row>
    <row r="1239" spans="1:4" x14ac:dyDescent="0.3">
      <c r="A1239" s="1"/>
      <c r="B1239" s="1" t="str">
        <f>IFERROR(IF(LEFT(Sensitivität_bzw_Monte_Carlo_bei_Strom[[#This Row],[Source.Name]],SEARCH("aus_der",Sensitivität_bzw_Monte_Carlo_bei_Strom[[#This Row],[Source.Name]],1))="Auszahlung_a","Auszahlung",""),"")</f>
        <v/>
      </c>
      <c r="D1239" s="1"/>
    </row>
    <row r="1240" spans="1:4" x14ac:dyDescent="0.3">
      <c r="A1240" s="1"/>
      <c r="B1240" s="1" t="str">
        <f>IFERROR(IF(LEFT(Sensitivität_bzw_Monte_Carlo_bei_Strom[[#This Row],[Source.Name]],SEARCH("aus_der",Sensitivität_bzw_Monte_Carlo_bei_Strom[[#This Row],[Source.Name]],1))="Auszahlung_a","Auszahlung",""),"")</f>
        <v/>
      </c>
      <c r="D1240" s="1"/>
    </row>
    <row r="1241" spans="1:4" x14ac:dyDescent="0.3">
      <c r="A1241" s="1"/>
      <c r="B1241" s="1" t="str">
        <f>IFERROR(IF(LEFT(Sensitivität_bzw_Monte_Carlo_bei_Strom[[#This Row],[Source.Name]],SEARCH("aus_der",Sensitivität_bzw_Monte_Carlo_bei_Strom[[#This Row],[Source.Name]],1))="Auszahlung_a","Auszahlung",""),"")</f>
        <v/>
      </c>
      <c r="D1241" s="1"/>
    </row>
    <row r="1242" spans="1:4" x14ac:dyDescent="0.3">
      <c r="A1242" s="1"/>
      <c r="B1242" s="1" t="str">
        <f>IFERROR(IF(LEFT(Sensitivität_bzw_Monte_Carlo_bei_Strom[[#This Row],[Source.Name]],SEARCH("aus_der",Sensitivität_bzw_Monte_Carlo_bei_Strom[[#This Row],[Source.Name]],1))="Auszahlung_a","Auszahlung",""),"")</f>
        <v/>
      </c>
      <c r="D1242" s="1"/>
    </row>
    <row r="1243" spans="1:4" x14ac:dyDescent="0.3">
      <c r="A1243" s="1"/>
      <c r="B1243" s="1" t="str">
        <f>IFERROR(IF(LEFT(Sensitivität_bzw_Monte_Carlo_bei_Strom[[#This Row],[Source.Name]],SEARCH("aus_der",Sensitivität_bzw_Monte_Carlo_bei_Strom[[#This Row],[Source.Name]],1))="Auszahlung_a","Auszahlung",""),"")</f>
        <v/>
      </c>
      <c r="D1243" s="1"/>
    </row>
    <row r="1244" spans="1:4" x14ac:dyDescent="0.3">
      <c r="A1244" s="1"/>
      <c r="B1244" s="1" t="str">
        <f>IFERROR(IF(LEFT(Sensitivität_bzw_Monte_Carlo_bei_Strom[[#This Row],[Source.Name]],SEARCH("aus_der",Sensitivität_bzw_Monte_Carlo_bei_Strom[[#This Row],[Source.Name]],1))="Auszahlung_a","Auszahlung",""),"")</f>
        <v/>
      </c>
      <c r="D1244" s="1"/>
    </row>
    <row r="1245" spans="1:4" x14ac:dyDescent="0.3">
      <c r="A1245" s="1"/>
      <c r="B1245" s="1" t="str">
        <f>IFERROR(IF(LEFT(Sensitivität_bzw_Monte_Carlo_bei_Strom[[#This Row],[Source.Name]],SEARCH("aus_der",Sensitivität_bzw_Monte_Carlo_bei_Strom[[#This Row],[Source.Name]],1))="Auszahlung_a","Auszahlung",""),"")</f>
        <v/>
      </c>
      <c r="D1245" s="1"/>
    </row>
    <row r="1246" spans="1:4" x14ac:dyDescent="0.3">
      <c r="A1246" s="1"/>
      <c r="B1246" s="1" t="str">
        <f>IFERROR(IF(LEFT(Sensitivität_bzw_Monte_Carlo_bei_Strom[[#This Row],[Source.Name]],SEARCH("aus_der",Sensitivität_bzw_Monte_Carlo_bei_Strom[[#This Row],[Source.Name]],1))="Auszahlung_a","Auszahlung",""),"")</f>
        <v/>
      </c>
      <c r="D1246" s="1"/>
    </row>
    <row r="1247" spans="1:4" x14ac:dyDescent="0.3">
      <c r="A1247" s="1"/>
      <c r="B1247" s="1" t="str">
        <f>IFERROR(IF(LEFT(Sensitivität_bzw_Monte_Carlo_bei_Strom[[#This Row],[Source.Name]],SEARCH("aus_der",Sensitivität_bzw_Monte_Carlo_bei_Strom[[#This Row],[Source.Name]],1))="Auszahlung_a","Auszahlung",""),"")</f>
        <v/>
      </c>
      <c r="D1247" s="1"/>
    </row>
    <row r="1248" spans="1:4" x14ac:dyDescent="0.3">
      <c r="A1248" s="1"/>
      <c r="B1248" s="1" t="str">
        <f>IFERROR(IF(LEFT(Sensitivität_bzw_Monte_Carlo_bei_Strom[[#This Row],[Source.Name]],SEARCH("aus_der",Sensitivität_bzw_Monte_Carlo_bei_Strom[[#This Row],[Source.Name]],1))="Auszahlung_a","Auszahlung",""),"")</f>
        <v/>
      </c>
      <c r="D1248" s="1"/>
    </row>
    <row r="1249" spans="1:4" x14ac:dyDescent="0.3">
      <c r="A1249" s="1"/>
      <c r="B1249" s="1" t="str">
        <f>IFERROR(IF(LEFT(Sensitivität_bzw_Monte_Carlo_bei_Strom[[#This Row],[Source.Name]],SEARCH("aus_der",Sensitivität_bzw_Monte_Carlo_bei_Strom[[#This Row],[Source.Name]],1))="Auszahlung_a","Auszahlung",""),"")</f>
        <v/>
      </c>
      <c r="D1249" s="1"/>
    </row>
    <row r="1250" spans="1:4" x14ac:dyDescent="0.3">
      <c r="A1250" s="1"/>
      <c r="B1250" s="1" t="str">
        <f>IFERROR(IF(LEFT(Sensitivität_bzw_Monte_Carlo_bei_Strom[[#This Row],[Source.Name]],SEARCH("aus_der",Sensitivität_bzw_Monte_Carlo_bei_Strom[[#This Row],[Source.Name]],1))="Auszahlung_a","Auszahlung",""),"")</f>
        <v/>
      </c>
      <c r="D1250" s="1"/>
    </row>
    <row r="1251" spans="1:4" x14ac:dyDescent="0.3">
      <c r="A1251" s="1"/>
      <c r="B1251" s="1" t="str">
        <f>IFERROR(IF(LEFT(Sensitivität_bzw_Monte_Carlo_bei_Strom[[#This Row],[Source.Name]],SEARCH("aus_der",Sensitivität_bzw_Monte_Carlo_bei_Strom[[#This Row],[Source.Name]],1))="Auszahlung_a","Auszahlung",""),"")</f>
        <v/>
      </c>
      <c r="D1251" s="1"/>
    </row>
    <row r="1252" spans="1:4" x14ac:dyDescent="0.3">
      <c r="A1252" s="1"/>
      <c r="B1252" s="1" t="str">
        <f>IFERROR(IF(LEFT(Sensitivität_bzw_Monte_Carlo_bei_Strom[[#This Row],[Source.Name]],SEARCH("aus_der",Sensitivität_bzw_Monte_Carlo_bei_Strom[[#This Row],[Source.Name]],1))="Auszahlung_a","Auszahlung",""),"")</f>
        <v/>
      </c>
      <c r="D1252" s="1"/>
    </row>
    <row r="1253" spans="1:4" x14ac:dyDescent="0.3">
      <c r="A1253" s="1"/>
      <c r="B1253" s="1" t="str">
        <f>IFERROR(IF(LEFT(Sensitivität_bzw_Monte_Carlo_bei_Strom[[#This Row],[Source.Name]],SEARCH("aus_der",Sensitivität_bzw_Monte_Carlo_bei_Strom[[#This Row],[Source.Name]],1))="Auszahlung_a","Auszahlung",""),"")</f>
        <v/>
      </c>
      <c r="D1253" s="1"/>
    </row>
    <row r="1254" spans="1:4" x14ac:dyDescent="0.3">
      <c r="A1254" s="1"/>
      <c r="B1254" s="1" t="str">
        <f>IFERROR(IF(LEFT(Sensitivität_bzw_Monte_Carlo_bei_Strom[[#This Row],[Source.Name]],SEARCH("aus_der",Sensitivität_bzw_Monte_Carlo_bei_Strom[[#This Row],[Source.Name]],1))="Auszahlung_a","Auszahlung",""),"")</f>
        <v/>
      </c>
      <c r="D1254" s="1"/>
    </row>
    <row r="1255" spans="1:4" x14ac:dyDescent="0.3">
      <c r="A1255" s="1"/>
      <c r="B1255" s="1" t="str">
        <f>IFERROR(IF(LEFT(Sensitivität_bzw_Monte_Carlo_bei_Strom[[#This Row],[Source.Name]],SEARCH("aus_der",Sensitivität_bzw_Monte_Carlo_bei_Strom[[#This Row],[Source.Name]],1))="Auszahlung_a","Auszahlung",""),"")</f>
        <v/>
      </c>
      <c r="D1255" s="1"/>
    </row>
    <row r="1256" spans="1:4" x14ac:dyDescent="0.3">
      <c r="A1256" s="1"/>
      <c r="B1256" s="1" t="str">
        <f>IFERROR(IF(LEFT(Sensitivität_bzw_Monte_Carlo_bei_Strom[[#This Row],[Source.Name]],SEARCH("aus_der",Sensitivität_bzw_Monte_Carlo_bei_Strom[[#This Row],[Source.Name]],1))="Auszahlung_a","Auszahlung",""),"")</f>
        <v/>
      </c>
      <c r="D1256" s="1"/>
    </row>
    <row r="1257" spans="1:4" x14ac:dyDescent="0.3">
      <c r="A1257" s="1"/>
      <c r="B1257" s="1" t="str">
        <f>IFERROR(IF(LEFT(Sensitivität_bzw_Monte_Carlo_bei_Strom[[#This Row],[Source.Name]],SEARCH("aus_der",Sensitivität_bzw_Monte_Carlo_bei_Strom[[#This Row],[Source.Name]],1))="Auszahlung_a","Auszahlung",""),"")</f>
        <v/>
      </c>
      <c r="D1257" s="1"/>
    </row>
    <row r="1258" spans="1:4" x14ac:dyDescent="0.3">
      <c r="A1258" s="1"/>
      <c r="B1258" s="1" t="str">
        <f>IFERROR(IF(LEFT(Sensitivität_bzw_Monte_Carlo_bei_Strom[[#This Row],[Source.Name]],SEARCH("aus_der",Sensitivität_bzw_Monte_Carlo_bei_Strom[[#This Row],[Source.Name]],1))="Auszahlung_a","Auszahlung",""),"")</f>
        <v/>
      </c>
      <c r="D1258" s="1"/>
    </row>
    <row r="1259" spans="1:4" x14ac:dyDescent="0.3">
      <c r="A1259" s="1"/>
      <c r="B1259" s="1" t="str">
        <f>IFERROR(IF(LEFT(Sensitivität_bzw_Monte_Carlo_bei_Strom[[#This Row],[Source.Name]],SEARCH("aus_der",Sensitivität_bzw_Monte_Carlo_bei_Strom[[#This Row],[Source.Name]],1))="Auszahlung_a","Auszahlung",""),"")</f>
        <v/>
      </c>
      <c r="D1259" s="1"/>
    </row>
    <row r="1260" spans="1:4" x14ac:dyDescent="0.3">
      <c r="A1260" s="1"/>
      <c r="B1260" s="1" t="str">
        <f>IFERROR(IF(LEFT(Sensitivität_bzw_Monte_Carlo_bei_Strom[[#This Row],[Source.Name]],SEARCH("aus_der",Sensitivität_bzw_Monte_Carlo_bei_Strom[[#This Row],[Source.Name]],1))="Auszahlung_a","Auszahlung",""),"")</f>
        <v/>
      </c>
      <c r="D1260" s="1"/>
    </row>
    <row r="1261" spans="1:4" x14ac:dyDescent="0.3">
      <c r="A1261" s="1"/>
      <c r="B1261" s="1" t="str">
        <f>IFERROR(IF(LEFT(Sensitivität_bzw_Monte_Carlo_bei_Strom[[#This Row],[Source.Name]],SEARCH("aus_der",Sensitivität_bzw_Monte_Carlo_bei_Strom[[#This Row],[Source.Name]],1))="Auszahlung_a","Auszahlung",""),"")</f>
        <v/>
      </c>
      <c r="D1261" s="1"/>
    </row>
    <row r="1262" spans="1:4" x14ac:dyDescent="0.3">
      <c r="A1262" s="1"/>
      <c r="B1262" s="1" t="str">
        <f>IFERROR(IF(LEFT(Sensitivität_bzw_Monte_Carlo_bei_Strom[[#This Row],[Source.Name]],SEARCH("aus_der",Sensitivität_bzw_Monte_Carlo_bei_Strom[[#This Row],[Source.Name]],1))="Auszahlung_a","Auszahlung",""),"")</f>
        <v/>
      </c>
      <c r="D1262" s="1"/>
    </row>
    <row r="1263" spans="1:4" x14ac:dyDescent="0.3">
      <c r="A1263" s="1"/>
      <c r="B1263" s="1" t="str">
        <f>IFERROR(IF(LEFT(Sensitivität_bzw_Monte_Carlo_bei_Strom[[#This Row],[Source.Name]],SEARCH("aus_der",Sensitivität_bzw_Monte_Carlo_bei_Strom[[#This Row],[Source.Name]],1))="Auszahlung_a","Auszahlung",""),"")</f>
        <v/>
      </c>
      <c r="D1263" s="1"/>
    </row>
    <row r="1264" spans="1:4" x14ac:dyDescent="0.3">
      <c r="A1264" s="1"/>
      <c r="B1264" s="1" t="str">
        <f>IFERROR(IF(LEFT(Sensitivität_bzw_Monte_Carlo_bei_Strom[[#This Row],[Source.Name]],SEARCH("aus_der",Sensitivität_bzw_Monte_Carlo_bei_Strom[[#This Row],[Source.Name]],1))="Auszahlung_a","Auszahlung",""),"")</f>
        <v/>
      </c>
      <c r="D1264" s="1"/>
    </row>
    <row r="1265" spans="1:4" x14ac:dyDescent="0.3">
      <c r="A1265" s="1"/>
      <c r="B1265" s="1" t="str">
        <f>IFERROR(IF(LEFT(Sensitivität_bzw_Monte_Carlo_bei_Strom[[#This Row],[Source.Name]],SEARCH("aus_der",Sensitivität_bzw_Monte_Carlo_bei_Strom[[#This Row],[Source.Name]],1))="Auszahlung_a","Auszahlung",""),"")</f>
        <v/>
      </c>
      <c r="D1265" s="1"/>
    </row>
    <row r="1266" spans="1:4" x14ac:dyDescent="0.3">
      <c r="A1266" s="1"/>
      <c r="B1266" s="1" t="str">
        <f>IFERROR(IF(LEFT(Sensitivität_bzw_Monte_Carlo_bei_Strom[[#This Row],[Source.Name]],SEARCH("aus_der",Sensitivität_bzw_Monte_Carlo_bei_Strom[[#This Row],[Source.Name]],1))="Auszahlung_a","Auszahlung",""),"")</f>
        <v/>
      </c>
      <c r="D1266" s="1"/>
    </row>
    <row r="1267" spans="1:4" x14ac:dyDescent="0.3">
      <c r="A1267" s="1"/>
      <c r="B1267" s="1" t="str">
        <f>IFERROR(IF(LEFT(Sensitivität_bzw_Monte_Carlo_bei_Strom[[#This Row],[Source.Name]],SEARCH("aus_der",Sensitivität_bzw_Monte_Carlo_bei_Strom[[#This Row],[Source.Name]],1))="Auszahlung_a","Auszahlung",""),"")</f>
        <v/>
      </c>
      <c r="D1267" s="1"/>
    </row>
    <row r="1268" spans="1:4" x14ac:dyDescent="0.3">
      <c r="A1268" s="1"/>
      <c r="B1268" s="1" t="str">
        <f>IFERROR(IF(LEFT(Sensitivität_bzw_Monte_Carlo_bei_Strom[[#This Row],[Source.Name]],SEARCH("aus_der",Sensitivität_bzw_Monte_Carlo_bei_Strom[[#This Row],[Source.Name]],1))="Auszahlung_a","Auszahlung",""),"")</f>
        <v/>
      </c>
      <c r="D1268" s="1"/>
    </row>
    <row r="1269" spans="1:4" x14ac:dyDescent="0.3">
      <c r="A1269" s="1"/>
      <c r="B1269" s="1" t="str">
        <f>IFERROR(IF(LEFT(Sensitivität_bzw_Monte_Carlo_bei_Strom[[#This Row],[Source.Name]],SEARCH("aus_der",Sensitivität_bzw_Monte_Carlo_bei_Strom[[#This Row],[Source.Name]],1))="Auszahlung_a","Auszahlung",""),"")</f>
        <v/>
      </c>
      <c r="D1269" s="1"/>
    </row>
    <row r="1270" spans="1:4" x14ac:dyDescent="0.3">
      <c r="A1270" s="1"/>
      <c r="B1270" s="1" t="str">
        <f>IFERROR(IF(LEFT(Sensitivität_bzw_Monte_Carlo_bei_Strom[[#This Row],[Source.Name]],SEARCH("aus_der",Sensitivität_bzw_Monte_Carlo_bei_Strom[[#This Row],[Source.Name]],1))="Auszahlung_a","Auszahlung",""),"")</f>
        <v/>
      </c>
      <c r="D1270" s="1"/>
    </row>
    <row r="1271" spans="1:4" x14ac:dyDescent="0.3">
      <c r="A1271" s="1"/>
      <c r="B1271" s="1" t="str">
        <f>IFERROR(IF(LEFT(Sensitivität_bzw_Monte_Carlo_bei_Strom[[#This Row],[Source.Name]],SEARCH("aus_der",Sensitivität_bzw_Monte_Carlo_bei_Strom[[#This Row],[Source.Name]],1))="Auszahlung_a","Auszahlung",""),"")</f>
        <v/>
      </c>
      <c r="D1271" s="1"/>
    </row>
    <row r="1272" spans="1:4" x14ac:dyDescent="0.3">
      <c r="A1272" s="1"/>
      <c r="B1272" s="1" t="str">
        <f>IFERROR(IF(LEFT(Sensitivität_bzw_Monte_Carlo_bei_Strom[[#This Row],[Source.Name]],SEARCH("aus_der",Sensitivität_bzw_Monte_Carlo_bei_Strom[[#This Row],[Source.Name]],1))="Auszahlung_a","Auszahlung",""),"")</f>
        <v/>
      </c>
      <c r="D1272" s="1"/>
    </row>
    <row r="1273" spans="1:4" x14ac:dyDescent="0.3">
      <c r="A1273" s="1"/>
      <c r="B1273" s="1" t="str">
        <f>IFERROR(IF(LEFT(Sensitivität_bzw_Monte_Carlo_bei_Strom[[#This Row],[Source.Name]],SEARCH("aus_der",Sensitivität_bzw_Monte_Carlo_bei_Strom[[#This Row],[Source.Name]],1))="Auszahlung_a","Auszahlung",""),"")</f>
        <v/>
      </c>
      <c r="D1273" s="1"/>
    </row>
    <row r="1274" spans="1:4" x14ac:dyDescent="0.3">
      <c r="A1274" s="1"/>
      <c r="B1274" s="1" t="str">
        <f>IFERROR(IF(LEFT(Sensitivität_bzw_Monte_Carlo_bei_Strom[[#This Row],[Source.Name]],SEARCH("aus_der",Sensitivität_bzw_Monte_Carlo_bei_Strom[[#This Row],[Source.Name]],1))="Auszahlung_a","Auszahlung",""),"")</f>
        <v/>
      </c>
      <c r="D1274" s="1"/>
    </row>
    <row r="1275" spans="1:4" x14ac:dyDescent="0.3">
      <c r="A1275" s="1"/>
      <c r="B1275" s="1" t="str">
        <f>IFERROR(IF(LEFT(Sensitivität_bzw_Monte_Carlo_bei_Strom[[#This Row],[Source.Name]],SEARCH("aus_der",Sensitivität_bzw_Monte_Carlo_bei_Strom[[#This Row],[Source.Name]],1))="Auszahlung_a","Auszahlung",""),"")</f>
        <v/>
      </c>
      <c r="D1275" s="1"/>
    </row>
    <row r="1276" spans="1:4" x14ac:dyDescent="0.3">
      <c r="A1276" s="1"/>
      <c r="B1276" s="1" t="str">
        <f>IFERROR(IF(LEFT(Sensitivität_bzw_Monte_Carlo_bei_Strom[[#This Row],[Source.Name]],SEARCH("aus_der",Sensitivität_bzw_Monte_Carlo_bei_Strom[[#This Row],[Source.Name]],1))="Auszahlung_a","Auszahlung",""),"")</f>
        <v/>
      </c>
      <c r="D1276" s="1"/>
    </row>
    <row r="1277" spans="1:4" x14ac:dyDescent="0.3">
      <c r="A1277" s="1"/>
      <c r="B1277" s="1" t="str">
        <f>IFERROR(IF(LEFT(Sensitivität_bzw_Monte_Carlo_bei_Strom[[#This Row],[Source.Name]],SEARCH("aus_der",Sensitivität_bzw_Monte_Carlo_bei_Strom[[#This Row],[Source.Name]],1))="Auszahlung_a","Auszahlung",""),"")</f>
        <v/>
      </c>
      <c r="D1277" s="1"/>
    </row>
    <row r="1278" spans="1:4" x14ac:dyDescent="0.3">
      <c r="A1278" s="1"/>
      <c r="B1278" s="1" t="str">
        <f>IFERROR(IF(LEFT(Sensitivität_bzw_Monte_Carlo_bei_Strom[[#This Row],[Source.Name]],SEARCH("aus_der",Sensitivität_bzw_Monte_Carlo_bei_Strom[[#This Row],[Source.Name]],1))="Auszahlung_a","Auszahlung",""),"")</f>
        <v/>
      </c>
      <c r="D1278" s="1"/>
    </row>
    <row r="1279" spans="1:4" x14ac:dyDescent="0.3">
      <c r="A1279" s="1"/>
      <c r="B1279" s="1" t="str">
        <f>IFERROR(IF(LEFT(Sensitivität_bzw_Monte_Carlo_bei_Strom[[#This Row],[Source.Name]],SEARCH("aus_der",Sensitivität_bzw_Monte_Carlo_bei_Strom[[#This Row],[Source.Name]],1))="Auszahlung_a","Auszahlung",""),"")</f>
        <v/>
      </c>
      <c r="D1279" s="1"/>
    </row>
    <row r="1280" spans="1:4" x14ac:dyDescent="0.3">
      <c r="A1280" s="1"/>
      <c r="B1280" s="1" t="str">
        <f>IFERROR(IF(LEFT(Sensitivität_bzw_Monte_Carlo_bei_Strom[[#This Row],[Source.Name]],SEARCH("aus_der",Sensitivität_bzw_Monte_Carlo_bei_Strom[[#This Row],[Source.Name]],1))="Auszahlung_a","Auszahlung",""),"")</f>
        <v/>
      </c>
      <c r="D1280" s="1"/>
    </row>
    <row r="1281" spans="1:4" x14ac:dyDescent="0.3">
      <c r="A1281" s="1"/>
      <c r="B1281" s="1" t="str">
        <f>IFERROR(IF(LEFT(Sensitivität_bzw_Monte_Carlo_bei_Strom[[#This Row],[Source.Name]],SEARCH("aus_der",Sensitivität_bzw_Monte_Carlo_bei_Strom[[#This Row],[Source.Name]],1))="Auszahlung_a","Auszahlung",""),"")</f>
        <v/>
      </c>
      <c r="D1281" s="1"/>
    </row>
    <row r="1282" spans="1:4" x14ac:dyDescent="0.3">
      <c r="A1282" s="1"/>
      <c r="B1282" s="1" t="str">
        <f>IFERROR(IF(LEFT(Sensitivität_bzw_Monte_Carlo_bei_Strom[[#This Row],[Source.Name]],SEARCH("aus_der",Sensitivität_bzw_Monte_Carlo_bei_Strom[[#This Row],[Source.Name]],1))="Auszahlung_a","Auszahlung",""),"")</f>
        <v/>
      </c>
      <c r="D1282" s="1"/>
    </row>
    <row r="1283" spans="1:4" x14ac:dyDescent="0.3">
      <c r="A1283" s="1"/>
      <c r="B1283" s="1" t="str">
        <f>IFERROR(IF(LEFT(Sensitivität_bzw_Monte_Carlo_bei_Strom[[#This Row],[Source.Name]],SEARCH("aus_der",Sensitivität_bzw_Monte_Carlo_bei_Strom[[#This Row],[Source.Name]],1))="Auszahlung_a","Auszahlung",""),"")</f>
        <v/>
      </c>
      <c r="D1283" s="1"/>
    </row>
    <row r="1284" spans="1:4" x14ac:dyDescent="0.3">
      <c r="A1284" s="1"/>
      <c r="B1284" s="1" t="str">
        <f>IFERROR(IF(LEFT(Sensitivität_bzw_Monte_Carlo_bei_Strom[[#This Row],[Source.Name]],SEARCH("aus_der",Sensitivität_bzw_Monte_Carlo_bei_Strom[[#This Row],[Source.Name]],1))="Auszahlung_a","Auszahlung",""),"")</f>
        <v/>
      </c>
      <c r="D1284" s="1"/>
    </row>
    <row r="1285" spans="1:4" x14ac:dyDescent="0.3">
      <c r="A1285" s="1"/>
      <c r="B1285" s="1" t="str">
        <f>IFERROR(IF(LEFT(Sensitivität_bzw_Monte_Carlo_bei_Strom[[#This Row],[Source.Name]],SEARCH("aus_der",Sensitivität_bzw_Monte_Carlo_bei_Strom[[#This Row],[Source.Name]],1))="Auszahlung_a","Auszahlung",""),"")</f>
        <v/>
      </c>
      <c r="D1285" s="1"/>
    </row>
    <row r="1286" spans="1:4" x14ac:dyDescent="0.3">
      <c r="A1286" s="1"/>
      <c r="B1286" s="1" t="str">
        <f>IFERROR(IF(LEFT(Sensitivität_bzw_Monte_Carlo_bei_Strom[[#This Row],[Source.Name]],SEARCH("aus_der",Sensitivität_bzw_Monte_Carlo_bei_Strom[[#This Row],[Source.Name]],1))="Auszahlung_a","Auszahlung",""),"")</f>
        <v/>
      </c>
      <c r="D1286" s="1"/>
    </row>
    <row r="1287" spans="1:4" x14ac:dyDescent="0.3">
      <c r="A1287" s="1"/>
      <c r="B1287" s="1" t="str">
        <f>IFERROR(IF(LEFT(Sensitivität_bzw_Monte_Carlo_bei_Strom[[#This Row],[Source.Name]],SEARCH("aus_der",Sensitivität_bzw_Monte_Carlo_bei_Strom[[#This Row],[Source.Name]],1))="Auszahlung_a","Auszahlung",""),"")</f>
        <v/>
      </c>
      <c r="D1287" s="1"/>
    </row>
    <row r="1288" spans="1:4" x14ac:dyDescent="0.3">
      <c r="A1288" s="1"/>
      <c r="B1288" s="1" t="str">
        <f>IFERROR(IF(LEFT(Sensitivität_bzw_Monte_Carlo_bei_Strom[[#This Row],[Source.Name]],SEARCH("aus_der",Sensitivität_bzw_Monte_Carlo_bei_Strom[[#This Row],[Source.Name]],1))="Auszahlung_a","Auszahlung",""),"")</f>
        <v/>
      </c>
      <c r="D1288" s="1"/>
    </row>
    <row r="1289" spans="1:4" x14ac:dyDescent="0.3">
      <c r="A1289" s="1"/>
      <c r="B1289" s="1" t="str">
        <f>IFERROR(IF(LEFT(Sensitivität_bzw_Monte_Carlo_bei_Strom[[#This Row],[Source.Name]],SEARCH("aus_der",Sensitivität_bzw_Monte_Carlo_bei_Strom[[#This Row],[Source.Name]],1))="Auszahlung_a","Auszahlung",""),"")</f>
        <v/>
      </c>
      <c r="D1289" s="1"/>
    </row>
    <row r="1290" spans="1:4" x14ac:dyDescent="0.3">
      <c r="A1290" s="1"/>
      <c r="B1290" s="1" t="str">
        <f>IFERROR(IF(LEFT(Sensitivität_bzw_Monte_Carlo_bei_Strom[[#This Row],[Source.Name]],SEARCH("aus_der",Sensitivität_bzw_Monte_Carlo_bei_Strom[[#This Row],[Source.Name]],1))="Auszahlung_a","Auszahlung",""),"")</f>
        <v/>
      </c>
      <c r="D1290" s="1"/>
    </row>
    <row r="1291" spans="1:4" x14ac:dyDescent="0.3">
      <c r="A1291" s="1"/>
      <c r="B1291" s="1" t="str">
        <f>IFERROR(IF(LEFT(Sensitivität_bzw_Monte_Carlo_bei_Strom[[#This Row],[Source.Name]],SEARCH("aus_der",Sensitivität_bzw_Monte_Carlo_bei_Strom[[#This Row],[Source.Name]],1))="Auszahlung_a","Auszahlung",""),"")</f>
        <v/>
      </c>
      <c r="D1291" s="1"/>
    </row>
    <row r="1292" spans="1:4" x14ac:dyDescent="0.3">
      <c r="A1292" s="1"/>
      <c r="B1292" s="1" t="str">
        <f>IFERROR(IF(LEFT(Sensitivität_bzw_Monte_Carlo_bei_Strom[[#This Row],[Source.Name]],SEARCH("aus_der",Sensitivität_bzw_Monte_Carlo_bei_Strom[[#This Row],[Source.Name]],1))="Auszahlung_a","Auszahlung",""),"")</f>
        <v/>
      </c>
      <c r="D1292" s="1"/>
    </row>
    <row r="1293" spans="1:4" x14ac:dyDescent="0.3">
      <c r="A1293" s="1"/>
      <c r="B1293" s="1" t="str">
        <f>IFERROR(IF(LEFT(Sensitivität_bzw_Monte_Carlo_bei_Strom[[#This Row],[Source.Name]],SEARCH("aus_der",Sensitivität_bzw_Monte_Carlo_bei_Strom[[#This Row],[Source.Name]],1))="Auszahlung_a","Auszahlung",""),"")</f>
        <v/>
      </c>
      <c r="D1293" s="1"/>
    </row>
    <row r="1294" spans="1:4" x14ac:dyDescent="0.3">
      <c r="A1294" s="1"/>
      <c r="B1294" s="1" t="str">
        <f>IFERROR(IF(LEFT(Sensitivität_bzw_Monte_Carlo_bei_Strom[[#This Row],[Source.Name]],SEARCH("aus_der",Sensitivität_bzw_Monte_Carlo_bei_Strom[[#This Row],[Source.Name]],1))="Auszahlung_a","Auszahlung",""),"")</f>
        <v/>
      </c>
      <c r="D1294" s="1"/>
    </row>
    <row r="1295" spans="1:4" x14ac:dyDescent="0.3">
      <c r="A1295" s="1"/>
      <c r="B1295" s="1" t="str">
        <f>IFERROR(IF(LEFT(Sensitivität_bzw_Monte_Carlo_bei_Strom[[#This Row],[Source.Name]],SEARCH("aus_der",Sensitivität_bzw_Monte_Carlo_bei_Strom[[#This Row],[Source.Name]],1))="Auszahlung_a","Auszahlung",""),"")</f>
        <v/>
      </c>
      <c r="D1295" s="1"/>
    </row>
    <row r="1296" spans="1:4" x14ac:dyDescent="0.3">
      <c r="A1296" s="1"/>
      <c r="B1296" s="1" t="str">
        <f>IFERROR(IF(LEFT(Sensitivität_bzw_Monte_Carlo_bei_Strom[[#This Row],[Source.Name]],SEARCH("aus_der",Sensitivität_bzw_Monte_Carlo_bei_Strom[[#This Row],[Source.Name]],1))="Auszahlung_a","Auszahlung",""),"")</f>
        <v/>
      </c>
      <c r="D1296" s="1"/>
    </row>
    <row r="1297" spans="1:4" x14ac:dyDescent="0.3">
      <c r="A1297" s="1"/>
      <c r="B1297" s="1" t="str">
        <f>IFERROR(IF(LEFT(Sensitivität_bzw_Monte_Carlo_bei_Strom[[#This Row],[Source.Name]],SEARCH("aus_der",Sensitivität_bzw_Monte_Carlo_bei_Strom[[#This Row],[Source.Name]],1))="Auszahlung_a","Auszahlung",""),"")</f>
        <v/>
      </c>
      <c r="D1297" s="1"/>
    </row>
    <row r="1298" spans="1:4" x14ac:dyDescent="0.3">
      <c r="A1298" s="1"/>
      <c r="B1298" s="1" t="str">
        <f>IFERROR(IF(LEFT(Sensitivität_bzw_Monte_Carlo_bei_Strom[[#This Row],[Source.Name]],SEARCH("aus_der",Sensitivität_bzw_Monte_Carlo_bei_Strom[[#This Row],[Source.Name]],1))="Auszahlung_a","Auszahlung",""),"")</f>
        <v/>
      </c>
      <c r="D1298" s="1"/>
    </row>
    <row r="1299" spans="1:4" x14ac:dyDescent="0.3">
      <c r="A1299" s="1"/>
      <c r="B1299" s="1" t="str">
        <f>IFERROR(IF(LEFT(Sensitivität_bzw_Monte_Carlo_bei_Strom[[#This Row],[Source.Name]],SEARCH("aus_der",Sensitivität_bzw_Monte_Carlo_bei_Strom[[#This Row],[Source.Name]],1))="Auszahlung_a","Auszahlung",""),"")</f>
        <v/>
      </c>
      <c r="D1299" s="1"/>
    </row>
    <row r="1300" spans="1:4" x14ac:dyDescent="0.3">
      <c r="A1300" s="1"/>
      <c r="B1300" s="1" t="str">
        <f>IFERROR(IF(LEFT(Sensitivität_bzw_Monte_Carlo_bei_Strom[[#This Row],[Source.Name]],SEARCH("aus_der",Sensitivität_bzw_Monte_Carlo_bei_Strom[[#This Row],[Source.Name]],1))="Auszahlung_a","Auszahlung",""),"")</f>
        <v/>
      </c>
      <c r="D1300" s="1"/>
    </row>
    <row r="1301" spans="1:4" x14ac:dyDescent="0.3">
      <c r="A1301" s="1"/>
      <c r="B1301" s="1" t="str">
        <f>IFERROR(IF(LEFT(Sensitivität_bzw_Monte_Carlo_bei_Strom[[#This Row],[Source.Name]],SEARCH("aus_der",Sensitivität_bzw_Monte_Carlo_bei_Strom[[#This Row],[Source.Name]],1))="Auszahlung_a","Auszahlung",""),"")</f>
        <v/>
      </c>
      <c r="D1301" s="1"/>
    </row>
    <row r="1302" spans="1:4" x14ac:dyDescent="0.3">
      <c r="A1302" s="1"/>
      <c r="B1302" s="1" t="str">
        <f>IFERROR(IF(LEFT(Sensitivität_bzw_Monte_Carlo_bei_Strom[[#This Row],[Source.Name]],SEARCH("aus_der",Sensitivität_bzw_Monte_Carlo_bei_Strom[[#This Row],[Source.Name]],1))="Auszahlung_a","Auszahlung",""),"")</f>
        <v/>
      </c>
      <c r="D1302" s="1"/>
    </row>
    <row r="1303" spans="1:4" x14ac:dyDescent="0.3">
      <c r="A1303" s="1"/>
      <c r="B1303" s="1" t="str">
        <f>IFERROR(IF(LEFT(Sensitivität_bzw_Monte_Carlo_bei_Strom[[#This Row],[Source.Name]],SEARCH("aus_der",Sensitivität_bzw_Monte_Carlo_bei_Strom[[#This Row],[Source.Name]],1))="Auszahlung_a","Auszahlung",""),"")</f>
        <v/>
      </c>
      <c r="D1303" s="1"/>
    </row>
    <row r="1304" spans="1:4" x14ac:dyDescent="0.3">
      <c r="A1304" s="1"/>
      <c r="B1304" s="1" t="str">
        <f>IFERROR(IF(LEFT(Sensitivität_bzw_Monte_Carlo_bei_Strom[[#This Row],[Source.Name]],SEARCH("aus_der",Sensitivität_bzw_Monte_Carlo_bei_Strom[[#This Row],[Source.Name]],1))="Auszahlung_a","Auszahlung",""),"")</f>
        <v/>
      </c>
      <c r="D1304" s="1"/>
    </row>
    <row r="1305" spans="1:4" x14ac:dyDescent="0.3">
      <c r="A1305" s="1"/>
      <c r="B1305" s="1" t="str">
        <f>IFERROR(IF(LEFT(Sensitivität_bzw_Monte_Carlo_bei_Strom[[#This Row],[Source.Name]],SEARCH("aus_der",Sensitivität_bzw_Monte_Carlo_bei_Strom[[#This Row],[Source.Name]],1))="Auszahlung_a","Auszahlung",""),"")</f>
        <v/>
      </c>
      <c r="D1305" s="1"/>
    </row>
    <row r="1306" spans="1:4" x14ac:dyDescent="0.3">
      <c r="A1306" s="1"/>
      <c r="B1306" s="1" t="str">
        <f>IFERROR(IF(LEFT(Sensitivität_bzw_Monte_Carlo_bei_Strom[[#This Row],[Source.Name]],SEARCH("aus_der",Sensitivität_bzw_Monte_Carlo_bei_Strom[[#This Row],[Source.Name]],1))="Auszahlung_a","Auszahlung",""),"")</f>
        <v/>
      </c>
      <c r="D1306" s="1"/>
    </row>
    <row r="1307" spans="1:4" x14ac:dyDescent="0.3">
      <c r="A1307" s="1"/>
      <c r="B1307" s="1" t="str">
        <f>IFERROR(IF(LEFT(Sensitivität_bzw_Monte_Carlo_bei_Strom[[#This Row],[Source.Name]],SEARCH("aus_der",Sensitivität_bzw_Monte_Carlo_bei_Strom[[#This Row],[Source.Name]],1))="Auszahlung_a","Auszahlung",""),"")</f>
        <v/>
      </c>
      <c r="D1307" s="1"/>
    </row>
    <row r="1308" spans="1:4" x14ac:dyDescent="0.3">
      <c r="A1308" s="1"/>
      <c r="B1308" s="1" t="str">
        <f>IFERROR(IF(LEFT(Sensitivität_bzw_Monte_Carlo_bei_Strom[[#This Row],[Source.Name]],SEARCH("aus_der",Sensitivität_bzw_Monte_Carlo_bei_Strom[[#This Row],[Source.Name]],1))="Auszahlung_a","Auszahlung",""),"")</f>
        <v/>
      </c>
      <c r="D1308" s="1"/>
    </row>
    <row r="1309" spans="1:4" x14ac:dyDescent="0.3">
      <c r="A1309" s="1"/>
      <c r="B1309" s="1" t="str">
        <f>IFERROR(IF(LEFT(Sensitivität_bzw_Monte_Carlo_bei_Strom[[#This Row],[Source.Name]],SEARCH("aus_der",Sensitivität_bzw_Monte_Carlo_bei_Strom[[#This Row],[Source.Name]],1))="Auszahlung_a","Auszahlung",""),"")</f>
        <v/>
      </c>
      <c r="D1309" s="1"/>
    </row>
    <row r="1310" spans="1:4" x14ac:dyDescent="0.3">
      <c r="A1310" s="1"/>
      <c r="B1310" s="1" t="str">
        <f>IFERROR(IF(LEFT(Sensitivität_bzw_Monte_Carlo_bei_Strom[[#This Row],[Source.Name]],SEARCH("aus_der",Sensitivität_bzw_Monte_Carlo_bei_Strom[[#This Row],[Source.Name]],1))="Auszahlung_a","Auszahlung",""),"")</f>
        <v/>
      </c>
      <c r="D1310" s="1"/>
    </row>
    <row r="1311" spans="1:4" x14ac:dyDescent="0.3">
      <c r="A1311" s="1"/>
      <c r="B1311" s="1" t="str">
        <f>IFERROR(IF(LEFT(Sensitivität_bzw_Monte_Carlo_bei_Strom[[#This Row],[Source.Name]],SEARCH("aus_der",Sensitivität_bzw_Monte_Carlo_bei_Strom[[#This Row],[Source.Name]],1))="Auszahlung_a","Auszahlung",""),"")</f>
        <v/>
      </c>
      <c r="D1311" s="1"/>
    </row>
    <row r="1312" spans="1:4" x14ac:dyDescent="0.3">
      <c r="A1312" s="1"/>
      <c r="B1312" s="1" t="str">
        <f>IFERROR(IF(LEFT(Sensitivität_bzw_Monte_Carlo_bei_Strom[[#This Row],[Source.Name]],SEARCH("aus_der",Sensitivität_bzw_Monte_Carlo_bei_Strom[[#This Row],[Source.Name]],1))="Auszahlung_a","Auszahlung",""),"")</f>
        <v/>
      </c>
      <c r="D1312" s="1"/>
    </row>
    <row r="1313" spans="1:4" x14ac:dyDescent="0.3">
      <c r="A1313" s="1"/>
      <c r="B1313" s="1" t="str">
        <f>IFERROR(IF(LEFT(Sensitivität_bzw_Monte_Carlo_bei_Strom[[#This Row],[Source.Name]],SEARCH("aus_der",Sensitivität_bzw_Monte_Carlo_bei_Strom[[#This Row],[Source.Name]],1))="Auszahlung_a","Auszahlung",""),"")</f>
        <v/>
      </c>
      <c r="D1313" s="1"/>
    </row>
    <row r="1314" spans="1:4" x14ac:dyDescent="0.3">
      <c r="A1314" s="1"/>
      <c r="B1314" s="1" t="str">
        <f>IFERROR(IF(LEFT(Sensitivität_bzw_Monte_Carlo_bei_Strom[[#This Row],[Source.Name]],SEARCH("aus_der",Sensitivität_bzw_Monte_Carlo_bei_Strom[[#This Row],[Source.Name]],1))="Auszahlung_a","Auszahlung",""),"")</f>
        <v/>
      </c>
      <c r="D1314" s="1"/>
    </row>
    <row r="1315" spans="1:4" x14ac:dyDescent="0.3">
      <c r="A1315" s="1"/>
      <c r="B1315" s="1" t="str">
        <f>IFERROR(IF(LEFT(Sensitivität_bzw_Monte_Carlo_bei_Strom[[#This Row],[Source.Name]],SEARCH("aus_der",Sensitivität_bzw_Monte_Carlo_bei_Strom[[#This Row],[Source.Name]],1))="Auszahlung_a","Auszahlung",""),"")</f>
        <v/>
      </c>
      <c r="D1315" s="1"/>
    </row>
    <row r="1316" spans="1:4" x14ac:dyDescent="0.3">
      <c r="A1316" s="1"/>
      <c r="B1316" s="1" t="str">
        <f>IFERROR(IF(LEFT(Sensitivität_bzw_Monte_Carlo_bei_Strom[[#This Row],[Source.Name]],SEARCH("aus_der",Sensitivität_bzw_Monte_Carlo_bei_Strom[[#This Row],[Source.Name]],1))="Auszahlung_a","Auszahlung",""),"")</f>
        <v/>
      </c>
      <c r="D1316" s="1"/>
    </row>
    <row r="1317" spans="1:4" x14ac:dyDescent="0.3">
      <c r="A1317" s="1"/>
      <c r="B1317" s="1" t="str">
        <f>IFERROR(IF(LEFT(Sensitivität_bzw_Monte_Carlo_bei_Strom[[#This Row],[Source.Name]],SEARCH("aus_der",Sensitivität_bzw_Monte_Carlo_bei_Strom[[#This Row],[Source.Name]],1))="Auszahlung_a","Auszahlung",""),"")</f>
        <v/>
      </c>
      <c r="D1317" s="1"/>
    </row>
    <row r="1318" spans="1:4" x14ac:dyDescent="0.3">
      <c r="A1318" s="1"/>
      <c r="B1318" s="1" t="str">
        <f>IFERROR(IF(LEFT(Sensitivität_bzw_Monte_Carlo_bei_Strom[[#This Row],[Source.Name]],SEARCH("aus_der",Sensitivität_bzw_Monte_Carlo_bei_Strom[[#This Row],[Source.Name]],1))="Auszahlung_a","Auszahlung",""),"")</f>
        <v/>
      </c>
      <c r="D1318" s="1"/>
    </row>
    <row r="1319" spans="1:4" x14ac:dyDescent="0.3">
      <c r="A1319" s="1"/>
      <c r="B1319" s="1" t="str">
        <f>IFERROR(IF(LEFT(Sensitivität_bzw_Monte_Carlo_bei_Strom[[#This Row],[Source.Name]],SEARCH("aus_der",Sensitivität_bzw_Monte_Carlo_bei_Strom[[#This Row],[Source.Name]],1))="Auszahlung_a","Auszahlung",""),"")</f>
        <v/>
      </c>
      <c r="D1319" s="1"/>
    </row>
    <row r="1320" spans="1:4" x14ac:dyDescent="0.3">
      <c r="A1320" s="1"/>
      <c r="B1320" s="1" t="str">
        <f>IFERROR(IF(LEFT(Sensitivität_bzw_Monte_Carlo_bei_Strom[[#This Row],[Source.Name]],SEARCH("aus_der",Sensitivität_bzw_Monte_Carlo_bei_Strom[[#This Row],[Source.Name]],1))="Auszahlung_a","Auszahlung",""),"")</f>
        <v/>
      </c>
      <c r="D1320" s="1"/>
    </row>
    <row r="1321" spans="1:4" x14ac:dyDescent="0.3">
      <c r="A1321" s="1"/>
      <c r="B1321" s="1" t="str">
        <f>IFERROR(IF(LEFT(Sensitivität_bzw_Monte_Carlo_bei_Strom[[#This Row],[Source.Name]],SEARCH("aus_der",Sensitivität_bzw_Monte_Carlo_bei_Strom[[#This Row],[Source.Name]],1))="Auszahlung_a","Auszahlung",""),"")</f>
        <v/>
      </c>
      <c r="D1321" s="1"/>
    </row>
    <row r="1322" spans="1:4" x14ac:dyDescent="0.3">
      <c r="A1322" s="1"/>
      <c r="B1322" s="1" t="str">
        <f>IFERROR(IF(LEFT(Sensitivität_bzw_Monte_Carlo_bei_Strom[[#This Row],[Source.Name]],SEARCH("aus_der",Sensitivität_bzw_Monte_Carlo_bei_Strom[[#This Row],[Source.Name]],1))="Auszahlung_a","Auszahlung",""),"")</f>
        <v/>
      </c>
      <c r="D1322" s="1"/>
    </row>
    <row r="1323" spans="1:4" x14ac:dyDescent="0.3">
      <c r="A1323" s="1"/>
      <c r="B1323" s="1" t="str">
        <f>IFERROR(IF(LEFT(Sensitivität_bzw_Monte_Carlo_bei_Strom[[#This Row],[Source.Name]],SEARCH("aus_der",Sensitivität_bzw_Monte_Carlo_bei_Strom[[#This Row],[Source.Name]],1))="Auszahlung_a","Auszahlung",""),"")</f>
        <v/>
      </c>
      <c r="D1323" s="1"/>
    </row>
    <row r="1324" spans="1:4" x14ac:dyDescent="0.3">
      <c r="A1324" s="1"/>
      <c r="B1324" s="1" t="str">
        <f>IFERROR(IF(LEFT(Sensitivität_bzw_Monte_Carlo_bei_Strom[[#This Row],[Source.Name]],SEARCH("aus_der",Sensitivität_bzw_Monte_Carlo_bei_Strom[[#This Row],[Source.Name]],1))="Auszahlung_a","Auszahlung",""),"")</f>
        <v/>
      </c>
      <c r="D1324" s="1"/>
    </row>
    <row r="1325" spans="1:4" x14ac:dyDescent="0.3">
      <c r="A1325" s="1"/>
      <c r="B1325" s="1" t="str">
        <f>IFERROR(IF(LEFT(Sensitivität_bzw_Monte_Carlo_bei_Strom[[#This Row],[Source.Name]],SEARCH("aus_der",Sensitivität_bzw_Monte_Carlo_bei_Strom[[#This Row],[Source.Name]],1))="Auszahlung_a","Auszahlung",""),"")</f>
        <v/>
      </c>
      <c r="D1325" s="1"/>
    </row>
    <row r="1326" spans="1:4" x14ac:dyDescent="0.3">
      <c r="A1326" s="1"/>
      <c r="B1326" s="1" t="str">
        <f>IFERROR(IF(LEFT(Sensitivität_bzw_Monte_Carlo_bei_Strom[[#This Row],[Source.Name]],SEARCH("aus_der",Sensitivität_bzw_Monte_Carlo_bei_Strom[[#This Row],[Source.Name]],1))="Auszahlung_a","Auszahlung",""),"")</f>
        <v/>
      </c>
      <c r="D1326" s="1"/>
    </row>
    <row r="1327" spans="1:4" x14ac:dyDescent="0.3">
      <c r="A1327" s="1"/>
      <c r="B1327" s="1" t="str">
        <f>IFERROR(IF(LEFT(Sensitivität_bzw_Monte_Carlo_bei_Strom[[#This Row],[Source.Name]],SEARCH("aus_der",Sensitivität_bzw_Monte_Carlo_bei_Strom[[#This Row],[Source.Name]],1))="Auszahlung_a","Auszahlung",""),"")</f>
        <v/>
      </c>
      <c r="D1327" s="1"/>
    </row>
    <row r="1328" spans="1:4" x14ac:dyDescent="0.3">
      <c r="A1328" s="1"/>
      <c r="B1328" s="1" t="str">
        <f>IFERROR(IF(LEFT(Sensitivität_bzw_Monte_Carlo_bei_Strom[[#This Row],[Source.Name]],SEARCH("aus_der",Sensitivität_bzw_Monte_Carlo_bei_Strom[[#This Row],[Source.Name]],1))="Auszahlung_a","Auszahlung",""),"")</f>
        <v/>
      </c>
      <c r="D1328" s="1"/>
    </row>
    <row r="1329" spans="1:4" x14ac:dyDescent="0.3">
      <c r="A1329" s="1"/>
      <c r="B1329" s="1" t="str">
        <f>IFERROR(IF(LEFT(Sensitivität_bzw_Monte_Carlo_bei_Strom[[#This Row],[Source.Name]],SEARCH("aus_der",Sensitivität_bzw_Monte_Carlo_bei_Strom[[#This Row],[Source.Name]],1))="Auszahlung_a","Auszahlung",""),"")</f>
        <v/>
      </c>
      <c r="D1329" s="1"/>
    </row>
    <row r="1330" spans="1:4" x14ac:dyDescent="0.3">
      <c r="A1330" s="1"/>
      <c r="B1330" s="1" t="str">
        <f>IFERROR(IF(LEFT(Sensitivität_bzw_Monte_Carlo_bei_Strom[[#This Row],[Source.Name]],SEARCH("aus_der",Sensitivität_bzw_Monte_Carlo_bei_Strom[[#This Row],[Source.Name]],1))="Auszahlung_a","Auszahlung",""),"")</f>
        <v/>
      </c>
      <c r="D1330" s="1"/>
    </row>
    <row r="1331" spans="1:4" x14ac:dyDescent="0.3">
      <c r="A1331" s="1"/>
      <c r="B1331" s="1" t="str">
        <f>IFERROR(IF(LEFT(Sensitivität_bzw_Monte_Carlo_bei_Strom[[#This Row],[Source.Name]],SEARCH("aus_der",Sensitivität_bzw_Monte_Carlo_bei_Strom[[#This Row],[Source.Name]],1))="Auszahlung_a","Auszahlung",""),"")</f>
        <v/>
      </c>
      <c r="D1331" s="1"/>
    </row>
    <row r="1332" spans="1:4" x14ac:dyDescent="0.3">
      <c r="A1332" s="1"/>
      <c r="B1332" s="1" t="str">
        <f>IFERROR(IF(LEFT(Sensitivität_bzw_Monte_Carlo_bei_Strom[[#This Row],[Source.Name]],SEARCH("aus_der",Sensitivität_bzw_Monte_Carlo_bei_Strom[[#This Row],[Source.Name]],1))="Auszahlung_a","Auszahlung",""),"")</f>
        <v/>
      </c>
      <c r="D1332" s="1"/>
    </row>
    <row r="1333" spans="1:4" x14ac:dyDescent="0.3">
      <c r="A1333" s="1"/>
      <c r="B1333" s="1" t="str">
        <f>IFERROR(IF(LEFT(Sensitivität_bzw_Monte_Carlo_bei_Strom[[#This Row],[Source.Name]],SEARCH("aus_der",Sensitivität_bzw_Monte_Carlo_bei_Strom[[#This Row],[Source.Name]],1))="Auszahlung_a","Auszahlung",""),"")</f>
        <v/>
      </c>
      <c r="D1333" s="1"/>
    </row>
    <row r="1334" spans="1:4" x14ac:dyDescent="0.3">
      <c r="A1334" s="1"/>
      <c r="B1334" s="1" t="str">
        <f>IFERROR(IF(LEFT(Sensitivität_bzw_Monte_Carlo_bei_Strom[[#This Row],[Source.Name]],SEARCH("aus_der",Sensitivität_bzw_Monte_Carlo_bei_Strom[[#This Row],[Source.Name]],1))="Auszahlung_a","Auszahlung",""),"")</f>
        <v/>
      </c>
      <c r="D1334" s="1"/>
    </row>
    <row r="1335" spans="1:4" x14ac:dyDescent="0.3">
      <c r="A1335" s="1"/>
      <c r="B1335" s="1" t="str">
        <f>IFERROR(IF(LEFT(Sensitivität_bzw_Monte_Carlo_bei_Strom[[#This Row],[Source.Name]],SEARCH("aus_der",Sensitivität_bzw_Monte_Carlo_bei_Strom[[#This Row],[Source.Name]],1))="Auszahlung_a","Auszahlung",""),"")</f>
        <v/>
      </c>
      <c r="D1335" s="1"/>
    </row>
    <row r="1336" spans="1:4" x14ac:dyDescent="0.3">
      <c r="A1336" s="1"/>
      <c r="B1336" s="1" t="str">
        <f>IFERROR(IF(LEFT(Sensitivität_bzw_Monte_Carlo_bei_Strom[[#This Row],[Source.Name]],SEARCH("aus_der",Sensitivität_bzw_Monte_Carlo_bei_Strom[[#This Row],[Source.Name]],1))="Auszahlung_a","Auszahlung",""),"")</f>
        <v/>
      </c>
      <c r="D1336" s="1"/>
    </row>
    <row r="1337" spans="1:4" x14ac:dyDescent="0.3">
      <c r="A1337" s="1"/>
      <c r="B1337" s="1" t="str">
        <f>IFERROR(IF(LEFT(Sensitivität_bzw_Monte_Carlo_bei_Strom[[#This Row],[Source.Name]],SEARCH("aus_der",Sensitivität_bzw_Monte_Carlo_bei_Strom[[#This Row],[Source.Name]],1))="Auszahlung_a","Auszahlung",""),"")</f>
        <v/>
      </c>
      <c r="D1337" s="1"/>
    </row>
    <row r="1338" spans="1:4" x14ac:dyDescent="0.3">
      <c r="A1338" s="1"/>
      <c r="B1338" s="1" t="str">
        <f>IFERROR(IF(LEFT(Sensitivität_bzw_Monte_Carlo_bei_Strom[[#This Row],[Source.Name]],SEARCH("aus_der",Sensitivität_bzw_Monte_Carlo_bei_Strom[[#This Row],[Source.Name]],1))="Auszahlung_a","Auszahlung",""),"")</f>
        <v/>
      </c>
      <c r="D1338" s="1"/>
    </row>
    <row r="1339" spans="1:4" x14ac:dyDescent="0.3">
      <c r="A1339" s="1"/>
      <c r="B1339" s="1" t="str">
        <f>IFERROR(IF(LEFT(Sensitivität_bzw_Monte_Carlo_bei_Strom[[#This Row],[Source.Name]],SEARCH("aus_der",Sensitivität_bzw_Monte_Carlo_bei_Strom[[#This Row],[Source.Name]],1))="Auszahlung_a","Auszahlung",""),"")</f>
        <v/>
      </c>
      <c r="D1339" s="1"/>
    </row>
    <row r="1340" spans="1:4" x14ac:dyDescent="0.3">
      <c r="A1340" s="1"/>
      <c r="B1340" s="1" t="str">
        <f>IFERROR(IF(LEFT(Sensitivität_bzw_Monte_Carlo_bei_Strom[[#This Row],[Source.Name]],SEARCH("aus_der",Sensitivität_bzw_Monte_Carlo_bei_Strom[[#This Row],[Source.Name]],1))="Auszahlung_a","Auszahlung",""),"")</f>
        <v/>
      </c>
      <c r="D1340" s="1"/>
    </row>
    <row r="1341" spans="1:4" x14ac:dyDescent="0.3">
      <c r="A1341" s="1"/>
      <c r="B1341" s="1" t="str">
        <f>IFERROR(IF(LEFT(Sensitivität_bzw_Monte_Carlo_bei_Strom[[#This Row],[Source.Name]],SEARCH("aus_der",Sensitivität_bzw_Monte_Carlo_bei_Strom[[#This Row],[Source.Name]],1))="Auszahlung_a","Auszahlung",""),"")</f>
        <v/>
      </c>
      <c r="D1341" s="1"/>
    </row>
    <row r="1342" spans="1:4" x14ac:dyDescent="0.3">
      <c r="A1342" s="1"/>
      <c r="B1342" s="1" t="str">
        <f>IFERROR(IF(LEFT(Sensitivität_bzw_Monte_Carlo_bei_Strom[[#This Row],[Source.Name]],SEARCH("aus_der",Sensitivität_bzw_Monte_Carlo_bei_Strom[[#This Row],[Source.Name]],1))="Auszahlung_a","Auszahlung",""),"")</f>
        <v/>
      </c>
      <c r="D1342" s="1"/>
    </row>
    <row r="1343" spans="1:4" x14ac:dyDescent="0.3">
      <c r="A1343" s="1"/>
      <c r="B1343" s="1" t="str">
        <f>IFERROR(IF(LEFT(Sensitivität_bzw_Monte_Carlo_bei_Strom[[#This Row],[Source.Name]],SEARCH("aus_der",Sensitivität_bzw_Monte_Carlo_bei_Strom[[#This Row],[Source.Name]],1))="Auszahlung_a","Auszahlung",""),"")</f>
        <v/>
      </c>
      <c r="D1343" s="1"/>
    </row>
    <row r="1344" spans="1:4" x14ac:dyDescent="0.3">
      <c r="A1344" s="1"/>
      <c r="B1344" s="1" t="str">
        <f>IFERROR(IF(LEFT(Sensitivität_bzw_Monte_Carlo_bei_Strom[[#This Row],[Source.Name]],SEARCH("aus_der",Sensitivität_bzw_Monte_Carlo_bei_Strom[[#This Row],[Source.Name]],1))="Auszahlung_a","Auszahlung",""),"")</f>
        <v/>
      </c>
      <c r="D1344" s="1"/>
    </row>
    <row r="1345" spans="1:4" x14ac:dyDescent="0.3">
      <c r="A1345" s="1"/>
      <c r="B1345" s="1" t="str">
        <f>IFERROR(IF(LEFT(Sensitivität_bzw_Monte_Carlo_bei_Strom[[#This Row],[Source.Name]],SEARCH("aus_der",Sensitivität_bzw_Monte_Carlo_bei_Strom[[#This Row],[Source.Name]],1))="Auszahlung_a","Auszahlung",""),"")</f>
        <v/>
      </c>
      <c r="D1345" s="1"/>
    </row>
    <row r="1346" spans="1:4" x14ac:dyDescent="0.3">
      <c r="A1346" s="1"/>
      <c r="B1346" s="1" t="str">
        <f>IFERROR(IF(LEFT(Sensitivität_bzw_Monte_Carlo_bei_Strom[[#This Row],[Source.Name]],SEARCH("aus_der",Sensitivität_bzw_Monte_Carlo_bei_Strom[[#This Row],[Source.Name]],1))="Auszahlung_a","Auszahlung",""),"")</f>
        <v/>
      </c>
      <c r="D1346" s="1"/>
    </row>
    <row r="1347" spans="1:4" x14ac:dyDescent="0.3">
      <c r="A1347" s="1"/>
      <c r="B1347" s="1" t="str">
        <f>IFERROR(IF(LEFT(Sensitivität_bzw_Monte_Carlo_bei_Strom[[#This Row],[Source.Name]],SEARCH("aus_der",Sensitivität_bzw_Monte_Carlo_bei_Strom[[#This Row],[Source.Name]],1))="Auszahlung_a","Auszahlung",""),"")</f>
        <v/>
      </c>
      <c r="D1347" s="1"/>
    </row>
    <row r="1348" spans="1:4" x14ac:dyDescent="0.3">
      <c r="A1348" s="1"/>
      <c r="B1348" s="1" t="str">
        <f>IFERROR(IF(LEFT(Sensitivität_bzw_Monte_Carlo_bei_Strom[[#This Row],[Source.Name]],SEARCH("aus_der",Sensitivität_bzw_Monte_Carlo_bei_Strom[[#This Row],[Source.Name]],1))="Auszahlung_a","Auszahlung",""),"")</f>
        <v/>
      </c>
      <c r="D1348" s="1"/>
    </row>
    <row r="1349" spans="1:4" x14ac:dyDescent="0.3">
      <c r="A1349" s="1"/>
      <c r="B1349" s="1" t="str">
        <f>IFERROR(IF(LEFT(Sensitivität_bzw_Monte_Carlo_bei_Strom[[#This Row],[Source.Name]],SEARCH("aus_der",Sensitivität_bzw_Monte_Carlo_bei_Strom[[#This Row],[Source.Name]],1))="Auszahlung_a","Auszahlung",""),"")</f>
        <v/>
      </c>
      <c r="D1349" s="1"/>
    </row>
    <row r="1350" spans="1:4" x14ac:dyDescent="0.3">
      <c r="A1350" s="1"/>
      <c r="B1350" s="1" t="str">
        <f>IFERROR(IF(LEFT(Sensitivität_bzw_Monte_Carlo_bei_Strom[[#This Row],[Source.Name]],SEARCH("aus_der",Sensitivität_bzw_Monte_Carlo_bei_Strom[[#This Row],[Source.Name]],1))="Auszahlung_a","Auszahlung",""),"")</f>
        <v/>
      </c>
      <c r="D1350" s="1"/>
    </row>
    <row r="1351" spans="1:4" x14ac:dyDescent="0.3">
      <c r="A1351" s="1"/>
      <c r="B1351" s="1" t="str">
        <f>IFERROR(IF(LEFT(Sensitivität_bzw_Monte_Carlo_bei_Strom[[#This Row],[Source.Name]],SEARCH("aus_der",Sensitivität_bzw_Monte_Carlo_bei_Strom[[#This Row],[Source.Name]],1))="Auszahlung_a","Auszahlung",""),"")</f>
        <v/>
      </c>
      <c r="D1351" s="1"/>
    </row>
    <row r="1352" spans="1:4" x14ac:dyDescent="0.3">
      <c r="A1352" s="1"/>
      <c r="B1352" s="1" t="str">
        <f>IFERROR(IF(LEFT(Sensitivität_bzw_Monte_Carlo_bei_Strom[[#This Row],[Source.Name]],SEARCH("aus_der",Sensitivität_bzw_Monte_Carlo_bei_Strom[[#This Row],[Source.Name]],1))="Auszahlung_a","Auszahlung",""),"")</f>
        <v/>
      </c>
      <c r="D1352" s="1"/>
    </row>
    <row r="1353" spans="1:4" x14ac:dyDescent="0.3">
      <c r="A1353" s="1"/>
      <c r="B1353" s="1" t="str">
        <f>IFERROR(IF(LEFT(Sensitivität_bzw_Monte_Carlo_bei_Strom[[#This Row],[Source.Name]],SEARCH("aus_der",Sensitivität_bzw_Monte_Carlo_bei_Strom[[#This Row],[Source.Name]],1))="Auszahlung_a","Auszahlung",""),"")</f>
        <v/>
      </c>
      <c r="D1353" s="1"/>
    </row>
    <row r="1354" spans="1:4" x14ac:dyDescent="0.3">
      <c r="A1354" s="1"/>
      <c r="B1354" s="1" t="str">
        <f>IFERROR(IF(LEFT(Sensitivität_bzw_Monte_Carlo_bei_Strom[[#This Row],[Source.Name]],SEARCH("aus_der",Sensitivität_bzw_Monte_Carlo_bei_Strom[[#This Row],[Source.Name]],1))="Auszahlung_a","Auszahlung",""),"")</f>
        <v/>
      </c>
      <c r="D1354" s="1"/>
    </row>
    <row r="1355" spans="1:4" x14ac:dyDescent="0.3">
      <c r="A1355" s="1"/>
      <c r="B1355" s="1" t="str">
        <f>IFERROR(IF(LEFT(Sensitivität_bzw_Monte_Carlo_bei_Strom[[#This Row],[Source.Name]],SEARCH("aus_der",Sensitivität_bzw_Monte_Carlo_bei_Strom[[#This Row],[Source.Name]],1))="Auszahlung_a","Auszahlung",""),"")</f>
        <v/>
      </c>
      <c r="D1355" s="1"/>
    </row>
    <row r="1356" spans="1:4" x14ac:dyDescent="0.3">
      <c r="A1356" s="1"/>
      <c r="B1356" s="1" t="str">
        <f>IFERROR(IF(LEFT(Sensitivität_bzw_Monte_Carlo_bei_Strom[[#This Row],[Source.Name]],SEARCH("aus_der",Sensitivität_bzw_Monte_Carlo_bei_Strom[[#This Row],[Source.Name]],1))="Auszahlung_a","Auszahlung",""),"")</f>
        <v/>
      </c>
      <c r="D1356" s="1"/>
    </row>
    <row r="1357" spans="1:4" x14ac:dyDescent="0.3">
      <c r="A1357" s="1"/>
      <c r="B1357" s="1" t="str">
        <f>IFERROR(IF(LEFT(Sensitivität_bzw_Monte_Carlo_bei_Strom[[#This Row],[Source.Name]],SEARCH("aus_der",Sensitivität_bzw_Monte_Carlo_bei_Strom[[#This Row],[Source.Name]],1))="Auszahlung_a","Auszahlung",""),"")</f>
        <v/>
      </c>
      <c r="D1357" s="1"/>
    </row>
    <row r="1358" spans="1:4" x14ac:dyDescent="0.3">
      <c r="A1358" s="1"/>
      <c r="B1358" s="1" t="str">
        <f>IFERROR(IF(LEFT(Sensitivität_bzw_Monte_Carlo_bei_Strom[[#This Row],[Source.Name]],SEARCH("aus_der",Sensitivität_bzw_Monte_Carlo_bei_Strom[[#This Row],[Source.Name]],1))="Auszahlung_a","Auszahlung",""),"")</f>
        <v/>
      </c>
      <c r="D1358" s="1"/>
    </row>
    <row r="1359" spans="1:4" x14ac:dyDescent="0.3">
      <c r="A1359" s="1"/>
      <c r="B1359" s="1" t="str">
        <f>IFERROR(IF(LEFT(Sensitivität_bzw_Monte_Carlo_bei_Strom[[#This Row],[Source.Name]],SEARCH("aus_der",Sensitivität_bzw_Monte_Carlo_bei_Strom[[#This Row],[Source.Name]],1))="Auszahlung_a","Auszahlung",""),"")</f>
        <v/>
      </c>
      <c r="D1359" s="1"/>
    </row>
    <row r="1360" spans="1:4" x14ac:dyDescent="0.3">
      <c r="A1360" s="1"/>
      <c r="B1360" s="1" t="str">
        <f>IFERROR(IF(LEFT(Sensitivität_bzw_Monte_Carlo_bei_Strom[[#This Row],[Source.Name]],SEARCH("aus_der",Sensitivität_bzw_Monte_Carlo_bei_Strom[[#This Row],[Source.Name]],1))="Auszahlung_a","Auszahlung",""),"")</f>
        <v/>
      </c>
      <c r="D1360" s="1"/>
    </row>
    <row r="1361" spans="1:4" x14ac:dyDescent="0.3">
      <c r="A1361" s="1"/>
      <c r="B1361" s="1" t="str">
        <f>IFERROR(IF(LEFT(Sensitivität_bzw_Monte_Carlo_bei_Strom[[#This Row],[Source.Name]],SEARCH("aus_der",Sensitivität_bzw_Monte_Carlo_bei_Strom[[#This Row],[Source.Name]],1))="Auszahlung_a","Auszahlung",""),"")</f>
        <v/>
      </c>
      <c r="D1361" s="1"/>
    </row>
    <row r="1362" spans="1:4" x14ac:dyDescent="0.3">
      <c r="A1362" s="1"/>
      <c r="B1362" s="1" t="str">
        <f>IFERROR(IF(LEFT(Sensitivität_bzw_Monte_Carlo_bei_Strom[[#This Row],[Source.Name]],SEARCH("aus_der",Sensitivität_bzw_Monte_Carlo_bei_Strom[[#This Row],[Source.Name]],1))="Auszahlung_a","Auszahlung",""),"")</f>
        <v/>
      </c>
      <c r="D1362" s="1"/>
    </row>
    <row r="1363" spans="1:4" x14ac:dyDescent="0.3">
      <c r="A1363" s="1"/>
      <c r="B1363" s="1" t="str">
        <f>IFERROR(IF(LEFT(Sensitivität_bzw_Monte_Carlo_bei_Strom[[#This Row],[Source.Name]],SEARCH("aus_der",Sensitivität_bzw_Monte_Carlo_bei_Strom[[#This Row],[Source.Name]],1))="Auszahlung_a","Auszahlung",""),"")</f>
        <v/>
      </c>
      <c r="D1363" s="1"/>
    </row>
    <row r="1364" spans="1:4" x14ac:dyDescent="0.3">
      <c r="A1364" s="1"/>
      <c r="B1364" s="1" t="str">
        <f>IFERROR(IF(LEFT(Sensitivität_bzw_Monte_Carlo_bei_Strom[[#This Row],[Source.Name]],SEARCH("aus_der",Sensitivität_bzw_Monte_Carlo_bei_Strom[[#This Row],[Source.Name]],1))="Auszahlung_a","Auszahlung",""),"")</f>
        <v/>
      </c>
      <c r="D1364" s="1"/>
    </row>
    <row r="1365" spans="1:4" x14ac:dyDescent="0.3">
      <c r="A1365" s="1"/>
      <c r="B1365" s="1" t="str">
        <f>IFERROR(IF(LEFT(Sensitivität_bzw_Monte_Carlo_bei_Strom[[#This Row],[Source.Name]],SEARCH("aus_der",Sensitivität_bzw_Monte_Carlo_bei_Strom[[#This Row],[Source.Name]],1))="Auszahlung_a","Auszahlung",""),"")</f>
        <v/>
      </c>
      <c r="D1365" s="1"/>
    </row>
    <row r="1366" spans="1:4" x14ac:dyDescent="0.3">
      <c r="A1366" s="1"/>
      <c r="B1366" s="1" t="str">
        <f>IFERROR(IF(LEFT(Sensitivität_bzw_Monte_Carlo_bei_Strom[[#This Row],[Source.Name]],SEARCH("aus_der",Sensitivität_bzw_Monte_Carlo_bei_Strom[[#This Row],[Source.Name]],1))="Auszahlung_a","Auszahlung",""),"")</f>
        <v/>
      </c>
      <c r="D1366" s="1"/>
    </row>
    <row r="1367" spans="1:4" x14ac:dyDescent="0.3">
      <c r="A1367" s="1"/>
      <c r="B1367" s="1" t="str">
        <f>IFERROR(IF(LEFT(Sensitivität_bzw_Monte_Carlo_bei_Strom[[#This Row],[Source.Name]],SEARCH("aus_der",Sensitivität_bzw_Monte_Carlo_bei_Strom[[#This Row],[Source.Name]],1))="Auszahlung_a","Auszahlung",""),"")</f>
        <v/>
      </c>
      <c r="D1367" s="1"/>
    </row>
    <row r="1368" spans="1:4" x14ac:dyDescent="0.3">
      <c r="A1368" s="1"/>
      <c r="B1368" s="1" t="str">
        <f>IFERROR(IF(LEFT(Sensitivität_bzw_Monte_Carlo_bei_Strom[[#This Row],[Source.Name]],SEARCH("aus_der",Sensitivität_bzw_Monte_Carlo_bei_Strom[[#This Row],[Source.Name]],1))="Auszahlung_a","Auszahlung",""),"")</f>
        <v/>
      </c>
      <c r="D1368" s="1"/>
    </row>
    <row r="1369" spans="1:4" x14ac:dyDescent="0.3">
      <c r="A1369" s="1"/>
      <c r="B1369" s="1" t="str">
        <f>IFERROR(IF(LEFT(Sensitivität_bzw_Monte_Carlo_bei_Strom[[#This Row],[Source.Name]],SEARCH("aus_der",Sensitivität_bzw_Monte_Carlo_bei_Strom[[#This Row],[Source.Name]],1))="Auszahlung_a","Auszahlung",""),"")</f>
        <v/>
      </c>
      <c r="D1369" s="1"/>
    </row>
    <row r="1370" spans="1:4" x14ac:dyDescent="0.3">
      <c r="A1370" s="1"/>
      <c r="B1370" s="1" t="str">
        <f>IFERROR(IF(LEFT(Sensitivität_bzw_Monte_Carlo_bei_Strom[[#This Row],[Source.Name]],SEARCH("aus_der",Sensitivität_bzw_Monte_Carlo_bei_Strom[[#This Row],[Source.Name]],1))="Auszahlung_a","Auszahlung",""),"")</f>
        <v/>
      </c>
      <c r="D1370" s="1"/>
    </row>
    <row r="1371" spans="1:4" x14ac:dyDescent="0.3">
      <c r="A1371" s="1"/>
      <c r="B1371" s="1" t="str">
        <f>IFERROR(IF(LEFT(Sensitivität_bzw_Monte_Carlo_bei_Strom[[#This Row],[Source.Name]],SEARCH("aus_der",Sensitivität_bzw_Monte_Carlo_bei_Strom[[#This Row],[Source.Name]],1))="Auszahlung_a","Auszahlung",""),"")</f>
        <v/>
      </c>
      <c r="D1371" s="1"/>
    </row>
    <row r="1372" spans="1:4" x14ac:dyDescent="0.3">
      <c r="A1372" s="1"/>
      <c r="B1372" s="1" t="str">
        <f>IFERROR(IF(LEFT(Sensitivität_bzw_Monte_Carlo_bei_Strom[[#This Row],[Source.Name]],SEARCH("aus_der",Sensitivität_bzw_Monte_Carlo_bei_Strom[[#This Row],[Source.Name]],1))="Auszahlung_a","Auszahlung",""),"")</f>
        <v/>
      </c>
      <c r="D1372" s="1"/>
    </row>
    <row r="1373" spans="1:4" x14ac:dyDescent="0.3">
      <c r="A1373" s="1"/>
      <c r="B1373" s="1" t="str">
        <f>IFERROR(IF(LEFT(Sensitivität_bzw_Monte_Carlo_bei_Strom[[#This Row],[Source.Name]],SEARCH("aus_der",Sensitivität_bzw_Monte_Carlo_bei_Strom[[#This Row],[Source.Name]],1))="Auszahlung_a","Auszahlung",""),"")</f>
        <v/>
      </c>
      <c r="D1373" s="1"/>
    </row>
    <row r="1374" spans="1:4" x14ac:dyDescent="0.3">
      <c r="A1374" s="1"/>
      <c r="B1374" s="1" t="str">
        <f>IFERROR(IF(LEFT(Sensitivität_bzw_Monte_Carlo_bei_Strom[[#This Row],[Source.Name]],SEARCH("aus_der",Sensitivität_bzw_Monte_Carlo_bei_Strom[[#This Row],[Source.Name]],1))="Auszahlung_a","Auszahlung",""),"")</f>
        <v/>
      </c>
      <c r="D1374" s="1"/>
    </row>
    <row r="1375" spans="1:4" x14ac:dyDescent="0.3">
      <c r="A1375" s="1"/>
      <c r="B1375" s="1" t="str">
        <f>IFERROR(IF(LEFT(Sensitivität_bzw_Monte_Carlo_bei_Strom[[#This Row],[Source.Name]],SEARCH("aus_der",Sensitivität_bzw_Monte_Carlo_bei_Strom[[#This Row],[Source.Name]],1))="Auszahlung_a","Auszahlung",""),"")</f>
        <v/>
      </c>
      <c r="D1375" s="1"/>
    </row>
    <row r="1376" spans="1:4" x14ac:dyDescent="0.3">
      <c r="A1376" s="1"/>
      <c r="B1376" s="1" t="str">
        <f>IFERROR(IF(LEFT(Sensitivität_bzw_Monte_Carlo_bei_Strom[[#This Row],[Source.Name]],SEARCH("aus_der",Sensitivität_bzw_Monte_Carlo_bei_Strom[[#This Row],[Source.Name]],1))="Auszahlung_a","Auszahlung",""),"")</f>
        <v/>
      </c>
      <c r="D1376" s="1"/>
    </row>
    <row r="1377" spans="1:4" x14ac:dyDescent="0.3">
      <c r="A1377" s="1"/>
      <c r="B1377" s="1" t="str">
        <f>IFERROR(IF(LEFT(Sensitivität_bzw_Monte_Carlo_bei_Strom[[#This Row],[Source.Name]],SEARCH("aus_der",Sensitivität_bzw_Monte_Carlo_bei_Strom[[#This Row],[Source.Name]],1))="Auszahlung_a","Auszahlung",""),"")</f>
        <v/>
      </c>
      <c r="D1377" s="1"/>
    </row>
    <row r="1378" spans="1:4" x14ac:dyDescent="0.3">
      <c r="A1378" s="1"/>
      <c r="B1378" s="1" t="str">
        <f>IFERROR(IF(LEFT(Sensitivität_bzw_Monte_Carlo_bei_Strom[[#This Row],[Source.Name]],SEARCH("aus_der",Sensitivität_bzw_Monte_Carlo_bei_Strom[[#This Row],[Source.Name]],1))="Auszahlung_a","Auszahlung",""),"")</f>
        <v/>
      </c>
      <c r="D1378" s="1"/>
    </row>
    <row r="1379" spans="1:4" x14ac:dyDescent="0.3">
      <c r="A1379" s="1"/>
      <c r="B1379" s="1" t="str">
        <f>IFERROR(IF(LEFT(Sensitivität_bzw_Monte_Carlo_bei_Strom[[#This Row],[Source.Name]],SEARCH("aus_der",Sensitivität_bzw_Monte_Carlo_bei_Strom[[#This Row],[Source.Name]],1))="Auszahlung_a","Auszahlung",""),"")</f>
        <v/>
      </c>
      <c r="D1379" s="1"/>
    </row>
    <row r="1380" spans="1:4" x14ac:dyDescent="0.3">
      <c r="A1380" s="1"/>
      <c r="B1380" s="1" t="str">
        <f>IFERROR(IF(LEFT(Sensitivität_bzw_Monte_Carlo_bei_Strom[[#This Row],[Source.Name]],SEARCH("aus_der",Sensitivität_bzw_Monte_Carlo_bei_Strom[[#This Row],[Source.Name]],1))="Auszahlung_a","Auszahlung",""),"")</f>
        <v/>
      </c>
      <c r="D1380" s="1"/>
    </row>
    <row r="1381" spans="1:4" x14ac:dyDescent="0.3">
      <c r="A1381" s="1"/>
      <c r="B1381" s="1" t="str">
        <f>IFERROR(IF(LEFT(Sensitivität_bzw_Monte_Carlo_bei_Strom[[#This Row],[Source.Name]],SEARCH("aus_der",Sensitivität_bzw_Monte_Carlo_bei_Strom[[#This Row],[Source.Name]],1))="Auszahlung_a","Auszahlung",""),"")</f>
        <v/>
      </c>
      <c r="D1381" s="1"/>
    </row>
    <row r="1382" spans="1:4" x14ac:dyDescent="0.3">
      <c r="A1382" s="1"/>
      <c r="B1382" s="1" t="str">
        <f>IFERROR(IF(LEFT(Sensitivität_bzw_Monte_Carlo_bei_Strom[[#This Row],[Source.Name]],SEARCH("aus_der",Sensitivität_bzw_Monte_Carlo_bei_Strom[[#This Row],[Source.Name]],1))="Auszahlung_a","Auszahlung",""),"")</f>
        <v/>
      </c>
      <c r="D1382" s="1"/>
    </row>
    <row r="1383" spans="1:4" x14ac:dyDescent="0.3">
      <c r="A1383" s="1"/>
      <c r="B1383" s="1" t="str">
        <f>IFERROR(IF(LEFT(Sensitivität_bzw_Monte_Carlo_bei_Strom[[#This Row],[Source.Name]],SEARCH("aus_der",Sensitivität_bzw_Monte_Carlo_bei_Strom[[#This Row],[Source.Name]],1))="Auszahlung_a","Auszahlung",""),"")</f>
        <v/>
      </c>
      <c r="D1383" s="1"/>
    </row>
    <row r="1384" spans="1:4" x14ac:dyDescent="0.3">
      <c r="A1384" s="1"/>
      <c r="B1384" s="1" t="str">
        <f>IFERROR(IF(LEFT(Sensitivität_bzw_Monte_Carlo_bei_Strom[[#This Row],[Source.Name]],SEARCH("aus_der",Sensitivität_bzw_Monte_Carlo_bei_Strom[[#This Row],[Source.Name]],1))="Auszahlung_a","Auszahlung",""),"")</f>
        <v/>
      </c>
      <c r="D1384" s="1"/>
    </row>
    <row r="1385" spans="1:4" x14ac:dyDescent="0.3">
      <c r="A1385" s="1"/>
      <c r="B1385" s="1" t="str">
        <f>IFERROR(IF(LEFT(Sensitivität_bzw_Monte_Carlo_bei_Strom[[#This Row],[Source.Name]],SEARCH("aus_der",Sensitivität_bzw_Monte_Carlo_bei_Strom[[#This Row],[Source.Name]],1))="Auszahlung_a","Auszahlung",""),"")</f>
        <v/>
      </c>
      <c r="D1385" s="1"/>
    </row>
    <row r="1386" spans="1:4" x14ac:dyDescent="0.3">
      <c r="A1386" s="1"/>
      <c r="B1386" s="1" t="str">
        <f>IFERROR(IF(LEFT(Sensitivität_bzw_Monte_Carlo_bei_Strom[[#This Row],[Source.Name]],SEARCH("aus_der",Sensitivität_bzw_Monte_Carlo_bei_Strom[[#This Row],[Source.Name]],1))="Auszahlung_a","Auszahlung",""),"")</f>
        <v/>
      </c>
      <c r="D1386" s="1"/>
    </row>
    <row r="1387" spans="1:4" x14ac:dyDescent="0.3">
      <c r="A1387" s="1"/>
      <c r="B1387" s="1" t="str">
        <f>IFERROR(IF(LEFT(Sensitivität_bzw_Monte_Carlo_bei_Strom[[#This Row],[Source.Name]],SEARCH("aus_der",Sensitivität_bzw_Monte_Carlo_bei_Strom[[#This Row],[Source.Name]],1))="Auszahlung_a","Auszahlung",""),"")</f>
        <v/>
      </c>
      <c r="D1387" s="1"/>
    </row>
    <row r="1388" spans="1:4" x14ac:dyDescent="0.3">
      <c r="A1388" s="1"/>
      <c r="B1388" s="1" t="str">
        <f>IFERROR(IF(LEFT(Sensitivität_bzw_Monte_Carlo_bei_Strom[[#This Row],[Source.Name]],SEARCH("aus_der",Sensitivität_bzw_Monte_Carlo_bei_Strom[[#This Row],[Source.Name]],1))="Auszahlung_a","Auszahlung",""),"")</f>
        <v/>
      </c>
      <c r="D1388" s="1"/>
    </row>
    <row r="1389" spans="1:4" x14ac:dyDescent="0.3">
      <c r="A1389" s="1"/>
      <c r="B1389" s="1" t="str">
        <f>IFERROR(IF(LEFT(Sensitivität_bzw_Monte_Carlo_bei_Strom[[#This Row],[Source.Name]],SEARCH("aus_der",Sensitivität_bzw_Monte_Carlo_bei_Strom[[#This Row],[Source.Name]],1))="Auszahlung_a","Auszahlung",""),"")</f>
        <v/>
      </c>
      <c r="D1389" s="1"/>
    </row>
    <row r="1390" spans="1:4" x14ac:dyDescent="0.3">
      <c r="A1390" s="1"/>
      <c r="B1390" s="1" t="str">
        <f>IFERROR(IF(LEFT(Sensitivität_bzw_Monte_Carlo_bei_Strom[[#This Row],[Source.Name]],SEARCH("aus_der",Sensitivität_bzw_Monte_Carlo_bei_Strom[[#This Row],[Source.Name]],1))="Auszahlung_a","Auszahlung",""),"")</f>
        <v/>
      </c>
      <c r="D1390" s="1"/>
    </row>
    <row r="1391" spans="1:4" x14ac:dyDescent="0.3">
      <c r="A1391" s="1"/>
      <c r="B1391" s="1" t="str">
        <f>IFERROR(IF(LEFT(Sensitivität_bzw_Monte_Carlo_bei_Strom[[#This Row],[Source.Name]],SEARCH("aus_der",Sensitivität_bzw_Monte_Carlo_bei_Strom[[#This Row],[Source.Name]],1))="Auszahlung_a","Auszahlung",""),"")</f>
        <v/>
      </c>
      <c r="D1391" s="1"/>
    </row>
    <row r="1392" spans="1:4" x14ac:dyDescent="0.3">
      <c r="A1392" s="1"/>
      <c r="B1392" s="1" t="str">
        <f>IFERROR(IF(LEFT(Sensitivität_bzw_Monte_Carlo_bei_Strom[[#This Row],[Source.Name]],SEARCH("aus_der",Sensitivität_bzw_Monte_Carlo_bei_Strom[[#This Row],[Source.Name]],1))="Auszahlung_a","Auszahlung",""),"")</f>
        <v/>
      </c>
      <c r="D1392" s="1"/>
    </row>
    <row r="1393" spans="1:4" x14ac:dyDescent="0.3">
      <c r="A1393" s="1"/>
      <c r="B1393" s="1" t="str">
        <f>IFERROR(IF(LEFT(Sensitivität_bzw_Monte_Carlo_bei_Strom[[#This Row],[Source.Name]],SEARCH("aus_der",Sensitivität_bzw_Monte_Carlo_bei_Strom[[#This Row],[Source.Name]],1))="Auszahlung_a","Auszahlung",""),"")</f>
        <v/>
      </c>
      <c r="D1393" s="1"/>
    </row>
    <row r="1394" spans="1:4" x14ac:dyDescent="0.3">
      <c r="A1394" s="1"/>
      <c r="B1394" s="1" t="str">
        <f>IFERROR(IF(LEFT(Sensitivität_bzw_Monte_Carlo_bei_Strom[[#This Row],[Source.Name]],SEARCH("aus_der",Sensitivität_bzw_Monte_Carlo_bei_Strom[[#This Row],[Source.Name]],1))="Auszahlung_a","Auszahlung",""),"")</f>
        <v/>
      </c>
      <c r="D1394" s="1"/>
    </row>
    <row r="1395" spans="1:4" x14ac:dyDescent="0.3">
      <c r="A1395" s="1"/>
      <c r="B1395" s="1" t="str">
        <f>IFERROR(IF(LEFT(Sensitivität_bzw_Monte_Carlo_bei_Strom[[#This Row],[Source.Name]],SEARCH("aus_der",Sensitivität_bzw_Monte_Carlo_bei_Strom[[#This Row],[Source.Name]],1))="Auszahlung_a","Auszahlung",""),"")</f>
        <v/>
      </c>
      <c r="D1395" s="1"/>
    </row>
    <row r="1396" spans="1:4" x14ac:dyDescent="0.3">
      <c r="A1396" s="1"/>
      <c r="B1396" s="1" t="str">
        <f>IFERROR(IF(LEFT(Sensitivität_bzw_Monte_Carlo_bei_Strom[[#This Row],[Source.Name]],SEARCH("aus_der",Sensitivität_bzw_Monte_Carlo_bei_Strom[[#This Row],[Source.Name]],1))="Auszahlung_a","Auszahlung",""),"")</f>
        <v/>
      </c>
      <c r="D1396" s="1"/>
    </row>
    <row r="1397" spans="1:4" x14ac:dyDescent="0.3">
      <c r="A1397" s="1"/>
      <c r="B1397" s="1" t="str">
        <f>IFERROR(IF(LEFT(Sensitivität_bzw_Monte_Carlo_bei_Strom[[#This Row],[Source.Name]],SEARCH("aus_der",Sensitivität_bzw_Monte_Carlo_bei_Strom[[#This Row],[Source.Name]],1))="Auszahlung_a","Auszahlung",""),"")</f>
        <v/>
      </c>
      <c r="D1397" s="1"/>
    </row>
    <row r="1398" spans="1:4" x14ac:dyDescent="0.3">
      <c r="A1398" s="1"/>
      <c r="B1398" s="1" t="str">
        <f>IFERROR(IF(LEFT(Sensitivität_bzw_Monte_Carlo_bei_Strom[[#This Row],[Source.Name]],SEARCH("aus_der",Sensitivität_bzw_Monte_Carlo_bei_Strom[[#This Row],[Source.Name]],1))="Auszahlung_a","Auszahlung",""),"")</f>
        <v/>
      </c>
      <c r="D1398" s="1"/>
    </row>
    <row r="1399" spans="1:4" x14ac:dyDescent="0.3">
      <c r="A1399" s="1"/>
      <c r="B1399" s="1" t="str">
        <f>IFERROR(IF(LEFT(Sensitivität_bzw_Monte_Carlo_bei_Strom[[#This Row],[Source.Name]],SEARCH("aus_der",Sensitivität_bzw_Monte_Carlo_bei_Strom[[#This Row],[Source.Name]],1))="Auszahlung_a","Auszahlung",""),"")</f>
        <v/>
      </c>
      <c r="D1399" s="1"/>
    </row>
    <row r="1400" spans="1:4" x14ac:dyDescent="0.3">
      <c r="A1400" s="1"/>
      <c r="B1400" s="1" t="str">
        <f>IFERROR(IF(LEFT(Sensitivität_bzw_Monte_Carlo_bei_Strom[[#This Row],[Source.Name]],SEARCH("aus_der",Sensitivität_bzw_Monte_Carlo_bei_Strom[[#This Row],[Source.Name]],1))="Auszahlung_a","Auszahlung",""),"")</f>
        <v/>
      </c>
      <c r="D1400" s="1"/>
    </row>
    <row r="1401" spans="1:4" x14ac:dyDescent="0.3">
      <c r="A1401" s="1"/>
      <c r="B1401" s="1" t="str">
        <f>IFERROR(IF(LEFT(Sensitivität_bzw_Monte_Carlo_bei_Strom[[#This Row],[Source.Name]],SEARCH("aus_der",Sensitivität_bzw_Monte_Carlo_bei_Strom[[#This Row],[Source.Name]],1))="Auszahlung_a","Auszahlung",""),"")</f>
        <v/>
      </c>
      <c r="D1401" s="1"/>
    </row>
    <row r="1402" spans="1:4" x14ac:dyDescent="0.3">
      <c r="A1402" s="1"/>
      <c r="B1402" s="1" t="str">
        <f>IFERROR(IF(LEFT(Sensitivität_bzw_Monte_Carlo_bei_Strom[[#This Row],[Source.Name]],SEARCH("aus_der",Sensitivität_bzw_Monte_Carlo_bei_Strom[[#This Row],[Source.Name]],1))="Auszahlung_a","Auszahlung",""),"")</f>
        <v/>
      </c>
      <c r="D1402" s="1"/>
    </row>
    <row r="1403" spans="1:4" x14ac:dyDescent="0.3">
      <c r="A1403" s="1"/>
      <c r="B1403" s="1" t="str">
        <f>IFERROR(IF(LEFT(Sensitivität_bzw_Monte_Carlo_bei_Strom[[#This Row],[Source.Name]],SEARCH("aus_der",Sensitivität_bzw_Monte_Carlo_bei_Strom[[#This Row],[Source.Name]],1))="Auszahlung_a","Auszahlung",""),"")</f>
        <v/>
      </c>
      <c r="D1403" s="1"/>
    </row>
    <row r="1404" spans="1:4" x14ac:dyDescent="0.3">
      <c r="A1404" s="1"/>
      <c r="B1404" s="1" t="str">
        <f>IFERROR(IF(LEFT(Sensitivität_bzw_Monte_Carlo_bei_Strom[[#This Row],[Source.Name]],SEARCH("aus_der",Sensitivität_bzw_Monte_Carlo_bei_Strom[[#This Row],[Source.Name]],1))="Auszahlung_a","Auszahlung",""),"")</f>
        <v/>
      </c>
      <c r="D1404" s="1"/>
    </row>
    <row r="1405" spans="1:4" x14ac:dyDescent="0.3">
      <c r="A1405" s="1"/>
      <c r="B1405" s="1" t="str">
        <f>IFERROR(IF(LEFT(Sensitivität_bzw_Monte_Carlo_bei_Strom[[#This Row],[Source.Name]],SEARCH("aus_der",Sensitivität_bzw_Monte_Carlo_bei_Strom[[#This Row],[Source.Name]],1))="Auszahlung_a","Auszahlung",""),"")</f>
        <v/>
      </c>
      <c r="D1405" s="1"/>
    </row>
    <row r="1406" spans="1:4" x14ac:dyDescent="0.3">
      <c r="A1406" s="1"/>
      <c r="B1406" s="1" t="str">
        <f>IFERROR(IF(LEFT(Sensitivität_bzw_Monte_Carlo_bei_Strom[[#This Row],[Source.Name]],SEARCH("aus_der",Sensitivität_bzw_Monte_Carlo_bei_Strom[[#This Row],[Source.Name]],1))="Auszahlung_a","Auszahlung",""),"")</f>
        <v/>
      </c>
      <c r="D1406" s="1"/>
    </row>
    <row r="1407" spans="1:4" x14ac:dyDescent="0.3">
      <c r="A1407" s="1"/>
      <c r="B1407" s="1" t="str">
        <f>IFERROR(IF(LEFT(Sensitivität_bzw_Monte_Carlo_bei_Strom[[#This Row],[Source.Name]],SEARCH("aus_der",Sensitivität_bzw_Monte_Carlo_bei_Strom[[#This Row],[Source.Name]],1))="Auszahlung_a","Auszahlung",""),"")</f>
        <v/>
      </c>
      <c r="D1407" s="1"/>
    </row>
    <row r="1408" spans="1:4" x14ac:dyDescent="0.3">
      <c r="A1408" s="1"/>
      <c r="B1408" s="1" t="str">
        <f>IFERROR(IF(LEFT(Sensitivität_bzw_Monte_Carlo_bei_Strom[[#This Row],[Source.Name]],SEARCH("aus_der",Sensitivität_bzw_Monte_Carlo_bei_Strom[[#This Row],[Source.Name]],1))="Auszahlung_a","Auszahlung",""),"")</f>
        <v/>
      </c>
      <c r="D1408" s="1"/>
    </row>
    <row r="1409" spans="1:4" x14ac:dyDescent="0.3">
      <c r="A1409" s="1"/>
      <c r="B1409" s="1" t="str">
        <f>IFERROR(IF(LEFT(Sensitivität_bzw_Monte_Carlo_bei_Strom[[#This Row],[Source.Name]],SEARCH("aus_der",Sensitivität_bzw_Monte_Carlo_bei_Strom[[#This Row],[Source.Name]],1))="Auszahlung_a","Auszahlung",""),"")</f>
        <v/>
      </c>
      <c r="D1409" s="1"/>
    </row>
    <row r="1410" spans="1:4" x14ac:dyDescent="0.3">
      <c r="A1410" s="1"/>
      <c r="B1410" s="1" t="str">
        <f>IFERROR(IF(LEFT(Sensitivität_bzw_Monte_Carlo_bei_Strom[[#This Row],[Source.Name]],SEARCH("aus_der",Sensitivität_bzw_Monte_Carlo_bei_Strom[[#This Row],[Source.Name]],1))="Auszahlung_a","Auszahlung",""),"")</f>
        <v/>
      </c>
      <c r="D1410" s="1"/>
    </row>
    <row r="1411" spans="1:4" x14ac:dyDescent="0.3">
      <c r="A1411" s="1"/>
      <c r="B1411" s="1" t="str">
        <f>IFERROR(IF(LEFT(Sensitivität_bzw_Monte_Carlo_bei_Strom[[#This Row],[Source.Name]],SEARCH("aus_der",Sensitivität_bzw_Monte_Carlo_bei_Strom[[#This Row],[Source.Name]],1))="Auszahlung_a","Auszahlung",""),"")</f>
        <v/>
      </c>
      <c r="D1411" s="1"/>
    </row>
    <row r="1412" spans="1:4" x14ac:dyDescent="0.3">
      <c r="A1412" s="1"/>
      <c r="B1412" s="1" t="str">
        <f>IFERROR(IF(LEFT(Sensitivität_bzw_Monte_Carlo_bei_Strom[[#This Row],[Source.Name]],SEARCH("aus_der",Sensitivität_bzw_Monte_Carlo_bei_Strom[[#This Row],[Source.Name]],1))="Auszahlung_a","Auszahlung",""),"")</f>
        <v/>
      </c>
      <c r="D1412" s="1"/>
    </row>
    <row r="1413" spans="1:4" x14ac:dyDescent="0.3">
      <c r="A1413" s="1"/>
      <c r="B1413" s="1" t="str">
        <f>IFERROR(IF(LEFT(Sensitivität_bzw_Monte_Carlo_bei_Strom[[#This Row],[Source.Name]],SEARCH("aus_der",Sensitivität_bzw_Monte_Carlo_bei_Strom[[#This Row],[Source.Name]],1))="Auszahlung_a","Auszahlung",""),"")</f>
        <v/>
      </c>
      <c r="D1413" s="1"/>
    </row>
    <row r="1414" spans="1:4" x14ac:dyDescent="0.3">
      <c r="A1414" s="1"/>
      <c r="B1414" s="1" t="str">
        <f>IFERROR(IF(LEFT(Sensitivität_bzw_Monte_Carlo_bei_Strom[[#This Row],[Source.Name]],SEARCH("aus_der",Sensitivität_bzw_Monte_Carlo_bei_Strom[[#This Row],[Source.Name]],1))="Auszahlung_a","Auszahlung",""),"")</f>
        <v/>
      </c>
      <c r="D1414" s="1"/>
    </row>
    <row r="1415" spans="1:4" x14ac:dyDescent="0.3">
      <c r="A1415" s="1"/>
      <c r="B1415" s="1" t="str">
        <f>IFERROR(IF(LEFT(Sensitivität_bzw_Monte_Carlo_bei_Strom[[#This Row],[Source.Name]],SEARCH("aus_der",Sensitivität_bzw_Monte_Carlo_bei_Strom[[#This Row],[Source.Name]],1))="Auszahlung_a","Auszahlung",""),"")</f>
        <v/>
      </c>
      <c r="D1415" s="1"/>
    </row>
    <row r="1416" spans="1:4" x14ac:dyDescent="0.3">
      <c r="A1416" s="1"/>
      <c r="B1416" s="1" t="str">
        <f>IFERROR(IF(LEFT(Sensitivität_bzw_Monte_Carlo_bei_Strom[[#This Row],[Source.Name]],SEARCH("aus_der",Sensitivität_bzw_Monte_Carlo_bei_Strom[[#This Row],[Source.Name]],1))="Auszahlung_a","Auszahlung",""),"")</f>
        <v/>
      </c>
      <c r="D1416" s="1"/>
    </row>
    <row r="1417" spans="1:4" x14ac:dyDescent="0.3">
      <c r="A1417" s="1"/>
      <c r="B1417" s="1" t="str">
        <f>IFERROR(IF(LEFT(Sensitivität_bzw_Monte_Carlo_bei_Strom[[#This Row],[Source.Name]],SEARCH("aus_der",Sensitivität_bzw_Monte_Carlo_bei_Strom[[#This Row],[Source.Name]],1))="Auszahlung_a","Auszahlung",""),"")</f>
        <v/>
      </c>
      <c r="D1417" s="1"/>
    </row>
    <row r="1418" spans="1:4" x14ac:dyDescent="0.3">
      <c r="A1418" s="1"/>
      <c r="B1418" s="1" t="str">
        <f>IFERROR(IF(LEFT(Sensitivität_bzw_Monte_Carlo_bei_Strom[[#This Row],[Source.Name]],SEARCH("aus_der",Sensitivität_bzw_Monte_Carlo_bei_Strom[[#This Row],[Source.Name]],1))="Auszahlung_a","Auszahlung",""),"")</f>
        <v/>
      </c>
      <c r="D1418" s="1"/>
    </row>
    <row r="1419" spans="1:4" x14ac:dyDescent="0.3">
      <c r="A1419" s="1"/>
      <c r="B1419" s="1" t="str">
        <f>IFERROR(IF(LEFT(Sensitivität_bzw_Monte_Carlo_bei_Strom[[#This Row],[Source.Name]],SEARCH("aus_der",Sensitivität_bzw_Monte_Carlo_bei_Strom[[#This Row],[Source.Name]],1))="Auszahlung_a","Auszahlung",""),"")</f>
        <v/>
      </c>
      <c r="D1419" s="1"/>
    </row>
    <row r="1420" spans="1:4" x14ac:dyDescent="0.3">
      <c r="A1420" s="1"/>
      <c r="B1420" s="1" t="str">
        <f>IFERROR(IF(LEFT(Sensitivität_bzw_Monte_Carlo_bei_Strom[[#This Row],[Source.Name]],SEARCH("aus_der",Sensitivität_bzw_Monte_Carlo_bei_Strom[[#This Row],[Source.Name]],1))="Auszahlung_a","Auszahlung",""),"")</f>
        <v/>
      </c>
      <c r="D1420" s="1"/>
    </row>
    <row r="1421" spans="1:4" x14ac:dyDescent="0.3">
      <c r="A1421" s="1"/>
      <c r="B1421" s="1" t="str">
        <f>IFERROR(IF(LEFT(Sensitivität_bzw_Monte_Carlo_bei_Strom[[#This Row],[Source.Name]],SEARCH("aus_der",Sensitivität_bzw_Monte_Carlo_bei_Strom[[#This Row],[Source.Name]],1))="Auszahlung_a","Auszahlung",""),"")</f>
        <v/>
      </c>
      <c r="D1421" s="1"/>
    </row>
    <row r="1422" spans="1:4" x14ac:dyDescent="0.3">
      <c r="A1422" s="1"/>
      <c r="B1422" s="1" t="str">
        <f>IFERROR(IF(LEFT(Sensitivität_bzw_Monte_Carlo_bei_Strom[[#This Row],[Source.Name]],SEARCH("aus_der",Sensitivität_bzw_Monte_Carlo_bei_Strom[[#This Row],[Source.Name]],1))="Auszahlung_a","Auszahlung",""),"")</f>
        <v/>
      </c>
      <c r="D1422" s="1"/>
    </row>
    <row r="1423" spans="1:4" x14ac:dyDescent="0.3">
      <c r="A1423" s="1"/>
      <c r="B1423" s="1" t="str">
        <f>IFERROR(IF(LEFT(Sensitivität_bzw_Monte_Carlo_bei_Strom[[#This Row],[Source.Name]],SEARCH("aus_der",Sensitivität_bzw_Monte_Carlo_bei_Strom[[#This Row],[Source.Name]],1))="Auszahlung_a","Auszahlung",""),"")</f>
        <v/>
      </c>
      <c r="D1423" s="1"/>
    </row>
    <row r="1424" spans="1:4" x14ac:dyDescent="0.3">
      <c r="A1424" s="1"/>
      <c r="B1424" s="1" t="str">
        <f>IFERROR(IF(LEFT(Sensitivität_bzw_Monte_Carlo_bei_Strom[[#This Row],[Source.Name]],SEARCH("aus_der",Sensitivität_bzw_Monte_Carlo_bei_Strom[[#This Row],[Source.Name]],1))="Auszahlung_a","Auszahlung",""),"")</f>
        <v/>
      </c>
      <c r="D1424" s="1"/>
    </row>
    <row r="1425" spans="1:4" x14ac:dyDescent="0.3">
      <c r="A1425" s="1"/>
      <c r="B1425" s="1" t="str">
        <f>IFERROR(IF(LEFT(Sensitivität_bzw_Monte_Carlo_bei_Strom[[#This Row],[Source.Name]],SEARCH("aus_der",Sensitivität_bzw_Monte_Carlo_bei_Strom[[#This Row],[Source.Name]],1))="Auszahlung_a","Auszahlung",""),"")</f>
        <v/>
      </c>
      <c r="D1425" s="1"/>
    </row>
    <row r="1426" spans="1:4" x14ac:dyDescent="0.3">
      <c r="A1426" s="1"/>
      <c r="B1426" s="1" t="str">
        <f>IFERROR(IF(LEFT(Sensitivität_bzw_Monte_Carlo_bei_Strom[[#This Row],[Source.Name]],SEARCH("aus_der",Sensitivität_bzw_Monte_Carlo_bei_Strom[[#This Row],[Source.Name]],1))="Auszahlung_a","Auszahlung",""),"")</f>
        <v/>
      </c>
      <c r="D1426" s="1"/>
    </row>
    <row r="1427" spans="1:4" x14ac:dyDescent="0.3">
      <c r="A1427" s="1"/>
      <c r="B1427" s="1" t="str">
        <f>IFERROR(IF(LEFT(Sensitivität_bzw_Monte_Carlo_bei_Strom[[#This Row],[Source.Name]],SEARCH("aus_der",Sensitivität_bzw_Monte_Carlo_bei_Strom[[#This Row],[Source.Name]],1))="Auszahlung_a","Auszahlung",""),"")</f>
        <v/>
      </c>
      <c r="D1427" s="1"/>
    </row>
    <row r="1428" spans="1:4" x14ac:dyDescent="0.3">
      <c r="A1428" s="1"/>
      <c r="B1428" s="1" t="str">
        <f>IFERROR(IF(LEFT(Sensitivität_bzw_Monte_Carlo_bei_Strom[[#This Row],[Source.Name]],SEARCH("aus_der",Sensitivität_bzw_Monte_Carlo_bei_Strom[[#This Row],[Source.Name]],1))="Auszahlung_a","Auszahlung",""),"")</f>
        <v/>
      </c>
      <c r="D1428" s="1"/>
    </row>
    <row r="1429" spans="1:4" x14ac:dyDescent="0.3">
      <c r="A1429" s="1"/>
      <c r="B1429" s="1" t="str">
        <f>IFERROR(IF(LEFT(Sensitivität_bzw_Monte_Carlo_bei_Strom[[#This Row],[Source.Name]],SEARCH("aus_der",Sensitivität_bzw_Monte_Carlo_bei_Strom[[#This Row],[Source.Name]],1))="Auszahlung_a","Auszahlung",""),"")</f>
        <v/>
      </c>
      <c r="D1429" s="1"/>
    </row>
    <row r="1430" spans="1:4" x14ac:dyDescent="0.3">
      <c r="A1430" s="1"/>
      <c r="B1430" s="1" t="str">
        <f>IFERROR(IF(LEFT(Sensitivität_bzw_Monte_Carlo_bei_Strom[[#This Row],[Source.Name]],SEARCH("aus_der",Sensitivität_bzw_Monte_Carlo_bei_Strom[[#This Row],[Source.Name]],1))="Auszahlung_a","Auszahlung",""),"")</f>
        <v/>
      </c>
      <c r="D1430" s="1"/>
    </row>
    <row r="1431" spans="1:4" x14ac:dyDescent="0.3">
      <c r="A1431" s="1"/>
      <c r="B1431" s="1" t="str">
        <f>IFERROR(IF(LEFT(Sensitivität_bzw_Monte_Carlo_bei_Strom[[#This Row],[Source.Name]],SEARCH("aus_der",Sensitivität_bzw_Monte_Carlo_bei_Strom[[#This Row],[Source.Name]],1))="Auszahlung_a","Auszahlung",""),"")</f>
        <v/>
      </c>
      <c r="D1431" s="1"/>
    </row>
    <row r="1432" spans="1:4" x14ac:dyDescent="0.3">
      <c r="A1432" s="1"/>
      <c r="B1432" s="1" t="str">
        <f>IFERROR(IF(LEFT(Sensitivität_bzw_Monte_Carlo_bei_Strom[[#This Row],[Source.Name]],SEARCH("aus_der",Sensitivität_bzw_Monte_Carlo_bei_Strom[[#This Row],[Source.Name]],1))="Auszahlung_a","Auszahlung",""),"")</f>
        <v/>
      </c>
      <c r="D1432" s="1"/>
    </row>
    <row r="1433" spans="1:4" x14ac:dyDescent="0.3">
      <c r="A1433" s="1"/>
      <c r="B1433" s="1" t="str">
        <f>IFERROR(IF(LEFT(Sensitivität_bzw_Monte_Carlo_bei_Strom[[#This Row],[Source.Name]],SEARCH("aus_der",Sensitivität_bzw_Monte_Carlo_bei_Strom[[#This Row],[Source.Name]],1))="Auszahlung_a","Auszahlung",""),"")</f>
        <v/>
      </c>
      <c r="D1433" s="1"/>
    </row>
    <row r="1434" spans="1:4" x14ac:dyDescent="0.3">
      <c r="A1434" s="1"/>
      <c r="B1434" s="1" t="str">
        <f>IFERROR(IF(LEFT(Sensitivität_bzw_Monte_Carlo_bei_Strom[[#This Row],[Source.Name]],SEARCH("aus_der",Sensitivität_bzw_Monte_Carlo_bei_Strom[[#This Row],[Source.Name]],1))="Auszahlung_a","Auszahlung",""),"")</f>
        <v/>
      </c>
      <c r="D1434" s="1"/>
    </row>
    <row r="1435" spans="1:4" x14ac:dyDescent="0.3">
      <c r="A1435" s="1"/>
      <c r="B1435" s="1" t="str">
        <f>IFERROR(IF(LEFT(Sensitivität_bzw_Monte_Carlo_bei_Strom[[#This Row],[Source.Name]],SEARCH("aus_der",Sensitivität_bzw_Monte_Carlo_bei_Strom[[#This Row],[Source.Name]],1))="Auszahlung_a","Auszahlung",""),"")</f>
        <v/>
      </c>
      <c r="D1435" s="1"/>
    </row>
    <row r="1436" spans="1:4" x14ac:dyDescent="0.3">
      <c r="A1436" s="1"/>
      <c r="B1436" s="1" t="str">
        <f>IFERROR(IF(LEFT(Sensitivität_bzw_Monte_Carlo_bei_Strom[[#This Row],[Source.Name]],SEARCH("aus_der",Sensitivität_bzw_Monte_Carlo_bei_Strom[[#This Row],[Source.Name]],1))="Auszahlung_a","Auszahlung",""),"")</f>
        <v/>
      </c>
      <c r="D1436" s="1"/>
    </row>
    <row r="1437" spans="1:4" x14ac:dyDescent="0.3">
      <c r="A1437" s="1"/>
      <c r="B1437" s="1" t="str">
        <f>IFERROR(IF(LEFT(Sensitivität_bzw_Monte_Carlo_bei_Strom[[#This Row],[Source.Name]],SEARCH("aus_der",Sensitivität_bzw_Monte_Carlo_bei_Strom[[#This Row],[Source.Name]],1))="Auszahlung_a","Auszahlung",""),"")</f>
        <v/>
      </c>
      <c r="D1437" s="1"/>
    </row>
    <row r="1438" spans="1:4" x14ac:dyDescent="0.3">
      <c r="A1438" s="1"/>
      <c r="B1438" s="1" t="str">
        <f>IFERROR(IF(LEFT(Sensitivität_bzw_Monte_Carlo_bei_Strom[[#This Row],[Source.Name]],SEARCH("aus_der",Sensitivität_bzw_Monte_Carlo_bei_Strom[[#This Row],[Source.Name]],1))="Auszahlung_a","Auszahlung",""),"")</f>
        <v/>
      </c>
      <c r="D1438" s="1"/>
    </row>
    <row r="1439" spans="1:4" x14ac:dyDescent="0.3">
      <c r="A1439" s="1"/>
      <c r="B1439" s="1" t="str">
        <f>IFERROR(IF(LEFT(Sensitivität_bzw_Monte_Carlo_bei_Strom[[#This Row],[Source.Name]],SEARCH("aus_der",Sensitivität_bzw_Monte_Carlo_bei_Strom[[#This Row],[Source.Name]],1))="Auszahlung_a","Auszahlung",""),"")</f>
        <v/>
      </c>
      <c r="D1439" s="1"/>
    </row>
    <row r="1440" spans="1:4" x14ac:dyDescent="0.3">
      <c r="A1440" s="1"/>
      <c r="B1440" s="1" t="str">
        <f>IFERROR(IF(LEFT(Sensitivität_bzw_Monte_Carlo_bei_Strom[[#This Row],[Source.Name]],SEARCH("aus_der",Sensitivität_bzw_Monte_Carlo_bei_Strom[[#This Row],[Source.Name]],1))="Auszahlung_a","Auszahlung",""),"")</f>
        <v/>
      </c>
      <c r="D1440" s="1"/>
    </row>
    <row r="1441" spans="1:4" x14ac:dyDescent="0.3">
      <c r="A1441" s="1"/>
      <c r="B1441" s="1" t="str">
        <f>IFERROR(IF(LEFT(Sensitivität_bzw_Monte_Carlo_bei_Strom[[#This Row],[Source.Name]],SEARCH("aus_der",Sensitivität_bzw_Monte_Carlo_bei_Strom[[#This Row],[Source.Name]],1))="Auszahlung_a","Auszahlung",""),"")</f>
        <v/>
      </c>
      <c r="D1441" s="1"/>
    </row>
    <row r="1442" spans="1:4" x14ac:dyDescent="0.3">
      <c r="A1442" s="1"/>
      <c r="B1442" s="1" t="str">
        <f>IFERROR(IF(LEFT(Sensitivität_bzw_Monte_Carlo_bei_Strom[[#This Row],[Source.Name]],SEARCH("aus_der",Sensitivität_bzw_Monte_Carlo_bei_Strom[[#This Row],[Source.Name]],1))="Auszahlung_a","Auszahlung",""),"")</f>
        <v/>
      </c>
      <c r="D1442" s="1"/>
    </row>
    <row r="1443" spans="1:4" x14ac:dyDescent="0.3">
      <c r="A1443" s="1"/>
      <c r="B1443" s="1" t="str">
        <f>IFERROR(IF(LEFT(Sensitivität_bzw_Monte_Carlo_bei_Strom[[#This Row],[Source.Name]],SEARCH("aus_der",Sensitivität_bzw_Monte_Carlo_bei_Strom[[#This Row],[Source.Name]],1))="Auszahlung_a","Auszahlung",""),"")</f>
        <v/>
      </c>
      <c r="D1443" s="1"/>
    </row>
    <row r="1444" spans="1:4" x14ac:dyDescent="0.3">
      <c r="A1444" s="1"/>
      <c r="B1444" s="1" t="str">
        <f>IFERROR(IF(LEFT(Sensitivität_bzw_Monte_Carlo_bei_Strom[[#This Row],[Source.Name]],SEARCH("aus_der",Sensitivität_bzw_Monte_Carlo_bei_Strom[[#This Row],[Source.Name]],1))="Auszahlung_a","Auszahlung",""),"")</f>
        <v/>
      </c>
      <c r="D1444" s="1"/>
    </row>
    <row r="1445" spans="1:4" x14ac:dyDescent="0.3">
      <c r="A1445" s="1"/>
      <c r="B1445" s="1" t="str">
        <f>IFERROR(IF(LEFT(Sensitivität_bzw_Monte_Carlo_bei_Strom[[#This Row],[Source.Name]],SEARCH("aus_der",Sensitivität_bzw_Monte_Carlo_bei_Strom[[#This Row],[Source.Name]],1))="Auszahlung_a","Auszahlung",""),"")</f>
        <v/>
      </c>
      <c r="D1445" s="1"/>
    </row>
    <row r="1446" spans="1:4" x14ac:dyDescent="0.3">
      <c r="A1446" s="1"/>
      <c r="B1446" s="1" t="str">
        <f>IFERROR(IF(LEFT(Sensitivität_bzw_Monte_Carlo_bei_Strom[[#This Row],[Source.Name]],SEARCH("aus_der",Sensitivität_bzw_Monte_Carlo_bei_Strom[[#This Row],[Source.Name]],1))="Auszahlung_a","Auszahlung",""),"")</f>
        <v/>
      </c>
      <c r="D1446" s="1"/>
    </row>
    <row r="1447" spans="1:4" x14ac:dyDescent="0.3">
      <c r="A1447" s="1"/>
      <c r="B1447" s="1" t="str">
        <f>IFERROR(IF(LEFT(Sensitivität_bzw_Monte_Carlo_bei_Strom[[#This Row],[Source.Name]],SEARCH("aus_der",Sensitivität_bzw_Monte_Carlo_bei_Strom[[#This Row],[Source.Name]],1))="Auszahlung_a","Auszahlung",""),"")</f>
        <v/>
      </c>
      <c r="D1447" s="1"/>
    </row>
    <row r="1448" spans="1:4" x14ac:dyDescent="0.3">
      <c r="A1448" s="1"/>
      <c r="B1448" s="1" t="str">
        <f>IFERROR(IF(LEFT(Sensitivität_bzw_Monte_Carlo_bei_Strom[[#This Row],[Source.Name]],SEARCH("aus_der",Sensitivität_bzw_Monte_Carlo_bei_Strom[[#This Row],[Source.Name]],1))="Auszahlung_a","Auszahlung",""),"")</f>
        <v/>
      </c>
      <c r="D1448" s="1"/>
    </row>
    <row r="1449" spans="1:4" x14ac:dyDescent="0.3">
      <c r="A1449" s="1"/>
      <c r="B1449" s="1" t="str">
        <f>IFERROR(IF(LEFT(Sensitivität_bzw_Monte_Carlo_bei_Strom[[#This Row],[Source.Name]],SEARCH("aus_der",Sensitivität_bzw_Monte_Carlo_bei_Strom[[#This Row],[Source.Name]],1))="Auszahlung_a","Auszahlung",""),"")</f>
        <v/>
      </c>
      <c r="D1449" s="1"/>
    </row>
    <row r="1450" spans="1:4" x14ac:dyDescent="0.3">
      <c r="A1450" s="1"/>
      <c r="B1450" s="1" t="str">
        <f>IFERROR(IF(LEFT(Sensitivität_bzw_Monte_Carlo_bei_Strom[[#This Row],[Source.Name]],SEARCH("aus_der",Sensitivität_bzw_Monte_Carlo_bei_Strom[[#This Row],[Source.Name]],1))="Auszahlung_a","Auszahlung",""),"")</f>
        <v/>
      </c>
      <c r="D1450" s="1"/>
    </row>
    <row r="1451" spans="1:4" x14ac:dyDescent="0.3">
      <c r="A1451" s="1"/>
      <c r="B1451" s="1" t="str">
        <f>IFERROR(IF(LEFT(Sensitivität_bzw_Monte_Carlo_bei_Strom[[#This Row],[Source.Name]],SEARCH("aus_der",Sensitivität_bzw_Monte_Carlo_bei_Strom[[#This Row],[Source.Name]],1))="Auszahlung_a","Auszahlung",""),"")</f>
        <v/>
      </c>
      <c r="D1451" s="1"/>
    </row>
    <row r="1452" spans="1:4" x14ac:dyDescent="0.3">
      <c r="A1452" s="1"/>
      <c r="B1452" s="1" t="str">
        <f>IFERROR(IF(LEFT(Sensitivität_bzw_Monte_Carlo_bei_Strom[[#This Row],[Source.Name]],SEARCH("aus_der",Sensitivität_bzw_Monte_Carlo_bei_Strom[[#This Row],[Source.Name]],1))="Auszahlung_a","Auszahlung",""),"")</f>
        <v/>
      </c>
      <c r="D1452" s="1"/>
    </row>
    <row r="1453" spans="1:4" x14ac:dyDescent="0.3">
      <c r="A1453" s="1"/>
      <c r="B1453" s="1" t="str">
        <f>IFERROR(IF(LEFT(Sensitivität_bzw_Monte_Carlo_bei_Strom[[#This Row],[Source.Name]],SEARCH("aus_der",Sensitivität_bzw_Monte_Carlo_bei_Strom[[#This Row],[Source.Name]],1))="Auszahlung_a","Auszahlung",""),"")</f>
        <v/>
      </c>
      <c r="D1453" s="1"/>
    </row>
    <row r="1454" spans="1:4" x14ac:dyDescent="0.3">
      <c r="A1454" s="1"/>
      <c r="B1454" s="1" t="str">
        <f>IFERROR(IF(LEFT(Sensitivität_bzw_Monte_Carlo_bei_Strom[[#This Row],[Source.Name]],SEARCH("aus_der",Sensitivität_bzw_Monte_Carlo_bei_Strom[[#This Row],[Source.Name]],1))="Auszahlung_a","Auszahlung",""),"")</f>
        <v/>
      </c>
      <c r="D1454" s="1"/>
    </row>
    <row r="1455" spans="1:4" x14ac:dyDescent="0.3">
      <c r="A1455" s="1"/>
      <c r="B1455" s="1" t="str">
        <f>IFERROR(IF(LEFT(Sensitivität_bzw_Monte_Carlo_bei_Strom[[#This Row],[Source.Name]],SEARCH("aus_der",Sensitivität_bzw_Monte_Carlo_bei_Strom[[#This Row],[Source.Name]],1))="Auszahlung_a","Auszahlung",""),"")</f>
        <v/>
      </c>
      <c r="D1455" s="1"/>
    </row>
    <row r="1456" spans="1:4" x14ac:dyDescent="0.3">
      <c r="A1456" s="1"/>
      <c r="B1456" s="1" t="str">
        <f>IFERROR(IF(LEFT(Sensitivität_bzw_Monte_Carlo_bei_Strom[[#This Row],[Source.Name]],SEARCH("aus_der",Sensitivität_bzw_Monte_Carlo_bei_Strom[[#This Row],[Source.Name]],1))="Auszahlung_a","Auszahlung",""),"")</f>
        <v/>
      </c>
      <c r="D1456" s="1"/>
    </row>
    <row r="1457" spans="1:4" x14ac:dyDescent="0.3">
      <c r="A1457" s="1"/>
      <c r="B1457" s="1" t="str">
        <f>IFERROR(IF(LEFT(Sensitivität_bzw_Monte_Carlo_bei_Strom[[#This Row],[Source.Name]],SEARCH("aus_der",Sensitivität_bzw_Monte_Carlo_bei_Strom[[#This Row],[Source.Name]],1))="Auszahlung_a","Auszahlung",""),"")</f>
        <v/>
      </c>
      <c r="D1457" s="1"/>
    </row>
    <row r="1458" spans="1:4" x14ac:dyDescent="0.3">
      <c r="A1458" s="1"/>
      <c r="B1458" s="1" t="str">
        <f>IFERROR(IF(LEFT(Sensitivität_bzw_Monte_Carlo_bei_Strom[[#This Row],[Source.Name]],SEARCH("aus_der",Sensitivität_bzw_Monte_Carlo_bei_Strom[[#This Row],[Source.Name]],1))="Auszahlung_a","Auszahlung",""),"")</f>
        <v/>
      </c>
      <c r="D1458" s="1"/>
    </row>
    <row r="1459" spans="1:4" x14ac:dyDescent="0.3">
      <c r="A1459" s="1"/>
      <c r="B1459" s="1" t="str">
        <f>IFERROR(IF(LEFT(Sensitivität_bzw_Monte_Carlo_bei_Strom[[#This Row],[Source.Name]],SEARCH("aus_der",Sensitivität_bzw_Monte_Carlo_bei_Strom[[#This Row],[Source.Name]],1))="Auszahlung_a","Auszahlung",""),"")</f>
        <v/>
      </c>
      <c r="D1459" s="1"/>
    </row>
    <row r="1460" spans="1:4" x14ac:dyDescent="0.3">
      <c r="A1460" s="1"/>
      <c r="B1460" s="1" t="str">
        <f>IFERROR(IF(LEFT(Sensitivität_bzw_Monte_Carlo_bei_Strom[[#This Row],[Source.Name]],SEARCH("aus_der",Sensitivität_bzw_Monte_Carlo_bei_Strom[[#This Row],[Source.Name]],1))="Auszahlung_a","Auszahlung",""),"")</f>
        <v/>
      </c>
      <c r="D1460" s="1"/>
    </row>
    <row r="1461" spans="1:4" x14ac:dyDescent="0.3">
      <c r="A1461" s="1"/>
      <c r="B1461" s="1" t="str">
        <f>IFERROR(IF(LEFT(Sensitivität_bzw_Monte_Carlo_bei_Strom[[#This Row],[Source.Name]],SEARCH("aus_der",Sensitivität_bzw_Monte_Carlo_bei_Strom[[#This Row],[Source.Name]],1))="Auszahlung_a","Auszahlung",""),"")</f>
        <v/>
      </c>
      <c r="D1461" s="1"/>
    </row>
    <row r="1462" spans="1:4" x14ac:dyDescent="0.3">
      <c r="A1462" s="1"/>
      <c r="B1462" s="1" t="str">
        <f>IFERROR(IF(LEFT(Sensitivität_bzw_Monte_Carlo_bei_Strom[[#This Row],[Source.Name]],SEARCH("aus_der",Sensitivität_bzw_Monte_Carlo_bei_Strom[[#This Row],[Source.Name]],1))="Auszahlung_a","Auszahlung",""),"")</f>
        <v/>
      </c>
      <c r="D1462" s="1"/>
    </row>
    <row r="1463" spans="1:4" x14ac:dyDescent="0.3">
      <c r="A1463" s="1"/>
      <c r="B1463" s="1" t="str">
        <f>IFERROR(IF(LEFT(Sensitivität_bzw_Monte_Carlo_bei_Strom[[#This Row],[Source.Name]],SEARCH("aus_der",Sensitivität_bzw_Monte_Carlo_bei_Strom[[#This Row],[Source.Name]],1))="Auszahlung_a","Auszahlung",""),"")</f>
        <v/>
      </c>
      <c r="D1463" s="1"/>
    </row>
    <row r="1464" spans="1:4" x14ac:dyDescent="0.3">
      <c r="A1464" s="1"/>
      <c r="B1464" s="1" t="str">
        <f>IFERROR(IF(LEFT(Sensitivität_bzw_Monte_Carlo_bei_Strom[[#This Row],[Source.Name]],SEARCH("aus_der",Sensitivität_bzw_Monte_Carlo_bei_Strom[[#This Row],[Source.Name]],1))="Auszahlung_a","Auszahlung",""),"")</f>
        <v/>
      </c>
      <c r="D1464" s="1"/>
    </row>
    <row r="1465" spans="1:4" x14ac:dyDescent="0.3">
      <c r="A1465" s="1"/>
      <c r="B1465" s="1" t="str">
        <f>IFERROR(IF(LEFT(Sensitivität_bzw_Monte_Carlo_bei_Strom[[#This Row],[Source.Name]],SEARCH("aus_der",Sensitivität_bzw_Monte_Carlo_bei_Strom[[#This Row],[Source.Name]],1))="Auszahlung_a","Auszahlung",""),"")</f>
        <v/>
      </c>
      <c r="D1465" s="1"/>
    </row>
    <row r="1466" spans="1:4" x14ac:dyDescent="0.3">
      <c r="A1466" s="1"/>
      <c r="B1466" s="1" t="str">
        <f>IFERROR(IF(LEFT(Sensitivität_bzw_Monte_Carlo_bei_Strom[[#This Row],[Source.Name]],SEARCH("aus_der",Sensitivität_bzw_Monte_Carlo_bei_Strom[[#This Row],[Source.Name]],1))="Auszahlung_a","Auszahlung",""),"")</f>
        <v/>
      </c>
      <c r="D1466" s="1"/>
    </row>
    <row r="1467" spans="1:4" x14ac:dyDescent="0.3">
      <c r="A1467" s="1"/>
      <c r="B1467" s="1" t="str">
        <f>IFERROR(IF(LEFT(Sensitivität_bzw_Monte_Carlo_bei_Strom[[#This Row],[Source.Name]],SEARCH("aus_der",Sensitivität_bzw_Monte_Carlo_bei_Strom[[#This Row],[Source.Name]],1))="Auszahlung_a","Auszahlung",""),"")</f>
        <v/>
      </c>
      <c r="D1467" s="1"/>
    </row>
    <row r="1468" spans="1:4" x14ac:dyDescent="0.3">
      <c r="A1468" s="1"/>
      <c r="B1468" s="1" t="str">
        <f>IFERROR(IF(LEFT(Sensitivität_bzw_Monte_Carlo_bei_Strom[[#This Row],[Source.Name]],SEARCH("aus_der",Sensitivität_bzw_Monte_Carlo_bei_Strom[[#This Row],[Source.Name]],1))="Auszahlung_a","Auszahlung",""),"")</f>
        <v/>
      </c>
      <c r="D1468" s="1"/>
    </row>
    <row r="1469" spans="1:4" x14ac:dyDescent="0.3">
      <c r="A1469" s="1"/>
      <c r="B1469" s="1" t="str">
        <f>IFERROR(IF(LEFT(Sensitivität_bzw_Monte_Carlo_bei_Strom[[#This Row],[Source.Name]],SEARCH("aus_der",Sensitivität_bzw_Monte_Carlo_bei_Strom[[#This Row],[Source.Name]],1))="Auszahlung_a","Auszahlung",""),"")</f>
        <v/>
      </c>
      <c r="D1469" s="1"/>
    </row>
    <row r="1470" spans="1:4" x14ac:dyDescent="0.3">
      <c r="A1470" s="1"/>
      <c r="B1470" s="1" t="str">
        <f>IFERROR(IF(LEFT(Sensitivität_bzw_Monte_Carlo_bei_Strom[[#This Row],[Source.Name]],SEARCH("aus_der",Sensitivität_bzw_Monte_Carlo_bei_Strom[[#This Row],[Source.Name]],1))="Auszahlung_a","Auszahlung",""),"")</f>
        <v/>
      </c>
      <c r="D1470" s="1"/>
    </row>
    <row r="1471" spans="1:4" x14ac:dyDescent="0.3">
      <c r="A1471" s="1"/>
      <c r="B1471" s="1" t="str">
        <f>IFERROR(IF(LEFT(Sensitivität_bzw_Monte_Carlo_bei_Strom[[#This Row],[Source.Name]],SEARCH("aus_der",Sensitivität_bzw_Monte_Carlo_bei_Strom[[#This Row],[Source.Name]],1))="Auszahlung_a","Auszahlung",""),"")</f>
        <v/>
      </c>
      <c r="D1471" s="1"/>
    </row>
    <row r="1472" spans="1:4" x14ac:dyDescent="0.3">
      <c r="A1472" s="1"/>
      <c r="B1472" s="1" t="str">
        <f>IFERROR(IF(LEFT(Sensitivität_bzw_Monte_Carlo_bei_Strom[[#This Row],[Source.Name]],SEARCH("aus_der",Sensitivität_bzw_Monte_Carlo_bei_Strom[[#This Row],[Source.Name]],1))="Auszahlung_a","Auszahlung",""),"")</f>
        <v/>
      </c>
      <c r="D1472" s="1"/>
    </row>
    <row r="1473" spans="1:4" x14ac:dyDescent="0.3">
      <c r="A1473" s="1"/>
      <c r="B1473" s="1" t="str">
        <f>IFERROR(IF(LEFT(Sensitivität_bzw_Monte_Carlo_bei_Strom[[#This Row],[Source.Name]],SEARCH("aus_der",Sensitivität_bzw_Monte_Carlo_bei_Strom[[#This Row],[Source.Name]],1))="Auszahlung_a","Auszahlung",""),"")</f>
        <v/>
      </c>
      <c r="D1473" s="1"/>
    </row>
    <row r="1474" spans="1:4" x14ac:dyDescent="0.3">
      <c r="A1474" s="1"/>
      <c r="B1474" s="1" t="str">
        <f>IFERROR(IF(LEFT(Sensitivität_bzw_Monte_Carlo_bei_Strom[[#This Row],[Source.Name]],SEARCH("aus_der",Sensitivität_bzw_Monte_Carlo_bei_Strom[[#This Row],[Source.Name]],1))="Auszahlung_a","Auszahlung",""),"")</f>
        <v/>
      </c>
      <c r="D1474" s="1"/>
    </row>
    <row r="1475" spans="1:4" x14ac:dyDescent="0.3">
      <c r="A1475" s="1"/>
      <c r="B1475" s="1" t="str">
        <f>IFERROR(IF(LEFT(Sensitivität_bzw_Monte_Carlo_bei_Strom[[#This Row],[Source.Name]],SEARCH("aus_der",Sensitivität_bzw_Monte_Carlo_bei_Strom[[#This Row],[Source.Name]],1))="Auszahlung_a","Auszahlung",""),"")</f>
        <v/>
      </c>
      <c r="D1475" s="1"/>
    </row>
    <row r="1476" spans="1:4" x14ac:dyDescent="0.3">
      <c r="A1476" s="1"/>
      <c r="B1476" s="1" t="str">
        <f>IFERROR(IF(LEFT(Sensitivität_bzw_Monte_Carlo_bei_Strom[[#This Row],[Source.Name]],SEARCH("aus_der",Sensitivität_bzw_Monte_Carlo_bei_Strom[[#This Row],[Source.Name]],1))="Auszahlung_a","Auszahlung",""),"")</f>
        <v/>
      </c>
      <c r="D1476" s="1"/>
    </row>
    <row r="1477" spans="1:4" x14ac:dyDescent="0.3">
      <c r="A1477" s="1"/>
      <c r="B1477" s="1" t="str">
        <f>IFERROR(IF(LEFT(Sensitivität_bzw_Monte_Carlo_bei_Strom[[#This Row],[Source.Name]],SEARCH("aus_der",Sensitivität_bzw_Monte_Carlo_bei_Strom[[#This Row],[Source.Name]],1))="Auszahlung_a","Auszahlung",""),"")</f>
        <v/>
      </c>
      <c r="D1477" s="1"/>
    </row>
    <row r="1478" spans="1:4" x14ac:dyDescent="0.3">
      <c r="A1478" s="1"/>
      <c r="B1478" s="1" t="str">
        <f>IFERROR(IF(LEFT(Sensitivität_bzw_Monte_Carlo_bei_Strom[[#This Row],[Source.Name]],SEARCH("aus_der",Sensitivität_bzw_Monte_Carlo_bei_Strom[[#This Row],[Source.Name]],1))="Auszahlung_a","Auszahlung",""),"")</f>
        <v/>
      </c>
      <c r="D1478" s="1"/>
    </row>
    <row r="1479" spans="1:4" x14ac:dyDescent="0.3">
      <c r="A1479" s="1"/>
      <c r="B1479" s="1" t="str">
        <f>IFERROR(IF(LEFT(Sensitivität_bzw_Monte_Carlo_bei_Strom[[#This Row],[Source.Name]],SEARCH("aus_der",Sensitivität_bzw_Monte_Carlo_bei_Strom[[#This Row],[Source.Name]],1))="Auszahlung_a","Auszahlung",""),"")</f>
        <v/>
      </c>
      <c r="D1479" s="1"/>
    </row>
    <row r="1480" spans="1:4" x14ac:dyDescent="0.3">
      <c r="A1480" s="1"/>
      <c r="B1480" s="1" t="str">
        <f>IFERROR(IF(LEFT(Sensitivität_bzw_Monte_Carlo_bei_Strom[[#This Row],[Source.Name]],SEARCH("aus_der",Sensitivität_bzw_Monte_Carlo_bei_Strom[[#This Row],[Source.Name]],1))="Auszahlung_a","Auszahlung",""),"")</f>
        <v/>
      </c>
      <c r="D1480" s="1"/>
    </row>
    <row r="1481" spans="1:4" x14ac:dyDescent="0.3">
      <c r="A1481" s="1"/>
      <c r="B1481" s="1" t="str">
        <f>IFERROR(IF(LEFT(Sensitivität_bzw_Monte_Carlo_bei_Strom[[#This Row],[Source.Name]],SEARCH("aus_der",Sensitivität_bzw_Monte_Carlo_bei_Strom[[#This Row],[Source.Name]],1))="Auszahlung_a","Auszahlung",""),"")</f>
        <v/>
      </c>
      <c r="D1481" s="1"/>
    </row>
    <row r="1482" spans="1:4" x14ac:dyDescent="0.3">
      <c r="A1482" s="1"/>
      <c r="B1482" s="1" t="str">
        <f>IFERROR(IF(LEFT(Sensitivität_bzw_Monte_Carlo_bei_Strom[[#This Row],[Source.Name]],SEARCH("aus_der",Sensitivität_bzw_Monte_Carlo_bei_Strom[[#This Row],[Source.Name]],1))="Auszahlung_a","Auszahlung",""),"")</f>
        <v/>
      </c>
      <c r="D1482" s="1"/>
    </row>
    <row r="1483" spans="1:4" x14ac:dyDescent="0.3">
      <c r="A1483" s="1"/>
      <c r="B1483" s="1" t="str">
        <f>IFERROR(IF(LEFT(Sensitivität_bzw_Monte_Carlo_bei_Strom[[#This Row],[Source.Name]],SEARCH("aus_der",Sensitivität_bzw_Monte_Carlo_bei_Strom[[#This Row],[Source.Name]],1))="Auszahlung_a","Auszahlung",""),"")</f>
        <v/>
      </c>
      <c r="D1483" s="1"/>
    </row>
    <row r="1484" spans="1:4" x14ac:dyDescent="0.3">
      <c r="A1484" s="1"/>
      <c r="B1484" s="1" t="str">
        <f>IFERROR(IF(LEFT(Sensitivität_bzw_Monte_Carlo_bei_Strom[[#This Row],[Source.Name]],SEARCH("aus_der",Sensitivität_bzw_Monte_Carlo_bei_Strom[[#This Row],[Source.Name]],1))="Auszahlung_a","Auszahlung",""),"")</f>
        <v/>
      </c>
      <c r="D1484" s="1"/>
    </row>
    <row r="1485" spans="1:4" x14ac:dyDescent="0.3">
      <c r="A1485" s="1"/>
      <c r="B1485" s="1" t="str">
        <f>IFERROR(IF(LEFT(Sensitivität_bzw_Monte_Carlo_bei_Strom[[#This Row],[Source.Name]],SEARCH("aus_der",Sensitivität_bzw_Monte_Carlo_bei_Strom[[#This Row],[Source.Name]],1))="Auszahlung_a","Auszahlung",""),"")</f>
        <v/>
      </c>
      <c r="D1485" s="1"/>
    </row>
    <row r="1486" spans="1:4" x14ac:dyDescent="0.3">
      <c r="A1486" s="1"/>
      <c r="B1486" s="1" t="str">
        <f>IFERROR(IF(LEFT(Sensitivität_bzw_Monte_Carlo_bei_Strom[[#This Row],[Source.Name]],SEARCH("aus_der",Sensitivität_bzw_Monte_Carlo_bei_Strom[[#This Row],[Source.Name]],1))="Auszahlung_a","Auszahlung",""),"")</f>
        <v/>
      </c>
      <c r="D1486" s="1"/>
    </row>
    <row r="1487" spans="1:4" x14ac:dyDescent="0.3">
      <c r="A1487" s="1"/>
      <c r="B1487" s="1" t="str">
        <f>IFERROR(IF(LEFT(Sensitivität_bzw_Monte_Carlo_bei_Strom[[#This Row],[Source.Name]],SEARCH("aus_der",Sensitivität_bzw_Monte_Carlo_bei_Strom[[#This Row],[Source.Name]],1))="Auszahlung_a","Auszahlung",""),"")</f>
        <v/>
      </c>
      <c r="D1487" s="1"/>
    </row>
    <row r="1488" spans="1:4" x14ac:dyDescent="0.3">
      <c r="A1488" s="1"/>
      <c r="B1488" s="1" t="str">
        <f>IFERROR(IF(LEFT(Sensitivität_bzw_Monte_Carlo_bei_Strom[[#This Row],[Source.Name]],SEARCH("aus_der",Sensitivität_bzw_Monte_Carlo_bei_Strom[[#This Row],[Source.Name]],1))="Auszahlung_a","Auszahlung",""),"")</f>
        <v/>
      </c>
      <c r="D1488" s="1"/>
    </row>
    <row r="1489" spans="1:4" x14ac:dyDescent="0.3">
      <c r="A1489" s="1"/>
      <c r="B1489" s="1" t="str">
        <f>IFERROR(IF(LEFT(Sensitivität_bzw_Monte_Carlo_bei_Strom[[#This Row],[Source.Name]],SEARCH("aus_der",Sensitivität_bzw_Monte_Carlo_bei_Strom[[#This Row],[Source.Name]],1))="Auszahlung_a","Auszahlung",""),"")</f>
        <v/>
      </c>
      <c r="D1489" s="1"/>
    </row>
    <row r="1490" spans="1:4" x14ac:dyDescent="0.3">
      <c r="A1490" s="1"/>
      <c r="B1490" s="1" t="str">
        <f>IFERROR(IF(LEFT(Sensitivität_bzw_Monte_Carlo_bei_Strom[[#This Row],[Source.Name]],SEARCH("aus_der",Sensitivität_bzw_Monte_Carlo_bei_Strom[[#This Row],[Source.Name]],1))="Auszahlung_a","Auszahlung",""),"")</f>
        <v/>
      </c>
      <c r="D1490" s="1"/>
    </row>
    <row r="1491" spans="1:4" x14ac:dyDescent="0.3">
      <c r="A1491" s="1"/>
      <c r="B1491" s="1" t="str">
        <f>IFERROR(IF(LEFT(Sensitivität_bzw_Monte_Carlo_bei_Strom[[#This Row],[Source.Name]],SEARCH("aus_der",Sensitivität_bzw_Monte_Carlo_bei_Strom[[#This Row],[Source.Name]],1))="Auszahlung_a","Auszahlung",""),"")</f>
        <v/>
      </c>
      <c r="D1491" s="1"/>
    </row>
    <row r="1492" spans="1:4" x14ac:dyDescent="0.3">
      <c r="A1492" s="1"/>
      <c r="B1492" s="1" t="str">
        <f>IFERROR(IF(LEFT(Sensitivität_bzw_Monte_Carlo_bei_Strom[[#This Row],[Source.Name]],SEARCH("aus_der",Sensitivität_bzw_Monte_Carlo_bei_Strom[[#This Row],[Source.Name]],1))="Auszahlung_a","Auszahlung",""),"")</f>
        <v/>
      </c>
      <c r="D1492" s="1"/>
    </row>
    <row r="1493" spans="1:4" x14ac:dyDescent="0.3">
      <c r="A1493" s="1"/>
      <c r="B1493" s="1" t="str">
        <f>IFERROR(IF(LEFT(Sensitivität_bzw_Monte_Carlo_bei_Strom[[#This Row],[Source.Name]],SEARCH("aus_der",Sensitivität_bzw_Monte_Carlo_bei_Strom[[#This Row],[Source.Name]],1))="Auszahlung_a","Auszahlung",""),"")</f>
        <v/>
      </c>
      <c r="D1493" s="1"/>
    </row>
    <row r="1494" spans="1:4" x14ac:dyDescent="0.3">
      <c r="A1494" s="1"/>
      <c r="B1494" s="1" t="str">
        <f>IFERROR(IF(LEFT(Sensitivität_bzw_Monte_Carlo_bei_Strom[[#This Row],[Source.Name]],SEARCH("aus_der",Sensitivität_bzw_Monte_Carlo_bei_Strom[[#This Row],[Source.Name]],1))="Auszahlung_a","Auszahlung",""),"")</f>
        <v/>
      </c>
      <c r="D1494" s="1"/>
    </row>
    <row r="1495" spans="1:4" x14ac:dyDescent="0.3">
      <c r="A1495" s="1"/>
      <c r="B1495" s="1" t="str">
        <f>IFERROR(IF(LEFT(Sensitivität_bzw_Monte_Carlo_bei_Strom[[#This Row],[Source.Name]],SEARCH("aus_der",Sensitivität_bzw_Monte_Carlo_bei_Strom[[#This Row],[Source.Name]],1))="Auszahlung_a","Auszahlung",""),"")</f>
        <v/>
      </c>
      <c r="D1495" s="1"/>
    </row>
    <row r="1496" spans="1:4" x14ac:dyDescent="0.3">
      <c r="A1496" s="1"/>
      <c r="B1496" s="1" t="str">
        <f>IFERROR(IF(LEFT(Sensitivität_bzw_Monte_Carlo_bei_Strom[[#This Row],[Source.Name]],SEARCH("aus_der",Sensitivität_bzw_Monte_Carlo_bei_Strom[[#This Row],[Source.Name]],1))="Auszahlung_a","Auszahlung",""),"")</f>
        <v/>
      </c>
      <c r="D1496" s="1"/>
    </row>
    <row r="1497" spans="1:4" x14ac:dyDescent="0.3">
      <c r="A1497" s="1"/>
      <c r="B1497" s="1" t="str">
        <f>IFERROR(IF(LEFT(Sensitivität_bzw_Monte_Carlo_bei_Strom[[#This Row],[Source.Name]],SEARCH("aus_der",Sensitivität_bzw_Monte_Carlo_bei_Strom[[#This Row],[Source.Name]],1))="Auszahlung_a","Auszahlung",""),"")</f>
        <v/>
      </c>
      <c r="D1497" s="1"/>
    </row>
    <row r="1498" spans="1:4" x14ac:dyDescent="0.3">
      <c r="A1498" s="1"/>
      <c r="B1498" s="1" t="str">
        <f>IFERROR(IF(LEFT(Sensitivität_bzw_Monte_Carlo_bei_Strom[[#This Row],[Source.Name]],SEARCH("aus_der",Sensitivität_bzw_Monte_Carlo_bei_Strom[[#This Row],[Source.Name]],1))="Auszahlung_a","Auszahlung",""),"")</f>
        <v/>
      </c>
      <c r="D1498" s="1"/>
    </row>
    <row r="1499" spans="1:4" x14ac:dyDescent="0.3">
      <c r="A1499" s="1"/>
      <c r="B1499" s="1" t="str">
        <f>IFERROR(IF(LEFT(Sensitivität_bzw_Monte_Carlo_bei_Strom[[#This Row],[Source.Name]],SEARCH("aus_der",Sensitivität_bzw_Monte_Carlo_bei_Strom[[#This Row],[Source.Name]],1))="Auszahlung_a","Auszahlung",""),"")</f>
        <v/>
      </c>
      <c r="D1499" s="1"/>
    </row>
    <row r="1500" spans="1:4" x14ac:dyDescent="0.3">
      <c r="A1500" s="1"/>
      <c r="B1500" s="1" t="str">
        <f>IFERROR(IF(LEFT(Sensitivität_bzw_Monte_Carlo_bei_Strom[[#This Row],[Source.Name]],SEARCH("aus_der",Sensitivität_bzw_Monte_Carlo_bei_Strom[[#This Row],[Source.Name]],1))="Auszahlung_a","Auszahlung",""),"")</f>
        <v/>
      </c>
      <c r="D1500" s="1"/>
    </row>
    <row r="1501" spans="1:4" x14ac:dyDescent="0.3">
      <c r="A1501" s="1"/>
      <c r="B1501" s="1" t="str">
        <f>IFERROR(IF(LEFT(Sensitivität_bzw_Monte_Carlo_bei_Strom[[#This Row],[Source.Name]],SEARCH("aus_der",Sensitivität_bzw_Monte_Carlo_bei_Strom[[#This Row],[Source.Name]],1))="Auszahlung_a","Auszahlung",""),"")</f>
        <v/>
      </c>
      <c r="D1501" s="1"/>
    </row>
    <row r="1502" spans="1:4" x14ac:dyDescent="0.3">
      <c r="A1502" s="1"/>
      <c r="B1502" s="1" t="str">
        <f>IFERROR(IF(LEFT(Sensitivität_bzw_Monte_Carlo_bei_Strom[[#This Row],[Source.Name]],SEARCH("aus_der",Sensitivität_bzw_Monte_Carlo_bei_Strom[[#This Row],[Source.Name]],1))="Auszahlung_a","Auszahlung",""),"")</f>
        <v/>
      </c>
      <c r="D1502" s="1"/>
    </row>
    <row r="1503" spans="1:4" x14ac:dyDescent="0.3">
      <c r="A1503" s="1"/>
      <c r="B1503" s="1" t="str">
        <f>IFERROR(IF(LEFT(Sensitivität_bzw_Monte_Carlo_bei_Strom[[#This Row],[Source.Name]],SEARCH("aus_der",Sensitivität_bzw_Monte_Carlo_bei_Strom[[#This Row],[Source.Name]],1))="Auszahlung_a","Auszahlung",""),"")</f>
        <v/>
      </c>
      <c r="D1503" s="1"/>
    </row>
    <row r="1504" spans="1:4" x14ac:dyDescent="0.3">
      <c r="A1504" s="1"/>
      <c r="B1504" s="1" t="str">
        <f>IFERROR(IF(LEFT(Sensitivität_bzw_Monte_Carlo_bei_Strom[[#This Row],[Source.Name]],SEARCH("aus_der",Sensitivität_bzw_Monte_Carlo_bei_Strom[[#This Row],[Source.Name]],1))="Auszahlung_a","Auszahlung",""),"")</f>
        <v/>
      </c>
      <c r="D1504" s="1"/>
    </row>
    <row r="1505" spans="1:4" x14ac:dyDescent="0.3">
      <c r="A1505" s="1"/>
      <c r="B1505" s="1" t="str">
        <f>IFERROR(IF(LEFT(Sensitivität_bzw_Monte_Carlo_bei_Strom[[#This Row],[Source.Name]],SEARCH("aus_der",Sensitivität_bzw_Monte_Carlo_bei_Strom[[#This Row],[Source.Name]],1))="Auszahlung_a","Auszahlung",""),"")</f>
        <v/>
      </c>
      <c r="D1505" s="1"/>
    </row>
    <row r="1506" spans="1:4" x14ac:dyDescent="0.3">
      <c r="A1506" s="1"/>
      <c r="B1506" s="1" t="str">
        <f>IFERROR(IF(LEFT(Sensitivität_bzw_Monte_Carlo_bei_Strom[[#This Row],[Source.Name]],SEARCH("aus_der",Sensitivität_bzw_Monte_Carlo_bei_Strom[[#This Row],[Source.Name]],1))="Auszahlung_a","Auszahlung",""),"")</f>
        <v/>
      </c>
      <c r="D1506" s="1"/>
    </row>
    <row r="1507" spans="1:4" x14ac:dyDescent="0.3">
      <c r="A1507" s="1"/>
      <c r="B1507" s="1" t="str">
        <f>IFERROR(IF(LEFT(Sensitivität_bzw_Monte_Carlo_bei_Strom[[#This Row],[Source.Name]],SEARCH("aus_der",Sensitivität_bzw_Monte_Carlo_bei_Strom[[#This Row],[Source.Name]],1))="Auszahlung_a","Auszahlung",""),"")</f>
        <v/>
      </c>
      <c r="D1507" s="1"/>
    </row>
    <row r="1508" spans="1:4" x14ac:dyDescent="0.3">
      <c r="A1508" s="1"/>
      <c r="B1508" s="1" t="str">
        <f>IFERROR(IF(LEFT(Sensitivität_bzw_Monte_Carlo_bei_Strom[[#This Row],[Source.Name]],SEARCH("aus_der",Sensitivität_bzw_Monte_Carlo_bei_Strom[[#This Row],[Source.Name]],1))="Auszahlung_a","Auszahlung",""),"")</f>
        <v/>
      </c>
      <c r="D1508" s="1"/>
    </row>
    <row r="1509" spans="1:4" x14ac:dyDescent="0.3">
      <c r="A1509" s="1"/>
      <c r="B1509" s="1" t="str">
        <f>IFERROR(IF(LEFT(Sensitivität_bzw_Monte_Carlo_bei_Strom[[#This Row],[Source.Name]],SEARCH("aus_der",Sensitivität_bzw_Monte_Carlo_bei_Strom[[#This Row],[Source.Name]],1))="Auszahlung_a","Auszahlung",""),"")</f>
        <v/>
      </c>
      <c r="D1509" s="1"/>
    </row>
    <row r="1510" spans="1:4" x14ac:dyDescent="0.3">
      <c r="A1510" s="1"/>
      <c r="B1510" s="1" t="str">
        <f>IFERROR(IF(LEFT(Sensitivität_bzw_Monte_Carlo_bei_Strom[[#This Row],[Source.Name]],SEARCH("aus_der",Sensitivität_bzw_Monte_Carlo_bei_Strom[[#This Row],[Source.Name]],1))="Auszahlung_a","Auszahlung",""),"")</f>
        <v/>
      </c>
      <c r="D1510" s="1"/>
    </row>
    <row r="1511" spans="1:4" x14ac:dyDescent="0.3">
      <c r="A1511" s="1"/>
      <c r="B1511" s="1" t="str">
        <f>IFERROR(IF(LEFT(Sensitivität_bzw_Monte_Carlo_bei_Strom[[#This Row],[Source.Name]],SEARCH("aus_der",Sensitivität_bzw_Monte_Carlo_bei_Strom[[#This Row],[Source.Name]],1))="Auszahlung_a","Auszahlung",""),"")</f>
        <v/>
      </c>
      <c r="D1511" s="1"/>
    </row>
    <row r="1512" spans="1:4" x14ac:dyDescent="0.3">
      <c r="A1512" s="1"/>
      <c r="B1512" s="1" t="str">
        <f>IFERROR(IF(LEFT(Sensitivität_bzw_Monte_Carlo_bei_Strom[[#This Row],[Source.Name]],SEARCH("aus_der",Sensitivität_bzw_Monte_Carlo_bei_Strom[[#This Row],[Source.Name]],1))="Auszahlung_a","Auszahlung",""),"")</f>
        <v/>
      </c>
      <c r="D1512" s="1"/>
    </row>
    <row r="1513" spans="1:4" x14ac:dyDescent="0.3">
      <c r="A1513" s="1"/>
      <c r="B1513" s="1" t="str">
        <f>IFERROR(IF(LEFT(Sensitivität_bzw_Monte_Carlo_bei_Strom[[#This Row],[Source.Name]],SEARCH("aus_der",Sensitivität_bzw_Monte_Carlo_bei_Strom[[#This Row],[Source.Name]],1))="Auszahlung_a","Auszahlung",""),"")</f>
        <v/>
      </c>
      <c r="D1513" s="1"/>
    </row>
    <row r="1514" spans="1:4" x14ac:dyDescent="0.3">
      <c r="A1514" s="1"/>
      <c r="B1514" s="1" t="str">
        <f>IFERROR(IF(LEFT(Sensitivität_bzw_Monte_Carlo_bei_Strom[[#This Row],[Source.Name]],SEARCH("aus_der",Sensitivität_bzw_Monte_Carlo_bei_Strom[[#This Row],[Source.Name]],1))="Auszahlung_a","Auszahlung",""),"")</f>
        <v/>
      </c>
      <c r="D1514" s="1"/>
    </row>
    <row r="1515" spans="1:4" x14ac:dyDescent="0.3">
      <c r="A1515" s="1"/>
      <c r="B1515" s="1" t="str">
        <f>IFERROR(IF(LEFT(Sensitivität_bzw_Monte_Carlo_bei_Strom[[#This Row],[Source.Name]],SEARCH("aus_der",Sensitivität_bzw_Monte_Carlo_bei_Strom[[#This Row],[Source.Name]],1))="Auszahlung_a","Auszahlung",""),"")</f>
        <v/>
      </c>
      <c r="D1515" s="1"/>
    </row>
    <row r="1516" spans="1:4" x14ac:dyDescent="0.3">
      <c r="A1516" s="1"/>
      <c r="B1516" s="1" t="str">
        <f>IFERROR(IF(LEFT(Sensitivität_bzw_Monte_Carlo_bei_Strom[[#This Row],[Source.Name]],SEARCH("aus_der",Sensitivität_bzw_Monte_Carlo_bei_Strom[[#This Row],[Source.Name]],1))="Auszahlung_a","Auszahlung",""),"")</f>
        <v/>
      </c>
      <c r="D1516" s="1"/>
    </row>
    <row r="1517" spans="1:4" x14ac:dyDescent="0.3">
      <c r="A1517" s="1"/>
      <c r="B1517" s="1" t="str">
        <f>IFERROR(IF(LEFT(Sensitivität_bzw_Monte_Carlo_bei_Strom[[#This Row],[Source.Name]],SEARCH("aus_der",Sensitivität_bzw_Monte_Carlo_bei_Strom[[#This Row],[Source.Name]],1))="Auszahlung_a","Auszahlung",""),"")</f>
        <v/>
      </c>
      <c r="D1517" s="1"/>
    </row>
    <row r="1518" spans="1:4" x14ac:dyDescent="0.3">
      <c r="A1518" s="1"/>
      <c r="B1518" s="1" t="str">
        <f>IFERROR(IF(LEFT(Sensitivität_bzw_Monte_Carlo_bei_Strom[[#This Row],[Source.Name]],SEARCH("aus_der",Sensitivität_bzw_Monte_Carlo_bei_Strom[[#This Row],[Source.Name]],1))="Auszahlung_a","Auszahlung",""),"")</f>
        <v/>
      </c>
      <c r="D1518" s="1"/>
    </row>
    <row r="1519" spans="1:4" x14ac:dyDescent="0.3">
      <c r="A1519" s="1"/>
      <c r="B1519" s="1" t="str">
        <f>IFERROR(IF(LEFT(Sensitivität_bzw_Monte_Carlo_bei_Strom[[#This Row],[Source.Name]],SEARCH("aus_der",Sensitivität_bzw_Monte_Carlo_bei_Strom[[#This Row],[Source.Name]],1))="Auszahlung_a","Auszahlung",""),"")</f>
        <v/>
      </c>
      <c r="D1519" s="1"/>
    </row>
    <row r="1520" spans="1:4" x14ac:dyDescent="0.3">
      <c r="A1520" s="1"/>
      <c r="B1520" s="1" t="str">
        <f>IFERROR(IF(LEFT(Sensitivität_bzw_Monte_Carlo_bei_Strom[[#This Row],[Source.Name]],SEARCH("aus_der",Sensitivität_bzw_Monte_Carlo_bei_Strom[[#This Row],[Source.Name]],1))="Auszahlung_a","Auszahlung",""),"")</f>
        <v/>
      </c>
      <c r="D1520" s="1"/>
    </row>
    <row r="1521" spans="1:4" x14ac:dyDescent="0.3">
      <c r="A1521" s="1"/>
      <c r="B1521" s="1" t="str">
        <f>IFERROR(IF(LEFT(Sensitivität_bzw_Monte_Carlo_bei_Strom[[#This Row],[Source.Name]],SEARCH("aus_der",Sensitivität_bzw_Monte_Carlo_bei_Strom[[#This Row],[Source.Name]],1))="Auszahlung_a","Auszahlung",""),"")</f>
        <v/>
      </c>
      <c r="D1521" s="1"/>
    </row>
    <row r="1522" spans="1:4" x14ac:dyDescent="0.3">
      <c r="A1522" s="1"/>
      <c r="B1522" s="1" t="str">
        <f>IFERROR(IF(LEFT(Sensitivität_bzw_Monte_Carlo_bei_Strom[[#This Row],[Source.Name]],SEARCH("aus_der",Sensitivität_bzw_Monte_Carlo_bei_Strom[[#This Row],[Source.Name]],1))="Auszahlung_a","Auszahlung",""),"")</f>
        <v/>
      </c>
      <c r="D1522" s="1"/>
    </row>
    <row r="1523" spans="1:4" x14ac:dyDescent="0.3">
      <c r="A1523" s="1"/>
      <c r="B1523" s="1" t="str">
        <f>IFERROR(IF(LEFT(Sensitivität_bzw_Monte_Carlo_bei_Strom[[#This Row],[Source.Name]],SEARCH("aus_der",Sensitivität_bzw_Monte_Carlo_bei_Strom[[#This Row],[Source.Name]],1))="Auszahlung_a","Auszahlung",""),"")</f>
        <v/>
      </c>
      <c r="D1523" s="1"/>
    </row>
    <row r="1524" spans="1:4" x14ac:dyDescent="0.3">
      <c r="A1524" s="1"/>
      <c r="B1524" s="1" t="str">
        <f>IFERROR(IF(LEFT(Sensitivität_bzw_Monte_Carlo_bei_Strom[[#This Row],[Source.Name]],SEARCH("aus_der",Sensitivität_bzw_Monte_Carlo_bei_Strom[[#This Row],[Source.Name]],1))="Auszahlung_a","Auszahlung",""),"")</f>
        <v/>
      </c>
      <c r="D1524" s="1"/>
    </row>
    <row r="1525" spans="1:4" x14ac:dyDescent="0.3">
      <c r="A1525" s="1"/>
      <c r="B1525" s="1" t="str">
        <f>IFERROR(IF(LEFT(Sensitivität_bzw_Monte_Carlo_bei_Strom[[#This Row],[Source.Name]],SEARCH("aus_der",Sensitivität_bzw_Monte_Carlo_bei_Strom[[#This Row],[Source.Name]],1))="Auszahlung_a","Auszahlung",""),"")</f>
        <v/>
      </c>
      <c r="D1525" s="1"/>
    </row>
    <row r="1526" spans="1:4" x14ac:dyDescent="0.3">
      <c r="A1526" s="1"/>
      <c r="B1526" s="1" t="str">
        <f>IFERROR(IF(LEFT(Sensitivität_bzw_Monte_Carlo_bei_Strom[[#This Row],[Source.Name]],SEARCH("aus_der",Sensitivität_bzw_Monte_Carlo_bei_Strom[[#This Row],[Source.Name]],1))="Auszahlung_a","Auszahlung",""),"")</f>
        <v/>
      </c>
      <c r="D1526" s="1"/>
    </row>
    <row r="1527" spans="1:4" x14ac:dyDescent="0.3">
      <c r="A1527" s="1"/>
      <c r="B1527" s="1" t="str">
        <f>IFERROR(IF(LEFT(Sensitivität_bzw_Monte_Carlo_bei_Strom[[#This Row],[Source.Name]],SEARCH("aus_der",Sensitivität_bzw_Monte_Carlo_bei_Strom[[#This Row],[Source.Name]],1))="Auszahlung_a","Auszahlung",""),"")</f>
        <v/>
      </c>
      <c r="D1527" s="1"/>
    </row>
    <row r="1528" spans="1:4" x14ac:dyDescent="0.3">
      <c r="A1528" s="1"/>
      <c r="B1528" s="1" t="str">
        <f>IFERROR(IF(LEFT(Sensitivität_bzw_Monte_Carlo_bei_Strom[[#This Row],[Source.Name]],SEARCH("aus_der",Sensitivität_bzw_Monte_Carlo_bei_Strom[[#This Row],[Source.Name]],1))="Auszahlung_a","Auszahlung",""),"")</f>
        <v/>
      </c>
      <c r="D1528" s="1"/>
    </row>
    <row r="1529" spans="1:4" x14ac:dyDescent="0.3">
      <c r="A1529" s="1"/>
      <c r="B1529" s="1" t="str">
        <f>IFERROR(IF(LEFT(Sensitivität_bzw_Monte_Carlo_bei_Strom[[#This Row],[Source.Name]],SEARCH("aus_der",Sensitivität_bzw_Monte_Carlo_bei_Strom[[#This Row],[Source.Name]],1))="Auszahlung_a","Auszahlung",""),"")</f>
        <v/>
      </c>
      <c r="D1529" s="1"/>
    </row>
    <row r="1530" spans="1:4" x14ac:dyDescent="0.3">
      <c r="A1530" s="1"/>
      <c r="B1530" s="1" t="str">
        <f>IFERROR(IF(LEFT(Sensitivität_bzw_Monte_Carlo_bei_Strom[[#This Row],[Source.Name]],SEARCH("aus_der",Sensitivität_bzw_Monte_Carlo_bei_Strom[[#This Row],[Source.Name]],1))="Auszahlung_a","Auszahlung",""),"")</f>
        <v/>
      </c>
      <c r="D1530" s="1"/>
    </row>
    <row r="1531" spans="1:4" x14ac:dyDescent="0.3">
      <c r="A1531" s="1"/>
      <c r="B1531" s="1" t="str">
        <f>IFERROR(IF(LEFT(Sensitivität_bzw_Monte_Carlo_bei_Strom[[#This Row],[Source.Name]],SEARCH("aus_der",Sensitivität_bzw_Monte_Carlo_bei_Strom[[#This Row],[Source.Name]],1))="Auszahlung_a","Auszahlung",""),"")</f>
        <v/>
      </c>
      <c r="D1531" s="1"/>
    </row>
    <row r="1532" spans="1:4" x14ac:dyDescent="0.3">
      <c r="A1532" s="1"/>
      <c r="B1532" s="1" t="str">
        <f>IFERROR(IF(LEFT(Sensitivität_bzw_Monte_Carlo_bei_Strom[[#This Row],[Source.Name]],SEARCH("aus_der",Sensitivität_bzw_Monte_Carlo_bei_Strom[[#This Row],[Source.Name]],1))="Auszahlung_a","Auszahlung",""),"")</f>
        <v/>
      </c>
      <c r="D1532" s="1"/>
    </row>
    <row r="1533" spans="1:4" x14ac:dyDescent="0.3">
      <c r="A1533" s="1"/>
      <c r="B1533" s="1" t="str">
        <f>IFERROR(IF(LEFT(Sensitivität_bzw_Monte_Carlo_bei_Strom[[#This Row],[Source.Name]],SEARCH("aus_der",Sensitivität_bzw_Monte_Carlo_bei_Strom[[#This Row],[Source.Name]],1))="Auszahlung_a","Auszahlung",""),"")</f>
        <v/>
      </c>
      <c r="D1533" s="1"/>
    </row>
    <row r="1534" spans="1:4" x14ac:dyDescent="0.3">
      <c r="A1534" s="1"/>
      <c r="B1534" s="1" t="str">
        <f>IFERROR(IF(LEFT(Sensitivität_bzw_Monte_Carlo_bei_Strom[[#This Row],[Source.Name]],SEARCH("aus_der",Sensitivität_bzw_Monte_Carlo_bei_Strom[[#This Row],[Source.Name]],1))="Auszahlung_a","Auszahlung",""),"")</f>
        <v/>
      </c>
      <c r="D1534" s="1"/>
    </row>
    <row r="1535" spans="1:4" x14ac:dyDescent="0.3">
      <c r="A1535" s="1"/>
      <c r="B1535" s="1" t="str">
        <f>IFERROR(IF(LEFT(Sensitivität_bzw_Monte_Carlo_bei_Strom[[#This Row],[Source.Name]],SEARCH("aus_der",Sensitivität_bzw_Monte_Carlo_bei_Strom[[#This Row],[Source.Name]],1))="Auszahlung_a","Auszahlung",""),"")</f>
        <v/>
      </c>
      <c r="D1535" s="1"/>
    </row>
    <row r="1536" spans="1:4" x14ac:dyDescent="0.3">
      <c r="A1536" s="1"/>
      <c r="B1536" s="1" t="str">
        <f>IFERROR(IF(LEFT(Sensitivität_bzw_Monte_Carlo_bei_Strom[[#This Row],[Source.Name]],SEARCH("aus_der",Sensitivität_bzw_Monte_Carlo_bei_Strom[[#This Row],[Source.Name]],1))="Auszahlung_a","Auszahlung",""),"")</f>
        <v/>
      </c>
      <c r="D1536" s="1"/>
    </row>
    <row r="1537" spans="1:4" x14ac:dyDescent="0.3">
      <c r="A1537" s="1"/>
      <c r="B1537" s="1" t="str">
        <f>IFERROR(IF(LEFT(Sensitivität_bzw_Monte_Carlo_bei_Strom[[#This Row],[Source.Name]],SEARCH("aus_der",Sensitivität_bzw_Monte_Carlo_bei_Strom[[#This Row],[Source.Name]],1))="Auszahlung_a","Auszahlung",""),"")</f>
        <v/>
      </c>
      <c r="D1537" s="1"/>
    </row>
    <row r="1538" spans="1:4" x14ac:dyDescent="0.3">
      <c r="A1538" s="1"/>
      <c r="B1538" s="1" t="str">
        <f>IFERROR(IF(LEFT(Sensitivität_bzw_Monte_Carlo_bei_Strom[[#This Row],[Source.Name]],SEARCH("aus_der",Sensitivität_bzw_Monte_Carlo_bei_Strom[[#This Row],[Source.Name]],1))="Auszahlung_a","Auszahlung",""),"")</f>
        <v/>
      </c>
      <c r="D1538" s="1"/>
    </row>
    <row r="1539" spans="1:4" x14ac:dyDescent="0.3">
      <c r="A1539" s="1"/>
      <c r="B1539" s="1" t="str">
        <f>IFERROR(IF(LEFT(Sensitivität_bzw_Monte_Carlo_bei_Strom[[#This Row],[Source.Name]],SEARCH("aus_der",Sensitivität_bzw_Monte_Carlo_bei_Strom[[#This Row],[Source.Name]],1))="Auszahlung_a","Auszahlung",""),"")</f>
        <v/>
      </c>
      <c r="D1539" s="1"/>
    </row>
    <row r="1540" spans="1:4" x14ac:dyDescent="0.3">
      <c r="A1540" s="1"/>
      <c r="B1540" s="1" t="str">
        <f>IFERROR(IF(LEFT(Sensitivität_bzw_Monte_Carlo_bei_Strom[[#This Row],[Source.Name]],SEARCH("aus_der",Sensitivität_bzw_Monte_Carlo_bei_Strom[[#This Row],[Source.Name]],1))="Auszahlung_a","Auszahlung",""),"")</f>
        <v/>
      </c>
      <c r="D1540" s="1"/>
    </row>
    <row r="1541" spans="1:4" x14ac:dyDescent="0.3">
      <c r="A1541" s="1"/>
      <c r="B1541" s="1" t="str">
        <f>IFERROR(IF(LEFT(Sensitivität_bzw_Monte_Carlo_bei_Strom[[#This Row],[Source.Name]],SEARCH("aus_der",Sensitivität_bzw_Monte_Carlo_bei_Strom[[#This Row],[Source.Name]],1))="Auszahlung_a","Auszahlung",""),"")</f>
        <v/>
      </c>
      <c r="D1541" s="1"/>
    </row>
    <row r="1542" spans="1:4" x14ac:dyDescent="0.3">
      <c r="A1542" s="1"/>
      <c r="B1542" s="1" t="str">
        <f>IFERROR(IF(LEFT(Sensitivität_bzw_Monte_Carlo_bei_Strom[[#This Row],[Source.Name]],SEARCH("aus_der",Sensitivität_bzw_Monte_Carlo_bei_Strom[[#This Row],[Source.Name]],1))="Auszahlung_a","Auszahlung",""),"")</f>
        <v/>
      </c>
      <c r="D1542" s="1"/>
    </row>
    <row r="1543" spans="1:4" x14ac:dyDescent="0.3">
      <c r="A1543" s="1"/>
      <c r="B1543" s="1" t="str">
        <f>IFERROR(IF(LEFT(Sensitivität_bzw_Monte_Carlo_bei_Strom[[#This Row],[Source.Name]],SEARCH("aus_der",Sensitivität_bzw_Monte_Carlo_bei_Strom[[#This Row],[Source.Name]],1))="Auszahlung_a","Auszahlung",""),"")</f>
        <v/>
      </c>
      <c r="D1543" s="1"/>
    </row>
    <row r="1544" spans="1:4" x14ac:dyDescent="0.3">
      <c r="A1544" s="1"/>
      <c r="B1544" s="1" t="str">
        <f>IFERROR(IF(LEFT(Sensitivität_bzw_Monte_Carlo_bei_Strom[[#This Row],[Source.Name]],SEARCH("aus_der",Sensitivität_bzw_Monte_Carlo_bei_Strom[[#This Row],[Source.Name]],1))="Auszahlung_a","Auszahlung",""),"")</f>
        <v/>
      </c>
      <c r="D1544" s="1"/>
    </row>
    <row r="1545" spans="1:4" x14ac:dyDescent="0.3">
      <c r="A1545" s="1"/>
      <c r="B1545" s="1" t="str">
        <f>IFERROR(IF(LEFT(Sensitivität_bzw_Monte_Carlo_bei_Strom[[#This Row],[Source.Name]],SEARCH("aus_der",Sensitivität_bzw_Monte_Carlo_bei_Strom[[#This Row],[Source.Name]],1))="Auszahlung_a","Auszahlung",""),"")</f>
        <v/>
      </c>
      <c r="D1545" s="1"/>
    </row>
    <row r="1546" spans="1:4" x14ac:dyDescent="0.3">
      <c r="A1546" s="1"/>
      <c r="B1546" s="1" t="str">
        <f>IFERROR(IF(LEFT(Sensitivität_bzw_Monte_Carlo_bei_Strom[[#This Row],[Source.Name]],SEARCH("aus_der",Sensitivität_bzw_Monte_Carlo_bei_Strom[[#This Row],[Source.Name]],1))="Auszahlung_a","Auszahlung",""),"")</f>
        <v/>
      </c>
      <c r="D1546" s="1"/>
    </row>
    <row r="1547" spans="1:4" x14ac:dyDescent="0.3">
      <c r="A1547" s="1"/>
      <c r="B1547" s="1" t="str">
        <f>IFERROR(IF(LEFT(Sensitivität_bzw_Monte_Carlo_bei_Strom[[#This Row],[Source.Name]],SEARCH("aus_der",Sensitivität_bzw_Monte_Carlo_bei_Strom[[#This Row],[Source.Name]],1))="Auszahlung_a","Auszahlung",""),"")</f>
        <v/>
      </c>
      <c r="D1547" s="1"/>
    </row>
    <row r="1548" spans="1:4" x14ac:dyDescent="0.3">
      <c r="A1548" s="1"/>
      <c r="B1548" s="1" t="str">
        <f>IFERROR(IF(LEFT(Sensitivität_bzw_Monte_Carlo_bei_Strom[[#This Row],[Source.Name]],SEARCH("aus_der",Sensitivität_bzw_Monte_Carlo_bei_Strom[[#This Row],[Source.Name]],1))="Auszahlung_a","Auszahlung",""),"")</f>
        <v/>
      </c>
      <c r="D1548" s="1"/>
    </row>
    <row r="1549" spans="1:4" x14ac:dyDescent="0.3">
      <c r="A1549" s="1"/>
      <c r="B1549" s="1" t="str">
        <f>IFERROR(IF(LEFT(Sensitivität_bzw_Monte_Carlo_bei_Strom[[#This Row],[Source.Name]],SEARCH("aus_der",Sensitivität_bzw_Monte_Carlo_bei_Strom[[#This Row],[Source.Name]],1))="Auszahlung_a","Auszahlung",""),"")</f>
        <v/>
      </c>
      <c r="D1549" s="1"/>
    </row>
    <row r="1550" spans="1:4" x14ac:dyDescent="0.3">
      <c r="A1550" s="1"/>
      <c r="B1550" s="1" t="str">
        <f>IFERROR(IF(LEFT(Sensitivität_bzw_Monte_Carlo_bei_Strom[[#This Row],[Source.Name]],SEARCH("aus_der",Sensitivität_bzw_Monte_Carlo_bei_Strom[[#This Row],[Source.Name]],1))="Auszahlung_a","Auszahlung",""),"")</f>
        <v/>
      </c>
      <c r="D1550" s="1"/>
    </row>
    <row r="1551" spans="1:4" x14ac:dyDescent="0.3">
      <c r="A1551" s="1"/>
      <c r="B1551" s="1" t="str">
        <f>IFERROR(IF(LEFT(Sensitivität_bzw_Monte_Carlo_bei_Strom[[#This Row],[Source.Name]],SEARCH("aus_der",Sensitivität_bzw_Monte_Carlo_bei_Strom[[#This Row],[Source.Name]],1))="Auszahlung_a","Auszahlung",""),"")</f>
        <v/>
      </c>
      <c r="D1551" s="1"/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C31303-97E6-462D-BDA4-4AE41CC0935B}">
  <sheetPr codeName="Tabelle7"/>
  <dimension ref="A1:G1699"/>
  <sheetViews>
    <sheetView zoomScale="55" zoomScaleNormal="55" workbookViewId="0">
      <selection activeCell="F15" sqref="F15"/>
    </sheetView>
  </sheetViews>
  <sheetFormatPr baseColWidth="10" defaultRowHeight="14.4" x14ac:dyDescent="0.3"/>
  <cols>
    <col min="2" max="2" width="66.21875" bestFit="1" customWidth="1"/>
    <col min="3" max="3" width="11.5546875" style="2"/>
    <col min="4" max="4" width="17.77734375" bestFit="1" customWidth="1"/>
    <col min="7" max="7" width="18" bestFit="1" customWidth="1"/>
  </cols>
  <sheetData>
    <row r="1" spans="1:7" x14ac:dyDescent="0.3">
      <c r="A1" t="s">
        <v>17</v>
      </c>
      <c r="B1" t="s">
        <v>16</v>
      </c>
      <c r="C1" s="2" t="s">
        <v>15</v>
      </c>
      <c r="D1" t="s">
        <v>18</v>
      </c>
    </row>
    <row r="2" spans="1:7" x14ac:dyDescent="0.3">
      <c r="A2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" s="1" t="s">
        <v>103</v>
      </c>
      <c r="C2">
        <v>14147.71619508207</v>
      </c>
      <c r="D2">
        <v>1200</v>
      </c>
    </row>
    <row r="3" spans="1:7" x14ac:dyDescent="0.3">
      <c r="A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" s="1" t="s">
        <v>103</v>
      </c>
      <c r="C3">
        <v>14069.978752889439</v>
      </c>
      <c r="D3">
        <v>1210.1010101010099</v>
      </c>
    </row>
    <row r="4" spans="1:7" x14ac:dyDescent="0.3">
      <c r="A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" s="1" t="s">
        <v>103</v>
      </c>
      <c r="C4">
        <v>14006.56326879556</v>
      </c>
      <c r="D4">
        <v>1220.2020202020201</v>
      </c>
      <c r="F4" t="s">
        <v>113</v>
      </c>
      <c r="G4" t="s">
        <v>114</v>
      </c>
    </row>
    <row r="5" spans="1:7" x14ac:dyDescent="0.3">
      <c r="A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" s="1" t="s">
        <v>103</v>
      </c>
      <c r="C5">
        <v>13928.82582660289</v>
      </c>
      <c r="D5">
        <v>1230.30303030303</v>
      </c>
      <c r="F5">
        <f>MIN(C2:C101)</f>
        <v>7126.2858375512969</v>
      </c>
      <c r="G5">
        <f>MAX(C2:C101)</f>
        <v>14147.71619508207</v>
      </c>
    </row>
    <row r="6" spans="1:7" x14ac:dyDescent="0.3">
      <c r="A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" s="1" t="s">
        <v>103</v>
      </c>
      <c r="C6">
        <v>13851.088384410221</v>
      </c>
      <c r="D6">
        <v>1240.40404040404</v>
      </c>
    </row>
    <row r="7" spans="1:7" x14ac:dyDescent="0.3">
      <c r="A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" s="1" t="s">
        <v>103</v>
      </c>
      <c r="C7">
        <v>13800.42325245221</v>
      </c>
      <c r="D7">
        <v>1250.505050505051</v>
      </c>
    </row>
    <row r="8" spans="1:7" x14ac:dyDescent="0.3">
      <c r="A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" s="1" t="s">
        <v>103</v>
      </c>
      <c r="C8">
        <v>13738.731825483181</v>
      </c>
      <c r="D8">
        <v>1260.606060606061</v>
      </c>
      <c r="F8" t="s">
        <v>113</v>
      </c>
      <c r="G8" t="s">
        <v>114</v>
      </c>
    </row>
    <row r="9" spans="1:7" x14ac:dyDescent="0.3">
      <c r="A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" s="1" t="s">
        <v>103</v>
      </c>
      <c r="C9">
        <v>13690.261970450611</v>
      </c>
      <c r="D9">
        <v>1270.7070707070709</v>
      </c>
      <c r="F9">
        <f>MIN(C102:C201)</f>
        <v>0</v>
      </c>
      <c r="G9">
        <f>MAX(C102:C201)</f>
        <v>0</v>
      </c>
    </row>
    <row r="10" spans="1:7" x14ac:dyDescent="0.3">
      <c r="A1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0" s="1" t="s">
        <v>103</v>
      </c>
      <c r="C10">
        <v>13612.524528257991</v>
      </c>
      <c r="D10">
        <v>1280.8080808080811</v>
      </c>
    </row>
    <row r="11" spans="1:7" x14ac:dyDescent="0.3">
      <c r="A11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1" s="1" t="s">
        <v>103</v>
      </c>
      <c r="C11">
        <v>13534.787086065329</v>
      </c>
      <c r="D11">
        <v>1290.909090909091</v>
      </c>
    </row>
    <row r="12" spans="1:7" x14ac:dyDescent="0.3">
      <c r="A12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2" s="1" t="s">
        <v>103</v>
      </c>
      <c r="C12">
        <v>13457.04964387267</v>
      </c>
      <c r="D12">
        <v>1301.0101010101009</v>
      </c>
      <c r="G12" s="3"/>
    </row>
    <row r="13" spans="1:7" x14ac:dyDescent="0.3">
      <c r="A1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3" s="1" t="s">
        <v>103</v>
      </c>
      <c r="C13">
        <v>13379.312201680001</v>
      </c>
      <c r="D13">
        <v>1311.1111111111111</v>
      </c>
    </row>
    <row r="14" spans="1:7" x14ac:dyDescent="0.3">
      <c r="A1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4" s="1" t="s">
        <v>103</v>
      </c>
      <c r="C14">
        <v>13315.8967175861</v>
      </c>
      <c r="D14">
        <v>1321.212121212121</v>
      </c>
    </row>
    <row r="15" spans="1:7" x14ac:dyDescent="0.3">
      <c r="A1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5" s="1" t="s">
        <v>103</v>
      </c>
      <c r="C15">
        <v>13238.159275393449</v>
      </c>
      <c r="D15">
        <v>1331.313131313131</v>
      </c>
    </row>
    <row r="16" spans="1:7" x14ac:dyDescent="0.3">
      <c r="A1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6" s="1" t="s">
        <v>103</v>
      </c>
      <c r="C16">
        <v>13160.42183320078</v>
      </c>
      <c r="D16">
        <v>1341.4141414141411</v>
      </c>
    </row>
    <row r="17" spans="1:4" x14ac:dyDescent="0.3">
      <c r="A1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7" s="1" t="s">
        <v>103</v>
      </c>
      <c r="C17">
        <v>13082.684391008161</v>
      </c>
      <c r="D17">
        <v>1351.515151515152</v>
      </c>
    </row>
    <row r="18" spans="1:4" x14ac:dyDescent="0.3">
      <c r="A1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8" s="1" t="s">
        <v>103</v>
      </c>
      <c r="C18">
        <v>13004.94694881551</v>
      </c>
      <c r="D18">
        <v>1361.6161616161619</v>
      </c>
    </row>
    <row r="19" spans="1:4" x14ac:dyDescent="0.3">
      <c r="A1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9" s="1" t="s">
        <v>103</v>
      </c>
      <c r="C19">
        <v>12927.209506622839</v>
      </c>
      <c r="D19">
        <v>1371.7171717171721</v>
      </c>
    </row>
    <row r="20" spans="1:4" x14ac:dyDescent="0.3">
      <c r="A2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0" s="1" t="s">
        <v>103</v>
      </c>
      <c r="C20">
        <v>12863.794022528949</v>
      </c>
      <c r="D20">
        <v>1381.818181818182</v>
      </c>
    </row>
    <row r="21" spans="1:4" x14ac:dyDescent="0.3">
      <c r="A21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1" s="1" t="s">
        <v>103</v>
      </c>
      <c r="C21">
        <v>12786.056580336281</v>
      </c>
      <c r="D21">
        <v>1391.9191919191919</v>
      </c>
    </row>
    <row r="22" spans="1:4" x14ac:dyDescent="0.3">
      <c r="A22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2" s="1" t="s">
        <v>103</v>
      </c>
      <c r="C22">
        <v>12708.319138143621</v>
      </c>
      <c r="D22">
        <v>1402.0202020202021</v>
      </c>
    </row>
    <row r="23" spans="1:4" x14ac:dyDescent="0.3">
      <c r="A2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3" s="1" t="s">
        <v>103</v>
      </c>
      <c r="C23">
        <v>12630.58169595097</v>
      </c>
      <c r="D23">
        <v>1412.121212121212</v>
      </c>
    </row>
    <row r="24" spans="1:4" x14ac:dyDescent="0.3">
      <c r="A2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4" s="1" t="s">
        <v>103</v>
      </c>
      <c r="C24">
        <v>12552.84425375834</v>
      </c>
      <c r="D24">
        <v>1422.2222222222219</v>
      </c>
    </row>
    <row r="25" spans="1:4" x14ac:dyDescent="0.3">
      <c r="A2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5" s="1" t="s">
        <v>103</v>
      </c>
      <c r="C25">
        <v>12489.428769664461</v>
      </c>
      <c r="D25">
        <v>1432.3232323232321</v>
      </c>
    </row>
    <row r="26" spans="1:4" x14ac:dyDescent="0.3">
      <c r="A2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6" s="1" t="s">
        <v>103</v>
      </c>
      <c r="C26">
        <v>12425.41563997421</v>
      </c>
      <c r="D26">
        <v>1442.424242424242</v>
      </c>
    </row>
    <row r="27" spans="1:4" x14ac:dyDescent="0.3">
      <c r="A2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7" s="1" t="s">
        <v>103</v>
      </c>
      <c r="C27">
        <v>12363.49783790985</v>
      </c>
      <c r="D27">
        <v>1452.525252525252</v>
      </c>
    </row>
    <row r="28" spans="1:4" x14ac:dyDescent="0.3">
      <c r="A2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8" s="1" t="s">
        <v>103</v>
      </c>
      <c r="C28">
        <v>12299.88030149425</v>
      </c>
      <c r="D28">
        <v>1462.626262626263</v>
      </c>
    </row>
    <row r="29" spans="1:4" x14ac:dyDescent="0.3">
      <c r="A2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29" s="1" t="s">
        <v>103</v>
      </c>
      <c r="C29">
        <v>12222.14285930159</v>
      </c>
      <c r="D29">
        <v>1472.727272727273</v>
      </c>
    </row>
    <row r="30" spans="1:4" x14ac:dyDescent="0.3">
      <c r="A3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0" s="1" t="s">
        <v>103</v>
      </c>
      <c r="C30">
        <v>12173.25427694638</v>
      </c>
      <c r="D30">
        <v>1482.8282828282829</v>
      </c>
    </row>
    <row r="31" spans="1:4" x14ac:dyDescent="0.3">
      <c r="A31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1" s="1" t="s">
        <v>103</v>
      </c>
      <c r="C31">
        <v>12095.516834753749</v>
      </c>
      <c r="D31">
        <v>1492.9292929292931</v>
      </c>
    </row>
    <row r="32" spans="1:4" x14ac:dyDescent="0.3">
      <c r="A32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2" s="1" t="s">
        <v>103</v>
      </c>
      <c r="C32">
        <v>12032.93888983788</v>
      </c>
      <c r="D32">
        <v>1503.030303030303</v>
      </c>
    </row>
    <row r="33" spans="1:4" x14ac:dyDescent="0.3">
      <c r="A3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3" s="1" t="s">
        <v>103</v>
      </c>
      <c r="C33">
        <v>11955.20144764522</v>
      </c>
      <c r="D33">
        <v>1513.1313131313129</v>
      </c>
    </row>
    <row r="34" spans="1:4" x14ac:dyDescent="0.3">
      <c r="A3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4" s="1" t="s">
        <v>103</v>
      </c>
      <c r="C34">
        <v>11877.46400545257</v>
      </c>
      <c r="D34">
        <v>1523.2323232323231</v>
      </c>
    </row>
    <row r="35" spans="1:4" x14ac:dyDescent="0.3">
      <c r="A3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5" s="1" t="s">
        <v>103</v>
      </c>
      <c r="C35">
        <v>11799.726563259879</v>
      </c>
      <c r="D35">
        <v>1533.333333333333</v>
      </c>
    </row>
    <row r="36" spans="1:4" x14ac:dyDescent="0.3">
      <c r="A3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6" s="1" t="s">
        <v>103</v>
      </c>
      <c r="C36">
        <v>11736.311079166009</v>
      </c>
      <c r="D36">
        <v>1543.434343434343</v>
      </c>
    </row>
    <row r="37" spans="1:4" x14ac:dyDescent="0.3">
      <c r="A3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7" s="1" t="s">
        <v>103</v>
      </c>
      <c r="C37">
        <v>11658.57363697334</v>
      </c>
      <c r="D37">
        <v>1553.535353535354</v>
      </c>
    </row>
    <row r="38" spans="1:4" x14ac:dyDescent="0.3">
      <c r="A3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8" s="1" t="s">
        <v>103</v>
      </c>
      <c r="C38">
        <v>11580.836194780721</v>
      </c>
      <c r="D38">
        <v>1563.636363636364</v>
      </c>
    </row>
    <row r="39" spans="1:4" x14ac:dyDescent="0.3">
      <c r="A3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39" s="1" t="s">
        <v>103</v>
      </c>
      <c r="C39">
        <v>11503.098752588059</v>
      </c>
      <c r="D39">
        <v>1573.7373737373739</v>
      </c>
    </row>
    <row r="40" spans="1:4" x14ac:dyDescent="0.3">
      <c r="A4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0" s="1" t="s">
        <v>103</v>
      </c>
      <c r="C40">
        <v>11425.36131039539</v>
      </c>
      <c r="D40">
        <v>1583.8383838383841</v>
      </c>
    </row>
    <row r="41" spans="1:4" x14ac:dyDescent="0.3">
      <c r="A41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1" s="1" t="s">
        <v>103</v>
      </c>
      <c r="C41">
        <v>11391.18752109279</v>
      </c>
      <c r="D41">
        <v>1593.939393939394</v>
      </c>
    </row>
    <row r="42" spans="1:4" x14ac:dyDescent="0.3">
      <c r="A42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2" s="1" t="s">
        <v>103</v>
      </c>
      <c r="C42">
        <v>11313.45007890011</v>
      </c>
      <c r="D42">
        <v>1604.0404040404039</v>
      </c>
    </row>
    <row r="43" spans="1:4" x14ac:dyDescent="0.3">
      <c r="A4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3" s="1" t="s">
        <v>103</v>
      </c>
      <c r="C43">
        <v>11235.712636707471</v>
      </c>
      <c r="D43">
        <v>1614.1414141414141</v>
      </c>
    </row>
    <row r="44" spans="1:4" x14ac:dyDescent="0.3">
      <c r="A4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4" s="1" t="s">
        <v>103</v>
      </c>
      <c r="C44">
        <v>11157.975194514809</v>
      </c>
      <c r="D44">
        <v>1624.242424242424</v>
      </c>
    </row>
    <row r="45" spans="1:4" x14ac:dyDescent="0.3">
      <c r="A4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5" s="1" t="s">
        <v>103</v>
      </c>
      <c r="C45">
        <v>11093.577554771129</v>
      </c>
      <c r="D45">
        <v>1634.343434343434</v>
      </c>
    </row>
    <row r="46" spans="1:4" x14ac:dyDescent="0.3">
      <c r="A4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6" s="1" t="s">
        <v>103</v>
      </c>
      <c r="C46">
        <v>11030.16207067725</v>
      </c>
      <c r="D46">
        <v>1644.4444444444439</v>
      </c>
    </row>
    <row r="47" spans="1:4" x14ac:dyDescent="0.3">
      <c r="A4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7" s="1" t="s">
        <v>103</v>
      </c>
      <c r="C47">
        <v>10967.801054377531</v>
      </c>
      <c r="D47">
        <v>1654.545454545455</v>
      </c>
    </row>
    <row r="48" spans="1:4" x14ac:dyDescent="0.3">
      <c r="A4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8" s="1" t="s">
        <v>103</v>
      </c>
      <c r="C48">
        <v>10902.66641082862</v>
      </c>
      <c r="D48">
        <v>1664.6464646464649</v>
      </c>
    </row>
    <row r="49" spans="1:4" x14ac:dyDescent="0.3">
      <c r="A4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49" s="1" t="s">
        <v>103</v>
      </c>
      <c r="C49">
        <v>10824.928968635941</v>
      </c>
      <c r="D49">
        <v>1674.7474747474751</v>
      </c>
    </row>
    <row r="50" spans="1:4" x14ac:dyDescent="0.3">
      <c r="A5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0" s="1" t="s">
        <v>103</v>
      </c>
      <c r="C50">
        <v>10747.191526443299</v>
      </c>
      <c r="D50">
        <v>1684.848484848485</v>
      </c>
    </row>
    <row r="51" spans="1:4" x14ac:dyDescent="0.3">
      <c r="A51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1" s="1" t="s">
        <v>103</v>
      </c>
      <c r="C51">
        <v>10669.45408425063</v>
      </c>
      <c r="D51">
        <v>1694.9494949494949</v>
      </c>
    </row>
    <row r="52" spans="1:4" x14ac:dyDescent="0.3">
      <c r="A52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2" s="1" t="s">
        <v>103</v>
      </c>
      <c r="C52">
        <v>10606.038600156769</v>
      </c>
      <c r="D52">
        <v>1705.0505050505051</v>
      </c>
    </row>
    <row r="53" spans="1:4" x14ac:dyDescent="0.3">
      <c r="A5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3" s="1" t="s">
        <v>103</v>
      </c>
      <c r="C53">
        <v>10543.035936034959</v>
      </c>
      <c r="D53">
        <v>1715.151515151515</v>
      </c>
    </row>
    <row r="54" spans="1:4" x14ac:dyDescent="0.3">
      <c r="A5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4" s="1" t="s">
        <v>103</v>
      </c>
      <c r="C54">
        <v>10465.298493842291</v>
      </c>
      <c r="D54">
        <v>1725.2525252525249</v>
      </c>
    </row>
    <row r="55" spans="1:4" x14ac:dyDescent="0.3">
      <c r="A5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5" s="1" t="s">
        <v>103</v>
      </c>
      <c r="C55">
        <v>10387.561051649631</v>
      </c>
      <c r="D55">
        <v>1735.3535353535351</v>
      </c>
    </row>
    <row r="56" spans="1:4" x14ac:dyDescent="0.3">
      <c r="A5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6" s="1" t="s">
        <v>103</v>
      </c>
      <c r="C56">
        <v>10309.82360945694</v>
      </c>
      <c r="D56">
        <v>1745.454545454545</v>
      </c>
    </row>
    <row r="57" spans="1:4" x14ac:dyDescent="0.3">
      <c r="A5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7" s="1" t="s">
        <v>103</v>
      </c>
      <c r="C57">
        <v>10246.408125363059</v>
      </c>
      <c r="D57">
        <v>1755.5555555555561</v>
      </c>
    </row>
    <row r="58" spans="1:4" x14ac:dyDescent="0.3">
      <c r="A5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8" s="1" t="s">
        <v>103</v>
      </c>
      <c r="C58">
        <v>10168.67068317041</v>
      </c>
      <c r="D58">
        <v>1765.656565656566</v>
      </c>
    </row>
    <row r="59" spans="1:4" x14ac:dyDescent="0.3">
      <c r="A5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59" s="1" t="s">
        <v>103</v>
      </c>
      <c r="C59">
        <v>10090.93324097778</v>
      </c>
      <c r="D59">
        <v>1775.757575757576</v>
      </c>
    </row>
    <row r="60" spans="1:4" x14ac:dyDescent="0.3">
      <c r="A6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0" s="1" t="s">
        <v>103</v>
      </c>
      <c r="C60">
        <v>10013.195798785129</v>
      </c>
      <c r="D60">
        <v>1785.8585858585859</v>
      </c>
    </row>
    <row r="61" spans="1:4" x14ac:dyDescent="0.3">
      <c r="A61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1" s="1" t="s">
        <v>103</v>
      </c>
      <c r="C61">
        <v>9935.4583565924604</v>
      </c>
      <c r="D61">
        <v>1795.9595959595961</v>
      </c>
    </row>
    <row r="62" spans="1:4" x14ac:dyDescent="0.3">
      <c r="A62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2" s="1" t="s">
        <v>103</v>
      </c>
      <c r="C62">
        <v>9872.0428724985723</v>
      </c>
      <c r="D62">
        <v>1806.060606060606</v>
      </c>
    </row>
    <row r="63" spans="1:4" x14ac:dyDescent="0.3">
      <c r="A6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3" s="1" t="s">
        <v>103</v>
      </c>
      <c r="C63">
        <v>9794.3054303058889</v>
      </c>
      <c r="D63">
        <v>1816.1616161616159</v>
      </c>
    </row>
    <row r="64" spans="1:4" x14ac:dyDescent="0.3">
      <c r="A6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4" s="1" t="s">
        <v>103</v>
      </c>
      <c r="C64">
        <v>9716.5679881132401</v>
      </c>
      <c r="D64">
        <v>1826.2626262626261</v>
      </c>
    </row>
    <row r="65" spans="1:4" x14ac:dyDescent="0.3">
      <c r="A6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5" s="1" t="s">
        <v>103</v>
      </c>
      <c r="C65">
        <v>9638.8305459205767</v>
      </c>
      <c r="D65">
        <v>1836.363636363636</v>
      </c>
    </row>
    <row r="66" spans="1:4" x14ac:dyDescent="0.3">
      <c r="A6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6" s="1" t="s">
        <v>103</v>
      </c>
      <c r="C66">
        <v>9576.6895624313202</v>
      </c>
      <c r="D66">
        <v>1846.464646464646</v>
      </c>
    </row>
    <row r="67" spans="1:4" x14ac:dyDescent="0.3">
      <c r="A6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7" s="1" t="s">
        <v>103</v>
      </c>
      <c r="C67">
        <v>9498.9521202386786</v>
      </c>
      <c r="D67">
        <v>1856.5656565656559</v>
      </c>
    </row>
    <row r="68" spans="1:4" x14ac:dyDescent="0.3">
      <c r="A6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8" s="1" t="s">
        <v>103</v>
      </c>
      <c r="C68">
        <v>9449.0673278318263</v>
      </c>
      <c r="D68">
        <v>1866.666666666667</v>
      </c>
    </row>
    <row r="69" spans="1:4" x14ac:dyDescent="0.3">
      <c r="A6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69" s="1" t="s">
        <v>103</v>
      </c>
      <c r="C69">
        <v>9371.3298856391721</v>
      </c>
      <c r="D69">
        <v>1876.7676767676769</v>
      </c>
    </row>
    <row r="70" spans="1:4" x14ac:dyDescent="0.3">
      <c r="A7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0" s="1" t="s">
        <v>103</v>
      </c>
      <c r="C70">
        <v>9293.5924434464832</v>
      </c>
      <c r="D70">
        <v>1886.8686868686871</v>
      </c>
    </row>
    <row r="71" spans="1:4" x14ac:dyDescent="0.3">
      <c r="A71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1" s="1" t="s">
        <v>103</v>
      </c>
      <c r="C71">
        <v>9231.9010164774536</v>
      </c>
      <c r="D71">
        <v>1896.969696969697</v>
      </c>
    </row>
    <row r="72" spans="1:4" x14ac:dyDescent="0.3">
      <c r="A72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2" s="1" t="s">
        <v>103</v>
      </c>
      <c r="C72">
        <v>9154.1635742847939</v>
      </c>
      <c r="D72">
        <v>1907.0707070707069</v>
      </c>
    </row>
    <row r="73" spans="1:4" x14ac:dyDescent="0.3">
      <c r="A7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3" s="1" t="s">
        <v>103</v>
      </c>
      <c r="C73">
        <v>9104.668794174202</v>
      </c>
      <c r="D73">
        <v>1917.1717171717171</v>
      </c>
    </row>
    <row r="74" spans="1:4" x14ac:dyDescent="0.3">
      <c r="A7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4" s="1" t="s">
        <v>103</v>
      </c>
      <c r="C74">
        <v>9026.931351981546</v>
      </c>
      <c r="D74">
        <v>1927.272727272727</v>
      </c>
    </row>
    <row r="75" spans="1:4" x14ac:dyDescent="0.3">
      <c r="A7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5" s="1" t="s">
        <v>103</v>
      </c>
      <c r="C75">
        <v>8949.193909788879</v>
      </c>
      <c r="D75">
        <v>1937.373737373737</v>
      </c>
    </row>
    <row r="76" spans="1:4" x14ac:dyDescent="0.3">
      <c r="A7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6" s="1" t="s">
        <v>103</v>
      </c>
      <c r="C76">
        <v>8871.456467596221</v>
      </c>
      <c r="D76">
        <v>1947.4747474747469</v>
      </c>
    </row>
    <row r="77" spans="1:4" x14ac:dyDescent="0.3">
      <c r="A7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7" s="1" t="s">
        <v>103</v>
      </c>
      <c r="C77">
        <v>8808.6646544648574</v>
      </c>
      <c r="D77">
        <v>1957.575757575758</v>
      </c>
    </row>
    <row r="78" spans="1:4" x14ac:dyDescent="0.3">
      <c r="A7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8" s="1" t="s">
        <v>103</v>
      </c>
      <c r="C78">
        <v>8745.2491703709784</v>
      </c>
      <c r="D78">
        <v>1967.6767676767679</v>
      </c>
    </row>
    <row r="79" spans="1:4" x14ac:dyDescent="0.3">
      <c r="A7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79" s="1" t="s">
        <v>103</v>
      </c>
      <c r="C79">
        <v>8680.294869719959</v>
      </c>
      <c r="D79">
        <v>1977.7777777777781</v>
      </c>
    </row>
    <row r="80" spans="1:4" x14ac:dyDescent="0.3">
      <c r="A8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0" s="1" t="s">
        <v>103</v>
      </c>
      <c r="C80">
        <v>8615.7090337787358</v>
      </c>
      <c r="D80">
        <v>1987.878787878788</v>
      </c>
    </row>
    <row r="81" spans="1:4" x14ac:dyDescent="0.3">
      <c r="A81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1" s="1" t="s">
        <v>103</v>
      </c>
      <c r="C81">
        <v>8537.9715915860925</v>
      </c>
      <c r="D81">
        <v>1997.9797979797979</v>
      </c>
    </row>
    <row r="82" spans="1:4" x14ac:dyDescent="0.3">
      <c r="A82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2" s="1" t="s">
        <v>103</v>
      </c>
      <c r="C82">
        <v>8460.23414939342</v>
      </c>
      <c r="D82">
        <v>2008.0808080808081</v>
      </c>
    </row>
    <row r="83" spans="1:4" x14ac:dyDescent="0.3">
      <c r="A8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3" s="1" t="s">
        <v>103</v>
      </c>
      <c r="C83">
        <v>8396.8186652995355</v>
      </c>
      <c r="D83">
        <v>2018.181818181818</v>
      </c>
    </row>
    <row r="84" spans="1:4" x14ac:dyDescent="0.3">
      <c r="A8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4" s="1" t="s">
        <v>103</v>
      </c>
      <c r="C84">
        <v>8331.5062231068496</v>
      </c>
      <c r="D84">
        <v>2028.2828282828279</v>
      </c>
    </row>
    <row r="85" spans="1:4" x14ac:dyDescent="0.3">
      <c r="A8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5" s="1" t="s">
        <v>103</v>
      </c>
      <c r="C85">
        <v>8253.7687809141971</v>
      </c>
      <c r="D85">
        <v>2038.3838383838381</v>
      </c>
    </row>
    <row r="86" spans="1:4" x14ac:dyDescent="0.3">
      <c r="A8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6" s="1" t="s">
        <v>103</v>
      </c>
      <c r="C86">
        <v>8176.0313387215319</v>
      </c>
      <c r="D86">
        <v>2048.484848484848</v>
      </c>
    </row>
    <row r="87" spans="1:4" x14ac:dyDescent="0.3">
      <c r="A8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7" s="1" t="s">
        <v>103</v>
      </c>
      <c r="C87">
        <v>8098.293896528925</v>
      </c>
      <c r="D87">
        <v>2058.5858585858591</v>
      </c>
    </row>
    <row r="88" spans="1:4" x14ac:dyDescent="0.3">
      <c r="A8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8" s="1" t="s">
        <v>103</v>
      </c>
      <c r="C88">
        <v>8020.5564543362734</v>
      </c>
      <c r="D88">
        <v>2068.6868686868679</v>
      </c>
    </row>
    <row r="89" spans="1:4" x14ac:dyDescent="0.3">
      <c r="A8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89" s="1" t="s">
        <v>103</v>
      </c>
      <c r="C89">
        <v>7957.1409702423643</v>
      </c>
      <c r="D89">
        <v>2078.787878787879</v>
      </c>
    </row>
    <row r="90" spans="1:4" x14ac:dyDescent="0.3">
      <c r="A9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0" s="1" t="s">
        <v>103</v>
      </c>
      <c r="C90">
        <v>7895.2231681780086</v>
      </c>
      <c r="D90">
        <v>2088.8888888888891</v>
      </c>
    </row>
    <row r="91" spans="1:4" x14ac:dyDescent="0.3">
      <c r="A91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1" s="1" t="s">
        <v>103</v>
      </c>
      <c r="C91">
        <v>7817.4857259853216</v>
      </c>
      <c r="D91">
        <v>2098.9898989898988</v>
      </c>
    </row>
    <row r="92" spans="1:4" x14ac:dyDescent="0.3">
      <c r="A92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2" s="1" t="s">
        <v>103</v>
      </c>
      <c r="C92">
        <v>7753.8681895697428</v>
      </c>
      <c r="D92">
        <v>2109.090909090909</v>
      </c>
    </row>
    <row r="93" spans="1:4" x14ac:dyDescent="0.3">
      <c r="A93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3" s="1" t="s">
        <v>103</v>
      </c>
      <c r="C93">
        <v>7689.8550598795136</v>
      </c>
      <c r="D93">
        <v>2119.1919191919192</v>
      </c>
    </row>
    <row r="94" spans="1:4" x14ac:dyDescent="0.3">
      <c r="A94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4" s="1" t="s">
        <v>103</v>
      </c>
      <c r="C94">
        <v>7626.4395757856619</v>
      </c>
      <c r="D94">
        <v>2129.2929292929289</v>
      </c>
    </row>
    <row r="95" spans="1:4" x14ac:dyDescent="0.3">
      <c r="A95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5" s="1" t="s">
        <v>103</v>
      </c>
      <c r="C95">
        <v>7548.7021335930076</v>
      </c>
      <c r="D95">
        <v>2139.393939393939</v>
      </c>
    </row>
    <row r="96" spans="1:4" x14ac:dyDescent="0.3">
      <c r="A96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6" s="1" t="s">
        <v>103</v>
      </c>
      <c r="C96">
        <v>7470.964691400337</v>
      </c>
      <c r="D96">
        <v>2149.4949494949501</v>
      </c>
    </row>
    <row r="97" spans="1:4" x14ac:dyDescent="0.3">
      <c r="A97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7" s="1" t="s">
        <v>103</v>
      </c>
      <c r="C97">
        <v>7393.2272492076827</v>
      </c>
      <c r="D97">
        <v>2159.5959595959589</v>
      </c>
    </row>
    <row r="98" spans="1:4" x14ac:dyDescent="0.3">
      <c r="A98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8" s="1" t="s">
        <v>103</v>
      </c>
      <c r="C98">
        <v>7330.64930429178</v>
      </c>
      <c r="D98">
        <v>2169.69696969697</v>
      </c>
    </row>
    <row r="99" spans="1:4" x14ac:dyDescent="0.3">
      <c r="A99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99" s="1" t="s">
        <v>103</v>
      </c>
      <c r="C99">
        <v>7267.2338201978964</v>
      </c>
      <c r="D99">
        <v>2179.7979797979801</v>
      </c>
    </row>
    <row r="100" spans="1:4" x14ac:dyDescent="0.3">
      <c r="A100" s="1" t="str">
        <f>IF(Tabelle2567[[#This Row],[Auszahlung_aus_der_Szenario_Range]]="","",IFERROR(MID(Sensitivität_bzw_Monte_Carlo_bei_Strom[[#This Row],[Source.Name]],FIND("1",Sensitivität_bzw_Monte_Carlo_bei_Strom[[#This Row],[Source.Name]],1),1),2))</f>
        <v>1</v>
      </c>
      <c r="B100" s="1" t="s">
        <v>103</v>
      </c>
      <c r="C100">
        <v>7189.4963780052458</v>
      </c>
      <c r="D100">
        <v>2189.8989898989898</v>
      </c>
    </row>
    <row r="101" spans="1:4" x14ac:dyDescent="0.3">
      <c r="A101" s="1">
        <f>IF(Tabelle2567[[#This Row],[Auszahlung_aus_der_Szenario_Range]]="","",IFERROR(MID(Sensitivität_bzw_Monte_Carlo_bei_Strom[[#This Row],[Source.Name]],FIND("1",Sensitivität_bzw_Monte_Carlo_bei_Strom[[#This Row],[Source.Name]],1),1),2))</f>
        <v>2</v>
      </c>
      <c r="B101" s="1" t="s">
        <v>103</v>
      </c>
      <c r="C101">
        <v>7126.2858375512969</v>
      </c>
      <c r="D101">
        <v>2200</v>
      </c>
    </row>
    <row r="102" spans="1:4" x14ac:dyDescent="0.3">
      <c r="A102" s="1"/>
      <c r="B102" s="1" t="str">
        <f>IFERROR(IF(LEFT(Sensitivität_bzw_Monte_Carlo_bei_Strom[[#This Row],[Source.Name]],SEARCH("aus_der",Sensitivität_bzw_Monte_Carlo_bei_Strom[[#This Row],[Source.Name]],1))="Auszahlung_a","Auszahlung",""),"")</f>
        <v/>
      </c>
      <c r="D102" s="1"/>
    </row>
    <row r="103" spans="1:4" x14ac:dyDescent="0.3">
      <c r="A103" s="1"/>
      <c r="B103" s="1" t="str">
        <f>IFERROR(IF(LEFT(Sensitivität_bzw_Monte_Carlo_bei_Strom[[#This Row],[Source.Name]],SEARCH("aus_der",Sensitivität_bzw_Monte_Carlo_bei_Strom[[#This Row],[Source.Name]],1))="Auszahlung_a","Auszahlung",""),"")</f>
        <v/>
      </c>
      <c r="D103" s="1"/>
    </row>
    <row r="104" spans="1:4" x14ac:dyDescent="0.3">
      <c r="A104" s="1"/>
      <c r="B104" s="1" t="str">
        <f>IFERROR(IF(LEFT(Sensitivität_bzw_Monte_Carlo_bei_Strom[[#This Row],[Source.Name]],SEARCH("aus_der",Sensitivität_bzw_Monte_Carlo_bei_Strom[[#This Row],[Source.Name]],1))="Auszahlung_a","Auszahlung",""),"")</f>
        <v/>
      </c>
      <c r="D104" s="1"/>
    </row>
    <row r="105" spans="1:4" x14ac:dyDescent="0.3">
      <c r="A105" s="1"/>
      <c r="B105" s="1" t="str">
        <f>IFERROR(IF(LEFT(Sensitivität_bzw_Monte_Carlo_bei_Strom[[#This Row],[Source.Name]],SEARCH("aus_der",Sensitivität_bzw_Monte_Carlo_bei_Strom[[#This Row],[Source.Name]],1))="Auszahlung_a","Auszahlung",""),"")</f>
        <v/>
      </c>
      <c r="D105" s="1"/>
    </row>
    <row r="106" spans="1:4" x14ac:dyDescent="0.3">
      <c r="A106" s="1"/>
      <c r="B106" s="1" t="str">
        <f>IFERROR(IF(LEFT(Sensitivität_bzw_Monte_Carlo_bei_Strom[[#This Row],[Source.Name]],SEARCH("aus_der",Sensitivität_bzw_Monte_Carlo_bei_Strom[[#This Row],[Source.Name]],1))="Auszahlung_a","Auszahlung",""),"")</f>
        <v/>
      </c>
      <c r="D106" s="1"/>
    </row>
    <row r="107" spans="1:4" x14ac:dyDescent="0.3">
      <c r="A107" s="1"/>
      <c r="B107" s="1" t="str">
        <f>IFERROR(IF(LEFT(Sensitivität_bzw_Monte_Carlo_bei_Strom[[#This Row],[Source.Name]],SEARCH("aus_der",Sensitivität_bzw_Monte_Carlo_bei_Strom[[#This Row],[Source.Name]],1))="Auszahlung_a","Auszahlung",""),"")</f>
        <v/>
      </c>
      <c r="D107" s="1"/>
    </row>
    <row r="108" spans="1:4" x14ac:dyDescent="0.3">
      <c r="A108" s="1"/>
      <c r="B108" s="1" t="str">
        <f>IFERROR(IF(LEFT(Sensitivität_bzw_Monte_Carlo_bei_Strom[[#This Row],[Source.Name]],SEARCH("aus_der",Sensitivität_bzw_Monte_Carlo_bei_Strom[[#This Row],[Source.Name]],1))="Auszahlung_a","Auszahlung",""),"")</f>
        <v/>
      </c>
      <c r="D108" s="1"/>
    </row>
    <row r="109" spans="1:4" x14ac:dyDescent="0.3">
      <c r="A109" s="1"/>
      <c r="B109" s="1" t="str">
        <f>IFERROR(IF(LEFT(Sensitivität_bzw_Monte_Carlo_bei_Strom[[#This Row],[Source.Name]],SEARCH("aus_der",Sensitivität_bzw_Monte_Carlo_bei_Strom[[#This Row],[Source.Name]],1))="Auszahlung_a","Auszahlung",""),"")</f>
        <v/>
      </c>
      <c r="D109" s="1"/>
    </row>
    <row r="110" spans="1:4" x14ac:dyDescent="0.3">
      <c r="A110" s="1"/>
      <c r="B110" s="1" t="str">
        <f>IFERROR(IF(LEFT(Sensitivität_bzw_Monte_Carlo_bei_Strom[[#This Row],[Source.Name]],SEARCH("aus_der",Sensitivität_bzw_Monte_Carlo_bei_Strom[[#This Row],[Source.Name]],1))="Auszahlung_a","Auszahlung",""),"")</f>
        <v/>
      </c>
      <c r="D110" s="1"/>
    </row>
    <row r="111" spans="1:4" x14ac:dyDescent="0.3">
      <c r="A111" s="1"/>
      <c r="B111" s="1" t="str">
        <f>IFERROR(IF(LEFT(Sensitivität_bzw_Monte_Carlo_bei_Strom[[#This Row],[Source.Name]],SEARCH("aus_der",Sensitivität_bzw_Monte_Carlo_bei_Strom[[#This Row],[Source.Name]],1))="Auszahlung_a","Auszahlung",""),"")</f>
        <v/>
      </c>
      <c r="D111" s="1"/>
    </row>
    <row r="112" spans="1:4" x14ac:dyDescent="0.3">
      <c r="A112" s="1"/>
      <c r="B112" s="1" t="str">
        <f>IFERROR(IF(LEFT(Sensitivität_bzw_Monte_Carlo_bei_Strom[[#This Row],[Source.Name]],SEARCH("aus_der",Sensitivität_bzw_Monte_Carlo_bei_Strom[[#This Row],[Source.Name]],1))="Auszahlung_a","Auszahlung",""),"")</f>
        <v/>
      </c>
      <c r="D112" s="1"/>
    </row>
    <row r="113" spans="1:4" x14ac:dyDescent="0.3">
      <c r="A113" s="1"/>
      <c r="B113" s="1" t="str">
        <f>IFERROR(IF(LEFT(Sensitivität_bzw_Monte_Carlo_bei_Strom[[#This Row],[Source.Name]],SEARCH("aus_der",Sensitivität_bzw_Monte_Carlo_bei_Strom[[#This Row],[Source.Name]],1))="Auszahlung_a","Auszahlung",""),"")</f>
        <v/>
      </c>
      <c r="D113" s="1"/>
    </row>
    <row r="114" spans="1:4" x14ac:dyDescent="0.3">
      <c r="A114" s="1"/>
      <c r="B114" s="1" t="str">
        <f>IFERROR(IF(LEFT(Sensitivität_bzw_Monte_Carlo_bei_Strom[[#This Row],[Source.Name]],SEARCH("aus_der",Sensitivität_bzw_Monte_Carlo_bei_Strom[[#This Row],[Source.Name]],1))="Auszahlung_a","Auszahlung",""),"")</f>
        <v/>
      </c>
      <c r="D114" s="1"/>
    </row>
    <row r="115" spans="1:4" x14ac:dyDescent="0.3">
      <c r="A115" s="1"/>
      <c r="B115" s="1" t="str">
        <f>IFERROR(IF(LEFT(Sensitivität_bzw_Monte_Carlo_bei_Strom[[#This Row],[Source.Name]],SEARCH("aus_der",Sensitivität_bzw_Monte_Carlo_bei_Strom[[#This Row],[Source.Name]],1))="Auszahlung_a","Auszahlung",""),"")</f>
        <v/>
      </c>
      <c r="D115" s="1"/>
    </row>
    <row r="116" spans="1:4" x14ac:dyDescent="0.3">
      <c r="A116" s="1"/>
      <c r="B116" s="1" t="str">
        <f>IFERROR(IF(LEFT(Sensitivität_bzw_Monte_Carlo_bei_Strom[[#This Row],[Source.Name]],SEARCH("aus_der",Sensitivität_bzw_Monte_Carlo_bei_Strom[[#This Row],[Source.Name]],1))="Auszahlung_a","Auszahlung",""),"")</f>
        <v/>
      </c>
      <c r="D116" s="1"/>
    </row>
    <row r="117" spans="1:4" x14ac:dyDescent="0.3">
      <c r="A117" s="1"/>
      <c r="B117" s="1" t="str">
        <f>IFERROR(IF(LEFT(Sensitivität_bzw_Monte_Carlo_bei_Strom[[#This Row],[Source.Name]],SEARCH("aus_der",Sensitivität_bzw_Monte_Carlo_bei_Strom[[#This Row],[Source.Name]],1))="Auszahlung_a","Auszahlung",""),"")</f>
        <v/>
      </c>
      <c r="D117" s="1"/>
    </row>
    <row r="118" spans="1:4" x14ac:dyDescent="0.3">
      <c r="A118" s="1"/>
      <c r="B118" s="1" t="str">
        <f>IFERROR(IF(LEFT(Sensitivität_bzw_Monte_Carlo_bei_Strom[[#This Row],[Source.Name]],SEARCH("aus_der",Sensitivität_bzw_Monte_Carlo_bei_Strom[[#This Row],[Source.Name]],1))="Auszahlung_a","Auszahlung",""),"")</f>
        <v/>
      </c>
      <c r="D118" s="1"/>
    </row>
    <row r="119" spans="1:4" x14ac:dyDescent="0.3">
      <c r="A119" s="1"/>
      <c r="B119" s="1" t="str">
        <f>IFERROR(IF(LEFT(Sensitivität_bzw_Monte_Carlo_bei_Strom[[#This Row],[Source.Name]],SEARCH("aus_der",Sensitivität_bzw_Monte_Carlo_bei_Strom[[#This Row],[Source.Name]],1))="Auszahlung_a","Auszahlung",""),"")</f>
        <v/>
      </c>
      <c r="D119" s="1"/>
    </row>
    <row r="120" spans="1:4" x14ac:dyDescent="0.3">
      <c r="A120" s="1"/>
      <c r="B120" s="1" t="str">
        <f>IFERROR(IF(LEFT(Sensitivität_bzw_Monte_Carlo_bei_Strom[[#This Row],[Source.Name]],SEARCH("aus_der",Sensitivität_bzw_Monte_Carlo_bei_Strom[[#This Row],[Source.Name]],1))="Auszahlung_a","Auszahlung",""),"")</f>
        <v/>
      </c>
      <c r="D120" s="1"/>
    </row>
    <row r="121" spans="1:4" x14ac:dyDescent="0.3">
      <c r="A121" s="1"/>
      <c r="B121" s="1" t="str">
        <f>IFERROR(IF(LEFT(Sensitivität_bzw_Monte_Carlo_bei_Strom[[#This Row],[Source.Name]],SEARCH("aus_der",Sensitivität_bzw_Monte_Carlo_bei_Strom[[#This Row],[Source.Name]],1))="Auszahlung_a","Auszahlung",""),"")</f>
        <v/>
      </c>
      <c r="D121" s="1"/>
    </row>
    <row r="122" spans="1:4" x14ac:dyDescent="0.3">
      <c r="A122" s="1"/>
      <c r="B122" s="1" t="str">
        <f>IFERROR(IF(LEFT(Sensitivität_bzw_Monte_Carlo_bei_Strom[[#This Row],[Source.Name]],SEARCH("aus_der",Sensitivität_bzw_Monte_Carlo_bei_Strom[[#This Row],[Source.Name]],1))="Auszahlung_a","Auszahlung",""),"")</f>
        <v/>
      </c>
      <c r="D122" s="1"/>
    </row>
    <row r="123" spans="1:4" x14ac:dyDescent="0.3">
      <c r="A123" s="1"/>
      <c r="B123" s="1" t="str">
        <f>IFERROR(IF(LEFT(Sensitivität_bzw_Monte_Carlo_bei_Strom[[#This Row],[Source.Name]],SEARCH("aus_der",Sensitivität_bzw_Monte_Carlo_bei_Strom[[#This Row],[Source.Name]],1))="Auszahlung_a","Auszahlung",""),"")</f>
        <v/>
      </c>
      <c r="D123" s="1"/>
    </row>
    <row r="124" spans="1:4" x14ac:dyDescent="0.3">
      <c r="A124" s="1"/>
      <c r="B124" s="1" t="str">
        <f>IFERROR(IF(LEFT(Sensitivität_bzw_Monte_Carlo_bei_Strom[[#This Row],[Source.Name]],SEARCH("aus_der",Sensitivität_bzw_Monte_Carlo_bei_Strom[[#This Row],[Source.Name]],1))="Auszahlung_a","Auszahlung",""),"")</f>
        <v/>
      </c>
      <c r="D124" s="1"/>
    </row>
    <row r="125" spans="1:4" x14ac:dyDescent="0.3">
      <c r="A125" s="1"/>
      <c r="B125" s="1" t="str">
        <f>IFERROR(IF(LEFT(Sensitivität_bzw_Monte_Carlo_bei_Strom[[#This Row],[Source.Name]],SEARCH("aus_der",Sensitivität_bzw_Monte_Carlo_bei_Strom[[#This Row],[Source.Name]],1))="Auszahlung_a","Auszahlung",""),"")</f>
        <v/>
      </c>
      <c r="D125" s="1"/>
    </row>
    <row r="126" spans="1:4" x14ac:dyDescent="0.3">
      <c r="A126" s="1"/>
      <c r="B126" s="1" t="str">
        <f>IFERROR(IF(LEFT(Sensitivität_bzw_Monte_Carlo_bei_Strom[[#This Row],[Source.Name]],SEARCH("aus_der",Sensitivität_bzw_Monte_Carlo_bei_Strom[[#This Row],[Source.Name]],1))="Auszahlung_a","Auszahlung",""),"")</f>
        <v/>
      </c>
      <c r="D126" s="1"/>
    </row>
    <row r="127" spans="1:4" x14ac:dyDescent="0.3">
      <c r="A127" s="1"/>
      <c r="B127" s="1" t="str">
        <f>IFERROR(IF(LEFT(Sensitivität_bzw_Monte_Carlo_bei_Strom[[#This Row],[Source.Name]],SEARCH("aus_der",Sensitivität_bzw_Monte_Carlo_bei_Strom[[#This Row],[Source.Name]],1))="Auszahlung_a","Auszahlung",""),"")</f>
        <v/>
      </c>
      <c r="D127" s="1"/>
    </row>
    <row r="128" spans="1:4" x14ac:dyDescent="0.3">
      <c r="A128" s="1"/>
      <c r="B128" s="1" t="str">
        <f>IFERROR(IF(LEFT(Sensitivität_bzw_Monte_Carlo_bei_Strom[[#This Row],[Source.Name]],SEARCH("aus_der",Sensitivität_bzw_Monte_Carlo_bei_Strom[[#This Row],[Source.Name]],1))="Auszahlung_a","Auszahlung",""),"")</f>
        <v/>
      </c>
      <c r="D128" s="1"/>
    </row>
    <row r="129" spans="1:4" x14ac:dyDescent="0.3">
      <c r="A129" s="1"/>
      <c r="B129" s="1" t="str">
        <f>IFERROR(IF(LEFT(Sensitivität_bzw_Monte_Carlo_bei_Strom[[#This Row],[Source.Name]],SEARCH("aus_der",Sensitivität_bzw_Monte_Carlo_bei_Strom[[#This Row],[Source.Name]],1))="Auszahlung_a","Auszahlung",""),"")</f>
        <v/>
      </c>
      <c r="D129" s="1"/>
    </row>
    <row r="130" spans="1:4" x14ac:dyDescent="0.3">
      <c r="A130" s="1"/>
      <c r="B130" s="1" t="str">
        <f>IFERROR(IF(LEFT(Sensitivität_bzw_Monte_Carlo_bei_Strom[[#This Row],[Source.Name]],SEARCH("aus_der",Sensitivität_bzw_Monte_Carlo_bei_Strom[[#This Row],[Source.Name]],1))="Auszahlung_a","Auszahlung",""),"")</f>
        <v/>
      </c>
      <c r="D130" s="1"/>
    </row>
    <row r="131" spans="1:4" x14ac:dyDescent="0.3">
      <c r="A131" s="1"/>
      <c r="B131" s="1" t="str">
        <f>IFERROR(IF(LEFT(Sensitivität_bzw_Monte_Carlo_bei_Strom[[#This Row],[Source.Name]],SEARCH("aus_der",Sensitivität_bzw_Monte_Carlo_bei_Strom[[#This Row],[Source.Name]],1))="Auszahlung_a","Auszahlung",""),"")</f>
        <v/>
      </c>
      <c r="D131" s="1"/>
    </row>
    <row r="132" spans="1:4" x14ac:dyDescent="0.3">
      <c r="A132" s="1"/>
      <c r="B132" s="1" t="str">
        <f>IFERROR(IF(LEFT(Sensitivität_bzw_Monte_Carlo_bei_Strom[[#This Row],[Source.Name]],SEARCH("aus_der",Sensitivität_bzw_Monte_Carlo_bei_Strom[[#This Row],[Source.Name]],1))="Auszahlung_a","Auszahlung",""),"")</f>
        <v/>
      </c>
      <c r="D132" s="1"/>
    </row>
    <row r="133" spans="1:4" x14ac:dyDescent="0.3">
      <c r="A133" s="1"/>
      <c r="B133" s="1" t="str">
        <f>IFERROR(IF(LEFT(Sensitivität_bzw_Monte_Carlo_bei_Strom[[#This Row],[Source.Name]],SEARCH("aus_der",Sensitivität_bzw_Monte_Carlo_bei_Strom[[#This Row],[Source.Name]],1))="Auszahlung_a","Auszahlung",""),"")</f>
        <v/>
      </c>
      <c r="D133" s="1"/>
    </row>
    <row r="134" spans="1:4" x14ac:dyDescent="0.3">
      <c r="A134" s="1"/>
      <c r="B134" s="1" t="str">
        <f>IFERROR(IF(LEFT(Sensitivität_bzw_Monte_Carlo_bei_Strom[[#This Row],[Source.Name]],SEARCH("aus_der",Sensitivität_bzw_Monte_Carlo_bei_Strom[[#This Row],[Source.Name]],1))="Auszahlung_a","Auszahlung",""),"")</f>
        <v/>
      </c>
      <c r="D134" s="1"/>
    </row>
    <row r="135" spans="1:4" x14ac:dyDescent="0.3">
      <c r="A135" s="1"/>
      <c r="B135" s="1" t="str">
        <f>IFERROR(IF(LEFT(Sensitivität_bzw_Monte_Carlo_bei_Strom[[#This Row],[Source.Name]],SEARCH("aus_der",Sensitivität_bzw_Monte_Carlo_bei_Strom[[#This Row],[Source.Name]],1))="Auszahlung_a","Auszahlung",""),"")</f>
        <v/>
      </c>
      <c r="D135" s="1"/>
    </row>
    <row r="136" spans="1:4" x14ac:dyDescent="0.3">
      <c r="A136" s="1"/>
      <c r="B136" s="1" t="str">
        <f>IFERROR(IF(LEFT(Sensitivität_bzw_Monte_Carlo_bei_Strom[[#This Row],[Source.Name]],SEARCH("aus_der",Sensitivität_bzw_Monte_Carlo_bei_Strom[[#This Row],[Source.Name]],1))="Auszahlung_a","Auszahlung",""),"")</f>
        <v/>
      </c>
      <c r="D136" s="1"/>
    </row>
    <row r="137" spans="1:4" x14ac:dyDescent="0.3">
      <c r="A137" s="1"/>
      <c r="B137" s="1" t="str">
        <f>IFERROR(IF(LEFT(Sensitivität_bzw_Monte_Carlo_bei_Strom[[#This Row],[Source.Name]],SEARCH("aus_der",Sensitivität_bzw_Monte_Carlo_bei_Strom[[#This Row],[Source.Name]],1))="Auszahlung_a","Auszahlung",""),"")</f>
        <v/>
      </c>
      <c r="D137" s="1"/>
    </row>
    <row r="138" spans="1:4" x14ac:dyDescent="0.3">
      <c r="A138" s="1"/>
      <c r="B138" s="1" t="str">
        <f>IFERROR(IF(LEFT(Sensitivität_bzw_Monte_Carlo_bei_Strom[[#This Row],[Source.Name]],SEARCH("aus_der",Sensitivität_bzw_Monte_Carlo_bei_Strom[[#This Row],[Source.Name]],1))="Auszahlung_a","Auszahlung",""),"")</f>
        <v/>
      </c>
      <c r="D138" s="1"/>
    </row>
    <row r="139" spans="1:4" x14ac:dyDescent="0.3">
      <c r="A139" s="1"/>
      <c r="B139" s="1" t="str">
        <f>IFERROR(IF(LEFT(Sensitivität_bzw_Monte_Carlo_bei_Strom[[#This Row],[Source.Name]],SEARCH("aus_der",Sensitivität_bzw_Monte_Carlo_bei_Strom[[#This Row],[Source.Name]],1))="Auszahlung_a","Auszahlung",""),"")</f>
        <v/>
      </c>
      <c r="D139" s="1"/>
    </row>
    <row r="140" spans="1:4" x14ac:dyDescent="0.3">
      <c r="A140" s="1"/>
      <c r="B140" s="1" t="str">
        <f>IFERROR(IF(LEFT(Sensitivität_bzw_Monte_Carlo_bei_Strom[[#This Row],[Source.Name]],SEARCH("aus_der",Sensitivität_bzw_Monte_Carlo_bei_Strom[[#This Row],[Source.Name]],1))="Auszahlung_a","Auszahlung",""),"")</f>
        <v/>
      </c>
      <c r="D140" s="1"/>
    </row>
    <row r="141" spans="1:4" x14ac:dyDescent="0.3">
      <c r="A141" s="1"/>
      <c r="B141" s="1" t="str">
        <f>IFERROR(IF(LEFT(Sensitivität_bzw_Monte_Carlo_bei_Strom[[#This Row],[Source.Name]],SEARCH("aus_der",Sensitivität_bzw_Monte_Carlo_bei_Strom[[#This Row],[Source.Name]],1))="Auszahlung_a","Auszahlung",""),"")</f>
        <v/>
      </c>
      <c r="D141" s="1"/>
    </row>
    <row r="142" spans="1:4" x14ac:dyDescent="0.3">
      <c r="A142" s="1"/>
      <c r="B142" s="1" t="str">
        <f>IFERROR(IF(LEFT(Sensitivität_bzw_Monte_Carlo_bei_Strom[[#This Row],[Source.Name]],SEARCH("aus_der",Sensitivität_bzw_Monte_Carlo_bei_Strom[[#This Row],[Source.Name]],1))="Auszahlung_a","Auszahlung",""),"")</f>
        <v/>
      </c>
      <c r="D142" s="1"/>
    </row>
    <row r="143" spans="1:4" x14ac:dyDescent="0.3">
      <c r="A143" s="1"/>
      <c r="B143" s="1" t="str">
        <f>IFERROR(IF(LEFT(Sensitivität_bzw_Monte_Carlo_bei_Strom[[#This Row],[Source.Name]],SEARCH("aus_der",Sensitivität_bzw_Monte_Carlo_bei_Strom[[#This Row],[Source.Name]],1))="Auszahlung_a","Auszahlung",""),"")</f>
        <v/>
      </c>
      <c r="D143" s="1"/>
    </row>
    <row r="144" spans="1:4" x14ac:dyDescent="0.3">
      <c r="A144" s="1"/>
      <c r="B144" s="1" t="str">
        <f>IFERROR(IF(LEFT(Sensitivität_bzw_Monte_Carlo_bei_Strom[[#This Row],[Source.Name]],SEARCH("aus_der",Sensitivität_bzw_Monte_Carlo_bei_Strom[[#This Row],[Source.Name]],1))="Auszahlung_a","Auszahlung",""),"")</f>
        <v/>
      </c>
      <c r="D144" s="1"/>
    </row>
    <row r="145" spans="1:4" x14ac:dyDescent="0.3">
      <c r="A145" s="1"/>
      <c r="B145" s="1" t="str">
        <f>IFERROR(IF(LEFT(Sensitivität_bzw_Monte_Carlo_bei_Strom[[#This Row],[Source.Name]],SEARCH("aus_der",Sensitivität_bzw_Monte_Carlo_bei_Strom[[#This Row],[Source.Name]],1))="Auszahlung_a","Auszahlung",""),"")</f>
        <v/>
      </c>
      <c r="D145" s="1"/>
    </row>
    <row r="146" spans="1:4" x14ac:dyDescent="0.3">
      <c r="A146" s="1"/>
      <c r="B146" s="1" t="str">
        <f>IFERROR(IF(LEFT(Sensitivität_bzw_Monte_Carlo_bei_Strom[[#This Row],[Source.Name]],SEARCH("aus_der",Sensitivität_bzw_Monte_Carlo_bei_Strom[[#This Row],[Source.Name]],1))="Auszahlung_a","Auszahlung",""),"")</f>
        <v/>
      </c>
      <c r="D146" s="1"/>
    </row>
    <row r="147" spans="1:4" x14ac:dyDescent="0.3">
      <c r="A147" s="1"/>
      <c r="B147" s="1" t="str">
        <f>IFERROR(IF(LEFT(Sensitivität_bzw_Monte_Carlo_bei_Strom[[#This Row],[Source.Name]],SEARCH("aus_der",Sensitivität_bzw_Monte_Carlo_bei_Strom[[#This Row],[Source.Name]],1))="Auszahlung_a","Auszahlung",""),"")</f>
        <v/>
      </c>
      <c r="D147" s="1"/>
    </row>
    <row r="148" spans="1:4" x14ac:dyDescent="0.3">
      <c r="A148" s="1"/>
      <c r="B148" s="1" t="str">
        <f>IFERROR(IF(LEFT(Sensitivität_bzw_Monte_Carlo_bei_Strom[[#This Row],[Source.Name]],SEARCH("aus_der",Sensitivität_bzw_Monte_Carlo_bei_Strom[[#This Row],[Source.Name]],1))="Auszahlung_a","Auszahlung",""),"")</f>
        <v/>
      </c>
      <c r="D148" s="1"/>
    </row>
    <row r="149" spans="1:4" x14ac:dyDescent="0.3">
      <c r="A149" s="1"/>
      <c r="B149" s="1" t="str">
        <f>IFERROR(IF(LEFT(Sensitivität_bzw_Monte_Carlo_bei_Strom[[#This Row],[Source.Name]],SEARCH("aus_der",Sensitivität_bzw_Monte_Carlo_bei_Strom[[#This Row],[Source.Name]],1))="Auszahlung_a","Auszahlung",""),"")</f>
        <v/>
      </c>
      <c r="D149" s="1"/>
    </row>
    <row r="150" spans="1:4" x14ac:dyDescent="0.3">
      <c r="A150" s="1"/>
      <c r="B150" s="1" t="str">
        <f>IFERROR(IF(LEFT(Sensitivität_bzw_Monte_Carlo_bei_Strom[[#This Row],[Source.Name]],SEARCH("aus_der",Sensitivität_bzw_Monte_Carlo_bei_Strom[[#This Row],[Source.Name]],1))="Auszahlung_a","Auszahlung",""),"")</f>
        <v/>
      </c>
      <c r="D150" s="1"/>
    </row>
    <row r="151" spans="1:4" x14ac:dyDescent="0.3">
      <c r="A151" s="1"/>
      <c r="B151" s="1" t="str">
        <f>IFERROR(IF(LEFT(Sensitivität_bzw_Monte_Carlo_bei_Strom[[#This Row],[Source.Name]],SEARCH("aus_der",Sensitivität_bzw_Monte_Carlo_bei_Strom[[#This Row],[Source.Name]],1))="Auszahlung_a","Auszahlung",""),"")</f>
        <v/>
      </c>
      <c r="D151" s="1"/>
    </row>
    <row r="152" spans="1:4" x14ac:dyDescent="0.3">
      <c r="A152" s="1"/>
      <c r="B152" s="1" t="str">
        <f>IFERROR(IF(LEFT(Sensitivität_bzw_Monte_Carlo_bei_Strom[[#This Row],[Source.Name]],SEARCH("aus_der",Sensitivität_bzw_Monte_Carlo_bei_Strom[[#This Row],[Source.Name]],1))="Auszahlung_a","Auszahlung",""),"")</f>
        <v/>
      </c>
      <c r="D152" s="1"/>
    </row>
    <row r="153" spans="1:4" x14ac:dyDescent="0.3">
      <c r="A153" s="1"/>
      <c r="B153" s="1" t="str">
        <f>IFERROR(IF(LEFT(Sensitivität_bzw_Monte_Carlo_bei_Strom[[#This Row],[Source.Name]],SEARCH("aus_der",Sensitivität_bzw_Monte_Carlo_bei_Strom[[#This Row],[Source.Name]],1))="Auszahlung_a","Auszahlung",""),"")</f>
        <v/>
      </c>
      <c r="D153" s="1"/>
    </row>
    <row r="154" spans="1:4" x14ac:dyDescent="0.3">
      <c r="A154" s="1"/>
      <c r="B154" s="1" t="str">
        <f>IFERROR(IF(LEFT(Sensitivität_bzw_Monte_Carlo_bei_Strom[[#This Row],[Source.Name]],SEARCH("aus_der",Sensitivität_bzw_Monte_Carlo_bei_Strom[[#This Row],[Source.Name]],1))="Auszahlung_a","Auszahlung",""),"")</f>
        <v/>
      </c>
      <c r="D154" s="1"/>
    </row>
    <row r="155" spans="1:4" x14ac:dyDescent="0.3">
      <c r="A155" s="1"/>
      <c r="B155" s="1" t="str">
        <f>IFERROR(IF(LEFT(Sensitivität_bzw_Monte_Carlo_bei_Strom[[#This Row],[Source.Name]],SEARCH("aus_der",Sensitivität_bzw_Monte_Carlo_bei_Strom[[#This Row],[Source.Name]],1))="Auszahlung_a","Auszahlung",""),"")</f>
        <v/>
      </c>
      <c r="D155" s="1"/>
    </row>
    <row r="156" spans="1:4" x14ac:dyDescent="0.3">
      <c r="A156" s="1"/>
      <c r="B156" s="1" t="str">
        <f>IFERROR(IF(LEFT(Sensitivität_bzw_Monte_Carlo_bei_Strom[[#This Row],[Source.Name]],SEARCH("aus_der",Sensitivität_bzw_Monte_Carlo_bei_Strom[[#This Row],[Source.Name]],1))="Auszahlung_a","Auszahlung",""),"")</f>
        <v/>
      </c>
      <c r="D156" s="1"/>
    </row>
    <row r="157" spans="1:4" x14ac:dyDescent="0.3">
      <c r="A157" s="1"/>
      <c r="B157" s="1" t="str">
        <f>IFERROR(IF(LEFT(Sensitivität_bzw_Monte_Carlo_bei_Strom[[#This Row],[Source.Name]],SEARCH("aus_der",Sensitivität_bzw_Monte_Carlo_bei_Strom[[#This Row],[Source.Name]],1))="Auszahlung_a","Auszahlung",""),"")</f>
        <v/>
      </c>
      <c r="D157" s="1"/>
    </row>
    <row r="158" spans="1:4" x14ac:dyDescent="0.3">
      <c r="A158" s="1"/>
      <c r="B158" s="1" t="str">
        <f>IFERROR(IF(LEFT(Sensitivität_bzw_Monte_Carlo_bei_Strom[[#This Row],[Source.Name]],SEARCH("aus_der",Sensitivität_bzw_Monte_Carlo_bei_Strom[[#This Row],[Source.Name]],1))="Auszahlung_a","Auszahlung",""),"")</f>
        <v/>
      </c>
      <c r="D158" s="1"/>
    </row>
    <row r="159" spans="1:4" x14ac:dyDescent="0.3">
      <c r="A159" s="1"/>
      <c r="B159" s="1" t="str">
        <f>IFERROR(IF(LEFT(Sensitivität_bzw_Monte_Carlo_bei_Strom[[#This Row],[Source.Name]],SEARCH("aus_der",Sensitivität_bzw_Monte_Carlo_bei_Strom[[#This Row],[Source.Name]],1))="Auszahlung_a","Auszahlung",""),"")</f>
        <v/>
      </c>
      <c r="D159" s="1"/>
    </row>
    <row r="160" spans="1:4" x14ac:dyDescent="0.3">
      <c r="A160" s="1"/>
      <c r="B160" s="1" t="str">
        <f>IFERROR(IF(LEFT(Sensitivität_bzw_Monte_Carlo_bei_Strom[[#This Row],[Source.Name]],SEARCH("aus_der",Sensitivität_bzw_Monte_Carlo_bei_Strom[[#This Row],[Source.Name]],1))="Auszahlung_a","Auszahlung",""),"")</f>
        <v/>
      </c>
      <c r="D160" s="1"/>
    </row>
    <row r="161" spans="1:4" x14ac:dyDescent="0.3">
      <c r="A161" s="1"/>
      <c r="B161" s="1" t="str">
        <f>IFERROR(IF(LEFT(Sensitivität_bzw_Monte_Carlo_bei_Strom[[#This Row],[Source.Name]],SEARCH("aus_der",Sensitivität_bzw_Monte_Carlo_bei_Strom[[#This Row],[Source.Name]],1))="Auszahlung_a","Auszahlung",""),"")</f>
        <v/>
      </c>
      <c r="D161" s="1"/>
    </row>
    <row r="162" spans="1:4" x14ac:dyDescent="0.3">
      <c r="A162" s="1"/>
      <c r="B162" s="1" t="str">
        <f>IFERROR(IF(LEFT(Sensitivität_bzw_Monte_Carlo_bei_Strom[[#This Row],[Source.Name]],SEARCH("aus_der",Sensitivität_bzw_Monte_Carlo_bei_Strom[[#This Row],[Source.Name]],1))="Auszahlung_a","Auszahlung",""),"")</f>
        <v/>
      </c>
      <c r="D162" s="1"/>
    </row>
    <row r="163" spans="1:4" x14ac:dyDescent="0.3">
      <c r="A163" s="1"/>
      <c r="B163" s="1" t="str">
        <f>IFERROR(IF(LEFT(Sensitivität_bzw_Monte_Carlo_bei_Strom[[#This Row],[Source.Name]],SEARCH("aus_der",Sensitivität_bzw_Monte_Carlo_bei_Strom[[#This Row],[Source.Name]],1))="Auszahlung_a","Auszahlung",""),"")</f>
        <v/>
      </c>
      <c r="D163" s="1"/>
    </row>
    <row r="164" spans="1:4" x14ac:dyDescent="0.3">
      <c r="A164" s="1"/>
      <c r="B164" s="1" t="str">
        <f>IFERROR(IF(LEFT(Sensitivität_bzw_Monte_Carlo_bei_Strom[[#This Row],[Source.Name]],SEARCH("aus_der",Sensitivität_bzw_Monte_Carlo_bei_Strom[[#This Row],[Source.Name]],1))="Auszahlung_a","Auszahlung",""),"")</f>
        <v/>
      </c>
      <c r="D164" s="1"/>
    </row>
    <row r="165" spans="1:4" x14ac:dyDescent="0.3">
      <c r="A165" s="1"/>
      <c r="B165" s="1" t="str">
        <f>IFERROR(IF(LEFT(Sensitivität_bzw_Monte_Carlo_bei_Strom[[#This Row],[Source.Name]],SEARCH("aus_der",Sensitivität_bzw_Monte_Carlo_bei_Strom[[#This Row],[Source.Name]],1))="Auszahlung_a","Auszahlung",""),"")</f>
        <v/>
      </c>
      <c r="D165" s="1"/>
    </row>
    <row r="166" spans="1:4" x14ac:dyDescent="0.3">
      <c r="A166" s="1"/>
      <c r="B166" s="1" t="str">
        <f>IFERROR(IF(LEFT(Sensitivität_bzw_Monte_Carlo_bei_Strom[[#This Row],[Source.Name]],SEARCH("aus_der",Sensitivität_bzw_Monte_Carlo_bei_Strom[[#This Row],[Source.Name]],1))="Auszahlung_a","Auszahlung",""),"")</f>
        <v/>
      </c>
      <c r="D166" s="1"/>
    </row>
    <row r="167" spans="1:4" x14ac:dyDescent="0.3">
      <c r="A167" s="1"/>
      <c r="B167" s="1" t="str">
        <f>IFERROR(IF(LEFT(Sensitivität_bzw_Monte_Carlo_bei_Strom[[#This Row],[Source.Name]],SEARCH("aus_der",Sensitivität_bzw_Monte_Carlo_bei_Strom[[#This Row],[Source.Name]],1))="Auszahlung_a","Auszahlung",""),"")</f>
        <v/>
      </c>
      <c r="D167" s="1"/>
    </row>
    <row r="168" spans="1:4" x14ac:dyDescent="0.3">
      <c r="A168" s="1"/>
      <c r="B168" s="1" t="str">
        <f>IFERROR(IF(LEFT(Sensitivität_bzw_Monte_Carlo_bei_Strom[[#This Row],[Source.Name]],SEARCH("aus_der",Sensitivität_bzw_Monte_Carlo_bei_Strom[[#This Row],[Source.Name]],1))="Auszahlung_a","Auszahlung",""),"")</f>
        <v/>
      </c>
      <c r="D168" s="1"/>
    </row>
    <row r="169" spans="1:4" x14ac:dyDescent="0.3">
      <c r="A169" s="1"/>
      <c r="B169" s="1" t="str">
        <f>IFERROR(IF(LEFT(Sensitivität_bzw_Monte_Carlo_bei_Strom[[#This Row],[Source.Name]],SEARCH("aus_der",Sensitivität_bzw_Monte_Carlo_bei_Strom[[#This Row],[Source.Name]],1))="Auszahlung_a","Auszahlung",""),"")</f>
        <v/>
      </c>
      <c r="D169" s="1"/>
    </row>
    <row r="170" spans="1:4" x14ac:dyDescent="0.3">
      <c r="A170" s="1"/>
      <c r="B170" s="1" t="str">
        <f>IFERROR(IF(LEFT(Sensitivität_bzw_Monte_Carlo_bei_Strom[[#This Row],[Source.Name]],SEARCH("aus_der",Sensitivität_bzw_Monte_Carlo_bei_Strom[[#This Row],[Source.Name]],1))="Auszahlung_a","Auszahlung",""),"")</f>
        <v/>
      </c>
      <c r="D170" s="1"/>
    </row>
    <row r="171" spans="1:4" x14ac:dyDescent="0.3">
      <c r="A171" s="1"/>
      <c r="B171" s="1" t="str">
        <f>IFERROR(IF(LEFT(Sensitivität_bzw_Monte_Carlo_bei_Strom[[#This Row],[Source.Name]],SEARCH("aus_der",Sensitivität_bzw_Monte_Carlo_bei_Strom[[#This Row],[Source.Name]],1))="Auszahlung_a","Auszahlung",""),"")</f>
        <v/>
      </c>
      <c r="D171" s="1"/>
    </row>
    <row r="172" spans="1:4" x14ac:dyDescent="0.3">
      <c r="A172" s="1"/>
      <c r="B172" s="1" t="str">
        <f>IFERROR(IF(LEFT(Sensitivität_bzw_Monte_Carlo_bei_Strom[[#This Row],[Source.Name]],SEARCH("aus_der",Sensitivität_bzw_Monte_Carlo_bei_Strom[[#This Row],[Source.Name]],1))="Auszahlung_a","Auszahlung",""),"")</f>
        <v/>
      </c>
      <c r="D172" s="1"/>
    </row>
    <row r="173" spans="1:4" x14ac:dyDescent="0.3">
      <c r="A173" s="1"/>
      <c r="B173" s="1" t="str">
        <f>IFERROR(IF(LEFT(Sensitivität_bzw_Monte_Carlo_bei_Strom[[#This Row],[Source.Name]],SEARCH("aus_der",Sensitivität_bzw_Monte_Carlo_bei_Strom[[#This Row],[Source.Name]],1))="Auszahlung_a","Auszahlung",""),"")</f>
        <v/>
      </c>
      <c r="D173" s="1"/>
    </row>
    <row r="174" spans="1:4" x14ac:dyDescent="0.3">
      <c r="A174" s="1"/>
      <c r="B174" s="1" t="str">
        <f>IFERROR(IF(LEFT(Sensitivität_bzw_Monte_Carlo_bei_Strom[[#This Row],[Source.Name]],SEARCH("aus_der",Sensitivität_bzw_Monte_Carlo_bei_Strom[[#This Row],[Source.Name]],1))="Auszahlung_a","Auszahlung",""),"")</f>
        <v/>
      </c>
      <c r="D174" s="1"/>
    </row>
    <row r="175" spans="1:4" x14ac:dyDescent="0.3">
      <c r="A175" s="1"/>
      <c r="B175" s="1" t="str">
        <f>IFERROR(IF(LEFT(Sensitivität_bzw_Monte_Carlo_bei_Strom[[#This Row],[Source.Name]],SEARCH("aus_der",Sensitivität_bzw_Monte_Carlo_bei_Strom[[#This Row],[Source.Name]],1))="Auszahlung_a","Auszahlung",""),"")</f>
        <v/>
      </c>
      <c r="D175" s="1"/>
    </row>
    <row r="176" spans="1:4" x14ac:dyDescent="0.3">
      <c r="A176" s="1"/>
      <c r="B176" s="1" t="str">
        <f>IFERROR(IF(LEFT(Sensitivität_bzw_Monte_Carlo_bei_Strom[[#This Row],[Source.Name]],SEARCH("aus_der",Sensitivität_bzw_Monte_Carlo_bei_Strom[[#This Row],[Source.Name]],1))="Auszahlung_a","Auszahlung",""),"")</f>
        <v/>
      </c>
      <c r="D176" s="1"/>
    </row>
    <row r="177" spans="1:4" x14ac:dyDescent="0.3">
      <c r="A177" s="1"/>
      <c r="B177" s="1" t="str">
        <f>IFERROR(IF(LEFT(Sensitivität_bzw_Monte_Carlo_bei_Strom[[#This Row],[Source.Name]],SEARCH("aus_der",Sensitivität_bzw_Monte_Carlo_bei_Strom[[#This Row],[Source.Name]],1))="Auszahlung_a","Auszahlung",""),"")</f>
        <v/>
      </c>
      <c r="D177" s="1"/>
    </row>
    <row r="178" spans="1:4" x14ac:dyDescent="0.3">
      <c r="A178" s="1"/>
      <c r="B178" s="1" t="str">
        <f>IFERROR(IF(LEFT(Sensitivität_bzw_Monte_Carlo_bei_Strom[[#This Row],[Source.Name]],SEARCH("aus_der",Sensitivität_bzw_Monte_Carlo_bei_Strom[[#This Row],[Source.Name]],1))="Auszahlung_a","Auszahlung",""),"")</f>
        <v/>
      </c>
      <c r="D178" s="1"/>
    </row>
    <row r="179" spans="1:4" x14ac:dyDescent="0.3">
      <c r="A179" s="1"/>
      <c r="B179" s="1" t="str">
        <f>IFERROR(IF(LEFT(Sensitivität_bzw_Monte_Carlo_bei_Strom[[#This Row],[Source.Name]],SEARCH("aus_der",Sensitivität_bzw_Monte_Carlo_bei_Strom[[#This Row],[Source.Name]],1))="Auszahlung_a","Auszahlung",""),"")</f>
        <v/>
      </c>
      <c r="D179" s="1"/>
    </row>
    <row r="180" spans="1:4" x14ac:dyDescent="0.3">
      <c r="A180" s="1"/>
      <c r="B180" s="1" t="str">
        <f>IFERROR(IF(LEFT(Sensitivität_bzw_Monte_Carlo_bei_Strom[[#This Row],[Source.Name]],SEARCH("aus_der",Sensitivität_bzw_Monte_Carlo_bei_Strom[[#This Row],[Source.Name]],1))="Auszahlung_a","Auszahlung",""),"")</f>
        <v/>
      </c>
      <c r="D180" s="1"/>
    </row>
    <row r="181" spans="1:4" x14ac:dyDescent="0.3">
      <c r="A181" s="1"/>
      <c r="B181" s="1" t="str">
        <f>IFERROR(IF(LEFT(Sensitivität_bzw_Monte_Carlo_bei_Strom[[#This Row],[Source.Name]],SEARCH("aus_der",Sensitivität_bzw_Monte_Carlo_bei_Strom[[#This Row],[Source.Name]],1))="Auszahlung_a","Auszahlung",""),"")</f>
        <v/>
      </c>
      <c r="D181" s="1"/>
    </row>
    <row r="182" spans="1:4" x14ac:dyDescent="0.3">
      <c r="A182" s="1"/>
      <c r="B182" s="1" t="str">
        <f>IFERROR(IF(LEFT(Sensitivität_bzw_Monte_Carlo_bei_Strom[[#This Row],[Source.Name]],SEARCH("aus_der",Sensitivität_bzw_Monte_Carlo_bei_Strom[[#This Row],[Source.Name]],1))="Auszahlung_a","Auszahlung",""),"")</f>
        <v/>
      </c>
      <c r="D182" s="1"/>
    </row>
    <row r="183" spans="1:4" x14ac:dyDescent="0.3">
      <c r="A183" s="1"/>
      <c r="B183" s="1" t="str">
        <f>IFERROR(IF(LEFT(Sensitivität_bzw_Monte_Carlo_bei_Strom[[#This Row],[Source.Name]],SEARCH("aus_der",Sensitivität_bzw_Monte_Carlo_bei_Strom[[#This Row],[Source.Name]],1))="Auszahlung_a","Auszahlung",""),"")</f>
        <v/>
      </c>
      <c r="D183" s="1"/>
    </row>
    <row r="184" spans="1:4" x14ac:dyDescent="0.3">
      <c r="A184" s="1"/>
      <c r="B184" s="1" t="str">
        <f>IFERROR(IF(LEFT(Sensitivität_bzw_Monte_Carlo_bei_Strom[[#This Row],[Source.Name]],SEARCH("aus_der",Sensitivität_bzw_Monte_Carlo_bei_Strom[[#This Row],[Source.Name]],1))="Auszahlung_a","Auszahlung",""),"")</f>
        <v/>
      </c>
      <c r="D184" s="1"/>
    </row>
    <row r="185" spans="1:4" x14ac:dyDescent="0.3">
      <c r="A185" s="1"/>
      <c r="B185" s="1" t="str">
        <f>IFERROR(IF(LEFT(Sensitivität_bzw_Monte_Carlo_bei_Strom[[#This Row],[Source.Name]],SEARCH("aus_der",Sensitivität_bzw_Monte_Carlo_bei_Strom[[#This Row],[Source.Name]],1))="Auszahlung_a","Auszahlung",""),"")</f>
        <v/>
      </c>
      <c r="D185" s="1"/>
    </row>
    <row r="186" spans="1:4" x14ac:dyDescent="0.3">
      <c r="A186" s="1"/>
      <c r="B186" s="1" t="str">
        <f>IFERROR(IF(LEFT(Sensitivität_bzw_Monte_Carlo_bei_Strom[[#This Row],[Source.Name]],SEARCH("aus_der",Sensitivität_bzw_Monte_Carlo_bei_Strom[[#This Row],[Source.Name]],1))="Auszahlung_a","Auszahlung",""),"")</f>
        <v/>
      </c>
      <c r="D186" s="1"/>
    </row>
    <row r="187" spans="1:4" x14ac:dyDescent="0.3">
      <c r="A187" s="1"/>
      <c r="B187" s="1" t="str">
        <f>IFERROR(IF(LEFT(Sensitivität_bzw_Monte_Carlo_bei_Strom[[#This Row],[Source.Name]],SEARCH("aus_der",Sensitivität_bzw_Monte_Carlo_bei_Strom[[#This Row],[Source.Name]],1))="Auszahlung_a","Auszahlung",""),"")</f>
        <v/>
      </c>
      <c r="D187" s="1"/>
    </row>
    <row r="188" spans="1:4" x14ac:dyDescent="0.3">
      <c r="A188" s="1"/>
      <c r="B188" s="1" t="str">
        <f>IFERROR(IF(LEFT(Sensitivität_bzw_Monte_Carlo_bei_Strom[[#This Row],[Source.Name]],SEARCH("aus_der",Sensitivität_bzw_Monte_Carlo_bei_Strom[[#This Row],[Source.Name]],1))="Auszahlung_a","Auszahlung",""),"")</f>
        <v/>
      </c>
      <c r="D188" s="1"/>
    </row>
    <row r="189" spans="1:4" x14ac:dyDescent="0.3">
      <c r="A189" s="1"/>
      <c r="B189" s="1" t="str">
        <f>IFERROR(IF(LEFT(Sensitivität_bzw_Monte_Carlo_bei_Strom[[#This Row],[Source.Name]],SEARCH("aus_der",Sensitivität_bzw_Monte_Carlo_bei_Strom[[#This Row],[Source.Name]],1))="Auszahlung_a","Auszahlung",""),"")</f>
        <v/>
      </c>
      <c r="D189" s="1"/>
    </row>
    <row r="190" spans="1:4" x14ac:dyDescent="0.3">
      <c r="A190" s="1"/>
      <c r="B190" s="1" t="str">
        <f>IFERROR(IF(LEFT(Sensitivität_bzw_Monte_Carlo_bei_Strom[[#This Row],[Source.Name]],SEARCH("aus_der",Sensitivität_bzw_Monte_Carlo_bei_Strom[[#This Row],[Source.Name]],1))="Auszahlung_a","Auszahlung",""),"")</f>
        <v/>
      </c>
      <c r="D190" s="1"/>
    </row>
    <row r="191" spans="1:4" x14ac:dyDescent="0.3">
      <c r="A191" s="1"/>
      <c r="B191" s="1" t="str">
        <f>IFERROR(IF(LEFT(Sensitivität_bzw_Monte_Carlo_bei_Strom[[#This Row],[Source.Name]],SEARCH("aus_der",Sensitivität_bzw_Monte_Carlo_bei_Strom[[#This Row],[Source.Name]],1))="Auszahlung_a","Auszahlung",""),"")</f>
        <v/>
      </c>
      <c r="D191" s="1"/>
    </row>
    <row r="192" spans="1:4" x14ac:dyDescent="0.3">
      <c r="A192" s="1"/>
      <c r="B192" s="1" t="str">
        <f>IFERROR(IF(LEFT(Sensitivität_bzw_Monte_Carlo_bei_Strom[[#This Row],[Source.Name]],SEARCH("aus_der",Sensitivität_bzw_Monte_Carlo_bei_Strom[[#This Row],[Source.Name]],1))="Auszahlung_a","Auszahlung",""),"")</f>
        <v/>
      </c>
      <c r="D192" s="1"/>
    </row>
    <row r="193" spans="1:4" x14ac:dyDescent="0.3">
      <c r="A193" s="1"/>
      <c r="B193" s="1" t="str">
        <f>IFERROR(IF(LEFT(Sensitivität_bzw_Monte_Carlo_bei_Strom[[#This Row],[Source.Name]],SEARCH("aus_der",Sensitivität_bzw_Monte_Carlo_bei_Strom[[#This Row],[Source.Name]],1))="Auszahlung_a","Auszahlung",""),"")</f>
        <v/>
      </c>
      <c r="D193" s="1"/>
    </row>
    <row r="194" spans="1:4" x14ac:dyDescent="0.3">
      <c r="A194" s="1"/>
      <c r="B194" s="1" t="str">
        <f>IFERROR(IF(LEFT(Sensitivität_bzw_Monte_Carlo_bei_Strom[[#This Row],[Source.Name]],SEARCH("aus_der",Sensitivität_bzw_Monte_Carlo_bei_Strom[[#This Row],[Source.Name]],1))="Auszahlung_a","Auszahlung",""),"")</f>
        <v/>
      </c>
      <c r="D194" s="1"/>
    </row>
    <row r="195" spans="1:4" x14ac:dyDescent="0.3">
      <c r="A195" s="1"/>
      <c r="B195" s="1" t="str">
        <f>IFERROR(IF(LEFT(Sensitivität_bzw_Monte_Carlo_bei_Strom[[#This Row],[Source.Name]],SEARCH("aus_der",Sensitivität_bzw_Monte_Carlo_bei_Strom[[#This Row],[Source.Name]],1))="Auszahlung_a","Auszahlung",""),"")</f>
        <v/>
      </c>
      <c r="D195" s="1"/>
    </row>
    <row r="196" spans="1:4" x14ac:dyDescent="0.3">
      <c r="A196" s="1"/>
      <c r="B196" s="1" t="str">
        <f>IFERROR(IF(LEFT(Sensitivität_bzw_Monte_Carlo_bei_Strom[[#This Row],[Source.Name]],SEARCH("aus_der",Sensitivität_bzw_Monte_Carlo_bei_Strom[[#This Row],[Source.Name]],1))="Auszahlung_a","Auszahlung",""),"")</f>
        <v/>
      </c>
      <c r="D196" s="1"/>
    </row>
    <row r="197" spans="1:4" x14ac:dyDescent="0.3">
      <c r="A197" s="1"/>
      <c r="B197" s="1" t="str">
        <f>IFERROR(IF(LEFT(Sensitivität_bzw_Monte_Carlo_bei_Strom[[#This Row],[Source.Name]],SEARCH("aus_der",Sensitivität_bzw_Monte_Carlo_bei_Strom[[#This Row],[Source.Name]],1))="Auszahlung_a","Auszahlung",""),"")</f>
        <v/>
      </c>
      <c r="D197" s="1"/>
    </row>
    <row r="198" spans="1:4" x14ac:dyDescent="0.3">
      <c r="A198" s="1"/>
      <c r="B198" s="1" t="str">
        <f>IFERROR(IF(LEFT(Sensitivität_bzw_Monte_Carlo_bei_Strom[[#This Row],[Source.Name]],SEARCH("aus_der",Sensitivität_bzw_Monte_Carlo_bei_Strom[[#This Row],[Source.Name]],1))="Auszahlung_a","Auszahlung",""),"")</f>
        <v/>
      </c>
      <c r="D198" s="1"/>
    </row>
    <row r="199" spans="1:4" x14ac:dyDescent="0.3">
      <c r="A199" s="1"/>
      <c r="B199" s="1" t="str">
        <f>IFERROR(IF(LEFT(Sensitivität_bzw_Monte_Carlo_bei_Strom[[#This Row],[Source.Name]],SEARCH("aus_der",Sensitivität_bzw_Monte_Carlo_bei_Strom[[#This Row],[Source.Name]],1))="Auszahlung_a","Auszahlung",""),"")</f>
        <v/>
      </c>
      <c r="D199" s="1"/>
    </row>
    <row r="200" spans="1:4" x14ac:dyDescent="0.3">
      <c r="A200" s="1"/>
      <c r="B200" s="1" t="str">
        <f>IFERROR(IF(LEFT(Sensitivität_bzw_Monte_Carlo_bei_Strom[[#This Row],[Source.Name]],SEARCH("aus_der",Sensitivität_bzw_Monte_Carlo_bei_Strom[[#This Row],[Source.Name]],1))="Auszahlung_a","Auszahlung",""),"")</f>
        <v/>
      </c>
      <c r="D200" s="1"/>
    </row>
    <row r="201" spans="1:4" x14ac:dyDescent="0.3">
      <c r="A201" s="1"/>
      <c r="B201" s="1" t="str">
        <f>IFERROR(IF(LEFT(Sensitivität_bzw_Monte_Carlo_bei_Strom[[#This Row],[Source.Name]],SEARCH("aus_der",Sensitivität_bzw_Monte_Carlo_bei_Strom[[#This Row],[Source.Name]],1))="Auszahlung_a","Auszahlung",""),"")</f>
        <v/>
      </c>
      <c r="D201" s="1"/>
    </row>
    <row r="202" spans="1:4" x14ac:dyDescent="0.3">
      <c r="A202" s="1"/>
      <c r="B202" s="1" t="str">
        <f>IFERROR(IF(LEFT(Sensitivität_bzw_Monte_Carlo_bei_Strom[[#This Row],[Source.Name]],SEARCH("aus_der",Sensitivität_bzw_Monte_Carlo_bei_Strom[[#This Row],[Source.Name]],1))="Auszahlung_a","Auszahlung",""),"")</f>
        <v/>
      </c>
      <c r="D202" s="1"/>
    </row>
    <row r="203" spans="1:4" x14ac:dyDescent="0.3">
      <c r="A203" s="1"/>
      <c r="B203" s="1" t="str">
        <f>IFERROR(IF(LEFT(Sensitivität_bzw_Monte_Carlo_bei_Strom[[#This Row],[Source.Name]],SEARCH("aus_der",Sensitivität_bzw_Monte_Carlo_bei_Strom[[#This Row],[Source.Name]],1))="Auszahlung_a","Auszahlung",""),"")</f>
        <v/>
      </c>
      <c r="D203" s="1"/>
    </row>
    <row r="204" spans="1:4" x14ac:dyDescent="0.3">
      <c r="A204" s="1"/>
      <c r="B204" s="1" t="str">
        <f>IFERROR(IF(LEFT(Sensitivität_bzw_Monte_Carlo_bei_Strom[[#This Row],[Source.Name]],SEARCH("aus_der",Sensitivität_bzw_Monte_Carlo_bei_Strom[[#This Row],[Source.Name]],1))="Auszahlung_a","Auszahlung",""),"")</f>
        <v/>
      </c>
      <c r="D204" s="1"/>
    </row>
    <row r="205" spans="1:4" x14ac:dyDescent="0.3">
      <c r="A205" s="1"/>
      <c r="B205" s="1" t="str">
        <f>IFERROR(IF(LEFT(Sensitivität_bzw_Monte_Carlo_bei_Strom[[#This Row],[Source.Name]],SEARCH("aus_der",Sensitivität_bzw_Monte_Carlo_bei_Strom[[#This Row],[Source.Name]],1))="Auszahlung_a","Auszahlung",""),"")</f>
        <v/>
      </c>
      <c r="D205" s="1"/>
    </row>
    <row r="206" spans="1:4" x14ac:dyDescent="0.3">
      <c r="A206" s="1"/>
      <c r="B206" s="1" t="str">
        <f>IFERROR(IF(LEFT(Sensitivität_bzw_Monte_Carlo_bei_Strom[[#This Row],[Source.Name]],SEARCH("aus_der",Sensitivität_bzw_Monte_Carlo_bei_Strom[[#This Row],[Source.Name]],1))="Auszahlung_a","Auszahlung",""),"")</f>
        <v/>
      </c>
      <c r="D206" s="1"/>
    </row>
    <row r="207" spans="1:4" x14ac:dyDescent="0.3">
      <c r="A207" s="1"/>
      <c r="B207" s="1" t="str">
        <f>IFERROR(IF(LEFT(Sensitivität_bzw_Monte_Carlo_bei_Strom[[#This Row],[Source.Name]],SEARCH("aus_der",Sensitivität_bzw_Monte_Carlo_bei_Strom[[#This Row],[Source.Name]],1))="Auszahlung_a","Auszahlung",""),"")</f>
        <v/>
      </c>
      <c r="D207" s="1"/>
    </row>
    <row r="208" spans="1:4" x14ac:dyDescent="0.3">
      <c r="A208" s="1"/>
      <c r="B208" s="1" t="str">
        <f>IFERROR(IF(LEFT(Sensitivität_bzw_Monte_Carlo_bei_Strom[[#This Row],[Source.Name]],SEARCH("aus_der",Sensitivität_bzw_Monte_Carlo_bei_Strom[[#This Row],[Source.Name]],1))="Auszahlung_a","Auszahlung",""),"")</f>
        <v/>
      </c>
      <c r="D208" s="1"/>
    </row>
    <row r="209" spans="1:4" x14ac:dyDescent="0.3">
      <c r="A209" s="1"/>
      <c r="B209" s="1" t="str">
        <f>IFERROR(IF(LEFT(Sensitivität_bzw_Monte_Carlo_bei_Strom[[#This Row],[Source.Name]],SEARCH("aus_der",Sensitivität_bzw_Monte_Carlo_bei_Strom[[#This Row],[Source.Name]],1))="Auszahlung_a","Auszahlung",""),"")</f>
        <v/>
      </c>
      <c r="D209" s="1"/>
    </row>
    <row r="210" spans="1:4" x14ac:dyDescent="0.3">
      <c r="A210" s="1"/>
      <c r="B210" s="1" t="str">
        <f>IFERROR(IF(LEFT(Sensitivität_bzw_Monte_Carlo_bei_Strom[[#This Row],[Source.Name]],SEARCH("aus_der",Sensitivität_bzw_Monte_Carlo_bei_Strom[[#This Row],[Source.Name]],1))="Auszahlung_a","Auszahlung",""),"")</f>
        <v/>
      </c>
      <c r="D210" s="1"/>
    </row>
    <row r="211" spans="1:4" x14ac:dyDescent="0.3">
      <c r="A211" s="1"/>
      <c r="B211" s="1" t="str">
        <f>IFERROR(IF(LEFT(Sensitivität_bzw_Monte_Carlo_bei_Strom[[#This Row],[Source.Name]],SEARCH("aus_der",Sensitivität_bzw_Monte_Carlo_bei_Strom[[#This Row],[Source.Name]],1))="Auszahlung_a","Auszahlung",""),"")</f>
        <v/>
      </c>
      <c r="D211" s="1"/>
    </row>
    <row r="212" spans="1:4" x14ac:dyDescent="0.3">
      <c r="A212" s="1"/>
      <c r="B212" s="1" t="str">
        <f>IFERROR(IF(LEFT(Sensitivität_bzw_Monte_Carlo_bei_Strom[[#This Row],[Source.Name]],SEARCH("aus_der",Sensitivität_bzw_Monte_Carlo_bei_Strom[[#This Row],[Source.Name]],1))="Auszahlung_a","Auszahlung",""),"")</f>
        <v/>
      </c>
      <c r="D212" s="1"/>
    </row>
    <row r="213" spans="1:4" x14ac:dyDescent="0.3">
      <c r="A213" s="1"/>
      <c r="B213" s="1" t="str">
        <f>IFERROR(IF(LEFT(Sensitivität_bzw_Monte_Carlo_bei_Strom[[#This Row],[Source.Name]],SEARCH("aus_der",Sensitivität_bzw_Monte_Carlo_bei_Strom[[#This Row],[Source.Name]],1))="Auszahlung_a","Auszahlung",""),"")</f>
        <v/>
      </c>
      <c r="D213" s="1"/>
    </row>
    <row r="214" spans="1:4" x14ac:dyDescent="0.3">
      <c r="A214" s="1"/>
      <c r="B214" s="1" t="str">
        <f>IFERROR(IF(LEFT(Sensitivität_bzw_Monte_Carlo_bei_Strom[[#This Row],[Source.Name]],SEARCH("aus_der",Sensitivität_bzw_Monte_Carlo_bei_Strom[[#This Row],[Source.Name]],1))="Auszahlung_a","Auszahlung",""),"")</f>
        <v/>
      </c>
      <c r="D214" s="1"/>
    </row>
    <row r="215" spans="1:4" x14ac:dyDescent="0.3">
      <c r="A215" s="1"/>
      <c r="B215" s="1" t="str">
        <f>IFERROR(IF(LEFT(Sensitivität_bzw_Monte_Carlo_bei_Strom[[#This Row],[Source.Name]],SEARCH("aus_der",Sensitivität_bzw_Monte_Carlo_bei_Strom[[#This Row],[Source.Name]],1))="Auszahlung_a","Auszahlung",""),"")</f>
        <v/>
      </c>
      <c r="D215" s="1"/>
    </row>
    <row r="216" spans="1:4" x14ac:dyDescent="0.3">
      <c r="A216" s="1"/>
      <c r="B216" s="1" t="str">
        <f>IFERROR(IF(LEFT(Sensitivität_bzw_Monte_Carlo_bei_Strom[[#This Row],[Source.Name]],SEARCH("aus_der",Sensitivität_bzw_Monte_Carlo_bei_Strom[[#This Row],[Source.Name]],1))="Auszahlung_a","Auszahlung",""),"")</f>
        <v/>
      </c>
      <c r="D216" s="1"/>
    </row>
    <row r="217" spans="1:4" x14ac:dyDescent="0.3">
      <c r="A217" s="1"/>
      <c r="B217" s="1" t="str">
        <f>IFERROR(IF(LEFT(Sensitivität_bzw_Monte_Carlo_bei_Strom[[#This Row],[Source.Name]],SEARCH("aus_der",Sensitivität_bzw_Monte_Carlo_bei_Strom[[#This Row],[Source.Name]],1))="Auszahlung_a","Auszahlung",""),"")</f>
        <v/>
      </c>
      <c r="D217" s="1"/>
    </row>
    <row r="218" spans="1:4" x14ac:dyDescent="0.3">
      <c r="A218" s="1"/>
      <c r="B218" s="1" t="str">
        <f>IFERROR(IF(LEFT(Sensitivität_bzw_Monte_Carlo_bei_Strom[[#This Row],[Source.Name]],SEARCH("aus_der",Sensitivität_bzw_Monte_Carlo_bei_Strom[[#This Row],[Source.Name]],1))="Auszahlung_a","Auszahlung",""),"")</f>
        <v/>
      </c>
      <c r="D218" s="1"/>
    </row>
    <row r="219" spans="1:4" x14ac:dyDescent="0.3">
      <c r="A219" s="1"/>
      <c r="B219" s="1" t="str">
        <f>IFERROR(IF(LEFT(Sensitivität_bzw_Monte_Carlo_bei_Strom[[#This Row],[Source.Name]],SEARCH("aus_der",Sensitivität_bzw_Monte_Carlo_bei_Strom[[#This Row],[Source.Name]],1))="Auszahlung_a","Auszahlung",""),"")</f>
        <v/>
      </c>
      <c r="D219" s="1"/>
    </row>
    <row r="220" spans="1:4" x14ac:dyDescent="0.3">
      <c r="A220" s="1"/>
      <c r="B220" s="1" t="str">
        <f>IFERROR(IF(LEFT(Sensitivität_bzw_Monte_Carlo_bei_Strom[[#This Row],[Source.Name]],SEARCH("aus_der",Sensitivität_bzw_Monte_Carlo_bei_Strom[[#This Row],[Source.Name]],1))="Auszahlung_a","Auszahlung",""),"")</f>
        <v/>
      </c>
      <c r="D220" s="1"/>
    </row>
    <row r="221" spans="1:4" x14ac:dyDescent="0.3">
      <c r="A221" s="1"/>
      <c r="B221" s="1" t="str">
        <f>IFERROR(IF(LEFT(Sensitivität_bzw_Monte_Carlo_bei_Strom[[#This Row],[Source.Name]],SEARCH("aus_der",Sensitivität_bzw_Monte_Carlo_bei_Strom[[#This Row],[Source.Name]],1))="Auszahlung_a","Auszahlung",""),"")</f>
        <v/>
      </c>
      <c r="D221" s="1"/>
    </row>
    <row r="222" spans="1:4" x14ac:dyDescent="0.3">
      <c r="A222" s="1"/>
      <c r="B222" s="1" t="str">
        <f>IFERROR(IF(LEFT(Sensitivität_bzw_Monte_Carlo_bei_Strom[[#This Row],[Source.Name]],SEARCH("aus_der",Sensitivität_bzw_Monte_Carlo_bei_Strom[[#This Row],[Source.Name]],1))="Auszahlung_a","Auszahlung",""),"")</f>
        <v/>
      </c>
      <c r="D222" s="1"/>
    </row>
    <row r="223" spans="1:4" x14ac:dyDescent="0.3">
      <c r="A223" s="1"/>
      <c r="B223" s="1" t="str">
        <f>IFERROR(IF(LEFT(Sensitivität_bzw_Monte_Carlo_bei_Strom[[#This Row],[Source.Name]],SEARCH("aus_der",Sensitivität_bzw_Monte_Carlo_bei_Strom[[#This Row],[Source.Name]],1))="Auszahlung_a","Auszahlung",""),"")</f>
        <v/>
      </c>
      <c r="D223" s="1"/>
    </row>
    <row r="224" spans="1:4" x14ac:dyDescent="0.3">
      <c r="A224" s="1"/>
      <c r="B224" s="1" t="str">
        <f>IFERROR(IF(LEFT(Sensitivität_bzw_Monte_Carlo_bei_Strom[[#This Row],[Source.Name]],SEARCH("aus_der",Sensitivität_bzw_Monte_Carlo_bei_Strom[[#This Row],[Source.Name]],1))="Auszahlung_a","Auszahlung",""),"")</f>
        <v/>
      </c>
      <c r="D224" s="1"/>
    </row>
    <row r="225" spans="1:4" x14ac:dyDescent="0.3">
      <c r="A225" s="1"/>
      <c r="B225" s="1" t="str">
        <f>IFERROR(IF(LEFT(Sensitivität_bzw_Monte_Carlo_bei_Strom[[#This Row],[Source.Name]],SEARCH("aus_der",Sensitivität_bzw_Monte_Carlo_bei_Strom[[#This Row],[Source.Name]],1))="Auszahlung_a","Auszahlung",""),"")</f>
        <v/>
      </c>
      <c r="D225" s="1"/>
    </row>
    <row r="226" spans="1:4" x14ac:dyDescent="0.3">
      <c r="A226" s="1"/>
      <c r="B226" s="1" t="str">
        <f>IFERROR(IF(LEFT(Sensitivität_bzw_Monte_Carlo_bei_Strom[[#This Row],[Source.Name]],SEARCH("aus_der",Sensitivität_bzw_Monte_Carlo_bei_Strom[[#This Row],[Source.Name]],1))="Auszahlung_a","Auszahlung",""),"")</f>
        <v/>
      </c>
      <c r="D226" s="1"/>
    </row>
    <row r="227" spans="1:4" x14ac:dyDescent="0.3">
      <c r="A227" s="1"/>
      <c r="B227" s="1" t="str">
        <f>IFERROR(IF(LEFT(Sensitivität_bzw_Monte_Carlo_bei_Strom[[#This Row],[Source.Name]],SEARCH("aus_der",Sensitivität_bzw_Monte_Carlo_bei_Strom[[#This Row],[Source.Name]],1))="Auszahlung_a","Auszahlung",""),"")</f>
        <v/>
      </c>
      <c r="D227" s="1"/>
    </row>
    <row r="228" spans="1:4" x14ac:dyDescent="0.3">
      <c r="A228" s="1"/>
      <c r="B228" s="1" t="str">
        <f>IFERROR(IF(LEFT(Sensitivität_bzw_Monte_Carlo_bei_Strom[[#This Row],[Source.Name]],SEARCH("aus_der",Sensitivität_bzw_Monte_Carlo_bei_Strom[[#This Row],[Source.Name]],1))="Auszahlung_a","Auszahlung",""),"")</f>
        <v/>
      </c>
      <c r="D228" s="1"/>
    </row>
    <row r="229" spans="1:4" x14ac:dyDescent="0.3">
      <c r="A229" s="1"/>
      <c r="B229" s="1" t="str">
        <f>IFERROR(IF(LEFT(Sensitivität_bzw_Monte_Carlo_bei_Strom[[#This Row],[Source.Name]],SEARCH("aus_der",Sensitivität_bzw_Monte_Carlo_bei_Strom[[#This Row],[Source.Name]],1))="Auszahlung_a","Auszahlung",""),"")</f>
        <v/>
      </c>
      <c r="D229" s="1"/>
    </row>
    <row r="230" spans="1:4" x14ac:dyDescent="0.3">
      <c r="A230" s="1"/>
      <c r="B230" s="1" t="str">
        <f>IFERROR(IF(LEFT(Sensitivität_bzw_Monte_Carlo_bei_Strom[[#This Row],[Source.Name]],SEARCH("aus_der",Sensitivität_bzw_Monte_Carlo_bei_Strom[[#This Row],[Source.Name]],1))="Auszahlung_a","Auszahlung",""),"")</f>
        <v/>
      </c>
      <c r="D230" s="1"/>
    </row>
    <row r="231" spans="1:4" x14ac:dyDescent="0.3">
      <c r="A231" s="1"/>
      <c r="B231" s="1" t="str">
        <f>IFERROR(IF(LEFT(Sensitivität_bzw_Monte_Carlo_bei_Strom[[#This Row],[Source.Name]],SEARCH("aus_der",Sensitivität_bzw_Monte_Carlo_bei_Strom[[#This Row],[Source.Name]],1))="Auszahlung_a","Auszahlung",""),"")</f>
        <v/>
      </c>
      <c r="D231" s="1"/>
    </row>
    <row r="232" spans="1:4" x14ac:dyDescent="0.3">
      <c r="A232" s="1"/>
      <c r="B232" s="1" t="str">
        <f>IFERROR(IF(LEFT(Sensitivität_bzw_Monte_Carlo_bei_Strom[[#This Row],[Source.Name]],SEARCH("aus_der",Sensitivität_bzw_Monte_Carlo_bei_Strom[[#This Row],[Source.Name]],1))="Auszahlung_a","Auszahlung",""),"")</f>
        <v/>
      </c>
      <c r="D232" s="1"/>
    </row>
    <row r="233" spans="1:4" x14ac:dyDescent="0.3">
      <c r="A233" s="1"/>
      <c r="B233" s="1" t="str">
        <f>IFERROR(IF(LEFT(Sensitivität_bzw_Monte_Carlo_bei_Strom[[#This Row],[Source.Name]],SEARCH("aus_der",Sensitivität_bzw_Monte_Carlo_bei_Strom[[#This Row],[Source.Name]],1))="Auszahlung_a","Auszahlung",""),"")</f>
        <v/>
      </c>
      <c r="D233" s="1"/>
    </row>
    <row r="234" spans="1:4" x14ac:dyDescent="0.3">
      <c r="A234" s="1"/>
      <c r="B234" s="1" t="str">
        <f>IFERROR(IF(LEFT(Sensitivität_bzw_Monte_Carlo_bei_Strom[[#This Row],[Source.Name]],SEARCH("aus_der",Sensitivität_bzw_Monte_Carlo_bei_Strom[[#This Row],[Source.Name]],1))="Auszahlung_a","Auszahlung",""),"")</f>
        <v/>
      </c>
      <c r="D234" s="1"/>
    </row>
    <row r="235" spans="1:4" x14ac:dyDescent="0.3">
      <c r="A235" s="1"/>
      <c r="B235" s="1" t="str">
        <f>IFERROR(IF(LEFT(Sensitivität_bzw_Monte_Carlo_bei_Strom[[#This Row],[Source.Name]],SEARCH("aus_der",Sensitivität_bzw_Monte_Carlo_bei_Strom[[#This Row],[Source.Name]],1))="Auszahlung_a","Auszahlung",""),"")</f>
        <v/>
      </c>
      <c r="D235" s="1"/>
    </row>
    <row r="236" spans="1:4" x14ac:dyDescent="0.3">
      <c r="A236" s="1"/>
      <c r="B236" s="1" t="str">
        <f>IFERROR(IF(LEFT(Sensitivität_bzw_Monte_Carlo_bei_Strom[[#This Row],[Source.Name]],SEARCH("aus_der",Sensitivität_bzw_Monte_Carlo_bei_Strom[[#This Row],[Source.Name]],1))="Auszahlung_a","Auszahlung",""),"")</f>
        <v/>
      </c>
      <c r="D236" s="1"/>
    </row>
    <row r="237" spans="1:4" x14ac:dyDescent="0.3">
      <c r="A237" s="1"/>
      <c r="B237" s="1" t="str">
        <f>IFERROR(IF(LEFT(Sensitivität_bzw_Monte_Carlo_bei_Strom[[#This Row],[Source.Name]],SEARCH("aus_der",Sensitivität_bzw_Monte_Carlo_bei_Strom[[#This Row],[Source.Name]],1))="Auszahlung_a","Auszahlung",""),"")</f>
        <v/>
      </c>
      <c r="D237" s="1"/>
    </row>
    <row r="238" spans="1:4" x14ac:dyDescent="0.3">
      <c r="A238" s="1"/>
      <c r="B238" s="1" t="str">
        <f>IFERROR(IF(LEFT(Sensitivität_bzw_Monte_Carlo_bei_Strom[[#This Row],[Source.Name]],SEARCH("aus_der",Sensitivität_bzw_Monte_Carlo_bei_Strom[[#This Row],[Source.Name]],1))="Auszahlung_a","Auszahlung",""),"")</f>
        <v/>
      </c>
      <c r="D238" s="1"/>
    </row>
    <row r="239" spans="1:4" x14ac:dyDescent="0.3">
      <c r="A239" s="1"/>
      <c r="B239" s="1" t="str">
        <f>IFERROR(IF(LEFT(Sensitivität_bzw_Monte_Carlo_bei_Strom[[#This Row],[Source.Name]],SEARCH("aus_der",Sensitivität_bzw_Monte_Carlo_bei_Strom[[#This Row],[Source.Name]],1))="Auszahlung_a","Auszahlung",""),"")</f>
        <v/>
      </c>
      <c r="D239" s="1"/>
    </row>
    <row r="240" spans="1:4" x14ac:dyDescent="0.3">
      <c r="A240" s="1"/>
      <c r="B240" s="1" t="str">
        <f>IFERROR(IF(LEFT(Sensitivität_bzw_Monte_Carlo_bei_Strom[[#This Row],[Source.Name]],SEARCH("aus_der",Sensitivität_bzw_Monte_Carlo_bei_Strom[[#This Row],[Source.Name]],1))="Auszahlung_a","Auszahlung",""),"")</f>
        <v/>
      </c>
      <c r="D240" s="1"/>
    </row>
    <row r="241" spans="1:4" x14ac:dyDescent="0.3">
      <c r="A241" s="1"/>
      <c r="B241" s="1" t="str">
        <f>IFERROR(IF(LEFT(Sensitivität_bzw_Monte_Carlo_bei_Strom[[#This Row],[Source.Name]],SEARCH("aus_der",Sensitivität_bzw_Monte_Carlo_bei_Strom[[#This Row],[Source.Name]],1))="Auszahlung_a","Auszahlung",""),"")</f>
        <v/>
      </c>
      <c r="D241" s="1"/>
    </row>
    <row r="242" spans="1:4" x14ac:dyDescent="0.3">
      <c r="A242" s="1"/>
      <c r="B242" s="1" t="str">
        <f>IFERROR(IF(LEFT(Sensitivität_bzw_Monte_Carlo_bei_Strom[[#This Row],[Source.Name]],SEARCH("aus_der",Sensitivität_bzw_Monte_Carlo_bei_Strom[[#This Row],[Source.Name]],1))="Auszahlung_a","Auszahlung",""),"")</f>
        <v/>
      </c>
      <c r="D242" s="1"/>
    </row>
    <row r="243" spans="1:4" x14ac:dyDescent="0.3">
      <c r="A243" s="1"/>
      <c r="B243" s="1" t="str">
        <f>IFERROR(IF(LEFT(Sensitivität_bzw_Monte_Carlo_bei_Strom[[#This Row],[Source.Name]],SEARCH("aus_der",Sensitivität_bzw_Monte_Carlo_bei_Strom[[#This Row],[Source.Name]],1))="Auszahlung_a","Auszahlung",""),"")</f>
        <v/>
      </c>
      <c r="D243" s="1"/>
    </row>
    <row r="244" spans="1:4" x14ac:dyDescent="0.3">
      <c r="A244" s="1"/>
      <c r="B244" s="1" t="str">
        <f>IFERROR(IF(LEFT(Sensitivität_bzw_Monte_Carlo_bei_Strom[[#This Row],[Source.Name]],SEARCH("aus_der",Sensitivität_bzw_Monte_Carlo_bei_Strom[[#This Row],[Source.Name]],1))="Auszahlung_a","Auszahlung",""),"")</f>
        <v/>
      </c>
      <c r="D244" s="1"/>
    </row>
    <row r="245" spans="1:4" x14ac:dyDescent="0.3">
      <c r="A245" s="1"/>
      <c r="B245" s="1" t="str">
        <f>IFERROR(IF(LEFT(Sensitivität_bzw_Monte_Carlo_bei_Strom[[#This Row],[Source.Name]],SEARCH("aus_der",Sensitivität_bzw_Monte_Carlo_bei_Strom[[#This Row],[Source.Name]],1))="Auszahlung_a","Auszahlung",""),"")</f>
        <v/>
      </c>
      <c r="D245" s="1"/>
    </row>
    <row r="246" spans="1:4" x14ac:dyDescent="0.3">
      <c r="A246" s="1"/>
      <c r="B246" s="1" t="str">
        <f>IFERROR(IF(LEFT(Sensitivität_bzw_Monte_Carlo_bei_Strom[[#This Row],[Source.Name]],SEARCH("aus_der",Sensitivität_bzw_Monte_Carlo_bei_Strom[[#This Row],[Source.Name]],1))="Auszahlung_a","Auszahlung",""),"")</f>
        <v/>
      </c>
      <c r="D246" s="1"/>
    </row>
    <row r="247" spans="1:4" x14ac:dyDescent="0.3">
      <c r="A247" s="1"/>
      <c r="B247" s="1" t="str">
        <f>IFERROR(IF(LEFT(Sensitivität_bzw_Monte_Carlo_bei_Strom[[#This Row],[Source.Name]],SEARCH("aus_der",Sensitivität_bzw_Monte_Carlo_bei_Strom[[#This Row],[Source.Name]],1))="Auszahlung_a","Auszahlung",""),"")</f>
        <v/>
      </c>
      <c r="D247" s="1"/>
    </row>
    <row r="248" spans="1:4" x14ac:dyDescent="0.3">
      <c r="A248" s="1"/>
      <c r="B248" s="1" t="str">
        <f>IFERROR(IF(LEFT(Sensitivität_bzw_Monte_Carlo_bei_Strom[[#This Row],[Source.Name]],SEARCH("aus_der",Sensitivität_bzw_Monte_Carlo_bei_Strom[[#This Row],[Source.Name]],1))="Auszahlung_a","Auszahlung",""),"")</f>
        <v/>
      </c>
      <c r="D248" s="1"/>
    </row>
    <row r="249" spans="1:4" x14ac:dyDescent="0.3">
      <c r="A249" s="1"/>
      <c r="B249" s="1" t="str">
        <f>IFERROR(IF(LEFT(Sensitivität_bzw_Monte_Carlo_bei_Strom[[#This Row],[Source.Name]],SEARCH("aus_der",Sensitivität_bzw_Monte_Carlo_bei_Strom[[#This Row],[Source.Name]],1))="Auszahlung_a","Auszahlung",""),"")</f>
        <v/>
      </c>
      <c r="D249" s="1"/>
    </row>
    <row r="250" spans="1:4" x14ac:dyDescent="0.3">
      <c r="A250" s="1"/>
      <c r="B250" s="1" t="str">
        <f>IFERROR(IF(LEFT(Sensitivität_bzw_Monte_Carlo_bei_Strom[[#This Row],[Source.Name]],SEARCH("aus_der",Sensitivität_bzw_Monte_Carlo_bei_Strom[[#This Row],[Source.Name]],1))="Auszahlung_a","Auszahlung",""),"")</f>
        <v/>
      </c>
      <c r="D250" s="1"/>
    </row>
    <row r="251" spans="1:4" x14ac:dyDescent="0.3">
      <c r="A251" s="1"/>
      <c r="B251" s="1" t="str">
        <f>IFERROR(IF(LEFT(Sensitivität_bzw_Monte_Carlo_bei_Strom[[#This Row],[Source.Name]],SEARCH("aus_der",Sensitivität_bzw_Monte_Carlo_bei_Strom[[#This Row],[Source.Name]],1))="Auszahlung_a","Auszahlung",""),"")</f>
        <v/>
      </c>
      <c r="D251" s="1"/>
    </row>
    <row r="252" spans="1:4" x14ac:dyDescent="0.3">
      <c r="A252" s="1"/>
      <c r="B252" s="1" t="str">
        <f>IFERROR(IF(LEFT(Sensitivität_bzw_Monte_Carlo_bei_Strom[[#This Row],[Source.Name]],SEARCH("aus_der",Sensitivität_bzw_Monte_Carlo_bei_Strom[[#This Row],[Source.Name]],1))="Auszahlung_a","Auszahlung",""),"")</f>
        <v/>
      </c>
      <c r="D252" s="1"/>
    </row>
    <row r="253" spans="1:4" x14ac:dyDescent="0.3">
      <c r="A253" s="1"/>
      <c r="B253" s="1" t="str">
        <f>IFERROR(IF(LEFT(Sensitivität_bzw_Monte_Carlo_bei_Strom[[#This Row],[Source.Name]],SEARCH("aus_der",Sensitivität_bzw_Monte_Carlo_bei_Strom[[#This Row],[Source.Name]],1))="Auszahlung_a","Auszahlung",""),"")</f>
        <v/>
      </c>
      <c r="D253" s="1"/>
    </row>
    <row r="254" spans="1:4" x14ac:dyDescent="0.3">
      <c r="A254" s="1"/>
      <c r="B254" s="1" t="str">
        <f>IFERROR(IF(LEFT(Sensitivität_bzw_Monte_Carlo_bei_Strom[[#This Row],[Source.Name]],SEARCH("aus_der",Sensitivität_bzw_Monte_Carlo_bei_Strom[[#This Row],[Source.Name]],1))="Auszahlung_a","Auszahlung",""),"")</f>
        <v/>
      </c>
      <c r="D254" s="1"/>
    </row>
    <row r="255" spans="1:4" x14ac:dyDescent="0.3">
      <c r="A255" s="1"/>
      <c r="B255" s="1" t="str">
        <f>IFERROR(IF(LEFT(Sensitivität_bzw_Monte_Carlo_bei_Strom[[#This Row],[Source.Name]],SEARCH("aus_der",Sensitivität_bzw_Monte_Carlo_bei_Strom[[#This Row],[Source.Name]],1))="Auszahlung_a","Auszahlung",""),"")</f>
        <v/>
      </c>
      <c r="D255" s="1"/>
    </row>
    <row r="256" spans="1:4" x14ac:dyDescent="0.3">
      <c r="A256" s="1"/>
      <c r="B256" s="1" t="str">
        <f>IFERROR(IF(LEFT(Sensitivität_bzw_Monte_Carlo_bei_Strom[[#This Row],[Source.Name]],SEARCH("aus_der",Sensitivität_bzw_Monte_Carlo_bei_Strom[[#This Row],[Source.Name]],1))="Auszahlung_a","Auszahlung",""),"")</f>
        <v/>
      </c>
      <c r="D256" s="1"/>
    </row>
    <row r="257" spans="1:4" x14ac:dyDescent="0.3">
      <c r="A257" s="1"/>
      <c r="B257" s="1" t="str">
        <f>IFERROR(IF(LEFT(Sensitivität_bzw_Monte_Carlo_bei_Strom[[#This Row],[Source.Name]],SEARCH("aus_der",Sensitivität_bzw_Monte_Carlo_bei_Strom[[#This Row],[Source.Name]],1))="Auszahlung_a","Auszahlung",""),"")</f>
        <v/>
      </c>
      <c r="D257" s="1"/>
    </row>
    <row r="258" spans="1:4" x14ac:dyDescent="0.3">
      <c r="A258" s="1"/>
      <c r="B258" s="1" t="str">
        <f>IFERROR(IF(LEFT(Sensitivität_bzw_Monte_Carlo_bei_Strom[[#This Row],[Source.Name]],SEARCH("aus_der",Sensitivität_bzw_Monte_Carlo_bei_Strom[[#This Row],[Source.Name]],1))="Auszahlung_a","Auszahlung",""),"")</f>
        <v/>
      </c>
      <c r="D258" s="1"/>
    </row>
    <row r="259" spans="1:4" x14ac:dyDescent="0.3">
      <c r="A259" s="1"/>
      <c r="B259" s="1" t="str">
        <f>IFERROR(IF(LEFT(Sensitivität_bzw_Monte_Carlo_bei_Strom[[#This Row],[Source.Name]],SEARCH("aus_der",Sensitivität_bzw_Monte_Carlo_bei_Strom[[#This Row],[Source.Name]],1))="Auszahlung_a","Auszahlung",""),"")</f>
        <v/>
      </c>
      <c r="D259" s="1"/>
    </row>
    <row r="260" spans="1:4" x14ac:dyDescent="0.3">
      <c r="A260" s="1"/>
      <c r="B260" s="1" t="str">
        <f>IFERROR(IF(LEFT(Sensitivität_bzw_Monte_Carlo_bei_Strom[[#This Row],[Source.Name]],SEARCH("aus_der",Sensitivität_bzw_Monte_Carlo_bei_Strom[[#This Row],[Source.Name]],1))="Auszahlung_a","Auszahlung",""),"")</f>
        <v/>
      </c>
      <c r="D260" s="1"/>
    </row>
    <row r="261" spans="1:4" x14ac:dyDescent="0.3">
      <c r="A261" s="1"/>
      <c r="B261" s="1" t="str">
        <f>IFERROR(IF(LEFT(Sensitivität_bzw_Monte_Carlo_bei_Strom[[#This Row],[Source.Name]],SEARCH("aus_der",Sensitivität_bzw_Monte_Carlo_bei_Strom[[#This Row],[Source.Name]],1))="Auszahlung_a","Auszahlung",""),"")</f>
        <v/>
      </c>
      <c r="D261" s="1"/>
    </row>
    <row r="262" spans="1:4" x14ac:dyDescent="0.3">
      <c r="A262" s="1"/>
      <c r="B262" s="1" t="str">
        <f>IFERROR(IF(LEFT(Sensitivität_bzw_Monte_Carlo_bei_Strom[[#This Row],[Source.Name]],SEARCH("aus_der",Sensitivität_bzw_Monte_Carlo_bei_Strom[[#This Row],[Source.Name]],1))="Auszahlung_a","Auszahlung",""),"")</f>
        <v/>
      </c>
      <c r="D262" s="1"/>
    </row>
    <row r="263" spans="1:4" x14ac:dyDescent="0.3">
      <c r="A263" s="1"/>
      <c r="B263" s="1" t="str">
        <f>IFERROR(IF(LEFT(Sensitivität_bzw_Monte_Carlo_bei_Strom[[#This Row],[Source.Name]],SEARCH("aus_der",Sensitivität_bzw_Monte_Carlo_bei_Strom[[#This Row],[Source.Name]],1))="Auszahlung_a","Auszahlung",""),"")</f>
        <v/>
      </c>
      <c r="D263" s="1"/>
    </row>
    <row r="264" spans="1:4" x14ac:dyDescent="0.3">
      <c r="A264" s="1"/>
      <c r="B264" s="1" t="str">
        <f>IFERROR(IF(LEFT(Sensitivität_bzw_Monte_Carlo_bei_Strom[[#This Row],[Source.Name]],SEARCH("aus_der",Sensitivität_bzw_Monte_Carlo_bei_Strom[[#This Row],[Source.Name]],1))="Auszahlung_a","Auszahlung",""),"")</f>
        <v/>
      </c>
      <c r="D264" s="1"/>
    </row>
    <row r="265" spans="1:4" x14ac:dyDescent="0.3">
      <c r="A265" s="1"/>
      <c r="B265" s="1" t="str">
        <f>IFERROR(IF(LEFT(Sensitivität_bzw_Monte_Carlo_bei_Strom[[#This Row],[Source.Name]],SEARCH("aus_der",Sensitivität_bzw_Monte_Carlo_bei_Strom[[#This Row],[Source.Name]],1))="Auszahlung_a","Auszahlung",""),"")</f>
        <v/>
      </c>
      <c r="D265" s="1"/>
    </row>
    <row r="266" spans="1:4" x14ac:dyDescent="0.3">
      <c r="A266" s="1"/>
      <c r="B266" s="1" t="str">
        <f>IFERROR(IF(LEFT(Sensitivität_bzw_Monte_Carlo_bei_Strom[[#This Row],[Source.Name]],SEARCH("aus_der",Sensitivität_bzw_Monte_Carlo_bei_Strom[[#This Row],[Source.Name]],1))="Auszahlung_a","Auszahlung",""),"")</f>
        <v/>
      </c>
      <c r="D266" s="1"/>
    </row>
    <row r="267" spans="1:4" x14ac:dyDescent="0.3">
      <c r="A267" s="1"/>
      <c r="B267" s="1" t="str">
        <f>IFERROR(IF(LEFT(Sensitivität_bzw_Monte_Carlo_bei_Strom[[#This Row],[Source.Name]],SEARCH("aus_der",Sensitivität_bzw_Monte_Carlo_bei_Strom[[#This Row],[Source.Name]],1))="Auszahlung_a","Auszahlung",""),"")</f>
        <v/>
      </c>
      <c r="D267" s="1"/>
    </row>
    <row r="268" spans="1:4" x14ac:dyDescent="0.3">
      <c r="A268" s="1"/>
      <c r="B268" s="1" t="str">
        <f>IFERROR(IF(LEFT(Sensitivität_bzw_Monte_Carlo_bei_Strom[[#This Row],[Source.Name]],SEARCH("aus_der",Sensitivität_bzw_Monte_Carlo_bei_Strom[[#This Row],[Source.Name]],1))="Auszahlung_a","Auszahlung",""),"")</f>
        <v/>
      </c>
      <c r="D268" s="1"/>
    </row>
    <row r="269" spans="1:4" x14ac:dyDescent="0.3">
      <c r="A269" s="1"/>
      <c r="B269" s="1" t="str">
        <f>IFERROR(IF(LEFT(Sensitivität_bzw_Monte_Carlo_bei_Strom[[#This Row],[Source.Name]],SEARCH("aus_der",Sensitivität_bzw_Monte_Carlo_bei_Strom[[#This Row],[Source.Name]],1))="Auszahlung_a","Auszahlung",""),"")</f>
        <v/>
      </c>
      <c r="D269" s="1"/>
    </row>
    <row r="270" spans="1:4" x14ac:dyDescent="0.3">
      <c r="A270" s="1"/>
      <c r="B270" s="1" t="str">
        <f>IFERROR(IF(LEFT(Sensitivität_bzw_Monte_Carlo_bei_Strom[[#This Row],[Source.Name]],SEARCH("aus_der",Sensitivität_bzw_Monte_Carlo_bei_Strom[[#This Row],[Source.Name]],1))="Auszahlung_a","Auszahlung",""),"")</f>
        <v/>
      </c>
      <c r="D270" s="1"/>
    </row>
    <row r="271" spans="1:4" x14ac:dyDescent="0.3">
      <c r="A271" s="1"/>
      <c r="B271" s="1" t="str">
        <f>IFERROR(IF(LEFT(Sensitivität_bzw_Monte_Carlo_bei_Strom[[#This Row],[Source.Name]],SEARCH("aus_der",Sensitivität_bzw_Monte_Carlo_bei_Strom[[#This Row],[Source.Name]],1))="Auszahlung_a","Auszahlung",""),"")</f>
        <v/>
      </c>
      <c r="D271" s="1"/>
    </row>
    <row r="272" spans="1:4" x14ac:dyDescent="0.3">
      <c r="A272" s="1"/>
      <c r="B272" s="1" t="str">
        <f>IFERROR(IF(LEFT(Sensitivität_bzw_Monte_Carlo_bei_Strom[[#This Row],[Source.Name]],SEARCH("aus_der",Sensitivität_bzw_Monte_Carlo_bei_Strom[[#This Row],[Source.Name]],1))="Auszahlung_a","Auszahlung",""),"")</f>
        <v/>
      </c>
      <c r="D272" s="1"/>
    </row>
    <row r="273" spans="1:4" x14ac:dyDescent="0.3">
      <c r="A273" s="1"/>
      <c r="B273" s="1" t="str">
        <f>IFERROR(IF(LEFT(Sensitivität_bzw_Monte_Carlo_bei_Strom[[#This Row],[Source.Name]],SEARCH("aus_der",Sensitivität_bzw_Monte_Carlo_bei_Strom[[#This Row],[Source.Name]],1))="Auszahlung_a","Auszahlung",""),"")</f>
        <v/>
      </c>
      <c r="D273" s="1"/>
    </row>
    <row r="274" spans="1:4" x14ac:dyDescent="0.3">
      <c r="A274" s="1"/>
      <c r="B274" s="1" t="str">
        <f>IFERROR(IF(LEFT(Sensitivität_bzw_Monte_Carlo_bei_Strom[[#This Row],[Source.Name]],SEARCH("aus_der",Sensitivität_bzw_Monte_Carlo_bei_Strom[[#This Row],[Source.Name]],1))="Auszahlung_a","Auszahlung",""),"")</f>
        <v/>
      </c>
      <c r="D274" s="1"/>
    </row>
    <row r="275" spans="1:4" x14ac:dyDescent="0.3">
      <c r="A275" s="1"/>
      <c r="B275" s="1" t="str">
        <f>IFERROR(IF(LEFT(Sensitivität_bzw_Monte_Carlo_bei_Strom[[#This Row],[Source.Name]],SEARCH("aus_der",Sensitivität_bzw_Monte_Carlo_bei_Strom[[#This Row],[Source.Name]],1))="Auszahlung_a","Auszahlung",""),"")</f>
        <v/>
      </c>
      <c r="D275" s="1"/>
    </row>
    <row r="276" spans="1:4" x14ac:dyDescent="0.3">
      <c r="A276" s="1"/>
      <c r="B276" s="1" t="str">
        <f>IFERROR(IF(LEFT(Sensitivität_bzw_Monte_Carlo_bei_Strom[[#This Row],[Source.Name]],SEARCH("aus_der",Sensitivität_bzw_Monte_Carlo_bei_Strom[[#This Row],[Source.Name]],1))="Auszahlung_a","Auszahlung",""),"")</f>
        <v/>
      </c>
      <c r="D276" s="1"/>
    </row>
    <row r="277" spans="1:4" x14ac:dyDescent="0.3">
      <c r="A277" s="1"/>
      <c r="B277" s="1" t="str">
        <f>IFERROR(IF(LEFT(Sensitivität_bzw_Monte_Carlo_bei_Strom[[#This Row],[Source.Name]],SEARCH("aus_der",Sensitivität_bzw_Monte_Carlo_bei_Strom[[#This Row],[Source.Name]],1))="Auszahlung_a","Auszahlung",""),"")</f>
        <v/>
      </c>
      <c r="D277" s="1"/>
    </row>
    <row r="278" spans="1:4" x14ac:dyDescent="0.3">
      <c r="A278" s="1"/>
      <c r="B278" s="1" t="str">
        <f>IFERROR(IF(LEFT(Sensitivität_bzw_Monte_Carlo_bei_Strom[[#This Row],[Source.Name]],SEARCH("aus_der",Sensitivität_bzw_Monte_Carlo_bei_Strom[[#This Row],[Source.Name]],1))="Auszahlung_a","Auszahlung",""),"")</f>
        <v/>
      </c>
      <c r="D278" s="1"/>
    </row>
    <row r="279" spans="1:4" x14ac:dyDescent="0.3">
      <c r="A279" s="1"/>
      <c r="B279" s="1" t="str">
        <f>IFERROR(IF(LEFT(Sensitivität_bzw_Monte_Carlo_bei_Strom[[#This Row],[Source.Name]],SEARCH("aus_der",Sensitivität_bzw_Monte_Carlo_bei_Strom[[#This Row],[Source.Name]],1))="Auszahlung_a","Auszahlung",""),"")</f>
        <v/>
      </c>
      <c r="D279" s="1"/>
    </row>
    <row r="280" spans="1:4" x14ac:dyDescent="0.3">
      <c r="A280" s="1"/>
      <c r="B280" s="1" t="str">
        <f>IFERROR(IF(LEFT(Sensitivität_bzw_Monte_Carlo_bei_Strom[[#This Row],[Source.Name]],SEARCH("aus_der",Sensitivität_bzw_Monte_Carlo_bei_Strom[[#This Row],[Source.Name]],1))="Auszahlung_a","Auszahlung",""),"")</f>
        <v/>
      </c>
      <c r="D280" s="1"/>
    </row>
    <row r="281" spans="1:4" x14ac:dyDescent="0.3">
      <c r="A281" s="1"/>
      <c r="B281" s="1" t="str">
        <f>IFERROR(IF(LEFT(Sensitivität_bzw_Monte_Carlo_bei_Strom[[#This Row],[Source.Name]],SEARCH("aus_der",Sensitivität_bzw_Monte_Carlo_bei_Strom[[#This Row],[Source.Name]],1))="Auszahlung_a","Auszahlung",""),"")</f>
        <v/>
      </c>
      <c r="D281" s="1"/>
    </row>
    <row r="282" spans="1:4" x14ac:dyDescent="0.3">
      <c r="A282" s="1"/>
      <c r="B282" s="1" t="str">
        <f>IFERROR(IF(LEFT(Sensitivität_bzw_Monte_Carlo_bei_Strom[[#This Row],[Source.Name]],SEARCH("aus_der",Sensitivität_bzw_Monte_Carlo_bei_Strom[[#This Row],[Source.Name]],1))="Auszahlung_a","Auszahlung",""),"")</f>
        <v/>
      </c>
      <c r="D282" s="1"/>
    </row>
    <row r="283" spans="1:4" x14ac:dyDescent="0.3">
      <c r="A283" s="1"/>
      <c r="B283" s="1" t="str">
        <f>IFERROR(IF(LEFT(Sensitivität_bzw_Monte_Carlo_bei_Strom[[#This Row],[Source.Name]],SEARCH("aus_der",Sensitivität_bzw_Monte_Carlo_bei_Strom[[#This Row],[Source.Name]],1))="Auszahlung_a","Auszahlung",""),"")</f>
        <v/>
      </c>
      <c r="D283" s="1"/>
    </row>
    <row r="284" spans="1:4" x14ac:dyDescent="0.3">
      <c r="A284" s="1"/>
      <c r="B284" s="1" t="str">
        <f>IFERROR(IF(LEFT(Sensitivität_bzw_Monte_Carlo_bei_Strom[[#This Row],[Source.Name]],SEARCH("aus_der",Sensitivität_bzw_Monte_Carlo_bei_Strom[[#This Row],[Source.Name]],1))="Auszahlung_a","Auszahlung",""),"")</f>
        <v/>
      </c>
      <c r="D284" s="1"/>
    </row>
    <row r="285" spans="1:4" x14ac:dyDescent="0.3">
      <c r="A285" s="1"/>
      <c r="B285" s="1" t="str">
        <f>IFERROR(IF(LEFT(Sensitivität_bzw_Monte_Carlo_bei_Strom[[#This Row],[Source.Name]],SEARCH("aus_der",Sensitivität_bzw_Monte_Carlo_bei_Strom[[#This Row],[Source.Name]],1))="Auszahlung_a","Auszahlung",""),"")</f>
        <v/>
      </c>
      <c r="D285" s="1"/>
    </row>
    <row r="286" spans="1:4" x14ac:dyDescent="0.3">
      <c r="A286" s="1"/>
      <c r="B286" s="1" t="str">
        <f>IFERROR(IF(LEFT(Sensitivität_bzw_Monte_Carlo_bei_Strom[[#This Row],[Source.Name]],SEARCH("aus_der",Sensitivität_bzw_Monte_Carlo_bei_Strom[[#This Row],[Source.Name]],1))="Auszahlung_a","Auszahlung",""),"")</f>
        <v/>
      </c>
      <c r="D286" s="1"/>
    </row>
    <row r="287" spans="1:4" x14ac:dyDescent="0.3">
      <c r="A287" s="1"/>
      <c r="B287" s="1" t="str">
        <f>IFERROR(IF(LEFT(Sensitivität_bzw_Monte_Carlo_bei_Strom[[#This Row],[Source.Name]],SEARCH("aus_der",Sensitivität_bzw_Monte_Carlo_bei_Strom[[#This Row],[Source.Name]],1))="Auszahlung_a","Auszahlung",""),"")</f>
        <v/>
      </c>
      <c r="D287" s="1"/>
    </row>
    <row r="288" spans="1:4" x14ac:dyDescent="0.3">
      <c r="A288" s="1"/>
      <c r="B288" s="1" t="str">
        <f>IFERROR(IF(LEFT(Sensitivität_bzw_Monte_Carlo_bei_Strom[[#This Row],[Source.Name]],SEARCH("aus_der",Sensitivität_bzw_Monte_Carlo_bei_Strom[[#This Row],[Source.Name]],1))="Auszahlung_a","Auszahlung",""),"")</f>
        <v/>
      </c>
      <c r="D288" s="1"/>
    </row>
    <row r="289" spans="1:4" x14ac:dyDescent="0.3">
      <c r="A289" s="1"/>
      <c r="B289" s="1" t="str">
        <f>IFERROR(IF(LEFT(Sensitivität_bzw_Monte_Carlo_bei_Strom[[#This Row],[Source.Name]],SEARCH("aus_der",Sensitivität_bzw_Monte_Carlo_bei_Strom[[#This Row],[Source.Name]],1))="Auszahlung_a","Auszahlung",""),"")</f>
        <v/>
      </c>
      <c r="D289" s="1"/>
    </row>
    <row r="290" spans="1:4" x14ac:dyDescent="0.3">
      <c r="A290" s="1"/>
      <c r="B290" s="1" t="str">
        <f>IFERROR(IF(LEFT(Sensitivität_bzw_Monte_Carlo_bei_Strom[[#This Row],[Source.Name]],SEARCH("aus_der",Sensitivität_bzw_Monte_Carlo_bei_Strom[[#This Row],[Source.Name]],1))="Auszahlung_a","Auszahlung",""),"")</f>
        <v/>
      </c>
      <c r="D290" s="1"/>
    </row>
    <row r="291" spans="1:4" x14ac:dyDescent="0.3">
      <c r="A291" s="1"/>
      <c r="B291" s="1" t="str">
        <f>IFERROR(IF(LEFT(Sensitivität_bzw_Monte_Carlo_bei_Strom[[#This Row],[Source.Name]],SEARCH("aus_der",Sensitivität_bzw_Monte_Carlo_bei_Strom[[#This Row],[Source.Name]],1))="Auszahlung_a","Auszahlung",""),"")</f>
        <v/>
      </c>
      <c r="D291" s="1"/>
    </row>
    <row r="292" spans="1:4" x14ac:dyDescent="0.3">
      <c r="A292" s="1"/>
      <c r="B292" s="1" t="str">
        <f>IFERROR(IF(LEFT(Sensitivität_bzw_Monte_Carlo_bei_Strom[[#This Row],[Source.Name]],SEARCH("aus_der",Sensitivität_bzw_Monte_Carlo_bei_Strom[[#This Row],[Source.Name]],1))="Auszahlung_a","Auszahlung",""),"")</f>
        <v/>
      </c>
      <c r="D292" s="1"/>
    </row>
    <row r="293" spans="1:4" x14ac:dyDescent="0.3">
      <c r="A293" s="1"/>
      <c r="B293" s="1" t="str">
        <f>IFERROR(IF(LEFT(Sensitivität_bzw_Monte_Carlo_bei_Strom[[#This Row],[Source.Name]],SEARCH("aus_der",Sensitivität_bzw_Monte_Carlo_bei_Strom[[#This Row],[Source.Name]],1))="Auszahlung_a","Auszahlung",""),"")</f>
        <v/>
      </c>
      <c r="D293" s="1"/>
    </row>
    <row r="294" spans="1:4" x14ac:dyDescent="0.3">
      <c r="A294" s="1"/>
      <c r="B294" s="1" t="str">
        <f>IFERROR(IF(LEFT(Sensitivität_bzw_Monte_Carlo_bei_Strom[[#This Row],[Source.Name]],SEARCH("aus_der",Sensitivität_bzw_Monte_Carlo_bei_Strom[[#This Row],[Source.Name]],1))="Auszahlung_a","Auszahlung",""),"")</f>
        <v/>
      </c>
      <c r="D294" s="1"/>
    </row>
    <row r="295" spans="1:4" x14ac:dyDescent="0.3">
      <c r="A295" s="1"/>
      <c r="B295" s="1" t="str">
        <f>IFERROR(IF(LEFT(Sensitivität_bzw_Monte_Carlo_bei_Strom[[#This Row],[Source.Name]],SEARCH("aus_der",Sensitivität_bzw_Monte_Carlo_bei_Strom[[#This Row],[Source.Name]],1))="Auszahlung_a","Auszahlung",""),"")</f>
        <v/>
      </c>
      <c r="D295" s="1"/>
    </row>
    <row r="296" spans="1:4" x14ac:dyDescent="0.3">
      <c r="A296" s="1"/>
      <c r="B296" s="1" t="str">
        <f>IFERROR(IF(LEFT(Sensitivität_bzw_Monte_Carlo_bei_Strom[[#This Row],[Source.Name]],SEARCH("aus_der",Sensitivität_bzw_Monte_Carlo_bei_Strom[[#This Row],[Source.Name]],1))="Auszahlung_a","Auszahlung",""),"")</f>
        <v/>
      </c>
      <c r="D296" s="1"/>
    </row>
    <row r="297" spans="1:4" x14ac:dyDescent="0.3">
      <c r="A297" s="1"/>
      <c r="B297" s="1" t="str">
        <f>IFERROR(IF(LEFT(Sensitivität_bzw_Monte_Carlo_bei_Strom[[#This Row],[Source.Name]],SEARCH("aus_der",Sensitivität_bzw_Monte_Carlo_bei_Strom[[#This Row],[Source.Name]],1))="Auszahlung_a","Auszahlung",""),"")</f>
        <v/>
      </c>
      <c r="D297" s="1"/>
    </row>
    <row r="298" spans="1:4" x14ac:dyDescent="0.3">
      <c r="A298" s="1"/>
      <c r="B298" s="1" t="str">
        <f>IFERROR(IF(LEFT(Sensitivität_bzw_Monte_Carlo_bei_Strom[[#This Row],[Source.Name]],SEARCH("aus_der",Sensitivität_bzw_Monte_Carlo_bei_Strom[[#This Row],[Source.Name]],1))="Auszahlung_a","Auszahlung",""),"")</f>
        <v/>
      </c>
      <c r="D298" s="1"/>
    </row>
    <row r="299" spans="1:4" x14ac:dyDescent="0.3">
      <c r="A299" s="1"/>
      <c r="B299" s="1" t="str">
        <f>IFERROR(IF(LEFT(Sensitivität_bzw_Monte_Carlo_bei_Strom[[#This Row],[Source.Name]],SEARCH("aus_der",Sensitivität_bzw_Monte_Carlo_bei_Strom[[#This Row],[Source.Name]],1))="Auszahlung_a","Auszahlung",""),"")</f>
        <v/>
      </c>
      <c r="D299" s="1"/>
    </row>
    <row r="300" spans="1:4" x14ac:dyDescent="0.3">
      <c r="A300" s="1"/>
      <c r="B300" s="1" t="str">
        <f>IFERROR(IF(LEFT(Sensitivität_bzw_Monte_Carlo_bei_Strom[[#This Row],[Source.Name]],SEARCH("aus_der",Sensitivität_bzw_Monte_Carlo_bei_Strom[[#This Row],[Source.Name]],1))="Auszahlung_a","Auszahlung",""),"")</f>
        <v/>
      </c>
      <c r="D300" s="1"/>
    </row>
    <row r="301" spans="1:4" x14ac:dyDescent="0.3">
      <c r="A301" s="1"/>
      <c r="B301" s="1" t="str">
        <f>IFERROR(IF(LEFT(Sensitivität_bzw_Monte_Carlo_bei_Strom[[#This Row],[Source.Name]],SEARCH("aus_der",Sensitivität_bzw_Monte_Carlo_bei_Strom[[#This Row],[Source.Name]],1))="Auszahlung_a","Auszahlung",""),"")</f>
        <v/>
      </c>
      <c r="D301" s="1"/>
    </row>
    <row r="302" spans="1:4" x14ac:dyDescent="0.3">
      <c r="A302" s="1"/>
      <c r="B302" s="1" t="str">
        <f>IFERROR(IF(LEFT(Sensitivität_bzw_Monte_Carlo_bei_Strom[[#This Row],[Source.Name]],SEARCH("aus_der",Sensitivität_bzw_Monte_Carlo_bei_Strom[[#This Row],[Source.Name]],1))="Auszahlung_a","Auszahlung",""),"")</f>
        <v/>
      </c>
      <c r="D302" s="1"/>
    </row>
    <row r="303" spans="1:4" x14ac:dyDescent="0.3">
      <c r="A303" s="1"/>
      <c r="B303" s="1" t="str">
        <f>IFERROR(IF(LEFT(Sensitivität_bzw_Monte_Carlo_bei_Strom[[#This Row],[Source.Name]],SEARCH("aus_der",Sensitivität_bzw_Monte_Carlo_bei_Strom[[#This Row],[Source.Name]],1))="Auszahlung_a","Auszahlung",""),"")</f>
        <v/>
      </c>
      <c r="D303" s="1"/>
    </row>
    <row r="304" spans="1:4" x14ac:dyDescent="0.3">
      <c r="A304" s="1"/>
      <c r="B304" s="1" t="str">
        <f>IFERROR(IF(LEFT(Sensitivität_bzw_Monte_Carlo_bei_Strom[[#This Row],[Source.Name]],SEARCH("aus_der",Sensitivität_bzw_Monte_Carlo_bei_Strom[[#This Row],[Source.Name]],1))="Auszahlung_a","Auszahlung",""),"")</f>
        <v/>
      </c>
      <c r="D304" s="1"/>
    </row>
    <row r="305" spans="1:4" x14ac:dyDescent="0.3">
      <c r="A305" s="1"/>
      <c r="B305" s="1" t="str">
        <f>IFERROR(IF(LEFT(Sensitivität_bzw_Monte_Carlo_bei_Strom[[#This Row],[Source.Name]],SEARCH("aus_der",Sensitivität_bzw_Monte_Carlo_bei_Strom[[#This Row],[Source.Name]],1))="Auszahlung_a","Auszahlung",""),"")</f>
        <v/>
      </c>
      <c r="D305" s="1"/>
    </row>
    <row r="306" spans="1:4" x14ac:dyDescent="0.3">
      <c r="A306" s="1"/>
      <c r="B306" s="1" t="str">
        <f>IFERROR(IF(LEFT(Sensitivität_bzw_Monte_Carlo_bei_Strom[[#This Row],[Source.Name]],SEARCH("aus_der",Sensitivität_bzw_Monte_Carlo_bei_Strom[[#This Row],[Source.Name]],1))="Auszahlung_a","Auszahlung",""),"")</f>
        <v/>
      </c>
      <c r="D306" s="1"/>
    </row>
    <row r="307" spans="1:4" x14ac:dyDescent="0.3">
      <c r="A307" s="1"/>
      <c r="B307" s="1" t="str">
        <f>IFERROR(IF(LEFT(Sensitivität_bzw_Monte_Carlo_bei_Strom[[#This Row],[Source.Name]],SEARCH("aus_der",Sensitivität_bzw_Monte_Carlo_bei_Strom[[#This Row],[Source.Name]],1))="Auszahlung_a","Auszahlung",""),"")</f>
        <v/>
      </c>
      <c r="D307" s="1"/>
    </row>
    <row r="308" spans="1:4" x14ac:dyDescent="0.3">
      <c r="A308" s="1"/>
      <c r="B308" s="1" t="str">
        <f>IFERROR(IF(LEFT(Sensitivität_bzw_Monte_Carlo_bei_Strom[[#This Row],[Source.Name]],SEARCH("aus_der",Sensitivität_bzw_Monte_Carlo_bei_Strom[[#This Row],[Source.Name]],1))="Auszahlung_a","Auszahlung",""),"")</f>
        <v/>
      </c>
      <c r="D308" s="1"/>
    </row>
    <row r="309" spans="1:4" x14ac:dyDescent="0.3">
      <c r="A309" s="1"/>
      <c r="B309" s="1" t="str">
        <f>IFERROR(IF(LEFT(Sensitivität_bzw_Monte_Carlo_bei_Strom[[#This Row],[Source.Name]],SEARCH("aus_der",Sensitivität_bzw_Monte_Carlo_bei_Strom[[#This Row],[Source.Name]],1))="Auszahlung_a","Auszahlung",""),"")</f>
        <v/>
      </c>
      <c r="D309" s="1"/>
    </row>
    <row r="310" spans="1:4" x14ac:dyDescent="0.3">
      <c r="A310" s="1"/>
      <c r="B310" s="1" t="str">
        <f>IFERROR(IF(LEFT(Sensitivität_bzw_Monte_Carlo_bei_Strom[[#This Row],[Source.Name]],SEARCH("aus_der",Sensitivität_bzw_Monte_Carlo_bei_Strom[[#This Row],[Source.Name]],1))="Auszahlung_a","Auszahlung",""),"")</f>
        <v/>
      </c>
      <c r="D310" s="1"/>
    </row>
    <row r="311" spans="1:4" x14ac:dyDescent="0.3">
      <c r="A311" s="1"/>
      <c r="B311" s="1" t="str">
        <f>IFERROR(IF(LEFT(Sensitivität_bzw_Monte_Carlo_bei_Strom[[#This Row],[Source.Name]],SEARCH("aus_der",Sensitivität_bzw_Monte_Carlo_bei_Strom[[#This Row],[Source.Name]],1))="Auszahlung_a","Auszahlung",""),"")</f>
        <v/>
      </c>
      <c r="D311" s="1"/>
    </row>
    <row r="312" spans="1:4" x14ac:dyDescent="0.3">
      <c r="A312" s="1"/>
      <c r="B312" s="1" t="str">
        <f>IFERROR(IF(LEFT(Sensitivität_bzw_Monte_Carlo_bei_Strom[[#This Row],[Source.Name]],SEARCH("aus_der",Sensitivität_bzw_Monte_Carlo_bei_Strom[[#This Row],[Source.Name]],1))="Auszahlung_a","Auszahlung",""),"")</f>
        <v/>
      </c>
      <c r="D312" s="1"/>
    </row>
    <row r="313" spans="1:4" x14ac:dyDescent="0.3">
      <c r="A313" s="1"/>
      <c r="B313" s="1" t="str">
        <f>IFERROR(IF(LEFT(Sensitivität_bzw_Monte_Carlo_bei_Strom[[#This Row],[Source.Name]],SEARCH("aus_der",Sensitivität_bzw_Monte_Carlo_bei_Strom[[#This Row],[Source.Name]],1))="Auszahlung_a","Auszahlung",""),"")</f>
        <v/>
      </c>
      <c r="D313" s="1"/>
    </row>
    <row r="314" spans="1:4" x14ac:dyDescent="0.3">
      <c r="A314" s="1"/>
      <c r="B314" s="1" t="str">
        <f>IFERROR(IF(LEFT(Sensitivität_bzw_Monte_Carlo_bei_Strom[[#This Row],[Source.Name]],SEARCH("aus_der",Sensitivität_bzw_Monte_Carlo_bei_Strom[[#This Row],[Source.Name]],1))="Auszahlung_a","Auszahlung",""),"")</f>
        <v/>
      </c>
      <c r="D314" s="1"/>
    </row>
    <row r="315" spans="1:4" x14ac:dyDescent="0.3">
      <c r="A315" s="1"/>
      <c r="B315" s="1" t="str">
        <f>IFERROR(IF(LEFT(Sensitivität_bzw_Monte_Carlo_bei_Strom[[#This Row],[Source.Name]],SEARCH("aus_der",Sensitivität_bzw_Monte_Carlo_bei_Strom[[#This Row],[Source.Name]],1))="Auszahlung_a","Auszahlung",""),"")</f>
        <v/>
      </c>
      <c r="D315" s="1"/>
    </row>
    <row r="316" spans="1:4" x14ac:dyDescent="0.3">
      <c r="A316" s="1"/>
      <c r="B316" s="1" t="str">
        <f>IFERROR(IF(LEFT(Sensitivität_bzw_Monte_Carlo_bei_Strom[[#This Row],[Source.Name]],SEARCH("aus_der",Sensitivität_bzw_Monte_Carlo_bei_Strom[[#This Row],[Source.Name]],1))="Auszahlung_a","Auszahlung",""),"")</f>
        <v/>
      </c>
      <c r="D316" s="1"/>
    </row>
    <row r="317" spans="1:4" x14ac:dyDescent="0.3">
      <c r="A317" s="1"/>
      <c r="B317" s="1" t="str">
        <f>IFERROR(IF(LEFT(Sensitivität_bzw_Monte_Carlo_bei_Strom[[#This Row],[Source.Name]],SEARCH("aus_der",Sensitivität_bzw_Monte_Carlo_bei_Strom[[#This Row],[Source.Name]],1))="Auszahlung_a","Auszahlung",""),"")</f>
        <v/>
      </c>
      <c r="D317" s="1"/>
    </row>
    <row r="318" spans="1:4" x14ac:dyDescent="0.3">
      <c r="A318" s="1"/>
      <c r="B318" s="1" t="str">
        <f>IFERROR(IF(LEFT(Sensitivität_bzw_Monte_Carlo_bei_Strom[[#This Row],[Source.Name]],SEARCH("aus_der",Sensitivität_bzw_Monte_Carlo_bei_Strom[[#This Row],[Source.Name]],1))="Auszahlung_a","Auszahlung",""),"")</f>
        <v/>
      </c>
      <c r="D318" s="1"/>
    </row>
    <row r="319" spans="1:4" x14ac:dyDescent="0.3">
      <c r="A319" s="1"/>
      <c r="B319" s="1" t="str">
        <f>IFERROR(IF(LEFT(Sensitivität_bzw_Monte_Carlo_bei_Strom[[#This Row],[Source.Name]],SEARCH("aus_der",Sensitivität_bzw_Monte_Carlo_bei_Strom[[#This Row],[Source.Name]],1))="Auszahlung_a","Auszahlung",""),"")</f>
        <v/>
      </c>
      <c r="D319" s="1"/>
    </row>
    <row r="320" spans="1:4" x14ac:dyDescent="0.3">
      <c r="A320" s="1"/>
      <c r="B320" s="1" t="str">
        <f>IFERROR(IF(LEFT(Sensitivität_bzw_Monte_Carlo_bei_Strom[[#This Row],[Source.Name]],SEARCH("aus_der",Sensitivität_bzw_Monte_Carlo_bei_Strom[[#This Row],[Source.Name]],1))="Auszahlung_a","Auszahlung",""),"")</f>
        <v/>
      </c>
      <c r="D320" s="1"/>
    </row>
    <row r="321" spans="1:4" x14ac:dyDescent="0.3">
      <c r="A321" s="1"/>
      <c r="B321" s="1" t="str">
        <f>IFERROR(IF(LEFT(Sensitivität_bzw_Monte_Carlo_bei_Strom[[#This Row],[Source.Name]],SEARCH("aus_der",Sensitivität_bzw_Monte_Carlo_bei_Strom[[#This Row],[Source.Name]],1))="Auszahlung_a","Auszahlung",""),"")</f>
        <v/>
      </c>
      <c r="D321" s="1"/>
    </row>
    <row r="322" spans="1:4" x14ac:dyDescent="0.3">
      <c r="A322" s="1"/>
      <c r="B322" s="1" t="str">
        <f>IFERROR(IF(LEFT(Sensitivität_bzw_Monte_Carlo_bei_Strom[[#This Row],[Source.Name]],SEARCH("aus_der",Sensitivität_bzw_Monte_Carlo_bei_Strom[[#This Row],[Source.Name]],1))="Auszahlung_a","Auszahlung",""),"")</f>
        <v/>
      </c>
      <c r="D322" s="1"/>
    </row>
    <row r="323" spans="1:4" x14ac:dyDescent="0.3">
      <c r="A323" s="1"/>
      <c r="B323" s="1" t="str">
        <f>IFERROR(IF(LEFT(Sensitivität_bzw_Monte_Carlo_bei_Strom[[#This Row],[Source.Name]],SEARCH("aus_der",Sensitivität_bzw_Monte_Carlo_bei_Strom[[#This Row],[Source.Name]],1))="Auszahlung_a","Auszahlung",""),"")</f>
        <v/>
      </c>
      <c r="D323" s="1"/>
    </row>
    <row r="324" spans="1:4" x14ac:dyDescent="0.3">
      <c r="A324" s="1"/>
      <c r="B324" s="1" t="str">
        <f>IFERROR(IF(LEFT(Sensitivität_bzw_Monte_Carlo_bei_Strom[[#This Row],[Source.Name]],SEARCH("aus_der",Sensitivität_bzw_Monte_Carlo_bei_Strom[[#This Row],[Source.Name]],1))="Auszahlung_a","Auszahlung",""),"")</f>
        <v/>
      </c>
      <c r="D324" s="1"/>
    </row>
    <row r="325" spans="1:4" x14ac:dyDescent="0.3">
      <c r="A325" s="1"/>
      <c r="B325" s="1" t="str">
        <f>IFERROR(IF(LEFT(Sensitivität_bzw_Monte_Carlo_bei_Strom[[#This Row],[Source.Name]],SEARCH("aus_der",Sensitivität_bzw_Monte_Carlo_bei_Strom[[#This Row],[Source.Name]],1))="Auszahlung_a","Auszahlung",""),"")</f>
        <v/>
      </c>
      <c r="D325" s="1"/>
    </row>
    <row r="326" spans="1:4" x14ac:dyDescent="0.3">
      <c r="A326" s="1"/>
      <c r="B326" s="1" t="str">
        <f>IFERROR(IF(LEFT(Sensitivität_bzw_Monte_Carlo_bei_Strom[[#This Row],[Source.Name]],SEARCH("aus_der",Sensitivität_bzw_Monte_Carlo_bei_Strom[[#This Row],[Source.Name]],1))="Auszahlung_a","Auszahlung",""),"")</f>
        <v/>
      </c>
      <c r="D326" s="1"/>
    </row>
    <row r="327" spans="1:4" x14ac:dyDescent="0.3">
      <c r="A327" s="1"/>
      <c r="B327" s="1" t="str">
        <f>IFERROR(IF(LEFT(Sensitivität_bzw_Monte_Carlo_bei_Strom[[#This Row],[Source.Name]],SEARCH("aus_der",Sensitivität_bzw_Monte_Carlo_bei_Strom[[#This Row],[Source.Name]],1))="Auszahlung_a","Auszahlung",""),"")</f>
        <v/>
      </c>
      <c r="D327" s="1"/>
    </row>
    <row r="328" spans="1:4" x14ac:dyDescent="0.3">
      <c r="A328" s="1"/>
      <c r="B328" s="1" t="str">
        <f>IFERROR(IF(LEFT(Sensitivität_bzw_Monte_Carlo_bei_Strom[[#This Row],[Source.Name]],SEARCH("aus_der",Sensitivität_bzw_Monte_Carlo_bei_Strom[[#This Row],[Source.Name]],1))="Auszahlung_a","Auszahlung",""),"")</f>
        <v/>
      </c>
      <c r="D328" s="1"/>
    </row>
    <row r="329" spans="1:4" x14ac:dyDescent="0.3">
      <c r="A329" s="1"/>
      <c r="B329" s="1" t="str">
        <f>IFERROR(IF(LEFT(Sensitivität_bzw_Monte_Carlo_bei_Strom[[#This Row],[Source.Name]],SEARCH("aus_der",Sensitivität_bzw_Monte_Carlo_bei_Strom[[#This Row],[Source.Name]],1))="Auszahlung_a","Auszahlung",""),"")</f>
        <v/>
      </c>
      <c r="D329" s="1"/>
    </row>
    <row r="330" spans="1:4" x14ac:dyDescent="0.3">
      <c r="A330" s="1"/>
      <c r="B330" s="1" t="str">
        <f>IFERROR(IF(LEFT(Sensitivität_bzw_Monte_Carlo_bei_Strom[[#This Row],[Source.Name]],SEARCH("aus_der",Sensitivität_bzw_Monte_Carlo_bei_Strom[[#This Row],[Source.Name]],1))="Auszahlung_a","Auszahlung",""),"")</f>
        <v/>
      </c>
      <c r="D330" s="1"/>
    </row>
    <row r="331" spans="1:4" x14ac:dyDescent="0.3">
      <c r="A331" s="1"/>
      <c r="B331" s="1" t="str">
        <f>IFERROR(IF(LEFT(Sensitivität_bzw_Monte_Carlo_bei_Strom[[#This Row],[Source.Name]],SEARCH("aus_der",Sensitivität_bzw_Monte_Carlo_bei_Strom[[#This Row],[Source.Name]],1))="Auszahlung_a","Auszahlung",""),"")</f>
        <v/>
      </c>
      <c r="D331" s="1"/>
    </row>
    <row r="332" spans="1:4" x14ac:dyDescent="0.3">
      <c r="A332" s="1"/>
      <c r="B332" s="1" t="str">
        <f>IFERROR(IF(LEFT(Sensitivität_bzw_Monte_Carlo_bei_Strom[[#This Row],[Source.Name]],SEARCH("aus_der",Sensitivität_bzw_Monte_Carlo_bei_Strom[[#This Row],[Source.Name]],1))="Auszahlung_a","Auszahlung",""),"")</f>
        <v/>
      </c>
      <c r="D332" s="1"/>
    </row>
    <row r="333" spans="1:4" x14ac:dyDescent="0.3">
      <c r="A333" s="1"/>
      <c r="B333" s="1" t="str">
        <f>IFERROR(IF(LEFT(Sensitivität_bzw_Monte_Carlo_bei_Strom[[#This Row],[Source.Name]],SEARCH("aus_der",Sensitivität_bzw_Monte_Carlo_bei_Strom[[#This Row],[Source.Name]],1))="Auszahlung_a","Auszahlung",""),"")</f>
        <v/>
      </c>
      <c r="D333" s="1"/>
    </row>
    <row r="334" spans="1:4" x14ac:dyDescent="0.3">
      <c r="A334" s="1"/>
      <c r="B334" s="1" t="str">
        <f>IFERROR(IF(LEFT(Sensitivität_bzw_Monte_Carlo_bei_Strom[[#This Row],[Source.Name]],SEARCH("aus_der",Sensitivität_bzw_Monte_Carlo_bei_Strom[[#This Row],[Source.Name]],1))="Auszahlung_a","Auszahlung",""),"")</f>
        <v/>
      </c>
      <c r="D334" s="1"/>
    </row>
    <row r="335" spans="1:4" x14ac:dyDescent="0.3">
      <c r="A335" s="1"/>
      <c r="B335" s="1" t="str">
        <f>IFERROR(IF(LEFT(Sensitivität_bzw_Monte_Carlo_bei_Strom[[#This Row],[Source.Name]],SEARCH("aus_der",Sensitivität_bzw_Monte_Carlo_bei_Strom[[#This Row],[Source.Name]],1))="Auszahlung_a","Auszahlung",""),"")</f>
        <v/>
      </c>
      <c r="D335" s="1"/>
    </row>
    <row r="336" spans="1:4" x14ac:dyDescent="0.3">
      <c r="A336" s="1"/>
      <c r="B336" s="1" t="str">
        <f>IFERROR(IF(LEFT(Sensitivität_bzw_Monte_Carlo_bei_Strom[[#This Row],[Source.Name]],SEARCH("aus_der",Sensitivität_bzw_Monte_Carlo_bei_Strom[[#This Row],[Source.Name]],1))="Auszahlung_a","Auszahlung",""),"")</f>
        <v/>
      </c>
      <c r="D336" s="1"/>
    </row>
    <row r="337" spans="1:4" x14ac:dyDescent="0.3">
      <c r="A337" s="1"/>
      <c r="B337" s="1" t="str">
        <f>IFERROR(IF(LEFT(Sensitivität_bzw_Monte_Carlo_bei_Strom[[#This Row],[Source.Name]],SEARCH("aus_der",Sensitivität_bzw_Monte_Carlo_bei_Strom[[#This Row],[Source.Name]],1))="Auszahlung_a","Auszahlung",""),"")</f>
        <v/>
      </c>
      <c r="D337" s="1"/>
    </row>
    <row r="338" spans="1:4" x14ac:dyDescent="0.3">
      <c r="A338" s="1"/>
      <c r="B338" s="1" t="str">
        <f>IFERROR(IF(LEFT(Sensitivität_bzw_Monte_Carlo_bei_Strom[[#This Row],[Source.Name]],SEARCH("aus_der",Sensitivität_bzw_Monte_Carlo_bei_Strom[[#This Row],[Source.Name]],1))="Auszahlung_a","Auszahlung",""),"")</f>
        <v/>
      </c>
      <c r="D338" s="1"/>
    </row>
    <row r="339" spans="1:4" x14ac:dyDescent="0.3">
      <c r="A339" s="1"/>
      <c r="B339" s="1" t="str">
        <f>IFERROR(IF(LEFT(Sensitivität_bzw_Monte_Carlo_bei_Strom[[#This Row],[Source.Name]],SEARCH("aus_der",Sensitivität_bzw_Monte_Carlo_bei_Strom[[#This Row],[Source.Name]],1))="Auszahlung_a","Auszahlung",""),"")</f>
        <v/>
      </c>
      <c r="D339" s="1"/>
    </row>
    <row r="340" spans="1:4" x14ac:dyDescent="0.3">
      <c r="A340" s="1"/>
      <c r="B340" s="1" t="str">
        <f>IFERROR(IF(LEFT(Sensitivität_bzw_Monte_Carlo_bei_Strom[[#This Row],[Source.Name]],SEARCH("aus_der",Sensitivität_bzw_Monte_Carlo_bei_Strom[[#This Row],[Source.Name]],1))="Auszahlung_a","Auszahlung",""),"")</f>
        <v/>
      </c>
      <c r="D340" s="1"/>
    </row>
    <row r="341" spans="1:4" x14ac:dyDescent="0.3">
      <c r="A341" s="1"/>
      <c r="B341" s="1" t="str">
        <f>IFERROR(IF(LEFT(Sensitivität_bzw_Monte_Carlo_bei_Strom[[#This Row],[Source.Name]],SEARCH("aus_der",Sensitivität_bzw_Monte_Carlo_bei_Strom[[#This Row],[Source.Name]],1))="Auszahlung_a","Auszahlung",""),"")</f>
        <v/>
      </c>
      <c r="D341" s="1"/>
    </row>
    <row r="342" spans="1:4" x14ac:dyDescent="0.3">
      <c r="A342" s="1"/>
      <c r="B342" s="1" t="str">
        <f>IFERROR(IF(LEFT(Sensitivität_bzw_Monte_Carlo_bei_Strom[[#This Row],[Source.Name]],SEARCH("aus_der",Sensitivität_bzw_Monte_Carlo_bei_Strom[[#This Row],[Source.Name]],1))="Auszahlung_a","Auszahlung",""),"")</f>
        <v/>
      </c>
      <c r="D342" s="1"/>
    </row>
    <row r="343" spans="1:4" x14ac:dyDescent="0.3">
      <c r="A343" s="1"/>
      <c r="B343" s="1" t="str">
        <f>IFERROR(IF(LEFT(Sensitivität_bzw_Monte_Carlo_bei_Strom[[#This Row],[Source.Name]],SEARCH("aus_der",Sensitivität_bzw_Monte_Carlo_bei_Strom[[#This Row],[Source.Name]],1))="Auszahlung_a","Auszahlung",""),"")</f>
        <v/>
      </c>
      <c r="D343" s="1"/>
    </row>
    <row r="344" spans="1:4" x14ac:dyDescent="0.3">
      <c r="A344" s="1"/>
      <c r="B344" s="1" t="str">
        <f>IFERROR(IF(LEFT(Sensitivität_bzw_Monte_Carlo_bei_Strom[[#This Row],[Source.Name]],SEARCH("aus_der",Sensitivität_bzw_Monte_Carlo_bei_Strom[[#This Row],[Source.Name]],1))="Auszahlung_a","Auszahlung",""),"")</f>
        <v/>
      </c>
      <c r="D344" s="1"/>
    </row>
    <row r="345" spans="1:4" x14ac:dyDescent="0.3">
      <c r="A345" s="1"/>
      <c r="B345" s="1" t="str">
        <f>IFERROR(IF(LEFT(Sensitivität_bzw_Monte_Carlo_bei_Strom[[#This Row],[Source.Name]],SEARCH("aus_der",Sensitivität_bzw_Monte_Carlo_bei_Strom[[#This Row],[Source.Name]],1))="Auszahlung_a","Auszahlung",""),"")</f>
        <v/>
      </c>
      <c r="D345" s="1"/>
    </row>
    <row r="346" spans="1:4" x14ac:dyDescent="0.3">
      <c r="A346" s="1"/>
      <c r="B346" s="1" t="str">
        <f>IFERROR(IF(LEFT(Sensitivität_bzw_Monte_Carlo_bei_Strom[[#This Row],[Source.Name]],SEARCH("aus_der",Sensitivität_bzw_Monte_Carlo_bei_Strom[[#This Row],[Source.Name]],1))="Auszahlung_a","Auszahlung",""),"")</f>
        <v/>
      </c>
      <c r="D346" s="1"/>
    </row>
    <row r="347" spans="1:4" x14ac:dyDescent="0.3">
      <c r="A347" s="1"/>
      <c r="B347" s="1" t="str">
        <f>IFERROR(IF(LEFT(Sensitivität_bzw_Monte_Carlo_bei_Strom[[#This Row],[Source.Name]],SEARCH("aus_der",Sensitivität_bzw_Monte_Carlo_bei_Strom[[#This Row],[Source.Name]],1))="Auszahlung_a","Auszahlung",""),"")</f>
        <v/>
      </c>
      <c r="D347" s="1"/>
    </row>
    <row r="348" spans="1:4" x14ac:dyDescent="0.3">
      <c r="A348" s="1"/>
      <c r="B348" s="1" t="str">
        <f>IFERROR(IF(LEFT(Sensitivität_bzw_Monte_Carlo_bei_Strom[[#This Row],[Source.Name]],SEARCH("aus_der",Sensitivität_bzw_Monte_Carlo_bei_Strom[[#This Row],[Source.Name]],1))="Auszahlung_a","Auszahlung",""),"")</f>
        <v/>
      </c>
      <c r="D348" s="1"/>
    </row>
    <row r="349" spans="1:4" x14ac:dyDescent="0.3">
      <c r="A349" s="1"/>
      <c r="B349" s="1" t="str">
        <f>IFERROR(IF(LEFT(Sensitivität_bzw_Monte_Carlo_bei_Strom[[#This Row],[Source.Name]],SEARCH("aus_der",Sensitivität_bzw_Monte_Carlo_bei_Strom[[#This Row],[Source.Name]],1))="Auszahlung_a","Auszahlung",""),"")</f>
        <v/>
      </c>
      <c r="D349" s="1"/>
    </row>
    <row r="350" spans="1:4" x14ac:dyDescent="0.3">
      <c r="A350" s="1"/>
      <c r="B350" s="1" t="str">
        <f>IFERROR(IF(LEFT(Sensitivität_bzw_Monte_Carlo_bei_Strom[[#This Row],[Source.Name]],SEARCH("aus_der",Sensitivität_bzw_Monte_Carlo_bei_Strom[[#This Row],[Source.Name]],1))="Auszahlung_a","Auszahlung",""),"")</f>
        <v/>
      </c>
      <c r="D350" s="1"/>
    </row>
    <row r="351" spans="1:4" x14ac:dyDescent="0.3">
      <c r="A351" s="1"/>
      <c r="B351" s="1" t="str">
        <f>IFERROR(IF(LEFT(Sensitivität_bzw_Monte_Carlo_bei_Strom[[#This Row],[Source.Name]],SEARCH("aus_der",Sensitivität_bzw_Monte_Carlo_bei_Strom[[#This Row],[Source.Name]],1))="Auszahlung_a","Auszahlung",""),"")</f>
        <v/>
      </c>
      <c r="D351" s="1"/>
    </row>
    <row r="352" spans="1:4" x14ac:dyDescent="0.3">
      <c r="A352" s="1"/>
      <c r="B352" s="1" t="str">
        <f>IFERROR(IF(LEFT(Sensitivität_bzw_Monte_Carlo_bei_Strom[[#This Row],[Source.Name]],SEARCH("aus_der",Sensitivität_bzw_Monte_Carlo_bei_Strom[[#This Row],[Source.Name]],1))="Auszahlung_a","Auszahlung",""),"")</f>
        <v/>
      </c>
      <c r="D352" s="1"/>
    </row>
    <row r="353" spans="1:4" x14ac:dyDescent="0.3">
      <c r="A353" s="1"/>
      <c r="B353" s="1" t="str">
        <f>IFERROR(IF(LEFT(Sensitivität_bzw_Monte_Carlo_bei_Strom[[#This Row],[Source.Name]],SEARCH("aus_der",Sensitivität_bzw_Monte_Carlo_bei_Strom[[#This Row],[Source.Name]],1))="Auszahlung_a","Auszahlung",""),"")</f>
        <v/>
      </c>
      <c r="D353" s="1"/>
    </row>
    <row r="354" spans="1:4" x14ac:dyDescent="0.3">
      <c r="A354" s="1"/>
      <c r="B354" s="1" t="str">
        <f>IFERROR(IF(LEFT(Sensitivität_bzw_Monte_Carlo_bei_Strom[[#This Row],[Source.Name]],SEARCH("aus_der",Sensitivität_bzw_Monte_Carlo_bei_Strom[[#This Row],[Source.Name]],1))="Auszahlung_a","Auszahlung",""),"")</f>
        <v/>
      </c>
      <c r="D354" s="1"/>
    </row>
    <row r="355" spans="1:4" x14ac:dyDescent="0.3">
      <c r="A355" s="1"/>
      <c r="B355" s="1" t="str">
        <f>IFERROR(IF(LEFT(Sensitivität_bzw_Monte_Carlo_bei_Strom[[#This Row],[Source.Name]],SEARCH("aus_der",Sensitivität_bzw_Monte_Carlo_bei_Strom[[#This Row],[Source.Name]],1))="Auszahlung_a","Auszahlung",""),"")</f>
        <v/>
      </c>
      <c r="D355" s="1"/>
    </row>
    <row r="356" spans="1:4" x14ac:dyDescent="0.3">
      <c r="A356" s="1"/>
      <c r="B356" s="1" t="str">
        <f>IFERROR(IF(LEFT(Sensitivität_bzw_Monte_Carlo_bei_Strom[[#This Row],[Source.Name]],SEARCH("aus_der",Sensitivität_bzw_Monte_Carlo_bei_Strom[[#This Row],[Source.Name]],1))="Auszahlung_a","Auszahlung",""),"")</f>
        <v/>
      </c>
      <c r="D356" s="1"/>
    </row>
    <row r="357" spans="1:4" x14ac:dyDescent="0.3">
      <c r="A357" s="1"/>
      <c r="B357" s="1" t="str">
        <f>IFERROR(IF(LEFT(Sensitivität_bzw_Monte_Carlo_bei_Strom[[#This Row],[Source.Name]],SEARCH("aus_der",Sensitivität_bzw_Monte_Carlo_bei_Strom[[#This Row],[Source.Name]],1))="Auszahlung_a","Auszahlung",""),"")</f>
        <v/>
      </c>
      <c r="D357" s="1"/>
    </row>
    <row r="358" spans="1:4" x14ac:dyDescent="0.3">
      <c r="A358" s="1"/>
      <c r="B358" s="1" t="str">
        <f>IFERROR(IF(LEFT(Sensitivität_bzw_Monte_Carlo_bei_Strom[[#This Row],[Source.Name]],SEARCH("aus_der",Sensitivität_bzw_Monte_Carlo_bei_Strom[[#This Row],[Source.Name]],1))="Auszahlung_a","Auszahlung",""),"")</f>
        <v/>
      </c>
      <c r="D358" s="1"/>
    </row>
    <row r="359" spans="1:4" x14ac:dyDescent="0.3">
      <c r="A359" s="1"/>
      <c r="B359" s="1" t="str">
        <f>IFERROR(IF(LEFT(Sensitivität_bzw_Monte_Carlo_bei_Strom[[#This Row],[Source.Name]],SEARCH("aus_der",Sensitivität_bzw_Monte_Carlo_bei_Strom[[#This Row],[Source.Name]],1))="Auszahlung_a","Auszahlung",""),"")</f>
        <v/>
      </c>
      <c r="D359" s="1"/>
    </row>
    <row r="360" spans="1:4" x14ac:dyDescent="0.3">
      <c r="A360" s="1"/>
      <c r="B360" s="1" t="str">
        <f>IFERROR(IF(LEFT(Sensitivität_bzw_Monte_Carlo_bei_Strom[[#This Row],[Source.Name]],SEARCH("aus_der",Sensitivität_bzw_Monte_Carlo_bei_Strom[[#This Row],[Source.Name]],1))="Auszahlung_a","Auszahlung",""),"")</f>
        <v/>
      </c>
      <c r="D360" s="1"/>
    </row>
    <row r="361" spans="1:4" x14ac:dyDescent="0.3">
      <c r="A361" s="1"/>
      <c r="B361" s="1" t="str">
        <f>IFERROR(IF(LEFT(Sensitivität_bzw_Monte_Carlo_bei_Strom[[#This Row],[Source.Name]],SEARCH("aus_der",Sensitivität_bzw_Monte_Carlo_bei_Strom[[#This Row],[Source.Name]],1))="Auszahlung_a","Auszahlung",""),"")</f>
        <v/>
      </c>
      <c r="D361" s="1"/>
    </row>
    <row r="362" spans="1:4" x14ac:dyDescent="0.3">
      <c r="A362" s="1"/>
      <c r="B362" s="1" t="str">
        <f>IFERROR(IF(LEFT(Sensitivität_bzw_Monte_Carlo_bei_Strom[[#This Row],[Source.Name]],SEARCH("aus_der",Sensitivität_bzw_Monte_Carlo_bei_Strom[[#This Row],[Source.Name]],1))="Auszahlung_a","Auszahlung",""),"")</f>
        <v/>
      </c>
      <c r="D362" s="1"/>
    </row>
    <row r="363" spans="1:4" x14ac:dyDescent="0.3">
      <c r="A363" s="1"/>
      <c r="B363" s="1" t="str">
        <f>IFERROR(IF(LEFT(Sensitivität_bzw_Monte_Carlo_bei_Strom[[#This Row],[Source.Name]],SEARCH("aus_der",Sensitivität_bzw_Monte_Carlo_bei_Strom[[#This Row],[Source.Name]],1))="Auszahlung_a","Auszahlung",""),"")</f>
        <v/>
      </c>
      <c r="D363" s="1"/>
    </row>
    <row r="364" spans="1:4" x14ac:dyDescent="0.3">
      <c r="A364" s="1"/>
      <c r="B364" s="1" t="str">
        <f>IFERROR(IF(LEFT(Sensitivität_bzw_Monte_Carlo_bei_Strom[[#This Row],[Source.Name]],SEARCH("aus_der",Sensitivität_bzw_Monte_Carlo_bei_Strom[[#This Row],[Source.Name]],1))="Auszahlung_a","Auszahlung",""),"")</f>
        <v/>
      </c>
      <c r="D364" s="1"/>
    </row>
    <row r="365" spans="1:4" x14ac:dyDescent="0.3">
      <c r="A365" s="1"/>
      <c r="B365" s="1" t="str">
        <f>IFERROR(IF(LEFT(Sensitivität_bzw_Monte_Carlo_bei_Strom[[#This Row],[Source.Name]],SEARCH("aus_der",Sensitivität_bzw_Monte_Carlo_bei_Strom[[#This Row],[Source.Name]],1))="Auszahlung_a","Auszahlung",""),"")</f>
        <v/>
      </c>
      <c r="D365" s="1"/>
    </row>
    <row r="366" spans="1:4" x14ac:dyDescent="0.3">
      <c r="A366" s="1"/>
      <c r="B366" s="1" t="str">
        <f>IFERROR(IF(LEFT(Sensitivität_bzw_Monte_Carlo_bei_Strom[[#This Row],[Source.Name]],SEARCH("aus_der",Sensitivität_bzw_Monte_Carlo_bei_Strom[[#This Row],[Source.Name]],1))="Auszahlung_a","Auszahlung",""),"")</f>
        <v/>
      </c>
      <c r="D366" s="1"/>
    </row>
    <row r="367" spans="1:4" x14ac:dyDescent="0.3">
      <c r="A367" s="1"/>
      <c r="B367" s="1" t="str">
        <f>IFERROR(IF(LEFT(Sensitivität_bzw_Monte_Carlo_bei_Strom[[#This Row],[Source.Name]],SEARCH("aus_der",Sensitivität_bzw_Monte_Carlo_bei_Strom[[#This Row],[Source.Name]],1))="Auszahlung_a","Auszahlung",""),"")</f>
        <v/>
      </c>
      <c r="D367" s="1"/>
    </row>
    <row r="368" spans="1:4" x14ac:dyDescent="0.3">
      <c r="A368" s="1"/>
      <c r="B368" s="1" t="str">
        <f>IFERROR(IF(LEFT(Sensitivität_bzw_Monte_Carlo_bei_Strom[[#This Row],[Source.Name]],SEARCH("aus_der",Sensitivität_bzw_Monte_Carlo_bei_Strom[[#This Row],[Source.Name]],1))="Auszahlung_a","Auszahlung",""),"")</f>
        <v/>
      </c>
      <c r="D368" s="1"/>
    </row>
    <row r="369" spans="1:4" x14ac:dyDescent="0.3">
      <c r="A369" s="1"/>
      <c r="B369" s="1" t="str">
        <f>IFERROR(IF(LEFT(Sensitivität_bzw_Monte_Carlo_bei_Strom[[#This Row],[Source.Name]],SEARCH("aus_der",Sensitivität_bzw_Monte_Carlo_bei_Strom[[#This Row],[Source.Name]],1))="Auszahlung_a","Auszahlung",""),"")</f>
        <v/>
      </c>
      <c r="D369" s="1"/>
    </row>
    <row r="370" spans="1:4" x14ac:dyDescent="0.3">
      <c r="A370" s="1"/>
      <c r="B370" s="1" t="str">
        <f>IFERROR(IF(LEFT(Sensitivität_bzw_Monte_Carlo_bei_Strom[[#This Row],[Source.Name]],SEARCH("aus_der",Sensitivität_bzw_Monte_Carlo_bei_Strom[[#This Row],[Source.Name]],1))="Auszahlung_a","Auszahlung",""),"")</f>
        <v/>
      </c>
      <c r="D370" s="1"/>
    </row>
    <row r="371" spans="1:4" x14ac:dyDescent="0.3">
      <c r="A371" s="1"/>
      <c r="B371" s="1" t="str">
        <f>IFERROR(IF(LEFT(Sensitivität_bzw_Monte_Carlo_bei_Strom[[#This Row],[Source.Name]],SEARCH("aus_der",Sensitivität_bzw_Monte_Carlo_bei_Strom[[#This Row],[Source.Name]],1))="Auszahlung_a","Auszahlung",""),"")</f>
        <v/>
      </c>
      <c r="D371" s="1"/>
    </row>
    <row r="372" spans="1:4" x14ac:dyDescent="0.3">
      <c r="A372" s="1"/>
      <c r="B372" s="1" t="str">
        <f>IFERROR(IF(LEFT(Sensitivität_bzw_Monte_Carlo_bei_Strom[[#This Row],[Source.Name]],SEARCH("aus_der",Sensitivität_bzw_Monte_Carlo_bei_Strom[[#This Row],[Source.Name]],1))="Auszahlung_a","Auszahlung",""),"")</f>
        <v/>
      </c>
      <c r="D372" s="1"/>
    </row>
    <row r="373" spans="1:4" x14ac:dyDescent="0.3">
      <c r="A373" s="1"/>
      <c r="B373" s="1" t="str">
        <f>IFERROR(IF(LEFT(Sensitivität_bzw_Monte_Carlo_bei_Strom[[#This Row],[Source.Name]],SEARCH("aus_der",Sensitivität_bzw_Monte_Carlo_bei_Strom[[#This Row],[Source.Name]],1))="Auszahlung_a","Auszahlung",""),"")</f>
        <v/>
      </c>
      <c r="D373" s="1"/>
    </row>
    <row r="374" spans="1:4" x14ac:dyDescent="0.3">
      <c r="A374" s="1"/>
      <c r="B374" s="1" t="str">
        <f>IFERROR(IF(LEFT(Sensitivität_bzw_Monte_Carlo_bei_Strom[[#This Row],[Source.Name]],SEARCH("aus_der",Sensitivität_bzw_Monte_Carlo_bei_Strom[[#This Row],[Source.Name]],1))="Auszahlung_a","Auszahlung",""),"")</f>
        <v/>
      </c>
      <c r="D374" s="1"/>
    </row>
    <row r="375" spans="1:4" x14ac:dyDescent="0.3">
      <c r="A375" s="1"/>
      <c r="B375" s="1" t="str">
        <f>IFERROR(IF(LEFT(Sensitivität_bzw_Monte_Carlo_bei_Strom[[#This Row],[Source.Name]],SEARCH("aus_der",Sensitivität_bzw_Monte_Carlo_bei_Strom[[#This Row],[Source.Name]],1))="Auszahlung_a","Auszahlung",""),"")</f>
        <v/>
      </c>
      <c r="D375" s="1"/>
    </row>
    <row r="376" spans="1:4" x14ac:dyDescent="0.3">
      <c r="A376" s="1"/>
      <c r="B376" s="1" t="str">
        <f>IFERROR(IF(LEFT(Sensitivität_bzw_Monte_Carlo_bei_Strom[[#This Row],[Source.Name]],SEARCH("aus_der",Sensitivität_bzw_Monte_Carlo_bei_Strom[[#This Row],[Source.Name]],1))="Auszahlung_a","Auszahlung",""),"")</f>
        <v/>
      </c>
      <c r="D376" s="1"/>
    </row>
    <row r="377" spans="1:4" x14ac:dyDescent="0.3">
      <c r="A377" s="1"/>
      <c r="B377" s="1" t="str">
        <f>IFERROR(IF(LEFT(Sensitivität_bzw_Monte_Carlo_bei_Strom[[#This Row],[Source.Name]],SEARCH("aus_der",Sensitivität_bzw_Monte_Carlo_bei_Strom[[#This Row],[Source.Name]],1))="Auszahlung_a","Auszahlung",""),"")</f>
        <v/>
      </c>
      <c r="D377" s="1"/>
    </row>
    <row r="378" spans="1:4" x14ac:dyDescent="0.3">
      <c r="A378" s="1"/>
      <c r="B378" s="1" t="str">
        <f>IFERROR(IF(LEFT(Sensitivität_bzw_Monte_Carlo_bei_Strom[[#This Row],[Source.Name]],SEARCH("aus_der",Sensitivität_bzw_Monte_Carlo_bei_Strom[[#This Row],[Source.Name]],1))="Auszahlung_a","Auszahlung",""),"")</f>
        <v/>
      </c>
      <c r="D378" s="1"/>
    </row>
    <row r="379" spans="1:4" x14ac:dyDescent="0.3">
      <c r="A379" s="1"/>
      <c r="B379" s="1" t="str">
        <f>IFERROR(IF(LEFT(Sensitivität_bzw_Monte_Carlo_bei_Strom[[#This Row],[Source.Name]],SEARCH("aus_der",Sensitivität_bzw_Monte_Carlo_bei_Strom[[#This Row],[Source.Name]],1))="Auszahlung_a","Auszahlung",""),"")</f>
        <v/>
      </c>
      <c r="D379" s="1"/>
    </row>
    <row r="380" spans="1:4" x14ac:dyDescent="0.3">
      <c r="A380" s="1"/>
      <c r="B380" s="1" t="str">
        <f>IFERROR(IF(LEFT(Sensitivität_bzw_Monte_Carlo_bei_Strom[[#This Row],[Source.Name]],SEARCH("aus_der",Sensitivität_bzw_Monte_Carlo_bei_Strom[[#This Row],[Source.Name]],1))="Auszahlung_a","Auszahlung",""),"")</f>
        <v/>
      </c>
      <c r="D380" s="1"/>
    </row>
    <row r="381" spans="1:4" x14ac:dyDescent="0.3">
      <c r="A381" s="1"/>
      <c r="B381" s="1" t="str">
        <f>IFERROR(IF(LEFT(Sensitivität_bzw_Monte_Carlo_bei_Strom[[#This Row],[Source.Name]],SEARCH("aus_der",Sensitivität_bzw_Monte_Carlo_bei_Strom[[#This Row],[Source.Name]],1))="Auszahlung_a","Auszahlung",""),"")</f>
        <v/>
      </c>
      <c r="D381" s="1"/>
    </row>
    <row r="382" spans="1:4" x14ac:dyDescent="0.3">
      <c r="A382" s="1"/>
      <c r="B382" s="1" t="str">
        <f>IFERROR(IF(LEFT(Sensitivität_bzw_Monte_Carlo_bei_Strom[[#This Row],[Source.Name]],SEARCH("aus_der",Sensitivität_bzw_Monte_Carlo_bei_Strom[[#This Row],[Source.Name]],1))="Auszahlung_a","Auszahlung",""),"")</f>
        <v/>
      </c>
      <c r="D382" s="1"/>
    </row>
    <row r="383" spans="1:4" x14ac:dyDescent="0.3">
      <c r="A383" s="1"/>
      <c r="B383" s="1" t="str">
        <f>IFERROR(IF(LEFT(Sensitivität_bzw_Monte_Carlo_bei_Strom[[#This Row],[Source.Name]],SEARCH("aus_der",Sensitivität_bzw_Monte_Carlo_bei_Strom[[#This Row],[Source.Name]],1))="Auszahlung_a","Auszahlung",""),"")</f>
        <v/>
      </c>
      <c r="D383" s="1"/>
    </row>
    <row r="384" spans="1:4" x14ac:dyDescent="0.3">
      <c r="A384" s="1"/>
      <c r="B384" s="1" t="str">
        <f>IFERROR(IF(LEFT(Sensitivität_bzw_Monte_Carlo_bei_Strom[[#This Row],[Source.Name]],SEARCH("aus_der",Sensitivität_bzw_Monte_Carlo_bei_Strom[[#This Row],[Source.Name]],1))="Auszahlung_a","Auszahlung",""),"")</f>
        <v/>
      </c>
      <c r="D384" s="1"/>
    </row>
    <row r="385" spans="1:4" x14ac:dyDescent="0.3">
      <c r="A385" s="1"/>
      <c r="B385" s="1" t="str">
        <f>IFERROR(IF(LEFT(Sensitivität_bzw_Monte_Carlo_bei_Strom[[#This Row],[Source.Name]],SEARCH("aus_der",Sensitivität_bzw_Monte_Carlo_bei_Strom[[#This Row],[Source.Name]],1))="Auszahlung_a","Auszahlung",""),"")</f>
        <v/>
      </c>
      <c r="D385" s="1"/>
    </row>
    <row r="386" spans="1:4" x14ac:dyDescent="0.3">
      <c r="A386" s="1"/>
      <c r="B386" s="1" t="str">
        <f>IFERROR(IF(LEFT(Sensitivität_bzw_Monte_Carlo_bei_Strom[[#This Row],[Source.Name]],SEARCH("aus_der",Sensitivität_bzw_Monte_Carlo_bei_Strom[[#This Row],[Source.Name]],1))="Auszahlung_a","Auszahlung",""),"")</f>
        <v/>
      </c>
      <c r="D386" s="1"/>
    </row>
    <row r="387" spans="1:4" x14ac:dyDescent="0.3">
      <c r="A387" s="1"/>
      <c r="B387" s="1" t="str">
        <f>IFERROR(IF(LEFT(Sensitivität_bzw_Monte_Carlo_bei_Strom[[#This Row],[Source.Name]],SEARCH("aus_der",Sensitivität_bzw_Monte_Carlo_bei_Strom[[#This Row],[Source.Name]],1))="Auszahlung_a","Auszahlung",""),"")</f>
        <v/>
      </c>
      <c r="D387" s="1"/>
    </row>
    <row r="388" spans="1:4" x14ac:dyDescent="0.3">
      <c r="A388" s="1"/>
      <c r="B388" s="1" t="str">
        <f>IFERROR(IF(LEFT(Sensitivität_bzw_Monte_Carlo_bei_Strom[[#This Row],[Source.Name]],SEARCH("aus_der",Sensitivität_bzw_Monte_Carlo_bei_Strom[[#This Row],[Source.Name]],1))="Auszahlung_a","Auszahlung",""),"")</f>
        <v/>
      </c>
      <c r="D388" s="1"/>
    </row>
    <row r="389" spans="1:4" x14ac:dyDescent="0.3">
      <c r="A389" s="1"/>
      <c r="B389" s="1" t="str">
        <f>IFERROR(IF(LEFT(Sensitivität_bzw_Monte_Carlo_bei_Strom[[#This Row],[Source.Name]],SEARCH("aus_der",Sensitivität_bzw_Monte_Carlo_bei_Strom[[#This Row],[Source.Name]],1))="Auszahlung_a","Auszahlung",""),"")</f>
        <v/>
      </c>
      <c r="D389" s="1"/>
    </row>
    <row r="390" spans="1:4" x14ac:dyDescent="0.3">
      <c r="A390" s="1"/>
      <c r="B390" s="1" t="str">
        <f>IFERROR(IF(LEFT(Sensitivität_bzw_Monte_Carlo_bei_Strom[[#This Row],[Source.Name]],SEARCH("aus_der",Sensitivität_bzw_Monte_Carlo_bei_Strom[[#This Row],[Source.Name]],1))="Auszahlung_a","Auszahlung",""),"")</f>
        <v/>
      </c>
      <c r="D390" s="1"/>
    </row>
    <row r="391" spans="1:4" x14ac:dyDescent="0.3">
      <c r="A391" s="1"/>
      <c r="B391" s="1" t="str">
        <f>IFERROR(IF(LEFT(Sensitivität_bzw_Monte_Carlo_bei_Strom[[#This Row],[Source.Name]],SEARCH("aus_der",Sensitivität_bzw_Monte_Carlo_bei_Strom[[#This Row],[Source.Name]],1))="Auszahlung_a","Auszahlung",""),"")</f>
        <v/>
      </c>
      <c r="D391" s="1"/>
    </row>
    <row r="392" spans="1:4" x14ac:dyDescent="0.3">
      <c r="A392" s="1"/>
      <c r="B392" s="1" t="str">
        <f>IFERROR(IF(LEFT(Sensitivität_bzw_Monte_Carlo_bei_Strom[[#This Row],[Source.Name]],SEARCH("aus_der",Sensitivität_bzw_Monte_Carlo_bei_Strom[[#This Row],[Source.Name]],1))="Auszahlung_a","Auszahlung",""),"")</f>
        <v/>
      </c>
      <c r="D392" s="1"/>
    </row>
    <row r="393" spans="1:4" x14ac:dyDescent="0.3">
      <c r="A393" s="1"/>
      <c r="B393" s="1" t="str">
        <f>IFERROR(IF(LEFT(Sensitivität_bzw_Monte_Carlo_bei_Strom[[#This Row],[Source.Name]],SEARCH("aus_der",Sensitivität_bzw_Monte_Carlo_bei_Strom[[#This Row],[Source.Name]],1))="Auszahlung_a","Auszahlung",""),"")</f>
        <v/>
      </c>
      <c r="D393" s="1"/>
    </row>
    <row r="394" spans="1:4" x14ac:dyDescent="0.3">
      <c r="A394" s="1"/>
      <c r="B394" s="1" t="str">
        <f>IFERROR(IF(LEFT(Sensitivität_bzw_Monte_Carlo_bei_Strom[[#This Row],[Source.Name]],SEARCH("aus_der",Sensitivität_bzw_Monte_Carlo_bei_Strom[[#This Row],[Source.Name]],1))="Auszahlung_a","Auszahlung",""),"")</f>
        <v/>
      </c>
      <c r="D394" s="1"/>
    </row>
    <row r="395" spans="1:4" x14ac:dyDescent="0.3">
      <c r="A395" s="1"/>
      <c r="B395" s="1" t="str">
        <f>IFERROR(IF(LEFT(Sensitivität_bzw_Monte_Carlo_bei_Strom[[#This Row],[Source.Name]],SEARCH("aus_der",Sensitivität_bzw_Monte_Carlo_bei_Strom[[#This Row],[Source.Name]],1))="Auszahlung_a","Auszahlung",""),"")</f>
        <v/>
      </c>
      <c r="D395" s="1"/>
    </row>
    <row r="396" spans="1:4" x14ac:dyDescent="0.3">
      <c r="A396" s="1"/>
      <c r="B396" s="1" t="str">
        <f>IFERROR(IF(LEFT(Sensitivität_bzw_Monte_Carlo_bei_Strom[[#This Row],[Source.Name]],SEARCH("aus_der",Sensitivität_bzw_Monte_Carlo_bei_Strom[[#This Row],[Source.Name]],1))="Auszahlung_a","Auszahlung",""),"")</f>
        <v/>
      </c>
      <c r="D396" s="1"/>
    </row>
    <row r="397" spans="1:4" x14ac:dyDescent="0.3">
      <c r="A397" s="1"/>
      <c r="B397" s="1" t="str">
        <f>IFERROR(IF(LEFT(Sensitivität_bzw_Monte_Carlo_bei_Strom[[#This Row],[Source.Name]],SEARCH("aus_der",Sensitivität_bzw_Monte_Carlo_bei_Strom[[#This Row],[Source.Name]],1))="Auszahlung_a","Auszahlung",""),"")</f>
        <v/>
      </c>
      <c r="D397" s="1"/>
    </row>
    <row r="398" spans="1:4" x14ac:dyDescent="0.3">
      <c r="A398" s="1"/>
      <c r="B398" s="1" t="str">
        <f>IFERROR(IF(LEFT(Sensitivität_bzw_Monte_Carlo_bei_Strom[[#This Row],[Source.Name]],SEARCH("aus_der",Sensitivität_bzw_Monte_Carlo_bei_Strom[[#This Row],[Source.Name]],1))="Auszahlung_a","Auszahlung",""),"")</f>
        <v/>
      </c>
      <c r="D398" s="1"/>
    </row>
    <row r="399" spans="1:4" x14ac:dyDescent="0.3">
      <c r="A399" s="1"/>
      <c r="B399" s="1" t="str">
        <f>IFERROR(IF(LEFT(Sensitivität_bzw_Monte_Carlo_bei_Strom[[#This Row],[Source.Name]],SEARCH("aus_der",Sensitivität_bzw_Monte_Carlo_bei_Strom[[#This Row],[Source.Name]],1))="Auszahlung_a","Auszahlung",""),"")</f>
        <v/>
      </c>
      <c r="D399" s="1"/>
    </row>
    <row r="400" spans="1:4" x14ac:dyDescent="0.3">
      <c r="A400" s="1"/>
      <c r="B400" s="1" t="str">
        <f>IFERROR(IF(LEFT(Sensitivität_bzw_Monte_Carlo_bei_Strom[[#This Row],[Source.Name]],SEARCH("aus_der",Sensitivität_bzw_Monte_Carlo_bei_Strom[[#This Row],[Source.Name]],1))="Auszahlung_a","Auszahlung",""),"")</f>
        <v/>
      </c>
      <c r="D400" s="1"/>
    </row>
    <row r="401" spans="1:4" x14ac:dyDescent="0.3">
      <c r="A401" s="1"/>
      <c r="B401" s="1" t="str">
        <f>IFERROR(IF(LEFT(Sensitivität_bzw_Monte_Carlo_bei_Strom[[#This Row],[Source.Name]],SEARCH("aus_der",Sensitivität_bzw_Monte_Carlo_bei_Strom[[#This Row],[Source.Name]],1))="Auszahlung_a","Auszahlung",""),"")</f>
        <v/>
      </c>
      <c r="D401" s="1"/>
    </row>
    <row r="402" spans="1:4" x14ac:dyDescent="0.3">
      <c r="A402" s="1"/>
      <c r="B402" s="1" t="str">
        <f>IFERROR(IF(LEFT(Sensitivität_bzw_Monte_Carlo_bei_Strom[[#This Row],[Source.Name]],SEARCH("aus_der",Sensitivität_bzw_Monte_Carlo_bei_Strom[[#This Row],[Source.Name]],1))="Auszahlung_a","Auszahlung",""),"")</f>
        <v/>
      </c>
      <c r="D402" s="1"/>
    </row>
    <row r="403" spans="1:4" x14ac:dyDescent="0.3">
      <c r="A403" s="1"/>
      <c r="B403" s="1" t="str">
        <f>IFERROR(IF(LEFT(Sensitivität_bzw_Monte_Carlo_bei_Strom[[#This Row],[Source.Name]],SEARCH("aus_der",Sensitivität_bzw_Monte_Carlo_bei_Strom[[#This Row],[Source.Name]],1))="Auszahlung_a","Auszahlung",""),"")</f>
        <v/>
      </c>
      <c r="D403" s="1"/>
    </row>
    <row r="404" spans="1:4" x14ac:dyDescent="0.3">
      <c r="A404" s="1"/>
      <c r="B404" s="1" t="str">
        <f>IFERROR(IF(LEFT(Sensitivität_bzw_Monte_Carlo_bei_Strom[[#This Row],[Source.Name]],SEARCH("aus_der",Sensitivität_bzw_Monte_Carlo_bei_Strom[[#This Row],[Source.Name]],1))="Auszahlung_a","Auszahlung",""),"")</f>
        <v/>
      </c>
      <c r="D404" s="1"/>
    </row>
    <row r="405" spans="1:4" x14ac:dyDescent="0.3">
      <c r="A405" s="1"/>
      <c r="B405" s="1" t="str">
        <f>IFERROR(IF(LEFT(Sensitivität_bzw_Monte_Carlo_bei_Strom[[#This Row],[Source.Name]],SEARCH("aus_der",Sensitivität_bzw_Monte_Carlo_bei_Strom[[#This Row],[Source.Name]],1))="Auszahlung_a","Auszahlung",""),"")</f>
        <v/>
      </c>
      <c r="D405" s="1"/>
    </row>
    <row r="406" spans="1:4" x14ac:dyDescent="0.3">
      <c r="A406" s="1"/>
      <c r="B406" s="1" t="str">
        <f>IFERROR(IF(LEFT(Sensitivität_bzw_Monte_Carlo_bei_Strom[[#This Row],[Source.Name]],SEARCH("aus_der",Sensitivität_bzw_Monte_Carlo_bei_Strom[[#This Row],[Source.Name]],1))="Auszahlung_a","Auszahlung",""),"")</f>
        <v/>
      </c>
      <c r="D406" s="1"/>
    </row>
    <row r="407" spans="1:4" x14ac:dyDescent="0.3">
      <c r="A407" s="1"/>
      <c r="B407" s="1" t="str">
        <f>IFERROR(IF(LEFT(Sensitivität_bzw_Monte_Carlo_bei_Strom[[#This Row],[Source.Name]],SEARCH("aus_der",Sensitivität_bzw_Monte_Carlo_bei_Strom[[#This Row],[Source.Name]],1))="Auszahlung_a","Auszahlung",""),"")</f>
        <v/>
      </c>
      <c r="D407" s="1"/>
    </row>
    <row r="408" spans="1:4" x14ac:dyDescent="0.3">
      <c r="A408" s="1"/>
      <c r="B408" s="1" t="str">
        <f>IFERROR(IF(LEFT(Sensitivität_bzw_Monte_Carlo_bei_Strom[[#This Row],[Source.Name]],SEARCH("aus_der",Sensitivität_bzw_Monte_Carlo_bei_Strom[[#This Row],[Source.Name]],1))="Auszahlung_a","Auszahlung",""),"")</f>
        <v/>
      </c>
      <c r="D408" s="1"/>
    </row>
    <row r="409" spans="1:4" x14ac:dyDescent="0.3">
      <c r="A409" s="1"/>
      <c r="B409" s="1" t="str">
        <f>IFERROR(IF(LEFT(Sensitivität_bzw_Monte_Carlo_bei_Strom[[#This Row],[Source.Name]],SEARCH("aus_der",Sensitivität_bzw_Monte_Carlo_bei_Strom[[#This Row],[Source.Name]],1))="Auszahlung_a","Auszahlung",""),"")</f>
        <v/>
      </c>
      <c r="D409" s="1"/>
    </row>
    <row r="410" spans="1:4" x14ac:dyDescent="0.3">
      <c r="A410" s="1"/>
      <c r="B410" s="1" t="str">
        <f>IFERROR(IF(LEFT(Sensitivität_bzw_Monte_Carlo_bei_Strom[[#This Row],[Source.Name]],SEARCH("aus_der",Sensitivität_bzw_Monte_Carlo_bei_Strom[[#This Row],[Source.Name]],1))="Auszahlung_a","Auszahlung",""),"")</f>
        <v/>
      </c>
      <c r="D410" s="1"/>
    </row>
    <row r="411" spans="1:4" x14ac:dyDescent="0.3">
      <c r="A411" s="1"/>
      <c r="B411" s="1" t="str">
        <f>IFERROR(IF(LEFT(Sensitivität_bzw_Monte_Carlo_bei_Strom[[#This Row],[Source.Name]],SEARCH("aus_der",Sensitivität_bzw_Monte_Carlo_bei_Strom[[#This Row],[Source.Name]],1))="Auszahlung_a","Auszahlung",""),"")</f>
        <v/>
      </c>
      <c r="D411" s="1"/>
    </row>
    <row r="412" spans="1:4" x14ac:dyDescent="0.3">
      <c r="A412" s="1"/>
      <c r="B412" s="1" t="str">
        <f>IFERROR(IF(LEFT(Sensitivität_bzw_Monte_Carlo_bei_Strom[[#This Row],[Source.Name]],SEARCH("aus_der",Sensitivität_bzw_Monte_Carlo_bei_Strom[[#This Row],[Source.Name]],1))="Auszahlung_a","Auszahlung",""),"")</f>
        <v/>
      </c>
      <c r="D412" s="1"/>
    </row>
    <row r="413" spans="1:4" x14ac:dyDescent="0.3">
      <c r="A413" s="1"/>
      <c r="B413" s="1" t="str">
        <f>IFERROR(IF(LEFT(Sensitivität_bzw_Monte_Carlo_bei_Strom[[#This Row],[Source.Name]],SEARCH("aus_der",Sensitivität_bzw_Monte_Carlo_bei_Strom[[#This Row],[Source.Name]],1))="Auszahlung_a","Auszahlung",""),"")</f>
        <v/>
      </c>
      <c r="D413" s="1"/>
    </row>
    <row r="414" spans="1:4" x14ac:dyDescent="0.3">
      <c r="A414" s="1"/>
      <c r="B414" s="1" t="str">
        <f>IFERROR(IF(LEFT(Sensitivität_bzw_Monte_Carlo_bei_Strom[[#This Row],[Source.Name]],SEARCH("aus_der",Sensitivität_bzw_Monte_Carlo_bei_Strom[[#This Row],[Source.Name]],1))="Auszahlung_a","Auszahlung",""),"")</f>
        <v/>
      </c>
      <c r="D414" s="1"/>
    </row>
    <row r="415" spans="1:4" x14ac:dyDescent="0.3">
      <c r="A415" s="1"/>
      <c r="B415" s="1" t="str">
        <f>IFERROR(IF(LEFT(Sensitivität_bzw_Monte_Carlo_bei_Strom[[#This Row],[Source.Name]],SEARCH("aus_der",Sensitivität_bzw_Monte_Carlo_bei_Strom[[#This Row],[Source.Name]],1))="Auszahlung_a","Auszahlung",""),"")</f>
        <v/>
      </c>
      <c r="D415" s="1"/>
    </row>
    <row r="416" spans="1:4" x14ac:dyDescent="0.3">
      <c r="A416" s="1"/>
      <c r="B416" s="1" t="str">
        <f>IFERROR(IF(LEFT(Sensitivität_bzw_Monte_Carlo_bei_Strom[[#This Row],[Source.Name]],SEARCH("aus_der",Sensitivität_bzw_Monte_Carlo_bei_Strom[[#This Row],[Source.Name]],1))="Auszahlung_a","Auszahlung",""),"")</f>
        <v/>
      </c>
      <c r="D416" s="1"/>
    </row>
    <row r="417" spans="1:4" x14ac:dyDescent="0.3">
      <c r="A417" s="1"/>
      <c r="B417" s="1" t="str">
        <f>IFERROR(IF(LEFT(Sensitivität_bzw_Monte_Carlo_bei_Strom[[#This Row],[Source.Name]],SEARCH("aus_der",Sensitivität_bzw_Monte_Carlo_bei_Strom[[#This Row],[Source.Name]],1))="Auszahlung_a","Auszahlung",""),"")</f>
        <v/>
      </c>
      <c r="D417" s="1"/>
    </row>
    <row r="418" spans="1:4" x14ac:dyDescent="0.3">
      <c r="A418" s="1"/>
      <c r="B418" s="1" t="str">
        <f>IFERROR(IF(LEFT(Sensitivität_bzw_Monte_Carlo_bei_Strom[[#This Row],[Source.Name]],SEARCH("aus_der",Sensitivität_bzw_Monte_Carlo_bei_Strom[[#This Row],[Source.Name]],1))="Auszahlung_a","Auszahlung",""),"")</f>
        <v/>
      </c>
      <c r="D418" s="1"/>
    </row>
    <row r="419" spans="1:4" x14ac:dyDescent="0.3">
      <c r="A419" s="1"/>
      <c r="B419" s="1" t="str">
        <f>IFERROR(IF(LEFT(Sensitivität_bzw_Monte_Carlo_bei_Strom[[#This Row],[Source.Name]],SEARCH("aus_der",Sensitivität_bzw_Monte_Carlo_bei_Strom[[#This Row],[Source.Name]],1))="Auszahlung_a","Auszahlung",""),"")</f>
        <v/>
      </c>
      <c r="D419" s="1"/>
    </row>
    <row r="420" spans="1:4" x14ac:dyDescent="0.3">
      <c r="A420" s="1"/>
      <c r="B420" s="1" t="str">
        <f>IFERROR(IF(LEFT(Sensitivität_bzw_Monte_Carlo_bei_Strom[[#This Row],[Source.Name]],SEARCH("aus_der",Sensitivität_bzw_Monte_Carlo_bei_Strom[[#This Row],[Source.Name]],1))="Auszahlung_a","Auszahlung",""),"")</f>
        <v/>
      </c>
      <c r="D420" s="1"/>
    </row>
    <row r="421" spans="1:4" x14ac:dyDescent="0.3">
      <c r="A421" s="1"/>
      <c r="B421" s="1" t="str">
        <f>IFERROR(IF(LEFT(Sensitivität_bzw_Monte_Carlo_bei_Strom[[#This Row],[Source.Name]],SEARCH("aus_der",Sensitivität_bzw_Monte_Carlo_bei_Strom[[#This Row],[Source.Name]],1))="Auszahlung_a","Auszahlung",""),"")</f>
        <v/>
      </c>
      <c r="D421" s="1"/>
    </row>
    <row r="422" spans="1:4" x14ac:dyDescent="0.3">
      <c r="A422" s="1"/>
      <c r="B422" s="1" t="str">
        <f>IFERROR(IF(LEFT(Sensitivität_bzw_Monte_Carlo_bei_Strom[[#This Row],[Source.Name]],SEARCH("aus_der",Sensitivität_bzw_Monte_Carlo_bei_Strom[[#This Row],[Source.Name]],1))="Auszahlung_a","Auszahlung",""),"")</f>
        <v/>
      </c>
      <c r="D422" s="1"/>
    </row>
    <row r="423" spans="1:4" x14ac:dyDescent="0.3">
      <c r="A423" s="1"/>
      <c r="B423" s="1" t="str">
        <f>IFERROR(IF(LEFT(Sensitivität_bzw_Monte_Carlo_bei_Strom[[#This Row],[Source.Name]],SEARCH("aus_der",Sensitivität_bzw_Monte_Carlo_bei_Strom[[#This Row],[Source.Name]],1))="Auszahlung_a","Auszahlung",""),"")</f>
        <v/>
      </c>
      <c r="D423" s="1"/>
    </row>
    <row r="424" spans="1:4" x14ac:dyDescent="0.3">
      <c r="A424" s="1"/>
      <c r="B424" s="1" t="str">
        <f>IFERROR(IF(LEFT(Sensitivität_bzw_Monte_Carlo_bei_Strom[[#This Row],[Source.Name]],SEARCH("aus_der",Sensitivität_bzw_Monte_Carlo_bei_Strom[[#This Row],[Source.Name]],1))="Auszahlung_a","Auszahlung",""),"")</f>
        <v/>
      </c>
      <c r="D424" s="1"/>
    </row>
    <row r="425" spans="1:4" x14ac:dyDescent="0.3">
      <c r="A425" s="1"/>
      <c r="B425" s="1" t="str">
        <f>IFERROR(IF(LEFT(Sensitivität_bzw_Monte_Carlo_bei_Strom[[#This Row],[Source.Name]],SEARCH("aus_der",Sensitivität_bzw_Monte_Carlo_bei_Strom[[#This Row],[Source.Name]],1))="Auszahlung_a","Auszahlung",""),"")</f>
        <v/>
      </c>
      <c r="D425" s="1"/>
    </row>
    <row r="426" spans="1:4" x14ac:dyDescent="0.3">
      <c r="A426" s="1"/>
      <c r="B426" s="1" t="str">
        <f>IFERROR(IF(LEFT(Sensitivität_bzw_Monte_Carlo_bei_Strom[[#This Row],[Source.Name]],SEARCH("aus_der",Sensitivität_bzw_Monte_Carlo_bei_Strom[[#This Row],[Source.Name]],1))="Auszahlung_a","Auszahlung",""),"")</f>
        <v/>
      </c>
      <c r="D426" s="1"/>
    </row>
    <row r="427" spans="1:4" x14ac:dyDescent="0.3">
      <c r="A427" s="1"/>
      <c r="B427" s="1" t="str">
        <f>IFERROR(IF(LEFT(Sensitivität_bzw_Monte_Carlo_bei_Strom[[#This Row],[Source.Name]],SEARCH("aus_der",Sensitivität_bzw_Monte_Carlo_bei_Strom[[#This Row],[Source.Name]],1))="Auszahlung_a","Auszahlung",""),"")</f>
        <v/>
      </c>
      <c r="D427" s="1"/>
    </row>
    <row r="428" spans="1:4" x14ac:dyDescent="0.3">
      <c r="A428" s="1"/>
      <c r="B428" s="1" t="str">
        <f>IFERROR(IF(LEFT(Sensitivität_bzw_Monte_Carlo_bei_Strom[[#This Row],[Source.Name]],SEARCH("aus_der",Sensitivität_bzw_Monte_Carlo_bei_Strom[[#This Row],[Source.Name]],1))="Auszahlung_a","Auszahlung",""),"")</f>
        <v/>
      </c>
      <c r="D428" s="1"/>
    </row>
    <row r="429" spans="1:4" x14ac:dyDescent="0.3">
      <c r="A429" s="1"/>
      <c r="B429" s="1" t="str">
        <f>IFERROR(IF(LEFT(Sensitivität_bzw_Monte_Carlo_bei_Strom[[#This Row],[Source.Name]],SEARCH("aus_der",Sensitivität_bzw_Monte_Carlo_bei_Strom[[#This Row],[Source.Name]],1))="Auszahlung_a","Auszahlung",""),"")</f>
        <v/>
      </c>
      <c r="D429" s="1"/>
    </row>
    <row r="430" spans="1:4" x14ac:dyDescent="0.3">
      <c r="A430" s="1"/>
      <c r="B430" s="1" t="str">
        <f>IFERROR(IF(LEFT(Sensitivität_bzw_Monte_Carlo_bei_Strom[[#This Row],[Source.Name]],SEARCH("aus_der",Sensitivität_bzw_Monte_Carlo_bei_Strom[[#This Row],[Source.Name]],1))="Auszahlung_a","Auszahlung",""),"")</f>
        <v/>
      </c>
      <c r="D430" s="1"/>
    </row>
    <row r="431" spans="1:4" x14ac:dyDescent="0.3">
      <c r="A431" s="1"/>
      <c r="B431" s="1" t="str">
        <f>IFERROR(IF(LEFT(Sensitivität_bzw_Monte_Carlo_bei_Strom[[#This Row],[Source.Name]],SEARCH("aus_der",Sensitivität_bzw_Monte_Carlo_bei_Strom[[#This Row],[Source.Name]],1))="Auszahlung_a","Auszahlung",""),"")</f>
        <v/>
      </c>
      <c r="D431" s="1"/>
    </row>
    <row r="432" spans="1:4" x14ac:dyDescent="0.3">
      <c r="A432" s="1"/>
      <c r="B432" s="1" t="str">
        <f>IFERROR(IF(LEFT(Sensitivität_bzw_Monte_Carlo_bei_Strom[[#This Row],[Source.Name]],SEARCH("aus_der",Sensitivität_bzw_Monte_Carlo_bei_Strom[[#This Row],[Source.Name]],1))="Auszahlung_a","Auszahlung",""),"")</f>
        <v/>
      </c>
      <c r="D432" s="1"/>
    </row>
    <row r="433" spans="1:4" x14ac:dyDescent="0.3">
      <c r="A433" s="1"/>
      <c r="B433" s="1" t="str">
        <f>IFERROR(IF(LEFT(Sensitivität_bzw_Monte_Carlo_bei_Strom[[#This Row],[Source.Name]],SEARCH("aus_der",Sensitivität_bzw_Monte_Carlo_bei_Strom[[#This Row],[Source.Name]],1))="Auszahlung_a","Auszahlung",""),"")</f>
        <v/>
      </c>
      <c r="D433" s="1"/>
    </row>
    <row r="434" spans="1:4" x14ac:dyDescent="0.3">
      <c r="A434" s="1"/>
      <c r="B434" s="1" t="str">
        <f>IFERROR(IF(LEFT(Sensitivität_bzw_Monte_Carlo_bei_Strom[[#This Row],[Source.Name]],SEARCH("aus_der",Sensitivität_bzw_Monte_Carlo_bei_Strom[[#This Row],[Source.Name]],1))="Auszahlung_a","Auszahlung",""),"")</f>
        <v/>
      </c>
      <c r="D434" s="1"/>
    </row>
    <row r="435" spans="1:4" x14ac:dyDescent="0.3">
      <c r="A435" s="1"/>
      <c r="B435" s="1" t="str">
        <f>IFERROR(IF(LEFT(Sensitivität_bzw_Monte_Carlo_bei_Strom[[#This Row],[Source.Name]],SEARCH("aus_der",Sensitivität_bzw_Monte_Carlo_bei_Strom[[#This Row],[Source.Name]],1))="Auszahlung_a","Auszahlung",""),"")</f>
        <v/>
      </c>
      <c r="D435" s="1"/>
    </row>
    <row r="436" spans="1:4" x14ac:dyDescent="0.3">
      <c r="A436" s="1"/>
      <c r="B436" s="1" t="str">
        <f>IFERROR(IF(LEFT(Sensitivität_bzw_Monte_Carlo_bei_Strom[[#This Row],[Source.Name]],SEARCH("aus_der",Sensitivität_bzw_Monte_Carlo_bei_Strom[[#This Row],[Source.Name]],1))="Auszahlung_a","Auszahlung",""),"")</f>
        <v/>
      </c>
      <c r="D436" s="1"/>
    </row>
    <row r="437" spans="1:4" x14ac:dyDescent="0.3">
      <c r="A437" s="1"/>
      <c r="B437" s="1" t="str">
        <f>IFERROR(IF(LEFT(Sensitivität_bzw_Monte_Carlo_bei_Strom[[#This Row],[Source.Name]],SEARCH("aus_der",Sensitivität_bzw_Monte_Carlo_bei_Strom[[#This Row],[Source.Name]],1))="Auszahlung_a","Auszahlung",""),"")</f>
        <v/>
      </c>
      <c r="D437" s="1"/>
    </row>
    <row r="438" spans="1:4" x14ac:dyDescent="0.3">
      <c r="A438" s="1"/>
      <c r="B438" s="1" t="str">
        <f>IFERROR(IF(LEFT(Sensitivität_bzw_Monte_Carlo_bei_Strom[[#This Row],[Source.Name]],SEARCH("aus_der",Sensitivität_bzw_Monte_Carlo_bei_Strom[[#This Row],[Source.Name]],1))="Auszahlung_a","Auszahlung",""),"")</f>
        <v/>
      </c>
      <c r="D438" s="1"/>
    </row>
    <row r="439" spans="1:4" x14ac:dyDescent="0.3">
      <c r="A439" s="1"/>
      <c r="B439" s="1" t="str">
        <f>IFERROR(IF(LEFT(Sensitivität_bzw_Monte_Carlo_bei_Strom[[#This Row],[Source.Name]],SEARCH("aus_der",Sensitivität_bzw_Monte_Carlo_bei_Strom[[#This Row],[Source.Name]],1))="Auszahlung_a","Auszahlung",""),"")</f>
        <v/>
      </c>
      <c r="D439" s="1"/>
    </row>
    <row r="440" spans="1:4" x14ac:dyDescent="0.3">
      <c r="A440" s="1"/>
      <c r="B440" s="1" t="str">
        <f>IFERROR(IF(LEFT(Sensitivität_bzw_Monte_Carlo_bei_Strom[[#This Row],[Source.Name]],SEARCH("aus_der",Sensitivität_bzw_Monte_Carlo_bei_Strom[[#This Row],[Source.Name]],1))="Auszahlung_a","Auszahlung",""),"")</f>
        <v/>
      </c>
      <c r="D440" s="1"/>
    </row>
    <row r="441" spans="1:4" x14ac:dyDescent="0.3">
      <c r="A441" s="1"/>
      <c r="B441" s="1" t="str">
        <f>IFERROR(IF(LEFT(Sensitivität_bzw_Monte_Carlo_bei_Strom[[#This Row],[Source.Name]],SEARCH("aus_der",Sensitivität_bzw_Monte_Carlo_bei_Strom[[#This Row],[Source.Name]],1))="Auszahlung_a","Auszahlung",""),"")</f>
        <v/>
      </c>
      <c r="D441" s="1"/>
    </row>
    <row r="442" spans="1:4" x14ac:dyDescent="0.3">
      <c r="A442" s="1"/>
      <c r="B442" s="1" t="str">
        <f>IFERROR(IF(LEFT(Sensitivität_bzw_Monte_Carlo_bei_Strom[[#This Row],[Source.Name]],SEARCH("aus_der",Sensitivität_bzw_Monte_Carlo_bei_Strom[[#This Row],[Source.Name]],1))="Auszahlung_a","Auszahlung",""),"")</f>
        <v/>
      </c>
      <c r="D442" s="1"/>
    </row>
    <row r="443" spans="1:4" x14ac:dyDescent="0.3">
      <c r="A443" s="1"/>
      <c r="B443" s="1" t="str">
        <f>IFERROR(IF(LEFT(Sensitivität_bzw_Monte_Carlo_bei_Strom[[#This Row],[Source.Name]],SEARCH("aus_der",Sensitivität_bzw_Monte_Carlo_bei_Strom[[#This Row],[Source.Name]],1))="Auszahlung_a","Auszahlung",""),"")</f>
        <v/>
      </c>
      <c r="D443" s="1"/>
    </row>
    <row r="444" spans="1:4" x14ac:dyDescent="0.3">
      <c r="A444" s="1"/>
      <c r="B444" s="1" t="str">
        <f>IFERROR(IF(LEFT(Sensitivität_bzw_Monte_Carlo_bei_Strom[[#This Row],[Source.Name]],SEARCH("aus_der",Sensitivität_bzw_Monte_Carlo_bei_Strom[[#This Row],[Source.Name]],1))="Auszahlung_a","Auszahlung",""),"")</f>
        <v/>
      </c>
      <c r="D444" s="1"/>
    </row>
    <row r="445" spans="1:4" x14ac:dyDescent="0.3">
      <c r="A445" s="1"/>
      <c r="B445" s="1" t="str">
        <f>IFERROR(IF(LEFT(Sensitivität_bzw_Monte_Carlo_bei_Strom[[#This Row],[Source.Name]],SEARCH("aus_der",Sensitivität_bzw_Monte_Carlo_bei_Strom[[#This Row],[Source.Name]],1))="Auszahlung_a","Auszahlung",""),"")</f>
        <v/>
      </c>
      <c r="D445" s="1"/>
    </row>
    <row r="446" spans="1:4" x14ac:dyDescent="0.3">
      <c r="A446" s="1"/>
      <c r="B446" s="1" t="str">
        <f>IFERROR(IF(LEFT(Sensitivität_bzw_Monte_Carlo_bei_Strom[[#This Row],[Source.Name]],SEARCH("aus_der",Sensitivität_bzw_Monte_Carlo_bei_Strom[[#This Row],[Source.Name]],1))="Auszahlung_a","Auszahlung",""),"")</f>
        <v/>
      </c>
      <c r="D446" s="1"/>
    </row>
    <row r="447" spans="1:4" x14ac:dyDescent="0.3">
      <c r="A447" s="1"/>
      <c r="B447" s="1" t="str">
        <f>IFERROR(IF(LEFT(Sensitivität_bzw_Monte_Carlo_bei_Strom[[#This Row],[Source.Name]],SEARCH("aus_der",Sensitivität_bzw_Monte_Carlo_bei_Strom[[#This Row],[Source.Name]],1))="Auszahlung_a","Auszahlung",""),"")</f>
        <v/>
      </c>
      <c r="D447" s="1"/>
    </row>
    <row r="448" spans="1:4" x14ac:dyDescent="0.3">
      <c r="A448" s="1"/>
      <c r="B448" s="1" t="str">
        <f>IFERROR(IF(LEFT(Sensitivität_bzw_Monte_Carlo_bei_Strom[[#This Row],[Source.Name]],SEARCH("aus_der",Sensitivität_bzw_Monte_Carlo_bei_Strom[[#This Row],[Source.Name]],1))="Auszahlung_a","Auszahlung",""),"")</f>
        <v/>
      </c>
      <c r="D448" s="1"/>
    </row>
    <row r="449" spans="1:4" x14ac:dyDescent="0.3">
      <c r="A449" s="1"/>
      <c r="B449" s="1" t="str">
        <f>IFERROR(IF(LEFT(Sensitivität_bzw_Monte_Carlo_bei_Strom[[#This Row],[Source.Name]],SEARCH("aus_der",Sensitivität_bzw_Monte_Carlo_bei_Strom[[#This Row],[Source.Name]],1))="Auszahlung_a","Auszahlung",""),"")</f>
        <v/>
      </c>
      <c r="D449" s="1"/>
    </row>
    <row r="450" spans="1:4" x14ac:dyDescent="0.3">
      <c r="A450" s="1"/>
      <c r="B450" s="1" t="str">
        <f>IFERROR(IF(LEFT(Sensitivität_bzw_Monte_Carlo_bei_Strom[[#This Row],[Source.Name]],SEARCH("aus_der",Sensitivität_bzw_Monte_Carlo_bei_Strom[[#This Row],[Source.Name]],1))="Auszahlung_a","Auszahlung",""),"")</f>
        <v/>
      </c>
      <c r="D450" s="1"/>
    </row>
    <row r="451" spans="1:4" x14ac:dyDescent="0.3">
      <c r="A451" s="1"/>
      <c r="B451" s="1" t="str">
        <f>IFERROR(IF(LEFT(Sensitivität_bzw_Monte_Carlo_bei_Strom[[#This Row],[Source.Name]],SEARCH("aus_der",Sensitivität_bzw_Monte_Carlo_bei_Strom[[#This Row],[Source.Name]],1))="Auszahlung_a","Auszahlung",""),"")</f>
        <v/>
      </c>
      <c r="D451" s="1"/>
    </row>
    <row r="452" spans="1:4" x14ac:dyDescent="0.3">
      <c r="A452" s="1"/>
      <c r="B452" s="1" t="str">
        <f>IFERROR(IF(LEFT(Sensitivität_bzw_Monte_Carlo_bei_Strom[[#This Row],[Source.Name]],SEARCH("aus_der",Sensitivität_bzw_Monte_Carlo_bei_Strom[[#This Row],[Source.Name]],1))="Auszahlung_a","Auszahlung",""),"")</f>
        <v/>
      </c>
      <c r="D452" s="1"/>
    </row>
    <row r="453" spans="1:4" x14ac:dyDescent="0.3">
      <c r="A453" s="1"/>
      <c r="B453" s="1" t="str">
        <f>IFERROR(IF(LEFT(Sensitivität_bzw_Monte_Carlo_bei_Strom[[#This Row],[Source.Name]],SEARCH("aus_der",Sensitivität_bzw_Monte_Carlo_bei_Strom[[#This Row],[Source.Name]],1))="Auszahlung_a","Auszahlung",""),"")</f>
        <v/>
      </c>
      <c r="D453" s="1"/>
    </row>
    <row r="454" spans="1:4" x14ac:dyDescent="0.3">
      <c r="A454" s="1"/>
      <c r="B454" s="1" t="str">
        <f>IFERROR(IF(LEFT(Sensitivität_bzw_Monte_Carlo_bei_Strom[[#This Row],[Source.Name]],SEARCH("aus_der",Sensitivität_bzw_Monte_Carlo_bei_Strom[[#This Row],[Source.Name]],1))="Auszahlung_a","Auszahlung",""),"")</f>
        <v/>
      </c>
      <c r="D454" s="1"/>
    </row>
    <row r="455" spans="1:4" x14ac:dyDescent="0.3">
      <c r="A455" s="1"/>
      <c r="B455" s="1" t="str">
        <f>IFERROR(IF(LEFT(Sensitivität_bzw_Monte_Carlo_bei_Strom[[#This Row],[Source.Name]],SEARCH("aus_der",Sensitivität_bzw_Monte_Carlo_bei_Strom[[#This Row],[Source.Name]],1))="Auszahlung_a","Auszahlung",""),"")</f>
        <v/>
      </c>
      <c r="D455" s="1"/>
    </row>
    <row r="456" spans="1:4" x14ac:dyDescent="0.3">
      <c r="A456" s="1"/>
      <c r="B456" s="1" t="str">
        <f>IFERROR(IF(LEFT(Sensitivität_bzw_Monte_Carlo_bei_Strom[[#This Row],[Source.Name]],SEARCH("aus_der",Sensitivität_bzw_Monte_Carlo_bei_Strom[[#This Row],[Source.Name]],1))="Auszahlung_a","Auszahlung",""),"")</f>
        <v/>
      </c>
      <c r="D456" s="1"/>
    </row>
    <row r="457" spans="1:4" x14ac:dyDescent="0.3">
      <c r="A457" s="1"/>
      <c r="B457" s="1" t="str">
        <f>IFERROR(IF(LEFT(Sensitivität_bzw_Monte_Carlo_bei_Strom[[#This Row],[Source.Name]],SEARCH("aus_der",Sensitivität_bzw_Monte_Carlo_bei_Strom[[#This Row],[Source.Name]],1))="Auszahlung_a","Auszahlung",""),"")</f>
        <v/>
      </c>
      <c r="D457" s="1"/>
    </row>
    <row r="458" spans="1:4" x14ac:dyDescent="0.3">
      <c r="A458" s="1"/>
      <c r="B458" s="1" t="str">
        <f>IFERROR(IF(LEFT(Sensitivität_bzw_Monte_Carlo_bei_Strom[[#This Row],[Source.Name]],SEARCH("aus_der",Sensitivität_bzw_Monte_Carlo_bei_Strom[[#This Row],[Source.Name]],1))="Auszahlung_a","Auszahlung",""),"")</f>
        <v/>
      </c>
      <c r="D458" s="1"/>
    </row>
    <row r="459" spans="1:4" x14ac:dyDescent="0.3">
      <c r="A459" s="1"/>
      <c r="B459" s="1" t="str">
        <f>IFERROR(IF(LEFT(Sensitivität_bzw_Monte_Carlo_bei_Strom[[#This Row],[Source.Name]],SEARCH("aus_der",Sensitivität_bzw_Monte_Carlo_bei_Strom[[#This Row],[Source.Name]],1))="Auszahlung_a","Auszahlung",""),"")</f>
        <v/>
      </c>
      <c r="D459" s="1"/>
    </row>
    <row r="460" spans="1:4" x14ac:dyDescent="0.3">
      <c r="A460" s="1"/>
      <c r="B460" s="1" t="str">
        <f>IFERROR(IF(LEFT(Sensitivität_bzw_Monte_Carlo_bei_Strom[[#This Row],[Source.Name]],SEARCH("aus_der",Sensitivität_bzw_Monte_Carlo_bei_Strom[[#This Row],[Source.Name]],1))="Auszahlung_a","Auszahlung",""),"")</f>
        <v/>
      </c>
      <c r="D460" s="1"/>
    </row>
    <row r="461" spans="1:4" x14ac:dyDescent="0.3">
      <c r="A461" s="1"/>
      <c r="B461" s="1" t="str">
        <f>IFERROR(IF(LEFT(Sensitivität_bzw_Monte_Carlo_bei_Strom[[#This Row],[Source.Name]],SEARCH("aus_der",Sensitivität_bzw_Monte_Carlo_bei_Strom[[#This Row],[Source.Name]],1))="Auszahlung_a","Auszahlung",""),"")</f>
        <v/>
      </c>
      <c r="D461" s="1"/>
    </row>
    <row r="462" spans="1:4" x14ac:dyDescent="0.3">
      <c r="A462" s="1"/>
      <c r="B462" s="1" t="str">
        <f>IFERROR(IF(LEFT(Sensitivität_bzw_Monte_Carlo_bei_Strom[[#This Row],[Source.Name]],SEARCH("aus_der",Sensitivität_bzw_Monte_Carlo_bei_Strom[[#This Row],[Source.Name]],1))="Auszahlung_a","Auszahlung",""),"")</f>
        <v/>
      </c>
      <c r="D462" s="1"/>
    </row>
    <row r="463" spans="1:4" x14ac:dyDescent="0.3">
      <c r="A463" s="1"/>
      <c r="B463" s="1" t="str">
        <f>IFERROR(IF(LEFT(Sensitivität_bzw_Monte_Carlo_bei_Strom[[#This Row],[Source.Name]],SEARCH("aus_der",Sensitivität_bzw_Monte_Carlo_bei_Strom[[#This Row],[Source.Name]],1))="Auszahlung_a","Auszahlung",""),"")</f>
        <v/>
      </c>
      <c r="D463" s="1"/>
    </row>
    <row r="464" spans="1:4" x14ac:dyDescent="0.3">
      <c r="A464" s="1"/>
      <c r="B464" s="1" t="str">
        <f>IFERROR(IF(LEFT(Sensitivität_bzw_Monte_Carlo_bei_Strom[[#This Row],[Source.Name]],SEARCH("aus_der",Sensitivität_bzw_Monte_Carlo_bei_Strom[[#This Row],[Source.Name]],1))="Auszahlung_a","Auszahlung",""),"")</f>
        <v/>
      </c>
      <c r="D464" s="1"/>
    </row>
    <row r="465" spans="1:4" x14ac:dyDescent="0.3">
      <c r="A465" s="1"/>
      <c r="B465" s="1" t="str">
        <f>IFERROR(IF(LEFT(Sensitivität_bzw_Monte_Carlo_bei_Strom[[#This Row],[Source.Name]],SEARCH("aus_der",Sensitivität_bzw_Monte_Carlo_bei_Strom[[#This Row],[Source.Name]],1))="Auszahlung_a","Auszahlung",""),"")</f>
        <v/>
      </c>
      <c r="D465" s="1"/>
    </row>
    <row r="466" spans="1:4" x14ac:dyDescent="0.3">
      <c r="A466" s="1"/>
      <c r="B466" s="1" t="str">
        <f>IFERROR(IF(LEFT(Sensitivität_bzw_Monte_Carlo_bei_Strom[[#This Row],[Source.Name]],SEARCH("aus_der",Sensitivität_bzw_Monte_Carlo_bei_Strom[[#This Row],[Source.Name]],1))="Auszahlung_a","Auszahlung",""),"")</f>
        <v/>
      </c>
      <c r="D466" s="1"/>
    </row>
    <row r="467" spans="1:4" x14ac:dyDescent="0.3">
      <c r="A467" s="1"/>
      <c r="B467" s="1" t="str">
        <f>IFERROR(IF(LEFT(Sensitivität_bzw_Monte_Carlo_bei_Strom[[#This Row],[Source.Name]],SEARCH("aus_der",Sensitivität_bzw_Monte_Carlo_bei_Strom[[#This Row],[Source.Name]],1))="Auszahlung_a","Auszahlung",""),"")</f>
        <v/>
      </c>
      <c r="D467" s="1"/>
    </row>
    <row r="468" spans="1:4" x14ac:dyDescent="0.3">
      <c r="A468" s="1"/>
      <c r="B468" s="1" t="str">
        <f>IFERROR(IF(LEFT(Sensitivität_bzw_Monte_Carlo_bei_Strom[[#This Row],[Source.Name]],SEARCH("aus_der",Sensitivität_bzw_Monte_Carlo_bei_Strom[[#This Row],[Source.Name]],1))="Auszahlung_a","Auszahlung",""),"")</f>
        <v/>
      </c>
      <c r="D468" s="1"/>
    </row>
    <row r="469" spans="1:4" x14ac:dyDescent="0.3">
      <c r="A469" s="1"/>
      <c r="B469" s="1" t="str">
        <f>IFERROR(IF(LEFT(Sensitivität_bzw_Monte_Carlo_bei_Strom[[#This Row],[Source.Name]],SEARCH("aus_der",Sensitivität_bzw_Monte_Carlo_bei_Strom[[#This Row],[Source.Name]],1))="Auszahlung_a","Auszahlung",""),"")</f>
        <v/>
      </c>
      <c r="D469" s="1"/>
    </row>
    <row r="470" spans="1:4" x14ac:dyDescent="0.3">
      <c r="A470" s="1"/>
      <c r="B470" s="1" t="str">
        <f>IFERROR(IF(LEFT(Sensitivität_bzw_Monte_Carlo_bei_Strom[[#This Row],[Source.Name]],SEARCH("aus_der",Sensitivität_bzw_Monte_Carlo_bei_Strom[[#This Row],[Source.Name]],1))="Auszahlung_a","Auszahlung",""),"")</f>
        <v/>
      </c>
      <c r="D470" s="1"/>
    </row>
    <row r="471" spans="1:4" x14ac:dyDescent="0.3">
      <c r="A471" s="1"/>
      <c r="B471" s="1" t="str">
        <f>IFERROR(IF(LEFT(Sensitivität_bzw_Monte_Carlo_bei_Strom[[#This Row],[Source.Name]],SEARCH("aus_der",Sensitivität_bzw_Monte_Carlo_bei_Strom[[#This Row],[Source.Name]],1))="Auszahlung_a","Auszahlung",""),"")</f>
        <v/>
      </c>
      <c r="D471" s="1"/>
    </row>
    <row r="472" spans="1:4" x14ac:dyDescent="0.3">
      <c r="A472" s="1"/>
      <c r="B472" s="1" t="str">
        <f>IFERROR(IF(LEFT(Sensitivität_bzw_Monte_Carlo_bei_Strom[[#This Row],[Source.Name]],SEARCH("aus_der",Sensitivität_bzw_Monte_Carlo_bei_Strom[[#This Row],[Source.Name]],1))="Auszahlung_a","Auszahlung",""),"")</f>
        <v/>
      </c>
      <c r="D472" s="1"/>
    </row>
    <row r="473" spans="1:4" x14ac:dyDescent="0.3">
      <c r="A473" s="1"/>
      <c r="B473" s="1" t="str">
        <f>IFERROR(IF(LEFT(Sensitivität_bzw_Monte_Carlo_bei_Strom[[#This Row],[Source.Name]],SEARCH("aus_der",Sensitivität_bzw_Monte_Carlo_bei_Strom[[#This Row],[Source.Name]],1))="Auszahlung_a","Auszahlung",""),"")</f>
        <v/>
      </c>
      <c r="D473" s="1"/>
    </row>
    <row r="474" spans="1:4" x14ac:dyDescent="0.3">
      <c r="A474" s="1"/>
      <c r="B474" s="1" t="str">
        <f>IFERROR(IF(LEFT(Sensitivität_bzw_Monte_Carlo_bei_Strom[[#This Row],[Source.Name]],SEARCH("aus_der",Sensitivität_bzw_Monte_Carlo_bei_Strom[[#This Row],[Source.Name]],1))="Auszahlung_a","Auszahlung",""),"")</f>
        <v/>
      </c>
      <c r="D474" s="1"/>
    </row>
    <row r="475" spans="1:4" x14ac:dyDescent="0.3">
      <c r="A475" s="1"/>
      <c r="B475" s="1" t="str">
        <f>IFERROR(IF(LEFT(Sensitivität_bzw_Monte_Carlo_bei_Strom[[#This Row],[Source.Name]],SEARCH("aus_der",Sensitivität_bzw_Monte_Carlo_bei_Strom[[#This Row],[Source.Name]],1))="Auszahlung_a","Auszahlung",""),"")</f>
        <v/>
      </c>
      <c r="D475" s="1"/>
    </row>
    <row r="476" spans="1:4" x14ac:dyDescent="0.3">
      <c r="A476" s="1"/>
      <c r="B476" s="1" t="str">
        <f>IFERROR(IF(LEFT(Sensitivität_bzw_Monte_Carlo_bei_Strom[[#This Row],[Source.Name]],SEARCH("aus_der",Sensitivität_bzw_Monte_Carlo_bei_Strom[[#This Row],[Source.Name]],1))="Auszahlung_a","Auszahlung",""),"")</f>
        <v/>
      </c>
      <c r="D476" s="1"/>
    </row>
    <row r="477" spans="1:4" x14ac:dyDescent="0.3">
      <c r="A477" s="1"/>
      <c r="B477" s="1" t="str">
        <f>IFERROR(IF(LEFT(Sensitivität_bzw_Monte_Carlo_bei_Strom[[#This Row],[Source.Name]],SEARCH("aus_der",Sensitivität_bzw_Monte_Carlo_bei_Strom[[#This Row],[Source.Name]],1))="Auszahlung_a","Auszahlung",""),"")</f>
        <v/>
      </c>
      <c r="D477" s="1"/>
    </row>
    <row r="478" spans="1:4" x14ac:dyDescent="0.3">
      <c r="A478" s="1"/>
      <c r="B478" s="1" t="str">
        <f>IFERROR(IF(LEFT(Sensitivität_bzw_Monte_Carlo_bei_Strom[[#This Row],[Source.Name]],SEARCH("aus_der",Sensitivität_bzw_Monte_Carlo_bei_Strom[[#This Row],[Source.Name]],1))="Auszahlung_a","Auszahlung",""),"")</f>
        <v/>
      </c>
      <c r="D478" s="1"/>
    </row>
    <row r="479" spans="1:4" x14ac:dyDescent="0.3">
      <c r="A479" s="1"/>
      <c r="B479" s="1" t="str">
        <f>IFERROR(IF(LEFT(Sensitivität_bzw_Monte_Carlo_bei_Strom[[#This Row],[Source.Name]],SEARCH("aus_der",Sensitivität_bzw_Monte_Carlo_bei_Strom[[#This Row],[Source.Name]],1))="Auszahlung_a","Auszahlung",""),"")</f>
        <v/>
      </c>
      <c r="D479" s="1"/>
    </row>
    <row r="480" spans="1:4" x14ac:dyDescent="0.3">
      <c r="A480" s="1"/>
      <c r="B480" s="1" t="str">
        <f>IFERROR(IF(LEFT(Sensitivität_bzw_Monte_Carlo_bei_Strom[[#This Row],[Source.Name]],SEARCH("aus_der",Sensitivität_bzw_Monte_Carlo_bei_Strom[[#This Row],[Source.Name]],1))="Auszahlung_a","Auszahlung",""),"")</f>
        <v/>
      </c>
      <c r="D480" s="1"/>
    </row>
    <row r="481" spans="1:4" x14ac:dyDescent="0.3">
      <c r="A481" s="1"/>
      <c r="B481" s="1" t="str">
        <f>IFERROR(IF(LEFT(Sensitivität_bzw_Monte_Carlo_bei_Strom[[#This Row],[Source.Name]],SEARCH("aus_der",Sensitivität_bzw_Monte_Carlo_bei_Strom[[#This Row],[Source.Name]],1))="Auszahlung_a","Auszahlung",""),"")</f>
        <v/>
      </c>
      <c r="D481" s="1"/>
    </row>
    <row r="482" spans="1:4" x14ac:dyDescent="0.3">
      <c r="A482" s="1"/>
      <c r="B482" s="1" t="str">
        <f>IFERROR(IF(LEFT(Sensitivität_bzw_Monte_Carlo_bei_Strom[[#This Row],[Source.Name]],SEARCH("aus_der",Sensitivität_bzw_Monte_Carlo_bei_Strom[[#This Row],[Source.Name]],1))="Auszahlung_a","Auszahlung",""),"")</f>
        <v/>
      </c>
      <c r="D482" s="1"/>
    </row>
    <row r="483" spans="1:4" x14ac:dyDescent="0.3">
      <c r="A483" s="1"/>
      <c r="B483" s="1" t="str">
        <f>IFERROR(IF(LEFT(Sensitivität_bzw_Monte_Carlo_bei_Strom[[#This Row],[Source.Name]],SEARCH("aus_der",Sensitivität_bzw_Monte_Carlo_bei_Strom[[#This Row],[Source.Name]],1))="Auszahlung_a","Auszahlung",""),"")</f>
        <v/>
      </c>
      <c r="D483" s="1"/>
    </row>
    <row r="484" spans="1:4" x14ac:dyDescent="0.3">
      <c r="A484" s="1"/>
      <c r="B484" s="1" t="str">
        <f>IFERROR(IF(LEFT(Sensitivität_bzw_Monte_Carlo_bei_Strom[[#This Row],[Source.Name]],SEARCH("aus_der",Sensitivität_bzw_Monte_Carlo_bei_Strom[[#This Row],[Source.Name]],1))="Auszahlung_a","Auszahlung",""),"")</f>
        <v/>
      </c>
      <c r="D484" s="1"/>
    </row>
    <row r="485" spans="1:4" x14ac:dyDescent="0.3">
      <c r="A485" s="1"/>
      <c r="B485" s="1" t="str">
        <f>IFERROR(IF(LEFT(Sensitivität_bzw_Monte_Carlo_bei_Strom[[#This Row],[Source.Name]],SEARCH("aus_der",Sensitivität_bzw_Monte_Carlo_bei_Strom[[#This Row],[Source.Name]],1))="Auszahlung_a","Auszahlung",""),"")</f>
        <v/>
      </c>
      <c r="D485" s="1"/>
    </row>
    <row r="486" spans="1:4" x14ac:dyDescent="0.3">
      <c r="A486" s="1"/>
      <c r="B486" s="1" t="str">
        <f>IFERROR(IF(LEFT(Sensitivität_bzw_Monte_Carlo_bei_Strom[[#This Row],[Source.Name]],SEARCH("aus_der",Sensitivität_bzw_Monte_Carlo_bei_Strom[[#This Row],[Source.Name]],1))="Auszahlung_a","Auszahlung",""),"")</f>
        <v/>
      </c>
      <c r="D486" s="1"/>
    </row>
    <row r="487" spans="1:4" x14ac:dyDescent="0.3">
      <c r="A487" s="1"/>
      <c r="B487" s="1" t="str">
        <f>IFERROR(IF(LEFT(Sensitivität_bzw_Monte_Carlo_bei_Strom[[#This Row],[Source.Name]],SEARCH("aus_der",Sensitivität_bzw_Monte_Carlo_bei_Strom[[#This Row],[Source.Name]],1))="Auszahlung_a","Auszahlung",""),"")</f>
        <v/>
      </c>
      <c r="D487" s="1"/>
    </row>
    <row r="488" spans="1:4" x14ac:dyDescent="0.3">
      <c r="A488" s="1"/>
      <c r="B488" s="1" t="str">
        <f>IFERROR(IF(LEFT(Sensitivität_bzw_Monte_Carlo_bei_Strom[[#This Row],[Source.Name]],SEARCH("aus_der",Sensitivität_bzw_Monte_Carlo_bei_Strom[[#This Row],[Source.Name]],1))="Auszahlung_a","Auszahlung",""),"")</f>
        <v/>
      </c>
      <c r="D488" s="1"/>
    </row>
    <row r="489" spans="1:4" x14ac:dyDescent="0.3">
      <c r="A489" s="1"/>
      <c r="B489" s="1" t="str">
        <f>IFERROR(IF(LEFT(Sensitivität_bzw_Monte_Carlo_bei_Strom[[#This Row],[Source.Name]],SEARCH("aus_der",Sensitivität_bzw_Monte_Carlo_bei_Strom[[#This Row],[Source.Name]],1))="Auszahlung_a","Auszahlung",""),"")</f>
        <v/>
      </c>
      <c r="D489" s="1"/>
    </row>
    <row r="490" spans="1:4" x14ac:dyDescent="0.3">
      <c r="A490" s="1"/>
      <c r="B490" s="1" t="str">
        <f>IFERROR(IF(LEFT(Sensitivität_bzw_Monte_Carlo_bei_Strom[[#This Row],[Source.Name]],SEARCH("aus_der",Sensitivität_bzw_Monte_Carlo_bei_Strom[[#This Row],[Source.Name]],1))="Auszahlung_a","Auszahlung",""),"")</f>
        <v/>
      </c>
      <c r="D490" s="1"/>
    </row>
    <row r="491" spans="1:4" x14ac:dyDescent="0.3">
      <c r="A491" s="1"/>
      <c r="B491" s="1" t="str">
        <f>IFERROR(IF(LEFT(Sensitivität_bzw_Monte_Carlo_bei_Strom[[#This Row],[Source.Name]],SEARCH("aus_der",Sensitivität_bzw_Monte_Carlo_bei_Strom[[#This Row],[Source.Name]],1))="Auszahlung_a","Auszahlung",""),"")</f>
        <v/>
      </c>
      <c r="D491" s="1"/>
    </row>
    <row r="492" spans="1:4" x14ac:dyDescent="0.3">
      <c r="A492" s="1"/>
      <c r="B492" s="1" t="str">
        <f>IFERROR(IF(LEFT(Sensitivität_bzw_Monte_Carlo_bei_Strom[[#This Row],[Source.Name]],SEARCH("aus_der",Sensitivität_bzw_Monte_Carlo_bei_Strom[[#This Row],[Source.Name]],1))="Auszahlung_a","Auszahlung",""),"")</f>
        <v/>
      </c>
      <c r="D492" s="1"/>
    </row>
    <row r="493" spans="1:4" x14ac:dyDescent="0.3">
      <c r="A493" s="1"/>
      <c r="B493" s="1" t="str">
        <f>IFERROR(IF(LEFT(Sensitivität_bzw_Monte_Carlo_bei_Strom[[#This Row],[Source.Name]],SEARCH("aus_der",Sensitivität_bzw_Monte_Carlo_bei_Strom[[#This Row],[Source.Name]],1))="Auszahlung_a","Auszahlung",""),"")</f>
        <v/>
      </c>
      <c r="D493" s="1"/>
    </row>
    <row r="494" spans="1:4" x14ac:dyDescent="0.3">
      <c r="A494" s="1"/>
      <c r="B494" s="1" t="str">
        <f>IFERROR(IF(LEFT(Sensitivität_bzw_Monte_Carlo_bei_Strom[[#This Row],[Source.Name]],SEARCH("aus_der",Sensitivität_bzw_Monte_Carlo_bei_Strom[[#This Row],[Source.Name]],1))="Auszahlung_a","Auszahlung",""),"")</f>
        <v/>
      </c>
      <c r="D494" s="1"/>
    </row>
    <row r="495" spans="1:4" x14ac:dyDescent="0.3">
      <c r="A495" s="1"/>
      <c r="B495" s="1" t="str">
        <f>IFERROR(IF(LEFT(Sensitivität_bzw_Monte_Carlo_bei_Strom[[#This Row],[Source.Name]],SEARCH("aus_der",Sensitivität_bzw_Monte_Carlo_bei_Strom[[#This Row],[Source.Name]],1))="Auszahlung_a","Auszahlung",""),"")</f>
        <v/>
      </c>
      <c r="D495" s="1"/>
    </row>
    <row r="496" spans="1:4" x14ac:dyDescent="0.3">
      <c r="A496" s="1"/>
      <c r="B496" s="1" t="str">
        <f>IFERROR(IF(LEFT(Sensitivität_bzw_Monte_Carlo_bei_Strom[[#This Row],[Source.Name]],SEARCH("aus_der",Sensitivität_bzw_Monte_Carlo_bei_Strom[[#This Row],[Source.Name]],1))="Auszahlung_a","Auszahlung",""),"")</f>
        <v/>
      </c>
      <c r="D496" s="1"/>
    </row>
    <row r="497" spans="1:4" x14ac:dyDescent="0.3">
      <c r="A497" s="1"/>
      <c r="B497" s="1" t="str">
        <f>IFERROR(IF(LEFT(Sensitivität_bzw_Monte_Carlo_bei_Strom[[#This Row],[Source.Name]],SEARCH("aus_der",Sensitivität_bzw_Monte_Carlo_bei_Strom[[#This Row],[Source.Name]],1))="Auszahlung_a","Auszahlung",""),"")</f>
        <v/>
      </c>
      <c r="D497" s="1"/>
    </row>
    <row r="498" spans="1:4" x14ac:dyDescent="0.3">
      <c r="A498" s="1"/>
      <c r="B498" s="1" t="str">
        <f>IFERROR(IF(LEFT(Sensitivität_bzw_Monte_Carlo_bei_Strom[[#This Row],[Source.Name]],SEARCH("aus_der",Sensitivität_bzw_Monte_Carlo_bei_Strom[[#This Row],[Source.Name]],1))="Auszahlung_a","Auszahlung",""),"")</f>
        <v/>
      </c>
      <c r="D498" s="1"/>
    </row>
    <row r="499" spans="1:4" x14ac:dyDescent="0.3">
      <c r="A499" s="1"/>
      <c r="B499" s="1" t="str">
        <f>IFERROR(IF(LEFT(Sensitivität_bzw_Monte_Carlo_bei_Strom[[#This Row],[Source.Name]],SEARCH("aus_der",Sensitivität_bzw_Monte_Carlo_bei_Strom[[#This Row],[Source.Name]],1))="Auszahlung_a","Auszahlung",""),"")</f>
        <v/>
      </c>
      <c r="D499" s="1"/>
    </row>
    <row r="500" spans="1:4" x14ac:dyDescent="0.3">
      <c r="A500" s="1"/>
      <c r="B500" s="1" t="str">
        <f>IFERROR(IF(LEFT(Sensitivität_bzw_Monte_Carlo_bei_Strom[[#This Row],[Source.Name]],SEARCH("aus_der",Sensitivität_bzw_Monte_Carlo_bei_Strom[[#This Row],[Source.Name]],1))="Auszahlung_a","Auszahlung",""),"")</f>
        <v/>
      </c>
      <c r="D500" s="1"/>
    </row>
    <row r="501" spans="1:4" x14ac:dyDescent="0.3">
      <c r="A501" s="1"/>
      <c r="B501" s="1" t="str">
        <f>IFERROR(IF(LEFT(Sensitivität_bzw_Monte_Carlo_bei_Strom[[#This Row],[Source.Name]],SEARCH("aus_der",Sensitivität_bzw_Monte_Carlo_bei_Strom[[#This Row],[Source.Name]],1))="Auszahlung_a","Auszahlung",""),"")</f>
        <v/>
      </c>
      <c r="D501" s="1"/>
    </row>
    <row r="502" spans="1:4" x14ac:dyDescent="0.3">
      <c r="A502" s="1"/>
      <c r="B502" s="1" t="str">
        <f>IFERROR(IF(LEFT(Sensitivität_bzw_Monte_Carlo_bei_Strom[[#This Row],[Source.Name]],SEARCH("aus_der",Sensitivität_bzw_Monte_Carlo_bei_Strom[[#This Row],[Source.Name]],1))="Auszahlung_a","Auszahlung",""),"")</f>
        <v/>
      </c>
      <c r="D502" s="1"/>
    </row>
    <row r="503" spans="1:4" x14ac:dyDescent="0.3">
      <c r="A503" s="1"/>
      <c r="B503" s="1" t="str">
        <f>IFERROR(IF(LEFT(Sensitivität_bzw_Monte_Carlo_bei_Strom[[#This Row],[Source.Name]],SEARCH("aus_der",Sensitivität_bzw_Monte_Carlo_bei_Strom[[#This Row],[Source.Name]],1))="Auszahlung_a","Auszahlung",""),"")</f>
        <v/>
      </c>
      <c r="D503" s="1"/>
    </row>
    <row r="504" spans="1:4" x14ac:dyDescent="0.3">
      <c r="A504" s="1"/>
      <c r="B504" s="1" t="str">
        <f>IFERROR(IF(LEFT(Sensitivität_bzw_Monte_Carlo_bei_Strom[[#This Row],[Source.Name]],SEARCH("aus_der",Sensitivität_bzw_Monte_Carlo_bei_Strom[[#This Row],[Source.Name]],1))="Auszahlung_a","Auszahlung",""),"")</f>
        <v/>
      </c>
      <c r="D504" s="1"/>
    </row>
    <row r="505" spans="1:4" x14ac:dyDescent="0.3">
      <c r="A505" s="1"/>
      <c r="B505" s="1" t="str">
        <f>IFERROR(IF(LEFT(Sensitivität_bzw_Monte_Carlo_bei_Strom[[#This Row],[Source.Name]],SEARCH("aus_der",Sensitivität_bzw_Monte_Carlo_bei_Strom[[#This Row],[Source.Name]],1))="Auszahlung_a","Auszahlung",""),"")</f>
        <v/>
      </c>
      <c r="D505" s="1"/>
    </row>
    <row r="506" spans="1:4" x14ac:dyDescent="0.3">
      <c r="A506" s="1"/>
      <c r="B506" s="1" t="str">
        <f>IFERROR(IF(LEFT(Sensitivität_bzw_Monte_Carlo_bei_Strom[[#This Row],[Source.Name]],SEARCH("aus_der",Sensitivität_bzw_Monte_Carlo_bei_Strom[[#This Row],[Source.Name]],1))="Auszahlung_a","Auszahlung",""),"")</f>
        <v/>
      </c>
      <c r="D506" s="1"/>
    </row>
    <row r="507" spans="1:4" x14ac:dyDescent="0.3">
      <c r="A507" s="1"/>
      <c r="B507" s="1" t="str">
        <f>IFERROR(IF(LEFT(Sensitivität_bzw_Monte_Carlo_bei_Strom[[#This Row],[Source.Name]],SEARCH("aus_der",Sensitivität_bzw_Monte_Carlo_bei_Strom[[#This Row],[Source.Name]],1))="Auszahlung_a","Auszahlung",""),"")</f>
        <v/>
      </c>
      <c r="D507" s="1"/>
    </row>
    <row r="508" spans="1:4" x14ac:dyDescent="0.3">
      <c r="A508" s="1"/>
      <c r="B508" s="1" t="str">
        <f>IFERROR(IF(LEFT(Sensitivität_bzw_Monte_Carlo_bei_Strom[[#This Row],[Source.Name]],SEARCH("aus_der",Sensitivität_bzw_Monte_Carlo_bei_Strom[[#This Row],[Source.Name]],1))="Auszahlung_a","Auszahlung",""),"")</f>
        <v/>
      </c>
      <c r="D508" s="1"/>
    </row>
    <row r="509" spans="1:4" x14ac:dyDescent="0.3">
      <c r="A509" s="1"/>
      <c r="B509" s="1" t="str">
        <f>IFERROR(IF(LEFT(Sensitivität_bzw_Monte_Carlo_bei_Strom[[#This Row],[Source.Name]],SEARCH("aus_der",Sensitivität_bzw_Monte_Carlo_bei_Strom[[#This Row],[Source.Name]],1))="Auszahlung_a","Auszahlung",""),"")</f>
        <v/>
      </c>
      <c r="D509" s="1"/>
    </row>
    <row r="510" spans="1:4" x14ac:dyDescent="0.3">
      <c r="A510" s="1"/>
      <c r="B510" s="1" t="str">
        <f>IFERROR(IF(LEFT(Sensitivität_bzw_Monte_Carlo_bei_Strom[[#This Row],[Source.Name]],SEARCH("aus_der",Sensitivität_bzw_Monte_Carlo_bei_Strom[[#This Row],[Source.Name]],1))="Auszahlung_a","Auszahlung",""),"")</f>
        <v/>
      </c>
      <c r="D510" s="1"/>
    </row>
    <row r="511" spans="1:4" x14ac:dyDescent="0.3">
      <c r="A511" s="1"/>
      <c r="B511" s="1" t="str">
        <f>IFERROR(IF(LEFT(Sensitivität_bzw_Monte_Carlo_bei_Strom[[#This Row],[Source.Name]],SEARCH("aus_der",Sensitivität_bzw_Monte_Carlo_bei_Strom[[#This Row],[Source.Name]],1))="Auszahlung_a","Auszahlung",""),"")</f>
        <v/>
      </c>
      <c r="D511" s="1"/>
    </row>
    <row r="512" spans="1:4" x14ac:dyDescent="0.3">
      <c r="A512" s="1"/>
      <c r="B512" s="1" t="str">
        <f>IFERROR(IF(LEFT(Sensitivität_bzw_Monte_Carlo_bei_Strom[[#This Row],[Source.Name]],SEARCH("aus_der",Sensitivität_bzw_Monte_Carlo_bei_Strom[[#This Row],[Source.Name]],1))="Auszahlung_a","Auszahlung",""),"")</f>
        <v/>
      </c>
      <c r="D512" s="1"/>
    </row>
    <row r="513" spans="1:4" x14ac:dyDescent="0.3">
      <c r="A513" s="1"/>
      <c r="B513" s="1" t="str">
        <f>IFERROR(IF(LEFT(Sensitivität_bzw_Monte_Carlo_bei_Strom[[#This Row],[Source.Name]],SEARCH("aus_der",Sensitivität_bzw_Monte_Carlo_bei_Strom[[#This Row],[Source.Name]],1))="Auszahlung_a","Auszahlung",""),"")</f>
        <v/>
      </c>
      <c r="D513" s="1"/>
    </row>
    <row r="514" spans="1:4" x14ac:dyDescent="0.3">
      <c r="A514" s="1"/>
      <c r="B514" s="1" t="str">
        <f>IFERROR(IF(LEFT(Sensitivität_bzw_Monte_Carlo_bei_Strom[[#This Row],[Source.Name]],SEARCH("aus_der",Sensitivität_bzw_Monte_Carlo_bei_Strom[[#This Row],[Source.Name]],1))="Auszahlung_a","Auszahlung",""),"")</f>
        <v/>
      </c>
      <c r="D514" s="1"/>
    </row>
    <row r="515" spans="1:4" x14ac:dyDescent="0.3">
      <c r="A515" s="1"/>
      <c r="B515" s="1" t="str">
        <f>IFERROR(IF(LEFT(Sensitivität_bzw_Monte_Carlo_bei_Strom[[#This Row],[Source.Name]],SEARCH("aus_der",Sensitivität_bzw_Monte_Carlo_bei_Strom[[#This Row],[Source.Name]],1))="Auszahlung_a","Auszahlung",""),"")</f>
        <v/>
      </c>
      <c r="D515" s="1"/>
    </row>
    <row r="516" spans="1:4" x14ac:dyDescent="0.3">
      <c r="A516" s="1"/>
      <c r="B516" s="1" t="str">
        <f>IFERROR(IF(LEFT(Sensitivität_bzw_Monte_Carlo_bei_Strom[[#This Row],[Source.Name]],SEARCH("aus_der",Sensitivität_bzw_Monte_Carlo_bei_Strom[[#This Row],[Source.Name]],1))="Auszahlung_a","Auszahlung",""),"")</f>
        <v/>
      </c>
      <c r="D516" s="1"/>
    </row>
    <row r="517" spans="1:4" x14ac:dyDescent="0.3">
      <c r="A517" s="1"/>
      <c r="B517" s="1" t="str">
        <f>IFERROR(IF(LEFT(Sensitivität_bzw_Monte_Carlo_bei_Strom[[#This Row],[Source.Name]],SEARCH("aus_der",Sensitivität_bzw_Monte_Carlo_bei_Strom[[#This Row],[Source.Name]],1))="Auszahlung_a","Auszahlung",""),"")</f>
        <v/>
      </c>
      <c r="D517" s="1"/>
    </row>
    <row r="518" spans="1:4" x14ac:dyDescent="0.3">
      <c r="A518" s="1"/>
      <c r="B518" s="1" t="str">
        <f>IFERROR(IF(LEFT(Sensitivität_bzw_Monte_Carlo_bei_Strom[[#This Row],[Source.Name]],SEARCH("aus_der",Sensitivität_bzw_Monte_Carlo_bei_Strom[[#This Row],[Source.Name]],1))="Auszahlung_a","Auszahlung",""),"")</f>
        <v/>
      </c>
      <c r="D518" s="1"/>
    </row>
    <row r="519" spans="1:4" x14ac:dyDescent="0.3">
      <c r="A519" s="1"/>
      <c r="B519" s="1" t="str">
        <f>IFERROR(IF(LEFT(Sensitivität_bzw_Monte_Carlo_bei_Strom[[#This Row],[Source.Name]],SEARCH("aus_der",Sensitivität_bzw_Monte_Carlo_bei_Strom[[#This Row],[Source.Name]],1))="Auszahlung_a","Auszahlung",""),"")</f>
        <v/>
      </c>
      <c r="D519" s="1"/>
    </row>
    <row r="520" spans="1:4" x14ac:dyDescent="0.3">
      <c r="A520" s="1"/>
      <c r="B520" s="1" t="str">
        <f>IFERROR(IF(LEFT(Sensitivität_bzw_Monte_Carlo_bei_Strom[[#This Row],[Source.Name]],SEARCH("aus_der",Sensitivität_bzw_Monte_Carlo_bei_Strom[[#This Row],[Source.Name]],1))="Auszahlung_a","Auszahlung",""),"")</f>
        <v/>
      </c>
      <c r="D520" s="1"/>
    </row>
    <row r="521" spans="1:4" x14ac:dyDescent="0.3">
      <c r="A521" s="1"/>
      <c r="B521" s="1" t="str">
        <f>IFERROR(IF(LEFT(Sensitivität_bzw_Monte_Carlo_bei_Strom[[#This Row],[Source.Name]],SEARCH("aus_der",Sensitivität_bzw_Monte_Carlo_bei_Strom[[#This Row],[Source.Name]],1))="Auszahlung_a","Auszahlung",""),"")</f>
        <v/>
      </c>
      <c r="D521" s="1"/>
    </row>
    <row r="522" spans="1:4" x14ac:dyDescent="0.3">
      <c r="A522" s="1"/>
      <c r="B522" s="1" t="str">
        <f>IFERROR(IF(LEFT(Sensitivität_bzw_Monte_Carlo_bei_Strom[[#This Row],[Source.Name]],SEARCH("aus_der",Sensitivität_bzw_Monte_Carlo_bei_Strom[[#This Row],[Source.Name]],1))="Auszahlung_a","Auszahlung",""),"")</f>
        <v/>
      </c>
      <c r="D522" s="1"/>
    </row>
    <row r="523" spans="1:4" x14ac:dyDescent="0.3">
      <c r="A523" s="1"/>
      <c r="B523" s="1" t="str">
        <f>IFERROR(IF(LEFT(Sensitivität_bzw_Monte_Carlo_bei_Strom[[#This Row],[Source.Name]],SEARCH("aus_der",Sensitivität_bzw_Monte_Carlo_bei_Strom[[#This Row],[Source.Name]],1))="Auszahlung_a","Auszahlung",""),"")</f>
        <v/>
      </c>
      <c r="D523" s="1"/>
    </row>
    <row r="524" spans="1:4" x14ac:dyDescent="0.3">
      <c r="A524" s="1"/>
      <c r="B524" s="1" t="str">
        <f>IFERROR(IF(LEFT(Sensitivität_bzw_Monte_Carlo_bei_Strom[[#This Row],[Source.Name]],SEARCH("aus_der",Sensitivität_bzw_Monte_Carlo_bei_Strom[[#This Row],[Source.Name]],1))="Auszahlung_a","Auszahlung",""),"")</f>
        <v/>
      </c>
      <c r="D524" s="1"/>
    </row>
    <row r="525" spans="1:4" x14ac:dyDescent="0.3">
      <c r="A525" s="1"/>
      <c r="B525" s="1" t="str">
        <f>IFERROR(IF(LEFT(Sensitivität_bzw_Monte_Carlo_bei_Strom[[#This Row],[Source.Name]],SEARCH("aus_der",Sensitivität_bzw_Monte_Carlo_bei_Strom[[#This Row],[Source.Name]],1))="Auszahlung_a","Auszahlung",""),"")</f>
        <v/>
      </c>
      <c r="D525" s="1"/>
    </row>
    <row r="526" spans="1:4" x14ac:dyDescent="0.3">
      <c r="A526" s="1"/>
      <c r="B526" s="1" t="str">
        <f>IFERROR(IF(LEFT(Sensitivität_bzw_Monte_Carlo_bei_Strom[[#This Row],[Source.Name]],SEARCH("aus_der",Sensitivität_bzw_Monte_Carlo_bei_Strom[[#This Row],[Source.Name]],1))="Auszahlung_a","Auszahlung",""),"")</f>
        <v/>
      </c>
      <c r="D526" s="1"/>
    </row>
    <row r="527" spans="1:4" x14ac:dyDescent="0.3">
      <c r="A527" s="1"/>
      <c r="B527" s="1" t="str">
        <f>IFERROR(IF(LEFT(Sensitivität_bzw_Monte_Carlo_bei_Strom[[#This Row],[Source.Name]],SEARCH("aus_der",Sensitivität_bzw_Monte_Carlo_bei_Strom[[#This Row],[Source.Name]],1))="Auszahlung_a","Auszahlung",""),"")</f>
        <v/>
      </c>
      <c r="D527" s="1"/>
    </row>
    <row r="528" spans="1:4" x14ac:dyDescent="0.3">
      <c r="A528" s="1"/>
      <c r="B528" s="1" t="str">
        <f>IFERROR(IF(LEFT(Sensitivität_bzw_Monte_Carlo_bei_Strom[[#This Row],[Source.Name]],SEARCH("aus_der",Sensitivität_bzw_Monte_Carlo_bei_Strom[[#This Row],[Source.Name]],1))="Auszahlung_a","Auszahlung",""),"")</f>
        <v/>
      </c>
      <c r="D528" s="1"/>
    </row>
    <row r="529" spans="1:4" x14ac:dyDescent="0.3">
      <c r="A529" s="1"/>
      <c r="B529" s="1" t="str">
        <f>IFERROR(IF(LEFT(Sensitivität_bzw_Monte_Carlo_bei_Strom[[#This Row],[Source.Name]],SEARCH("aus_der",Sensitivität_bzw_Monte_Carlo_bei_Strom[[#This Row],[Source.Name]],1))="Auszahlung_a","Auszahlung",""),"")</f>
        <v/>
      </c>
      <c r="D529" s="1"/>
    </row>
    <row r="530" spans="1:4" x14ac:dyDescent="0.3">
      <c r="A530" s="1"/>
      <c r="B530" s="1" t="str">
        <f>IFERROR(IF(LEFT(Sensitivität_bzw_Monte_Carlo_bei_Strom[[#This Row],[Source.Name]],SEARCH("aus_der",Sensitivität_bzw_Monte_Carlo_bei_Strom[[#This Row],[Source.Name]],1))="Auszahlung_a","Auszahlung",""),"")</f>
        <v/>
      </c>
      <c r="D530" s="1"/>
    </row>
    <row r="531" spans="1:4" x14ac:dyDescent="0.3">
      <c r="A531" s="1"/>
      <c r="B531" s="1" t="str">
        <f>IFERROR(IF(LEFT(Sensitivität_bzw_Monte_Carlo_bei_Strom[[#This Row],[Source.Name]],SEARCH("aus_der",Sensitivität_bzw_Monte_Carlo_bei_Strom[[#This Row],[Source.Name]],1))="Auszahlung_a","Auszahlung",""),"")</f>
        <v/>
      </c>
      <c r="D531" s="1"/>
    </row>
    <row r="532" spans="1:4" x14ac:dyDescent="0.3">
      <c r="A532" s="1"/>
      <c r="B532" s="1" t="str">
        <f>IFERROR(IF(LEFT(Sensitivität_bzw_Monte_Carlo_bei_Strom[[#This Row],[Source.Name]],SEARCH("aus_der",Sensitivität_bzw_Monte_Carlo_bei_Strom[[#This Row],[Source.Name]],1))="Auszahlung_a","Auszahlung",""),"")</f>
        <v/>
      </c>
      <c r="D532" s="1"/>
    </row>
    <row r="533" spans="1:4" x14ac:dyDescent="0.3">
      <c r="A533" s="1"/>
      <c r="B533" s="1" t="str">
        <f>IFERROR(IF(LEFT(Sensitivität_bzw_Monte_Carlo_bei_Strom[[#This Row],[Source.Name]],SEARCH("aus_der",Sensitivität_bzw_Monte_Carlo_bei_Strom[[#This Row],[Source.Name]],1))="Auszahlung_a","Auszahlung",""),"")</f>
        <v/>
      </c>
      <c r="D533" s="1"/>
    </row>
    <row r="534" spans="1:4" x14ac:dyDescent="0.3">
      <c r="A534" s="1"/>
      <c r="B534" s="1" t="str">
        <f>IFERROR(IF(LEFT(Sensitivität_bzw_Monte_Carlo_bei_Strom[[#This Row],[Source.Name]],SEARCH("aus_der",Sensitivität_bzw_Monte_Carlo_bei_Strom[[#This Row],[Source.Name]],1))="Auszahlung_a","Auszahlung",""),"")</f>
        <v/>
      </c>
      <c r="D534" s="1"/>
    </row>
    <row r="535" spans="1:4" x14ac:dyDescent="0.3">
      <c r="A535" s="1"/>
      <c r="B535" s="1" t="str">
        <f>IFERROR(IF(LEFT(Sensitivität_bzw_Monte_Carlo_bei_Strom[[#This Row],[Source.Name]],SEARCH("aus_der",Sensitivität_bzw_Monte_Carlo_bei_Strom[[#This Row],[Source.Name]],1))="Auszahlung_a","Auszahlung",""),"")</f>
        <v/>
      </c>
      <c r="D535" s="1"/>
    </row>
    <row r="536" spans="1:4" x14ac:dyDescent="0.3">
      <c r="A536" s="1"/>
      <c r="B536" s="1" t="str">
        <f>IFERROR(IF(LEFT(Sensitivität_bzw_Monte_Carlo_bei_Strom[[#This Row],[Source.Name]],SEARCH("aus_der",Sensitivität_bzw_Monte_Carlo_bei_Strom[[#This Row],[Source.Name]],1))="Auszahlung_a","Auszahlung",""),"")</f>
        <v/>
      </c>
      <c r="D536" s="1"/>
    </row>
    <row r="537" spans="1:4" x14ac:dyDescent="0.3">
      <c r="A537" s="1"/>
      <c r="B537" s="1" t="str">
        <f>IFERROR(IF(LEFT(Sensitivität_bzw_Monte_Carlo_bei_Strom[[#This Row],[Source.Name]],SEARCH("aus_der",Sensitivität_bzw_Monte_Carlo_bei_Strom[[#This Row],[Source.Name]],1))="Auszahlung_a","Auszahlung",""),"")</f>
        <v/>
      </c>
      <c r="D537" s="1"/>
    </row>
    <row r="538" spans="1:4" x14ac:dyDescent="0.3">
      <c r="A538" s="1"/>
      <c r="B538" s="1" t="str">
        <f>IFERROR(IF(LEFT(Sensitivität_bzw_Monte_Carlo_bei_Strom[[#This Row],[Source.Name]],SEARCH("aus_der",Sensitivität_bzw_Monte_Carlo_bei_Strom[[#This Row],[Source.Name]],1))="Auszahlung_a","Auszahlung",""),"")</f>
        <v/>
      </c>
      <c r="D538" s="1"/>
    </row>
    <row r="539" spans="1:4" x14ac:dyDescent="0.3">
      <c r="A539" s="1"/>
      <c r="B539" s="1" t="str">
        <f>IFERROR(IF(LEFT(Sensitivität_bzw_Monte_Carlo_bei_Strom[[#This Row],[Source.Name]],SEARCH("aus_der",Sensitivität_bzw_Monte_Carlo_bei_Strom[[#This Row],[Source.Name]],1))="Auszahlung_a","Auszahlung",""),"")</f>
        <v/>
      </c>
      <c r="D539" s="1"/>
    </row>
    <row r="540" spans="1:4" x14ac:dyDescent="0.3">
      <c r="A540" s="1"/>
      <c r="B540" s="1" t="str">
        <f>IFERROR(IF(LEFT(Sensitivität_bzw_Monte_Carlo_bei_Strom[[#This Row],[Source.Name]],SEARCH("aus_der",Sensitivität_bzw_Monte_Carlo_bei_Strom[[#This Row],[Source.Name]],1))="Auszahlung_a","Auszahlung",""),"")</f>
        <v/>
      </c>
      <c r="D540" s="1"/>
    </row>
    <row r="541" spans="1:4" x14ac:dyDescent="0.3">
      <c r="A541" s="1"/>
      <c r="B541" s="1" t="str">
        <f>IFERROR(IF(LEFT(Sensitivität_bzw_Monte_Carlo_bei_Strom[[#This Row],[Source.Name]],SEARCH("aus_der",Sensitivität_bzw_Monte_Carlo_bei_Strom[[#This Row],[Source.Name]],1))="Auszahlung_a","Auszahlung",""),"")</f>
        <v/>
      </c>
      <c r="D541" s="1"/>
    </row>
    <row r="542" spans="1:4" x14ac:dyDescent="0.3">
      <c r="A542" s="1"/>
      <c r="B542" s="1" t="str">
        <f>IFERROR(IF(LEFT(Sensitivität_bzw_Monte_Carlo_bei_Strom[[#This Row],[Source.Name]],SEARCH("aus_der",Sensitivität_bzw_Monte_Carlo_bei_Strom[[#This Row],[Source.Name]],1))="Auszahlung_a","Auszahlung",""),"")</f>
        <v/>
      </c>
      <c r="D542" s="1"/>
    </row>
    <row r="543" spans="1:4" x14ac:dyDescent="0.3">
      <c r="A543" s="1"/>
      <c r="B543" s="1" t="str">
        <f>IFERROR(IF(LEFT(Sensitivität_bzw_Monte_Carlo_bei_Strom[[#This Row],[Source.Name]],SEARCH("aus_der",Sensitivität_bzw_Monte_Carlo_bei_Strom[[#This Row],[Source.Name]],1))="Auszahlung_a","Auszahlung",""),"")</f>
        <v/>
      </c>
      <c r="D543" s="1"/>
    </row>
    <row r="544" spans="1:4" x14ac:dyDescent="0.3">
      <c r="A544" s="1"/>
      <c r="B544" s="1" t="str">
        <f>IFERROR(IF(LEFT(Sensitivität_bzw_Monte_Carlo_bei_Strom[[#This Row],[Source.Name]],SEARCH("aus_der",Sensitivität_bzw_Monte_Carlo_bei_Strom[[#This Row],[Source.Name]],1))="Auszahlung_a","Auszahlung",""),"")</f>
        <v/>
      </c>
      <c r="D544" s="1"/>
    </row>
    <row r="545" spans="1:4" x14ac:dyDescent="0.3">
      <c r="A545" s="1"/>
      <c r="B545" s="1" t="str">
        <f>IFERROR(IF(LEFT(Sensitivität_bzw_Monte_Carlo_bei_Strom[[#This Row],[Source.Name]],SEARCH("aus_der",Sensitivität_bzw_Monte_Carlo_bei_Strom[[#This Row],[Source.Name]],1))="Auszahlung_a","Auszahlung",""),"")</f>
        <v/>
      </c>
      <c r="D545" s="1"/>
    </row>
    <row r="546" spans="1:4" x14ac:dyDescent="0.3">
      <c r="A546" s="1"/>
      <c r="B546" s="1" t="str">
        <f>IFERROR(IF(LEFT(Sensitivität_bzw_Monte_Carlo_bei_Strom[[#This Row],[Source.Name]],SEARCH("aus_der",Sensitivität_bzw_Monte_Carlo_bei_Strom[[#This Row],[Source.Name]],1))="Auszahlung_a","Auszahlung",""),"")</f>
        <v/>
      </c>
      <c r="D546" s="1"/>
    </row>
    <row r="547" spans="1:4" x14ac:dyDescent="0.3">
      <c r="A547" s="1"/>
      <c r="B547" s="1" t="str">
        <f>IFERROR(IF(LEFT(Sensitivität_bzw_Monte_Carlo_bei_Strom[[#This Row],[Source.Name]],SEARCH("aus_der",Sensitivität_bzw_Monte_Carlo_bei_Strom[[#This Row],[Source.Name]],1))="Auszahlung_a","Auszahlung",""),"")</f>
        <v/>
      </c>
      <c r="D547" s="1"/>
    </row>
    <row r="548" spans="1:4" x14ac:dyDescent="0.3">
      <c r="A548" s="1"/>
      <c r="B548" s="1" t="str">
        <f>IFERROR(IF(LEFT(Sensitivität_bzw_Monte_Carlo_bei_Strom[[#This Row],[Source.Name]],SEARCH("aus_der",Sensitivität_bzw_Monte_Carlo_bei_Strom[[#This Row],[Source.Name]],1))="Auszahlung_a","Auszahlung",""),"")</f>
        <v/>
      </c>
      <c r="D548" s="1"/>
    </row>
    <row r="549" spans="1:4" x14ac:dyDescent="0.3">
      <c r="A549" s="1"/>
      <c r="B549" s="1" t="str">
        <f>IFERROR(IF(LEFT(Sensitivität_bzw_Monte_Carlo_bei_Strom[[#This Row],[Source.Name]],SEARCH("aus_der",Sensitivität_bzw_Monte_Carlo_bei_Strom[[#This Row],[Source.Name]],1))="Auszahlung_a","Auszahlung",""),"")</f>
        <v/>
      </c>
      <c r="D549" s="1"/>
    </row>
    <row r="550" spans="1:4" x14ac:dyDescent="0.3">
      <c r="A550" s="1"/>
      <c r="B550" s="1" t="str">
        <f>IFERROR(IF(LEFT(Sensitivität_bzw_Monte_Carlo_bei_Strom[[#This Row],[Source.Name]],SEARCH("aus_der",Sensitivität_bzw_Monte_Carlo_bei_Strom[[#This Row],[Source.Name]],1))="Auszahlung_a","Auszahlung",""),"")</f>
        <v/>
      </c>
      <c r="D550" s="1"/>
    </row>
    <row r="551" spans="1:4" x14ac:dyDescent="0.3">
      <c r="A551" s="1"/>
      <c r="B551" s="1" t="str">
        <f>IFERROR(IF(LEFT(Sensitivität_bzw_Monte_Carlo_bei_Strom[[#This Row],[Source.Name]],SEARCH("aus_der",Sensitivität_bzw_Monte_Carlo_bei_Strom[[#This Row],[Source.Name]],1))="Auszahlung_a","Auszahlung",""),"")</f>
        <v/>
      </c>
      <c r="D551" s="1"/>
    </row>
    <row r="552" spans="1:4" x14ac:dyDescent="0.3">
      <c r="A552" s="1"/>
      <c r="B552" s="1" t="str">
        <f>IFERROR(IF(LEFT(Sensitivität_bzw_Monte_Carlo_bei_Strom[[#This Row],[Source.Name]],SEARCH("aus_der",Sensitivität_bzw_Monte_Carlo_bei_Strom[[#This Row],[Source.Name]],1))="Auszahlung_a","Auszahlung",""),"")</f>
        <v/>
      </c>
      <c r="D552" s="1"/>
    </row>
    <row r="553" spans="1:4" x14ac:dyDescent="0.3">
      <c r="A553" s="1"/>
      <c r="B553" s="1" t="str">
        <f>IFERROR(IF(LEFT(Sensitivität_bzw_Monte_Carlo_bei_Strom[[#This Row],[Source.Name]],SEARCH("aus_der",Sensitivität_bzw_Monte_Carlo_bei_Strom[[#This Row],[Source.Name]],1))="Auszahlung_a","Auszahlung",""),"")</f>
        <v/>
      </c>
      <c r="D553" s="1"/>
    </row>
    <row r="554" spans="1:4" x14ac:dyDescent="0.3">
      <c r="A554" s="1"/>
      <c r="B554" s="1" t="str">
        <f>IFERROR(IF(LEFT(Sensitivität_bzw_Monte_Carlo_bei_Strom[[#This Row],[Source.Name]],SEARCH("aus_der",Sensitivität_bzw_Monte_Carlo_bei_Strom[[#This Row],[Source.Name]],1))="Auszahlung_a","Auszahlung",""),"")</f>
        <v/>
      </c>
      <c r="D554" s="1"/>
    </row>
    <row r="555" spans="1:4" x14ac:dyDescent="0.3">
      <c r="A555" s="1"/>
      <c r="B555" s="1" t="str">
        <f>IFERROR(IF(LEFT(Sensitivität_bzw_Monte_Carlo_bei_Strom[[#This Row],[Source.Name]],SEARCH("aus_der",Sensitivität_bzw_Monte_Carlo_bei_Strom[[#This Row],[Source.Name]],1))="Auszahlung_a","Auszahlung",""),"")</f>
        <v/>
      </c>
      <c r="D555" s="1"/>
    </row>
    <row r="556" spans="1:4" x14ac:dyDescent="0.3">
      <c r="A556" s="1"/>
      <c r="B556" s="1" t="str">
        <f>IFERROR(IF(LEFT(Sensitivität_bzw_Monte_Carlo_bei_Strom[[#This Row],[Source.Name]],SEARCH("aus_der",Sensitivität_bzw_Monte_Carlo_bei_Strom[[#This Row],[Source.Name]],1))="Auszahlung_a","Auszahlung",""),"")</f>
        <v/>
      </c>
      <c r="D556" s="1"/>
    </row>
    <row r="557" spans="1:4" x14ac:dyDescent="0.3">
      <c r="A557" s="1"/>
      <c r="B557" s="1" t="str">
        <f>IFERROR(IF(LEFT(Sensitivität_bzw_Monte_Carlo_bei_Strom[[#This Row],[Source.Name]],SEARCH("aus_der",Sensitivität_bzw_Monte_Carlo_bei_Strom[[#This Row],[Source.Name]],1))="Auszahlung_a","Auszahlung",""),"")</f>
        <v/>
      </c>
      <c r="D557" s="1"/>
    </row>
    <row r="558" spans="1:4" x14ac:dyDescent="0.3">
      <c r="A558" s="1"/>
      <c r="B558" s="1" t="str">
        <f>IFERROR(IF(LEFT(Sensitivität_bzw_Monte_Carlo_bei_Strom[[#This Row],[Source.Name]],SEARCH("aus_der",Sensitivität_bzw_Monte_Carlo_bei_Strom[[#This Row],[Source.Name]],1))="Auszahlung_a","Auszahlung",""),"")</f>
        <v/>
      </c>
      <c r="D558" s="1"/>
    </row>
    <row r="559" spans="1:4" x14ac:dyDescent="0.3">
      <c r="A559" s="1"/>
      <c r="B559" s="1" t="str">
        <f>IFERROR(IF(LEFT(Sensitivität_bzw_Monte_Carlo_bei_Strom[[#This Row],[Source.Name]],SEARCH("aus_der",Sensitivität_bzw_Monte_Carlo_bei_Strom[[#This Row],[Source.Name]],1))="Auszahlung_a","Auszahlung",""),"")</f>
        <v/>
      </c>
      <c r="D559" s="1"/>
    </row>
    <row r="560" spans="1:4" x14ac:dyDescent="0.3">
      <c r="A560" s="1"/>
      <c r="B560" s="1" t="str">
        <f>IFERROR(IF(LEFT(Sensitivität_bzw_Monte_Carlo_bei_Strom[[#This Row],[Source.Name]],SEARCH("aus_der",Sensitivität_bzw_Monte_Carlo_bei_Strom[[#This Row],[Source.Name]],1))="Auszahlung_a","Auszahlung",""),"")</f>
        <v/>
      </c>
      <c r="D560" s="1"/>
    </row>
    <row r="561" spans="1:4" x14ac:dyDescent="0.3">
      <c r="A561" s="1"/>
      <c r="B561" s="1" t="str">
        <f>IFERROR(IF(LEFT(Sensitivität_bzw_Monte_Carlo_bei_Strom[[#This Row],[Source.Name]],SEARCH("aus_der",Sensitivität_bzw_Monte_Carlo_bei_Strom[[#This Row],[Source.Name]],1))="Auszahlung_a","Auszahlung",""),"")</f>
        <v/>
      </c>
      <c r="D561" s="1"/>
    </row>
    <row r="562" spans="1:4" x14ac:dyDescent="0.3">
      <c r="A562" s="1"/>
      <c r="B562" s="1" t="str">
        <f>IFERROR(IF(LEFT(Sensitivität_bzw_Monte_Carlo_bei_Strom[[#This Row],[Source.Name]],SEARCH("aus_der",Sensitivität_bzw_Monte_Carlo_bei_Strom[[#This Row],[Source.Name]],1))="Auszahlung_a","Auszahlung",""),"")</f>
        <v/>
      </c>
      <c r="D562" s="1"/>
    </row>
    <row r="563" spans="1:4" x14ac:dyDescent="0.3">
      <c r="A563" s="1"/>
      <c r="B563" s="1" t="str">
        <f>IFERROR(IF(LEFT(Sensitivität_bzw_Monte_Carlo_bei_Strom[[#This Row],[Source.Name]],SEARCH("aus_der",Sensitivität_bzw_Monte_Carlo_bei_Strom[[#This Row],[Source.Name]],1))="Auszahlung_a","Auszahlung",""),"")</f>
        <v/>
      </c>
      <c r="D563" s="1"/>
    </row>
    <row r="564" spans="1:4" x14ac:dyDescent="0.3">
      <c r="A564" s="1"/>
      <c r="B564" s="1" t="str">
        <f>IFERROR(IF(LEFT(Sensitivität_bzw_Monte_Carlo_bei_Strom[[#This Row],[Source.Name]],SEARCH("aus_der",Sensitivität_bzw_Monte_Carlo_bei_Strom[[#This Row],[Source.Name]],1))="Auszahlung_a","Auszahlung",""),"")</f>
        <v/>
      </c>
      <c r="D564" s="1"/>
    </row>
    <row r="565" spans="1:4" x14ac:dyDescent="0.3">
      <c r="A565" s="1"/>
      <c r="B565" s="1" t="str">
        <f>IFERROR(IF(LEFT(Sensitivität_bzw_Monte_Carlo_bei_Strom[[#This Row],[Source.Name]],SEARCH("aus_der",Sensitivität_bzw_Monte_Carlo_bei_Strom[[#This Row],[Source.Name]],1))="Auszahlung_a","Auszahlung",""),"")</f>
        <v/>
      </c>
      <c r="D565" s="1"/>
    </row>
    <row r="566" spans="1:4" x14ac:dyDescent="0.3">
      <c r="A566" s="1"/>
      <c r="B566" s="1" t="str">
        <f>IFERROR(IF(LEFT(Sensitivität_bzw_Monte_Carlo_bei_Strom[[#This Row],[Source.Name]],SEARCH("aus_der",Sensitivität_bzw_Monte_Carlo_bei_Strom[[#This Row],[Source.Name]],1))="Auszahlung_a","Auszahlung",""),"")</f>
        <v/>
      </c>
      <c r="D566" s="1"/>
    </row>
    <row r="567" spans="1:4" x14ac:dyDescent="0.3">
      <c r="A567" s="1"/>
      <c r="B567" s="1" t="str">
        <f>IFERROR(IF(LEFT(Sensitivität_bzw_Monte_Carlo_bei_Strom[[#This Row],[Source.Name]],SEARCH("aus_der",Sensitivität_bzw_Monte_Carlo_bei_Strom[[#This Row],[Source.Name]],1))="Auszahlung_a","Auszahlung",""),"")</f>
        <v/>
      </c>
      <c r="D567" s="1"/>
    </row>
    <row r="568" spans="1:4" x14ac:dyDescent="0.3">
      <c r="A568" s="1"/>
      <c r="B568" s="1" t="str">
        <f>IFERROR(IF(LEFT(Sensitivität_bzw_Monte_Carlo_bei_Strom[[#This Row],[Source.Name]],SEARCH("aus_der",Sensitivität_bzw_Monte_Carlo_bei_Strom[[#This Row],[Source.Name]],1))="Auszahlung_a","Auszahlung",""),"")</f>
        <v/>
      </c>
      <c r="D568" s="1"/>
    </row>
    <row r="569" spans="1:4" x14ac:dyDescent="0.3">
      <c r="A569" s="1"/>
      <c r="B569" s="1" t="str">
        <f>IFERROR(IF(LEFT(Sensitivität_bzw_Monte_Carlo_bei_Strom[[#This Row],[Source.Name]],SEARCH("aus_der",Sensitivität_bzw_Monte_Carlo_bei_Strom[[#This Row],[Source.Name]],1))="Auszahlung_a","Auszahlung",""),"")</f>
        <v/>
      </c>
      <c r="D569" s="1"/>
    </row>
    <row r="570" spans="1:4" x14ac:dyDescent="0.3">
      <c r="A570" s="1"/>
      <c r="B570" s="1" t="str">
        <f>IFERROR(IF(LEFT(Sensitivität_bzw_Monte_Carlo_bei_Strom[[#This Row],[Source.Name]],SEARCH("aus_der",Sensitivität_bzw_Monte_Carlo_bei_Strom[[#This Row],[Source.Name]],1))="Auszahlung_a","Auszahlung",""),"")</f>
        <v/>
      </c>
      <c r="D570" s="1"/>
    </row>
    <row r="571" spans="1:4" x14ac:dyDescent="0.3">
      <c r="A571" s="1"/>
      <c r="B571" s="1" t="str">
        <f>IFERROR(IF(LEFT(Sensitivität_bzw_Monte_Carlo_bei_Strom[[#This Row],[Source.Name]],SEARCH("aus_der",Sensitivität_bzw_Monte_Carlo_bei_Strom[[#This Row],[Source.Name]],1))="Auszahlung_a","Auszahlung",""),"")</f>
        <v/>
      </c>
      <c r="D571" s="1"/>
    </row>
    <row r="572" spans="1:4" x14ac:dyDescent="0.3">
      <c r="A572" s="1"/>
      <c r="B572" s="1" t="str">
        <f>IFERROR(IF(LEFT(Sensitivität_bzw_Monte_Carlo_bei_Strom[[#This Row],[Source.Name]],SEARCH("aus_der",Sensitivität_bzw_Monte_Carlo_bei_Strom[[#This Row],[Source.Name]],1))="Auszahlung_a","Auszahlung",""),"")</f>
        <v/>
      </c>
      <c r="D572" s="1"/>
    </row>
    <row r="573" spans="1:4" x14ac:dyDescent="0.3">
      <c r="A573" s="1"/>
      <c r="B573" s="1" t="str">
        <f>IFERROR(IF(LEFT(Sensitivität_bzw_Monte_Carlo_bei_Strom[[#This Row],[Source.Name]],SEARCH("aus_der",Sensitivität_bzw_Monte_Carlo_bei_Strom[[#This Row],[Source.Name]],1))="Auszahlung_a","Auszahlung",""),"")</f>
        <v/>
      </c>
      <c r="D573" s="1"/>
    </row>
    <row r="574" spans="1:4" x14ac:dyDescent="0.3">
      <c r="A574" s="1"/>
      <c r="B574" s="1" t="str">
        <f>IFERROR(IF(LEFT(Sensitivität_bzw_Monte_Carlo_bei_Strom[[#This Row],[Source.Name]],SEARCH("aus_der",Sensitivität_bzw_Monte_Carlo_bei_Strom[[#This Row],[Source.Name]],1))="Auszahlung_a","Auszahlung",""),"")</f>
        <v/>
      </c>
      <c r="D574" s="1"/>
    </row>
    <row r="575" spans="1:4" x14ac:dyDescent="0.3">
      <c r="A575" s="1"/>
      <c r="B575" s="1" t="str">
        <f>IFERROR(IF(LEFT(Sensitivität_bzw_Monte_Carlo_bei_Strom[[#This Row],[Source.Name]],SEARCH("aus_der",Sensitivität_bzw_Monte_Carlo_bei_Strom[[#This Row],[Source.Name]],1))="Auszahlung_a","Auszahlung",""),"")</f>
        <v/>
      </c>
      <c r="D575" s="1"/>
    </row>
    <row r="576" spans="1:4" x14ac:dyDescent="0.3">
      <c r="A576" s="1"/>
      <c r="B576" s="1" t="str">
        <f>IFERROR(IF(LEFT(Sensitivität_bzw_Monte_Carlo_bei_Strom[[#This Row],[Source.Name]],SEARCH("aus_der",Sensitivität_bzw_Monte_Carlo_bei_Strom[[#This Row],[Source.Name]],1))="Auszahlung_a","Auszahlung",""),"")</f>
        <v/>
      </c>
      <c r="D576" s="1"/>
    </row>
    <row r="577" spans="1:4" x14ac:dyDescent="0.3">
      <c r="A577" s="1"/>
      <c r="B577" s="1" t="str">
        <f>IFERROR(IF(LEFT(Sensitivität_bzw_Monte_Carlo_bei_Strom[[#This Row],[Source.Name]],SEARCH("aus_der",Sensitivität_bzw_Monte_Carlo_bei_Strom[[#This Row],[Source.Name]],1))="Auszahlung_a","Auszahlung",""),"")</f>
        <v/>
      </c>
      <c r="D577" s="1"/>
    </row>
    <row r="578" spans="1:4" x14ac:dyDescent="0.3">
      <c r="A578" s="1"/>
      <c r="B578" s="1" t="str">
        <f>IFERROR(IF(LEFT(Sensitivität_bzw_Monte_Carlo_bei_Strom[[#This Row],[Source.Name]],SEARCH("aus_der",Sensitivität_bzw_Monte_Carlo_bei_Strom[[#This Row],[Source.Name]],1))="Auszahlung_a","Auszahlung",""),"")</f>
        <v/>
      </c>
      <c r="D578" s="1"/>
    </row>
    <row r="579" spans="1:4" x14ac:dyDescent="0.3">
      <c r="A579" s="1"/>
      <c r="B579" s="1" t="str">
        <f>IFERROR(IF(LEFT(Sensitivität_bzw_Monte_Carlo_bei_Strom[[#This Row],[Source.Name]],SEARCH("aus_der",Sensitivität_bzw_Monte_Carlo_bei_Strom[[#This Row],[Source.Name]],1))="Auszahlung_a","Auszahlung",""),"")</f>
        <v/>
      </c>
      <c r="D579" s="1"/>
    </row>
    <row r="580" spans="1:4" x14ac:dyDescent="0.3">
      <c r="A580" s="1"/>
      <c r="B580" s="1" t="str">
        <f>IFERROR(IF(LEFT(Sensitivität_bzw_Monte_Carlo_bei_Strom[[#This Row],[Source.Name]],SEARCH("aus_der",Sensitivität_bzw_Monte_Carlo_bei_Strom[[#This Row],[Source.Name]],1))="Auszahlung_a","Auszahlung",""),"")</f>
        <v/>
      </c>
      <c r="D580" s="1"/>
    </row>
    <row r="581" spans="1:4" x14ac:dyDescent="0.3">
      <c r="A581" s="1"/>
      <c r="B581" s="1" t="str">
        <f>IFERROR(IF(LEFT(Sensitivität_bzw_Monte_Carlo_bei_Strom[[#This Row],[Source.Name]],SEARCH("aus_der",Sensitivität_bzw_Monte_Carlo_bei_Strom[[#This Row],[Source.Name]],1))="Auszahlung_a","Auszahlung",""),"")</f>
        <v/>
      </c>
      <c r="D581" s="1"/>
    </row>
    <row r="582" spans="1:4" x14ac:dyDescent="0.3">
      <c r="A582" s="1"/>
      <c r="B582" s="1" t="str">
        <f>IFERROR(IF(LEFT(Sensitivität_bzw_Monte_Carlo_bei_Strom[[#This Row],[Source.Name]],SEARCH("aus_der",Sensitivität_bzw_Monte_Carlo_bei_Strom[[#This Row],[Source.Name]],1))="Auszahlung_a","Auszahlung",""),"")</f>
        <v/>
      </c>
      <c r="D582" s="1"/>
    </row>
    <row r="583" spans="1:4" x14ac:dyDescent="0.3">
      <c r="A583" s="1"/>
      <c r="B583" s="1" t="str">
        <f>IFERROR(IF(LEFT(Sensitivität_bzw_Monte_Carlo_bei_Strom[[#This Row],[Source.Name]],SEARCH("aus_der",Sensitivität_bzw_Monte_Carlo_bei_Strom[[#This Row],[Source.Name]],1))="Auszahlung_a","Auszahlung",""),"")</f>
        <v/>
      </c>
      <c r="D583" s="1"/>
    </row>
    <row r="584" spans="1:4" x14ac:dyDescent="0.3">
      <c r="A584" s="1"/>
      <c r="B584" s="1" t="str">
        <f>IFERROR(IF(LEFT(Sensitivität_bzw_Monte_Carlo_bei_Strom[[#This Row],[Source.Name]],SEARCH("aus_der",Sensitivität_bzw_Monte_Carlo_bei_Strom[[#This Row],[Source.Name]],1))="Auszahlung_a","Auszahlung",""),"")</f>
        <v/>
      </c>
      <c r="D584" s="1"/>
    </row>
    <row r="585" spans="1:4" x14ac:dyDescent="0.3">
      <c r="A585" s="1"/>
      <c r="B585" s="1" t="str">
        <f>IFERROR(IF(LEFT(Sensitivität_bzw_Monte_Carlo_bei_Strom[[#This Row],[Source.Name]],SEARCH("aus_der",Sensitivität_bzw_Monte_Carlo_bei_Strom[[#This Row],[Source.Name]],1))="Auszahlung_a","Auszahlung",""),"")</f>
        <v/>
      </c>
      <c r="D585" s="1"/>
    </row>
    <row r="586" spans="1:4" x14ac:dyDescent="0.3">
      <c r="A586" s="1"/>
      <c r="B586" s="1" t="str">
        <f>IFERROR(IF(LEFT(Sensitivität_bzw_Monte_Carlo_bei_Strom[[#This Row],[Source.Name]],SEARCH("aus_der",Sensitivität_bzw_Monte_Carlo_bei_Strom[[#This Row],[Source.Name]],1))="Auszahlung_a","Auszahlung",""),"")</f>
        <v/>
      </c>
      <c r="D586" s="1"/>
    </row>
    <row r="587" spans="1:4" x14ac:dyDescent="0.3">
      <c r="A587" s="1"/>
      <c r="B587" s="1" t="str">
        <f>IFERROR(IF(LEFT(Sensitivität_bzw_Monte_Carlo_bei_Strom[[#This Row],[Source.Name]],SEARCH("aus_der",Sensitivität_bzw_Monte_Carlo_bei_Strom[[#This Row],[Source.Name]],1))="Auszahlung_a","Auszahlung",""),"")</f>
        <v/>
      </c>
      <c r="D587" s="1"/>
    </row>
    <row r="588" spans="1:4" x14ac:dyDescent="0.3">
      <c r="A588" s="1"/>
      <c r="B588" s="1" t="str">
        <f>IFERROR(IF(LEFT(Sensitivität_bzw_Monte_Carlo_bei_Strom[[#This Row],[Source.Name]],SEARCH("aus_der",Sensitivität_bzw_Monte_Carlo_bei_Strom[[#This Row],[Source.Name]],1))="Auszahlung_a","Auszahlung",""),"")</f>
        <v/>
      </c>
      <c r="D588" s="1"/>
    </row>
    <row r="589" spans="1:4" x14ac:dyDescent="0.3">
      <c r="A589" s="1"/>
      <c r="B589" s="1" t="str">
        <f>IFERROR(IF(LEFT(Sensitivität_bzw_Monte_Carlo_bei_Strom[[#This Row],[Source.Name]],SEARCH("aus_der",Sensitivität_bzw_Monte_Carlo_bei_Strom[[#This Row],[Source.Name]],1))="Auszahlung_a","Auszahlung",""),"")</f>
        <v/>
      </c>
      <c r="D589" s="1"/>
    </row>
    <row r="590" spans="1:4" x14ac:dyDescent="0.3">
      <c r="A590" s="1"/>
      <c r="B590" s="1" t="str">
        <f>IFERROR(IF(LEFT(Sensitivität_bzw_Monte_Carlo_bei_Strom[[#This Row],[Source.Name]],SEARCH("aus_der",Sensitivität_bzw_Monte_Carlo_bei_Strom[[#This Row],[Source.Name]],1))="Auszahlung_a","Auszahlung",""),"")</f>
        <v/>
      </c>
      <c r="D590" s="1"/>
    </row>
    <row r="591" spans="1:4" x14ac:dyDescent="0.3">
      <c r="A591" s="1"/>
      <c r="B591" s="1" t="str">
        <f>IFERROR(IF(LEFT(Sensitivität_bzw_Monte_Carlo_bei_Strom[[#This Row],[Source.Name]],SEARCH("aus_der",Sensitivität_bzw_Monte_Carlo_bei_Strom[[#This Row],[Source.Name]],1))="Auszahlung_a","Auszahlung",""),"")</f>
        <v/>
      </c>
      <c r="D591" s="1"/>
    </row>
    <row r="592" spans="1:4" x14ac:dyDescent="0.3">
      <c r="A592" s="1"/>
      <c r="B592" s="1" t="str">
        <f>IFERROR(IF(LEFT(Sensitivität_bzw_Monte_Carlo_bei_Strom[[#This Row],[Source.Name]],SEARCH("aus_der",Sensitivität_bzw_Monte_Carlo_bei_Strom[[#This Row],[Source.Name]],1))="Auszahlung_a","Auszahlung",""),"")</f>
        <v/>
      </c>
      <c r="D592" s="1"/>
    </row>
    <row r="593" spans="1:4" x14ac:dyDescent="0.3">
      <c r="A593" s="1"/>
      <c r="B593" s="1" t="str">
        <f>IFERROR(IF(LEFT(Sensitivität_bzw_Monte_Carlo_bei_Strom[[#This Row],[Source.Name]],SEARCH("aus_der",Sensitivität_bzw_Monte_Carlo_bei_Strom[[#This Row],[Source.Name]],1))="Auszahlung_a","Auszahlung",""),"")</f>
        <v/>
      </c>
      <c r="D593" s="1"/>
    </row>
    <row r="594" spans="1:4" x14ac:dyDescent="0.3">
      <c r="A594" s="1"/>
      <c r="B594" s="1" t="str">
        <f>IFERROR(IF(LEFT(Sensitivität_bzw_Monte_Carlo_bei_Strom[[#This Row],[Source.Name]],SEARCH("aus_der",Sensitivität_bzw_Monte_Carlo_bei_Strom[[#This Row],[Source.Name]],1))="Auszahlung_a","Auszahlung",""),"")</f>
        <v/>
      </c>
      <c r="D594" s="1"/>
    </row>
    <row r="595" spans="1:4" x14ac:dyDescent="0.3">
      <c r="A595" s="1"/>
      <c r="B595" s="1" t="str">
        <f>IFERROR(IF(LEFT(Sensitivität_bzw_Monte_Carlo_bei_Strom[[#This Row],[Source.Name]],SEARCH("aus_der",Sensitivität_bzw_Monte_Carlo_bei_Strom[[#This Row],[Source.Name]],1))="Auszahlung_a","Auszahlung",""),"")</f>
        <v/>
      </c>
      <c r="D595" s="1"/>
    </row>
    <row r="596" spans="1:4" x14ac:dyDescent="0.3">
      <c r="A596" s="1"/>
      <c r="B596" s="1" t="str">
        <f>IFERROR(IF(LEFT(Sensitivität_bzw_Monte_Carlo_bei_Strom[[#This Row],[Source.Name]],SEARCH("aus_der",Sensitivität_bzw_Monte_Carlo_bei_Strom[[#This Row],[Source.Name]],1))="Auszahlung_a","Auszahlung",""),"")</f>
        <v/>
      </c>
      <c r="D596" s="1"/>
    </row>
    <row r="597" spans="1:4" x14ac:dyDescent="0.3">
      <c r="A597" s="1"/>
      <c r="B597" s="1" t="str">
        <f>IFERROR(IF(LEFT(Sensitivität_bzw_Monte_Carlo_bei_Strom[[#This Row],[Source.Name]],SEARCH("aus_der",Sensitivität_bzw_Monte_Carlo_bei_Strom[[#This Row],[Source.Name]],1))="Auszahlung_a","Auszahlung",""),"")</f>
        <v/>
      </c>
      <c r="D597" s="1"/>
    </row>
    <row r="598" spans="1:4" x14ac:dyDescent="0.3">
      <c r="A598" s="1"/>
      <c r="B598" s="1" t="str">
        <f>IFERROR(IF(LEFT(Sensitivität_bzw_Monte_Carlo_bei_Strom[[#This Row],[Source.Name]],SEARCH("aus_der",Sensitivität_bzw_Monte_Carlo_bei_Strom[[#This Row],[Source.Name]],1))="Auszahlung_a","Auszahlung",""),"")</f>
        <v/>
      </c>
      <c r="D598" s="1"/>
    </row>
    <row r="599" spans="1:4" x14ac:dyDescent="0.3">
      <c r="A599" s="1"/>
      <c r="B599" s="1" t="str">
        <f>IFERROR(IF(LEFT(Sensitivität_bzw_Monte_Carlo_bei_Strom[[#This Row],[Source.Name]],SEARCH("aus_der",Sensitivität_bzw_Monte_Carlo_bei_Strom[[#This Row],[Source.Name]],1))="Auszahlung_a","Auszahlung",""),"")</f>
        <v/>
      </c>
      <c r="D599" s="1"/>
    </row>
    <row r="600" spans="1:4" x14ac:dyDescent="0.3">
      <c r="A600" s="1"/>
      <c r="B600" s="1" t="str">
        <f>IFERROR(IF(LEFT(Sensitivität_bzw_Monte_Carlo_bei_Strom[[#This Row],[Source.Name]],SEARCH("aus_der",Sensitivität_bzw_Monte_Carlo_bei_Strom[[#This Row],[Source.Name]],1))="Auszahlung_a","Auszahlung",""),"")</f>
        <v/>
      </c>
      <c r="D600" s="1"/>
    </row>
    <row r="601" spans="1:4" x14ac:dyDescent="0.3">
      <c r="A601" s="1"/>
      <c r="B601" s="1" t="str">
        <f>IFERROR(IF(LEFT(Sensitivität_bzw_Monte_Carlo_bei_Strom[[#This Row],[Source.Name]],SEARCH("aus_der",Sensitivität_bzw_Monte_Carlo_bei_Strom[[#This Row],[Source.Name]],1))="Auszahlung_a","Auszahlung",""),"")</f>
        <v/>
      </c>
      <c r="D601" s="1"/>
    </row>
    <row r="602" spans="1:4" x14ac:dyDescent="0.3">
      <c r="A602" s="1"/>
      <c r="B602" s="1" t="str">
        <f>IFERROR(IF(LEFT(Sensitivität_bzw_Monte_Carlo_bei_Strom[[#This Row],[Source.Name]],SEARCH("aus_der",Sensitivität_bzw_Monte_Carlo_bei_Strom[[#This Row],[Source.Name]],1))="Auszahlung_a","Auszahlung",""),"")</f>
        <v/>
      </c>
      <c r="D602" s="1"/>
    </row>
    <row r="603" spans="1:4" x14ac:dyDescent="0.3">
      <c r="A603" s="1"/>
      <c r="B603" s="1" t="str">
        <f>IFERROR(IF(LEFT(Sensitivität_bzw_Monte_Carlo_bei_Strom[[#This Row],[Source.Name]],SEARCH("aus_der",Sensitivität_bzw_Monte_Carlo_bei_Strom[[#This Row],[Source.Name]],1))="Auszahlung_a","Auszahlung",""),"")</f>
        <v/>
      </c>
      <c r="D603" s="1"/>
    </row>
    <row r="604" spans="1:4" x14ac:dyDescent="0.3">
      <c r="A604" s="1"/>
      <c r="B604" s="1" t="str">
        <f>IFERROR(IF(LEFT(Sensitivität_bzw_Monte_Carlo_bei_Strom[[#This Row],[Source.Name]],SEARCH("aus_der",Sensitivität_bzw_Monte_Carlo_bei_Strom[[#This Row],[Source.Name]],1))="Auszahlung_a","Auszahlung",""),"")</f>
        <v/>
      </c>
      <c r="D604" s="1"/>
    </row>
    <row r="605" spans="1:4" x14ac:dyDescent="0.3">
      <c r="A605" s="1"/>
      <c r="B605" s="1" t="str">
        <f>IFERROR(IF(LEFT(Sensitivität_bzw_Monte_Carlo_bei_Strom[[#This Row],[Source.Name]],SEARCH("aus_der",Sensitivität_bzw_Monte_Carlo_bei_Strom[[#This Row],[Source.Name]],1))="Auszahlung_a","Auszahlung",""),"")</f>
        <v/>
      </c>
      <c r="D605" s="1"/>
    </row>
    <row r="606" spans="1:4" x14ac:dyDescent="0.3">
      <c r="A606" s="1"/>
      <c r="B606" s="1" t="str">
        <f>IFERROR(IF(LEFT(Sensitivität_bzw_Monte_Carlo_bei_Strom[[#This Row],[Source.Name]],SEARCH("aus_der",Sensitivität_bzw_Monte_Carlo_bei_Strom[[#This Row],[Source.Name]],1))="Auszahlung_a","Auszahlung",""),"")</f>
        <v/>
      </c>
      <c r="D606" s="1"/>
    </row>
    <row r="607" spans="1:4" x14ac:dyDescent="0.3">
      <c r="A607" s="1"/>
      <c r="B607" s="1" t="str">
        <f>IFERROR(IF(LEFT(Sensitivität_bzw_Monte_Carlo_bei_Strom[[#This Row],[Source.Name]],SEARCH("aus_der",Sensitivität_bzw_Monte_Carlo_bei_Strom[[#This Row],[Source.Name]],1))="Auszahlung_a","Auszahlung",""),"")</f>
        <v/>
      </c>
      <c r="D607" s="1"/>
    </row>
    <row r="608" spans="1:4" x14ac:dyDescent="0.3">
      <c r="A608" s="1"/>
      <c r="B608" s="1" t="str">
        <f>IFERROR(IF(LEFT(Sensitivität_bzw_Monte_Carlo_bei_Strom[[#This Row],[Source.Name]],SEARCH("aus_der",Sensitivität_bzw_Monte_Carlo_bei_Strom[[#This Row],[Source.Name]],1))="Auszahlung_a","Auszahlung",""),"")</f>
        <v/>
      </c>
      <c r="D608" s="1"/>
    </row>
    <row r="609" spans="1:4" x14ac:dyDescent="0.3">
      <c r="A609" s="1"/>
      <c r="B609" s="1" t="str">
        <f>IFERROR(IF(LEFT(Sensitivität_bzw_Monte_Carlo_bei_Strom[[#This Row],[Source.Name]],SEARCH("aus_der",Sensitivität_bzw_Monte_Carlo_bei_Strom[[#This Row],[Source.Name]],1))="Auszahlung_a","Auszahlung",""),"")</f>
        <v/>
      </c>
      <c r="D609" s="1"/>
    </row>
    <row r="610" spans="1:4" x14ac:dyDescent="0.3">
      <c r="A610" s="1"/>
      <c r="B610" s="1" t="str">
        <f>IFERROR(IF(LEFT(Sensitivität_bzw_Monte_Carlo_bei_Strom[[#This Row],[Source.Name]],SEARCH("aus_der",Sensitivität_bzw_Monte_Carlo_bei_Strom[[#This Row],[Source.Name]],1))="Auszahlung_a","Auszahlung",""),"")</f>
        <v/>
      </c>
      <c r="D610" s="1"/>
    </row>
    <row r="611" spans="1:4" x14ac:dyDescent="0.3">
      <c r="A611" s="1"/>
      <c r="B611" s="1" t="str">
        <f>IFERROR(IF(LEFT(Sensitivität_bzw_Monte_Carlo_bei_Strom[[#This Row],[Source.Name]],SEARCH("aus_der",Sensitivität_bzw_Monte_Carlo_bei_Strom[[#This Row],[Source.Name]],1))="Auszahlung_a","Auszahlung",""),"")</f>
        <v/>
      </c>
      <c r="D611" s="1"/>
    </row>
    <row r="612" spans="1:4" x14ac:dyDescent="0.3">
      <c r="A612" s="1"/>
      <c r="B612" s="1" t="str">
        <f>IFERROR(IF(LEFT(Sensitivität_bzw_Monte_Carlo_bei_Strom[[#This Row],[Source.Name]],SEARCH("aus_der",Sensitivität_bzw_Monte_Carlo_bei_Strom[[#This Row],[Source.Name]],1))="Auszahlung_a","Auszahlung",""),"")</f>
        <v/>
      </c>
      <c r="D612" s="1"/>
    </row>
    <row r="613" spans="1:4" x14ac:dyDescent="0.3">
      <c r="A613" s="1"/>
      <c r="B613" s="1" t="str">
        <f>IFERROR(IF(LEFT(Sensitivität_bzw_Monte_Carlo_bei_Strom[[#This Row],[Source.Name]],SEARCH("aus_der",Sensitivität_bzw_Monte_Carlo_bei_Strom[[#This Row],[Source.Name]],1))="Auszahlung_a","Auszahlung",""),"")</f>
        <v/>
      </c>
      <c r="D613" s="1"/>
    </row>
    <row r="614" spans="1:4" x14ac:dyDescent="0.3">
      <c r="A614" s="1"/>
      <c r="B614" s="1" t="str">
        <f>IFERROR(IF(LEFT(Sensitivität_bzw_Monte_Carlo_bei_Strom[[#This Row],[Source.Name]],SEARCH("aus_der",Sensitivität_bzw_Monte_Carlo_bei_Strom[[#This Row],[Source.Name]],1))="Auszahlung_a","Auszahlung",""),"")</f>
        <v/>
      </c>
      <c r="D614" s="1"/>
    </row>
    <row r="615" spans="1:4" x14ac:dyDescent="0.3">
      <c r="A615" s="1"/>
      <c r="B615" s="1" t="str">
        <f>IFERROR(IF(LEFT(Sensitivität_bzw_Monte_Carlo_bei_Strom[[#This Row],[Source.Name]],SEARCH("aus_der",Sensitivität_bzw_Monte_Carlo_bei_Strom[[#This Row],[Source.Name]],1))="Auszahlung_a","Auszahlung",""),"")</f>
        <v/>
      </c>
      <c r="D615" s="1"/>
    </row>
    <row r="616" spans="1:4" x14ac:dyDescent="0.3">
      <c r="A616" s="1"/>
      <c r="B616" s="1" t="str">
        <f>IFERROR(IF(LEFT(Sensitivität_bzw_Monte_Carlo_bei_Strom[[#This Row],[Source.Name]],SEARCH("aus_der",Sensitivität_bzw_Monte_Carlo_bei_Strom[[#This Row],[Source.Name]],1))="Auszahlung_a","Auszahlung",""),"")</f>
        <v/>
      </c>
      <c r="D616" s="1"/>
    </row>
    <row r="617" spans="1:4" x14ac:dyDescent="0.3">
      <c r="A617" s="1"/>
      <c r="B617" s="1" t="str">
        <f>IFERROR(IF(LEFT(Sensitivität_bzw_Monte_Carlo_bei_Strom[[#This Row],[Source.Name]],SEARCH("aus_der",Sensitivität_bzw_Monte_Carlo_bei_Strom[[#This Row],[Source.Name]],1))="Auszahlung_a","Auszahlung",""),"")</f>
        <v/>
      </c>
      <c r="D617" s="1"/>
    </row>
    <row r="618" spans="1:4" x14ac:dyDescent="0.3">
      <c r="A618" s="1"/>
      <c r="B618" s="1" t="str">
        <f>IFERROR(IF(LEFT(Sensitivität_bzw_Monte_Carlo_bei_Strom[[#This Row],[Source.Name]],SEARCH("aus_der",Sensitivität_bzw_Monte_Carlo_bei_Strom[[#This Row],[Source.Name]],1))="Auszahlung_a","Auszahlung",""),"")</f>
        <v/>
      </c>
      <c r="D618" s="1"/>
    </row>
    <row r="619" spans="1:4" x14ac:dyDescent="0.3">
      <c r="A619" s="1"/>
      <c r="B619" s="1" t="str">
        <f>IFERROR(IF(LEFT(Sensitivität_bzw_Monte_Carlo_bei_Strom[[#This Row],[Source.Name]],SEARCH("aus_der",Sensitivität_bzw_Monte_Carlo_bei_Strom[[#This Row],[Source.Name]],1))="Auszahlung_a","Auszahlung",""),"")</f>
        <v/>
      </c>
      <c r="D619" s="1"/>
    </row>
    <row r="620" spans="1:4" x14ac:dyDescent="0.3">
      <c r="A620" s="1"/>
      <c r="B620" s="1" t="str">
        <f>IFERROR(IF(LEFT(Sensitivität_bzw_Monte_Carlo_bei_Strom[[#This Row],[Source.Name]],SEARCH("aus_der",Sensitivität_bzw_Monte_Carlo_bei_Strom[[#This Row],[Source.Name]],1))="Auszahlung_a","Auszahlung",""),"")</f>
        <v/>
      </c>
      <c r="D620" s="1"/>
    </row>
    <row r="621" spans="1:4" x14ac:dyDescent="0.3">
      <c r="A621" s="1"/>
      <c r="B621" s="1" t="str">
        <f>IFERROR(IF(LEFT(Sensitivität_bzw_Monte_Carlo_bei_Strom[[#This Row],[Source.Name]],SEARCH("aus_der",Sensitivität_bzw_Monte_Carlo_bei_Strom[[#This Row],[Source.Name]],1))="Auszahlung_a","Auszahlung",""),"")</f>
        <v/>
      </c>
      <c r="D621" s="1"/>
    </row>
    <row r="622" spans="1:4" x14ac:dyDescent="0.3">
      <c r="A622" s="1"/>
      <c r="B622" s="1" t="str">
        <f>IFERROR(IF(LEFT(Sensitivität_bzw_Monte_Carlo_bei_Strom[[#This Row],[Source.Name]],SEARCH("aus_der",Sensitivität_bzw_Monte_Carlo_bei_Strom[[#This Row],[Source.Name]],1))="Auszahlung_a","Auszahlung",""),"")</f>
        <v/>
      </c>
      <c r="D622" s="1"/>
    </row>
    <row r="623" spans="1:4" x14ac:dyDescent="0.3">
      <c r="A623" s="1"/>
      <c r="B623" s="1" t="str">
        <f>IFERROR(IF(LEFT(Sensitivität_bzw_Monte_Carlo_bei_Strom[[#This Row],[Source.Name]],SEARCH("aus_der",Sensitivität_bzw_Monte_Carlo_bei_Strom[[#This Row],[Source.Name]],1))="Auszahlung_a","Auszahlung",""),"")</f>
        <v/>
      </c>
      <c r="D623" s="1"/>
    </row>
    <row r="624" spans="1:4" x14ac:dyDescent="0.3">
      <c r="A624" s="1"/>
      <c r="B624" s="1" t="str">
        <f>IFERROR(IF(LEFT(Sensitivität_bzw_Monte_Carlo_bei_Strom[[#This Row],[Source.Name]],SEARCH("aus_der",Sensitivität_bzw_Monte_Carlo_bei_Strom[[#This Row],[Source.Name]],1))="Auszahlung_a","Auszahlung",""),"")</f>
        <v/>
      </c>
      <c r="D624" s="1"/>
    </row>
    <row r="625" spans="1:4" x14ac:dyDescent="0.3">
      <c r="A625" s="1"/>
      <c r="B625" s="1" t="str">
        <f>IFERROR(IF(LEFT(Sensitivität_bzw_Monte_Carlo_bei_Strom[[#This Row],[Source.Name]],SEARCH("aus_der",Sensitivität_bzw_Monte_Carlo_bei_Strom[[#This Row],[Source.Name]],1))="Auszahlung_a","Auszahlung",""),"")</f>
        <v/>
      </c>
      <c r="D625" s="1"/>
    </row>
    <row r="626" spans="1:4" x14ac:dyDescent="0.3">
      <c r="A626" s="1"/>
      <c r="B626" s="1" t="str">
        <f>IFERROR(IF(LEFT(Sensitivität_bzw_Monte_Carlo_bei_Strom[[#This Row],[Source.Name]],SEARCH("aus_der",Sensitivität_bzw_Monte_Carlo_bei_Strom[[#This Row],[Source.Name]],1))="Auszahlung_a","Auszahlung",""),"")</f>
        <v/>
      </c>
      <c r="D626" s="1"/>
    </row>
    <row r="627" spans="1:4" x14ac:dyDescent="0.3">
      <c r="A627" s="1"/>
      <c r="B627" s="1" t="str">
        <f>IFERROR(IF(LEFT(Sensitivität_bzw_Monte_Carlo_bei_Strom[[#This Row],[Source.Name]],SEARCH("aus_der",Sensitivität_bzw_Monte_Carlo_bei_Strom[[#This Row],[Source.Name]],1))="Auszahlung_a","Auszahlung",""),"")</f>
        <v/>
      </c>
      <c r="D627" s="1"/>
    </row>
    <row r="628" spans="1:4" x14ac:dyDescent="0.3">
      <c r="A628" s="1"/>
      <c r="B628" s="1" t="str">
        <f>IFERROR(IF(LEFT(Sensitivität_bzw_Monte_Carlo_bei_Strom[[#This Row],[Source.Name]],SEARCH("aus_der",Sensitivität_bzw_Monte_Carlo_bei_Strom[[#This Row],[Source.Name]],1))="Auszahlung_a","Auszahlung",""),"")</f>
        <v/>
      </c>
      <c r="D628" s="1"/>
    </row>
    <row r="629" spans="1:4" x14ac:dyDescent="0.3">
      <c r="A629" s="1"/>
      <c r="B629" s="1" t="str">
        <f>IFERROR(IF(LEFT(Sensitivität_bzw_Monte_Carlo_bei_Strom[[#This Row],[Source.Name]],SEARCH("aus_der",Sensitivität_bzw_Monte_Carlo_bei_Strom[[#This Row],[Source.Name]],1))="Auszahlung_a","Auszahlung",""),"")</f>
        <v/>
      </c>
      <c r="D629" s="1"/>
    </row>
    <row r="630" spans="1:4" x14ac:dyDescent="0.3">
      <c r="A630" s="1"/>
      <c r="B630" s="1" t="str">
        <f>IFERROR(IF(LEFT(Sensitivität_bzw_Monte_Carlo_bei_Strom[[#This Row],[Source.Name]],SEARCH("aus_der",Sensitivität_bzw_Monte_Carlo_bei_Strom[[#This Row],[Source.Name]],1))="Auszahlung_a","Auszahlung",""),"")</f>
        <v/>
      </c>
      <c r="D630" s="1"/>
    </row>
    <row r="631" spans="1:4" x14ac:dyDescent="0.3">
      <c r="A631" s="1"/>
      <c r="B631" s="1" t="str">
        <f>IFERROR(IF(LEFT(Sensitivität_bzw_Monte_Carlo_bei_Strom[[#This Row],[Source.Name]],SEARCH("aus_der",Sensitivität_bzw_Monte_Carlo_bei_Strom[[#This Row],[Source.Name]],1))="Auszahlung_a","Auszahlung",""),"")</f>
        <v/>
      </c>
      <c r="D631" s="1"/>
    </row>
    <row r="632" spans="1:4" x14ac:dyDescent="0.3">
      <c r="A632" s="1"/>
      <c r="B632" s="1" t="str">
        <f>IFERROR(IF(LEFT(Sensitivität_bzw_Monte_Carlo_bei_Strom[[#This Row],[Source.Name]],SEARCH("aus_der",Sensitivität_bzw_Monte_Carlo_bei_Strom[[#This Row],[Source.Name]],1))="Auszahlung_a","Auszahlung",""),"")</f>
        <v/>
      </c>
      <c r="D632" s="1"/>
    </row>
    <row r="633" spans="1:4" x14ac:dyDescent="0.3">
      <c r="A633" s="1"/>
      <c r="B633" s="1" t="str">
        <f>IFERROR(IF(LEFT(Sensitivität_bzw_Monte_Carlo_bei_Strom[[#This Row],[Source.Name]],SEARCH("aus_der",Sensitivität_bzw_Monte_Carlo_bei_Strom[[#This Row],[Source.Name]],1))="Auszahlung_a","Auszahlung",""),"")</f>
        <v/>
      </c>
      <c r="D633" s="1"/>
    </row>
    <row r="634" spans="1:4" x14ac:dyDescent="0.3">
      <c r="A634" s="1"/>
      <c r="B634" s="1" t="str">
        <f>IFERROR(IF(LEFT(Sensitivität_bzw_Monte_Carlo_bei_Strom[[#This Row],[Source.Name]],SEARCH("aus_der",Sensitivität_bzw_Monte_Carlo_bei_Strom[[#This Row],[Source.Name]],1))="Auszahlung_a","Auszahlung",""),"")</f>
        <v/>
      </c>
      <c r="D634" s="1"/>
    </row>
    <row r="635" spans="1:4" x14ac:dyDescent="0.3">
      <c r="A635" s="1"/>
      <c r="B635" s="1" t="str">
        <f>IFERROR(IF(LEFT(Sensitivität_bzw_Monte_Carlo_bei_Strom[[#This Row],[Source.Name]],SEARCH("aus_der",Sensitivität_bzw_Monte_Carlo_bei_Strom[[#This Row],[Source.Name]],1))="Auszahlung_a","Auszahlung",""),"")</f>
        <v/>
      </c>
      <c r="D635" s="1"/>
    </row>
    <row r="636" spans="1:4" x14ac:dyDescent="0.3">
      <c r="A636" s="1"/>
      <c r="B636" s="1" t="str">
        <f>IFERROR(IF(LEFT(Sensitivität_bzw_Monte_Carlo_bei_Strom[[#This Row],[Source.Name]],SEARCH("aus_der",Sensitivität_bzw_Monte_Carlo_bei_Strom[[#This Row],[Source.Name]],1))="Auszahlung_a","Auszahlung",""),"")</f>
        <v/>
      </c>
      <c r="D636" s="1"/>
    </row>
    <row r="637" spans="1:4" x14ac:dyDescent="0.3">
      <c r="A637" s="1"/>
      <c r="B637" s="1" t="str">
        <f>IFERROR(IF(LEFT(Sensitivität_bzw_Monte_Carlo_bei_Strom[[#This Row],[Source.Name]],SEARCH("aus_der",Sensitivität_bzw_Monte_Carlo_bei_Strom[[#This Row],[Source.Name]],1))="Auszahlung_a","Auszahlung",""),"")</f>
        <v/>
      </c>
      <c r="D637" s="1"/>
    </row>
    <row r="638" spans="1:4" x14ac:dyDescent="0.3">
      <c r="A638" s="1"/>
      <c r="B638" s="1" t="str">
        <f>IFERROR(IF(LEFT(Sensitivität_bzw_Monte_Carlo_bei_Strom[[#This Row],[Source.Name]],SEARCH("aus_der",Sensitivität_bzw_Monte_Carlo_bei_Strom[[#This Row],[Source.Name]],1))="Auszahlung_a","Auszahlung",""),"")</f>
        <v/>
      </c>
      <c r="D638" s="1"/>
    </row>
    <row r="639" spans="1:4" x14ac:dyDescent="0.3">
      <c r="A639" s="1"/>
      <c r="B639" s="1" t="str">
        <f>IFERROR(IF(LEFT(Sensitivität_bzw_Monte_Carlo_bei_Strom[[#This Row],[Source.Name]],SEARCH("aus_der",Sensitivität_bzw_Monte_Carlo_bei_Strom[[#This Row],[Source.Name]],1))="Auszahlung_a","Auszahlung",""),"")</f>
        <v/>
      </c>
      <c r="D639" s="1"/>
    </row>
    <row r="640" spans="1:4" x14ac:dyDescent="0.3">
      <c r="A640" s="1"/>
      <c r="B640" s="1" t="str">
        <f>IFERROR(IF(LEFT(Sensitivität_bzw_Monte_Carlo_bei_Strom[[#This Row],[Source.Name]],SEARCH("aus_der",Sensitivität_bzw_Monte_Carlo_bei_Strom[[#This Row],[Source.Name]],1))="Auszahlung_a","Auszahlung",""),"")</f>
        <v/>
      </c>
      <c r="D640" s="1"/>
    </row>
    <row r="641" spans="1:4" x14ac:dyDescent="0.3">
      <c r="A641" s="1"/>
      <c r="B641" s="1" t="str">
        <f>IFERROR(IF(LEFT(Sensitivität_bzw_Monte_Carlo_bei_Strom[[#This Row],[Source.Name]],SEARCH("aus_der",Sensitivität_bzw_Monte_Carlo_bei_Strom[[#This Row],[Source.Name]],1))="Auszahlung_a","Auszahlung",""),"")</f>
        <v/>
      </c>
      <c r="D641" s="1"/>
    </row>
    <row r="642" spans="1:4" x14ac:dyDescent="0.3">
      <c r="A642" s="1"/>
      <c r="B642" s="1" t="str">
        <f>IFERROR(IF(LEFT(Sensitivität_bzw_Monte_Carlo_bei_Strom[[#This Row],[Source.Name]],SEARCH("aus_der",Sensitivität_bzw_Monte_Carlo_bei_Strom[[#This Row],[Source.Name]],1))="Auszahlung_a","Auszahlung",""),"")</f>
        <v/>
      </c>
      <c r="D642" s="1"/>
    </row>
    <row r="643" spans="1:4" x14ac:dyDescent="0.3">
      <c r="A643" s="1"/>
      <c r="B643" s="1" t="str">
        <f>IFERROR(IF(LEFT(Sensitivität_bzw_Monte_Carlo_bei_Strom[[#This Row],[Source.Name]],SEARCH("aus_der",Sensitivität_bzw_Monte_Carlo_bei_Strom[[#This Row],[Source.Name]],1))="Auszahlung_a","Auszahlung",""),"")</f>
        <v/>
      </c>
      <c r="D643" s="1"/>
    </row>
    <row r="644" spans="1:4" x14ac:dyDescent="0.3">
      <c r="A644" s="1"/>
      <c r="B644" s="1" t="str">
        <f>IFERROR(IF(LEFT(Sensitivität_bzw_Monte_Carlo_bei_Strom[[#This Row],[Source.Name]],SEARCH("aus_der",Sensitivität_bzw_Monte_Carlo_bei_Strom[[#This Row],[Source.Name]],1))="Auszahlung_a","Auszahlung",""),"")</f>
        <v/>
      </c>
      <c r="D644" s="1"/>
    </row>
    <row r="645" spans="1:4" x14ac:dyDescent="0.3">
      <c r="A645" s="1"/>
      <c r="B645" s="1" t="str">
        <f>IFERROR(IF(LEFT(Sensitivität_bzw_Monte_Carlo_bei_Strom[[#This Row],[Source.Name]],SEARCH("aus_der",Sensitivität_bzw_Monte_Carlo_bei_Strom[[#This Row],[Source.Name]],1))="Auszahlung_a","Auszahlung",""),"")</f>
        <v/>
      </c>
      <c r="D645" s="1"/>
    </row>
    <row r="646" spans="1:4" x14ac:dyDescent="0.3">
      <c r="A646" s="1"/>
      <c r="B646" s="1" t="str">
        <f>IFERROR(IF(LEFT(Sensitivität_bzw_Monte_Carlo_bei_Strom[[#This Row],[Source.Name]],SEARCH("aus_der",Sensitivität_bzw_Monte_Carlo_bei_Strom[[#This Row],[Source.Name]],1))="Auszahlung_a","Auszahlung",""),"")</f>
        <v/>
      </c>
      <c r="D646" s="1"/>
    </row>
    <row r="647" spans="1:4" x14ac:dyDescent="0.3">
      <c r="A647" s="1"/>
      <c r="B647" s="1" t="str">
        <f>IFERROR(IF(LEFT(Sensitivität_bzw_Monte_Carlo_bei_Strom[[#This Row],[Source.Name]],SEARCH("aus_der",Sensitivität_bzw_Monte_Carlo_bei_Strom[[#This Row],[Source.Name]],1))="Auszahlung_a","Auszahlung",""),"")</f>
        <v/>
      </c>
      <c r="D647" s="1"/>
    </row>
    <row r="648" spans="1:4" x14ac:dyDescent="0.3">
      <c r="A648" s="1"/>
      <c r="B648" s="1" t="str">
        <f>IFERROR(IF(LEFT(Sensitivität_bzw_Monte_Carlo_bei_Strom[[#This Row],[Source.Name]],SEARCH("aus_der",Sensitivität_bzw_Monte_Carlo_bei_Strom[[#This Row],[Source.Name]],1))="Auszahlung_a","Auszahlung",""),"")</f>
        <v/>
      </c>
      <c r="D648" s="1"/>
    </row>
    <row r="649" spans="1:4" x14ac:dyDescent="0.3">
      <c r="A649" s="1"/>
      <c r="B649" s="1" t="str">
        <f>IFERROR(IF(LEFT(Sensitivität_bzw_Monte_Carlo_bei_Strom[[#This Row],[Source.Name]],SEARCH("aus_der",Sensitivität_bzw_Monte_Carlo_bei_Strom[[#This Row],[Source.Name]],1))="Auszahlung_a","Auszahlung",""),"")</f>
        <v/>
      </c>
      <c r="D649" s="1"/>
    </row>
    <row r="650" spans="1:4" x14ac:dyDescent="0.3">
      <c r="A650" s="1"/>
      <c r="B650" s="1" t="str">
        <f>IFERROR(IF(LEFT(Sensitivität_bzw_Monte_Carlo_bei_Strom[[#This Row],[Source.Name]],SEARCH("aus_der",Sensitivität_bzw_Monte_Carlo_bei_Strom[[#This Row],[Source.Name]],1))="Auszahlung_a","Auszahlung",""),"")</f>
        <v/>
      </c>
      <c r="D650" s="1"/>
    </row>
    <row r="651" spans="1:4" x14ac:dyDescent="0.3">
      <c r="A651" s="1"/>
      <c r="B651" s="1" t="str">
        <f>IFERROR(IF(LEFT(Sensitivität_bzw_Monte_Carlo_bei_Strom[[#This Row],[Source.Name]],SEARCH("aus_der",Sensitivität_bzw_Monte_Carlo_bei_Strom[[#This Row],[Source.Name]],1))="Auszahlung_a","Auszahlung",""),"")</f>
        <v/>
      </c>
      <c r="D651" s="1"/>
    </row>
    <row r="652" spans="1:4" x14ac:dyDescent="0.3">
      <c r="A652" s="1"/>
      <c r="B652" s="1" t="str">
        <f>IFERROR(IF(LEFT(Sensitivität_bzw_Monte_Carlo_bei_Strom[[#This Row],[Source.Name]],SEARCH("aus_der",Sensitivität_bzw_Monte_Carlo_bei_Strom[[#This Row],[Source.Name]],1))="Auszahlung_a","Auszahlung",""),"")</f>
        <v/>
      </c>
      <c r="D652" s="1"/>
    </row>
    <row r="653" spans="1:4" x14ac:dyDescent="0.3">
      <c r="A653" s="1"/>
      <c r="B653" s="1" t="str">
        <f>IFERROR(IF(LEFT(Sensitivität_bzw_Monte_Carlo_bei_Strom[[#This Row],[Source.Name]],SEARCH("aus_der",Sensitivität_bzw_Monte_Carlo_bei_Strom[[#This Row],[Source.Name]],1))="Auszahlung_a","Auszahlung",""),"")</f>
        <v/>
      </c>
      <c r="D653" s="1"/>
    </row>
    <row r="654" spans="1:4" x14ac:dyDescent="0.3">
      <c r="A654" s="1"/>
      <c r="B654" s="1" t="str">
        <f>IFERROR(IF(LEFT(Sensitivität_bzw_Monte_Carlo_bei_Strom[[#This Row],[Source.Name]],SEARCH("aus_der",Sensitivität_bzw_Monte_Carlo_bei_Strom[[#This Row],[Source.Name]],1))="Auszahlung_a","Auszahlung",""),"")</f>
        <v/>
      </c>
      <c r="D654" s="1"/>
    </row>
    <row r="655" spans="1:4" x14ac:dyDescent="0.3">
      <c r="A655" s="1"/>
      <c r="B655" s="1" t="str">
        <f>IFERROR(IF(LEFT(Sensitivität_bzw_Monte_Carlo_bei_Strom[[#This Row],[Source.Name]],SEARCH("aus_der",Sensitivität_bzw_Monte_Carlo_bei_Strom[[#This Row],[Source.Name]],1))="Auszahlung_a","Auszahlung",""),"")</f>
        <v/>
      </c>
      <c r="D655" s="1"/>
    </row>
    <row r="656" spans="1:4" x14ac:dyDescent="0.3">
      <c r="A656" s="1"/>
      <c r="B656" s="1" t="str">
        <f>IFERROR(IF(LEFT(Sensitivität_bzw_Monte_Carlo_bei_Strom[[#This Row],[Source.Name]],SEARCH("aus_der",Sensitivität_bzw_Monte_Carlo_bei_Strom[[#This Row],[Source.Name]],1))="Auszahlung_a","Auszahlung",""),"")</f>
        <v/>
      </c>
      <c r="D656" s="1"/>
    </row>
    <row r="657" spans="1:4" x14ac:dyDescent="0.3">
      <c r="A657" s="1"/>
      <c r="B657" s="1" t="str">
        <f>IFERROR(IF(LEFT(Sensitivität_bzw_Monte_Carlo_bei_Strom[[#This Row],[Source.Name]],SEARCH("aus_der",Sensitivität_bzw_Monte_Carlo_bei_Strom[[#This Row],[Source.Name]],1))="Auszahlung_a","Auszahlung",""),"")</f>
        <v/>
      </c>
      <c r="D657" s="1"/>
    </row>
    <row r="658" spans="1:4" x14ac:dyDescent="0.3">
      <c r="A658" s="1"/>
      <c r="B658" s="1" t="str">
        <f>IFERROR(IF(LEFT(Sensitivität_bzw_Monte_Carlo_bei_Strom[[#This Row],[Source.Name]],SEARCH("aus_der",Sensitivität_bzw_Monte_Carlo_bei_Strom[[#This Row],[Source.Name]],1))="Auszahlung_a","Auszahlung",""),"")</f>
        <v/>
      </c>
      <c r="D658" s="1"/>
    </row>
    <row r="659" spans="1:4" x14ac:dyDescent="0.3">
      <c r="A659" s="1"/>
      <c r="B659" s="1" t="str">
        <f>IFERROR(IF(LEFT(Sensitivität_bzw_Monte_Carlo_bei_Strom[[#This Row],[Source.Name]],SEARCH("aus_der",Sensitivität_bzw_Monte_Carlo_bei_Strom[[#This Row],[Source.Name]],1))="Auszahlung_a","Auszahlung",""),"")</f>
        <v/>
      </c>
      <c r="D659" s="1"/>
    </row>
    <row r="660" spans="1:4" x14ac:dyDescent="0.3">
      <c r="A660" s="1"/>
      <c r="B660" s="1" t="str">
        <f>IFERROR(IF(LEFT(Sensitivität_bzw_Monte_Carlo_bei_Strom[[#This Row],[Source.Name]],SEARCH("aus_der",Sensitivität_bzw_Monte_Carlo_bei_Strom[[#This Row],[Source.Name]],1))="Auszahlung_a","Auszahlung",""),"")</f>
        <v/>
      </c>
      <c r="D660" s="1"/>
    </row>
    <row r="661" spans="1:4" x14ac:dyDescent="0.3">
      <c r="A661" s="1"/>
      <c r="B661" s="1" t="str">
        <f>IFERROR(IF(LEFT(Sensitivität_bzw_Monte_Carlo_bei_Strom[[#This Row],[Source.Name]],SEARCH("aus_der",Sensitivität_bzw_Monte_Carlo_bei_Strom[[#This Row],[Source.Name]],1))="Auszahlung_a","Auszahlung",""),"")</f>
        <v/>
      </c>
      <c r="D661" s="1"/>
    </row>
    <row r="662" spans="1:4" x14ac:dyDescent="0.3">
      <c r="A662" s="1"/>
      <c r="B662" s="1" t="str">
        <f>IFERROR(IF(LEFT(Sensitivität_bzw_Monte_Carlo_bei_Strom[[#This Row],[Source.Name]],SEARCH("aus_der",Sensitivität_bzw_Monte_Carlo_bei_Strom[[#This Row],[Source.Name]],1))="Auszahlung_a","Auszahlung",""),"")</f>
        <v/>
      </c>
      <c r="D662" s="1"/>
    </row>
    <row r="663" spans="1:4" x14ac:dyDescent="0.3">
      <c r="A663" s="1"/>
      <c r="B663" s="1" t="str">
        <f>IFERROR(IF(LEFT(Sensitivität_bzw_Monte_Carlo_bei_Strom[[#This Row],[Source.Name]],SEARCH("aus_der",Sensitivität_bzw_Monte_Carlo_bei_Strom[[#This Row],[Source.Name]],1))="Auszahlung_a","Auszahlung",""),"")</f>
        <v/>
      </c>
      <c r="D663" s="1"/>
    </row>
    <row r="664" spans="1:4" x14ac:dyDescent="0.3">
      <c r="A664" s="1"/>
      <c r="B664" s="1" t="str">
        <f>IFERROR(IF(LEFT(Sensitivität_bzw_Monte_Carlo_bei_Strom[[#This Row],[Source.Name]],SEARCH("aus_der",Sensitivität_bzw_Monte_Carlo_bei_Strom[[#This Row],[Source.Name]],1))="Auszahlung_a","Auszahlung",""),"")</f>
        <v/>
      </c>
      <c r="D664" s="1"/>
    </row>
    <row r="665" spans="1:4" x14ac:dyDescent="0.3">
      <c r="A665" s="1"/>
      <c r="B665" s="1" t="str">
        <f>IFERROR(IF(LEFT(Sensitivität_bzw_Monte_Carlo_bei_Strom[[#This Row],[Source.Name]],SEARCH("aus_der",Sensitivität_bzw_Monte_Carlo_bei_Strom[[#This Row],[Source.Name]],1))="Auszahlung_a","Auszahlung",""),"")</f>
        <v/>
      </c>
      <c r="D665" s="1"/>
    </row>
    <row r="666" spans="1:4" x14ac:dyDescent="0.3">
      <c r="A666" s="1"/>
      <c r="B666" s="1" t="str">
        <f>IFERROR(IF(LEFT(Sensitivität_bzw_Monte_Carlo_bei_Strom[[#This Row],[Source.Name]],SEARCH("aus_der",Sensitivität_bzw_Monte_Carlo_bei_Strom[[#This Row],[Source.Name]],1))="Auszahlung_a","Auszahlung",""),"")</f>
        <v/>
      </c>
      <c r="D666" s="1"/>
    </row>
    <row r="667" spans="1:4" x14ac:dyDescent="0.3">
      <c r="A667" s="1"/>
      <c r="B667" s="1" t="str">
        <f>IFERROR(IF(LEFT(Sensitivität_bzw_Monte_Carlo_bei_Strom[[#This Row],[Source.Name]],SEARCH("aus_der",Sensitivität_bzw_Monte_Carlo_bei_Strom[[#This Row],[Source.Name]],1))="Auszahlung_a","Auszahlung",""),"")</f>
        <v/>
      </c>
      <c r="D667" s="1"/>
    </row>
    <row r="668" spans="1:4" x14ac:dyDescent="0.3">
      <c r="A668" s="1"/>
      <c r="B668" s="1" t="str">
        <f>IFERROR(IF(LEFT(Sensitivität_bzw_Monte_Carlo_bei_Strom[[#This Row],[Source.Name]],SEARCH("aus_der",Sensitivität_bzw_Monte_Carlo_bei_Strom[[#This Row],[Source.Name]],1))="Auszahlung_a","Auszahlung",""),"")</f>
        <v/>
      </c>
      <c r="D668" s="1"/>
    </row>
    <row r="669" spans="1:4" x14ac:dyDescent="0.3">
      <c r="A669" s="1"/>
      <c r="B669" s="1" t="str">
        <f>IFERROR(IF(LEFT(Sensitivität_bzw_Monte_Carlo_bei_Strom[[#This Row],[Source.Name]],SEARCH("aus_der",Sensitivität_bzw_Monte_Carlo_bei_Strom[[#This Row],[Source.Name]],1))="Auszahlung_a","Auszahlung",""),"")</f>
        <v/>
      </c>
      <c r="D669" s="1"/>
    </row>
    <row r="670" spans="1:4" x14ac:dyDescent="0.3">
      <c r="A670" s="1"/>
      <c r="B670" s="1" t="str">
        <f>IFERROR(IF(LEFT(Sensitivität_bzw_Monte_Carlo_bei_Strom[[#This Row],[Source.Name]],SEARCH("aus_der",Sensitivität_bzw_Monte_Carlo_bei_Strom[[#This Row],[Source.Name]],1))="Auszahlung_a","Auszahlung",""),"")</f>
        <v/>
      </c>
      <c r="D670" s="1"/>
    </row>
    <row r="671" spans="1:4" x14ac:dyDescent="0.3">
      <c r="A671" s="1"/>
      <c r="B671" s="1" t="str">
        <f>IFERROR(IF(LEFT(Sensitivität_bzw_Monte_Carlo_bei_Strom[[#This Row],[Source.Name]],SEARCH("aus_der",Sensitivität_bzw_Monte_Carlo_bei_Strom[[#This Row],[Source.Name]],1))="Auszahlung_a","Auszahlung",""),"")</f>
        <v/>
      </c>
      <c r="D671" s="1"/>
    </row>
    <row r="672" spans="1:4" x14ac:dyDescent="0.3">
      <c r="A672" s="1"/>
      <c r="B672" s="1" t="str">
        <f>IFERROR(IF(LEFT(Sensitivität_bzw_Monte_Carlo_bei_Strom[[#This Row],[Source.Name]],SEARCH("aus_der",Sensitivität_bzw_Monte_Carlo_bei_Strom[[#This Row],[Source.Name]],1))="Auszahlung_a","Auszahlung",""),"")</f>
        <v/>
      </c>
      <c r="D672" s="1"/>
    </row>
    <row r="673" spans="1:4" x14ac:dyDescent="0.3">
      <c r="A673" s="1"/>
      <c r="B673" s="1" t="str">
        <f>IFERROR(IF(LEFT(Sensitivität_bzw_Monte_Carlo_bei_Strom[[#This Row],[Source.Name]],SEARCH("aus_der",Sensitivität_bzw_Monte_Carlo_bei_Strom[[#This Row],[Source.Name]],1))="Auszahlung_a","Auszahlung",""),"")</f>
        <v/>
      </c>
      <c r="D673" s="1"/>
    </row>
    <row r="674" spans="1:4" x14ac:dyDescent="0.3">
      <c r="A674" s="1"/>
      <c r="B674" s="1" t="str">
        <f>IFERROR(IF(LEFT(Sensitivität_bzw_Monte_Carlo_bei_Strom[[#This Row],[Source.Name]],SEARCH("aus_der",Sensitivität_bzw_Monte_Carlo_bei_Strom[[#This Row],[Source.Name]],1))="Auszahlung_a","Auszahlung",""),"")</f>
        <v/>
      </c>
      <c r="D674" s="1"/>
    </row>
    <row r="675" spans="1:4" x14ac:dyDescent="0.3">
      <c r="A675" s="1"/>
      <c r="B675" s="1" t="str">
        <f>IFERROR(IF(LEFT(Sensitivität_bzw_Monte_Carlo_bei_Strom[[#This Row],[Source.Name]],SEARCH("aus_der",Sensitivität_bzw_Monte_Carlo_bei_Strom[[#This Row],[Source.Name]],1))="Auszahlung_a","Auszahlung",""),"")</f>
        <v/>
      </c>
      <c r="D675" s="1"/>
    </row>
    <row r="676" spans="1:4" x14ac:dyDescent="0.3">
      <c r="A676" s="1"/>
      <c r="B676" s="1" t="str">
        <f>IFERROR(IF(LEFT(Sensitivität_bzw_Monte_Carlo_bei_Strom[[#This Row],[Source.Name]],SEARCH("aus_der",Sensitivität_bzw_Monte_Carlo_bei_Strom[[#This Row],[Source.Name]],1))="Auszahlung_a","Auszahlung",""),"")</f>
        <v/>
      </c>
      <c r="D676" s="1"/>
    </row>
    <row r="677" spans="1:4" x14ac:dyDescent="0.3">
      <c r="A677" s="1"/>
      <c r="B677" s="1" t="str">
        <f>IFERROR(IF(LEFT(Sensitivität_bzw_Monte_Carlo_bei_Strom[[#This Row],[Source.Name]],SEARCH("aus_der",Sensitivität_bzw_Monte_Carlo_bei_Strom[[#This Row],[Source.Name]],1))="Auszahlung_a","Auszahlung",""),"")</f>
        <v/>
      </c>
      <c r="D677" s="1"/>
    </row>
    <row r="678" spans="1:4" x14ac:dyDescent="0.3">
      <c r="A678" s="1"/>
      <c r="B678" s="1" t="str">
        <f>IFERROR(IF(LEFT(Sensitivität_bzw_Monte_Carlo_bei_Strom[[#This Row],[Source.Name]],SEARCH("aus_der",Sensitivität_bzw_Monte_Carlo_bei_Strom[[#This Row],[Source.Name]],1))="Auszahlung_a","Auszahlung",""),"")</f>
        <v/>
      </c>
      <c r="D678" s="1"/>
    </row>
    <row r="679" spans="1:4" x14ac:dyDescent="0.3">
      <c r="A679" s="1"/>
      <c r="B679" s="1" t="str">
        <f>IFERROR(IF(LEFT(Sensitivität_bzw_Monte_Carlo_bei_Strom[[#This Row],[Source.Name]],SEARCH("aus_der",Sensitivität_bzw_Monte_Carlo_bei_Strom[[#This Row],[Source.Name]],1))="Auszahlung_a","Auszahlung",""),"")</f>
        <v/>
      </c>
      <c r="D679" s="1"/>
    </row>
    <row r="680" spans="1:4" x14ac:dyDescent="0.3">
      <c r="A680" s="1"/>
      <c r="B680" s="1" t="str">
        <f>IFERROR(IF(LEFT(Sensitivität_bzw_Monte_Carlo_bei_Strom[[#This Row],[Source.Name]],SEARCH("aus_der",Sensitivität_bzw_Monte_Carlo_bei_Strom[[#This Row],[Source.Name]],1))="Auszahlung_a","Auszahlung",""),"")</f>
        <v/>
      </c>
      <c r="D680" s="1"/>
    </row>
    <row r="681" spans="1:4" x14ac:dyDescent="0.3">
      <c r="A681" s="1"/>
      <c r="B681" s="1" t="str">
        <f>IFERROR(IF(LEFT(Sensitivität_bzw_Monte_Carlo_bei_Strom[[#This Row],[Source.Name]],SEARCH("aus_der",Sensitivität_bzw_Monte_Carlo_bei_Strom[[#This Row],[Source.Name]],1))="Auszahlung_a","Auszahlung",""),"")</f>
        <v/>
      </c>
      <c r="D681" s="1"/>
    </row>
    <row r="682" spans="1:4" x14ac:dyDescent="0.3">
      <c r="A682" s="1"/>
      <c r="B682" s="1" t="str">
        <f>IFERROR(IF(LEFT(Sensitivität_bzw_Monte_Carlo_bei_Strom[[#This Row],[Source.Name]],SEARCH("aus_der",Sensitivität_bzw_Monte_Carlo_bei_Strom[[#This Row],[Source.Name]],1))="Auszahlung_a","Auszahlung",""),"")</f>
        <v/>
      </c>
      <c r="D682" s="1"/>
    </row>
    <row r="683" spans="1:4" x14ac:dyDescent="0.3">
      <c r="A683" s="1"/>
      <c r="B683" s="1" t="str">
        <f>IFERROR(IF(LEFT(Sensitivität_bzw_Monte_Carlo_bei_Strom[[#This Row],[Source.Name]],SEARCH("aus_der",Sensitivität_bzw_Monte_Carlo_bei_Strom[[#This Row],[Source.Name]],1))="Auszahlung_a","Auszahlung",""),"")</f>
        <v/>
      </c>
      <c r="D683" s="1"/>
    </row>
    <row r="684" spans="1:4" x14ac:dyDescent="0.3">
      <c r="A684" s="1"/>
      <c r="B684" s="1" t="str">
        <f>IFERROR(IF(LEFT(Sensitivität_bzw_Monte_Carlo_bei_Strom[[#This Row],[Source.Name]],SEARCH("aus_der",Sensitivität_bzw_Monte_Carlo_bei_Strom[[#This Row],[Source.Name]],1))="Auszahlung_a","Auszahlung",""),"")</f>
        <v/>
      </c>
      <c r="D684" s="1"/>
    </row>
    <row r="685" spans="1:4" x14ac:dyDescent="0.3">
      <c r="A685" s="1"/>
      <c r="B685" s="1" t="str">
        <f>IFERROR(IF(LEFT(Sensitivität_bzw_Monte_Carlo_bei_Strom[[#This Row],[Source.Name]],SEARCH("aus_der",Sensitivität_bzw_Monte_Carlo_bei_Strom[[#This Row],[Source.Name]],1))="Auszahlung_a","Auszahlung",""),"")</f>
        <v/>
      </c>
      <c r="D685" s="1"/>
    </row>
    <row r="686" spans="1:4" x14ac:dyDescent="0.3">
      <c r="A686" s="1"/>
      <c r="B686" s="1" t="str">
        <f>IFERROR(IF(LEFT(Sensitivität_bzw_Monte_Carlo_bei_Strom[[#This Row],[Source.Name]],SEARCH("aus_der",Sensitivität_bzw_Monte_Carlo_bei_Strom[[#This Row],[Source.Name]],1))="Auszahlung_a","Auszahlung",""),"")</f>
        <v/>
      </c>
      <c r="D686" s="1"/>
    </row>
    <row r="687" spans="1:4" x14ac:dyDescent="0.3">
      <c r="A687" s="1"/>
      <c r="B687" s="1" t="str">
        <f>IFERROR(IF(LEFT(Sensitivität_bzw_Monte_Carlo_bei_Strom[[#This Row],[Source.Name]],SEARCH("aus_der",Sensitivität_bzw_Monte_Carlo_bei_Strom[[#This Row],[Source.Name]],1))="Auszahlung_a","Auszahlung",""),"")</f>
        <v/>
      </c>
      <c r="D687" s="1"/>
    </row>
    <row r="688" spans="1:4" x14ac:dyDescent="0.3">
      <c r="A688" s="1"/>
      <c r="B688" s="1" t="str">
        <f>IFERROR(IF(LEFT(Sensitivität_bzw_Monte_Carlo_bei_Strom[[#This Row],[Source.Name]],SEARCH("aus_der",Sensitivität_bzw_Monte_Carlo_bei_Strom[[#This Row],[Source.Name]],1))="Auszahlung_a","Auszahlung",""),"")</f>
        <v/>
      </c>
      <c r="D688" s="1"/>
    </row>
    <row r="689" spans="1:4" x14ac:dyDescent="0.3">
      <c r="A689" s="1"/>
      <c r="B689" s="1" t="str">
        <f>IFERROR(IF(LEFT(Sensitivität_bzw_Monte_Carlo_bei_Strom[[#This Row],[Source.Name]],SEARCH("aus_der",Sensitivität_bzw_Monte_Carlo_bei_Strom[[#This Row],[Source.Name]],1))="Auszahlung_a","Auszahlung",""),"")</f>
        <v/>
      </c>
      <c r="D689" s="1"/>
    </row>
    <row r="690" spans="1:4" x14ac:dyDescent="0.3">
      <c r="A690" s="1"/>
      <c r="B690" s="1" t="str">
        <f>IFERROR(IF(LEFT(Sensitivität_bzw_Monte_Carlo_bei_Strom[[#This Row],[Source.Name]],SEARCH("aus_der",Sensitivität_bzw_Monte_Carlo_bei_Strom[[#This Row],[Source.Name]],1))="Auszahlung_a","Auszahlung",""),"")</f>
        <v/>
      </c>
      <c r="D690" s="1"/>
    </row>
    <row r="691" spans="1:4" x14ac:dyDescent="0.3">
      <c r="A691" s="1"/>
      <c r="B691" s="1" t="str">
        <f>IFERROR(IF(LEFT(Sensitivität_bzw_Monte_Carlo_bei_Strom[[#This Row],[Source.Name]],SEARCH("aus_der",Sensitivität_bzw_Monte_Carlo_bei_Strom[[#This Row],[Source.Name]],1))="Auszahlung_a","Auszahlung",""),"")</f>
        <v/>
      </c>
      <c r="D691" s="1"/>
    </row>
    <row r="692" spans="1:4" x14ac:dyDescent="0.3">
      <c r="A692" s="1"/>
      <c r="B692" s="1" t="str">
        <f>IFERROR(IF(LEFT(Sensitivität_bzw_Monte_Carlo_bei_Strom[[#This Row],[Source.Name]],SEARCH("aus_der",Sensitivität_bzw_Monte_Carlo_bei_Strom[[#This Row],[Source.Name]],1))="Auszahlung_a","Auszahlung",""),"")</f>
        <v/>
      </c>
      <c r="D692" s="1"/>
    </row>
    <row r="693" spans="1:4" x14ac:dyDescent="0.3">
      <c r="A693" s="1"/>
      <c r="B693" s="1" t="str">
        <f>IFERROR(IF(LEFT(Sensitivität_bzw_Monte_Carlo_bei_Strom[[#This Row],[Source.Name]],SEARCH("aus_der",Sensitivität_bzw_Monte_Carlo_bei_Strom[[#This Row],[Source.Name]],1))="Auszahlung_a","Auszahlung",""),"")</f>
        <v/>
      </c>
      <c r="D693" s="1"/>
    </row>
    <row r="694" spans="1:4" x14ac:dyDescent="0.3">
      <c r="A694" s="1"/>
      <c r="B694" s="1" t="str">
        <f>IFERROR(IF(LEFT(Sensitivität_bzw_Monte_Carlo_bei_Strom[[#This Row],[Source.Name]],SEARCH("aus_der",Sensitivität_bzw_Monte_Carlo_bei_Strom[[#This Row],[Source.Name]],1))="Auszahlung_a","Auszahlung",""),"")</f>
        <v/>
      </c>
      <c r="D694" s="1"/>
    </row>
    <row r="695" spans="1:4" x14ac:dyDescent="0.3">
      <c r="A695" s="1"/>
      <c r="B695" s="1" t="str">
        <f>IFERROR(IF(LEFT(Sensitivität_bzw_Monte_Carlo_bei_Strom[[#This Row],[Source.Name]],SEARCH("aus_der",Sensitivität_bzw_Monte_Carlo_bei_Strom[[#This Row],[Source.Name]],1))="Auszahlung_a","Auszahlung",""),"")</f>
        <v/>
      </c>
      <c r="D695" s="1"/>
    </row>
    <row r="696" spans="1:4" x14ac:dyDescent="0.3">
      <c r="A696" s="1"/>
      <c r="B696" s="1" t="str">
        <f>IFERROR(IF(LEFT(Sensitivität_bzw_Monte_Carlo_bei_Strom[[#This Row],[Source.Name]],SEARCH("aus_der",Sensitivität_bzw_Monte_Carlo_bei_Strom[[#This Row],[Source.Name]],1))="Auszahlung_a","Auszahlung",""),"")</f>
        <v/>
      </c>
      <c r="D696" s="1"/>
    </row>
    <row r="697" spans="1:4" x14ac:dyDescent="0.3">
      <c r="A697" s="1"/>
      <c r="B697" s="1" t="str">
        <f>IFERROR(IF(LEFT(Sensitivität_bzw_Monte_Carlo_bei_Strom[[#This Row],[Source.Name]],SEARCH("aus_der",Sensitivität_bzw_Monte_Carlo_bei_Strom[[#This Row],[Source.Name]],1))="Auszahlung_a","Auszahlung",""),"")</f>
        <v/>
      </c>
      <c r="D697" s="1"/>
    </row>
    <row r="698" spans="1:4" x14ac:dyDescent="0.3">
      <c r="A698" s="1"/>
      <c r="B698" s="1" t="str">
        <f>IFERROR(IF(LEFT(Sensitivität_bzw_Monte_Carlo_bei_Strom[[#This Row],[Source.Name]],SEARCH("aus_der",Sensitivität_bzw_Monte_Carlo_bei_Strom[[#This Row],[Source.Name]],1))="Auszahlung_a","Auszahlung",""),"")</f>
        <v/>
      </c>
      <c r="D698" s="1"/>
    </row>
    <row r="699" spans="1:4" x14ac:dyDescent="0.3">
      <c r="A699" s="1"/>
      <c r="B699" s="1" t="str">
        <f>IFERROR(IF(LEFT(Sensitivität_bzw_Monte_Carlo_bei_Strom[[#This Row],[Source.Name]],SEARCH("aus_der",Sensitivität_bzw_Monte_Carlo_bei_Strom[[#This Row],[Source.Name]],1))="Auszahlung_a","Auszahlung",""),"")</f>
        <v/>
      </c>
      <c r="D699" s="1"/>
    </row>
    <row r="700" spans="1:4" x14ac:dyDescent="0.3">
      <c r="A700" s="1"/>
      <c r="B700" s="1" t="str">
        <f>IFERROR(IF(LEFT(Sensitivität_bzw_Monte_Carlo_bei_Strom[[#This Row],[Source.Name]],SEARCH("aus_der",Sensitivität_bzw_Monte_Carlo_bei_Strom[[#This Row],[Source.Name]],1))="Auszahlung_a","Auszahlung",""),"")</f>
        <v/>
      </c>
      <c r="D700" s="1"/>
    </row>
    <row r="701" spans="1:4" x14ac:dyDescent="0.3">
      <c r="A701" s="1"/>
      <c r="B701" s="1" t="str">
        <f>IFERROR(IF(LEFT(Sensitivität_bzw_Monte_Carlo_bei_Strom[[#This Row],[Source.Name]],SEARCH("aus_der",Sensitivität_bzw_Monte_Carlo_bei_Strom[[#This Row],[Source.Name]],1))="Auszahlung_a","Auszahlung",""),"")</f>
        <v/>
      </c>
      <c r="D701" s="1"/>
    </row>
    <row r="702" spans="1:4" x14ac:dyDescent="0.3">
      <c r="A702" s="1"/>
      <c r="B702" s="1" t="str">
        <f>IFERROR(IF(LEFT(Sensitivität_bzw_Monte_Carlo_bei_Strom[[#This Row],[Source.Name]],SEARCH("aus_der",Sensitivität_bzw_Monte_Carlo_bei_Strom[[#This Row],[Source.Name]],1))="Auszahlung_a","Auszahlung",""),"")</f>
        <v/>
      </c>
      <c r="D702" s="1"/>
    </row>
    <row r="703" spans="1:4" x14ac:dyDescent="0.3">
      <c r="A703" s="1"/>
      <c r="B703" s="1" t="str">
        <f>IFERROR(IF(LEFT(Sensitivität_bzw_Monte_Carlo_bei_Strom[[#This Row],[Source.Name]],SEARCH("aus_der",Sensitivität_bzw_Monte_Carlo_bei_Strom[[#This Row],[Source.Name]],1))="Auszahlung_a","Auszahlung",""),"")</f>
        <v/>
      </c>
      <c r="D703" s="1"/>
    </row>
    <row r="704" spans="1:4" x14ac:dyDescent="0.3">
      <c r="A704" s="1"/>
      <c r="B704" s="1" t="str">
        <f>IFERROR(IF(LEFT(Sensitivität_bzw_Monte_Carlo_bei_Strom[[#This Row],[Source.Name]],SEARCH("aus_der",Sensitivität_bzw_Monte_Carlo_bei_Strom[[#This Row],[Source.Name]],1))="Auszahlung_a","Auszahlung",""),"")</f>
        <v/>
      </c>
      <c r="D704" s="1"/>
    </row>
    <row r="705" spans="1:4" x14ac:dyDescent="0.3">
      <c r="A705" s="1"/>
      <c r="B705" s="1" t="str">
        <f>IFERROR(IF(LEFT(Sensitivität_bzw_Monte_Carlo_bei_Strom[[#This Row],[Source.Name]],SEARCH("aus_der",Sensitivität_bzw_Monte_Carlo_bei_Strom[[#This Row],[Source.Name]],1))="Auszahlung_a","Auszahlung",""),"")</f>
        <v/>
      </c>
      <c r="D705" s="1"/>
    </row>
    <row r="706" spans="1:4" x14ac:dyDescent="0.3">
      <c r="A706" s="1"/>
      <c r="B706" s="1" t="str">
        <f>IFERROR(IF(LEFT(Sensitivität_bzw_Monte_Carlo_bei_Strom[[#This Row],[Source.Name]],SEARCH("aus_der",Sensitivität_bzw_Monte_Carlo_bei_Strom[[#This Row],[Source.Name]],1))="Auszahlung_a","Auszahlung",""),"")</f>
        <v/>
      </c>
      <c r="D706" s="1"/>
    </row>
    <row r="707" spans="1:4" x14ac:dyDescent="0.3">
      <c r="A707" s="1"/>
      <c r="B707" s="1" t="str">
        <f>IFERROR(IF(LEFT(Sensitivität_bzw_Monte_Carlo_bei_Strom[[#This Row],[Source.Name]],SEARCH("aus_der",Sensitivität_bzw_Monte_Carlo_bei_Strom[[#This Row],[Source.Name]],1))="Auszahlung_a","Auszahlung",""),"")</f>
        <v/>
      </c>
      <c r="D707" s="1"/>
    </row>
    <row r="708" spans="1:4" x14ac:dyDescent="0.3">
      <c r="A708" s="1"/>
      <c r="B708" s="1" t="str">
        <f>IFERROR(IF(LEFT(Sensitivität_bzw_Monte_Carlo_bei_Strom[[#This Row],[Source.Name]],SEARCH("aus_der",Sensitivität_bzw_Monte_Carlo_bei_Strom[[#This Row],[Source.Name]],1))="Auszahlung_a","Auszahlung",""),"")</f>
        <v/>
      </c>
      <c r="D708" s="1"/>
    </row>
    <row r="709" spans="1:4" x14ac:dyDescent="0.3">
      <c r="A709" s="1"/>
      <c r="B709" s="1" t="str">
        <f>IFERROR(IF(LEFT(Sensitivität_bzw_Monte_Carlo_bei_Strom[[#This Row],[Source.Name]],SEARCH("aus_der",Sensitivität_bzw_Monte_Carlo_bei_Strom[[#This Row],[Source.Name]],1))="Auszahlung_a","Auszahlung",""),"")</f>
        <v/>
      </c>
      <c r="D709" s="1"/>
    </row>
    <row r="710" spans="1:4" x14ac:dyDescent="0.3">
      <c r="A710" s="1"/>
      <c r="B710" s="1" t="str">
        <f>IFERROR(IF(LEFT(Sensitivität_bzw_Monte_Carlo_bei_Strom[[#This Row],[Source.Name]],SEARCH("aus_der",Sensitivität_bzw_Monte_Carlo_bei_Strom[[#This Row],[Source.Name]],1))="Auszahlung_a","Auszahlung",""),"")</f>
        <v/>
      </c>
      <c r="D710" s="1"/>
    </row>
    <row r="711" spans="1:4" x14ac:dyDescent="0.3">
      <c r="A711" s="1"/>
      <c r="B711" s="1" t="str">
        <f>IFERROR(IF(LEFT(Sensitivität_bzw_Monte_Carlo_bei_Strom[[#This Row],[Source.Name]],SEARCH("aus_der",Sensitivität_bzw_Monte_Carlo_bei_Strom[[#This Row],[Source.Name]],1))="Auszahlung_a","Auszahlung",""),"")</f>
        <v/>
      </c>
      <c r="D711" s="1"/>
    </row>
    <row r="712" spans="1:4" x14ac:dyDescent="0.3">
      <c r="A712" s="1"/>
      <c r="B712" s="1" t="str">
        <f>IFERROR(IF(LEFT(Sensitivität_bzw_Monte_Carlo_bei_Strom[[#This Row],[Source.Name]],SEARCH("aus_der",Sensitivität_bzw_Monte_Carlo_bei_Strom[[#This Row],[Source.Name]],1))="Auszahlung_a","Auszahlung",""),"")</f>
        <v/>
      </c>
      <c r="D712" s="1"/>
    </row>
    <row r="713" spans="1:4" x14ac:dyDescent="0.3">
      <c r="A713" s="1"/>
      <c r="B713" s="1" t="str">
        <f>IFERROR(IF(LEFT(Sensitivität_bzw_Monte_Carlo_bei_Strom[[#This Row],[Source.Name]],SEARCH("aus_der",Sensitivität_bzw_Monte_Carlo_bei_Strom[[#This Row],[Source.Name]],1))="Auszahlung_a","Auszahlung",""),"")</f>
        <v/>
      </c>
      <c r="D713" s="1"/>
    </row>
    <row r="714" spans="1:4" x14ac:dyDescent="0.3">
      <c r="A714" s="1"/>
      <c r="B714" s="1" t="str">
        <f>IFERROR(IF(LEFT(Sensitivität_bzw_Monte_Carlo_bei_Strom[[#This Row],[Source.Name]],SEARCH("aus_der",Sensitivität_bzw_Monte_Carlo_bei_Strom[[#This Row],[Source.Name]],1))="Auszahlung_a","Auszahlung",""),"")</f>
        <v/>
      </c>
      <c r="D714" s="1"/>
    </row>
    <row r="715" spans="1:4" x14ac:dyDescent="0.3">
      <c r="A715" s="1"/>
      <c r="B715" s="1" t="str">
        <f>IFERROR(IF(LEFT(Sensitivität_bzw_Monte_Carlo_bei_Strom[[#This Row],[Source.Name]],SEARCH("aus_der",Sensitivität_bzw_Monte_Carlo_bei_Strom[[#This Row],[Source.Name]],1))="Auszahlung_a","Auszahlung",""),"")</f>
        <v/>
      </c>
      <c r="D715" s="1"/>
    </row>
    <row r="716" spans="1:4" x14ac:dyDescent="0.3">
      <c r="A716" s="1"/>
      <c r="B716" s="1" t="str">
        <f>IFERROR(IF(LEFT(Sensitivität_bzw_Monte_Carlo_bei_Strom[[#This Row],[Source.Name]],SEARCH("aus_der",Sensitivität_bzw_Monte_Carlo_bei_Strom[[#This Row],[Source.Name]],1))="Auszahlung_a","Auszahlung",""),"")</f>
        <v/>
      </c>
      <c r="D716" s="1"/>
    </row>
    <row r="717" spans="1:4" x14ac:dyDescent="0.3">
      <c r="A717" s="1"/>
      <c r="B717" s="1" t="str">
        <f>IFERROR(IF(LEFT(Sensitivität_bzw_Monte_Carlo_bei_Strom[[#This Row],[Source.Name]],SEARCH("aus_der",Sensitivität_bzw_Monte_Carlo_bei_Strom[[#This Row],[Source.Name]],1))="Auszahlung_a","Auszahlung",""),"")</f>
        <v/>
      </c>
      <c r="D717" s="1"/>
    </row>
    <row r="718" spans="1:4" x14ac:dyDescent="0.3">
      <c r="A718" s="1"/>
      <c r="B718" s="1" t="str">
        <f>IFERROR(IF(LEFT(Sensitivität_bzw_Monte_Carlo_bei_Strom[[#This Row],[Source.Name]],SEARCH("aus_der",Sensitivität_bzw_Monte_Carlo_bei_Strom[[#This Row],[Source.Name]],1))="Auszahlung_a","Auszahlung",""),"")</f>
        <v/>
      </c>
      <c r="D718" s="1"/>
    </row>
    <row r="719" spans="1:4" x14ac:dyDescent="0.3">
      <c r="A719" s="1"/>
      <c r="B719" s="1" t="str">
        <f>IFERROR(IF(LEFT(Sensitivität_bzw_Monte_Carlo_bei_Strom[[#This Row],[Source.Name]],SEARCH("aus_der",Sensitivität_bzw_Monte_Carlo_bei_Strom[[#This Row],[Source.Name]],1))="Auszahlung_a","Auszahlung",""),"")</f>
        <v/>
      </c>
      <c r="D719" s="1"/>
    </row>
    <row r="720" spans="1:4" x14ac:dyDescent="0.3">
      <c r="A720" s="1"/>
      <c r="B720" s="1" t="str">
        <f>IFERROR(IF(LEFT(Sensitivität_bzw_Monte_Carlo_bei_Strom[[#This Row],[Source.Name]],SEARCH("aus_der",Sensitivität_bzw_Monte_Carlo_bei_Strom[[#This Row],[Source.Name]],1))="Auszahlung_a","Auszahlung",""),"")</f>
        <v/>
      </c>
      <c r="D720" s="1"/>
    </row>
    <row r="721" spans="1:4" x14ac:dyDescent="0.3">
      <c r="A721" s="1"/>
      <c r="B721" s="1" t="str">
        <f>IFERROR(IF(LEFT(Sensitivität_bzw_Monte_Carlo_bei_Strom[[#This Row],[Source.Name]],SEARCH("aus_der",Sensitivität_bzw_Monte_Carlo_bei_Strom[[#This Row],[Source.Name]],1))="Auszahlung_a","Auszahlung",""),"")</f>
        <v/>
      </c>
      <c r="D721" s="1"/>
    </row>
    <row r="722" spans="1:4" x14ac:dyDescent="0.3">
      <c r="A722" s="1"/>
      <c r="B722" s="1" t="str">
        <f>IFERROR(IF(LEFT(Sensitivität_bzw_Monte_Carlo_bei_Strom[[#This Row],[Source.Name]],SEARCH("aus_der",Sensitivität_bzw_Monte_Carlo_bei_Strom[[#This Row],[Source.Name]],1))="Auszahlung_a","Auszahlung",""),"")</f>
        <v/>
      </c>
      <c r="D722" s="1"/>
    </row>
    <row r="723" spans="1:4" x14ac:dyDescent="0.3">
      <c r="A723" s="1"/>
      <c r="B723" s="1" t="str">
        <f>IFERROR(IF(LEFT(Sensitivität_bzw_Monte_Carlo_bei_Strom[[#This Row],[Source.Name]],SEARCH("aus_der",Sensitivität_bzw_Monte_Carlo_bei_Strom[[#This Row],[Source.Name]],1))="Auszahlung_a","Auszahlung",""),"")</f>
        <v/>
      </c>
      <c r="D723" s="1"/>
    </row>
    <row r="724" spans="1:4" x14ac:dyDescent="0.3">
      <c r="A724" s="1"/>
      <c r="B724" s="1" t="str">
        <f>IFERROR(IF(LEFT(Sensitivität_bzw_Monte_Carlo_bei_Strom[[#This Row],[Source.Name]],SEARCH("aus_der",Sensitivität_bzw_Monte_Carlo_bei_Strom[[#This Row],[Source.Name]],1))="Auszahlung_a","Auszahlung",""),"")</f>
        <v/>
      </c>
      <c r="D724" s="1"/>
    </row>
    <row r="725" spans="1:4" x14ac:dyDescent="0.3">
      <c r="A725" s="1"/>
      <c r="B725" s="1" t="str">
        <f>IFERROR(IF(LEFT(Sensitivität_bzw_Monte_Carlo_bei_Strom[[#This Row],[Source.Name]],SEARCH("aus_der",Sensitivität_bzw_Monte_Carlo_bei_Strom[[#This Row],[Source.Name]],1))="Auszahlung_a","Auszahlung",""),"")</f>
        <v/>
      </c>
      <c r="D725" s="1"/>
    </row>
    <row r="726" spans="1:4" x14ac:dyDescent="0.3">
      <c r="A726" s="1"/>
      <c r="B726" s="1" t="str">
        <f>IFERROR(IF(LEFT(Sensitivität_bzw_Monte_Carlo_bei_Strom[[#This Row],[Source.Name]],SEARCH("aus_der",Sensitivität_bzw_Monte_Carlo_bei_Strom[[#This Row],[Source.Name]],1))="Auszahlung_a","Auszahlung",""),"")</f>
        <v/>
      </c>
      <c r="D726" s="1"/>
    </row>
    <row r="727" spans="1:4" x14ac:dyDescent="0.3">
      <c r="A727" s="1"/>
      <c r="B727" s="1" t="str">
        <f>IFERROR(IF(LEFT(Sensitivität_bzw_Monte_Carlo_bei_Strom[[#This Row],[Source.Name]],SEARCH("aus_der",Sensitivität_bzw_Monte_Carlo_bei_Strom[[#This Row],[Source.Name]],1))="Auszahlung_a","Auszahlung",""),"")</f>
        <v/>
      </c>
      <c r="D727" s="1"/>
    </row>
    <row r="728" spans="1:4" x14ac:dyDescent="0.3">
      <c r="A728" s="1"/>
      <c r="B728" s="1" t="str">
        <f>IFERROR(IF(LEFT(Sensitivität_bzw_Monte_Carlo_bei_Strom[[#This Row],[Source.Name]],SEARCH("aus_der",Sensitivität_bzw_Monte_Carlo_bei_Strom[[#This Row],[Source.Name]],1))="Auszahlung_a","Auszahlung",""),"")</f>
        <v/>
      </c>
      <c r="D728" s="1"/>
    </row>
    <row r="729" spans="1:4" x14ac:dyDescent="0.3">
      <c r="A729" s="1"/>
      <c r="B729" s="1" t="str">
        <f>IFERROR(IF(LEFT(Sensitivität_bzw_Monte_Carlo_bei_Strom[[#This Row],[Source.Name]],SEARCH("aus_der",Sensitivität_bzw_Monte_Carlo_bei_Strom[[#This Row],[Source.Name]],1))="Auszahlung_a","Auszahlung",""),"")</f>
        <v/>
      </c>
      <c r="D729" s="1"/>
    </row>
    <row r="730" spans="1:4" x14ac:dyDescent="0.3">
      <c r="A730" s="1"/>
      <c r="B730" s="1" t="str">
        <f>IFERROR(IF(LEFT(Sensitivität_bzw_Monte_Carlo_bei_Strom[[#This Row],[Source.Name]],SEARCH("aus_der",Sensitivität_bzw_Monte_Carlo_bei_Strom[[#This Row],[Source.Name]],1))="Auszahlung_a","Auszahlung",""),"")</f>
        <v/>
      </c>
      <c r="D730" s="1"/>
    </row>
    <row r="731" spans="1:4" x14ac:dyDescent="0.3">
      <c r="A731" s="1"/>
      <c r="B731" s="1" t="str">
        <f>IFERROR(IF(LEFT(Sensitivität_bzw_Monte_Carlo_bei_Strom[[#This Row],[Source.Name]],SEARCH("aus_der",Sensitivität_bzw_Monte_Carlo_bei_Strom[[#This Row],[Source.Name]],1))="Auszahlung_a","Auszahlung",""),"")</f>
        <v/>
      </c>
      <c r="D731" s="1"/>
    </row>
    <row r="732" spans="1:4" x14ac:dyDescent="0.3">
      <c r="A732" s="1"/>
      <c r="B732" s="1" t="str">
        <f>IFERROR(IF(LEFT(Sensitivität_bzw_Monte_Carlo_bei_Strom[[#This Row],[Source.Name]],SEARCH("aus_der",Sensitivität_bzw_Monte_Carlo_bei_Strom[[#This Row],[Source.Name]],1))="Auszahlung_a","Auszahlung",""),"")</f>
        <v/>
      </c>
      <c r="D732" s="1"/>
    </row>
    <row r="733" spans="1:4" x14ac:dyDescent="0.3">
      <c r="A733" s="1"/>
      <c r="B733" s="1" t="str">
        <f>IFERROR(IF(LEFT(Sensitivität_bzw_Monte_Carlo_bei_Strom[[#This Row],[Source.Name]],SEARCH("aus_der",Sensitivität_bzw_Monte_Carlo_bei_Strom[[#This Row],[Source.Name]],1))="Auszahlung_a","Auszahlung",""),"")</f>
        <v/>
      </c>
      <c r="D733" s="1"/>
    </row>
    <row r="734" spans="1:4" x14ac:dyDescent="0.3">
      <c r="A734" s="1"/>
      <c r="B734" s="1" t="str">
        <f>IFERROR(IF(LEFT(Sensitivität_bzw_Monte_Carlo_bei_Strom[[#This Row],[Source.Name]],SEARCH("aus_der",Sensitivität_bzw_Monte_Carlo_bei_Strom[[#This Row],[Source.Name]],1))="Auszahlung_a","Auszahlung",""),"")</f>
        <v/>
      </c>
      <c r="D734" s="1"/>
    </row>
    <row r="735" spans="1:4" x14ac:dyDescent="0.3">
      <c r="A735" s="1"/>
      <c r="B735" s="1" t="str">
        <f>IFERROR(IF(LEFT(Sensitivität_bzw_Monte_Carlo_bei_Strom[[#This Row],[Source.Name]],SEARCH("aus_der",Sensitivität_bzw_Monte_Carlo_bei_Strom[[#This Row],[Source.Name]],1))="Auszahlung_a","Auszahlung",""),"")</f>
        <v/>
      </c>
      <c r="D735" s="1"/>
    </row>
    <row r="736" spans="1:4" x14ac:dyDescent="0.3">
      <c r="A736" s="1"/>
      <c r="B736" s="1" t="str">
        <f>IFERROR(IF(LEFT(Sensitivität_bzw_Monte_Carlo_bei_Strom[[#This Row],[Source.Name]],SEARCH("aus_der",Sensitivität_bzw_Monte_Carlo_bei_Strom[[#This Row],[Source.Name]],1))="Auszahlung_a","Auszahlung",""),"")</f>
        <v/>
      </c>
      <c r="D736" s="1"/>
    </row>
    <row r="737" spans="1:4" x14ac:dyDescent="0.3">
      <c r="A737" s="1"/>
      <c r="B737" s="1" t="str">
        <f>IFERROR(IF(LEFT(Sensitivität_bzw_Monte_Carlo_bei_Strom[[#This Row],[Source.Name]],SEARCH("aus_der",Sensitivität_bzw_Monte_Carlo_bei_Strom[[#This Row],[Source.Name]],1))="Auszahlung_a","Auszahlung",""),"")</f>
        <v/>
      </c>
      <c r="D737" s="1"/>
    </row>
    <row r="738" spans="1:4" x14ac:dyDescent="0.3">
      <c r="A738" s="1"/>
      <c r="B738" s="1" t="str">
        <f>IFERROR(IF(LEFT(Sensitivität_bzw_Monte_Carlo_bei_Strom[[#This Row],[Source.Name]],SEARCH("aus_der",Sensitivität_bzw_Monte_Carlo_bei_Strom[[#This Row],[Source.Name]],1))="Auszahlung_a","Auszahlung",""),"")</f>
        <v/>
      </c>
      <c r="D738" s="1"/>
    </row>
    <row r="739" spans="1:4" x14ac:dyDescent="0.3">
      <c r="A739" s="1"/>
      <c r="B739" s="1" t="str">
        <f>IFERROR(IF(LEFT(Sensitivität_bzw_Monte_Carlo_bei_Strom[[#This Row],[Source.Name]],SEARCH("aus_der",Sensitivität_bzw_Monte_Carlo_bei_Strom[[#This Row],[Source.Name]],1))="Auszahlung_a","Auszahlung",""),"")</f>
        <v/>
      </c>
      <c r="D739" s="1"/>
    </row>
    <row r="740" spans="1:4" x14ac:dyDescent="0.3">
      <c r="A740" s="1"/>
      <c r="B740" s="1" t="str">
        <f>IFERROR(IF(LEFT(Sensitivität_bzw_Monte_Carlo_bei_Strom[[#This Row],[Source.Name]],SEARCH("aus_der",Sensitivität_bzw_Monte_Carlo_bei_Strom[[#This Row],[Source.Name]],1))="Auszahlung_a","Auszahlung",""),"")</f>
        <v/>
      </c>
      <c r="D740" s="1"/>
    </row>
    <row r="741" spans="1:4" x14ac:dyDescent="0.3">
      <c r="A741" s="1"/>
      <c r="B741" s="1" t="str">
        <f>IFERROR(IF(LEFT(Sensitivität_bzw_Monte_Carlo_bei_Strom[[#This Row],[Source.Name]],SEARCH("aus_der",Sensitivität_bzw_Monte_Carlo_bei_Strom[[#This Row],[Source.Name]],1))="Auszahlung_a","Auszahlung",""),"")</f>
        <v/>
      </c>
      <c r="D741" s="1"/>
    </row>
    <row r="742" spans="1:4" x14ac:dyDescent="0.3">
      <c r="A742" s="1"/>
      <c r="B742" s="1" t="str">
        <f>IFERROR(IF(LEFT(Sensitivität_bzw_Monte_Carlo_bei_Strom[[#This Row],[Source.Name]],SEARCH("aus_der",Sensitivität_bzw_Monte_Carlo_bei_Strom[[#This Row],[Source.Name]],1))="Auszahlung_a","Auszahlung",""),"")</f>
        <v/>
      </c>
      <c r="D742" s="1"/>
    </row>
    <row r="743" spans="1:4" x14ac:dyDescent="0.3">
      <c r="A743" s="1"/>
      <c r="B743" s="1" t="str">
        <f>IFERROR(IF(LEFT(Sensitivität_bzw_Monte_Carlo_bei_Strom[[#This Row],[Source.Name]],SEARCH("aus_der",Sensitivität_bzw_Monte_Carlo_bei_Strom[[#This Row],[Source.Name]],1))="Auszahlung_a","Auszahlung",""),"")</f>
        <v/>
      </c>
      <c r="D743" s="1"/>
    </row>
    <row r="744" spans="1:4" x14ac:dyDescent="0.3">
      <c r="A744" s="1"/>
      <c r="B744" s="1" t="str">
        <f>IFERROR(IF(LEFT(Sensitivität_bzw_Monte_Carlo_bei_Strom[[#This Row],[Source.Name]],SEARCH("aus_der",Sensitivität_bzw_Monte_Carlo_bei_Strom[[#This Row],[Source.Name]],1))="Auszahlung_a","Auszahlung",""),"")</f>
        <v/>
      </c>
      <c r="D744" s="1"/>
    </row>
    <row r="745" spans="1:4" x14ac:dyDescent="0.3">
      <c r="A745" s="1"/>
      <c r="B745" s="1" t="str">
        <f>IFERROR(IF(LEFT(Sensitivität_bzw_Monte_Carlo_bei_Strom[[#This Row],[Source.Name]],SEARCH("aus_der",Sensitivität_bzw_Monte_Carlo_bei_Strom[[#This Row],[Source.Name]],1))="Auszahlung_a","Auszahlung",""),"")</f>
        <v/>
      </c>
      <c r="D745" s="1"/>
    </row>
    <row r="746" spans="1:4" x14ac:dyDescent="0.3">
      <c r="A746" s="1"/>
      <c r="B746" s="1" t="str">
        <f>IFERROR(IF(LEFT(Sensitivität_bzw_Monte_Carlo_bei_Strom[[#This Row],[Source.Name]],SEARCH("aus_der",Sensitivität_bzw_Monte_Carlo_bei_Strom[[#This Row],[Source.Name]],1))="Auszahlung_a","Auszahlung",""),"")</f>
        <v/>
      </c>
      <c r="D746" s="1"/>
    </row>
    <row r="747" spans="1:4" x14ac:dyDescent="0.3">
      <c r="A747" s="1"/>
      <c r="B747" s="1" t="str">
        <f>IFERROR(IF(LEFT(Sensitivität_bzw_Monte_Carlo_bei_Strom[[#This Row],[Source.Name]],SEARCH("aus_der",Sensitivität_bzw_Monte_Carlo_bei_Strom[[#This Row],[Source.Name]],1))="Auszahlung_a","Auszahlung",""),"")</f>
        <v/>
      </c>
      <c r="D747" s="1"/>
    </row>
    <row r="748" spans="1:4" x14ac:dyDescent="0.3">
      <c r="A748" s="1"/>
      <c r="B748" s="1" t="str">
        <f>IFERROR(IF(LEFT(Sensitivität_bzw_Monte_Carlo_bei_Strom[[#This Row],[Source.Name]],SEARCH("aus_der",Sensitivität_bzw_Monte_Carlo_bei_Strom[[#This Row],[Source.Name]],1))="Auszahlung_a","Auszahlung",""),"")</f>
        <v/>
      </c>
      <c r="D748" s="1"/>
    </row>
    <row r="749" spans="1:4" x14ac:dyDescent="0.3">
      <c r="A749" s="1"/>
      <c r="B749" s="1" t="str">
        <f>IFERROR(IF(LEFT(Sensitivität_bzw_Monte_Carlo_bei_Strom[[#This Row],[Source.Name]],SEARCH("aus_der",Sensitivität_bzw_Monte_Carlo_bei_Strom[[#This Row],[Source.Name]],1))="Auszahlung_a","Auszahlung",""),"")</f>
        <v/>
      </c>
      <c r="D749" s="1"/>
    </row>
    <row r="750" spans="1:4" x14ac:dyDescent="0.3">
      <c r="A750" s="1"/>
      <c r="B750" s="1" t="str">
        <f>IFERROR(IF(LEFT(Sensitivität_bzw_Monte_Carlo_bei_Strom[[#This Row],[Source.Name]],SEARCH("aus_der",Sensitivität_bzw_Monte_Carlo_bei_Strom[[#This Row],[Source.Name]],1))="Auszahlung_a","Auszahlung",""),"")</f>
        <v/>
      </c>
      <c r="D750" s="1"/>
    </row>
    <row r="751" spans="1:4" x14ac:dyDescent="0.3">
      <c r="A751" s="1"/>
      <c r="B751" s="1" t="str">
        <f>IFERROR(IF(LEFT(Sensitivität_bzw_Monte_Carlo_bei_Strom[[#This Row],[Source.Name]],SEARCH("aus_der",Sensitivität_bzw_Monte_Carlo_bei_Strom[[#This Row],[Source.Name]],1))="Auszahlung_a","Auszahlung",""),"")</f>
        <v/>
      </c>
      <c r="D751" s="1"/>
    </row>
    <row r="752" spans="1:4" x14ac:dyDescent="0.3">
      <c r="A752" s="1"/>
      <c r="B752" s="1" t="str">
        <f>IFERROR(IF(LEFT(Sensitivität_bzw_Monte_Carlo_bei_Strom[[#This Row],[Source.Name]],SEARCH("aus_der",Sensitivität_bzw_Monte_Carlo_bei_Strom[[#This Row],[Source.Name]],1))="Auszahlung_a","Auszahlung",""),"")</f>
        <v/>
      </c>
      <c r="D752" s="1"/>
    </row>
    <row r="753" spans="1:4" x14ac:dyDescent="0.3">
      <c r="A753" s="1"/>
      <c r="B753" s="1" t="str">
        <f>IFERROR(IF(LEFT(Sensitivität_bzw_Monte_Carlo_bei_Strom[[#This Row],[Source.Name]],SEARCH("aus_der",Sensitivität_bzw_Monte_Carlo_bei_Strom[[#This Row],[Source.Name]],1))="Auszahlung_a","Auszahlung",""),"")</f>
        <v/>
      </c>
      <c r="D753" s="1"/>
    </row>
    <row r="754" spans="1:4" x14ac:dyDescent="0.3">
      <c r="A754" s="1"/>
      <c r="B754" s="1" t="str">
        <f>IFERROR(IF(LEFT(Sensitivität_bzw_Monte_Carlo_bei_Strom[[#This Row],[Source.Name]],SEARCH("aus_der",Sensitivität_bzw_Monte_Carlo_bei_Strom[[#This Row],[Source.Name]],1))="Auszahlung_a","Auszahlung",""),"")</f>
        <v/>
      </c>
      <c r="D754" s="1"/>
    </row>
    <row r="755" spans="1:4" x14ac:dyDescent="0.3">
      <c r="A755" s="1"/>
      <c r="B755" s="1" t="str">
        <f>IFERROR(IF(LEFT(Sensitivität_bzw_Monte_Carlo_bei_Strom[[#This Row],[Source.Name]],SEARCH("aus_der",Sensitivität_bzw_Monte_Carlo_bei_Strom[[#This Row],[Source.Name]],1))="Auszahlung_a","Auszahlung",""),"")</f>
        <v/>
      </c>
      <c r="D755" s="1"/>
    </row>
    <row r="756" spans="1:4" x14ac:dyDescent="0.3">
      <c r="A756" s="1"/>
      <c r="B756" s="1" t="str">
        <f>IFERROR(IF(LEFT(Sensitivität_bzw_Monte_Carlo_bei_Strom[[#This Row],[Source.Name]],SEARCH("aus_der",Sensitivität_bzw_Monte_Carlo_bei_Strom[[#This Row],[Source.Name]],1))="Auszahlung_a","Auszahlung",""),"")</f>
        <v/>
      </c>
      <c r="D756" s="1"/>
    </row>
    <row r="757" spans="1:4" x14ac:dyDescent="0.3">
      <c r="A757" s="1"/>
      <c r="B757" s="1" t="str">
        <f>IFERROR(IF(LEFT(Sensitivität_bzw_Monte_Carlo_bei_Strom[[#This Row],[Source.Name]],SEARCH("aus_der",Sensitivität_bzw_Monte_Carlo_bei_Strom[[#This Row],[Source.Name]],1))="Auszahlung_a","Auszahlung",""),"")</f>
        <v/>
      </c>
      <c r="D757" s="1"/>
    </row>
    <row r="758" spans="1:4" x14ac:dyDescent="0.3">
      <c r="A758" s="1"/>
      <c r="B758" s="1" t="str">
        <f>IFERROR(IF(LEFT(Sensitivität_bzw_Monte_Carlo_bei_Strom[[#This Row],[Source.Name]],SEARCH("aus_der",Sensitivität_bzw_Monte_Carlo_bei_Strom[[#This Row],[Source.Name]],1))="Auszahlung_a","Auszahlung",""),"")</f>
        <v/>
      </c>
      <c r="D758" s="1"/>
    </row>
    <row r="759" spans="1:4" x14ac:dyDescent="0.3">
      <c r="A759" s="1"/>
      <c r="B759" s="1" t="str">
        <f>IFERROR(IF(LEFT(Sensitivität_bzw_Monte_Carlo_bei_Strom[[#This Row],[Source.Name]],SEARCH("aus_der",Sensitivität_bzw_Monte_Carlo_bei_Strom[[#This Row],[Source.Name]],1))="Auszahlung_a","Auszahlung",""),"")</f>
        <v/>
      </c>
      <c r="D759" s="1"/>
    </row>
    <row r="760" spans="1:4" x14ac:dyDescent="0.3">
      <c r="A760" s="1"/>
      <c r="B760" s="1" t="str">
        <f>IFERROR(IF(LEFT(Sensitivität_bzw_Monte_Carlo_bei_Strom[[#This Row],[Source.Name]],SEARCH("aus_der",Sensitivität_bzw_Monte_Carlo_bei_Strom[[#This Row],[Source.Name]],1))="Auszahlung_a","Auszahlung",""),"")</f>
        <v/>
      </c>
      <c r="D760" s="1"/>
    </row>
    <row r="761" spans="1:4" x14ac:dyDescent="0.3">
      <c r="A761" s="1"/>
      <c r="B761" s="1" t="str">
        <f>IFERROR(IF(LEFT(Sensitivität_bzw_Monte_Carlo_bei_Strom[[#This Row],[Source.Name]],SEARCH("aus_der",Sensitivität_bzw_Monte_Carlo_bei_Strom[[#This Row],[Source.Name]],1))="Auszahlung_a","Auszahlung",""),"")</f>
        <v/>
      </c>
      <c r="D761" s="1"/>
    </row>
    <row r="762" spans="1:4" x14ac:dyDescent="0.3">
      <c r="A762" s="1"/>
      <c r="B762" s="1" t="str">
        <f>IFERROR(IF(LEFT(Sensitivität_bzw_Monte_Carlo_bei_Strom[[#This Row],[Source.Name]],SEARCH("aus_der",Sensitivität_bzw_Monte_Carlo_bei_Strom[[#This Row],[Source.Name]],1))="Auszahlung_a","Auszahlung",""),"")</f>
        <v/>
      </c>
      <c r="D762" s="1"/>
    </row>
    <row r="763" spans="1:4" x14ac:dyDescent="0.3">
      <c r="A763" s="1"/>
      <c r="B763" s="1" t="str">
        <f>IFERROR(IF(LEFT(Sensitivität_bzw_Monte_Carlo_bei_Strom[[#This Row],[Source.Name]],SEARCH("aus_der",Sensitivität_bzw_Monte_Carlo_bei_Strom[[#This Row],[Source.Name]],1))="Auszahlung_a","Auszahlung",""),"")</f>
        <v/>
      </c>
      <c r="D763" s="1"/>
    </row>
    <row r="764" spans="1:4" x14ac:dyDescent="0.3">
      <c r="A764" s="1"/>
      <c r="B764" s="1" t="str">
        <f>IFERROR(IF(LEFT(Sensitivität_bzw_Monte_Carlo_bei_Strom[[#This Row],[Source.Name]],SEARCH("aus_der",Sensitivität_bzw_Monte_Carlo_bei_Strom[[#This Row],[Source.Name]],1))="Auszahlung_a","Auszahlung",""),"")</f>
        <v/>
      </c>
      <c r="D764" s="1"/>
    </row>
    <row r="765" spans="1:4" x14ac:dyDescent="0.3">
      <c r="A765" s="1"/>
      <c r="B765" s="1" t="str">
        <f>IFERROR(IF(LEFT(Sensitivität_bzw_Monte_Carlo_bei_Strom[[#This Row],[Source.Name]],SEARCH("aus_der",Sensitivität_bzw_Monte_Carlo_bei_Strom[[#This Row],[Source.Name]],1))="Auszahlung_a","Auszahlung",""),"")</f>
        <v/>
      </c>
      <c r="D765" s="1"/>
    </row>
    <row r="766" spans="1:4" x14ac:dyDescent="0.3">
      <c r="A766" s="1"/>
      <c r="B766" s="1" t="str">
        <f>IFERROR(IF(LEFT(Sensitivität_bzw_Monte_Carlo_bei_Strom[[#This Row],[Source.Name]],SEARCH("aus_der",Sensitivität_bzw_Monte_Carlo_bei_Strom[[#This Row],[Source.Name]],1))="Auszahlung_a","Auszahlung",""),"")</f>
        <v/>
      </c>
      <c r="D766" s="1"/>
    </row>
    <row r="767" spans="1:4" x14ac:dyDescent="0.3">
      <c r="A767" s="1"/>
      <c r="B767" s="1" t="str">
        <f>IFERROR(IF(LEFT(Sensitivität_bzw_Monte_Carlo_bei_Strom[[#This Row],[Source.Name]],SEARCH("aus_der",Sensitivität_bzw_Monte_Carlo_bei_Strom[[#This Row],[Source.Name]],1))="Auszahlung_a","Auszahlung",""),"")</f>
        <v/>
      </c>
      <c r="D767" s="1"/>
    </row>
    <row r="768" spans="1:4" x14ac:dyDescent="0.3">
      <c r="A768" s="1"/>
      <c r="B768" s="1" t="str">
        <f>IFERROR(IF(LEFT(Sensitivität_bzw_Monte_Carlo_bei_Strom[[#This Row],[Source.Name]],SEARCH("aus_der",Sensitivität_bzw_Monte_Carlo_bei_Strom[[#This Row],[Source.Name]],1))="Auszahlung_a","Auszahlung",""),"")</f>
        <v/>
      </c>
      <c r="D768" s="1"/>
    </row>
    <row r="769" spans="1:4" x14ac:dyDescent="0.3">
      <c r="A769" s="1"/>
      <c r="B769" s="1" t="str">
        <f>IFERROR(IF(LEFT(Sensitivität_bzw_Monte_Carlo_bei_Strom[[#This Row],[Source.Name]],SEARCH("aus_der",Sensitivität_bzw_Monte_Carlo_bei_Strom[[#This Row],[Source.Name]],1))="Auszahlung_a","Auszahlung",""),"")</f>
        <v/>
      </c>
      <c r="D769" s="1"/>
    </row>
    <row r="770" spans="1:4" x14ac:dyDescent="0.3">
      <c r="A770" s="1"/>
      <c r="B770" s="1" t="str">
        <f>IFERROR(IF(LEFT(Sensitivität_bzw_Monte_Carlo_bei_Strom[[#This Row],[Source.Name]],SEARCH("aus_der",Sensitivität_bzw_Monte_Carlo_bei_Strom[[#This Row],[Source.Name]],1))="Auszahlung_a","Auszahlung",""),"")</f>
        <v/>
      </c>
      <c r="D770" s="1"/>
    </row>
    <row r="771" spans="1:4" x14ac:dyDescent="0.3">
      <c r="A771" s="1"/>
      <c r="B771" s="1" t="str">
        <f>IFERROR(IF(LEFT(Sensitivität_bzw_Monte_Carlo_bei_Strom[[#This Row],[Source.Name]],SEARCH("aus_der",Sensitivität_bzw_Monte_Carlo_bei_Strom[[#This Row],[Source.Name]],1))="Auszahlung_a","Auszahlung",""),"")</f>
        <v/>
      </c>
      <c r="D771" s="1"/>
    </row>
    <row r="772" spans="1:4" x14ac:dyDescent="0.3">
      <c r="A772" s="1"/>
      <c r="B772" s="1" t="str">
        <f>IFERROR(IF(LEFT(Sensitivität_bzw_Monte_Carlo_bei_Strom[[#This Row],[Source.Name]],SEARCH("aus_der",Sensitivität_bzw_Monte_Carlo_bei_Strom[[#This Row],[Source.Name]],1))="Auszahlung_a","Auszahlung",""),"")</f>
        <v/>
      </c>
      <c r="D772" s="1"/>
    </row>
    <row r="773" spans="1:4" x14ac:dyDescent="0.3">
      <c r="A773" s="1"/>
      <c r="B773" s="1" t="str">
        <f>IFERROR(IF(LEFT(Sensitivität_bzw_Monte_Carlo_bei_Strom[[#This Row],[Source.Name]],SEARCH("aus_der",Sensitivität_bzw_Monte_Carlo_bei_Strom[[#This Row],[Source.Name]],1))="Auszahlung_a","Auszahlung",""),"")</f>
        <v/>
      </c>
      <c r="D773" s="1"/>
    </row>
    <row r="774" spans="1:4" x14ac:dyDescent="0.3">
      <c r="A774" s="1"/>
      <c r="B774" s="1" t="str">
        <f>IFERROR(IF(LEFT(Sensitivität_bzw_Monte_Carlo_bei_Strom[[#This Row],[Source.Name]],SEARCH("aus_der",Sensitivität_bzw_Monte_Carlo_bei_Strom[[#This Row],[Source.Name]],1))="Auszahlung_a","Auszahlung",""),"")</f>
        <v/>
      </c>
      <c r="D774" s="1"/>
    </row>
    <row r="775" spans="1:4" x14ac:dyDescent="0.3">
      <c r="A775" s="1"/>
      <c r="B775" s="1" t="str">
        <f>IFERROR(IF(LEFT(Sensitivität_bzw_Monte_Carlo_bei_Strom[[#This Row],[Source.Name]],SEARCH("aus_der",Sensitivität_bzw_Monte_Carlo_bei_Strom[[#This Row],[Source.Name]],1))="Auszahlung_a","Auszahlung",""),"")</f>
        <v/>
      </c>
      <c r="D775" s="1"/>
    </row>
    <row r="776" spans="1:4" x14ac:dyDescent="0.3">
      <c r="A776" s="1"/>
      <c r="B776" s="1" t="str">
        <f>IFERROR(IF(LEFT(Sensitivität_bzw_Monte_Carlo_bei_Strom[[#This Row],[Source.Name]],SEARCH("aus_der",Sensitivität_bzw_Monte_Carlo_bei_Strom[[#This Row],[Source.Name]],1))="Auszahlung_a","Auszahlung",""),"")</f>
        <v/>
      </c>
      <c r="D776" s="1"/>
    </row>
    <row r="777" spans="1:4" x14ac:dyDescent="0.3">
      <c r="A777" s="1"/>
      <c r="B777" s="1" t="str">
        <f>IFERROR(IF(LEFT(Sensitivität_bzw_Monte_Carlo_bei_Strom[[#This Row],[Source.Name]],SEARCH("aus_der",Sensitivität_bzw_Monte_Carlo_bei_Strom[[#This Row],[Source.Name]],1))="Auszahlung_a","Auszahlung",""),"")</f>
        <v/>
      </c>
      <c r="D777" s="1"/>
    </row>
    <row r="778" spans="1:4" x14ac:dyDescent="0.3">
      <c r="A778" s="1"/>
      <c r="B778" s="1" t="str">
        <f>IFERROR(IF(LEFT(Sensitivität_bzw_Monte_Carlo_bei_Strom[[#This Row],[Source.Name]],SEARCH("aus_der",Sensitivität_bzw_Monte_Carlo_bei_Strom[[#This Row],[Source.Name]],1))="Auszahlung_a","Auszahlung",""),"")</f>
        <v/>
      </c>
      <c r="D778" s="1"/>
    </row>
    <row r="779" spans="1:4" x14ac:dyDescent="0.3">
      <c r="A779" s="1"/>
      <c r="B779" s="1" t="str">
        <f>IFERROR(IF(LEFT(Sensitivität_bzw_Monte_Carlo_bei_Strom[[#This Row],[Source.Name]],SEARCH("aus_der",Sensitivität_bzw_Monte_Carlo_bei_Strom[[#This Row],[Source.Name]],1))="Auszahlung_a","Auszahlung",""),"")</f>
        <v/>
      </c>
      <c r="D779" s="1"/>
    </row>
    <row r="780" spans="1:4" x14ac:dyDescent="0.3">
      <c r="A780" s="1"/>
      <c r="B780" s="1" t="str">
        <f>IFERROR(IF(LEFT(Sensitivität_bzw_Monte_Carlo_bei_Strom[[#This Row],[Source.Name]],SEARCH("aus_der",Sensitivität_bzw_Monte_Carlo_bei_Strom[[#This Row],[Source.Name]],1))="Auszahlung_a","Auszahlung",""),"")</f>
        <v/>
      </c>
      <c r="D780" s="1"/>
    </row>
    <row r="781" spans="1:4" x14ac:dyDescent="0.3">
      <c r="A781" s="1"/>
      <c r="B781" s="1" t="str">
        <f>IFERROR(IF(LEFT(Sensitivität_bzw_Monte_Carlo_bei_Strom[[#This Row],[Source.Name]],SEARCH("aus_der",Sensitivität_bzw_Monte_Carlo_bei_Strom[[#This Row],[Source.Name]],1))="Auszahlung_a","Auszahlung",""),"")</f>
        <v/>
      </c>
      <c r="D781" s="1"/>
    </row>
    <row r="782" spans="1:4" x14ac:dyDescent="0.3">
      <c r="A782" s="1"/>
      <c r="B782" s="1" t="str">
        <f>IFERROR(IF(LEFT(Sensitivität_bzw_Monte_Carlo_bei_Strom[[#This Row],[Source.Name]],SEARCH("aus_der",Sensitivität_bzw_Monte_Carlo_bei_Strom[[#This Row],[Source.Name]],1))="Auszahlung_a","Auszahlung",""),"")</f>
        <v/>
      </c>
      <c r="D782" s="1"/>
    </row>
    <row r="783" spans="1:4" x14ac:dyDescent="0.3">
      <c r="A783" s="1"/>
      <c r="B783" s="1" t="str">
        <f>IFERROR(IF(LEFT(Sensitivität_bzw_Monte_Carlo_bei_Strom[[#This Row],[Source.Name]],SEARCH("aus_der",Sensitivität_bzw_Monte_Carlo_bei_Strom[[#This Row],[Source.Name]],1))="Auszahlung_a","Auszahlung",""),"")</f>
        <v/>
      </c>
      <c r="D783" s="1"/>
    </row>
    <row r="784" spans="1:4" x14ac:dyDescent="0.3">
      <c r="A784" s="1"/>
      <c r="B784" s="1" t="str">
        <f>IFERROR(IF(LEFT(Sensitivität_bzw_Monte_Carlo_bei_Strom[[#This Row],[Source.Name]],SEARCH("aus_der",Sensitivität_bzw_Monte_Carlo_bei_Strom[[#This Row],[Source.Name]],1))="Auszahlung_a","Auszahlung",""),"")</f>
        <v/>
      </c>
      <c r="D784" s="1"/>
    </row>
    <row r="785" spans="1:4" x14ac:dyDescent="0.3">
      <c r="A785" s="1"/>
      <c r="B785" s="1" t="str">
        <f>IFERROR(IF(LEFT(Sensitivität_bzw_Monte_Carlo_bei_Strom[[#This Row],[Source.Name]],SEARCH("aus_der",Sensitivität_bzw_Monte_Carlo_bei_Strom[[#This Row],[Source.Name]],1))="Auszahlung_a","Auszahlung",""),"")</f>
        <v/>
      </c>
      <c r="D785" s="1"/>
    </row>
    <row r="786" spans="1:4" x14ac:dyDescent="0.3">
      <c r="A786" s="1"/>
      <c r="B786" s="1" t="str">
        <f>IFERROR(IF(LEFT(Sensitivität_bzw_Monte_Carlo_bei_Strom[[#This Row],[Source.Name]],SEARCH("aus_der",Sensitivität_bzw_Monte_Carlo_bei_Strom[[#This Row],[Source.Name]],1))="Auszahlung_a","Auszahlung",""),"")</f>
        <v/>
      </c>
      <c r="D786" s="1"/>
    </row>
    <row r="787" spans="1:4" x14ac:dyDescent="0.3">
      <c r="A787" s="1"/>
      <c r="B787" s="1" t="str">
        <f>IFERROR(IF(LEFT(Sensitivität_bzw_Monte_Carlo_bei_Strom[[#This Row],[Source.Name]],SEARCH("aus_der",Sensitivität_bzw_Monte_Carlo_bei_Strom[[#This Row],[Source.Name]],1))="Auszahlung_a","Auszahlung",""),"")</f>
        <v/>
      </c>
      <c r="D787" s="1"/>
    </row>
    <row r="788" spans="1:4" x14ac:dyDescent="0.3">
      <c r="A788" s="1"/>
      <c r="B788" s="1" t="str">
        <f>IFERROR(IF(LEFT(Sensitivität_bzw_Monte_Carlo_bei_Strom[[#This Row],[Source.Name]],SEARCH("aus_der",Sensitivität_bzw_Monte_Carlo_bei_Strom[[#This Row],[Source.Name]],1))="Auszahlung_a","Auszahlung",""),"")</f>
        <v/>
      </c>
      <c r="D788" s="1"/>
    </row>
    <row r="789" spans="1:4" x14ac:dyDescent="0.3">
      <c r="A789" s="1"/>
      <c r="B789" s="1" t="str">
        <f>IFERROR(IF(LEFT(Sensitivität_bzw_Monte_Carlo_bei_Strom[[#This Row],[Source.Name]],SEARCH("aus_der",Sensitivität_bzw_Monte_Carlo_bei_Strom[[#This Row],[Source.Name]],1))="Auszahlung_a","Auszahlung",""),"")</f>
        <v/>
      </c>
      <c r="D789" s="1"/>
    </row>
    <row r="790" spans="1:4" x14ac:dyDescent="0.3">
      <c r="A790" s="1"/>
      <c r="B790" s="1" t="str">
        <f>IFERROR(IF(LEFT(Sensitivität_bzw_Monte_Carlo_bei_Strom[[#This Row],[Source.Name]],SEARCH("aus_der",Sensitivität_bzw_Monte_Carlo_bei_Strom[[#This Row],[Source.Name]],1))="Auszahlung_a","Auszahlung",""),"")</f>
        <v/>
      </c>
      <c r="D790" s="1"/>
    </row>
    <row r="791" spans="1:4" x14ac:dyDescent="0.3">
      <c r="A791" s="1"/>
      <c r="B791" s="1" t="str">
        <f>IFERROR(IF(LEFT(Sensitivität_bzw_Monte_Carlo_bei_Strom[[#This Row],[Source.Name]],SEARCH("aus_der",Sensitivität_bzw_Monte_Carlo_bei_Strom[[#This Row],[Source.Name]],1))="Auszahlung_a","Auszahlung",""),"")</f>
        <v/>
      </c>
      <c r="D791" s="1"/>
    </row>
    <row r="792" spans="1:4" x14ac:dyDescent="0.3">
      <c r="A792" s="1"/>
      <c r="B792" s="1" t="str">
        <f>IFERROR(IF(LEFT(Sensitivität_bzw_Monte_Carlo_bei_Strom[[#This Row],[Source.Name]],SEARCH("aus_der",Sensitivität_bzw_Monte_Carlo_bei_Strom[[#This Row],[Source.Name]],1))="Auszahlung_a","Auszahlung",""),"")</f>
        <v/>
      </c>
      <c r="D792" s="1"/>
    </row>
    <row r="793" spans="1:4" x14ac:dyDescent="0.3">
      <c r="A793" s="1"/>
      <c r="B793" s="1" t="str">
        <f>IFERROR(IF(LEFT(Sensitivität_bzw_Monte_Carlo_bei_Strom[[#This Row],[Source.Name]],SEARCH("aus_der",Sensitivität_bzw_Monte_Carlo_bei_Strom[[#This Row],[Source.Name]],1))="Auszahlung_a","Auszahlung",""),"")</f>
        <v/>
      </c>
      <c r="D793" s="1"/>
    </row>
    <row r="794" spans="1:4" x14ac:dyDescent="0.3">
      <c r="A794" s="1"/>
      <c r="B794" s="1" t="str">
        <f>IFERROR(IF(LEFT(Sensitivität_bzw_Monte_Carlo_bei_Strom[[#This Row],[Source.Name]],SEARCH("aus_der",Sensitivität_bzw_Monte_Carlo_bei_Strom[[#This Row],[Source.Name]],1))="Auszahlung_a","Auszahlung",""),"")</f>
        <v/>
      </c>
      <c r="D794" s="1"/>
    </row>
    <row r="795" spans="1:4" x14ac:dyDescent="0.3">
      <c r="A795" s="1"/>
      <c r="B795" s="1" t="str">
        <f>IFERROR(IF(LEFT(Sensitivität_bzw_Monte_Carlo_bei_Strom[[#This Row],[Source.Name]],SEARCH("aus_der",Sensitivität_bzw_Monte_Carlo_bei_Strom[[#This Row],[Source.Name]],1))="Auszahlung_a","Auszahlung",""),"")</f>
        <v/>
      </c>
      <c r="D795" s="1"/>
    </row>
    <row r="796" spans="1:4" x14ac:dyDescent="0.3">
      <c r="A796" s="1"/>
      <c r="B796" s="1" t="str">
        <f>IFERROR(IF(LEFT(Sensitivität_bzw_Monte_Carlo_bei_Strom[[#This Row],[Source.Name]],SEARCH("aus_der",Sensitivität_bzw_Monte_Carlo_bei_Strom[[#This Row],[Source.Name]],1))="Auszahlung_a","Auszahlung",""),"")</f>
        <v/>
      </c>
      <c r="D796" s="1"/>
    </row>
    <row r="797" spans="1:4" x14ac:dyDescent="0.3">
      <c r="A797" s="1"/>
      <c r="B797" s="1" t="str">
        <f>IFERROR(IF(LEFT(Sensitivität_bzw_Monte_Carlo_bei_Strom[[#This Row],[Source.Name]],SEARCH("aus_der",Sensitivität_bzw_Monte_Carlo_bei_Strom[[#This Row],[Source.Name]],1))="Auszahlung_a","Auszahlung",""),"")</f>
        <v/>
      </c>
      <c r="D797" s="1"/>
    </row>
    <row r="798" spans="1:4" x14ac:dyDescent="0.3">
      <c r="A798" s="1"/>
      <c r="B798" s="1" t="str">
        <f>IFERROR(IF(LEFT(Sensitivität_bzw_Monte_Carlo_bei_Strom[[#This Row],[Source.Name]],SEARCH("aus_der",Sensitivität_bzw_Monte_Carlo_bei_Strom[[#This Row],[Source.Name]],1))="Auszahlung_a","Auszahlung",""),"")</f>
        <v/>
      </c>
      <c r="D798" s="1"/>
    </row>
    <row r="799" spans="1:4" x14ac:dyDescent="0.3">
      <c r="A799" s="1"/>
      <c r="B799" s="1" t="str">
        <f>IFERROR(IF(LEFT(Sensitivität_bzw_Monte_Carlo_bei_Strom[[#This Row],[Source.Name]],SEARCH("aus_der",Sensitivität_bzw_Monte_Carlo_bei_Strom[[#This Row],[Source.Name]],1))="Auszahlung_a","Auszahlung",""),"")</f>
        <v/>
      </c>
      <c r="D799" s="1"/>
    </row>
    <row r="800" spans="1:4" x14ac:dyDescent="0.3">
      <c r="A800" s="1"/>
      <c r="B800" s="1" t="str">
        <f>IFERROR(IF(LEFT(Sensitivität_bzw_Monte_Carlo_bei_Strom[[#This Row],[Source.Name]],SEARCH("aus_der",Sensitivität_bzw_Monte_Carlo_bei_Strom[[#This Row],[Source.Name]],1))="Auszahlung_a","Auszahlung",""),"")</f>
        <v/>
      </c>
      <c r="D800" s="1"/>
    </row>
    <row r="801" spans="1:4" x14ac:dyDescent="0.3">
      <c r="A801" s="1"/>
      <c r="B801" s="1" t="str">
        <f>IFERROR(IF(LEFT(Sensitivität_bzw_Monte_Carlo_bei_Strom[[#This Row],[Source.Name]],SEARCH("aus_der",Sensitivität_bzw_Monte_Carlo_bei_Strom[[#This Row],[Source.Name]],1))="Auszahlung_a","Auszahlung",""),"")</f>
        <v/>
      </c>
      <c r="D801" s="1"/>
    </row>
    <row r="802" spans="1:4" x14ac:dyDescent="0.3">
      <c r="A802" s="1"/>
      <c r="B802" s="1" t="str">
        <f>IFERROR(IF(LEFT(Sensitivität_bzw_Monte_Carlo_bei_Strom[[#This Row],[Source.Name]],SEARCH("aus_der",Sensitivität_bzw_Monte_Carlo_bei_Strom[[#This Row],[Source.Name]],1))="Auszahlung_a","Auszahlung",""),"")</f>
        <v/>
      </c>
      <c r="D802" s="1"/>
    </row>
    <row r="803" spans="1:4" x14ac:dyDescent="0.3">
      <c r="A803" s="1"/>
      <c r="B803" s="1" t="str">
        <f>IFERROR(IF(LEFT(Sensitivität_bzw_Monte_Carlo_bei_Strom[[#This Row],[Source.Name]],SEARCH("aus_der",Sensitivität_bzw_Monte_Carlo_bei_Strom[[#This Row],[Source.Name]],1))="Auszahlung_a","Auszahlung",""),"")</f>
        <v/>
      </c>
      <c r="D803" s="1"/>
    </row>
    <row r="804" spans="1:4" x14ac:dyDescent="0.3">
      <c r="A804" s="1"/>
      <c r="B804" s="1" t="str">
        <f>IFERROR(IF(LEFT(Sensitivität_bzw_Monte_Carlo_bei_Strom[[#This Row],[Source.Name]],SEARCH("aus_der",Sensitivität_bzw_Monte_Carlo_bei_Strom[[#This Row],[Source.Name]],1))="Auszahlung_a","Auszahlung",""),"")</f>
        <v/>
      </c>
      <c r="D804" s="1"/>
    </row>
    <row r="805" spans="1:4" x14ac:dyDescent="0.3">
      <c r="A805" s="1"/>
      <c r="B805" s="1" t="str">
        <f>IFERROR(IF(LEFT(Sensitivität_bzw_Monte_Carlo_bei_Strom[[#This Row],[Source.Name]],SEARCH("aus_der",Sensitivität_bzw_Monte_Carlo_bei_Strom[[#This Row],[Source.Name]],1))="Auszahlung_a","Auszahlung",""),"")</f>
        <v/>
      </c>
      <c r="D805" s="1"/>
    </row>
    <row r="806" spans="1:4" x14ac:dyDescent="0.3">
      <c r="A806" s="1"/>
      <c r="B806" s="1" t="str">
        <f>IFERROR(IF(LEFT(Sensitivität_bzw_Monte_Carlo_bei_Strom[[#This Row],[Source.Name]],SEARCH("aus_der",Sensitivität_bzw_Monte_Carlo_bei_Strom[[#This Row],[Source.Name]],1))="Auszahlung_a","Auszahlung",""),"")</f>
        <v/>
      </c>
      <c r="D806" s="1"/>
    </row>
    <row r="807" spans="1:4" x14ac:dyDescent="0.3">
      <c r="A807" s="1"/>
      <c r="B807" s="1" t="str">
        <f>IFERROR(IF(LEFT(Sensitivität_bzw_Monte_Carlo_bei_Strom[[#This Row],[Source.Name]],SEARCH("aus_der",Sensitivität_bzw_Monte_Carlo_bei_Strom[[#This Row],[Source.Name]],1))="Auszahlung_a","Auszahlung",""),"")</f>
        <v/>
      </c>
      <c r="D807" s="1"/>
    </row>
    <row r="808" spans="1:4" x14ac:dyDescent="0.3">
      <c r="A808" s="1"/>
      <c r="B808" s="1" t="str">
        <f>IFERROR(IF(LEFT(Sensitivität_bzw_Monte_Carlo_bei_Strom[[#This Row],[Source.Name]],SEARCH("aus_der",Sensitivität_bzw_Monte_Carlo_bei_Strom[[#This Row],[Source.Name]],1))="Auszahlung_a","Auszahlung",""),"")</f>
        <v/>
      </c>
      <c r="D808" s="1"/>
    </row>
    <row r="809" spans="1:4" x14ac:dyDescent="0.3">
      <c r="A809" s="1"/>
      <c r="B809" s="1" t="str">
        <f>IFERROR(IF(LEFT(Sensitivität_bzw_Monte_Carlo_bei_Strom[[#This Row],[Source.Name]],SEARCH("aus_der",Sensitivität_bzw_Monte_Carlo_bei_Strom[[#This Row],[Source.Name]],1))="Auszahlung_a","Auszahlung",""),"")</f>
        <v/>
      </c>
      <c r="D809" s="1"/>
    </row>
    <row r="810" spans="1:4" x14ac:dyDescent="0.3">
      <c r="A810" s="1"/>
      <c r="B810" s="1" t="str">
        <f>IFERROR(IF(LEFT(Sensitivität_bzw_Monte_Carlo_bei_Strom[[#This Row],[Source.Name]],SEARCH("aus_der",Sensitivität_bzw_Monte_Carlo_bei_Strom[[#This Row],[Source.Name]],1))="Auszahlung_a","Auszahlung",""),"")</f>
        <v/>
      </c>
      <c r="D810" s="1"/>
    </row>
    <row r="811" spans="1:4" x14ac:dyDescent="0.3">
      <c r="A811" s="1"/>
      <c r="B811" s="1" t="str">
        <f>IFERROR(IF(LEFT(Sensitivität_bzw_Monte_Carlo_bei_Strom[[#This Row],[Source.Name]],SEARCH("aus_der",Sensitivität_bzw_Monte_Carlo_bei_Strom[[#This Row],[Source.Name]],1))="Auszahlung_a","Auszahlung",""),"")</f>
        <v/>
      </c>
      <c r="D811" s="1"/>
    </row>
    <row r="812" spans="1:4" x14ac:dyDescent="0.3">
      <c r="A812" s="1"/>
      <c r="B812" s="1" t="str">
        <f>IFERROR(IF(LEFT(Sensitivität_bzw_Monte_Carlo_bei_Strom[[#This Row],[Source.Name]],SEARCH("aus_der",Sensitivität_bzw_Monte_Carlo_bei_Strom[[#This Row],[Source.Name]],1))="Auszahlung_a","Auszahlung",""),"")</f>
        <v/>
      </c>
      <c r="D812" s="1"/>
    </row>
    <row r="813" spans="1:4" x14ac:dyDescent="0.3">
      <c r="A813" s="1"/>
      <c r="B813" s="1" t="str">
        <f>IFERROR(IF(LEFT(Sensitivität_bzw_Monte_Carlo_bei_Strom[[#This Row],[Source.Name]],SEARCH("aus_der",Sensitivität_bzw_Monte_Carlo_bei_Strom[[#This Row],[Source.Name]],1))="Auszahlung_a","Auszahlung",""),"")</f>
        <v/>
      </c>
      <c r="D813" s="1"/>
    </row>
    <row r="814" spans="1:4" x14ac:dyDescent="0.3">
      <c r="A814" s="1"/>
      <c r="B814" s="1" t="str">
        <f>IFERROR(IF(LEFT(Sensitivität_bzw_Monte_Carlo_bei_Strom[[#This Row],[Source.Name]],SEARCH("aus_der",Sensitivität_bzw_Monte_Carlo_bei_Strom[[#This Row],[Source.Name]],1))="Auszahlung_a","Auszahlung",""),"")</f>
        <v/>
      </c>
      <c r="D814" s="1"/>
    </row>
    <row r="815" spans="1:4" x14ac:dyDescent="0.3">
      <c r="A815" s="1"/>
      <c r="B815" s="1" t="str">
        <f>IFERROR(IF(LEFT(Sensitivität_bzw_Monte_Carlo_bei_Strom[[#This Row],[Source.Name]],SEARCH("aus_der",Sensitivität_bzw_Monte_Carlo_bei_Strom[[#This Row],[Source.Name]],1))="Auszahlung_a","Auszahlung",""),"")</f>
        <v/>
      </c>
      <c r="D815" s="1"/>
    </row>
    <row r="816" spans="1:4" x14ac:dyDescent="0.3">
      <c r="A816" s="1"/>
      <c r="B816" s="1" t="str">
        <f>IFERROR(IF(LEFT(Sensitivität_bzw_Monte_Carlo_bei_Strom[[#This Row],[Source.Name]],SEARCH("aus_der",Sensitivität_bzw_Monte_Carlo_bei_Strom[[#This Row],[Source.Name]],1))="Auszahlung_a","Auszahlung",""),"")</f>
        <v/>
      </c>
      <c r="D816" s="1"/>
    </row>
    <row r="817" spans="1:4" x14ac:dyDescent="0.3">
      <c r="A817" s="1"/>
      <c r="B817" s="1" t="str">
        <f>IFERROR(IF(LEFT(Sensitivität_bzw_Monte_Carlo_bei_Strom[[#This Row],[Source.Name]],SEARCH("aus_der",Sensitivität_bzw_Monte_Carlo_bei_Strom[[#This Row],[Source.Name]],1))="Auszahlung_a","Auszahlung",""),"")</f>
        <v/>
      </c>
      <c r="D817" s="1"/>
    </row>
    <row r="818" spans="1:4" x14ac:dyDescent="0.3">
      <c r="A818" s="1"/>
      <c r="B818" s="1" t="str">
        <f>IFERROR(IF(LEFT(Sensitivität_bzw_Monte_Carlo_bei_Strom[[#This Row],[Source.Name]],SEARCH("aus_der",Sensitivität_bzw_Monte_Carlo_bei_Strom[[#This Row],[Source.Name]],1))="Auszahlung_a","Auszahlung",""),"")</f>
        <v/>
      </c>
      <c r="D818" s="1"/>
    </row>
    <row r="819" spans="1:4" x14ac:dyDescent="0.3">
      <c r="A819" s="1"/>
      <c r="B819" s="1" t="str">
        <f>IFERROR(IF(LEFT(Sensitivität_bzw_Monte_Carlo_bei_Strom[[#This Row],[Source.Name]],SEARCH("aus_der",Sensitivität_bzw_Monte_Carlo_bei_Strom[[#This Row],[Source.Name]],1))="Auszahlung_a","Auszahlung",""),"")</f>
        <v/>
      </c>
      <c r="D819" s="1"/>
    </row>
    <row r="820" spans="1:4" x14ac:dyDescent="0.3">
      <c r="A820" s="1"/>
      <c r="B820" s="1" t="str">
        <f>IFERROR(IF(LEFT(Sensitivität_bzw_Monte_Carlo_bei_Strom[[#This Row],[Source.Name]],SEARCH("aus_der",Sensitivität_bzw_Monte_Carlo_bei_Strom[[#This Row],[Source.Name]],1))="Auszahlung_a","Auszahlung",""),"")</f>
        <v/>
      </c>
      <c r="D820" s="1"/>
    </row>
    <row r="821" spans="1:4" x14ac:dyDescent="0.3">
      <c r="A821" s="1"/>
      <c r="B821" s="1" t="str">
        <f>IFERROR(IF(LEFT(Sensitivität_bzw_Monte_Carlo_bei_Strom[[#This Row],[Source.Name]],SEARCH("aus_der",Sensitivität_bzw_Monte_Carlo_bei_Strom[[#This Row],[Source.Name]],1))="Auszahlung_a","Auszahlung",""),"")</f>
        <v/>
      </c>
      <c r="D821" s="1"/>
    </row>
    <row r="822" spans="1:4" x14ac:dyDescent="0.3">
      <c r="A822" s="1"/>
      <c r="B822" s="1" t="str">
        <f>IFERROR(IF(LEFT(Sensitivität_bzw_Monte_Carlo_bei_Strom[[#This Row],[Source.Name]],SEARCH("aus_der",Sensitivität_bzw_Monte_Carlo_bei_Strom[[#This Row],[Source.Name]],1))="Auszahlung_a","Auszahlung",""),"")</f>
        <v/>
      </c>
      <c r="D822" s="1"/>
    </row>
    <row r="823" spans="1:4" x14ac:dyDescent="0.3">
      <c r="A823" s="1"/>
      <c r="B823" s="1" t="str">
        <f>IFERROR(IF(LEFT(Sensitivität_bzw_Monte_Carlo_bei_Strom[[#This Row],[Source.Name]],SEARCH("aus_der",Sensitivität_bzw_Monte_Carlo_bei_Strom[[#This Row],[Source.Name]],1))="Auszahlung_a","Auszahlung",""),"")</f>
        <v/>
      </c>
      <c r="D823" s="1"/>
    </row>
    <row r="824" spans="1:4" x14ac:dyDescent="0.3">
      <c r="A824" s="1"/>
      <c r="B824" s="1" t="str">
        <f>IFERROR(IF(LEFT(Sensitivität_bzw_Monte_Carlo_bei_Strom[[#This Row],[Source.Name]],SEARCH("aus_der",Sensitivität_bzw_Monte_Carlo_bei_Strom[[#This Row],[Source.Name]],1))="Auszahlung_a","Auszahlung",""),"")</f>
        <v/>
      </c>
      <c r="D824" s="1"/>
    </row>
    <row r="825" spans="1:4" x14ac:dyDescent="0.3">
      <c r="A825" s="1"/>
      <c r="B825" s="1" t="str">
        <f>IFERROR(IF(LEFT(Sensitivität_bzw_Monte_Carlo_bei_Strom[[#This Row],[Source.Name]],SEARCH("aus_der",Sensitivität_bzw_Monte_Carlo_bei_Strom[[#This Row],[Source.Name]],1))="Auszahlung_a","Auszahlung",""),"")</f>
        <v/>
      </c>
      <c r="D825" s="1"/>
    </row>
    <row r="826" spans="1:4" x14ac:dyDescent="0.3">
      <c r="A826" s="1"/>
      <c r="B826" s="1" t="str">
        <f>IFERROR(IF(LEFT(Sensitivität_bzw_Monte_Carlo_bei_Strom[[#This Row],[Source.Name]],SEARCH("aus_der",Sensitivität_bzw_Monte_Carlo_bei_Strom[[#This Row],[Source.Name]],1))="Auszahlung_a","Auszahlung",""),"")</f>
        <v/>
      </c>
      <c r="D826" s="1"/>
    </row>
    <row r="827" spans="1:4" x14ac:dyDescent="0.3">
      <c r="A827" s="1"/>
      <c r="B827" s="1" t="str">
        <f>IFERROR(IF(LEFT(Sensitivität_bzw_Monte_Carlo_bei_Strom[[#This Row],[Source.Name]],SEARCH("aus_der",Sensitivität_bzw_Monte_Carlo_bei_Strom[[#This Row],[Source.Name]],1))="Auszahlung_a","Auszahlung",""),"")</f>
        <v/>
      </c>
      <c r="D827" s="1"/>
    </row>
    <row r="828" spans="1:4" x14ac:dyDescent="0.3">
      <c r="A828" s="1"/>
      <c r="B828" s="1" t="str">
        <f>IFERROR(IF(LEFT(Sensitivität_bzw_Monte_Carlo_bei_Strom[[#This Row],[Source.Name]],SEARCH("aus_der",Sensitivität_bzw_Monte_Carlo_bei_Strom[[#This Row],[Source.Name]],1))="Auszahlung_a","Auszahlung",""),"")</f>
        <v/>
      </c>
      <c r="D828" s="1"/>
    </row>
    <row r="829" spans="1:4" x14ac:dyDescent="0.3">
      <c r="A829" s="1"/>
      <c r="B829" s="1" t="str">
        <f>IFERROR(IF(LEFT(Sensitivität_bzw_Monte_Carlo_bei_Strom[[#This Row],[Source.Name]],SEARCH("aus_der",Sensitivität_bzw_Monte_Carlo_bei_Strom[[#This Row],[Source.Name]],1))="Auszahlung_a","Auszahlung",""),"")</f>
        <v/>
      </c>
      <c r="D829" s="1"/>
    </row>
    <row r="830" spans="1:4" x14ac:dyDescent="0.3">
      <c r="A830" s="1"/>
      <c r="B830" s="1" t="str">
        <f>IFERROR(IF(LEFT(Sensitivität_bzw_Monte_Carlo_bei_Strom[[#This Row],[Source.Name]],SEARCH("aus_der",Sensitivität_bzw_Monte_Carlo_bei_Strom[[#This Row],[Source.Name]],1))="Auszahlung_a","Auszahlung",""),"")</f>
        <v/>
      </c>
      <c r="D830" s="1"/>
    </row>
    <row r="831" spans="1:4" x14ac:dyDescent="0.3">
      <c r="A831" s="1"/>
      <c r="B831" s="1" t="str">
        <f>IFERROR(IF(LEFT(Sensitivität_bzw_Monte_Carlo_bei_Strom[[#This Row],[Source.Name]],SEARCH("aus_der",Sensitivität_bzw_Monte_Carlo_bei_Strom[[#This Row],[Source.Name]],1))="Auszahlung_a","Auszahlung",""),"")</f>
        <v/>
      </c>
      <c r="D831" s="1"/>
    </row>
    <row r="832" spans="1:4" x14ac:dyDescent="0.3">
      <c r="A832" s="1"/>
      <c r="B832" s="1" t="str">
        <f>IFERROR(IF(LEFT(Sensitivität_bzw_Monte_Carlo_bei_Strom[[#This Row],[Source.Name]],SEARCH("aus_der",Sensitivität_bzw_Monte_Carlo_bei_Strom[[#This Row],[Source.Name]],1))="Auszahlung_a","Auszahlung",""),"")</f>
        <v/>
      </c>
      <c r="D832" s="1"/>
    </row>
    <row r="833" spans="1:4" x14ac:dyDescent="0.3">
      <c r="A833" s="1"/>
      <c r="B833" s="1" t="str">
        <f>IFERROR(IF(LEFT(Sensitivität_bzw_Monte_Carlo_bei_Strom[[#This Row],[Source.Name]],SEARCH("aus_der",Sensitivität_bzw_Monte_Carlo_bei_Strom[[#This Row],[Source.Name]],1))="Auszahlung_a","Auszahlung",""),"")</f>
        <v/>
      </c>
      <c r="D833" s="1"/>
    </row>
    <row r="834" spans="1:4" x14ac:dyDescent="0.3">
      <c r="A834" s="1"/>
      <c r="B834" s="1" t="str">
        <f>IFERROR(IF(LEFT(Sensitivität_bzw_Monte_Carlo_bei_Strom[[#This Row],[Source.Name]],SEARCH("aus_der",Sensitivität_bzw_Monte_Carlo_bei_Strom[[#This Row],[Source.Name]],1))="Auszahlung_a","Auszahlung",""),"")</f>
        <v/>
      </c>
      <c r="D834" s="1"/>
    </row>
    <row r="835" spans="1:4" x14ac:dyDescent="0.3">
      <c r="A835" s="1"/>
      <c r="B835" s="1" t="str">
        <f>IFERROR(IF(LEFT(Sensitivität_bzw_Monte_Carlo_bei_Strom[[#This Row],[Source.Name]],SEARCH("aus_der",Sensitivität_bzw_Monte_Carlo_bei_Strom[[#This Row],[Source.Name]],1))="Auszahlung_a","Auszahlung",""),"")</f>
        <v/>
      </c>
      <c r="D835" s="1"/>
    </row>
    <row r="836" spans="1:4" x14ac:dyDescent="0.3">
      <c r="A836" s="1"/>
      <c r="B836" s="1" t="str">
        <f>IFERROR(IF(LEFT(Sensitivität_bzw_Monte_Carlo_bei_Strom[[#This Row],[Source.Name]],SEARCH("aus_der",Sensitivität_bzw_Monte_Carlo_bei_Strom[[#This Row],[Source.Name]],1))="Auszahlung_a","Auszahlung",""),"")</f>
        <v/>
      </c>
      <c r="D836" s="1"/>
    </row>
    <row r="837" spans="1:4" x14ac:dyDescent="0.3">
      <c r="A837" s="1"/>
      <c r="B837" s="1" t="str">
        <f>IFERROR(IF(LEFT(Sensitivität_bzw_Monte_Carlo_bei_Strom[[#This Row],[Source.Name]],SEARCH("aus_der",Sensitivität_bzw_Monte_Carlo_bei_Strom[[#This Row],[Source.Name]],1))="Auszahlung_a","Auszahlung",""),"")</f>
        <v/>
      </c>
      <c r="D837" s="1"/>
    </row>
    <row r="838" spans="1:4" x14ac:dyDescent="0.3">
      <c r="A838" s="1"/>
      <c r="B838" s="1" t="str">
        <f>IFERROR(IF(LEFT(Sensitivität_bzw_Monte_Carlo_bei_Strom[[#This Row],[Source.Name]],SEARCH("aus_der",Sensitivität_bzw_Monte_Carlo_bei_Strom[[#This Row],[Source.Name]],1))="Auszahlung_a","Auszahlung",""),"")</f>
        <v/>
      </c>
      <c r="D838" s="1"/>
    </row>
    <row r="839" spans="1:4" x14ac:dyDescent="0.3">
      <c r="A839" s="1"/>
      <c r="B839" s="1" t="str">
        <f>IFERROR(IF(LEFT(Sensitivität_bzw_Monte_Carlo_bei_Strom[[#This Row],[Source.Name]],SEARCH("aus_der",Sensitivität_bzw_Monte_Carlo_bei_Strom[[#This Row],[Source.Name]],1))="Auszahlung_a","Auszahlung",""),"")</f>
        <v/>
      </c>
      <c r="D839" s="1"/>
    </row>
    <row r="840" spans="1:4" x14ac:dyDescent="0.3">
      <c r="A840" s="1"/>
      <c r="B840" s="1" t="str">
        <f>IFERROR(IF(LEFT(Sensitivität_bzw_Monte_Carlo_bei_Strom[[#This Row],[Source.Name]],SEARCH("aus_der",Sensitivität_bzw_Monte_Carlo_bei_Strom[[#This Row],[Source.Name]],1))="Auszahlung_a","Auszahlung",""),"")</f>
        <v/>
      </c>
      <c r="D840" s="1"/>
    </row>
    <row r="841" spans="1:4" x14ac:dyDescent="0.3">
      <c r="A841" s="1"/>
      <c r="B841" s="1" t="str">
        <f>IFERROR(IF(LEFT(Sensitivität_bzw_Monte_Carlo_bei_Strom[[#This Row],[Source.Name]],SEARCH("aus_der",Sensitivität_bzw_Monte_Carlo_bei_Strom[[#This Row],[Source.Name]],1))="Auszahlung_a","Auszahlung",""),"")</f>
        <v/>
      </c>
      <c r="D841" s="1"/>
    </row>
    <row r="842" spans="1:4" x14ac:dyDescent="0.3">
      <c r="A842" s="1"/>
      <c r="B842" s="1" t="str">
        <f>IFERROR(IF(LEFT(Sensitivität_bzw_Monte_Carlo_bei_Strom[[#This Row],[Source.Name]],SEARCH("aus_der",Sensitivität_bzw_Monte_Carlo_bei_Strom[[#This Row],[Source.Name]],1))="Auszahlung_a","Auszahlung",""),"")</f>
        <v/>
      </c>
      <c r="D842" s="1"/>
    </row>
    <row r="843" spans="1:4" x14ac:dyDescent="0.3">
      <c r="A843" s="1"/>
      <c r="B843" s="1" t="str">
        <f>IFERROR(IF(LEFT(Sensitivität_bzw_Monte_Carlo_bei_Strom[[#This Row],[Source.Name]],SEARCH("aus_der",Sensitivität_bzw_Monte_Carlo_bei_Strom[[#This Row],[Source.Name]],1))="Auszahlung_a","Auszahlung",""),"")</f>
        <v/>
      </c>
      <c r="D843" s="1"/>
    </row>
    <row r="844" spans="1:4" x14ac:dyDescent="0.3">
      <c r="A844" s="1"/>
      <c r="B844" s="1" t="str">
        <f>IFERROR(IF(LEFT(Sensitivität_bzw_Monte_Carlo_bei_Strom[[#This Row],[Source.Name]],SEARCH("aus_der",Sensitivität_bzw_Monte_Carlo_bei_Strom[[#This Row],[Source.Name]],1))="Auszahlung_a","Auszahlung",""),"")</f>
        <v/>
      </c>
      <c r="D844" s="1"/>
    </row>
    <row r="845" spans="1:4" x14ac:dyDescent="0.3">
      <c r="A845" s="1"/>
      <c r="B845" s="1" t="str">
        <f>IFERROR(IF(LEFT(Sensitivität_bzw_Monte_Carlo_bei_Strom[[#This Row],[Source.Name]],SEARCH("aus_der",Sensitivität_bzw_Monte_Carlo_bei_Strom[[#This Row],[Source.Name]],1))="Auszahlung_a","Auszahlung",""),"")</f>
        <v/>
      </c>
      <c r="D845" s="1"/>
    </row>
    <row r="846" spans="1:4" x14ac:dyDescent="0.3">
      <c r="A846" s="1"/>
      <c r="B846" s="1" t="str">
        <f>IFERROR(IF(LEFT(Sensitivität_bzw_Monte_Carlo_bei_Strom[[#This Row],[Source.Name]],SEARCH("aus_der",Sensitivität_bzw_Monte_Carlo_bei_Strom[[#This Row],[Source.Name]],1))="Auszahlung_a","Auszahlung",""),"")</f>
        <v/>
      </c>
      <c r="D846" s="1"/>
    </row>
    <row r="847" spans="1:4" x14ac:dyDescent="0.3">
      <c r="A847" s="1"/>
      <c r="B847" s="1" t="str">
        <f>IFERROR(IF(LEFT(Sensitivität_bzw_Monte_Carlo_bei_Strom[[#This Row],[Source.Name]],SEARCH("aus_der",Sensitivität_bzw_Monte_Carlo_bei_Strom[[#This Row],[Source.Name]],1))="Auszahlung_a","Auszahlung",""),"")</f>
        <v/>
      </c>
      <c r="D847" s="1"/>
    </row>
    <row r="848" spans="1:4" x14ac:dyDescent="0.3">
      <c r="A848" s="1"/>
      <c r="B848" s="1" t="str">
        <f>IFERROR(IF(LEFT(Sensitivität_bzw_Monte_Carlo_bei_Strom[[#This Row],[Source.Name]],SEARCH("aus_der",Sensitivität_bzw_Monte_Carlo_bei_Strom[[#This Row],[Source.Name]],1))="Auszahlung_a","Auszahlung",""),"")</f>
        <v/>
      </c>
      <c r="D848" s="1"/>
    </row>
    <row r="849" spans="1:4" x14ac:dyDescent="0.3">
      <c r="A849" s="1"/>
      <c r="B849" s="1" t="str">
        <f>IFERROR(IF(LEFT(Sensitivität_bzw_Monte_Carlo_bei_Strom[[#This Row],[Source.Name]],SEARCH("aus_der",Sensitivität_bzw_Monte_Carlo_bei_Strom[[#This Row],[Source.Name]],1))="Auszahlung_a","Auszahlung",""),"")</f>
        <v/>
      </c>
      <c r="D849" s="1"/>
    </row>
    <row r="850" spans="1:4" x14ac:dyDescent="0.3">
      <c r="A850" s="1"/>
      <c r="B850" s="1" t="str">
        <f>IFERROR(IF(LEFT(Sensitivität_bzw_Monte_Carlo_bei_Strom[[#This Row],[Source.Name]],SEARCH("aus_der",Sensitivität_bzw_Monte_Carlo_bei_Strom[[#This Row],[Source.Name]],1))="Auszahlung_a","Auszahlung",""),"")</f>
        <v/>
      </c>
      <c r="D850" s="1"/>
    </row>
    <row r="851" spans="1:4" x14ac:dyDescent="0.3">
      <c r="A851" s="1"/>
      <c r="B851" s="1" t="str">
        <f>IFERROR(IF(LEFT(Sensitivität_bzw_Monte_Carlo_bei_Strom[[#This Row],[Source.Name]],SEARCH("aus_der",Sensitivität_bzw_Monte_Carlo_bei_Strom[[#This Row],[Source.Name]],1))="Auszahlung_a","Auszahlung",""),"")</f>
        <v/>
      </c>
      <c r="D851" s="1"/>
    </row>
    <row r="852" spans="1:4" x14ac:dyDescent="0.3">
      <c r="A852" s="1"/>
      <c r="B852" s="1" t="str">
        <f>IFERROR(IF(LEFT(Sensitivität_bzw_Monte_Carlo_bei_Strom[[#This Row],[Source.Name]],SEARCH("aus_der",Sensitivität_bzw_Monte_Carlo_bei_Strom[[#This Row],[Source.Name]],1))="Auszahlung_a","Auszahlung",""),"")</f>
        <v/>
      </c>
      <c r="D852" s="1"/>
    </row>
    <row r="853" spans="1:4" x14ac:dyDescent="0.3">
      <c r="A853" s="1"/>
      <c r="B853" s="1" t="str">
        <f>IFERROR(IF(LEFT(Sensitivität_bzw_Monte_Carlo_bei_Strom[[#This Row],[Source.Name]],SEARCH("aus_der",Sensitivität_bzw_Monte_Carlo_bei_Strom[[#This Row],[Source.Name]],1))="Auszahlung_a","Auszahlung",""),"")</f>
        <v/>
      </c>
      <c r="D853" s="1"/>
    </row>
    <row r="854" spans="1:4" x14ac:dyDescent="0.3">
      <c r="A854" s="1"/>
      <c r="B854" s="1" t="str">
        <f>IFERROR(IF(LEFT(Sensitivität_bzw_Monte_Carlo_bei_Strom[[#This Row],[Source.Name]],SEARCH("aus_der",Sensitivität_bzw_Monte_Carlo_bei_Strom[[#This Row],[Source.Name]],1))="Auszahlung_a","Auszahlung",""),"")</f>
        <v/>
      </c>
      <c r="D854" s="1"/>
    </row>
    <row r="855" spans="1:4" x14ac:dyDescent="0.3">
      <c r="A855" s="1"/>
      <c r="B855" s="1" t="str">
        <f>IFERROR(IF(LEFT(Sensitivität_bzw_Monte_Carlo_bei_Strom[[#This Row],[Source.Name]],SEARCH("aus_der",Sensitivität_bzw_Monte_Carlo_bei_Strom[[#This Row],[Source.Name]],1))="Auszahlung_a","Auszahlung",""),"")</f>
        <v/>
      </c>
      <c r="D855" s="1"/>
    </row>
    <row r="856" spans="1:4" x14ac:dyDescent="0.3">
      <c r="A856" s="1"/>
      <c r="B856" s="1" t="str">
        <f>IFERROR(IF(LEFT(Sensitivität_bzw_Monte_Carlo_bei_Strom[[#This Row],[Source.Name]],SEARCH("aus_der",Sensitivität_bzw_Monte_Carlo_bei_Strom[[#This Row],[Source.Name]],1))="Auszahlung_a","Auszahlung",""),"")</f>
        <v/>
      </c>
      <c r="D856" s="1"/>
    </row>
    <row r="857" spans="1:4" x14ac:dyDescent="0.3">
      <c r="A857" s="1"/>
      <c r="B857" s="1" t="str">
        <f>IFERROR(IF(LEFT(Sensitivität_bzw_Monte_Carlo_bei_Strom[[#This Row],[Source.Name]],SEARCH("aus_der",Sensitivität_bzw_Monte_Carlo_bei_Strom[[#This Row],[Source.Name]],1))="Auszahlung_a","Auszahlung",""),"")</f>
        <v/>
      </c>
      <c r="D857" s="1"/>
    </row>
    <row r="858" spans="1:4" x14ac:dyDescent="0.3">
      <c r="A858" s="1"/>
      <c r="B858" s="1" t="str">
        <f>IFERROR(IF(LEFT(Sensitivität_bzw_Monte_Carlo_bei_Strom[[#This Row],[Source.Name]],SEARCH("aus_der",Sensitivität_bzw_Monte_Carlo_bei_Strom[[#This Row],[Source.Name]],1))="Auszahlung_a","Auszahlung",""),"")</f>
        <v/>
      </c>
      <c r="D858" s="1"/>
    </row>
    <row r="859" spans="1:4" x14ac:dyDescent="0.3">
      <c r="A859" s="1"/>
      <c r="B859" s="1" t="str">
        <f>IFERROR(IF(LEFT(Sensitivität_bzw_Monte_Carlo_bei_Strom[[#This Row],[Source.Name]],SEARCH("aus_der",Sensitivität_bzw_Monte_Carlo_bei_Strom[[#This Row],[Source.Name]],1))="Auszahlung_a","Auszahlung",""),"")</f>
        <v/>
      </c>
      <c r="D859" s="1"/>
    </row>
    <row r="860" spans="1:4" x14ac:dyDescent="0.3">
      <c r="A860" s="1"/>
      <c r="B860" s="1" t="str">
        <f>IFERROR(IF(LEFT(Sensitivität_bzw_Monte_Carlo_bei_Strom[[#This Row],[Source.Name]],SEARCH("aus_der",Sensitivität_bzw_Monte_Carlo_bei_Strom[[#This Row],[Source.Name]],1))="Auszahlung_a","Auszahlung",""),"")</f>
        <v/>
      </c>
      <c r="D860" s="1"/>
    </row>
    <row r="861" spans="1:4" x14ac:dyDescent="0.3">
      <c r="A861" s="1"/>
      <c r="B861" s="1" t="str">
        <f>IFERROR(IF(LEFT(Sensitivität_bzw_Monte_Carlo_bei_Strom[[#This Row],[Source.Name]],SEARCH("aus_der",Sensitivität_bzw_Monte_Carlo_bei_Strom[[#This Row],[Source.Name]],1))="Auszahlung_a","Auszahlung",""),"")</f>
        <v/>
      </c>
      <c r="D861" s="1"/>
    </row>
    <row r="862" spans="1:4" x14ac:dyDescent="0.3">
      <c r="A862" s="1"/>
      <c r="B862" s="1" t="str">
        <f>IFERROR(IF(LEFT(Sensitivität_bzw_Monte_Carlo_bei_Strom[[#This Row],[Source.Name]],SEARCH("aus_der",Sensitivität_bzw_Monte_Carlo_bei_Strom[[#This Row],[Source.Name]],1))="Auszahlung_a","Auszahlung",""),"")</f>
        <v/>
      </c>
      <c r="D862" s="1"/>
    </row>
    <row r="863" spans="1:4" x14ac:dyDescent="0.3">
      <c r="A863" s="1"/>
      <c r="B863" s="1" t="str">
        <f>IFERROR(IF(LEFT(Sensitivität_bzw_Monte_Carlo_bei_Strom[[#This Row],[Source.Name]],SEARCH("aus_der",Sensitivität_bzw_Monte_Carlo_bei_Strom[[#This Row],[Source.Name]],1))="Auszahlung_a","Auszahlung",""),"")</f>
        <v/>
      </c>
      <c r="D863" s="1"/>
    </row>
    <row r="864" spans="1:4" x14ac:dyDescent="0.3">
      <c r="A864" s="1"/>
      <c r="B864" s="1" t="str">
        <f>IFERROR(IF(LEFT(Sensitivität_bzw_Monte_Carlo_bei_Strom[[#This Row],[Source.Name]],SEARCH("aus_der",Sensitivität_bzw_Monte_Carlo_bei_Strom[[#This Row],[Source.Name]],1))="Auszahlung_a","Auszahlung",""),"")</f>
        <v/>
      </c>
      <c r="D864" s="1"/>
    </row>
    <row r="865" spans="1:4" x14ac:dyDescent="0.3">
      <c r="A865" s="1"/>
      <c r="B865" s="1" t="str">
        <f>IFERROR(IF(LEFT(Sensitivität_bzw_Monte_Carlo_bei_Strom[[#This Row],[Source.Name]],SEARCH("aus_der",Sensitivität_bzw_Monte_Carlo_bei_Strom[[#This Row],[Source.Name]],1))="Auszahlung_a","Auszahlung",""),"")</f>
        <v/>
      </c>
      <c r="D865" s="1"/>
    </row>
    <row r="866" spans="1:4" x14ac:dyDescent="0.3">
      <c r="A866" s="1"/>
      <c r="B866" s="1" t="str">
        <f>IFERROR(IF(LEFT(Sensitivität_bzw_Monte_Carlo_bei_Strom[[#This Row],[Source.Name]],SEARCH("aus_der",Sensitivität_bzw_Monte_Carlo_bei_Strom[[#This Row],[Source.Name]],1))="Auszahlung_a","Auszahlung",""),"")</f>
        <v/>
      </c>
      <c r="D866" s="1"/>
    </row>
    <row r="867" spans="1:4" x14ac:dyDescent="0.3">
      <c r="A867" s="1"/>
      <c r="B867" s="1" t="str">
        <f>IFERROR(IF(LEFT(Sensitivität_bzw_Monte_Carlo_bei_Strom[[#This Row],[Source.Name]],SEARCH("aus_der",Sensitivität_bzw_Monte_Carlo_bei_Strom[[#This Row],[Source.Name]],1))="Auszahlung_a","Auszahlung",""),"")</f>
        <v/>
      </c>
      <c r="D867" s="1"/>
    </row>
    <row r="868" spans="1:4" x14ac:dyDescent="0.3">
      <c r="A868" s="1"/>
      <c r="B868" s="1" t="str">
        <f>IFERROR(IF(LEFT(Sensitivität_bzw_Monte_Carlo_bei_Strom[[#This Row],[Source.Name]],SEARCH("aus_der",Sensitivität_bzw_Monte_Carlo_bei_Strom[[#This Row],[Source.Name]],1))="Auszahlung_a","Auszahlung",""),"")</f>
        <v/>
      </c>
      <c r="D868" s="1"/>
    </row>
    <row r="869" spans="1:4" x14ac:dyDescent="0.3">
      <c r="A869" s="1"/>
      <c r="B869" s="1" t="str">
        <f>IFERROR(IF(LEFT(Sensitivität_bzw_Monte_Carlo_bei_Strom[[#This Row],[Source.Name]],SEARCH("aus_der",Sensitivität_bzw_Monte_Carlo_bei_Strom[[#This Row],[Source.Name]],1))="Auszahlung_a","Auszahlung",""),"")</f>
        <v/>
      </c>
      <c r="D869" s="1"/>
    </row>
    <row r="870" spans="1:4" x14ac:dyDescent="0.3">
      <c r="A870" s="1"/>
      <c r="B870" s="1" t="str">
        <f>IFERROR(IF(LEFT(Sensitivität_bzw_Monte_Carlo_bei_Strom[[#This Row],[Source.Name]],SEARCH("aus_der",Sensitivität_bzw_Monte_Carlo_bei_Strom[[#This Row],[Source.Name]],1))="Auszahlung_a","Auszahlung",""),"")</f>
        <v/>
      </c>
      <c r="D870" s="1"/>
    </row>
    <row r="871" spans="1:4" x14ac:dyDescent="0.3">
      <c r="A871" s="1"/>
      <c r="B871" s="1" t="str">
        <f>IFERROR(IF(LEFT(Sensitivität_bzw_Monte_Carlo_bei_Strom[[#This Row],[Source.Name]],SEARCH("aus_der",Sensitivität_bzw_Monte_Carlo_bei_Strom[[#This Row],[Source.Name]],1))="Auszahlung_a","Auszahlung",""),"")</f>
        <v/>
      </c>
      <c r="D871" s="1"/>
    </row>
    <row r="872" spans="1:4" x14ac:dyDescent="0.3">
      <c r="A872" s="1"/>
      <c r="B872" s="1" t="str">
        <f>IFERROR(IF(LEFT(Sensitivität_bzw_Monte_Carlo_bei_Strom[[#This Row],[Source.Name]],SEARCH("aus_der",Sensitivität_bzw_Monte_Carlo_bei_Strom[[#This Row],[Source.Name]],1))="Auszahlung_a","Auszahlung",""),"")</f>
        <v/>
      </c>
      <c r="D872" s="1"/>
    </row>
    <row r="873" spans="1:4" x14ac:dyDescent="0.3">
      <c r="A873" s="1"/>
      <c r="B873" s="1" t="str">
        <f>IFERROR(IF(LEFT(Sensitivität_bzw_Monte_Carlo_bei_Strom[[#This Row],[Source.Name]],SEARCH("aus_der",Sensitivität_bzw_Monte_Carlo_bei_Strom[[#This Row],[Source.Name]],1))="Auszahlung_a","Auszahlung",""),"")</f>
        <v/>
      </c>
      <c r="D873" s="1"/>
    </row>
    <row r="874" spans="1:4" x14ac:dyDescent="0.3">
      <c r="A874" s="1"/>
      <c r="B874" s="1" t="str">
        <f>IFERROR(IF(LEFT(Sensitivität_bzw_Monte_Carlo_bei_Strom[[#This Row],[Source.Name]],SEARCH("aus_der",Sensitivität_bzw_Monte_Carlo_bei_Strom[[#This Row],[Source.Name]],1))="Auszahlung_a","Auszahlung",""),"")</f>
        <v/>
      </c>
      <c r="D874" s="1"/>
    </row>
    <row r="875" spans="1:4" x14ac:dyDescent="0.3">
      <c r="A875" s="1"/>
      <c r="B875" s="1" t="str">
        <f>IFERROR(IF(LEFT(Sensitivität_bzw_Monte_Carlo_bei_Strom[[#This Row],[Source.Name]],SEARCH("aus_der",Sensitivität_bzw_Monte_Carlo_bei_Strom[[#This Row],[Source.Name]],1))="Auszahlung_a","Auszahlung",""),"")</f>
        <v/>
      </c>
      <c r="D875" s="1"/>
    </row>
    <row r="876" spans="1:4" x14ac:dyDescent="0.3">
      <c r="A876" s="1"/>
      <c r="B876" s="1" t="str">
        <f>IFERROR(IF(LEFT(Sensitivität_bzw_Monte_Carlo_bei_Strom[[#This Row],[Source.Name]],SEARCH("aus_der",Sensitivität_bzw_Monte_Carlo_bei_Strom[[#This Row],[Source.Name]],1))="Auszahlung_a","Auszahlung",""),"")</f>
        <v/>
      </c>
      <c r="D876" s="1"/>
    </row>
    <row r="877" spans="1:4" x14ac:dyDescent="0.3">
      <c r="A877" s="1"/>
      <c r="B877" s="1" t="str">
        <f>IFERROR(IF(LEFT(Sensitivität_bzw_Monte_Carlo_bei_Strom[[#This Row],[Source.Name]],SEARCH("aus_der",Sensitivität_bzw_Monte_Carlo_bei_Strom[[#This Row],[Source.Name]],1))="Auszahlung_a","Auszahlung",""),"")</f>
        <v/>
      </c>
      <c r="D877" s="1"/>
    </row>
    <row r="878" spans="1:4" x14ac:dyDescent="0.3">
      <c r="A878" s="1"/>
      <c r="B878" s="1" t="str">
        <f>IFERROR(IF(LEFT(Sensitivität_bzw_Monte_Carlo_bei_Strom[[#This Row],[Source.Name]],SEARCH("aus_der",Sensitivität_bzw_Monte_Carlo_bei_Strom[[#This Row],[Source.Name]],1))="Auszahlung_a","Auszahlung",""),"")</f>
        <v/>
      </c>
      <c r="D878" s="1"/>
    </row>
    <row r="879" spans="1:4" x14ac:dyDescent="0.3">
      <c r="A879" s="1"/>
      <c r="B879" s="1" t="str">
        <f>IFERROR(IF(LEFT(Sensitivität_bzw_Monte_Carlo_bei_Strom[[#This Row],[Source.Name]],SEARCH("aus_der",Sensitivität_bzw_Monte_Carlo_bei_Strom[[#This Row],[Source.Name]],1))="Auszahlung_a","Auszahlung",""),"")</f>
        <v/>
      </c>
      <c r="D879" s="1"/>
    </row>
    <row r="880" spans="1:4" x14ac:dyDescent="0.3">
      <c r="A880" s="1"/>
      <c r="B880" s="1" t="str">
        <f>IFERROR(IF(LEFT(Sensitivität_bzw_Monte_Carlo_bei_Strom[[#This Row],[Source.Name]],SEARCH("aus_der",Sensitivität_bzw_Monte_Carlo_bei_Strom[[#This Row],[Source.Name]],1))="Auszahlung_a","Auszahlung",""),"")</f>
        <v/>
      </c>
      <c r="D880" s="1"/>
    </row>
    <row r="881" spans="1:4" x14ac:dyDescent="0.3">
      <c r="A881" s="1"/>
      <c r="B881" s="1" t="str">
        <f>IFERROR(IF(LEFT(Sensitivität_bzw_Monte_Carlo_bei_Strom[[#This Row],[Source.Name]],SEARCH("aus_der",Sensitivität_bzw_Monte_Carlo_bei_Strom[[#This Row],[Source.Name]],1))="Auszahlung_a","Auszahlung",""),"")</f>
        <v/>
      </c>
      <c r="D881" s="1"/>
    </row>
    <row r="882" spans="1:4" x14ac:dyDescent="0.3">
      <c r="A882" s="1"/>
      <c r="B882" s="1" t="str">
        <f>IFERROR(IF(LEFT(Sensitivität_bzw_Monte_Carlo_bei_Strom[[#This Row],[Source.Name]],SEARCH("aus_der",Sensitivität_bzw_Monte_Carlo_bei_Strom[[#This Row],[Source.Name]],1))="Auszahlung_a","Auszahlung",""),"")</f>
        <v/>
      </c>
      <c r="D882" s="1"/>
    </row>
    <row r="883" spans="1:4" x14ac:dyDescent="0.3">
      <c r="A883" s="1"/>
      <c r="B883" s="1" t="str">
        <f>IFERROR(IF(LEFT(Sensitivität_bzw_Monte_Carlo_bei_Strom[[#This Row],[Source.Name]],SEARCH("aus_der",Sensitivität_bzw_Monte_Carlo_bei_Strom[[#This Row],[Source.Name]],1))="Auszahlung_a","Auszahlung",""),"")</f>
        <v/>
      </c>
      <c r="D883" s="1"/>
    </row>
    <row r="884" spans="1:4" x14ac:dyDescent="0.3">
      <c r="A884" s="1"/>
      <c r="B884" s="1" t="str">
        <f>IFERROR(IF(LEFT(Sensitivität_bzw_Monte_Carlo_bei_Strom[[#This Row],[Source.Name]],SEARCH("aus_der",Sensitivität_bzw_Monte_Carlo_bei_Strom[[#This Row],[Source.Name]],1))="Auszahlung_a","Auszahlung",""),"")</f>
        <v/>
      </c>
      <c r="D884" s="1"/>
    </row>
    <row r="885" spans="1:4" x14ac:dyDescent="0.3">
      <c r="A885" s="1"/>
      <c r="B885" s="1" t="str">
        <f>IFERROR(IF(LEFT(Sensitivität_bzw_Monte_Carlo_bei_Strom[[#This Row],[Source.Name]],SEARCH("aus_der",Sensitivität_bzw_Monte_Carlo_bei_Strom[[#This Row],[Source.Name]],1))="Auszahlung_a","Auszahlung",""),"")</f>
        <v/>
      </c>
      <c r="D885" s="1"/>
    </row>
    <row r="886" spans="1:4" x14ac:dyDescent="0.3">
      <c r="A886" s="1"/>
      <c r="B886" s="1" t="str">
        <f>IFERROR(IF(LEFT(Sensitivität_bzw_Monte_Carlo_bei_Strom[[#This Row],[Source.Name]],SEARCH("aus_der",Sensitivität_bzw_Monte_Carlo_bei_Strom[[#This Row],[Source.Name]],1))="Auszahlung_a","Auszahlung",""),"")</f>
        <v/>
      </c>
      <c r="D886" s="1"/>
    </row>
    <row r="887" spans="1:4" x14ac:dyDescent="0.3">
      <c r="A887" s="1"/>
      <c r="B887" s="1" t="str">
        <f>IFERROR(IF(LEFT(Sensitivität_bzw_Monte_Carlo_bei_Strom[[#This Row],[Source.Name]],SEARCH("aus_der",Sensitivität_bzw_Monte_Carlo_bei_Strom[[#This Row],[Source.Name]],1))="Auszahlung_a","Auszahlung",""),"")</f>
        <v/>
      </c>
      <c r="D887" s="1"/>
    </row>
    <row r="888" spans="1:4" x14ac:dyDescent="0.3">
      <c r="A888" s="1"/>
      <c r="B888" s="1" t="str">
        <f>IFERROR(IF(LEFT(Sensitivität_bzw_Monte_Carlo_bei_Strom[[#This Row],[Source.Name]],SEARCH("aus_der",Sensitivität_bzw_Monte_Carlo_bei_Strom[[#This Row],[Source.Name]],1))="Auszahlung_a","Auszahlung",""),"")</f>
        <v/>
      </c>
      <c r="D888" s="1"/>
    </row>
    <row r="889" spans="1:4" x14ac:dyDescent="0.3">
      <c r="A889" s="1"/>
      <c r="B889" s="1" t="str">
        <f>IFERROR(IF(LEFT(Sensitivität_bzw_Monte_Carlo_bei_Strom[[#This Row],[Source.Name]],SEARCH("aus_der",Sensitivität_bzw_Monte_Carlo_bei_Strom[[#This Row],[Source.Name]],1))="Auszahlung_a","Auszahlung",""),"")</f>
        <v/>
      </c>
      <c r="D889" s="1"/>
    </row>
    <row r="890" spans="1:4" x14ac:dyDescent="0.3">
      <c r="A890" s="1"/>
      <c r="B890" s="1" t="str">
        <f>IFERROR(IF(LEFT(Sensitivität_bzw_Monte_Carlo_bei_Strom[[#This Row],[Source.Name]],SEARCH("aus_der",Sensitivität_bzw_Monte_Carlo_bei_Strom[[#This Row],[Source.Name]],1))="Auszahlung_a","Auszahlung",""),"")</f>
        <v/>
      </c>
      <c r="D890" s="1"/>
    </row>
    <row r="891" spans="1:4" x14ac:dyDescent="0.3">
      <c r="A891" s="1"/>
      <c r="B891" s="1" t="str">
        <f>IFERROR(IF(LEFT(Sensitivität_bzw_Monte_Carlo_bei_Strom[[#This Row],[Source.Name]],SEARCH("aus_der",Sensitivität_bzw_Monte_Carlo_bei_Strom[[#This Row],[Source.Name]],1))="Auszahlung_a","Auszahlung",""),"")</f>
        <v/>
      </c>
      <c r="D891" s="1"/>
    </row>
    <row r="892" spans="1:4" x14ac:dyDescent="0.3">
      <c r="A892" s="1"/>
      <c r="B892" s="1" t="str">
        <f>IFERROR(IF(LEFT(Sensitivität_bzw_Monte_Carlo_bei_Strom[[#This Row],[Source.Name]],SEARCH("aus_der",Sensitivität_bzw_Monte_Carlo_bei_Strom[[#This Row],[Source.Name]],1))="Auszahlung_a","Auszahlung",""),"")</f>
        <v/>
      </c>
      <c r="D892" s="1"/>
    </row>
    <row r="893" spans="1:4" x14ac:dyDescent="0.3">
      <c r="A893" s="1"/>
      <c r="B893" s="1" t="str">
        <f>IFERROR(IF(LEFT(Sensitivität_bzw_Monte_Carlo_bei_Strom[[#This Row],[Source.Name]],SEARCH("aus_der",Sensitivität_bzw_Monte_Carlo_bei_Strom[[#This Row],[Source.Name]],1))="Auszahlung_a","Auszahlung",""),"")</f>
        <v/>
      </c>
      <c r="D893" s="1"/>
    </row>
    <row r="894" spans="1:4" x14ac:dyDescent="0.3">
      <c r="A894" s="1"/>
      <c r="B894" s="1" t="str">
        <f>IFERROR(IF(LEFT(Sensitivität_bzw_Monte_Carlo_bei_Strom[[#This Row],[Source.Name]],SEARCH("aus_der",Sensitivität_bzw_Monte_Carlo_bei_Strom[[#This Row],[Source.Name]],1))="Auszahlung_a","Auszahlung",""),"")</f>
        <v/>
      </c>
      <c r="D894" s="1"/>
    </row>
    <row r="895" spans="1:4" x14ac:dyDescent="0.3">
      <c r="A895" s="1"/>
      <c r="B895" s="1" t="str">
        <f>IFERROR(IF(LEFT(Sensitivität_bzw_Monte_Carlo_bei_Strom[[#This Row],[Source.Name]],SEARCH("aus_der",Sensitivität_bzw_Monte_Carlo_bei_Strom[[#This Row],[Source.Name]],1))="Auszahlung_a","Auszahlung",""),"")</f>
        <v/>
      </c>
      <c r="D895" s="1"/>
    </row>
    <row r="896" spans="1:4" x14ac:dyDescent="0.3">
      <c r="A896" s="1"/>
      <c r="B896" s="1" t="str">
        <f>IFERROR(IF(LEFT(Sensitivität_bzw_Monte_Carlo_bei_Strom[[#This Row],[Source.Name]],SEARCH("aus_der",Sensitivität_bzw_Monte_Carlo_bei_Strom[[#This Row],[Source.Name]],1))="Auszahlung_a","Auszahlung",""),"")</f>
        <v/>
      </c>
      <c r="D896" s="1"/>
    </row>
    <row r="897" spans="1:4" x14ac:dyDescent="0.3">
      <c r="A897" s="1"/>
      <c r="B897" s="1" t="str">
        <f>IFERROR(IF(LEFT(Sensitivität_bzw_Monte_Carlo_bei_Strom[[#This Row],[Source.Name]],SEARCH("aus_der",Sensitivität_bzw_Monte_Carlo_bei_Strom[[#This Row],[Source.Name]],1))="Auszahlung_a","Auszahlung",""),"")</f>
        <v/>
      </c>
      <c r="D897" s="1"/>
    </row>
    <row r="898" spans="1:4" x14ac:dyDescent="0.3">
      <c r="A898" s="1"/>
      <c r="B898" s="1" t="str">
        <f>IFERROR(IF(LEFT(Sensitivität_bzw_Monte_Carlo_bei_Strom[[#This Row],[Source.Name]],SEARCH("aus_der",Sensitivität_bzw_Monte_Carlo_bei_Strom[[#This Row],[Source.Name]],1))="Auszahlung_a","Auszahlung",""),"")</f>
        <v/>
      </c>
      <c r="D898" s="1"/>
    </row>
    <row r="899" spans="1:4" x14ac:dyDescent="0.3">
      <c r="A899" s="1"/>
      <c r="B899" s="1" t="str">
        <f>IFERROR(IF(LEFT(Sensitivität_bzw_Monte_Carlo_bei_Strom[[#This Row],[Source.Name]],SEARCH("aus_der",Sensitivität_bzw_Monte_Carlo_bei_Strom[[#This Row],[Source.Name]],1))="Auszahlung_a","Auszahlung",""),"")</f>
        <v/>
      </c>
      <c r="D899" s="1"/>
    </row>
    <row r="900" spans="1:4" x14ac:dyDescent="0.3">
      <c r="A900" s="1"/>
      <c r="B900" s="1" t="str">
        <f>IFERROR(IF(LEFT(Sensitivität_bzw_Monte_Carlo_bei_Strom[[#This Row],[Source.Name]],SEARCH("aus_der",Sensitivität_bzw_Monte_Carlo_bei_Strom[[#This Row],[Source.Name]],1))="Auszahlung_a","Auszahlung",""),"")</f>
        <v/>
      </c>
      <c r="D900" s="1"/>
    </row>
    <row r="901" spans="1:4" x14ac:dyDescent="0.3">
      <c r="A901" s="1"/>
      <c r="B901" s="1" t="str">
        <f>IFERROR(IF(LEFT(Sensitivität_bzw_Monte_Carlo_bei_Strom[[#This Row],[Source.Name]],SEARCH("aus_der",Sensitivität_bzw_Monte_Carlo_bei_Strom[[#This Row],[Source.Name]],1))="Auszahlung_a","Auszahlung",""),"")</f>
        <v/>
      </c>
      <c r="D901" s="1"/>
    </row>
    <row r="902" spans="1:4" x14ac:dyDescent="0.3">
      <c r="A902" s="1"/>
      <c r="B902" s="1" t="str">
        <f>IFERROR(IF(LEFT(Sensitivität_bzw_Monte_Carlo_bei_Strom[[#This Row],[Source.Name]],SEARCH("aus_der",Sensitivität_bzw_Monte_Carlo_bei_Strom[[#This Row],[Source.Name]],1))="Auszahlung_a","Auszahlung",""),"")</f>
        <v/>
      </c>
      <c r="D902" s="1"/>
    </row>
    <row r="903" spans="1:4" x14ac:dyDescent="0.3">
      <c r="A903" s="1"/>
      <c r="B903" s="1" t="str">
        <f>IFERROR(IF(LEFT(Sensitivität_bzw_Monte_Carlo_bei_Strom[[#This Row],[Source.Name]],SEARCH("aus_der",Sensitivität_bzw_Monte_Carlo_bei_Strom[[#This Row],[Source.Name]],1))="Auszahlung_a","Auszahlung",""),"")</f>
        <v/>
      </c>
      <c r="D903" s="1"/>
    </row>
    <row r="904" spans="1:4" x14ac:dyDescent="0.3">
      <c r="A904" s="1"/>
      <c r="B904" s="1" t="str">
        <f>IFERROR(IF(LEFT(Sensitivität_bzw_Monte_Carlo_bei_Strom[[#This Row],[Source.Name]],SEARCH("aus_der",Sensitivität_bzw_Monte_Carlo_bei_Strom[[#This Row],[Source.Name]],1))="Auszahlung_a","Auszahlung",""),"")</f>
        <v/>
      </c>
      <c r="D904" s="1"/>
    </row>
    <row r="905" spans="1:4" x14ac:dyDescent="0.3">
      <c r="A905" s="1"/>
      <c r="B905" s="1" t="str">
        <f>IFERROR(IF(LEFT(Sensitivität_bzw_Monte_Carlo_bei_Strom[[#This Row],[Source.Name]],SEARCH("aus_der",Sensitivität_bzw_Monte_Carlo_bei_Strom[[#This Row],[Source.Name]],1))="Auszahlung_a","Auszahlung",""),"")</f>
        <v/>
      </c>
      <c r="D905" s="1"/>
    </row>
    <row r="906" spans="1:4" x14ac:dyDescent="0.3">
      <c r="A906" s="1"/>
      <c r="B906" s="1" t="str">
        <f>IFERROR(IF(LEFT(Sensitivität_bzw_Monte_Carlo_bei_Strom[[#This Row],[Source.Name]],SEARCH("aus_der",Sensitivität_bzw_Monte_Carlo_bei_Strom[[#This Row],[Source.Name]],1))="Auszahlung_a","Auszahlung",""),"")</f>
        <v/>
      </c>
      <c r="D906" s="1"/>
    </row>
    <row r="907" spans="1:4" x14ac:dyDescent="0.3">
      <c r="A907" s="1"/>
      <c r="B907" s="1" t="str">
        <f>IFERROR(IF(LEFT(Sensitivität_bzw_Monte_Carlo_bei_Strom[[#This Row],[Source.Name]],SEARCH("aus_der",Sensitivität_bzw_Monte_Carlo_bei_Strom[[#This Row],[Source.Name]],1))="Auszahlung_a","Auszahlung",""),"")</f>
        <v/>
      </c>
      <c r="D907" s="1"/>
    </row>
    <row r="908" spans="1:4" x14ac:dyDescent="0.3">
      <c r="A908" s="1"/>
      <c r="B908" s="1" t="str">
        <f>IFERROR(IF(LEFT(Sensitivität_bzw_Monte_Carlo_bei_Strom[[#This Row],[Source.Name]],SEARCH("aus_der",Sensitivität_bzw_Monte_Carlo_bei_Strom[[#This Row],[Source.Name]],1))="Auszahlung_a","Auszahlung",""),"")</f>
        <v/>
      </c>
      <c r="D908" s="1"/>
    </row>
    <row r="909" spans="1:4" x14ac:dyDescent="0.3">
      <c r="A909" s="1"/>
      <c r="B909" s="1" t="str">
        <f>IFERROR(IF(LEFT(Sensitivität_bzw_Monte_Carlo_bei_Strom[[#This Row],[Source.Name]],SEARCH("aus_der",Sensitivität_bzw_Monte_Carlo_bei_Strom[[#This Row],[Source.Name]],1))="Auszahlung_a","Auszahlung",""),"")</f>
        <v/>
      </c>
      <c r="D909" s="1"/>
    </row>
    <row r="910" spans="1:4" x14ac:dyDescent="0.3">
      <c r="A910" s="1"/>
      <c r="B910" s="1" t="str">
        <f>IFERROR(IF(LEFT(Sensitivität_bzw_Monte_Carlo_bei_Strom[[#This Row],[Source.Name]],SEARCH("aus_der",Sensitivität_bzw_Monte_Carlo_bei_Strom[[#This Row],[Source.Name]],1))="Auszahlung_a","Auszahlung",""),"")</f>
        <v/>
      </c>
      <c r="D910" s="1"/>
    </row>
    <row r="911" spans="1:4" x14ac:dyDescent="0.3">
      <c r="A911" s="1"/>
      <c r="B911" s="1" t="str">
        <f>IFERROR(IF(LEFT(Sensitivität_bzw_Monte_Carlo_bei_Strom[[#This Row],[Source.Name]],SEARCH("aus_der",Sensitivität_bzw_Monte_Carlo_bei_Strom[[#This Row],[Source.Name]],1))="Auszahlung_a","Auszahlung",""),"")</f>
        <v/>
      </c>
      <c r="D911" s="1"/>
    </row>
    <row r="912" spans="1:4" x14ac:dyDescent="0.3">
      <c r="A912" s="1"/>
      <c r="B912" s="1" t="str">
        <f>IFERROR(IF(LEFT(Sensitivität_bzw_Monte_Carlo_bei_Strom[[#This Row],[Source.Name]],SEARCH("aus_der",Sensitivität_bzw_Monte_Carlo_bei_Strom[[#This Row],[Source.Name]],1))="Auszahlung_a","Auszahlung",""),"")</f>
        <v/>
      </c>
      <c r="D912" s="1"/>
    </row>
    <row r="913" spans="1:4" x14ac:dyDescent="0.3">
      <c r="A913" s="1"/>
      <c r="B913" s="1" t="str">
        <f>IFERROR(IF(LEFT(Sensitivität_bzw_Monte_Carlo_bei_Strom[[#This Row],[Source.Name]],SEARCH("aus_der",Sensitivität_bzw_Monte_Carlo_bei_Strom[[#This Row],[Source.Name]],1))="Auszahlung_a","Auszahlung",""),"")</f>
        <v/>
      </c>
      <c r="D913" s="1"/>
    </row>
    <row r="914" spans="1:4" x14ac:dyDescent="0.3">
      <c r="A914" s="1"/>
      <c r="B914" s="1" t="str">
        <f>IFERROR(IF(LEFT(Sensitivität_bzw_Monte_Carlo_bei_Strom[[#This Row],[Source.Name]],SEARCH("aus_der",Sensitivität_bzw_Monte_Carlo_bei_Strom[[#This Row],[Source.Name]],1))="Auszahlung_a","Auszahlung",""),"")</f>
        <v/>
      </c>
      <c r="D914" s="1"/>
    </row>
    <row r="915" spans="1:4" x14ac:dyDescent="0.3">
      <c r="A915" s="1"/>
      <c r="B915" s="1" t="str">
        <f>IFERROR(IF(LEFT(Sensitivität_bzw_Monte_Carlo_bei_Strom[[#This Row],[Source.Name]],SEARCH("aus_der",Sensitivität_bzw_Monte_Carlo_bei_Strom[[#This Row],[Source.Name]],1))="Auszahlung_a","Auszahlung",""),"")</f>
        <v/>
      </c>
      <c r="D915" s="1"/>
    </row>
    <row r="916" spans="1:4" x14ac:dyDescent="0.3">
      <c r="A916" s="1"/>
      <c r="B916" s="1" t="str">
        <f>IFERROR(IF(LEFT(Sensitivität_bzw_Monte_Carlo_bei_Strom[[#This Row],[Source.Name]],SEARCH("aus_der",Sensitivität_bzw_Monte_Carlo_bei_Strom[[#This Row],[Source.Name]],1))="Auszahlung_a","Auszahlung",""),"")</f>
        <v/>
      </c>
      <c r="D916" s="1"/>
    </row>
    <row r="917" spans="1:4" x14ac:dyDescent="0.3">
      <c r="A917" s="1"/>
      <c r="B917" s="1" t="str">
        <f>IFERROR(IF(LEFT(Sensitivität_bzw_Monte_Carlo_bei_Strom[[#This Row],[Source.Name]],SEARCH("aus_der",Sensitivität_bzw_Monte_Carlo_bei_Strom[[#This Row],[Source.Name]],1))="Auszahlung_a","Auszahlung",""),"")</f>
        <v/>
      </c>
      <c r="D917" s="1"/>
    </row>
    <row r="918" spans="1:4" x14ac:dyDescent="0.3">
      <c r="A918" s="1"/>
      <c r="B918" s="1" t="str">
        <f>IFERROR(IF(LEFT(Sensitivität_bzw_Monte_Carlo_bei_Strom[[#This Row],[Source.Name]],SEARCH("aus_der",Sensitivität_bzw_Monte_Carlo_bei_Strom[[#This Row],[Source.Name]],1))="Auszahlung_a","Auszahlung",""),"")</f>
        <v/>
      </c>
      <c r="D918" s="1"/>
    </row>
    <row r="919" spans="1:4" x14ac:dyDescent="0.3">
      <c r="A919" s="1"/>
      <c r="B919" s="1" t="str">
        <f>IFERROR(IF(LEFT(Sensitivität_bzw_Monte_Carlo_bei_Strom[[#This Row],[Source.Name]],SEARCH("aus_der",Sensitivität_bzw_Monte_Carlo_bei_Strom[[#This Row],[Source.Name]],1))="Auszahlung_a","Auszahlung",""),"")</f>
        <v/>
      </c>
      <c r="D919" s="1"/>
    </row>
    <row r="920" spans="1:4" x14ac:dyDescent="0.3">
      <c r="A920" s="1"/>
      <c r="B920" s="1" t="str">
        <f>IFERROR(IF(LEFT(Sensitivität_bzw_Monte_Carlo_bei_Strom[[#This Row],[Source.Name]],SEARCH("aus_der",Sensitivität_bzw_Monte_Carlo_bei_Strom[[#This Row],[Source.Name]],1))="Auszahlung_a","Auszahlung",""),"")</f>
        <v/>
      </c>
      <c r="D920" s="1"/>
    </row>
    <row r="921" spans="1:4" x14ac:dyDescent="0.3">
      <c r="A921" s="1"/>
      <c r="B921" s="1" t="str">
        <f>IFERROR(IF(LEFT(Sensitivität_bzw_Monte_Carlo_bei_Strom[[#This Row],[Source.Name]],SEARCH("aus_der",Sensitivität_bzw_Monte_Carlo_bei_Strom[[#This Row],[Source.Name]],1))="Auszahlung_a","Auszahlung",""),"")</f>
        <v/>
      </c>
      <c r="D921" s="1"/>
    </row>
    <row r="922" spans="1:4" x14ac:dyDescent="0.3">
      <c r="A922" s="1"/>
      <c r="B922" s="1" t="str">
        <f>IFERROR(IF(LEFT(Sensitivität_bzw_Monte_Carlo_bei_Strom[[#This Row],[Source.Name]],SEARCH("aus_der",Sensitivität_bzw_Monte_Carlo_bei_Strom[[#This Row],[Source.Name]],1))="Auszahlung_a","Auszahlung",""),"")</f>
        <v/>
      </c>
      <c r="D922" s="1"/>
    </row>
    <row r="923" spans="1:4" x14ac:dyDescent="0.3">
      <c r="A923" s="1"/>
      <c r="B923" s="1" t="str">
        <f>IFERROR(IF(LEFT(Sensitivität_bzw_Monte_Carlo_bei_Strom[[#This Row],[Source.Name]],SEARCH("aus_der",Sensitivität_bzw_Monte_Carlo_bei_Strom[[#This Row],[Source.Name]],1))="Auszahlung_a","Auszahlung",""),"")</f>
        <v/>
      </c>
      <c r="D923" s="1"/>
    </row>
    <row r="924" spans="1:4" x14ac:dyDescent="0.3">
      <c r="A924" s="1"/>
      <c r="B924" s="1" t="str">
        <f>IFERROR(IF(LEFT(Sensitivität_bzw_Monte_Carlo_bei_Strom[[#This Row],[Source.Name]],SEARCH("aus_der",Sensitivität_bzw_Monte_Carlo_bei_Strom[[#This Row],[Source.Name]],1))="Auszahlung_a","Auszahlung",""),"")</f>
        <v/>
      </c>
      <c r="D924" s="1"/>
    </row>
    <row r="925" spans="1:4" x14ac:dyDescent="0.3">
      <c r="A925" s="1"/>
      <c r="B925" s="1" t="str">
        <f>IFERROR(IF(LEFT(Sensitivität_bzw_Monte_Carlo_bei_Strom[[#This Row],[Source.Name]],SEARCH("aus_der",Sensitivität_bzw_Monte_Carlo_bei_Strom[[#This Row],[Source.Name]],1))="Auszahlung_a","Auszahlung",""),"")</f>
        <v/>
      </c>
      <c r="D925" s="1"/>
    </row>
    <row r="926" spans="1:4" x14ac:dyDescent="0.3">
      <c r="A926" s="1"/>
      <c r="B926" s="1" t="str">
        <f>IFERROR(IF(LEFT(Sensitivität_bzw_Monte_Carlo_bei_Strom[[#This Row],[Source.Name]],SEARCH("aus_der",Sensitivität_bzw_Monte_Carlo_bei_Strom[[#This Row],[Source.Name]],1))="Auszahlung_a","Auszahlung",""),"")</f>
        <v/>
      </c>
      <c r="D926" s="1"/>
    </row>
    <row r="927" spans="1:4" x14ac:dyDescent="0.3">
      <c r="A927" s="1"/>
      <c r="B927" s="1" t="str">
        <f>IFERROR(IF(LEFT(Sensitivität_bzw_Monte_Carlo_bei_Strom[[#This Row],[Source.Name]],SEARCH("aus_der",Sensitivität_bzw_Monte_Carlo_bei_Strom[[#This Row],[Source.Name]],1))="Auszahlung_a","Auszahlung",""),"")</f>
        <v/>
      </c>
      <c r="D927" s="1"/>
    </row>
    <row r="928" spans="1:4" x14ac:dyDescent="0.3">
      <c r="A928" s="1"/>
      <c r="B928" s="1" t="str">
        <f>IFERROR(IF(LEFT(Sensitivität_bzw_Monte_Carlo_bei_Strom[[#This Row],[Source.Name]],SEARCH("aus_der",Sensitivität_bzw_Monte_Carlo_bei_Strom[[#This Row],[Source.Name]],1))="Auszahlung_a","Auszahlung",""),"")</f>
        <v/>
      </c>
      <c r="D928" s="1"/>
    </row>
    <row r="929" spans="1:4" x14ac:dyDescent="0.3">
      <c r="A929" s="1"/>
      <c r="B929" s="1" t="str">
        <f>IFERROR(IF(LEFT(Sensitivität_bzw_Monte_Carlo_bei_Strom[[#This Row],[Source.Name]],SEARCH("aus_der",Sensitivität_bzw_Monte_Carlo_bei_Strom[[#This Row],[Source.Name]],1))="Auszahlung_a","Auszahlung",""),"")</f>
        <v/>
      </c>
      <c r="D929" s="1"/>
    </row>
    <row r="930" spans="1:4" x14ac:dyDescent="0.3">
      <c r="A930" s="1"/>
      <c r="B930" s="1" t="str">
        <f>IFERROR(IF(LEFT(Sensitivität_bzw_Monte_Carlo_bei_Strom[[#This Row],[Source.Name]],SEARCH("aus_der",Sensitivität_bzw_Monte_Carlo_bei_Strom[[#This Row],[Source.Name]],1))="Auszahlung_a","Auszahlung",""),"")</f>
        <v/>
      </c>
      <c r="D930" s="1"/>
    </row>
    <row r="931" spans="1:4" x14ac:dyDescent="0.3">
      <c r="A931" s="1"/>
      <c r="B931" s="1" t="str">
        <f>IFERROR(IF(LEFT(Sensitivität_bzw_Monte_Carlo_bei_Strom[[#This Row],[Source.Name]],SEARCH("aus_der",Sensitivität_bzw_Monte_Carlo_bei_Strom[[#This Row],[Source.Name]],1))="Auszahlung_a","Auszahlung",""),"")</f>
        <v/>
      </c>
      <c r="D931" s="1"/>
    </row>
    <row r="932" spans="1:4" x14ac:dyDescent="0.3">
      <c r="A932" s="1"/>
      <c r="B932" s="1" t="str">
        <f>IFERROR(IF(LEFT(Sensitivität_bzw_Monte_Carlo_bei_Strom[[#This Row],[Source.Name]],SEARCH("aus_der",Sensitivität_bzw_Monte_Carlo_bei_Strom[[#This Row],[Source.Name]],1))="Auszahlung_a","Auszahlung",""),"")</f>
        <v/>
      </c>
      <c r="D932" s="1"/>
    </row>
    <row r="933" spans="1:4" x14ac:dyDescent="0.3">
      <c r="A933" s="1"/>
      <c r="B933" s="1" t="str">
        <f>IFERROR(IF(LEFT(Sensitivität_bzw_Monte_Carlo_bei_Strom[[#This Row],[Source.Name]],SEARCH("aus_der",Sensitivität_bzw_Monte_Carlo_bei_Strom[[#This Row],[Source.Name]],1))="Auszahlung_a","Auszahlung",""),"")</f>
        <v/>
      </c>
      <c r="D933" s="1"/>
    </row>
    <row r="934" spans="1:4" x14ac:dyDescent="0.3">
      <c r="A934" s="1"/>
      <c r="B934" s="1" t="str">
        <f>IFERROR(IF(LEFT(Sensitivität_bzw_Monte_Carlo_bei_Strom[[#This Row],[Source.Name]],SEARCH("aus_der",Sensitivität_bzw_Monte_Carlo_bei_Strom[[#This Row],[Source.Name]],1))="Auszahlung_a","Auszahlung",""),"")</f>
        <v/>
      </c>
      <c r="D934" s="1"/>
    </row>
    <row r="935" spans="1:4" x14ac:dyDescent="0.3">
      <c r="A935" s="1"/>
      <c r="B935" s="1" t="str">
        <f>IFERROR(IF(LEFT(Sensitivität_bzw_Monte_Carlo_bei_Strom[[#This Row],[Source.Name]],SEARCH("aus_der",Sensitivität_bzw_Monte_Carlo_bei_Strom[[#This Row],[Source.Name]],1))="Auszahlung_a","Auszahlung",""),"")</f>
        <v/>
      </c>
      <c r="D935" s="1"/>
    </row>
    <row r="936" spans="1:4" x14ac:dyDescent="0.3">
      <c r="A936" s="1"/>
      <c r="B936" s="1" t="str">
        <f>IFERROR(IF(LEFT(Sensitivität_bzw_Monte_Carlo_bei_Strom[[#This Row],[Source.Name]],SEARCH("aus_der",Sensitivität_bzw_Monte_Carlo_bei_Strom[[#This Row],[Source.Name]],1))="Auszahlung_a","Auszahlung",""),"")</f>
        <v/>
      </c>
      <c r="D936" s="1"/>
    </row>
    <row r="937" spans="1:4" x14ac:dyDescent="0.3">
      <c r="A937" s="1"/>
      <c r="B937" s="1" t="str">
        <f>IFERROR(IF(LEFT(Sensitivität_bzw_Monte_Carlo_bei_Strom[[#This Row],[Source.Name]],SEARCH("aus_der",Sensitivität_bzw_Monte_Carlo_bei_Strom[[#This Row],[Source.Name]],1))="Auszahlung_a","Auszahlung",""),"")</f>
        <v/>
      </c>
      <c r="D937" s="1"/>
    </row>
    <row r="938" spans="1:4" x14ac:dyDescent="0.3">
      <c r="A938" s="1"/>
      <c r="B938" s="1" t="str">
        <f>IFERROR(IF(LEFT(Sensitivität_bzw_Monte_Carlo_bei_Strom[[#This Row],[Source.Name]],SEARCH("aus_der",Sensitivität_bzw_Monte_Carlo_bei_Strom[[#This Row],[Source.Name]],1))="Auszahlung_a","Auszahlung",""),"")</f>
        <v/>
      </c>
      <c r="D938" s="1"/>
    </row>
    <row r="939" spans="1:4" x14ac:dyDescent="0.3">
      <c r="A939" s="1"/>
      <c r="B939" s="1" t="str">
        <f>IFERROR(IF(LEFT(Sensitivität_bzw_Monte_Carlo_bei_Strom[[#This Row],[Source.Name]],SEARCH("aus_der",Sensitivität_bzw_Monte_Carlo_bei_Strom[[#This Row],[Source.Name]],1))="Auszahlung_a","Auszahlung",""),"")</f>
        <v/>
      </c>
      <c r="D939" s="1"/>
    </row>
    <row r="940" spans="1:4" x14ac:dyDescent="0.3">
      <c r="A940" s="1"/>
      <c r="B940" s="1" t="str">
        <f>IFERROR(IF(LEFT(Sensitivität_bzw_Monte_Carlo_bei_Strom[[#This Row],[Source.Name]],SEARCH("aus_der",Sensitivität_bzw_Monte_Carlo_bei_Strom[[#This Row],[Source.Name]],1))="Auszahlung_a","Auszahlung",""),"")</f>
        <v/>
      </c>
      <c r="D940" s="1"/>
    </row>
    <row r="941" spans="1:4" x14ac:dyDescent="0.3">
      <c r="A941" s="1"/>
      <c r="B941" s="1" t="str">
        <f>IFERROR(IF(LEFT(Sensitivität_bzw_Monte_Carlo_bei_Strom[[#This Row],[Source.Name]],SEARCH("aus_der",Sensitivität_bzw_Monte_Carlo_bei_Strom[[#This Row],[Source.Name]],1))="Auszahlung_a","Auszahlung",""),"")</f>
        <v/>
      </c>
      <c r="D941" s="1"/>
    </row>
    <row r="942" spans="1:4" x14ac:dyDescent="0.3">
      <c r="A942" s="1"/>
      <c r="B942" s="1" t="str">
        <f>IFERROR(IF(LEFT(Sensitivität_bzw_Monte_Carlo_bei_Strom[[#This Row],[Source.Name]],SEARCH("aus_der",Sensitivität_bzw_Monte_Carlo_bei_Strom[[#This Row],[Source.Name]],1))="Auszahlung_a","Auszahlung",""),"")</f>
        <v/>
      </c>
      <c r="D942" s="1"/>
    </row>
    <row r="943" spans="1:4" x14ac:dyDescent="0.3">
      <c r="A943" s="1"/>
      <c r="B943" s="1" t="str">
        <f>IFERROR(IF(LEFT(Sensitivität_bzw_Monte_Carlo_bei_Strom[[#This Row],[Source.Name]],SEARCH("aus_der",Sensitivität_bzw_Monte_Carlo_bei_Strom[[#This Row],[Source.Name]],1))="Auszahlung_a","Auszahlung",""),"")</f>
        <v/>
      </c>
      <c r="D943" s="1"/>
    </row>
    <row r="944" spans="1:4" x14ac:dyDescent="0.3">
      <c r="A944" s="1"/>
      <c r="B944" s="1" t="str">
        <f>IFERROR(IF(LEFT(Sensitivität_bzw_Monte_Carlo_bei_Strom[[#This Row],[Source.Name]],SEARCH("aus_der",Sensitivität_bzw_Monte_Carlo_bei_Strom[[#This Row],[Source.Name]],1))="Auszahlung_a","Auszahlung",""),"")</f>
        <v/>
      </c>
      <c r="D944" s="1"/>
    </row>
    <row r="945" spans="1:4" x14ac:dyDescent="0.3">
      <c r="A945" s="1"/>
      <c r="B945" s="1" t="str">
        <f>IFERROR(IF(LEFT(Sensitivität_bzw_Monte_Carlo_bei_Strom[[#This Row],[Source.Name]],SEARCH("aus_der",Sensitivität_bzw_Monte_Carlo_bei_Strom[[#This Row],[Source.Name]],1))="Auszahlung_a","Auszahlung",""),"")</f>
        <v/>
      </c>
      <c r="D945" s="1"/>
    </row>
    <row r="946" spans="1:4" x14ac:dyDescent="0.3">
      <c r="A946" s="1"/>
      <c r="B946" s="1" t="str">
        <f>IFERROR(IF(LEFT(Sensitivität_bzw_Monte_Carlo_bei_Strom[[#This Row],[Source.Name]],SEARCH("aus_der",Sensitivität_bzw_Monte_Carlo_bei_Strom[[#This Row],[Source.Name]],1))="Auszahlung_a","Auszahlung",""),"")</f>
        <v/>
      </c>
      <c r="D946" s="1"/>
    </row>
    <row r="947" spans="1:4" x14ac:dyDescent="0.3">
      <c r="A947" s="1"/>
      <c r="B947" s="1" t="str">
        <f>IFERROR(IF(LEFT(Sensitivität_bzw_Monte_Carlo_bei_Strom[[#This Row],[Source.Name]],SEARCH("aus_der",Sensitivität_bzw_Monte_Carlo_bei_Strom[[#This Row],[Source.Name]],1))="Auszahlung_a","Auszahlung",""),"")</f>
        <v/>
      </c>
      <c r="D947" s="1"/>
    </row>
    <row r="948" spans="1:4" x14ac:dyDescent="0.3">
      <c r="A948" s="1"/>
      <c r="B948" s="1" t="str">
        <f>IFERROR(IF(LEFT(Sensitivität_bzw_Monte_Carlo_bei_Strom[[#This Row],[Source.Name]],SEARCH("aus_der",Sensitivität_bzw_Monte_Carlo_bei_Strom[[#This Row],[Source.Name]],1))="Auszahlung_a","Auszahlung",""),"")</f>
        <v/>
      </c>
      <c r="D948" s="1"/>
    </row>
    <row r="949" spans="1:4" x14ac:dyDescent="0.3">
      <c r="A949" s="1"/>
      <c r="B949" s="1" t="str">
        <f>IFERROR(IF(LEFT(Sensitivität_bzw_Monte_Carlo_bei_Strom[[#This Row],[Source.Name]],SEARCH("aus_der",Sensitivität_bzw_Monte_Carlo_bei_Strom[[#This Row],[Source.Name]],1))="Auszahlung_a","Auszahlung",""),"")</f>
        <v/>
      </c>
      <c r="D949" s="1"/>
    </row>
    <row r="950" spans="1:4" x14ac:dyDescent="0.3">
      <c r="A950" s="1"/>
      <c r="B950" s="1" t="str">
        <f>IFERROR(IF(LEFT(Sensitivität_bzw_Monte_Carlo_bei_Strom[[#This Row],[Source.Name]],SEARCH("aus_der",Sensitivität_bzw_Monte_Carlo_bei_Strom[[#This Row],[Source.Name]],1))="Auszahlung_a","Auszahlung",""),"")</f>
        <v/>
      </c>
      <c r="D950" s="1"/>
    </row>
    <row r="951" spans="1:4" x14ac:dyDescent="0.3">
      <c r="A951" s="1"/>
      <c r="B951" s="1" t="str">
        <f>IFERROR(IF(LEFT(Sensitivität_bzw_Monte_Carlo_bei_Strom[[#This Row],[Source.Name]],SEARCH("aus_der",Sensitivität_bzw_Monte_Carlo_bei_Strom[[#This Row],[Source.Name]],1))="Auszahlung_a","Auszahlung",""),"")</f>
        <v/>
      </c>
      <c r="D951" s="1"/>
    </row>
    <row r="952" spans="1:4" x14ac:dyDescent="0.3">
      <c r="A952" s="1"/>
      <c r="B952" s="1" t="str">
        <f>IFERROR(IF(LEFT(Sensitivität_bzw_Monte_Carlo_bei_Strom[[#This Row],[Source.Name]],SEARCH("aus_der",Sensitivität_bzw_Monte_Carlo_bei_Strom[[#This Row],[Source.Name]],1))="Auszahlung_a","Auszahlung",""),"")</f>
        <v/>
      </c>
      <c r="D952" s="1"/>
    </row>
    <row r="953" spans="1:4" x14ac:dyDescent="0.3">
      <c r="A953" s="1"/>
      <c r="B953" s="1" t="str">
        <f>IFERROR(IF(LEFT(Sensitivität_bzw_Monte_Carlo_bei_Strom[[#This Row],[Source.Name]],SEARCH("aus_der",Sensitivität_bzw_Monte_Carlo_bei_Strom[[#This Row],[Source.Name]],1))="Auszahlung_a","Auszahlung",""),"")</f>
        <v/>
      </c>
      <c r="D953" s="1"/>
    </row>
    <row r="954" spans="1:4" x14ac:dyDescent="0.3">
      <c r="A954" s="1"/>
      <c r="B954" s="1" t="str">
        <f>IFERROR(IF(LEFT(Sensitivität_bzw_Monte_Carlo_bei_Strom[[#This Row],[Source.Name]],SEARCH("aus_der",Sensitivität_bzw_Monte_Carlo_bei_Strom[[#This Row],[Source.Name]],1))="Auszahlung_a","Auszahlung",""),"")</f>
        <v/>
      </c>
      <c r="D954" s="1"/>
    </row>
    <row r="955" spans="1:4" x14ac:dyDescent="0.3">
      <c r="A955" s="1"/>
      <c r="B955" s="1" t="str">
        <f>IFERROR(IF(LEFT(Sensitivität_bzw_Monte_Carlo_bei_Strom[[#This Row],[Source.Name]],SEARCH("aus_der",Sensitivität_bzw_Monte_Carlo_bei_Strom[[#This Row],[Source.Name]],1))="Auszahlung_a","Auszahlung",""),"")</f>
        <v/>
      </c>
      <c r="D955" s="1"/>
    </row>
    <row r="956" spans="1:4" x14ac:dyDescent="0.3">
      <c r="A956" s="1"/>
      <c r="B956" s="1" t="str">
        <f>IFERROR(IF(LEFT(Sensitivität_bzw_Monte_Carlo_bei_Strom[[#This Row],[Source.Name]],SEARCH("aus_der",Sensitivität_bzw_Monte_Carlo_bei_Strom[[#This Row],[Source.Name]],1))="Auszahlung_a","Auszahlung",""),"")</f>
        <v/>
      </c>
      <c r="D956" s="1"/>
    </row>
    <row r="957" spans="1:4" x14ac:dyDescent="0.3">
      <c r="A957" s="1"/>
      <c r="B957" s="1" t="str">
        <f>IFERROR(IF(LEFT(Sensitivität_bzw_Monte_Carlo_bei_Strom[[#This Row],[Source.Name]],SEARCH("aus_der",Sensitivität_bzw_Monte_Carlo_bei_Strom[[#This Row],[Source.Name]],1))="Auszahlung_a","Auszahlung",""),"")</f>
        <v/>
      </c>
      <c r="D957" s="1"/>
    </row>
    <row r="958" spans="1:4" x14ac:dyDescent="0.3">
      <c r="A958" s="1"/>
      <c r="B958" s="1" t="str">
        <f>IFERROR(IF(LEFT(Sensitivität_bzw_Monte_Carlo_bei_Strom[[#This Row],[Source.Name]],SEARCH("aus_der",Sensitivität_bzw_Monte_Carlo_bei_Strom[[#This Row],[Source.Name]],1))="Auszahlung_a","Auszahlung",""),"")</f>
        <v/>
      </c>
      <c r="D958" s="1"/>
    </row>
    <row r="959" spans="1:4" x14ac:dyDescent="0.3">
      <c r="A959" s="1"/>
      <c r="B959" s="1" t="str">
        <f>IFERROR(IF(LEFT(Sensitivität_bzw_Monte_Carlo_bei_Strom[[#This Row],[Source.Name]],SEARCH("aus_der",Sensitivität_bzw_Monte_Carlo_bei_Strom[[#This Row],[Source.Name]],1))="Auszahlung_a","Auszahlung",""),"")</f>
        <v/>
      </c>
      <c r="D959" s="1"/>
    </row>
    <row r="960" spans="1:4" x14ac:dyDescent="0.3">
      <c r="A960" s="1"/>
      <c r="B960" s="1" t="str">
        <f>IFERROR(IF(LEFT(Sensitivität_bzw_Monte_Carlo_bei_Strom[[#This Row],[Source.Name]],SEARCH("aus_der",Sensitivität_bzw_Monte_Carlo_bei_Strom[[#This Row],[Source.Name]],1))="Auszahlung_a","Auszahlung",""),"")</f>
        <v/>
      </c>
      <c r="D960" s="1"/>
    </row>
    <row r="961" spans="1:4" x14ac:dyDescent="0.3">
      <c r="A961" s="1"/>
      <c r="B961" s="1" t="str">
        <f>IFERROR(IF(LEFT(Sensitivität_bzw_Monte_Carlo_bei_Strom[[#This Row],[Source.Name]],SEARCH("aus_der",Sensitivität_bzw_Monte_Carlo_bei_Strom[[#This Row],[Source.Name]],1))="Auszahlung_a","Auszahlung",""),"")</f>
        <v/>
      </c>
      <c r="D961" s="1"/>
    </row>
    <row r="962" spans="1:4" x14ac:dyDescent="0.3">
      <c r="A962" s="1"/>
      <c r="B962" s="1" t="str">
        <f>IFERROR(IF(LEFT(Sensitivität_bzw_Monte_Carlo_bei_Strom[[#This Row],[Source.Name]],SEARCH("aus_der",Sensitivität_bzw_Monte_Carlo_bei_Strom[[#This Row],[Source.Name]],1))="Auszahlung_a","Auszahlung",""),"")</f>
        <v/>
      </c>
      <c r="D962" s="1"/>
    </row>
    <row r="963" spans="1:4" x14ac:dyDescent="0.3">
      <c r="A963" s="1"/>
      <c r="B963" s="1" t="str">
        <f>IFERROR(IF(LEFT(Sensitivität_bzw_Monte_Carlo_bei_Strom[[#This Row],[Source.Name]],SEARCH("aus_der",Sensitivität_bzw_Monte_Carlo_bei_Strom[[#This Row],[Source.Name]],1))="Auszahlung_a","Auszahlung",""),"")</f>
        <v/>
      </c>
      <c r="D963" s="1"/>
    </row>
    <row r="964" spans="1:4" x14ac:dyDescent="0.3">
      <c r="A964" s="1"/>
      <c r="B964" s="1" t="str">
        <f>IFERROR(IF(LEFT(Sensitivität_bzw_Monte_Carlo_bei_Strom[[#This Row],[Source.Name]],SEARCH("aus_der",Sensitivität_bzw_Monte_Carlo_bei_Strom[[#This Row],[Source.Name]],1))="Auszahlung_a","Auszahlung",""),"")</f>
        <v/>
      </c>
      <c r="D964" s="1"/>
    </row>
    <row r="965" spans="1:4" x14ac:dyDescent="0.3">
      <c r="A965" s="1"/>
      <c r="B965" s="1" t="str">
        <f>IFERROR(IF(LEFT(Sensitivität_bzw_Monte_Carlo_bei_Strom[[#This Row],[Source.Name]],SEARCH("aus_der",Sensitivität_bzw_Monte_Carlo_bei_Strom[[#This Row],[Source.Name]],1))="Auszahlung_a","Auszahlung",""),"")</f>
        <v/>
      </c>
      <c r="D965" s="1"/>
    </row>
    <row r="966" spans="1:4" x14ac:dyDescent="0.3">
      <c r="A966" s="1"/>
      <c r="B966" s="1" t="str">
        <f>IFERROR(IF(LEFT(Sensitivität_bzw_Monte_Carlo_bei_Strom[[#This Row],[Source.Name]],SEARCH("aus_der",Sensitivität_bzw_Monte_Carlo_bei_Strom[[#This Row],[Source.Name]],1))="Auszahlung_a","Auszahlung",""),"")</f>
        <v/>
      </c>
      <c r="D966" s="1"/>
    </row>
    <row r="967" spans="1:4" x14ac:dyDescent="0.3">
      <c r="A967" s="1"/>
      <c r="B967" s="1" t="str">
        <f>IFERROR(IF(LEFT(Sensitivität_bzw_Monte_Carlo_bei_Strom[[#This Row],[Source.Name]],SEARCH("aus_der",Sensitivität_bzw_Monte_Carlo_bei_Strom[[#This Row],[Source.Name]],1))="Auszahlung_a","Auszahlung",""),"")</f>
        <v/>
      </c>
      <c r="D967" s="1"/>
    </row>
    <row r="968" spans="1:4" x14ac:dyDescent="0.3">
      <c r="A968" s="1"/>
      <c r="B968" s="1" t="str">
        <f>IFERROR(IF(LEFT(Sensitivität_bzw_Monte_Carlo_bei_Strom[[#This Row],[Source.Name]],SEARCH("aus_der",Sensitivität_bzw_Monte_Carlo_bei_Strom[[#This Row],[Source.Name]],1))="Auszahlung_a","Auszahlung",""),"")</f>
        <v/>
      </c>
      <c r="D968" s="1"/>
    </row>
    <row r="969" spans="1:4" x14ac:dyDescent="0.3">
      <c r="A969" s="1"/>
      <c r="B969" s="1" t="str">
        <f>IFERROR(IF(LEFT(Sensitivität_bzw_Monte_Carlo_bei_Strom[[#This Row],[Source.Name]],SEARCH("aus_der",Sensitivität_bzw_Monte_Carlo_bei_Strom[[#This Row],[Source.Name]],1))="Auszahlung_a","Auszahlung",""),"")</f>
        <v/>
      </c>
      <c r="D969" s="1"/>
    </row>
    <row r="970" spans="1:4" x14ac:dyDescent="0.3">
      <c r="A970" s="1"/>
      <c r="B970" s="1" t="str">
        <f>IFERROR(IF(LEFT(Sensitivität_bzw_Monte_Carlo_bei_Strom[[#This Row],[Source.Name]],SEARCH("aus_der",Sensitivität_bzw_Monte_Carlo_bei_Strom[[#This Row],[Source.Name]],1))="Auszahlung_a","Auszahlung",""),"")</f>
        <v/>
      </c>
      <c r="D970" s="1"/>
    </row>
    <row r="971" spans="1:4" x14ac:dyDescent="0.3">
      <c r="A971" s="1"/>
      <c r="B971" s="1" t="str">
        <f>IFERROR(IF(LEFT(Sensitivität_bzw_Monte_Carlo_bei_Strom[[#This Row],[Source.Name]],SEARCH("aus_der",Sensitivität_bzw_Monte_Carlo_bei_Strom[[#This Row],[Source.Name]],1))="Auszahlung_a","Auszahlung",""),"")</f>
        <v/>
      </c>
      <c r="D971" s="1"/>
    </row>
    <row r="972" spans="1:4" x14ac:dyDescent="0.3">
      <c r="A972" s="1"/>
      <c r="B972" s="1" t="str">
        <f>IFERROR(IF(LEFT(Sensitivität_bzw_Monte_Carlo_bei_Strom[[#This Row],[Source.Name]],SEARCH("aus_der",Sensitivität_bzw_Monte_Carlo_bei_Strom[[#This Row],[Source.Name]],1))="Auszahlung_a","Auszahlung",""),"")</f>
        <v/>
      </c>
      <c r="D972" s="1"/>
    </row>
    <row r="973" spans="1:4" x14ac:dyDescent="0.3">
      <c r="A973" s="1"/>
      <c r="B973" s="1" t="str">
        <f>IFERROR(IF(LEFT(Sensitivität_bzw_Monte_Carlo_bei_Strom[[#This Row],[Source.Name]],SEARCH("aus_der",Sensitivität_bzw_Monte_Carlo_bei_Strom[[#This Row],[Source.Name]],1))="Auszahlung_a","Auszahlung",""),"")</f>
        <v/>
      </c>
      <c r="D973" s="1"/>
    </row>
    <row r="974" spans="1:4" x14ac:dyDescent="0.3">
      <c r="A974" s="1"/>
      <c r="B974" s="1" t="str">
        <f>IFERROR(IF(LEFT(Sensitivität_bzw_Monte_Carlo_bei_Strom[[#This Row],[Source.Name]],SEARCH("aus_der",Sensitivität_bzw_Monte_Carlo_bei_Strom[[#This Row],[Source.Name]],1))="Auszahlung_a","Auszahlung",""),"")</f>
        <v/>
      </c>
      <c r="D974" s="1"/>
    </row>
    <row r="975" spans="1:4" x14ac:dyDescent="0.3">
      <c r="A975" s="1"/>
      <c r="B975" s="1" t="str">
        <f>IFERROR(IF(LEFT(Sensitivität_bzw_Monte_Carlo_bei_Strom[[#This Row],[Source.Name]],SEARCH("aus_der",Sensitivität_bzw_Monte_Carlo_bei_Strom[[#This Row],[Source.Name]],1))="Auszahlung_a","Auszahlung",""),"")</f>
        <v/>
      </c>
      <c r="D975" s="1"/>
    </row>
    <row r="976" spans="1:4" x14ac:dyDescent="0.3">
      <c r="A976" s="1"/>
      <c r="B976" s="1" t="str">
        <f>IFERROR(IF(LEFT(Sensitivität_bzw_Monte_Carlo_bei_Strom[[#This Row],[Source.Name]],SEARCH("aus_der",Sensitivität_bzw_Monte_Carlo_bei_Strom[[#This Row],[Source.Name]],1))="Auszahlung_a","Auszahlung",""),"")</f>
        <v/>
      </c>
      <c r="D976" s="1"/>
    </row>
    <row r="977" spans="1:4" x14ac:dyDescent="0.3">
      <c r="A977" s="1"/>
      <c r="B977" s="1" t="str">
        <f>IFERROR(IF(LEFT(Sensitivität_bzw_Monte_Carlo_bei_Strom[[#This Row],[Source.Name]],SEARCH("aus_der",Sensitivität_bzw_Monte_Carlo_bei_Strom[[#This Row],[Source.Name]],1))="Auszahlung_a","Auszahlung",""),"")</f>
        <v/>
      </c>
      <c r="D977" s="1"/>
    </row>
    <row r="978" spans="1:4" x14ac:dyDescent="0.3">
      <c r="A978" s="1"/>
      <c r="B978" s="1" t="str">
        <f>IFERROR(IF(LEFT(Sensitivität_bzw_Monte_Carlo_bei_Strom[[#This Row],[Source.Name]],SEARCH("aus_der",Sensitivität_bzw_Monte_Carlo_bei_Strom[[#This Row],[Source.Name]],1))="Auszahlung_a","Auszahlung",""),"")</f>
        <v/>
      </c>
      <c r="D978" s="1"/>
    </row>
    <row r="979" spans="1:4" x14ac:dyDescent="0.3">
      <c r="A979" s="1"/>
      <c r="B979" s="1" t="str">
        <f>IFERROR(IF(LEFT(Sensitivität_bzw_Monte_Carlo_bei_Strom[[#This Row],[Source.Name]],SEARCH("aus_der",Sensitivität_bzw_Monte_Carlo_bei_Strom[[#This Row],[Source.Name]],1))="Auszahlung_a","Auszahlung",""),"")</f>
        <v/>
      </c>
      <c r="D979" s="1"/>
    </row>
    <row r="980" spans="1:4" x14ac:dyDescent="0.3">
      <c r="A980" s="1"/>
      <c r="B980" s="1" t="str">
        <f>IFERROR(IF(LEFT(Sensitivität_bzw_Monte_Carlo_bei_Strom[[#This Row],[Source.Name]],SEARCH("aus_der",Sensitivität_bzw_Monte_Carlo_bei_Strom[[#This Row],[Source.Name]],1))="Auszahlung_a","Auszahlung",""),"")</f>
        <v/>
      </c>
      <c r="D980" s="1"/>
    </row>
    <row r="981" spans="1:4" x14ac:dyDescent="0.3">
      <c r="A981" s="1"/>
      <c r="B981" s="1" t="str">
        <f>IFERROR(IF(LEFT(Sensitivität_bzw_Monte_Carlo_bei_Strom[[#This Row],[Source.Name]],SEARCH("aus_der",Sensitivität_bzw_Monte_Carlo_bei_Strom[[#This Row],[Source.Name]],1))="Auszahlung_a","Auszahlung",""),"")</f>
        <v/>
      </c>
      <c r="D981" s="1"/>
    </row>
    <row r="982" spans="1:4" x14ac:dyDescent="0.3">
      <c r="A982" s="1"/>
      <c r="B982" s="1" t="str">
        <f>IFERROR(IF(LEFT(Sensitivität_bzw_Monte_Carlo_bei_Strom[[#This Row],[Source.Name]],SEARCH("aus_der",Sensitivität_bzw_Monte_Carlo_bei_Strom[[#This Row],[Source.Name]],1))="Auszahlung_a","Auszahlung",""),"")</f>
        <v/>
      </c>
      <c r="D982" s="1"/>
    </row>
    <row r="983" spans="1:4" x14ac:dyDescent="0.3">
      <c r="A983" s="1"/>
      <c r="B983" s="1" t="str">
        <f>IFERROR(IF(LEFT(Sensitivität_bzw_Monte_Carlo_bei_Strom[[#This Row],[Source.Name]],SEARCH("aus_der",Sensitivität_bzw_Monte_Carlo_bei_Strom[[#This Row],[Source.Name]],1))="Auszahlung_a","Auszahlung",""),"")</f>
        <v/>
      </c>
      <c r="D983" s="1"/>
    </row>
    <row r="984" spans="1:4" x14ac:dyDescent="0.3">
      <c r="A984" s="1"/>
      <c r="B984" s="1" t="str">
        <f>IFERROR(IF(LEFT(Sensitivität_bzw_Monte_Carlo_bei_Strom[[#This Row],[Source.Name]],SEARCH("aus_der",Sensitivität_bzw_Monte_Carlo_bei_Strom[[#This Row],[Source.Name]],1))="Auszahlung_a","Auszahlung",""),"")</f>
        <v/>
      </c>
      <c r="D984" s="1"/>
    </row>
    <row r="985" spans="1:4" x14ac:dyDescent="0.3">
      <c r="A985" s="1"/>
      <c r="B985" s="1" t="str">
        <f>IFERROR(IF(LEFT(Sensitivität_bzw_Monte_Carlo_bei_Strom[[#This Row],[Source.Name]],SEARCH("aus_der",Sensitivität_bzw_Monte_Carlo_bei_Strom[[#This Row],[Source.Name]],1))="Auszahlung_a","Auszahlung",""),"")</f>
        <v/>
      </c>
      <c r="D985" s="1"/>
    </row>
    <row r="986" spans="1:4" x14ac:dyDescent="0.3">
      <c r="A986" s="1"/>
      <c r="B986" s="1" t="str">
        <f>IFERROR(IF(LEFT(Sensitivität_bzw_Monte_Carlo_bei_Strom[[#This Row],[Source.Name]],SEARCH("aus_der",Sensitivität_bzw_Monte_Carlo_bei_Strom[[#This Row],[Source.Name]],1))="Auszahlung_a","Auszahlung",""),"")</f>
        <v/>
      </c>
      <c r="D986" s="1"/>
    </row>
    <row r="987" spans="1:4" x14ac:dyDescent="0.3">
      <c r="A987" s="1"/>
      <c r="B987" s="1" t="str">
        <f>IFERROR(IF(LEFT(Sensitivität_bzw_Monte_Carlo_bei_Strom[[#This Row],[Source.Name]],SEARCH("aus_der",Sensitivität_bzw_Monte_Carlo_bei_Strom[[#This Row],[Source.Name]],1))="Auszahlung_a","Auszahlung",""),"")</f>
        <v/>
      </c>
      <c r="D987" s="1"/>
    </row>
    <row r="988" spans="1:4" x14ac:dyDescent="0.3">
      <c r="A988" s="1"/>
      <c r="B988" s="1" t="str">
        <f>IFERROR(IF(LEFT(Sensitivität_bzw_Monte_Carlo_bei_Strom[[#This Row],[Source.Name]],SEARCH("aus_der",Sensitivität_bzw_Monte_Carlo_bei_Strom[[#This Row],[Source.Name]],1))="Auszahlung_a","Auszahlung",""),"")</f>
        <v/>
      </c>
      <c r="D988" s="1"/>
    </row>
    <row r="989" spans="1:4" x14ac:dyDescent="0.3">
      <c r="A989" s="1"/>
      <c r="B989" s="1" t="str">
        <f>IFERROR(IF(LEFT(Sensitivität_bzw_Monte_Carlo_bei_Strom[[#This Row],[Source.Name]],SEARCH("aus_der",Sensitivität_bzw_Monte_Carlo_bei_Strom[[#This Row],[Source.Name]],1))="Auszahlung_a","Auszahlung",""),"")</f>
        <v/>
      </c>
      <c r="D989" s="1"/>
    </row>
    <row r="990" spans="1:4" x14ac:dyDescent="0.3">
      <c r="A990" s="1"/>
      <c r="B990" s="1" t="str">
        <f>IFERROR(IF(LEFT(Sensitivität_bzw_Monte_Carlo_bei_Strom[[#This Row],[Source.Name]],SEARCH("aus_der",Sensitivität_bzw_Monte_Carlo_bei_Strom[[#This Row],[Source.Name]],1))="Auszahlung_a","Auszahlung",""),"")</f>
        <v/>
      </c>
      <c r="D990" s="1"/>
    </row>
    <row r="991" spans="1:4" x14ac:dyDescent="0.3">
      <c r="A991" s="1"/>
      <c r="B991" s="1" t="str">
        <f>IFERROR(IF(LEFT(Sensitivität_bzw_Monte_Carlo_bei_Strom[[#This Row],[Source.Name]],SEARCH("aus_der",Sensitivität_bzw_Monte_Carlo_bei_Strom[[#This Row],[Source.Name]],1))="Auszahlung_a","Auszahlung",""),"")</f>
        <v/>
      </c>
      <c r="D991" s="1"/>
    </row>
    <row r="992" spans="1:4" x14ac:dyDescent="0.3">
      <c r="A992" s="1"/>
      <c r="B992" s="1" t="str">
        <f>IFERROR(IF(LEFT(Sensitivität_bzw_Monte_Carlo_bei_Strom[[#This Row],[Source.Name]],SEARCH("aus_der",Sensitivität_bzw_Monte_Carlo_bei_Strom[[#This Row],[Source.Name]],1))="Auszahlung_a","Auszahlung",""),"")</f>
        <v/>
      </c>
      <c r="D992" s="1"/>
    </row>
    <row r="993" spans="1:4" x14ac:dyDescent="0.3">
      <c r="A993" s="1"/>
      <c r="B993" s="1" t="str">
        <f>IFERROR(IF(LEFT(Sensitivität_bzw_Monte_Carlo_bei_Strom[[#This Row],[Source.Name]],SEARCH("aus_der",Sensitivität_bzw_Monte_Carlo_bei_Strom[[#This Row],[Source.Name]],1))="Auszahlung_a","Auszahlung",""),"")</f>
        <v/>
      </c>
      <c r="D993" s="1"/>
    </row>
    <row r="994" spans="1:4" x14ac:dyDescent="0.3">
      <c r="A994" s="1"/>
      <c r="B994" s="1" t="str">
        <f>IFERROR(IF(LEFT(Sensitivität_bzw_Monte_Carlo_bei_Strom[[#This Row],[Source.Name]],SEARCH("aus_der",Sensitivität_bzw_Monte_Carlo_bei_Strom[[#This Row],[Source.Name]],1))="Auszahlung_a","Auszahlung",""),"")</f>
        <v/>
      </c>
      <c r="D994" s="1"/>
    </row>
    <row r="995" spans="1:4" x14ac:dyDescent="0.3">
      <c r="A995" s="1"/>
      <c r="B995" s="1" t="str">
        <f>IFERROR(IF(LEFT(Sensitivität_bzw_Monte_Carlo_bei_Strom[[#This Row],[Source.Name]],SEARCH("aus_der",Sensitivität_bzw_Monte_Carlo_bei_Strom[[#This Row],[Source.Name]],1))="Auszahlung_a","Auszahlung",""),"")</f>
        <v/>
      </c>
      <c r="D995" s="1"/>
    </row>
    <row r="996" spans="1:4" x14ac:dyDescent="0.3">
      <c r="A996" s="1"/>
      <c r="B996" s="1" t="str">
        <f>IFERROR(IF(LEFT(Sensitivität_bzw_Monte_Carlo_bei_Strom[[#This Row],[Source.Name]],SEARCH("aus_der",Sensitivität_bzw_Monte_Carlo_bei_Strom[[#This Row],[Source.Name]],1))="Auszahlung_a","Auszahlung",""),"")</f>
        <v/>
      </c>
      <c r="D996" s="1"/>
    </row>
    <row r="997" spans="1:4" x14ac:dyDescent="0.3">
      <c r="A997" s="1"/>
      <c r="B997" s="1" t="str">
        <f>IFERROR(IF(LEFT(Sensitivität_bzw_Monte_Carlo_bei_Strom[[#This Row],[Source.Name]],SEARCH("aus_der",Sensitivität_bzw_Monte_Carlo_bei_Strom[[#This Row],[Source.Name]],1))="Auszahlung_a","Auszahlung",""),"")</f>
        <v/>
      </c>
      <c r="D997" s="1"/>
    </row>
    <row r="998" spans="1:4" x14ac:dyDescent="0.3">
      <c r="A998" s="1"/>
      <c r="B998" s="1" t="str">
        <f>IFERROR(IF(LEFT(Sensitivität_bzw_Monte_Carlo_bei_Strom[[#This Row],[Source.Name]],SEARCH("aus_der",Sensitivität_bzw_Monte_Carlo_bei_Strom[[#This Row],[Source.Name]],1))="Auszahlung_a","Auszahlung",""),"")</f>
        <v/>
      </c>
      <c r="D998" s="1"/>
    </row>
    <row r="999" spans="1:4" x14ac:dyDescent="0.3">
      <c r="A999" s="1"/>
      <c r="B999" s="1" t="str">
        <f>IFERROR(IF(LEFT(Sensitivität_bzw_Monte_Carlo_bei_Strom[[#This Row],[Source.Name]],SEARCH("aus_der",Sensitivität_bzw_Monte_Carlo_bei_Strom[[#This Row],[Source.Name]],1))="Auszahlung_a","Auszahlung",""),"")</f>
        <v/>
      </c>
      <c r="D999" s="1"/>
    </row>
    <row r="1000" spans="1:4" x14ac:dyDescent="0.3">
      <c r="A1000" s="1"/>
      <c r="B1000" s="1" t="str">
        <f>IFERROR(IF(LEFT(Sensitivität_bzw_Monte_Carlo_bei_Strom[[#This Row],[Source.Name]],SEARCH("aus_der",Sensitivität_bzw_Monte_Carlo_bei_Strom[[#This Row],[Source.Name]],1))="Auszahlung_a","Auszahlung",""),"")</f>
        <v/>
      </c>
      <c r="D1000" s="1"/>
    </row>
    <row r="1001" spans="1:4" x14ac:dyDescent="0.3">
      <c r="A1001" s="1"/>
      <c r="B1001" s="1" t="str">
        <f>IFERROR(IF(LEFT(Sensitivität_bzw_Monte_Carlo_bei_Strom[[#This Row],[Source.Name]],SEARCH("aus_der",Sensitivität_bzw_Monte_Carlo_bei_Strom[[#This Row],[Source.Name]],1))="Auszahlung_a","Auszahlung",""),"")</f>
        <v/>
      </c>
      <c r="D1001" s="1"/>
    </row>
    <row r="1002" spans="1:4" x14ac:dyDescent="0.3">
      <c r="A1002" s="1"/>
      <c r="B1002" s="1" t="str">
        <f>IFERROR(IF(LEFT(Sensitivität_bzw_Monte_Carlo_bei_Strom[[#This Row],[Source.Name]],SEARCH("aus_der",Sensitivität_bzw_Monte_Carlo_bei_Strom[[#This Row],[Source.Name]],1))="Auszahlung_a","Auszahlung",""),"")</f>
        <v/>
      </c>
      <c r="D1002" s="1"/>
    </row>
    <row r="1003" spans="1:4" x14ac:dyDescent="0.3">
      <c r="A1003" s="1"/>
      <c r="B1003" s="1" t="str">
        <f>IFERROR(IF(LEFT(Sensitivität_bzw_Monte_Carlo_bei_Strom[[#This Row],[Source.Name]],SEARCH("aus_der",Sensitivität_bzw_Monte_Carlo_bei_Strom[[#This Row],[Source.Name]],1))="Auszahlung_a","Auszahlung",""),"")</f>
        <v/>
      </c>
      <c r="D1003" s="1"/>
    </row>
    <row r="1004" spans="1:4" x14ac:dyDescent="0.3">
      <c r="A1004" s="1"/>
      <c r="B1004" s="1" t="str">
        <f>IFERROR(IF(LEFT(Sensitivität_bzw_Monte_Carlo_bei_Strom[[#This Row],[Source.Name]],SEARCH("aus_der",Sensitivität_bzw_Monte_Carlo_bei_Strom[[#This Row],[Source.Name]],1))="Auszahlung_a","Auszahlung",""),"")</f>
        <v/>
      </c>
      <c r="D1004" s="1"/>
    </row>
    <row r="1005" spans="1:4" x14ac:dyDescent="0.3">
      <c r="A1005" s="1"/>
      <c r="B1005" s="1" t="str">
        <f>IFERROR(IF(LEFT(Sensitivität_bzw_Monte_Carlo_bei_Strom[[#This Row],[Source.Name]],SEARCH("aus_der",Sensitivität_bzw_Monte_Carlo_bei_Strom[[#This Row],[Source.Name]],1))="Auszahlung_a","Auszahlung",""),"")</f>
        <v/>
      </c>
      <c r="D1005" s="1"/>
    </row>
    <row r="1006" spans="1:4" x14ac:dyDescent="0.3">
      <c r="A1006" s="1"/>
      <c r="B1006" s="1" t="str">
        <f>IFERROR(IF(LEFT(Sensitivität_bzw_Monte_Carlo_bei_Strom[[#This Row],[Source.Name]],SEARCH("aus_der",Sensitivität_bzw_Monte_Carlo_bei_Strom[[#This Row],[Source.Name]],1))="Auszahlung_a","Auszahlung",""),"")</f>
        <v/>
      </c>
      <c r="D1006" s="1"/>
    </row>
    <row r="1007" spans="1:4" x14ac:dyDescent="0.3">
      <c r="A1007" s="1"/>
      <c r="B1007" s="1" t="str">
        <f>IFERROR(IF(LEFT(Sensitivität_bzw_Monte_Carlo_bei_Strom[[#This Row],[Source.Name]],SEARCH("aus_der",Sensitivität_bzw_Monte_Carlo_bei_Strom[[#This Row],[Source.Name]],1))="Auszahlung_a","Auszahlung",""),"")</f>
        <v/>
      </c>
      <c r="D1007" s="1"/>
    </row>
    <row r="1008" spans="1:4" x14ac:dyDescent="0.3">
      <c r="A1008" s="1"/>
      <c r="B1008" s="1" t="str">
        <f>IFERROR(IF(LEFT(Sensitivität_bzw_Monte_Carlo_bei_Strom[[#This Row],[Source.Name]],SEARCH("aus_der",Sensitivität_bzw_Monte_Carlo_bei_Strom[[#This Row],[Source.Name]],1))="Auszahlung_a","Auszahlung",""),"")</f>
        <v/>
      </c>
      <c r="D1008" s="1"/>
    </row>
    <row r="1009" spans="1:4" x14ac:dyDescent="0.3">
      <c r="A1009" s="1"/>
      <c r="B1009" s="1" t="str">
        <f>IFERROR(IF(LEFT(Sensitivität_bzw_Monte_Carlo_bei_Strom[[#This Row],[Source.Name]],SEARCH("aus_der",Sensitivität_bzw_Monte_Carlo_bei_Strom[[#This Row],[Source.Name]],1))="Auszahlung_a","Auszahlung",""),"")</f>
        <v/>
      </c>
      <c r="D1009" s="1"/>
    </row>
    <row r="1010" spans="1:4" x14ac:dyDescent="0.3">
      <c r="A1010" s="1"/>
      <c r="B1010" s="1" t="str">
        <f>IFERROR(IF(LEFT(Sensitivität_bzw_Monte_Carlo_bei_Strom[[#This Row],[Source.Name]],SEARCH("aus_der",Sensitivität_bzw_Monte_Carlo_bei_Strom[[#This Row],[Source.Name]],1))="Auszahlung_a","Auszahlung",""),"")</f>
        <v/>
      </c>
      <c r="D1010" s="1"/>
    </row>
    <row r="1011" spans="1:4" x14ac:dyDescent="0.3">
      <c r="A1011" s="1"/>
      <c r="B1011" s="1" t="str">
        <f>IFERROR(IF(LEFT(Sensitivität_bzw_Monte_Carlo_bei_Strom[[#This Row],[Source.Name]],SEARCH("aus_der",Sensitivität_bzw_Monte_Carlo_bei_Strom[[#This Row],[Source.Name]],1))="Auszahlung_a","Auszahlung",""),"")</f>
        <v/>
      </c>
      <c r="D1011" s="1"/>
    </row>
    <row r="1012" spans="1:4" x14ac:dyDescent="0.3">
      <c r="A1012" s="1"/>
      <c r="B1012" s="1" t="str">
        <f>IFERROR(IF(LEFT(Sensitivität_bzw_Monte_Carlo_bei_Strom[[#This Row],[Source.Name]],SEARCH("aus_der",Sensitivität_bzw_Monte_Carlo_bei_Strom[[#This Row],[Source.Name]],1))="Auszahlung_a","Auszahlung",""),"")</f>
        <v/>
      </c>
      <c r="D1012" s="1"/>
    </row>
    <row r="1013" spans="1:4" x14ac:dyDescent="0.3">
      <c r="A1013" s="1"/>
      <c r="B1013" s="1" t="str">
        <f>IFERROR(IF(LEFT(Sensitivität_bzw_Monte_Carlo_bei_Strom[[#This Row],[Source.Name]],SEARCH("aus_der",Sensitivität_bzw_Monte_Carlo_bei_Strom[[#This Row],[Source.Name]],1))="Auszahlung_a","Auszahlung",""),"")</f>
        <v/>
      </c>
      <c r="D1013" s="1"/>
    </row>
    <row r="1014" spans="1:4" x14ac:dyDescent="0.3">
      <c r="A1014" s="1"/>
      <c r="B1014" s="1" t="str">
        <f>IFERROR(IF(LEFT(Sensitivität_bzw_Monte_Carlo_bei_Strom[[#This Row],[Source.Name]],SEARCH("aus_der",Sensitivität_bzw_Monte_Carlo_bei_Strom[[#This Row],[Source.Name]],1))="Auszahlung_a","Auszahlung",""),"")</f>
        <v/>
      </c>
      <c r="D1014" s="1"/>
    </row>
    <row r="1015" spans="1:4" x14ac:dyDescent="0.3">
      <c r="A1015" s="1"/>
      <c r="B1015" s="1" t="str">
        <f>IFERROR(IF(LEFT(Sensitivität_bzw_Monte_Carlo_bei_Strom[[#This Row],[Source.Name]],SEARCH("aus_der",Sensitivität_bzw_Monte_Carlo_bei_Strom[[#This Row],[Source.Name]],1))="Auszahlung_a","Auszahlung",""),"")</f>
        <v/>
      </c>
      <c r="D1015" s="1"/>
    </row>
    <row r="1016" spans="1:4" x14ac:dyDescent="0.3">
      <c r="A1016" s="1"/>
      <c r="B1016" s="1" t="str">
        <f>IFERROR(IF(LEFT(Sensitivität_bzw_Monte_Carlo_bei_Strom[[#This Row],[Source.Name]],SEARCH("aus_der",Sensitivität_bzw_Monte_Carlo_bei_Strom[[#This Row],[Source.Name]],1))="Auszahlung_a","Auszahlung",""),"")</f>
        <v/>
      </c>
      <c r="D1016" s="1"/>
    </row>
    <row r="1017" spans="1:4" x14ac:dyDescent="0.3">
      <c r="A1017" s="1"/>
      <c r="B1017" s="1" t="str">
        <f>IFERROR(IF(LEFT(Sensitivität_bzw_Monte_Carlo_bei_Strom[[#This Row],[Source.Name]],SEARCH("aus_der",Sensitivität_bzw_Monte_Carlo_bei_Strom[[#This Row],[Source.Name]],1))="Auszahlung_a","Auszahlung",""),"")</f>
        <v/>
      </c>
      <c r="D1017" s="1"/>
    </row>
    <row r="1018" spans="1:4" x14ac:dyDescent="0.3">
      <c r="A1018" s="1"/>
      <c r="B1018" s="1" t="str">
        <f>IFERROR(IF(LEFT(Sensitivität_bzw_Monte_Carlo_bei_Strom[[#This Row],[Source.Name]],SEARCH("aus_der",Sensitivität_bzw_Monte_Carlo_bei_Strom[[#This Row],[Source.Name]],1))="Auszahlung_a","Auszahlung",""),"")</f>
        <v/>
      </c>
      <c r="D1018" s="1"/>
    </row>
    <row r="1019" spans="1:4" x14ac:dyDescent="0.3">
      <c r="A1019" s="1"/>
      <c r="B1019" s="1" t="str">
        <f>IFERROR(IF(LEFT(Sensitivität_bzw_Monte_Carlo_bei_Strom[[#This Row],[Source.Name]],SEARCH("aus_der",Sensitivität_bzw_Monte_Carlo_bei_Strom[[#This Row],[Source.Name]],1))="Auszahlung_a","Auszahlung",""),"")</f>
        <v/>
      </c>
      <c r="D1019" s="1"/>
    </row>
    <row r="1020" spans="1:4" x14ac:dyDescent="0.3">
      <c r="A1020" s="1"/>
      <c r="B1020" s="1" t="str">
        <f>IFERROR(IF(LEFT(Sensitivität_bzw_Monte_Carlo_bei_Strom[[#This Row],[Source.Name]],SEARCH("aus_der",Sensitivität_bzw_Monte_Carlo_bei_Strom[[#This Row],[Source.Name]],1))="Auszahlung_a","Auszahlung",""),"")</f>
        <v/>
      </c>
      <c r="D1020" s="1"/>
    </row>
    <row r="1021" spans="1:4" x14ac:dyDescent="0.3">
      <c r="A1021" s="1"/>
      <c r="B1021" s="1" t="str">
        <f>IFERROR(IF(LEFT(Sensitivität_bzw_Monte_Carlo_bei_Strom[[#This Row],[Source.Name]],SEARCH("aus_der",Sensitivität_bzw_Monte_Carlo_bei_Strom[[#This Row],[Source.Name]],1))="Auszahlung_a","Auszahlung",""),"")</f>
        <v/>
      </c>
      <c r="D1021" s="1"/>
    </row>
    <row r="1022" spans="1:4" x14ac:dyDescent="0.3">
      <c r="A1022" s="1"/>
      <c r="B1022" s="1" t="str">
        <f>IFERROR(IF(LEFT(Sensitivität_bzw_Monte_Carlo_bei_Strom[[#This Row],[Source.Name]],SEARCH("aus_der",Sensitivität_bzw_Monte_Carlo_bei_Strom[[#This Row],[Source.Name]],1))="Auszahlung_a","Auszahlung",""),"")</f>
        <v/>
      </c>
      <c r="D1022" s="1"/>
    </row>
    <row r="1023" spans="1:4" x14ac:dyDescent="0.3">
      <c r="A1023" s="1"/>
      <c r="B1023" s="1" t="str">
        <f>IFERROR(IF(LEFT(Sensitivität_bzw_Monte_Carlo_bei_Strom[[#This Row],[Source.Name]],SEARCH("aus_der",Sensitivität_bzw_Monte_Carlo_bei_Strom[[#This Row],[Source.Name]],1))="Auszahlung_a","Auszahlung",""),"")</f>
        <v/>
      </c>
      <c r="D1023" s="1"/>
    </row>
    <row r="1024" spans="1:4" x14ac:dyDescent="0.3">
      <c r="A1024" s="1"/>
      <c r="B1024" s="1" t="str">
        <f>IFERROR(IF(LEFT(Sensitivität_bzw_Monte_Carlo_bei_Strom[[#This Row],[Source.Name]],SEARCH("aus_der",Sensitivität_bzw_Monte_Carlo_bei_Strom[[#This Row],[Source.Name]],1))="Auszahlung_a","Auszahlung",""),"")</f>
        <v/>
      </c>
      <c r="D1024" s="1"/>
    </row>
    <row r="1025" spans="1:4" x14ac:dyDescent="0.3">
      <c r="A1025" s="1"/>
      <c r="B1025" s="1" t="str">
        <f>IFERROR(IF(LEFT(Sensitivität_bzw_Monte_Carlo_bei_Strom[[#This Row],[Source.Name]],SEARCH("aus_der",Sensitivität_bzw_Monte_Carlo_bei_Strom[[#This Row],[Source.Name]],1))="Auszahlung_a","Auszahlung",""),"")</f>
        <v/>
      </c>
      <c r="D1025" s="1"/>
    </row>
    <row r="1026" spans="1:4" x14ac:dyDescent="0.3">
      <c r="A1026" s="1"/>
      <c r="B1026" s="1" t="str">
        <f>IFERROR(IF(LEFT(Sensitivität_bzw_Monte_Carlo_bei_Strom[[#This Row],[Source.Name]],SEARCH("aus_der",Sensitivität_bzw_Monte_Carlo_bei_Strom[[#This Row],[Source.Name]],1))="Auszahlung_a","Auszahlung",""),"")</f>
        <v/>
      </c>
      <c r="D1026" s="1"/>
    </row>
    <row r="1027" spans="1:4" x14ac:dyDescent="0.3">
      <c r="A1027" s="1"/>
      <c r="B1027" s="1" t="str">
        <f>IFERROR(IF(LEFT(Sensitivität_bzw_Monte_Carlo_bei_Strom[[#This Row],[Source.Name]],SEARCH("aus_der",Sensitivität_bzw_Monte_Carlo_bei_Strom[[#This Row],[Source.Name]],1))="Auszahlung_a","Auszahlung",""),"")</f>
        <v/>
      </c>
      <c r="D1027" s="1"/>
    </row>
    <row r="1028" spans="1:4" x14ac:dyDescent="0.3">
      <c r="A1028" s="1"/>
      <c r="B1028" s="1" t="str">
        <f>IFERROR(IF(LEFT(Sensitivität_bzw_Monte_Carlo_bei_Strom[[#This Row],[Source.Name]],SEARCH("aus_der",Sensitivität_bzw_Monte_Carlo_bei_Strom[[#This Row],[Source.Name]],1))="Auszahlung_a","Auszahlung",""),"")</f>
        <v/>
      </c>
      <c r="D1028" s="1"/>
    </row>
    <row r="1029" spans="1:4" x14ac:dyDescent="0.3">
      <c r="A1029" s="1"/>
      <c r="B1029" s="1" t="str">
        <f>IFERROR(IF(LEFT(Sensitivität_bzw_Monte_Carlo_bei_Strom[[#This Row],[Source.Name]],SEARCH("aus_der",Sensitivität_bzw_Monte_Carlo_bei_Strom[[#This Row],[Source.Name]],1))="Auszahlung_a","Auszahlung",""),"")</f>
        <v/>
      </c>
      <c r="D1029" s="1"/>
    </row>
    <row r="1030" spans="1:4" x14ac:dyDescent="0.3">
      <c r="A1030" s="1"/>
      <c r="B1030" s="1" t="str">
        <f>IFERROR(IF(LEFT(Sensitivität_bzw_Monte_Carlo_bei_Strom[[#This Row],[Source.Name]],SEARCH("aus_der",Sensitivität_bzw_Monte_Carlo_bei_Strom[[#This Row],[Source.Name]],1))="Auszahlung_a","Auszahlung",""),"")</f>
        <v/>
      </c>
      <c r="D1030" s="1"/>
    </row>
    <row r="1031" spans="1:4" x14ac:dyDescent="0.3">
      <c r="A1031" s="1"/>
      <c r="B1031" s="1" t="str">
        <f>IFERROR(IF(LEFT(Sensitivität_bzw_Monte_Carlo_bei_Strom[[#This Row],[Source.Name]],SEARCH("aus_der",Sensitivität_bzw_Monte_Carlo_bei_Strom[[#This Row],[Source.Name]],1))="Auszahlung_a","Auszahlung",""),"")</f>
        <v/>
      </c>
      <c r="D1031" s="1"/>
    </row>
    <row r="1032" spans="1:4" x14ac:dyDescent="0.3">
      <c r="A1032" s="1"/>
      <c r="B1032" s="1" t="str">
        <f>IFERROR(IF(LEFT(Sensitivität_bzw_Monte_Carlo_bei_Strom[[#This Row],[Source.Name]],SEARCH("aus_der",Sensitivität_bzw_Monte_Carlo_bei_Strom[[#This Row],[Source.Name]],1))="Auszahlung_a","Auszahlung",""),"")</f>
        <v/>
      </c>
      <c r="D1032" s="1"/>
    </row>
    <row r="1033" spans="1:4" x14ac:dyDescent="0.3">
      <c r="A1033" s="1"/>
      <c r="B1033" s="1" t="str">
        <f>IFERROR(IF(LEFT(Sensitivität_bzw_Monte_Carlo_bei_Strom[[#This Row],[Source.Name]],SEARCH("aus_der",Sensitivität_bzw_Monte_Carlo_bei_Strom[[#This Row],[Source.Name]],1))="Auszahlung_a","Auszahlung",""),"")</f>
        <v/>
      </c>
      <c r="D1033" s="1"/>
    </row>
    <row r="1034" spans="1:4" x14ac:dyDescent="0.3">
      <c r="A1034" s="1"/>
      <c r="B1034" s="1" t="str">
        <f>IFERROR(IF(LEFT(Sensitivität_bzw_Monte_Carlo_bei_Strom[[#This Row],[Source.Name]],SEARCH("aus_der",Sensitivität_bzw_Monte_Carlo_bei_Strom[[#This Row],[Source.Name]],1))="Auszahlung_a","Auszahlung",""),"")</f>
        <v/>
      </c>
      <c r="D1034" s="1"/>
    </row>
    <row r="1035" spans="1:4" x14ac:dyDescent="0.3">
      <c r="A1035" s="1"/>
      <c r="B1035" s="1" t="str">
        <f>IFERROR(IF(LEFT(Sensitivität_bzw_Monte_Carlo_bei_Strom[[#This Row],[Source.Name]],SEARCH("aus_der",Sensitivität_bzw_Monte_Carlo_bei_Strom[[#This Row],[Source.Name]],1))="Auszahlung_a","Auszahlung",""),"")</f>
        <v/>
      </c>
      <c r="D1035" s="1"/>
    </row>
    <row r="1036" spans="1:4" x14ac:dyDescent="0.3">
      <c r="A1036" s="1"/>
      <c r="B1036" s="1" t="str">
        <f>IFERROR(IF(LEFT(Sensitivität_bzw_Monte_Carlo_bei_Strom[[#This Row],[Source.Name]],SEARCH("aus_der",Sensitivität_bzw_Monte_Carlo_bei_Strom[[#This Row],[Source.Name]],1))="Auszahlung_a","Auszahlung",""),"")</f>
        <v/>
      </c>
      <c r="D1036" s="1"/>
    </row>
    <row r="1037" spans="1:4" x14ac:dyDescent="0.3">
      <c r="A1037" s="1"/>
      <c r="B1037" s="1" t="str">
        <f>IFERROR(IF(LEFT(Sensitivität_bzw_Monte_Carlo_bei_Strom[[#This Row],[Source.Name]],SEARCH("aus_der",Sensitivität_bzw_Monte_Carlo_bei_Strom[[#This Row],[Source.Name]],1))="Auszahlung_a","Auszahlung",""),"")</f>
        <v/>
      </c>
      <c r="D1037" s="1"/>
    </row>
    <row r="1038" spans="1:4" x14ac:dyDescent="0.3">
      <c r="A1038" s="1"/>
      <c r="B1038" s="1" t="str">
        <f>IFERROR(IF(LEFT(Sensitivität_bzw_Monte_Carlo_bei_Strom[[#This Row],[Source.Name]],SEARCH("aus_der",Sensitivität_bzw_Monte_Carlo_bei_Strom[[#This Row],[Source.Name]],1))="Auszahlung_a","Auszahlung",""),"")</f>
        <v/>
      </c>
      <c r="D1038" s="1"/>
    </row>
    <row r="1039" spans="1:4" x14ac:dyDescent="0.3">
      <c r="A1039" s="1"/>
      <c r="B1039" s="1" t="str">
        <f>IFERROR(IF(LEFT(Sensitivität_bzw_Monte_Carlo_bei_Strom[[#This Row],[Source.Name]],SEARCH("aus_der",Sensitivität_bzw_Monte_Carlo_bei_Strom[[#This Row],[Source.Name]],1))="Auszahlung_a","Auszahlung",""),"")</f>
        <v/>
      </c>
      <c r="D1039" s="1"/>
    </row>
    <row r="1040" spans="1:4" x14ac:dyDescent="0.3">
      <c r="A1040" s="1"/>
      <c r="B1040" s="1" t="str">
        <f>IFERROR(IF(LEFT(Sensitivität_bzw_Monte_Carlo_bei_Strom[[#This Row],[Source.Name]],SEARCH("aus_der",Sensitivität_bzw_Monte_Carlo_bei_Strom[[#This Row],[Source.Name]],1))="Auszahlung_a","Auszahlung",""),"")</f>
        <v/>
      </c>
      <c r="D1040" s="1"/>
    </row>
    <row r="1041" spans="1:4" x14ac:dyDescent="0.3">
      <c r="A1041" s="1"/>
      <c r="B1041" s="1" t="str">
        <f>IFERROR(IF(LEFT(Sensitivität_bzw_Monte_Carlo_bei_Strom[[#This Row],[Source.Name]],SEARCH("aus_der",Sensitivität_bzw_Monte_Carlo_bei_Strom[[#This Row],[Source.Name]],1))="Auszahlung_a","Auszahlung",""),"")</f>
        <v/>
      </c>
      <c r="D1041" s="1"/>
    </row>
    <row r="1042" spans="1:4" x14ac:dyDescent="0.3">
      <c r="A1042" s="1"/>
      <c r="B1042" s="1" t="str">
        <f>IFERROR(IF(LEFT(Sensitivität_bzw_Monte_Carlo_bei_Strom[[#This Row],[Source.Name]],SEARCH("aus_der",Sensitivität_bzw_Monte_Carlo_bei_Strom[[#This Row],[Source.Name]],1))="Auszahlung_a","Auszahlung",""),"")</f>
        <v/>
      </c>
      <c r="D1042" s="1"/>
    </row>
    <row r="1043" spans="1:4" x14ac:dyDescent="0.3">
      <c r="A1043" s="1"/>
      <c r="B1043" s="1" t="str">
        <f>IFERROR(IF(LEFT(Sensitivität_bzw_Monte_Carlo_bei_Strom[[#This Row],[Source.Name]],SEARCH("aus_der",Sensitivität_bzw_Monte_Carlo_bei_Strom[[#This Row],[Source.Name]],1))="Auszahlung_a","Auszahlung",""),"")</f>
        <v/>
      </c>
      <c r="D1043" s="1"/>
    </row>
    <row r="1044" spans="1:4" x14ac:dyDescent="0.3">
      <c r="A1044" s="1"/>
      <c r="B1044" s="1" t="str">
        <f>IFERROR(IF(LEFT(Sensitivität_bzw_Monte_Carlo_bei_Strom[[#This Row],[Source.Name]],SEARCH("aus_der",Sensitivität_bzw_Monte_Carlo_bei_Strom[[#This Row],[Source.Name]],1))="Auszahlung_a","Auszahlung",""),"")</f>
        <v/>
      </c>
      <c r="D1044" s="1"/>
    </row>
    <row r="1045" spans="1:4" x14ac:dyDescent="0.3">
      <c r="A1045" s="1"/>
      <c r="B1045" s="1" t="str">
        <f>IFERROR(IF(LEFT(Sensitivität_bzw_Monte_Carlo_bei_Strom[[#This Row],[Source.Name]],SEARCH("aus_der",Sensitivität_bzw_Monte_Carlo_bei_Strom[[#This Row],[Source.Name]],1))="Auszahlung_a","Auszahlung",""),"")</f>
        <v/>
      </c>
      <c r="D1045" s="1"/>
    </row>
    <row r="1046" spans="1:4" x14ac:dyDescent="0.3">
      <c r="A1046" s="1"/>
      <c r="B1046" s="1" t="str">
        <f>IFERROR(IF(LEFT(Sensitivität_bzw_Monte_Carlo_bei_Strom[[#This Row],[Source.Name]],SEARCH("aus_der",Sensitivität_bzw_Monte_Carlo_bei_Strom[[#This Row],[Source.Name]],1))="Auszahlung_a","Auszahlung",""),"")</f>
        <v/>
      </c>
      <c r="D1046" s="1"/>
    </row>
    <row r="1047" spans="1:4" x14ac:dyDescent="0.3">
      <c r="A1047" s="1"/>
      <c r="B1047" s="1" t="str">
        <f>IFERROR(IF(LEFT(Sensitivität_bzw_Monte_Carlo_bei_Strom[[#This Row],[Source.Name]],SEARCH("aus_der",Sensitivität_bzw_Monte_Carlo_bei_Strom[[#This Row],[Source.Name]],1))="Auszahlung_a","Auszahlung",""),"")</f>
        <v/>
      </c>
      <c r="D1047" s="1"/>
    </row>
    <row r="1048" spans="1:4" x14ac:dyDescent="0.3">
      <c r="A1048" s="1"/>
      <c r="B1048" s="1" t="str">
        <f>IFERROR(IF(LEFT(Sensitivität_bzw_Monte_Carlo_bei_Strom[[#This Row],[Source.Name]],SEARCH("aus_der",Sensitivität_bzw_Monte_Carlo_bei_Strom[[#This Row],[Source.Name]],1))="Auszahlung_a","Auszahlung",""),"")</f>
        <v/>
      </c>
      <c r="D1048" s="1"/>
    </row>
    <row r="1049" spans="1:4" x14ac:dyDescent="0.3">
      <c r="A1049" s="1"/>
      <c r="B1049" s="1" t="str">
        <f>IFERROR(IF(LEFT(Sensitivität_bzw_Monte_Carlo_bei_Strom[[#This Row],[Source.Name]],SEARCH("aus_der",Sensitivität_bzw_Monte_Carlo_bei_Strom[[#This Row],[Source.Name]],1))="Auszahlung_a","Auszahlung",""),"")</f>
        <v/>
      </c>
      <c r="D1049" s="1"/>
    </row>
    <row r="1050" spans="1:4" x14ac:dyDescent="0.3">
      <c r="A1050" s="1"/>
      <c r="B1050" s="1" t="str">
        <f>IFERROR(IF(LEFT(Sensitivität_bzw_Monte_Carlo_bei_Strom[[#This Row],[Source.Name]],SEARCH("aus_der",Sensitivität_bzw_Monte_Carlo_bei_Strom[[#This Row],[Source.Name]],1))="Auszahlung_a","Auszahlung",""),"")</f>
        <v/>
      </c>
      <c r="D1050" s="1"/>
    </row>
    <row r="1051" spans="1:4" x14ac:dyDescent="0.3">
      <c r="A1051" s="1"/>
      <c r="B1051" s="1" t="str">
        <f>IFERROR(IF(LEFT(Sensitivität_bzw_Monte_Carlo_bei_Strom[[#This Row],[Source.Name]],SEARCH("aus_der",Sensitivität_bzw_Monte_Carlo_bei_Strom[[#This Row],[Source.Name]],1))="Auszahlung_a","Auszahlung",""),"")</f>
        <v/>
      </c>
      <c r="D1051" s="1"/>
    </row>
    <row r="1052" spans="1:4" x14ac:dyDescent="0.3">
      <c r="A1052" s="1"/>
      <c r="B1052" s="1" t="str">
        <f>IFERROR(IF(LEFT(Sensitivität_bzw_Monte_Carlo_bei_Strom[[#This Row],[Source.Name]],SEARCH("aus_der",Sensitivität_bzw_Monte_Carlo_bei_Strom[[#This Row],[Source.Name]],1))="Auszahlung_a","Auszahlung",""),"")</f>
        <v/>
      </c>
      <c r="D1052" s="1"/>
    </row>
    <row r="1053" spans="1:4" x14ac:dyDescent="0.3">
      <c r="A1053" s="1"/>
      <c r="B1053" s="1" t="str">
        <f>IFERROR(IF(LEFT(Sensitivität_bzw_Monte_Carlo_bei_Strom[[#This Row],[Source.Name]],SEARCH("aus_der",Sensitivität_bzw_Monte_Carlo_bei_Strom[[#This Row],[Source.Name]],1))="Auszahlung_a","Auszahlung",""),"")</f>
        <v/>
      </c>
      <c r="D1053" s="1"/>
    </row>
    <row r="1054" spans="1:4" x14ac:dyDescent="0.3">
      <c r="A1054" s="1"/>
      <c r="B1054" s="1" t="str">
        <f>IFERROR(IF(LEFT(Sensitivität_bzw_Monte_Carlo_bei_Strom[[#This Row],[Source.Name]],SEARCH("aus_der",Sensitivität_bzw_Monte_Carlo_bei_Strom[[#This Row],[Source.Name]],1))="Auszahlung_a","Auszahlung",""),"")</f>
        <v/>
      </c>
      <c r="D1054" s="1"/>
    </row>
    <row r="1055" spans="1:4" x14ac:dyDescent="0.3">
      <c r="A1055" s="1"/>
      <c r="B1055" s="1" t="str">
        <f>IFERROR(IF(LEFT(Sensitivität_bzw_Monte_Carlo_bei_Strom[[#This Row],[Source.Name]],SEARCH("aus_der",Sensitivität_bzw_Monte_Carlo_bei_Strom[[#This Row],[Source.Name]],1))="Auszahlung_a","Auszahlung",""),"")</f>
        <v/>
      </c>
      <c r="D1055" s="1"/>
    </row>
    <row r="1056" spans="1:4" x14ac:dyDescent="0.3">
      <c r="A1056" s="1"/>
      <c r="B1056" s="1" t="str">
        <f>IFERROR(IF(LEFT(Sensitivität_bzw_Monte_Carlo_bei_Strom[[#This Row],[Source.Name]],SEARCH("aus_der",Sensitivität_bzw_Monte_Carlo_bei_Strom[[#This Row],[Source.Name]],1))="Auszahlung_a","Auszahlung",""),"")</f>
        <v/>
      </c>
      <c r="D1056" s="1"/>
    </row>
    <row r="1057" spans="1:4" x14ac:dyDescent="0.3">
      <c r="A1057" s="1"/>
      <c r="B1057" s="1" t="str">
        <f>IFERROR(IF(LEFT(Sensitivität_bzw_Monte_Carlo_bei_Strom[[#This Row],[Source.Name]],SEARCH("aus_der",Sensitivität_bzw_Monte_Carlo_bei_Strom[[#This Row],[Source.Name]],1))="Auszahlung_a","Auszahlung",""),"")</f>
        <v/>
      </c>
      <c r="D1057" s="1"/>
    </row>
    <row r="1058" spans="1:4" x14ac:dyDescent="0.3">
      <c r="A1058" s="1"/>
      <c r="B1058" s="1" t="str">
        <f>IFERROR(IF(LEFT(Sensitivität_bzw_Monte_Carlo_bei_Strom[[#This Row],[Source.Name]],SEARCH("aus_der",Sensitivität_bzw_Monte_Carlo_bei_Strom[[#This Row],[Source.Name]],1))="Auszahlung_a","Auszahlung",""),"")</f>
        <v/>
      </c>
      <c r="D1058" s="1"/>
    </row>
    <row r="1059" spans="1:4" x14ac:dyDescent="0.3">
      <c r="A1059" s="1"/>
      <c r="B1059" s="1" t="str">
        <f>IFERROR(IF(LEFT(Sensitivität_bzw_Monte_Carlo_bei_Strom[[#This Row],[Source.Name]],SEARCH("aus_der",Sensitivität_bzw_Monte_Carlo_bei_Strom[[#This Row],[Source.Name]],1))="Auszahlung_a","Auszahlung",""),"")</f>
        <v/>
      </c>
      <c r="D1059" s="1"/>
    </row>
    <row r="1060" spans="1:4" x14ac:dyDescent="0.3">
      <c r="A1060" s="1"/>
      <c r="B1060" s="1" t="str">
        <f>IFERROR(IF(LEFT(Sensitivität_bzw_Monte_Carlo_bei_Strom[[#This Row],[Source.Name]],SEARCH("aus_der",Sensitivität_bzw_Monte_Carlo_bei_Strom[[#This Row],[Source.Name]],1))="Auszahlung_a","Auszahlung",""),"")</f>
        <v/>
      </c>
      <c r="D1060" s="1"/>
    </row>
    <row r="1061" spans="1:4" x14ac:dyDescent="0.3">
      <c r="A1061" s="1"/>
      <c r="B1061" s="1" t="str">
        <f>IFERROR(IF(LEFT(Sensitivität_bzw_Monte_Carlo_bei_Strom[[#This Row],[Source.Name]],SEARCH("aus_der",Sensitivität_bzw_Monte_Carlo_bei_Strom[[#This Row],[Source.Name]],1))="Auszahlung_a","Auszahlung",""),"")</f>
        <v/>
      </c>
      <c r="D1061" s="1"/>
    </row>
    <row r="1062" spans="1:4" x14ac:dyDescent="0.3">
      <c r="A1062" s="1"/>
      <c r="B1062" s="1" t="str">
        <f>IFERROR(IF(LEFT(Sensitivität_bzw_Monte_Carlo_bei_Strom[[#This Row],[Source.Name]],SEARCH("aus_der",Sensitivität_bzw_Monte_Carlo_bei_Strom[[#This Row],[Source.Name]],1))="Auszahlung_a","Auszahlung",""),"")</f>
        <v/>
      </c>
      <c r="D1062" s="1"/>
    </row>
    <row r="1063" spans="1:4" x14ac:dyDescent="0.3">
      <c r="A1063" s="1"/>
      <c r="B1063" s="1" t="str">
        <f>IFERROR(IF(LEFT(Sensitivität_bzw_Monte_Carlo_bei_Strom[[#This Row],[Source.Name]],SEARCH("aus_der",Sensitivität_bzw_Monte_Carlo_bei_Strom[[#This Row],[Source.Name]],1))="Auszahlung_a","Auszahlung",""),"")</f>
        <v/>
      </c>
      <c r="D1063" s="1"/>
    </row>
    <row r="1064" spans="1:4" x14ac:dyDescent="0.3">
      <c r="A1064" s="1"/>
      <c r="B1064" s="1" t="str">
        <f>IFERROR(IF(LEFT(Sensitivität_bzw_Monte_Carlo_bei_Strom[[#This Row],[Source.Name]],SEARCH("aus_der",Sensitivität_bzw_Monte_Carlo_bei_Strom[[#This Row],[Source.Name]],1))="Auszahlung_a","Auszahlung",""),"")</f>
        <v/>
      </c>
      <c r="D1064" s="1"/>
    </row>
    <row r="1065" spans="1:4" x14ac:dyDescent="0.3">
      <c r="A1065" s="1"/>
      <c r="B1065" s="1" t="str">
        <f>IFERROR(IF(LEFT(Sensitivität_bzw_Monte_Carlo_bei_Strom[[#This Row],[Source.Name]],SEARCH("aus_der",Sensitivität_bzw_Monte_Carlo_bei_Strom[[#This Row],[Source.Name]],1))="Auszahlung_a","Auszahlung",""),"")</f>
        <v/>
      </c>
      <c r="D1065" s="1"/>
    </row>
    <row r="1066" spans="1:4" x14ac:dyDescent="0.3">
      <c r="A1066" s="1"/>
      <c r="B1066" s="1" t="str">
        <f>IFERROR(IF(LEFT(Sensitivität_bzw_Monte_Carlo_bei_Strom[[#This Row],[Source.Name]],SEARCH("aus_der",Sensitivität_bzw_Monte_Carlo_bei_Strom[[#This Row],[Source.Name]],1))="Auszahlung_a","Auszahlung",""),"")</f>
        <v/>
      </c>
      <c r="D1066" s="1"/>
    </row>
    <row r="1067" spans="1:4" x14ac:dyDescent="0.3">
      <c r="A1067" s="1"/>
      <c r="B1067" s="1" t="str">
        <f>IFERROR(IF(LEFT(Sensitivität_bzw_Monte_Carlo_bei_Strom[[#This Row],[Source.Name]],SEARCH("aus_der",Sensitivität_bzw_Monte_Carlo_bei_Strom[[#This Row],[Source.Name]],1))="Auszahlung_a","Auszahlung",""),"")</f>
        <v/>
      </c>
      <c r="D1067" s="1"/>
    </row>
    <row r="1068" spans="1:4" x14ac:dyDescent="0.3">
      <c r="A1068" s="1"/>
      <c r="B1068" s="1" t="str">
        <f>IFERROR(IF(LEFT(Sensitivität_bzw_Monte_Carlo_bei_Strom[[#This Row],[Source.Name]],SEARCH("aus_der",Sensitivität_bzw_Monte_Carlo_bei_Strom[[#This Row],[Source.Name]],1))="Auszahlung_a","Auszahlung",""),"")</f>
        <v/>
      </c>
      <c r="D1068" s="1"/>
    </row>
    <row r="1069" spans="1:4" x14ac:dyDescent="0.3">
      <c r="A1069" s="1"/>
      <c r="B1069" s="1" t="str">
        <f>IFERROR(IF(LEFT(Sensitivität_bzw_Monte_Carlo_bei_Strom[[#This Row],[Source.Name]],SEARCH("aus_der",Sensitivität_bzw_Monte_Carlo_bei_Strom[[#This Row],[Source.Name]],1))="Auszahlung_a","Auszahlung",""),"")</f>
        <v/>
      </c>
      <c r="D1069" s="1"/>
    </row>
    <row r="1070" spans="1:4" x14ac:dyDescent="0.3">
      <c r="A1070" s="1"/>
      <c r="B1070" s="1" t="str">
        <f>IFERROR(IF(LEFT(Sensitivität_bzw_Monte_Carlo_bei_Strom[[#This Row],[Source.Name]],SEARCH("aus_der",Sensitivität_bzw_Monte_Carlo_bei_Strom[[#This Row],[Source.Name]],1))="Auszahlung_a","Auszahlung",""),"")</f>
        <v/>
      </c>
      <c r="D1070" s="1"/>
    </row>
    <row r="1071" spans="1:4" x14ac:dyDescent="0.3">
      <c r="A1071" s="1"/>
      <c r="B1071" s="1" t="str">
        <f>IFERROR(IF(LEFT(Sensitivität_bzw_Monte_Carlo_bei_Strom[[#This Row],[Source.Name]],SEARCH("aus_der",Sensitivität_bzw_Monte_Carlo_bei_Strom[[#This Row],[Source.Name]],1))="Auszahlung_a","Auszahlung",""),"")</f>
        <v/>
      </c>
      <c r="D1071" s="1"/>
    </row>
    <row r="1072" spans="1:4" x14ac:dyDescent="0.3">
      <c r="A1072" s="1"/>
      <c r="B1072" s="1" t="str">
        <f>IFERROR(IF(LEFT(Sensitivität_bzw_Monte_Carlo_bei_Strom[[#This Row],[Source.Name]],SEARCH("aus_der",Sensitivität_bzw_Monte_Carlo_bei_Strom[[#This Row],[Source.Name]],1))="Auszahlung_a","Auszahlung",""),"")</f>
        <v/>
      </c>
      <c r="D1072" s="1"/>
    </row>
    <row r="1073" spans="1:4" x14ac:dyDescent="0.3">
      <c r="A1073" s="1"/>
      <c r="B1073" s="1" t="str">
        <f>IFERROR(IF(LEFT(Sensitivität_bzw_Monte_Carlo_bei_Strom[[#This Row],[Source.Name]],SEARCH("aus_der",Sensitivität_bzw_Monte_Carlo_bei_Strom[[#This Row],[Source.Name]],1))="Auszahlung_a","Auszahlung",""),"")</f>
        <v/>
      </c>
      <c r="D1073" s="1"/>
    </row>
    <row r="1074" spans="1:4" x14ac:dyDescent="0.3">
      <c r="A1074" s="1"/>
      <c r="B1074" s="1" t="str">
        <f>IFERROR(IF(LEFT(Sensitivität_bzw_Monte_Carlo_bei_Strom[[#This Row],[Source.Name]],SEARCH("aus_der",Sensitivität_bzw_Monte_Carlo_bei_Strom[[#This Row],[Source.Name]],1))="Auszahlung_a","Auszahlung",""),"")</f>
        <v/>
      </c>
      <c r="D1074" s="1"/>
    </row>
    <row r="1075" spans="1:4" x14ac:dyDescent="0.3">
      <c r="A1075" s="1"/>
      <c r="B1075" s="1" t="str">
        <f>IFERROR(IF(LEFT(Sensitivität_bzw_Monte_Carlo_bei_Strom[[#This Row],[Source.Name]],SEARCH("aus_der",Sensitivität_bzw_Monte_Carlo_bei_Strom[[#This Row],[Source.Name]],1))="Auszahlung_a","Auszahlung",""),"")</f>
        <v/>
      </c>
      <c r="D1075" s="1"/>
    </row>
    <row r="1076" spans="1:4" x14ac:dyDescent="0.3">
      <c r="A1076" s="1"/>
      <c r="B1076" s="1" t="str">
        <f>IFERROR(IF(LEFT(Sensitivität_bzw_Monte_Carlo_bei_Strom[[#This Row],[Source.Name]],SEARCH("aus_der",Sensitivität_bzw_Monte_Carlo_bei_Strom[[#This Row],[Source.Name]],1))="Auszahlung_a","Auszahlung",""),"")</f>
        <v/>
      </c>
      <c r="D1076" s="1"/>
    </row>
    <row r="1077" spans="1:4" x14ac:dyDescent="0.3">
      <c r="A1077" s="1"/>
      <c r="B1077" s="1" t="str">
        <f>IFERROR(IF(LEFT(Sensitivität_bzw_Monte_Carlo_bei_Strom[[#This Row],[Source.Name]],SEARCH("aus_der",Sensitivität_bzw_Monte_Carlo_bei_Strom[[#This Row],[Source.Name]],1))="Auszahlung_a","Auszahlung",""),"")</f>
        <v/>
      </c>
      <c r="D1077" s="1"/>
    </row>
    <row r="1078" spans="1:4" x14ac:dyDescent="0.3">
      <c r="A1078" s="1"/>
      <c r="B1078" s="1" t="str">
        <f>IFERROR(IF(LEFT(Sensitivität_bzw_Monte_Carlo_bei_Strom[[#This Row],[Source.Name]],SEARCH("aus_der",Sensitivität_bzw_Monte_Carlo_bei_Strom[[#This Row],[Source.Name]],1))="Auszahlung_a","Auszahlung",""),"")</f>
        <v/>
      </c>
      <c r="D1078" s="1"/>
    </row>
    <row r="1079" spans="1:4" x14ac:dyDescent="0.3">
      <c r="A1079" s="1"/>
      <c r="B1079" s="1" t="str">
        <f>IFERROR(IF(LEFT(Sensitivität_bzw_Monte_Carlo_bei_Strom[[#This Row],[Source.Name]],SEARCH("aus_der",Sensitivität_bzw_Monte_Carlo_bei_Strom[[#This Row],[Source.Name]],1))="Auszahlung_a","Auszahlung",""),"")</f>
        <v/>
      </c>
      <c r="D1079" s="1"/>
    </row>
    <row r="1080" spans="1:4" x14ac:dyDescent="0.3">
      <c r="A1080" s="1"/>
      <c r="B1080" s="1" t="str">
        <f>IFERROR(IF(LEFT(Sensitivität_bzw_Monte_Carlo_bei_Strom[[#This Row],[Source.Name]],SEARCH("aus_der",Sensitivität_bzw_Monte_Carlo_bei_Strom[[#This Row],[Source.Name]],1))="Auszahlung_a","Auszahlung",""),"")</f>
        <v/>
      </c>
      <c r="D1080" s="1"/>
    </row>
    <row r="1081" spans="1:4" x14ac:dyDescent="0.3">
      <c r="A1081" s="1"/>
      <c r="B1081" s="1" t="str">
        <f>IFERROR(IF(LEFT(Sensitivität_bzw_Monte_Carlo_bei_Strom[[#This Row],[Source.Name]],SEARCH("aus_der",Sensitivität_bzw_Monte_Carlo_bei_Strom[[#This Row],[Source.Name]],1))="Auszahlung_a","Auszahlung",""),"")</f>
        <v/>
      </c>
      <c r="D1081" s="1"/>
    </row>
    <row r="1082" spans="1:4" x14ac:dyDescent="0.3">
      <c r="A1082" s="1"/>
      <c r="B1082" s="1" t="str">
        <f>IFERROR(IF(LEFT(Sensitivität_bzw_Monte_Carlo_bei_Strom[[#This Row],[Source.Name]],SEARCH("aus_der",Sensitivität_bzw_Monte_Carlo_bei_Strom[[#This Row],[Source.Name]],1))="Auszahlung_a","Auszahlung",""),"")</f>
        <v/>
      </c>
      <c r="D1082" s="1"/>
    </row>
    <row r="1083" spans="1:4" x14ac:dyDescent="0.3">
      <c r="A1083" s="1"/>
      <c r="B1083" s="1" t="str">
        <f>IFERROR(IF(LEFT(Sensitivität_bzw_Monte_Carlo_bei_Strom[[#This Row],[Source.Name]],SEARCH("aus_der",Sensitivität_bzw_Monte_Carlo_bei_Strom[[#This Row],[Source.Name]],1))="Auszahlung_a","Auszahlung",""),"")</f>
        <v/>
      </c>
      <c r="D1083" s="1"/>
    </row>
    <row r="1084" spans="1:4" x14ac:dyDescent="0.3">
      <c r="A1084" s="1"/>
      <c r="B1084" s="1" t="str">
        <f>IFERROR(IF(LEFT(Sensitivität_bzw_Monte_Carlo_bei_Strom[[#This Row],[Source.Name]],SEARCH("aus_der",Sensitivität_bzw_Monte_Carlo_bei_Strom[[#This Row],[Source.Name]],1))="Auszahlung_a","Auszahlung",""),"")</f>
        <v/>
      </c>
      <c r="D1084" s="1"/>
    </row>
    <row r="1085" spans="1:4" x14ac:dyDescent="0.3">
      <c r="A1085" s="1"/>
      <c r="B1085" s="1" t="str">
        <f>IFERROR(IF(LEFT(Sensitivität_bzw_Monte_Carlo_bei_Strom[[#This Row],[Source.Name]],SEARCH("aus_der",Sensitivität_bzw_Monte_Carlo_bei_Strom[[#This Row],[Source.Name]],1))="Auszahlung_a","Auszahlung",""),"")</f>
        <v/>
      </c>
      <c r="D1085" s="1"/>
    </row>
    <row r="1086" spans="1:4" x14ac:dyDescent="0.3">
      <c r="A1086" s="1"/>
      <c r="B1086" s="1" t="str">
        <f>IFERROR(IF(LEFT(Sensitivität_bzw_Monte_Carlo_bei_Strom[[#This Row],[Source.Name]],SEARCH("aus_der",Sensitivität_bzw_Monte_Carlo_bei_Strom[[#This Row],[Source.Name]],1))="Auszahlung_a","Auszahlung",""),"")</f>
        <v/>
      </c>
      <c r="D1086" s="1"/>
    </row>
    <row r="1087" spans="1:4" x14ac:dyDescent="0.3">
      <c r="A1087" s="1"/>
      <c r="B1087" s="1" t="str">
        <f>IFERROR(IF(LEFT(Sensitivität_bzw_Monte_Carlo_bei_Strom[[#This Row],[Source.Name]],SEARCH("aus_der",Sensitivität_bzw_Monte_Carlo_bei_Strom[[#This Row],[Source.Name]],1))="Auszahlung_a","Auszahlung",""),"")</f>
        <v/>
      </c>
      <c r="D1087" s="1"/>
    </row>
    <row r="1088" spans="1:4" x14ac:dyDescent="0.3">
      <c r="A1088" s="1"/>
      <c r="B1088" s="1" t="str">
        <f>IFERROR(IF(LEFT(Sensitivität_bzw_Monte_Carlo_bei_Strom[[#This Row],[Source.Name]],SEARCH("aus_der",Sensitivität_bzw_Monte_Carlo_bei_Strom[[#This Row],[Source.Name]],1))="Auszahlung_a","Auszahlung",""),"")</f>
        <v/>
      </c>
      <c r="D1088" s="1"/>
    </row>
    <row r="1089" spans="1:4" x14ac:dyDescent="0.3">
      <c r="A1089" s="1"/>
      <c r="B1089" s="1" t="str">
        <f>IFERROR(IF(LEFT(Sensitivität_bzw_Monte_Carlo_bei_Strom[[#This Row],[Source.Name]],SEARCH("aus_der",Sensitivität_bzw_Monte_Carlo_bei_Strom[[#This Row],[Source.Name]],1))="Auszahlung_a","Auszahlung",""),"")</f>
        <v/>
      </c>
      <c r="D1089" s="1"/>
    </row>
    <row r="1090" spans="1:4" x14ac:dyDescent="0.3">
      <c r="A1090" s="1"/>
      <c r="B1090" s="1" t="str">
        <f>IFERROR(IF(LEFT(Sensitivität_bzw_Monte_Carlo_bei_Strom[[#This Row],[Source.Name]],SEARCH("aus_der",Sensitivität_bzw_Monte_Carlo_bei_Strom[[#This Row],[Source.Name]],1))="Auszahlung_a","Auszahlung",""),"")</f>
        <v/>
      </c>
      <c r="D1090" s="1"/>
    </row>
    <row r="1091" spans="1:4" x14ac:dyDescent="0.3">
      <c r="A1091" s="1"/>
      <c r="B1091" s="1" t="str">
        <f>IFERROR(IF(LEFT(Sensitivität_bzw_Monte_Carlo_bei_Strom[[#This Row],[Source.Name]],SEARCH("aus_der",Sensitivität_bzw_Monte_Carlo_bei_Strom[[#This Row],[Source.Name]],1))="Auszahlung_a","Auszahlung",""),"")</f>
        <v/>
      </c>
      <c r="D1091" s="1"/>
    </row>
    <row r="1092" spans="1:4" x14ac:dyDescent="0.3">
      <c r="A1092" s="1"/>
      <c r="B1092" s="1" t="str">
        <f>IFERROR(IF(LEFT(Sensitivität_bzw_Monte_Carlo_bei_Strom[[#This Row],[Source.Name]],SEARCH("aus_der",Sensitivität_bzw_Monte_Carlo_bei_Strom[[#This Row],[Source.Name]],1))="Auszahlung_a","Auszahlung",""),"")</f>
        <v/>
      </c>
      <c r="D1092" s="1"/>
    </row>
    <row r="1093" spans="1:4" x14ac:dyDescent="0.3">
      <c r="A1093" s="1"/>
      <c r="B1093" s="1" t="str">
        <f>IFERROR(IF(LEFT(Sensitivität_bzw_Monte_Carlo_bei_Strom[[#This Row],[Source.Name]],SEARCH("aus_der",Sensitivität_bzw_Monte_Carlo_bei_Strom[[#This Row],[Source.Name]],1))="Auszahlung_a","Auszahlung",""),"")</f>
        <v/>
      </c>
      <c r="D1093" s="1"/>
    </row>
    <row r="1094" spans="1:4" x14ac:dyDescent="0.3">
      <c r="A1094" s="1"/>
      <c r="B1094" s="1" t="str">
        <f>IFERROR(IF(LEFT(Sensitivität_bzw_Monte_Carlo_bei_Strom[[#This Row],[Source.Name]],SEARCH("aus_der",Sensitivität_bzw_Monte_Carlo_bei_Strom[[#This Row],[Source.Name]],1))="Auszahlung_a","Auszahlung",""),"")</f>
        <v/>
      </c>
      <c r="D1094" s="1"/>
    </row>
    <row r="1095" spans="1:4" x14ac:dyDescent="0.3">
      <c r="A1095" s="1"/>
      <c r="B1095" s="1" t="str">
        <f>IFERROR(IF(LEFT(Sensitivität_bzw_Monte_Carlo_bei_Strom[[#This Row],[Source.Name]],SEARCH("aus_der",Sensitivität_bzw_Monte_Carlo_bei_Strom[[#This Row],[Source.Name]],1))="Auszahlung_a","Auszahlung",""),"")</f>
        <v/>
      </c>
      <c r="D1095" s="1"/>
    </row>
    <row r="1096" spans="1:4" x14ac:dyDescent="0.3">
      <c r="A1096" s="1"/>
      <c r="B1096" s="1" t="str">
        <f>IFERROR(IF(LEFT(Sensitivität_bzw_Monte_Carlo_bei_Strom[[#This Row],[Source.Name]],SEARCH("aus_der",Sensitivität_bzw_Monte_Carlo_bei_Strom[[#This Row],[Source.Name]],1))="Auszahlung_a","Auszahlung",""),"")</f>
        <v/>
      </c>
      <c r="D1096" s="1"/>
    </row>
    <row r="1097" spans="1:4" x14ac:dyDescent="0.3">
      <c r="A1097" s="1"/>
      <c r="B1097" s="1" t="str">
        <f>IFERROR(IF(LEFT(Sensitivität_bzw_Monte_Carlo_bei_Strom[[#This Row],[Source.Name]],SEARCH("aus_der",Sensitivität_bzw_Monte_Carlo_bei_Strom[[#This Row],[Source.Name]],1))="Auszahlung_a","Auszahlung",""),"")</f>
        <v/>
      </c>
      <c r="D1097" s="1"/>
    </row>
    <row r="1098" spans="1:4" x14ac:dyDescent="0.3">
      <c r="A1098" s="1"/>
      <c r="B1098" s="1" t="str">
        <f>IFERROR(IF(LEFT(Sensitivität_bzw_Monte_Carlo_bei_Strom[[#This Row],[Source.Name]],SEARCH("aus_der",Sensitivität_bzw_Monte_Carlo_bei_Strom[[#This Row],[Source.Name]],1))="Auszahlung_a","Auszahlung",""),"")</f>
        <v/>
      </c>
      <c r="D1098" s="1"/>
    </row>
    <row r="1099" spans="1:4" x14ac:dyDescent="0.3">
      <c r="A1099" s="1"/>
      <c r="B1099" s="1" t="str">
        <f>IFERROR(IF(LEFT(Sensitivität_bzw_Monte_Carlo_bei_Strom[[#This Row],[Source.Name]],SEARCH("aus_der",Sensitivität_bzw_Monte_Carlo_bei_Strom[[#This Row],[Source.Name]],1))="Auszahlung_a","Auszahlung",""),"")</f>
        <v/>
      </c>
      <c r="D1099" s="1"/>
    </row>
    <row r="1100" spans="1:4" x14ac:dyDescent="0.3">
      <c r="A1100" s="1"/>
      <c r="B1100" s="1" t="str">
        <f>IFERROR(IF(LEFT(Sensitivität_bzw_Monte_Carlo_bei_Strom[[#This Row],[Source.Name]],SEARCH("aus_der",Sensitivität_bzw_Monte_Carlo_bei_Strom[[#This Row],[Source.Name]],1))="Auszahlung_a","Auszahlung",""),"")</f>
        <v/>
      </c>
      <c r="D1100" s="1"/>
    </row>
    <row r="1101" spans="1:4" x14ac:dyDescent="0.3">
      <c r="A1101" s="1"/>
      <c r="B1101" s="1" t="str">
        <f>IFERROR(IF(LEFT(Sensitivität_bzw_Monte_Carlo_bei_Strom[[#This Row],[Source.Name]],SEARCH("aus_der",Sensitivität_bzw_Monte_Carlo_bei_Strom[[#This Row],[Source.Name]],1))="Auszahlung_a","Auszahlung",""),"")</f>
        <v/>
      </c>
      <c r="D1101" s="1"/>
    </row>
    <row r="1102" spans="1:4" x14ac:dyDescent="0.3">
      <c r="A1102" s="1"/>
      <c r="B1102" s="1" t="str">
        <f>IFERROR(IF(LEFT(Sensitivität_bzw_Monte_Carlo_bei_Strom[[#This Row],[Source.Name]],SEARCH("aus_der",Sensitivität_bzw_Monte_Carlo_bei_Strom[[#This Row],[Source.Name]],1))="Auszahlung_a","Auszahlung",""),"")</f>
        <v/>
      </c>
      <c r="D1102" s="1"/>
    </row>
    <row r="1103" spans="1:4" x14ac:dyDescent="0.3">
      <c r="A1103" s="1"/>
      <c r="B1103" s="1" t="str">
        <f>IFERROR(IF(LEFT(Sensitivität_bzw_Monte_Carlo_bei_Strom[[#This Row],[Source.Name]],SEARCH("aus_der",Sensitivität_bzw_Monte_Carlo_bei_Strom[[#This Row],[Source.Name]],1))="Auszahlung_a","Auszahlung",""),"")</f>
        <v/>
      </c>
      <c r="D1103" s="1"/>
    </row>
    <row r="1104" spans="1:4" x14ac:dyDescent="0.3">
      <c r="A1104" s="1"/>
      <c r="B1104" s="1" t="str">
        <f>IFERROR(IF(LEFT(Sensitivität_bzw_Monte_Carlo_bei_Strom[[#This Row],[Source.Name]],SEARCH("aus_der",Sensitivität_bzw_Monte_Carlo_bei_Strom[[#This Row],[Source.Name]],1))="Auszahlung_a","Auszahlung",""),"")</f>
        <v/>
      </c>
      <c r="D1104" s="1"/>
    </row>
    <row r="1105" spans="1:4" x14ac:dyDescent="0.3">
      <c r="A1105" s="1"/>
      <c r="B1105" s="1" t="str">
        <f>IFERROR(IF(LEFT(Sensitivität_bzw_Monte_Carlo_bei_Strom[[#This Row],[Source.Name]],SEARCH("aus_der",Sensitivität_bzw_Monte_Carlo_bei_Strom[[#This Row],[Source.Name]],1))="Auszahlung_a","Auszahlung",""),"")</f>
        <v/>
      </c>
      <c r="D1105" s="1"/>
    </row>
    <row r="1106" spans="1:4" x14ac:dyDescent="0.3">
      <c r="A1106" s="1"/>
      <c r="B1106" s="1" t="str">
        <f>IFERROR(IF(LEFT(Sensitivität_bzw_Monte_Carlo_bei_Strom[[#This Row],[Source.Name]],SEARCH("aus_der",Sensitivität_bzw_Monte_Carlo_bei_Strom[[#This Row],[Source.Name]],1))="Auszahlung_a","Auszahlung",""),"")</f>
        <v/>
      </c>
      <c r="D1106" s="1"/>
    </row>
    <row r="1107" spans="1:4" x14ac:dyDescent="0.3">
      <c r="A1107" s="1"/>
      <c r="B1107" s="1" t="str">
        <f>IFERROR(IF(LEFT(Sensitivität_bzw_Monte_Carlo_bei_Strom[[#This Row],[Source.Name]],SEARCH("aus_der",Sensitivität_bzw_Monte_Carlo_bei_Strom[[#This Row],[Source.Name]],1))="Auszahlung_a","Auszahlung",""),"")</f>
        <v/>
      </c>
      <c r="D1107" s="1"/>
    </row>
    <row r="1108" spans="1:4" x14ac:dyDescent="0.3">
      <c r="A1108" s="1"/>
      <c r="B1108" s="1" t="str">
        <f>IFERROR(IF(LEFT(Sensitivität_bzw_Monte_Carlo_bei_Strom[[#This Row],[Source.Name]],SEARCH("aus_der",Sensitivität_bzw_Monte_Carlo_bei_Strom[[#This Row],[Source.Name]],1))="Auszahlung_a","Auszahlung",""),"")</f>
        <v/>
      </c>
      <c r="D1108" s="1"/>
    </row>
    <row r="1109" spans="1:4" x14ac:dyDescent="0.3">
      <c r="A1109" s="1"/>
      <c r="B1109" s="1" t="str">
        <f>IFERROR(IF(LEFT(Sensitivität_bzw_Monte_Carlo_bei_Strom[[#This Row],[Source.Name]],SEARCH("aus_der",Sensitivität_bzw_Monte_Carlo_bei_Strom[[#This Row],[Source.Name]],1))="Auszahlung_a","Auszahlung",""),"")</f>
        <v/>
      </c>
      <c r="D1109" s="1"/>
    </row>
    <row r="1110" spans="1:4" x14ac:dyDescent="0.3">
      <c r="A1110" s="1"/>
      <c r="B1110" s="1" t="str">
        <f>IFERROR(IF(LEFT(Sensitivität_bzw_Monte_Carlo_bei_Strom[[#This Row],[Source.Name]],SEARCH("aus_der",Sensitivität_bzw_Monte_Carlo_bei_Strom[[#This Row],[Source.Name]],1))="Auszahlung_a","Auszahlung",""),"")</f>
        <v/>
      </c>
      <c r="D1110" s="1"/>
    </row>
    <row r="1111" spans="1:4" x14ac:dyDescent="0.3">
      <c r="A1111" s="1"/>
      <c r="B1111" s="1" t="str">
        <f>IFERROR(IF(LEFT(Sensitivität_bzw_Monte_Carlo_bei_Strom[[#This Row],[Source.Name]],SEARCH("aus_der",Sensitivität_bzw_Monte_Carlo_bei_Strom[[#This Row],[Source.Name]],1))="Auszahlung_a","Auszahlung",""),"")</f>
        <v/>
      </c>
      <c r="D1111" s="1"/>
    </row>
    <row r="1112" spans="1:4" x14ac:dyDescent="0.3">
      <c r="A1112" s="1"/>
      <c r="B1112" s="1" t="str">
        <f>IFERROR(IF(LEFT(Sensitivität_bzw_Monte_Carlo_bei_Strom[[#This Row],[Source.Name]],SEARCH("aus_der",Sensitivität_bzw_Monte_Carlo_bei_Strom[[#This Row],[Source.Name]],1))="Auszahlung_a","Auszahlung",""),"")</f>
        <v/>
      </c>
      <c r="D1112" s="1"/>
    </row>
    <row r="1113" spans="1:4" x14ac:dyDescent="0.3">
      <c r="A1113" s="1"/>
      <c r="B1113" s="1" t="str">
        <f>IFERROR(IF(LEFT(Sensitivität_bzw_Monte_Carlo_bei_Strom[[#This Row],[Source.Name]],SEARCH("aus_der",Sensitivität_bzw_Monte_Carlo_bei_Strom[[#This Row],[Source.Name]],1))="Auszahlung_a","Auszahlung",""),"")</f>
        <v/>
      </c>
      <c r="D1113" s="1"/>
    </row>
    <row r="1114" spans="1:4" x14ac:dyDescent="0.3">
      <c r="A1114" s="1"/>
      <c r="B1114" s="1" t="str">
        <f>IFERROR(IF(LEFT(Sensitivität_bzw_Monte_Carlo_bei_Strom[[#This Row],[Source.Name]],SEARCH("aus_der",Sensitivität_bzw_Monte_Carlo_bei_Strom[[#This Row],[Source.Name]],1))="Auszahlung_a","Auszahlung",""),"")</f>
        <v/>
      </c>
      <c r="D1114" s="1"/>
    </row>
    <row r="1115" spans="1:4" x14ac:dyDescent="0.3">
      <c r="A1115" s="1"/>
      <c r="B1115" s="1" t="str">
        <f>IFERROR(IF(LEFT(Sensitivität_bzw_Monte_Carlo_bei_Strom[[#This Row],[Source.Name]],SEARCH("aus_der",Sensitivität_bzw_Monte_Carlo_bei_Strom[[#This Row],[Source.Name]],1))="Auszahlung_a","Auszahlung",""),"")</f>
        <v/>
      </c>
      <c r="D1115" s="1"/>
    </row>
    <row r="1116" spans="1:4" x14ac:dyDescent="0.3">
      <c r="A1116" s="1"/>
      <c r="B1116" s="1" t="str">
        <f>IFERROR(IF(LEFT(Sensitivität_bzw_Monte_Carlo_bei_Strom[[#This Row],[Source.Name]],SEARCH("aus_der",Sensitivität_bzw_Monte_Carlo_bei_Strom[[#This Row],[Source.Name]],1))="Auszahlung_a","Auszahlung",""),"")</f>
        <v/>
      </c>
      <c r="D1116" s="1"/>
    </row>
    <row r="1117" spans="1:4" x14ac:dyDescent="0.3">
      <c r="A1117" s="1"/>
      <c r="B1117" s="1" t="str">
        <f>IFERROR(IF(LEFT(Sensitivität_bzw_Monte_Carlo_bei_Strom[[#This Row],[Source.Name]],SEARCH("aus_der",Sensitivität_bzw_Monte_Carlo_bei_Strom[[#This Row],[Source.Name]],1))="Auszahlung_a","Auszahlung",""),"")</f>
        <v/>
      </c>
      <c r="D1117" s="1"/>
    </row>
    <row r="1118" spans="1:4" x14ac:dyDescent="0.3">
      <c r="A1118" s="1"/>
      <c r="B1118" s="1" t="str">
        <f>IFERROR(IF(LEFT(Sensitivität_bzw_Monte_Carlo_bei_Strom[[#This Row],[Source.Name]],SEARCH("aus_der",Sensitivität_bzw_Monte_Carlo_bei_Strom[[#This Row],[Source.Name]],1))="Auszahlung_a","Auszahlung",""),"")</f>
        <v/>
      </c>
      <c r="D1118" s="1"/>
    </row>
    <row r="1119" spans="1:4" x14ac:dyDescent="0.3">
      <c r="A1119" s="1"/>
      <c r="B1119" s="1" t="str">
        <f>IFERROR(IF(LEFT(Sensitivität_bzw_Monte_Carlo_bei_Strom[[#This Row],[Source.Name]],SEARCH("aus_der",Sensitivität_bzw_Monte_Carlo_bei_Strom[[#This Row],[Source.Name]],1))="Auszahlung_a","Auszahlung",""),"")</f>
        <v/>
      </c>
      <c r="D1119" s="1"/>
    </row>
    <row r="1120" spans="1:4" x14ac:dyDescent="0.3">
      <c r="A1120" s="1"/>
      <c r="B1120" s="1" t="str">
        <f>IFERROR(IF(LEFT(Sensitivität_bzw_Monte_Carlo_bei_Strom[[#This Row],[Source.Name]],SEARCH("aus_der",Sensitivität_bzw_Monte_Carlo_bei_Strom[[#This Row],[Source.Name]],1))="Auszahlung_a","Auszahlung",""),"")</f>
        <v/>
      </c>
      <c r="D1120" s="1"/>
    </row>
    <row r="1121" spans="1:4" x14ac:dyDescent="0.3">
      <c r="A1121" s="1"/>
      <c r="B1121" s="1" t="str">
        <f>IFERROR(IF(LEFT(Sensitivität_bzw_Monte_Carlo_bei_Strom[[#This Row],[Source.Name]],SEARCH("aus_der",Sensitivität_bzw_Monte_Carlo_bei_Strom[[#This Row],[Source.Name]],1))="Auszahlung_a","Auszahlung",""),"")</f>
        <v/>
      </c>
      <c r="D1121" s="1"/>
    </row>
    <row r="1122" spans="1:4" x14ac:dyDescent="0.3">
      <c r="A1122" s="1"/>
      <c r="B1122" s="1" t="str">
        <f>IFERROR(IF(LEFT(Sensitivität_bzw_Monte_Carlo_bei_Strom[[#This Row],[Source.Name]],SEARCH("aus_der",Sensitivität_bzw_Monte_Carlo_bei_Strom[[#This Row],[Source.Name]],1))="Auszahlung_a","Auszahlung",""),"")</f>
        <v/>
      </c>
      <c r="D1122" s="1"/>
    </row>
    <row r="1123" spans="1:4" x14ac:dyDescent="0.3">
      <c r="A1123" s="1"/>
      <c r="B1123" s="1" t="str">
        <f>IFERROR(IF(LEFT(Sensitivität_bzw_Monte_Carlo_bei_Strom[[#This Row],[Source.Name]],SEARCH("aus_der",Sensitivität_bzw_Monte_Carlo_bei_Strom[[#This Row],[Source.Name]],1))="Auszahlung_a","Auszahlung",""),"")</f>
        <v/>
      </c>
      <c r="D1123" s="1"/>
    </row>
    <row r="1124" spans="1:4" x14ac:dyDescent="0.3">
      <c r="A1124" s="1"/>
      <c r="B1124" s="1" t="str">
        <f>IFERROR(IF(LEFT(Sensitivität_bzw_Monte_Carlo_bei_Strom[[#This Row],[Source.Name]],SEARCH("aus_der",Sensitivität_bzw_Monte_Carlo_bei_Strom[[#This Row],[Source.Name]],1))="Auszahlung_a","Auszahlung",""),"")</f>
        <v/>
      </c>
      <c r="D1124" s="1"/>
    </row>
    <row r="1125" spans="1:4" x14ac:dyDescent="0.3">
      <c r="A1125" s="1"/>
      <c r="B1125" s="1" t="str">
        <f>IFERROR(IF(LEFT(Sensitivität_bzw_Monte_Carlo_bei_Strom[[#This Row],[Source.Name]],SEARCH("aus_der",Sensitivität_bzw_Monte_Carlo_bei_Strom[[#This Row],[Source.Name]],1))="Auszahlung_a","Auszahlung",""),"")</f>
        <v/>
      </c>
      <c r="D1125" s="1"/>
    </row>
    <row r="1126" spans="1:4" x14ac:dyDescent="0.3">
      <c r="A1126" s="1"/>
      <c r="B1126" s="1" t="str">
        <f>IFERROR(IF(LEFT(Sensitivität_bzw_Monte_Carlo_bei_Strom[[#This Row],[Source.Name]],SEARCH("aus_der",Sensitivität_bzw_Monte_Carlo_bei_Strom[[#This Row],[Source.Name]],1))="Auszahlung_a","Auszahlung",""),"")</f>
        <v/>
      </c>
      <c r="D1126" s="1"/>
    </row>
    <row r="1127" spans="1:4" x14ac:dyDescent="0.3">
      <c r="A1127" s="1"/>
      <c r="B1127" s="1" t="str">
        <f>IFERROR(IF(LEFT(Sensitivität_bzw_Monte_Carlo_bei_Strom[[#This Row],[Source.Name]],SEARCH("aus_der",Sensitivität_bzw_Monte_Carlo_bei_Strom[[#This Row],[Source.Name]],1))="Auszahlung_a","Auszahlung",""),"")</f>
        <v/>
      </c>
      <c r="D1127" s="1"/>
    </row>
    <row r="1128" spans="1:4" x14ac:dyDescent="0.3">
      <c r="A1128" s="1"/>
      <c r="B1128" s="1" t="str">
        <f>IFERROR(IF(LEFT(Sensitivität_bzw_Monte_Carlo_bei_Strom[[#This Row],[Source.Name]],SEARCH("aus_der",Sensitivität_bzw_Monte_Carlo_bei_Strom[[#This Row],[Source.Name]],1))="Auszahlung_a","Auszahlung",""),"")</f>
        <v/>
      </c>
      <c r="D1128" s="1"/>
    </row>
    <row r="1129" spans="1:4" x14ac:dyDescent="0.3">
      <c r="A1129" s="1"/>
      <c r="B1129" s="1" t="str">
        <f>IFERROR(IF(LEFT(Sensitivität_bzw_Monte_Carlo_bei_Strom[[#This Row],[Source.Name]],SEARCH("aus_der",Sensitivität_bzw_Monte_Carlo_bei_Strom[[#This Row],[Source.Name]],1))="Auszahlung_a","Auszahlung",""),"")</f>
        <v/>
      </c>
      <c r="D1129" s="1"/>
    </row>
    <row r="1130" spans="1:4" x14ac:dyDescent="0.3">
      <c r="A1130" s="1"/>
      <c r="B1130" s="1" t="str">
        <f>IFERROR(IF(LEFT(Sensitivität_bzw_Monte_Carlo_bei_Strom[[#This Row],[Source.Name]],SEARCH("aus_der",Sensitivität_bzw_Monte_Carlo_bei_Strom[[#This Row],[Source.Name]],1))="Auszahlung_a","Auszahlung",""),"")</f>
        <v/>
      </c>
      <c r="D1130" s="1"/>
    </row>
    <row r="1131" spans="1:4" x14ac:dyDescent="0.3">
      <c r="A1131" s="1"/>
      <c r="B1131" s="1" t="str">
        <f>IFERROR(IF(LEFT(Sensitivität_bzw_Monte_Carlo_bei_Strom[[#This Row],[Source.Name]],SEARCH("aus_der",Sensitivität_bzw_Monte_Carlo_bei_Strom[[#This Row],[Source.Name]],1))="Auszahlung_a","Auszahlung",""),"")</f>
        <v/>
      </c>
      <c r="D1131" s="1"/>
    </row>
    <row r="1132" spans="1:4" x14ac:dyDescent="0.3">
      <c r="A1132" s="1"/>
      <c r="B1132" s="1" t="str">
        <f>IFERROR(IF(LEFT(Sensitivität_bzw_Monte_Carlo_bei_Strom[[#This Row],[Source.Name]],SEARCH("aus_der",Sensitivität_bzw_Monte_Carlo_bei_Strom[[#This Row],[Source.Name]],1))="Auszahlung_a","Auszahlung",""),"")</f>
        <v/>
      </c>
      <c r="D1132" s="1"/>
    </row>
    <row r="1133" spans="1:4" x14ac:dyDescent="0.3">
      <c r="A1133" s="1"/>
      <c r="B1133" s="1" t="str">
        <f>IFERROR(IF(LEFT(Sensitivität_bzw_Monte_Carlo_bei_Strom[[#This Row],[Source.Name]],SEARCH("aus_der",Sensitivität_bzw_Monte_Carlo_bei_Strom[[#This Row],[Source.Name]],1))="Auszahlung_a","Auszahlung",""),"")</f>
        <v/>
      </c>
      <c r="D1133" s="1"/>
    </row>
    <row r="1134" spans="1:4" x14ac:dyDescent="0.3">
      <c r="A1134" s="1"/>
      <c r="B1134" s="1" t="str">
        <f>IFERROR(IF(LEFT(Sensitivität_bzw_Monte_Carlo_bei_Strom[[#This Row],[Source.Name]],SEARCH("aus_der",Sensitivität_bzw_Monte_Carlo_bei_Strom[[#This Row],[Source.Name]],1))="Auszahlung_a","Auszahlung",""),"")</f>
        <v/>
      </c>
      <c r="D1134" s="1"/>
    </row>
    <row r="1135" spans="1:4" x14ac:dyDescent="0.3">
      <c r="A1135" s="1"/>
      <c r="B1135" s="1" t="str">
        <f>IFERROR(IF(LEFT(Sensitivität_bzw_Monte_Carlo_bei_Strom[[#This Row],[Source.Name]],SEARCH("aus_der",Sensitivität_bzw_Monte_Carlo_bei_Strom[[#This Row],[Source.Name]],1))="Auszahlung_a","Auszahlung",""),"")</f>
        <v/>
      </c>
      <c r="D1135" s="1"/>
    </row>
    <row r="1136" spans="1:4" x14ac:dyDescent="0.3">
      <c r="A1136" s="1"/>
      <c r="B1136" s="1" t="str">
        <f>IFERROR(IF(LEFT(Sensitivität_bzw_Monte_Carlo_bei_Strom[[#This Row],[Source.Name]],SEARCH("aus_der",Sensitivität_bzw_Monte_Carlo_bei_Strom[[#This Row],[Source.Name]],1))="Auszahlung_a","Auszahlung",""),"")</f>
        <v/>
      </c>
      <c r="D1136" s="1"/>
    </row>
    <row r="1137" spans="1:4" x14ac:dyDescent="0.3">
      <c r="A1137" s="1"/>
      <c r="B1137" s="1" t="str">
        <f>IFERROR(IF(LEFT(Sensitivität_bzw_Monte_Carlo_bei_Strom[[#This Row],[Source.Name]],SEARCH("aus_der",Sensitivität_bzw_Monte_Carlo_bei_Strom[[#This Row],[Source.Name]],1))="Auszahlung_a","Auszahlung",""),"")</f>
        <v/>
      </c>
      <c r="D1137" s="1"/>
    </row>
    <row r="1138" spans="1:4" x14ac:dyDescent="0.3">
      <c r="A1138" s="1"/>
      <c r="B1138" s="1" t="str">
        <f>IFERROR(IF(LEFT(Sensitivität_bzw_Monte_Carlo_bei_Strom[[#This Row],[Source.Name]],SEARCH("aus_der",Sensitivität_bzw_Monte_Carlo_bei_Strom[[#This Row],[Source.Name]],1))="Auszahlung_a","Auszahlung",""),"")</f>
        <v/>
      </c>
      <c r="D1138" s="1"/>
    </row>
    <row r="1139" spans="1:4" x14ac:dyDescent="0.3">
      <c r="A1139" s="1"/>
      <c r="B1139" s="1" t="str">
        <f>IFERROR(IF(LEFT(Sensitivität_bzw_Monte_Carlo_bei_Strom[[#This Row],[Source.Name]],SEARCH("aus_der",Sensitivität_bzw_Monte_Carlo_bei_Strom[[#This Row],[Source.Name]],1))="Auszahlung_a","Auszahlung",""),"")</f>
        <v/>
      </c>
      <c r="D1139" s="1"/>
    </row>
    <row r="1140" spans="1:4" x14ac:dyDescent="0.3">
      <c r="A1140" s="1"/>
      <c r="B1140" s="1" t="str">
        <f>IFERROR(IF(LEFT(Sensitivität_bzw_Monte_Carlo_bei_Strom[[#This Row],[Source.Name]],SEARCH("aus_der",Sensitivität_bzw_Monte_Carlo_bei_Strom[[#This Row],[Source.Name]],1))="Auszahlung_a","Auszahlung",""),"")</f>
        <v/>
      </c>
      <c r="D1140" s="1"/>
    </row>
    <row r="1141" spans="1:4" x14ac:dyDescent="0.3">
      <c r="A1141" s="1"/>
      <c r="B1141" s="1" t="str">
        <f>IFERROR(IF(LEFT(Sensitivität_bzw_Monte_Carlo_bei_Strom[[#This Row],[Source.Name]],SEARCH("aus_der",Sensitivität_bzw_Monte_Carlo_bei_Strom[[#This Row],[Source.Name]],1))="Auszahlung_a","Auszahlung",""),"")</f>
        <v/>
      </c>
      <c r="D1141" s="1"/>
    </row>
    <row r="1142" spans="1:4" x14ac:dyDescent="0.3">
      <c r="A1142" s="1"/>
      <c r="B1142" s="1" t="str">
        <f>IFERROR(IF(LEFT(Sensitivität_bzw_Monte_Carlo_bei_Strom[[#This Row],[Source.Name]],SEARCH("aus_der",Sensitivität_bzw_Monte_Carlo_bei_Strom[[#This Row],[Source.Name]],1))="Auszahlung_a","Auszahlung",""),"")</f>
        <v/>
      </c>
      <c r="D1142" s="1"/>
    </row>
    <row r="1143" spans="1:4" x14ac:dyDescent="0.3">
      <c r="A1143" s="1"/>
      <c r="B1143" s="1" t="str">
        <f>IFERROR(IF(LEFT(Sensitivität_bzw_Monte_Carlo_bei_Strom[[#This Row],[Source.Name]],SEARCH("aus_der",Sensitivität_bzw_Monte_Carlo_bei_Strom[[#This Row],[Source.Name]],1))="Auszahlung_a","Auszahlung",""),"")</f>
        <v/>
      </c>
      <c r="D1143" s="1"/>
    </row>
    <row r="1144" spans="1:4" x14ac:dyDescent="0.3">
      <c r="A1144" s="1"/>
      <c r="B1144" s="1" t="str">
        <f>IFERROR(IF(LEFT(Sensitivität_bzw_Monte_Carlo_bei_Strom[[#This Row],[Source.Name]],SEARCH("aus_der",Sensitivität_bzw_Monte_Carlo_bei_Strom[[#This Row],[Source.Name]],1))="Auszahlung_a","Auszahlung",""),"")</f>
        <v/>
      </c>
      <c r="D1144" s="1"/>
    </row>
    <row r="1145" spans="1:4" x14ac:dyDescent="0.3">
      <c r="A1145" s="1"/>
      <c r="B1145" s="1" t="str">
        <f>IFERROR(IF(LEFT(Sensitivität_bzw_Monte_Carlo_bei_Strom[[#This Row],[Source.Name]],SEARCH("aus_der",Sensitivität_bzw_Monte_Carlo_bei_Strom[[#This Row],[Source.Name]],1))="Auszahlung_a","Auszahlung",""),"")</f>
        <v/>
      </c>
      <c r="D1145" s="1"/>
    </row>
    <row r="1146" spans="1:4" x14ac:dyDescent="0.3">
      <c r="A1146" s="1"/>
      <c r="B1146" s="1" t="str">
        <f>IFERROR(IF(LEFT(Sensitivität_bzw_Monte_Carlo_bei_Strom[[#This Row],[Source.Name]],SEARCH("aus_der",Sensitivität_bzw_Monte_Carlo_bei_Strom[[#This Row],[Source.Name]],1))="Auszahlung_a","Auszahlung",""),"")</f>
        <v/>
      </c>
      <c r="D1146" s="1"/>
    </row>
    <row r="1147" spans="1:4" x14ac:dyDescent="0.3">
      <c r="A1147" s="1"/>
      <c r="B1147" s="1" t="str">
        <f>IFERROR(IF(LEFT(Sensitivität_bzw_Monte_Carlo_bei_Strom[[#This Row],[Source.Name]],SEARCH("aus_der",Sensitivität_bzw_Monte_Carlo_bei_Strom[[#This Row],[Source.Name]],1))="Auszahlung_a","Auszahlung",""),"")</f>
        <v/>
      </c>
      <c r="D1147" s="1"/>
    </row>
    <row r="1148" spans="1:4" x14ac:dyDescent="0.3">
      <c r="A1148" s="1"/>
      <c r="B1148" s="1" t="str">
        <f>IFERROR(IF(LEFT(Sensitivität_bzw_Monte_Carlo_bei_Strom[[#This Row],[Source.Name]],SEARCH("aus_der",Sensitivität_bzw_Monte_Carlo_bei_Strom[[#This Row],[Source.Name]],1))="Auszahlung_a","Auszahlung",""),"")</f>
        <v/>
      </c>
      <c r="D1148" s="1"/>
    </row>
    <row r="1149" spans="1:4" x14ac:dyDescent="0.3">
      <c r="A1149" s="1"/>
      <c r="B1149" s="1" t="str">
        <f>IFERROR(IF(LEFT(Sensitivität_bzw_Monte_Carlo_bei_Strom[[#This Row],[Source.Name]],SEARCH("aus_der",Sensitivität_bzw_Monte_Carlo_bei_Strom[[#This Row],[Source.Name]],1))="Auszahlung_a","Auszahlung",""),"")</f>
        <v/>
      </c>
      <c r="D1149" s="1"/>
    </row>
    <row r="1150" spans="1:4" x14ac:dyDescent="0.3">
      <c r="A1150" s="1"/>
      <c r="B1150" s="1" t="str">
        <f>IFERROR(IF(LEFT(Sensitivität_bzw_Monte_Carlo_bei_Strom[[#This Row],[Source.Name]],SEARCH("aus_der",Sensitivität_bzw_Monte_Carlo_bei_Strom[[#This Row],[Source.Name]],1))="Auszahlung_a","Auszahlung",""),"")</f>
        <v/>
      </c>
      <c r="D1150" s="1"/>
    </row>
    <row r="1151" spans="1:4" x14ac:dyDescent="0.3">
      <c r="A1151" s="1"/>
      <c r="B1151" s="1" t="str">
        <f>IFERROR(IF(LEFT(Sensitivität_bzw_Monte_Carlo_bei_Strom[[#This Row],[Source.Name]],SEARCH("aus_der",Sensitivität_bzw_Monte_Carlo_bei_Strom[[#This Row],[Source.Name]],1))="Auszahlung_a","Auszahlung",""),"")</f>
        <v/>
      </c>
      <c r="D1151" s="1"/>
    </row>
    <row r="1152" spans="1:4" x14ac:dyDescent="0.3">
      <c r="A1152" s="1"/>
      <c r="B1152" s="1" t="str">
        <f>IFERROR(IF(LEFT(Sensitivität_bzw_Monte_Carlo_bei_Strom[[#This Row],[Source.Name]],SEARCH("aus_der",Sensitivität_bzw_Monte_Carlo_bei_Strom[[#This Row],[Source.Name]],1))="Auszahlung_a","Auszahlung",""),"")</f>
        <v/>
      </c>
      <c r="D1152" s="1"/>
    </row>
    <row r="1153" spans="1:4" x14ac:dyDescent="0.3">
      <c r="A1153" s="1"/>
      <c r="B1153" s="1" t="str">
        <f>IFERROR(IF(LEFT(Sensitivität_bzw_Monte_Carlo_bei_Strom[[#This Row],[Source.Name]],SEARCH("aus_der",Sensitivität_bzw_Monte_Carlo_bei_Strom[[#This Row],[Source.Name]],1))="Auszahlung_a","Auszahlung",""),"")</f>
        <v/>
      </c>
      <c r="D1153" s="1"/>
    </row>
    <row r="1154" spans="1:4" x14ac:dyDescent="0.3">
      <c r="A1154" s="1"/>
      <c r="B1154" s="1" t="str">
        <f>IFERROR(IF(LEFT(Sensitivität_bzw_Monte_Carlo_bei_Strom[[#This Row],[Source.Name]],SEARCH("aus_der",Sensitivität_bzw_Monte_Carlo_bei_Strom[[#This Row],[Source.Name]],1))="Auszahlung_a","Auszahlung",""),"")</f>
        <v/>
      </c>
      <c r="D1154" s="1"/>
    </row>
    <row r="1155" spans="1:4" x14ac:dyDescent="0.3">
      <c r="A1155" s="1"/>
      <c r="B1155" s="1" t="str">
        <f>IFERROR(IF(LEFT(Sensitivität_bzw_Monte_Carlo_bei_Strom[[#This Row],[Source.Name]],SEARCH("aus_der",Sensitivität_bzw_Monte_Carlo_bei_Strom[[#This Row],[Source.Name]],1))="Auszahlung_a","Auszahlung",""),"")</f>
        <v/>
      </c>
      <c r="D1155" s="1"/>
    </row>
    <row r="1156" spans="1:4" x14ac:dyDescent="0.3">
      <c r="A1156" s="1"/>
      <c r="B1156" s="1" t="str">
        <f>IFERROR(IF(LEFT(Sensitivität_bzw_Monte_Carlo_bei_Strom[[#This Row],[Source.Name]],SEARCH("aus_der",Sensitivität_bzw_Monte_Carlo_bei_Strom[[#This Row],[Source.Name]],1))="Auszahlung_a","Auszahlung",""),"")</f>
        <v/>
      </c>
      <c r="D1156" s="1"/>
    </row>
    <row r="1157" spans="1:4" x14ac:dyDescent="0.3">
      <c r="A1157" s="1"/>
      <c r="B1157" s="1" t="str">
        <f>IFERROR(IF(LEFT(Sensitivität_bzw_Monte_Carlo_bei_Strom[[#This Row],[Source.Name]],SEARCH("aus_der",Sensitivität_bzw_Monte_Carlo_bei_Strom[[#This Row],[Source.Name]],1))="Auszahlung_a","Auszahlung",""),"")</f>
        <v/>
      </c>
      <c r="D1157" s="1"/>
    </row>
    <row r="1158" spans="1:4" x14ac:dyDescent="0.3">
      <c r="A1158" s="1"/>
      <c r="B1158" s="1" t="str">
        <f>IFERROR(IF(LEFT(Sensitivität_bzw_Monte_Carlo_bei_Strom[[#This Row],[Source.Name]],SEARCH("aus_der",Sensitivität_bzw_Monte_Carlo_bei_Strom[[#This Row],[Source.Name]],1))="Auszahlung_a","Auszahlung",""),"")</f>
        <v/>
      </c>
      <c r="D1158" s="1"/>
    </row>
    <row r="1159" spans="1:4" x14ac:dyDescent="0.3">
      <c r="A1159" s="1"/>
      <c r="B1159" s="1" t="str">
        <f>IFERROR(IF(LEFT(Sensitivität_bzw_Monte_Carlo_bei_Strom[[#This Row],[Source.Name]],SEARCH("aus_der",Sensitivität_bzw_Monte_Carlo_bei_Strom[[#This Row],[Source.Name]],1))="Auszahlung_a","Auszahlung",""),"")</f>
        <v/>
      </c>
      <c r="D1159" s="1"/>
    </row>
    <row r="1160" spans="1:4" x14ac:dyDescent="0.3">
      <c r="A1160" s="1"/>
      <c r="B1160" s="1" t="str">
        <f>IFERROR(IF(LEFT(Sensitivität_bzw_Monte_Carlo_bei_Strom[[#This Row],[Source.Name]],SEARCH("aus_der",Sensitivität_bzw_Monte_Carlo_bei_Strom[[#This Row],[Source.Name]],1))="Auszahlung_a","Auszahlung",""),"")</f>
        <v/>
      </c>
      <c r="D1160" s="1"/>
    </row>
    <row r="1161" spans="1:4" x14ac:dyDescent="0.3">
      <c r="A1161" s="1"/>
      <c r="B1161" s="1" t="str">
        <f>IFERROR(IF(LEFT(Sensitivität_bzw_Monte_Carlo_bei_Strom[[#This Row],[Source.Name]],SEARCH("aus_der",Sensitivität_bzw_Monte_Carlo_bei_Strom[[#This Row],[Source.Name]],1))="Auszahlung_a","Auszahlung",""),"")</f>
        <v/>
      </c>
      <c r="D1161" s="1"/>
    </row>
    <row r="1162" spans="1:4" x14ac:dyDescent="0.3">
      <c r="A1162" s="1"/>
      <c r="B1162" s="1" t="str">
        <f>IFERROR(IF(LEFT(Sensitivität_bzw_Monte_Carlo_bei_Strom[[#This Row],[Source.Name]],SEARCH("aus_der",Sensitivität_bzw_Monte_Carlo_bei_Strom[[#This Row],[Source.Name]],1))="Auszahlung_a","Auszahlung",""),"")</f>
        <v/>
      </c>
      <c r="D1162" s="1"/>
    </row>
    <row r="1163" spans="1:4" x14ac:dyDescent="0.3">
      <c r="A1163" s="1"/>
      <c r="B1163" s="1" t="str">
        <f>IFERROR(IF(LEFT(Sensitivität_bzw_Monte_Carlo_bei_Strom[[#This Row],[Source.Name]],SEARCH("aus_der",Sensitivität_bzw_Monte_Carlo_bei_Strom[[#This Row],[Source.Name]],1))="Auszahlung_a","Auszahlung",""),"")</f>
        <v/>
      </c>
      <c r="D1163" s="1"/>
    </row>
    <row r="1164" spans="1:4" x14ac:dyDescent="0.3">
      <c r="A1164" s="1"/>
      <c r="B1164" s="1" t="str">
        <f>IFERROR(IF(LEFT(Sensitivität_bzw_Monte_Carlo_bei_Strom[[#This Row],[Source.Name]],SEARCH("aus_der",Sensitivität_bzw_Monte_Carlo_bei_Strom[[#This Row],[Source.Name]],1))="Auszahlung_a","Auszahlung",""),"")</f>
        <v/>
      </c>
      <c r="D1164" s="1"/>
    </row>
    <row r="1165" spans="1:4" x14ac:dyDescent="0.3">
      <c r="A1165" s="1"/>
      <c r="B1165" s="1" t="str">
        <f>IFERROR(IF(LEFT(Sensitivität_bzw_Monte_Carlo_bei_Strom[[#This Row],[Source.Name]],SEARCH("aus_der",Sensitivität_bzw_Monte_Carlo_bei_Strom[[#This Row],[Source.Name]],1))="Auszahlung_a","Auszahlung",""),"")</f>
        <v/>
      </c>
      <c r="D1165" s="1"/>
    </row>
    <row r="1166" spans="1:4" x14ac:dyDescent="0.3">
      <c r="A1166" s="1"/>
      <c r="B1166" s="1" t="str">
        <f>IFERROR(IF(LEFT(Sensitivität_bzw_Monte_Carlo_bei_Strom[[#This Row],[Source.Name]],SEARCH("aus_der",Sensitivität_bzw_Monte_Carlo_bei_Strom[[#This Row],[Source.Name]],1))="Auszahlung_a","Auszahlung",""),"")</f>
        <v/>
      </c>
      <c r="D1166" s="1"/>
    </row>
    <row r="1167" spans="1:4" x14ac:dyDescent="0.3">
      <c r="A1167" s="1"/>
      <c r="B1167" s="1" t="str">
        <f>IFERROR(IF(LEFT(Sensitivität_bzw_Monte_Carlo_bei_Strom[[#This Row],[Source.Name]],SEARCH("aus_der",Sensitivität_bzw_Monte_Carlo_bei_Strom[[#This Row],[Source.Name]],1))="Auszahlung_a","Auszahlung",""),"")</f>
        <v/>
      </c>
      <c r="D1167" s="1"/>
    </row>
    <row r="1168" spans="1:4" x14ac:dyDescent="0.3">
      <c r="A1168" s="1"/>
      <c r="B1168" s="1" t="str">
        <f>IFERROR(IF(LEFT(Sensitivität_bzw_Monte_Carlo_bei_Strom[[#This Row],[Source.Name]],SEARCH("aus_der",Sensitivität_bzw_Monte_Carlo_bei_Strom[[#This Row],[Source.Name]],1))="Auszahlung_a","Auszahlung",""),"")</f>
        <v/>
      </c>
      <c r="D1168" s="1"/>
    </row>
    <row r="1169" spans="1:4" x14ac:dyDescent="0.3">
      <c r="A1169" s="1"/>
      <c r="B1169" s="1" t="str">
        <f>IFERROR(IF(LEFT(Sensitivität_bzw_Monte_Carlo_bei_Strom[[#This Row],[Source.Name]],SEARCH("aus_der",Sensitivität_bzw_Monte_Carlo_bei_Strom[[#This Row],[Source.Name]],1))="Auszahlung_a","Auszahlung",""),"")</f>
        <v/>
      </c>
      <c r="D1169" s="1"/>
    </row>
    <row r="1170" spans="1:4" x14ac:dyDescent="0.3">
      <c r="A1170" s="1"/>
      <c r="B1170" s="1" t="str">
        <f>IFERROR(IF(LEFT(Sensitivität_bzw_Monte_Carlo_bei_Strom[[#This Row],[Source.Name]],SEARCH("aus_der",Sensitivität_bzw_Monte_Carlo_bei_Strom[[#This Row],[Source.Name]],1))="Auszahlung_a","Auszahlung",""),"")</f>
        <v/>
      </c>
      <c r="D1170" s="1"/>
    </row>
    <row r="1171" spans="1:4" x14ac:dyDescent="0.3">
      <c r="A1171" s="1"/>
      <c r="B1171" s="1" t="str">
        <f>IFERROR(IF(LEFT(Sensitivität_bzw_Monte_Carlo_bei_Strom[[#This Row],[Source.Name]],SEARCH("aus_der",Sensitivität_bzw_Monte_Carlo_bei_Strom[[#This Row],[Source.Name]],1))="Auszahlung_a","Auszahlung",""),"")</f>
        <v/>
      </c>
      <c r="D1171" s="1"/>
    </row>
    <row r="1172" spans="1:4" x14ac:dyDescent="0.3">
      <c r="A1172" s="1"/>
      <c r="B1172" s="1" t="str">
        <f>IFERROR(IF(LEFT(Sensitivität_bzw_Monte_Carlo_bei_Strom[[#This Row],[Source.Name]],SEARCH("aus_der",Sensitivität_bzw_Monte_Carlo_bei_Strom[[#This Row],[Source.Name]],1))="Auszahlung_a","Auszahlung",""),"")</f>
        <v/>
      </c>
      <c r="D1172" s="1"/>
    </row>
    <row r="1173" spans="1:4" x14ac:dyDescent="0.3">
      <c r="A1173" s="1"/>
      <c r="B1173" s="1" t="str">
        <f>IFERROR(IF(LEFT(Sensitivität_bzw_Monte_Carlo_bei_Strom[[#This Row],[Source.Name]],SEARCH("aus_der",Sensitivität_bzw_Monte_Carlo_bei_Strom[[#This Row],[Source.Name]],1))="Auszahlung_a","Auszahlung",""),"")</f>
        <v/>
      </c>
      <c r="D1173" s="1"/>
    </row>
    <row r="1174" spans="1:4" x14ac:dyDescent="0.3">
      <c r="A1174" s="1"/>
      <c r="B1174" s="1" t="str">
        <f>IFERROR(IF(LEFT(Sensitivität_bzw_Monte_Carlo_bei_Strom[[#This Row],[Source.Name]],SEARCH("aus_der",Sensitivität_bzw_Monte_Carlo_bei_Strom[[#This Row],[Source.Name]],1))="Auszahlung_a","Auszahlung",""),"")</f>
        <v/>
      </c>
      <c r="D1174" s="1"/>
    </row>
    <row r="1175" spans="1:4" x14ac:dyDescent="0.3">
      <c r="A1175" s="1"/>
      <c r="B1175" s="1" t="str">
        <f>IFERROR(IF(LEFT(Sensitivität_bzw_Monte_Carlo_bei_Strom[[#This Row],[Source.Name]],SEARCH("aus_der",Sensitivität_bzw_Monte_Carlo_bei_Strom[[#This Row],[Source.Name]],1))="Auszahlung_a","Auszahlung",""),"")</f>
        <v/>
      </c>
      <c r="D1175" s="1"/>
    </row>
    <row r="1176" spans="1:4" x14ac:dyDescent="0.3">
      <c r="A1176" s="1"/>
      <c r="B1176" s="1" t="str">
        <f>IFERROR(IF(LEFT(Sensitivität_bzw_Monte_Carlo_bei_Strom[[#This Row],[Source.Name]],SEARCH("aus_der",Sensitivität_bzw_Monte_Carlo_bei_Strom[[#This Row],[Source.Name]],1))="Auszahlung_a","Auszahlung",""),"")</f>
        <v/>
      </c>
      <c r="D1176" s="1"/>
    </row>
    <row r="1177" spans="1:4" x14ac:dyDescent="0.3">
      <c r="A1177" s="1"/>
      <c r="B1177" s="1" t="str">
        <f>IFERROR(IF(LEFT(Sensitivität_bzw_Monte_Carlo_bei_Strom[[#This Row],[Source.Name]],SEARCH("aus_der",Sensitivität_bzw_Monte_Carlo_bei_Strom[[#This Row],[Source.Name]],1))="Auszahlung_a","Auszahlung",""),"")</f>
        <v/>
      </c>
      <c r="D1177" s="1"/>
    </row>
    <row r="1178" spans="1:4" x14ac:dyDescent="0.3">
      <c r="A1178" s="1"/>
      <c r="B1178" s="1" t="str">
        <f>IFERROR(IF(LEFT(Sensitivität_bzw_Monte_Carlo_bei_Strom[[#This Row],[Source.Name]],SEARCH("aus_der",Sensitivität_bzw_Monte_Carlo_bei_Strom[[#This Row],[Source.Name]],1))="Auszahlung_a","Auszahlung",""),"")</f>
        <v/>
      </c>
      <c r="D1178" s="1"/>
    </row>
    <row r="1179" spans="1:4" x14ac:dyDescent="0.3">
      <c r="A1179" s="1"/>
      <c r="B1179" s="1" t="str">
        <f>IFERROR(IF(LEFT(Sensitivität_bzw_Monte_Carlo_bei_Strom[[#This Row],[Source.Name]],SEARCH("aus_der",Sensitivität_bzw_Monte_Carlo_bei_Strom[[#This Row],[Source.Name]],1))="Auszahlung_a","Auszahlung",""),"")</f>
        <v/>
      </c>
      <c r="D1179" s="1"/>
    </row>
    <row r="1180" spans="1:4" x14ac:dyDescent="0.3">
      <c r="A1180" s="1"/>
      <c r="B1180" s="1" t="str">
        <f>IFERROR(IF(LEFT(Sensitivität_bzw_Monte_Carlo_bei_Strom[[#This Row],[Source.Name]],SEARCH("aus_der",Sensitivität_bzw_Monte_Carlo_bei_Strom[[#This Row],[Source.Name]],1))="Auszahlung_a","Auszahlung",""),"")</f>
        <v/>
      </c>
      <c r="D1180" s="1"/>
    </row>
    <row r="1181" spans="1:4" x14ac:dyDescent="0.3">
      <c r="A1181" s="1"/>
      <c r="B1181" s="1" t="str">
        <f>IFERROR(IF(LEFT(Sensitivität_bzw_Monte_Carlo_bei_Strom[[#This Row],[Source.Name]],SEARCH("aus_der",Sensitivität_bzw_Monte_Carlo_bei_Strom[[#This Row],[Source.Name]],1))="Auszahlung_a","Auszahlung",""),"")</f>
        <v/>
      </c>
      <c r="D1181" s="1"/>
    </row>
    <row r="1182" spans="1:4" x14ac:dyDescent="0.3">
      <c r="A1182" s="1"/>
      <c r="B1182" s="1" t="str">
        <f>IFERROR(IF(LEFT(Sensitivität_bzw_Monte_Carlo_bei_Strom[[#This Row],[Source.Name]],SEARCH("aus_der",Sensitivität_bzw_Monte_Carlo_bei_Strom[[#This Row],[Source.Name]],1))="Auszahlung_a","Auszahlung",""),"")</f>
        <v/>
      </c>
      <c r="D1182" s="1"/>
    </row>
    <row r="1183" spans="1:4" x14ac:dyDescent="0.3">
      <c r="A1183" s="1"/>
      <c r="B1183" s="1" t="str">
        <f>IFERROR(IF(LEFT(Sensitivität_bzw_Monte_Carlo_bei_Strom[[#This Row],[Source.Name]],SEARCH("aus_der",Sensitivität_bzw_Monte_Carlo_bei_Strom[[#This Row],[Source.Name]],1))="Auszahlung_a","Auszahlung",""),"")</f>
        <v/>
      </c>
      <c r="D1183" s="1"/>
    </row>
    <row r="1184" spans="1:4" x14ac:dyDescent="0.3">
      <c r="A1184" s="1"/>
      <c r="B1184" s="1" t="str">
        <f>IFERROR(IF(LEFT(Sensitivität_bzw_Monte_Carlo_bei_Strom[[#This Row],[Source.Name]],SEARCH("aus_der",Sensitivität_bzw_Monte_Carlo_bei_Strom[[#This Row],[Source.Name]],1))="Auszahlung_a","Auszahlung",""),"")</f>
        <v/>
      </c>
      <c r="D1184" s="1"/>
    </row>
    <row r="1185" spans="1:4" x14ac:dyDescent="0.3">
      <c r="A1185" s="1"/>
      <c r="B1185" s="1" t="str">
        <f>IFERROR(IF(LEFT(Sensitivität_bzw_Monte_Carlo_bei_Strom[[#This Row],[Source.Name]],SEARCH("aus_der",Sensitivität_bzw_Monte_Carlo_bei_Strom[[#This Row],[Source.Name]],1))="Auszahlung_a","Auszahlung",""),"")</f>
        <v/>
      </c>
      <c r="D1185" s="1"/>
    </row>
    <row r="1186" spans="1:4" x14ac:dyDescent="0.3">
      <c r="A1186" s="1"/>
      <c r="B1186" s="1" t="str">
        <f>IFERROR(IF(LEFT(Sensitivität_bzw_Monte_Carlo_bei_Strom[[#This Row],[Source.Name]],SEARCH("aus_der",Sensitivität_bzw_Monte_Carlo_bei_Strom[[#This Row],[Source.Name]],1))="Auszahlung_a","Auszahlung",""),"")</f>
        <v/>
      </c>
      <c r="D1186" s="1"/>
    </row>
    <row r="1187" spans="1:4" x14ac:dyDescent="0.3">
      <c r="A1187" s="1"/>
      <c r="B1187" s="1" t="str">
        <f>IFERROR(IF(LEFT(Sensitivität_bzw_Monte_Carlo_bei_Strom[[#This Row],[Source.Name]],SEARCH("aus_der",Sensitivität_bzw_Monte_Carlo_bei_Strom[[#This Row],[Source.Name]],1))="Auszahlung_a","Auszahlung",""),"")</f>
        <v/>
      </c>
      <c r="D1187" s="1"/>
    </row>
    <row r="1188" spans="1:4" x14ac:dyDescent="0.3">
      <c r="A1188" s="1"/>
      <c r="B1188" s="1" t="str">
        <f>IFERROR(IF(LEFT(Sensitivität_bzw_Monte_Carlo_bei_Strom[[#This Row],[Source.Name]],SEARCH("aus_der",Sensitivität_bzw_Monte_Carlo_bei_Strom[[#This Row],[Source.Name]],1))="Auszahlung_a","Auszahlung",""),"")</f>
        <v/>
      </c>
      <c r="D1188" s="1"/>
    </row>
    <row r="1189" spans="1:4" x14ac:dyDescent="0.3">
      <c r="A1189" s="1"/>
      <c r="B1189" s="1" t="str">
        <f>IFERROR(IF(LEFT(Sensitivität_bzw_Monte_Carlo_bei_Strom[[#This Row],[Source.Name]],SEARCH("aus_der",Sensitivität_bzw_Monte_Carlo_bei_Strom[[#This Row],[Source.Name]],1))="Auszahlung_a","Auszahlung",""),"")</f>
        <v/>
      </c>
      <c r="D1189" s="1"/>
    </row>
    <row r="1190" spans="1:4" x14ac:dyDescent="0.3">
      <c r="A1190" s="1"/>
      <c r="B1190" s="1" t="str">
        <f>IFERROR(IF(LEFT(Sensitivität_bzw_Monte_Carlo_bei_Strom[[#This Row],[Source.Name]],SEARCH("aus_der",Sensitivität_bzw_Monte_Carlo_bei_Strom[[#This Row],[Source.Name]],1))="Auszahlung_a","Auszahlung",""),"")</f>
        <v/>
      </c>
      <c r="D1190" s="1"/>
    </row>
    <row r="1191" spans="1:4" x14ac:dyDescent="0.3">
      <c r="A1191" s="1"/>
      <c r="B1191" s="1" t="str">
        <f>IFERROR(IF(LEFT(Sensitivität_bzw_Monte_Carlo_bei_Strom[[#This Row],[Source.Name]],SEARCH("aus_der",Sensitivität_bzw_Monte_Carlo_bei_Strom[[#This Row],[Source.Name]],1))="Auszahlung_a","Auszahlung",""),"")</f>
        <v/>
      </c>
      <c r="D1191" s="1"/>
    </row>
    <row r="1192" spans="1:4" x14ac:dyDescent="0.3">
      <c r="A1192" s="1"/>
      <c r="B1192" s="1" t="str">
        <f>IFERROR(IF(LEFT(Sensitivität_bzw_Monte_Carlo_bei_Strom[[#This Row],[Source.Name]],SEARCH("aus_der",Sensitivität_bzw_Monte_Carlo_bei_Strom[[#This Row],[Source.Name]],1))="Auszahlung_a","Auszahlung",""),"")</f>
        <v/>
      </c>
      <c r="D1192" s="1"/>
    </row>
    <row r="1193" spans="1:4" x14ac:dyDescent="0.3">
      <c r="A1193" s="1"/>
      <c r="B1193" s="1" t="str">
        <f>IFERROR(IF(LEFT(Sensitivität_bzw_Monte_Carlo_bei_Strom[[#This Row],[Source.Name]],SEARCH("aus_der",Sensitivität_bzw_Monte_Carlo_bei_Strom[[#This Row],[Source.Name]],1))="Auszahlung_a","Auszahlung",""),"")</f>
        <v/>
      </c>
      <c r="D1193" s="1"/>
    </row>
    <row r="1194" spans="1:4" x14ac:dyDescent="0.3">
      <c r="A1194" s="1"/>
      <c r="B1194" s="1" t="str">
        <f>IFERROR(IF(LEFT(Sensitivität_bzw_Monte_Carlo_bei_Strom[[#This Row],[Source.Name]],SEARCH("aus_der",Sensitivität_bzw_Monte_Carlo_bei_Strom[[#This Row],[Source.Name]],1))="Auszahlung_a","Auszahlung",""),"")</f>
        <v/>
      </c>
      <c r="D1194" s="1"/>
    </row>
    <row r="1195" spans="1:4" x14ac:dyDescent="0.3">
      <c r="A1195" s="1"/>
      <c r="B1195" s="1" t="str">
        <f>IFERROR(IF(LEFT(Sensitivität_bzw_Monte_Carlo_bei_Strom[[#This Row],[Source.Name]],SEARCH("aus_der",Sensitivität_bzw_Monte_Carlo_bei_Strom[[#This Row],[Source.Name]],1))="Auszahlung_a","Auszahlung",""),"")</f>
        <v/>
      </c>
      <c r="D1195" s="1"/>
    </row>
    <row r="1196" spans="1:4" x14ac:dyDescent="0.3">
      <c r="A1196" s="1"/>
      <c r="B1196" s="1" t="str">
        <f>IFERROR(IF(LEFT(Sensitivität_bzw_Monte_Carlo_bei_Strom[[#This Row],[Source.Name]],SEARCH("aus_der",Sensitivität_bzw_Monte_Carlo_bei_Strom[[#This Row],[Source.Name]],1))="Auszahlung_a","Auszahlung",""),"")</f>
        <v/>
      </c>
      <c r="D1196" s="1"/>
    </row>
    <row r="1197" spans="1:4" x14ac:dyDescent="0.3">
      <c r="A1197" s="1"/>
      <c r="B1197" s="1" t="str">
        <f>IFERROR(IF(LEFT(Sensitivität_bzw_Monte_Carlo_bei_Strom[[#This Row],[Source.Name]],SEARCH("aus_der",Sensitivität_bzw_Monte_Carlo_bei_Strom[[#This Row],[Source.Name]],1))="Auszahlung_a","Auszahlung",""),"")</f>
        <v/>
      </c>
      <c r="D1197" s="1"/>
    </row>
    <row r="1198" spans="1:4" x14ac:dyDescent="0.3">
      <c r="A1198" s="1"/>
      <c r="B1198" s="1" t="str">
        <f>IFERROR(IF(LEFT(Sensitivität_bzw_Monte_Carlo_bei_Strom[[#This Row],[Source.Name]],SEARCH("aus_der",Sensitivität_bzw_Monte_Carlo_bei_Strom[[#This Row],[Source.Name]],1))="Auszahlung_a","Auszahlung",""),"")</f>
        <v/>
      </c>
      <c r="D1198" s="1"/>
    </row>
    <row r="1199" spans="1:4" x14ac:dyDescent="0.3">
      <c r="A1199" s="1"/>
      <c r="B1199" s="1" t="str">
        <f>IFERROR(IF(LEFT(Sensitivität_bzw_Monte_Carlo_bei_Strom[[#This Row],[Source.Name]],SEARCH("aus_der",Sensitivität_bzw_Monte_Carlo_bei_Strom[[#This Row],[Source.Name]],1))="Auszahlung_a","Auszahlung",""),"")</f>
        <v/>
      </c>
      <c r="D1199" s="1"/>
    </row>
    <row r="1200" spans="1:4" x14ac:dyDescent="0.3">
      <c r="A1200" s="1"/>
      <c r="B1200" s="1" t="str">
        <f>IFERROR(IF(LEFT(Sensitivität_bzw_Monte_Carlo_bei_Strom[[#This Row],[Source.Name]],SEARCH("aus_der",Sensitivität_bzw_Monte_Carlo_bei_Strom[[#This Row],[Source.Name]],1))="Auszahlung_a","Auszahlung",""),"")</f>
        <v/>
      </c>
      <c r="D1200" s="1"/>
    </row>
    <row r="1201" spans="1:4" x14ac:dyDescent="0.3">
      <c r="A1201" s="1"/>
      <c r="B1201" s="1" t="str">
        <f>IFERROR(IF(LEFT(Sensitivität_bzw_Monte_Carlo_bei_Strom[[#This Row],[Source.Name]],SEARCH("aus_der",Sensitivität_bzw_Monte_Carlo_bei_Strom[[#This Row],[Source.Name]],1))="Auszahlung_a","Auszahlung",""),"")</f>
        <v/>
      </c>
      <c r="D1201" s="1"/>
    </row>
    <row r="1202" spans="1:4" x14ac:dyDescent="0.3">
      <c r="A1202" s="1"/>
      <c r="B1202" s="1" t="str">
        <f>IFERROR(IF(LEFT(Sensitivität_bzw_Monte_Carlo_bei_Strom[[#This Row],[Source.Name]],SEARCH("aus_der",Sensitivität_bzw_Monte_Carlo_bei_Strom[[#This Row],[Source.Name]],1))="Auszahlung_a","Auszahlung",""),"")</f>
        <v/>
      </c>
      <c r="D1202" s="1"/>
    </row>
    <row r="1203" spans="1:4" x14ac:dyDescent="0.3">
      <c r="A1203" s="1"/>
      <c r="B1203" s="1" t="str">
        <f>IFERROR(IF(LEFT(Sensitivität_bzw_Monte_Carlo_bei_Strom[[#This Row],[Source.Name]],SEARCH("aus_der",Sensitivität_bzw_Monte_Carlo_bei_Strom[[#This Row],[Source.Name]],1))="Auszahlung_a","Auszahlung",""),"")</f>
        <v/>
      </c>
      <c r="D1203" s="1"/>
    </row>
    <row r="1204" spans="1:4" x14ac:dyDescent="0.3">
      <c r="A1204" s="1"/>
      <c r="B1204" s="1" t="str">
        <f>IFERROR(IF(LEFT(Sensitivität_bzw_Monte_Carlo_bei_Strom[[#This Row],[Source.Name]],SEARCH("aus_der",Sensitivität_bzw_Monte_Carlo_bei_Strom[[#This Row],[Source.Name]],1))="Auszahlung_a","Auszahlung",""),"")</f>
        <v/>
      </c>
      <c r="D1204" s="1"/>
    </row>
    <row r="1205" spans="1:4" x14ac:dyDescent="0.3">
      <c r="A1205" s="1"/>
      <c r="B1205" s="1" t="str">
        <f>IFERROR(IF(LEFT(Sensitivität_bzw_Monte_Carlo_bei_Strom[[#This Row],[Source.Name]],SEARCH("aus_der",Sensitivität_bzw_Monte_Carlo_bei_Strom[[#This Row],[Source.Name]],1))="Auszahlung_a","Auszahlung",""),"")</f>
        <v/>
      </c>
      <c r="D1205" s="1"/>
    </row>
    <row r="1206" spans="1:4" x14ac:dyDescent="0.3">
      <c r="A1206" s="1"/>
      <c r="B1206" s="1" t="str">
        <f>IFERROR(IF(LEFT(Sensitivität_bzw_Monte_Carlo_bei_Strom[[#This Row],[Source.Name]],SEARCH("aus_der",Sensitivität_bzw_Monte_Carlo_bei_Strom[[#This Row],[Source.Name]],1))="Auszahlung_a","Auszahlung",""),"")</f>
        <v/>
      </c>
      <c r="D1206" s="1"/>
    </row>
    <row r="1207" spans="1:4" x14ac:dyDescent="0.3">
      <c r="A1207" s="1"/>
      <c r="B1207" s="1" t="str">
        <f>IFERROR(IF(LEFT(Sensitivität_bzw_Monte_Carlo_bei_Strom[[#This Row],[Source.Name]],SEARCH("aus_der",Sensitivität_bzw_Monte_Carlo_bei_Strom[[#This Row],[Source.Name]],1))="Auszahlung_a","Auszahlung",""),"")</f>
        <v/>
      </c>
      <c r="D1207" s="1"/>
    </row>
    <row r="1208" spans="1:4" x14ac:dyDescent="0.3">
      <c r="A1208" s="1"/>
      <c r="B1208" s="1" t="str">
        <f>IFERROR(IF(LEFT(Sensitivität_bzw_Monte_Carlo_bei_Strom[[#This Row],[Source.Name]],SEARCH("aus_der",Sensitivität_bzw_Monte_Carlo_bei_Strom[[#This Row],[Source.Name]],1))="Auszahlung_a","Auszahlung",""),"")</f>
        <v/>
      </c>
      <c r="D1208" s="1"/>
    </row>
    <row r="1209" spans="1:4" x14ac:dyDescent="0.3">
      <c r="A1209" s="1"/>
      <c r="B1209" s="1" t="str">
        <f>IFERROR(IF(LEFT(Sensitivität_bzw_Monte_Carlo_bei_Strom[[#This Row],[Source.Name]],SEARCH("aus_der",Sensitivität_bzw_Monte_Carlo_bei_Strom[[#This Row],[Source.Name]],1))="Auszahlung_a","Auszahlung",""),"")</f>
        <v/>
      </c>
      <c r="D1209" s="1"/>
    </row>
    <row r="1210" spans="1:4" x14ac:dyDescent="0.3">
      <c r="A1210" s="1"/>
      <c r="B1210" s="1" t="str">
        <f>IFERROR(IF(LEFT(Sensitivität_bzw_Monte_Carlo_bei_Strom[[#This Row],[Source.Name]],SEARCH("aus_der",Sensitivität_bzw_Monte_Carlo_bei_Strom[[#This Row],[Source.Name]],1))="Auszahlung_a","Auszahlung",""),"")</f>
        <v/>
      </c>
      <c r="D1210" s="1"/>
    </row>
    <row r="1211" spans="1:4" x14ac:dyDescent="0.3">
      <c r="A1211" s="1"/>
      <c r="B1211" s="1" t="str">
        <f>IFERROR(IF(LEFT(Sensitivität_bzw_Monte_Carlo_bei_Strom[[#This Row],[Source.Name]],SEARCH("aus_der",Sensitivität_bzw_Monte_Carlo_bei_Strom[[#This Row],[Source.Name]],1))="Auszahlung_a","Auszahlung",""),"")</f>
        <v/>
      </c>
      <c r="D1211" s="1"/>
    </row>
    <row r="1212" spans="1:4" x14ac:dyDescent="0.3">
      <c r="A1212" s="1"/>
      <c r="B1212" s="1" t="str">
        <f>IFERROR(IF(LEFT(Sensitivität_bzw_Monte_Carlo_bei_Strom[[#This Row],[Source.Name]],SEARCH("aus_der",Sensitivität_bzw_Monte_Carlo_bei_Strom[[#This Row],[Source.Name]],1))="Auszahlung_a","Auszahlung",""),"")</f>
        <v/>
      </c>
      <c r="D1212" s="1"/>
    </row>
    <row r="1213" spans="1:4" x14ac:dyDescent="0.3">
      <c r="A1213" s="1"/>
      <c r="B1213" s="1" t="str">
        <f>IFERROR(IF(LEFT(Sensitivität_bzw_Monte_Carlo_bei_Strom[[#This Row],[Source.Name]],SEARCH("aus_der",Sensitivität_bzw_Monte_Carlo_bei_Strom[[#This Row],[Source.Name]],1))="Auszahlung_a","Auszahlung",""),"")</f>
        <v/>
      </c>
      <c r="D1213" s="1"/>
    </row>
    <row r="1214" spans="1:4" x14ac:dyDescent="0.3">
      <c r="A1214" s="1"/>
      <c r="B1214" s="1" t="str">
        <f>IFERROR(IF(LEFT(Sensitivität_bzw_Monte_Carlo_bei_Strom[[#This Row],[Source.Name]],SEARCH("aus_der",Sensitivität_bzw_Monte_Carlo_bei_Strom[[#This Row],[Source.Name]],1))="Auszahlung_a","Auszahlung",""),"")</f>
        <v/>
      </c>
      <c r="D1214" s="1"/>
    </row>
    <row r="1215" spans="1:4" x14ac:dyDescent="0.3">
      <c r="A1215" s="1"/>
      <c r="B1215" s="1" t="str">
        <f>IFERROR(IF(LEFT(Sensitivität_bzw_Monte_Carlo_bei_Strom[[#This Row],[Source.Name]],SEARCH("aus_der",Sensitivität_bzw_Monte_Carlo_bei_Strom[[#This Row],[Source.Name]],1))="Auszahlung_a","Auszahlung",""),"")</f>
        <v/>
      </c>
      <c r="D1215" s="1"/>
    </row>
    <row r="1216" spans="1:4" x14ac:dyDescent="0.3">
      <c r="A1216" s="1"/>
      <c r="B1216" s="1" t="str">
        <f>IFERROR(IF(LEFT(Sensitivität_bzw_Monte_Carlo_bei_Strom[[#This Row],[Source.Name]],SEARCH("aus_der",Sensitivität_bzw_Monte_Carlo_bei_Strom[[#This Row],[Source.Name]],1))="Auszahlung_a","Auszahlung",""),"")</f>
        <v/>
      </c>
      <c r="D1216" s="1"/>
    </row>
    <row r="1217" spans="1:4" x14ac:dyDescent="0.3">
      <c r="A1217" s="1"/>
      <c r="B1217" s="1" t="str">
        <f>IFERROR(IF(LEFT(Sensitivität_bzw_Monte_Carlo_bei_Strom[[#This Row],[Source.Name]],SEARCH("aus_der",Sensitivität_bzw_Monte_Carlo_bei_Strom[[#This Row],[Source.Name]],1))="Auszahlung_a","Auszahlung",""),"")</f>
        <v/>
      </c>
      <c r="D1217" s="1"/>
    </row>
    <row r="1218" spans="1:4" x14ac:dyDescent="0.3">
      <c r="A1218" s="1"/>
      <c r="B1218" s="1" t="str">
        <f>IFERROR(IF(LEFT(Sensitivität_bzw_Monte_Carlo_bei_Strom[[#This Row],[Source.Name]],SEARCH("aus_der",Sensitivität_bzw_Monte_Carlo_bei_Strom[[#This Row],[Source.Name]],1))="Auszahlung_a","Auszahlung",""),"")</f>
        <v/>
      </c>
      <c r="D1218" s="1"/>
    </row>
    <row r="1219" spans="1:4" x14ac:dyDescent="0.3">
      <c r="A1219" s="1"/>
      <c r="B1219" s="1" t="str">
        <f>IFERROR(IF(LEFT(Sensitivität_bzw_Monte_Carlo_bei_Strom[[#This Row],[Source.Name]],SEARCH("aus_der",Sensitivität_bzw_Monte_Carlo_bei_Strom[[#This Row],[Source.Name]],1))="Auszahlung_a","Auszahlung",""),"")</f>
        <v/>
      </c>
      <c r="D1219" s="1"/>
    </row>
    <row r="1220" spans="1:4" x14ac:dyDescent="0.3">
      <c r="A1220" s="1"/>
      <c r="B1220" s="1" t="str">
        <f>IFERROR(IF(LEFT(Sensitivität_bzw_Monte_Carlo_bei_Strom[[#This Row],[Source.Name]],SEARCH("aus_der",Sensitivität_bzw_Monte_Carlo_bei_Strom[[#This Row],[Source.Name]],1))="Auszahlung_a","Auszahlung",""),"")</f>
        <v/>
      </c>
      <c r="D1220" s="1"/>
    </row>
    <row r="1221" spans="1:4" x14ac:dyDescent="0.3">
      <c r="A1221" s="1"/>
      <c r="B1221" s="1" t="str">
        <f>IFERROR(IF(LEFT(Sensitivität_bzw_Monte_Carlo_bei_Strom[[#This Row],[Source.Name]],SEARCH("aus_der",Sensitivität_bzw_Monte_Carlo_bei_Strom[[#This Row],[Source.Name]],1))="Auszahlung_a","Auszahlung",""),"")</f>
        <v/>
      </c>
      <c r="D1221" s="1"/>
    </row>
    <row r="1222" spans="1:4" x14ac:dyDescent="0.3">
      <c r="A1222" s="1"/>
      <c r="B1222" s="1" t="str">
        <f>IFERROR(IF(LEFT(Sensitivität_bzw_Monte_Carlo_bei_Strom[[#This Row],[Source.Name]],SEARCH("aus_der",Sensitivität_bzw_Monte_Carlo_bei_Strom[[#This Row],[Source.Name]],1))="Auszahlung_a","Auszahlung",""),"")</f>
        <v/>
      </c>
      <c r="D1222" s="1"/>
    </row>
    <row r="1223" spans="1:4" x14ac:dyDescent="0.3">
      <c r="A1223" s="1"/>
      <c r="B1223" s="1" t="str">
        <f>IFERROR(IF(LEFT(Sensitivität_bzw_Monte_Carlo_bei_Strom[[#This Row],[Source.Name]],SEARCH("aus_der",Sensitivität_bzw_Monte_Carlo_bei_Strom[[#This Row],[Source.Name]],1))="Auszahlung_a","Auszahlung",""),"")</f>
        <v/>
      </c>
      <c r="D1223" s="1"/>
    </row>
    <row r="1224" spans="1:4" x14ac:dyDescent="0.3">
      <c r="A1224" s="1"/>
      <c r="B1224" s="1" t="str">
        <f>IFERROR(IF(LEFT(Sensitivität_bzw_Monte_Carlo_bei_Strom[[#This Row],[Source.Name]],SEARCH("aus_der",Sensitivität_bzw_Monte_Carlo_bei_Strom[[#This Row],[Source.Name]],1))="Auszahlung_a","Auszahlung",""),"")</f>
        <v/>
      </c>
      <c r="D1224" s="1"/>
    </row>
    <row r="1225" spans="1:4" x14ac:dyDescent="0.3">
      <c r="A1225" s="1"/>
      <c r="B1225" s="1" t="str">
        <f>IFERROR(IF(LEFT(Sensitivität_bzw_Monte_Carlo_bei_Strom[[#This Row],[Source.Name]],SEARCH("aus_der",Sensitivität_bzw_Monte_Carlo_bei_Strom[[#This Row],[Source.Name]],1))="Auszahlung_a","Auszahlung",""),"")</f>
        <v/>
      </c>
      <c r="D1225" s="1"/>
    </row>
    <row r="1226" spans="1:4" x14ac:dyDescent="0.3">
      <c r="A1226" s="1"/>
      <c r="B1226" s="1" t="str">
        <f>IFERROR(IF(LEFT(Sensitivität_bzw_Monte_Carlo_bei_Strom[[#This Row],[Source.Name]],SEARCH("aus_der",Sensitivität_bzw_Monte_Carlo_bei_Strom[[#This Row],[Source.Name]],1))="Auszahlung_a","Auszahlung",""),"")</f>
        <v/>
      </c>
      <c r="D1226" s="1"/>
    </row>
    <row r="1227" spans="1:4" x14ac:dyDescent="0.3">
      <c r="A1227" s="1"/>
      <c r="B1227" s="1" t="str">
        <f>IFERROR(IF(LEFT(Sensitivität_bzw_Monte_Carlo_bei_Strom[[#This Row],[Source.Name]],SEARCH("aus_der",Sensitivität_bzw_Monte_Carlo_bei_Strom[[#This Row],[Source.Name]],1))="Auszahlung_a","Auszahlung",""),"")</f>
        <v/>
      </c>
      <c r="D1227" s="1"/>
    </row>
    <row r="1228" spans="1:4" x14ac:dyDescent="0.3">
      <c r="A1228" s="1"/>
      <c r="B1228" s="1" t="str">
        <f>IFERROR(IF(LEFT(Sensitivität_bzw_Monte_Carlo_bei_Strom[[#This Row],[Source.Name]],SEARCH("aus_der",Sensitivität_bzw_Monte_Carlo_bei_Strom[[#This Row],[Source.Name]],1))="Auszahlung_a","Auszahlung",""),"")</f>
        <v/>
      </c>
      <c r="D1228" s="1"/>
    </row>
    <row r="1229" spans="1:4" x14ac:dyDescent="0.3">
      <c r="A1229" s="1"/>
      <c r="B1229" s="1" t="str">
        <f>IFERROR(IF(LEFT(Sensitivität_bzw_Monte_Carlo_bei_Strom[[#This Row],[Source.Name]],SEARCH("aus_der",Sensitivität_bzw_Monte_Carlo_bei_Strom[[#This Row],[Source.Name]],1))="Auszahlung_a","Auszahlung",""),"")</f>
        <v/>
      </c>
      <c r="D1229" s="1"/>
    </row>
    <row r="1230" spans="1:4" x14ac:dyDescent="0.3">
      <c r="A1230" s="1"/>
      <c r="B1230" s="1" t="str">
        <f>IFERROR(IF(LEFT(Sensitivität_bzw_Monte_Carlo_bei_Strom[[#This Row],[Source.Name]],SEARCH("aus_der",Sensitivität_bzw_Monte_Carlo_bei_Strom[[#This Row],[Source.Name]],1))="Auszahlung_a","Auszahlung",""),"")</f>
        <v/>
      </c>
      <c r="D1230" s="1"/>
    </row>
    <row r="1231" spans="1:4" x14ac:dyDescent="0.3">
      <c r="A1231" s="1"/>
      <c r="B1231" s="1" t="str">
        <f>IFERROR(IF(LEFT(Sensitivität_bzw_Monte_Carlo_bei_Strom[[#This Row],[Source.Name]],SEARCH("aus_der",Sensitivität_bzw_Monte_Carlo_bei_Strom[[#This Row],[Source.Name]],1))="Auszahlung_a","Auszahlung",""),"")</f>
        <v/>
      </c>
      <c r="D1231" s="1"/>
    </row>
    <row r="1232" spans="1:4" x14ac:dyDescent="0.3">
      <c r="A1232" s="1"/>
      <c r="B1232" s="1" t="str">
        <f>IFERROR(IF(LEFT(Sensitivität_bzw_Monte_Carlo_bei_Strom[[#This Row],[Source.Name]],SEARCH("aus_der",Sensitivität_bzw_Monte_Carlo_bei_Strom[[#This Row],[Source.Name]],1))="Auszahlung_a","Auszahlung",""),"")</f>
        <v/>
      </c>
      <c r="D1232" s="1"/>
    </row>
    <row r="1233" spans="1:4" x14ac:dyDescent="0.3">
      <c r="A1233" s="1"/>
      <c r="B1233" s="1" t="str">
        <f>IFERROR(IF(LEFT(Sensitivität_bzw_Monte_Carlo_bei_Strom[[#This Row],[Source.Name]],SEARCH("aus_der",Sensitivität_bzw_Monte_Carlo_bei_Strom[[#This Row],[Source.Name]],1))="Auszahlung_a","Auszahlung",""),"")</f>
        <v/>
      </c>
      <c r="D1233" s="1"/>
    </row>
    <row r="1234" spans="1:4" x14ac:dyDescent="0.3">
      <c r="A1234" s="1"/>
      <c r="B1234" s="1" t="str">
        <f>IFERROR(IF(LEFT(Sensitivität_bzw_Monte_Carlo_bei_Strom[[#This Row],[Source.Name]],SEARCH("aus_der",Sensitivität_bzw_Monte_Carlo_bei_Strom[[#This Row],[Source.Name]],1))="Auszahlung_a","Auszahlung",""),"")</f>
        <v/>
      </c>
      <c r="D1234" s="1"/>
    </row>
    <row r="1235" spans="1:4" x14ac:dyDescent="0.3">
      <c r="A1235" s="1"/>
      <c r="B1235" s="1" t="str">
        <f>IFERROR(IF(LEFT(Sensitivität_bzw_Monte_Carlo_bei_Strom[[#This Row],[Source.Name]],SEARCH("aus_der",Sensitivität_bzw_Monte_Carlo_bei_Strom[[#This Row],[Source.Name]],1))="Auszahlung_a","Auszahlung",""),"")</f>
        <v/>
      </c>
      <c r="D1235" s="1"/>
    </row>
    <row r="1236" spans="1:4" x14ac:dyDescent="0.3">
      <c r="A1236" s="1"/>
      <c r="B1236" s="1" t="str">
        <f>IFERROR(IF(LEFT(Sensitivität_bzw_Monte_Carlo_bei_Strom[[#This Row],[Source.Name]],SEARCH("aus_der",Sensitivität_bzw_Monte_Carlo_bei_Strom[[#This Row],[Source.Name]],1))="Auszahlung_a","Auszahlung",""),"")</f>
        <v/>
      </c>
      <c r="D1236" s="1"/>
    </row>
    <row r="1237" spans="1:4" x14ac:dyDescent="0.3">
      <c r="A1237" s="1"/>
      <c r="B1237" s="1" t="str">
        <f>IFERROR(IF(LEFT(Sensitivität_bzw_Monte_Carlo_bei_Strom[[#This Row],[Source.Name]],SEARCH("aus_der",Sensitivität_bzw_Monte_Carlo_bei_Strom[[#This Row],[Source.Name]],1))="Auszahlung_a","Auszahlung",""),"")</f>
        <v/>
      </c>
      <c r="D1237" s="1"/>
    </row>
    <row r="1238" spans="1:4" x14ac:dyDescent="0.3">
      <c r="A1238" s="1"/>
      <c r="B1238" s="1" t="str">
        <f>IFERROR(IF(LEFT(Sensitivität_bzw_Monte_Carlo_bei_Strom[[#This Row],[Source.Name]],SEARCH("aus_der",Sensitivität_bzw_Monte_Carlo_bei_Strom[[#This Row],[Source.Name]],1))="Auszahlung_a","Auszahlung",""),"")</f>
        <v/>
      </c>
      <c r="D1238" s="1"/>
    </row>
    <row r="1239" spans="1:4" x14ac:dyDescent="0.3">
      <c r="A1239" s="1"/>
      <c r="B1239" s="1" t="str">
        <f>IFERROR(IF(LEFT(Sensitivität_bzw_Monte_Carlo_bei_Strom[[#This Row],[Source.Name]],SEARCH("aus_der",Sensitivität_bzw_Monte_Carlo_bei_Strom[[#This Row],[Source.Name]],1))="Auszahlung_a","Auszahlung",""),"")</f>
        <v/>
      </c>
      <c r="D1239" s="1"/>
    </row>
    <row r="1240" spans="1:4" x14ac:dyDescent="0.3">
      <c r="A1240" s="1"/>
      <c r="B1240" s="1" t="str">
        <f>IFERROR(IF(LEFT(Sensitivität_bzw_Monte_Carlo_bei_Strom[[#This Row],[Source.Name]],SEARCH("aus_der",Sensitivität_bzw_Monte_Carlo_bei_Strom[[#This Row],[Source.Name]],1))="Auszahlung_a","Auszahlung",""),"")</f>
        <v/>
      </c>
      <c r="D1240" s="1"/>
    </row>
    <row r="1241" spans="1:4" x14ac:dyDescent="0.3">
      <c r="A1241" s="1"/>
      <c r="B1241" s="1" t="str">
        <f>IFERROR(IF(LEFT(Sensitivität_bzw_Monte_Carlo_bei_Strom[[#This Row],[Source.Name]],SEARCH("aus_der",Sensitivität_bzw_Monte_Carlo_bei_Strom[[#This Row],[Source.Name]],1))="Auszahlung_a","Auszahlung",""),"")</f>
        <v/>
      </c>
      <c r="D1241" s="1"/>
    </row>
    <row r="1242" spans="1:4" x14ac:dyDescent="0.3">
      <c r="A1242" s="1"/>
      <c r="B1242" s="1" t="str">
        <f>IFERROR(IF(LEFT(Sensitivität_bzw_Monte_Carlo_bei_Strom[[#This Row],[Source.Name]],SEARCH("aus_der",Sensitivität_bzw_Monte_Carlo_bei_Strom[[#This Row],[Source.Name]],1))="Auszahlung_a","Auszahlung",""),"")</f>
        <v/>
      </c>
      <c r="D1242" s="1"/>
    </row>
    <row r="1243" spans="1:4" x14ac:dyDescent="0.3">
      <c r="A1243" s="1"/>
      <c r="B1243" s="1" t="str">
        <f>IFERROR(IF(LEFT(Sensitivität_bzw_Monte_Carlo_bei_Strom[[#This Row],[Source.Name]],SEARCH("aus_der",Sensitivität_bzw_Monte_Carlo_bei_Strom[[#This Row],[Source.Name]],1))="Auszahlung_a","Auszahlung",""),"")</f>
        <v/>
      </c>
      <c r="D1243" s="1"/>
    </row>
    <row r="1244" spans="1:4" x14ac:dyDescent="0.3">
      <c r="A1244" s="1"/>
      <c r="B1244" s="1" t="str">
        <f>IFERROR(IF(LEFT(Sensitivität_bzw_Monte_Carlo_bei_Strom[[#This Row],[Source.Name]],SEARCH("aus_der",Sensitivität_bzw_Monte_Carlo_bei_Strom[[#This Row],[Source.Name]],1))="Auszahlung_a","Auszahlung",""),"")</f>
        <v/>
      </c>
      <c r="D1244" s="1"/>
    </row>
    <row r="1245" spans="1:4" x14ac:dyDescent="0.3">
      <c r="A1245" s="1"/>
      <c r="B1245" s="1" t="str">
        <f>IFERROR(IF(LEFT(Sensitivität_bzw_Monte_Carlo_bei_Strom[[#This Row],[Source.Name]],SEARCH("aus_der",Sensitivität_bzw_Monte_Carlo_bei_Strom[[#This Row],[Source.Name]],1))="Auszahlung_a","Auszahlung",""),"")</f>
        <v/>
      </c>
      <c r="D1245" s="1"/>
    </row>
    <row r="1246" spans="1:4" x14ac:dyDescent="0.3">
      <c r="A1246" s="1"/>
      <c r="B1246" s="1" t="str">
        <f>IFERROR(IF(LEFT(Sensitivität_bzw_Monte_Carlo_bei_Strom[[#This Row],[Source.Name]],SEARCH("aus_der",Sensitivität_bzw_Monte_Carlo_bei_Strom[[#This Row],[Source.Name]],1))="Auszahlung_a","Auszahlung",""),"")</f>
        <v/>
      </c>
      <c r="D1246" s="1"/>
    </row>
    <row r="1247" spans="1:4" x14ac:dyDescent="0.3">
      <c r="A1247" s="1"/>
      <c r="B1247" s="1" t="str">
        <f>IFERROR(IF(LEFT(Sensitivität_bzw_Monte_Carlo_bei_Strom[[#This Row],[Source.Name]],SEARCH("aus_der",Sensitivität_bzw_Monte_Carlo_bei_Strom[[#This Row],[Source.Name]],1))="Auszahlung_a","Auszahlung",""),"")</f>
        <v/>
      </c>
      <c r="D1247" s="1"/>
    </row>
    <row r="1248" spans="1:4" x14ac:dyDescent="0.3">
      <c r="A1248" s="1"/>
      <c r="B1248" s="1" t="str">
        <f>IFERROR(IF(LEFT(Sensitivität_bzw_Monte_Carlo_bei_Strom[[#This Row],[Source.Name]],SEARCH("aus_der",Sensitivität_bzw_Monte_Carlo_bei_Strom[[#This Row],[Source.Name]],1))="Auszahlung_a","Auszahlung",""),"")</f>
        <v/>
      </c>
      <c r="D1248" s="1"/>
    </row>
    <row r="1249" spans="1:4" x14ac:dyDescent="0.3">
      <c r="A1249" s="1"/>
      <c r="B1249" s="1" t="str">
        <f>IFERROR(IF(LEFT(Sensitivität_bzw_Monte_Carlo_bei_Strom[[#This Row],[Source.Name]],SEARCH("aus_der",Sensitivität_bzw_Monte_Carlo_bei_Strom[[#This Row],[Source.Name]],1))="Auszahlung_a","Auszahlung",""),"")</f>
        <v/>
      </c>
      <c r="D1249" s="1"/>
    </row>
    <row r="1250" spans="1:4" x14ac:dyDescent="0.3">
      <c r="A1250" s="1"/>
      <c r="B1250" s="1" t="str">
        <f>IFERROR(IF(LEFT(Sensitivität_bzw_Monte_Carlo_bei_Strom[[#This Row],[Source.Name]],SEARCH("aus_der",Sensitivität_bzw_Monte_Carlo_bei_Strom[[#This Row],[Source.Name]],1))="Auszahlung_a","Auszahlung",""),"")</f>
        <v/>
      </c>
      <c r="D1250" s="1"/>
    </row>
    <row r="1251" spans="1:4" x14ac:dyDescent="0.3">
      <c r="A1251" s="1"/>
      <c r="B1251" s="1" t="str">
        <f>IFERROR(IF(LEFT(Sensitivität_bzw_Monte_Carlo_bei_Strom[[#This Row],[Source.Name]],SEARCH("aus_der",Sensitivität_bzw_Monte_Carlo_bei_Strom[[#This Row],[Source.Name]],1))="Auszahlung_a","Auszahlung",""),"")</f>
        <v/>
      </c>
      <c r="D1251" s="1"/>
    </row>
    <row r="1252" spans="1:4" x14ac:dyDescent="0.3">
      <c r="A1252" s="1"/>
      <c r="B1252" s="1" t="str">
        <f>IFERROR(IF(LEFT(Sensitivität_bzw_Monte_Carlo_bei_Strom[[#This Row],[Source.Name]],SEARCH("aus_der",Sensitivität_bzw_Monte_Carlo_bei_Strom[[#This Row],[Source.Name]],1))="Auszahlung_a","Auszahlung",""),"")</f>
        <v/>
      </c>
      <c r="D1252" s="1"/>
    </row>
    <row r="1253" spans="1:4" x14ac:dyDescent="0.3">
      <c r="A1253" s="1"/>
      <c r="B1253" s="1" t="str">
        <f>IFERROR(IF(LEFT(Sensitivität_bzw_Monte_Carlo_bei_Strom[[#This Row],[Source.Name]],SEARCH("aus_der",Sensitivität_bzw_Monte_Carlo_bei_Strom[[#This Row],[Source.Name]],1))="Auszahlung_a","Auszahlung",""),"")</f>
        <v/>
      </c>
      <c r="D1253" s="1"/>
    </row>
    <row r="1254" spans="1:4" x14ac:dyDescent="0.3">
      <c r="A1254" s="1"/>
      <c r="B1254" s="1" t="str">
        <f>IFERROR(IF(LEFT(Sensitivität_bzw_Monte_Carlo_bei_Strom[[#This Row],[Source.Name]],SEARCH("aus_der",Sensitivität_bzw_Monte_Carlo_bei_Strom[[#This Row],[Source.Name]],1))="Auszahlung_a","Auszahlung",""),"")</f>
        <v/>
      </c>
      <c r="D1254" s="1"/>
    </row>
    <row r="1255" spans="1:4" x14ac:dyDescent="0.3">
      <c r="A1255" s="1"/>
      <c r="B1255" s="1" t="str">
        <f>IFERROR(IF(LEFT(Sensitivität_bzw_Monte_Carlo_bei_Strom[[#This Row],[Source.Name]],SEARCH("aus_der",Sensitivität_bzw_Monte_Carlo_bei_Strom[[#This Row],[Source.Name]],1))="Auszahlung_a","Auszahlung",""),"")</f>
        <v/>
      </c>
      <c r="D1255" s="1"/>
    </row>
    <row r="1256" spans="1:4" x14ac:dyDescent="0.3">
      <c r="A1256" s="1"/>
      <c r="B1256" s="1" t="str">
        <f>IFERROR(IF(LEFT(Sensitivität_bzw_Monte_Carlo_bei_Strom[[#This Row],[Source.Name]],SEARCH("aus_der",Sensitivität_bzw_Monte_Carlo_bei_Strom[[#This Row],[Source.Name]],1))="Auszahlung_a","Auszahlung",""),"")</f>
        <v/>
      </c>
      <c r="D1256" s="1"/>
    </row>
    <row r="1257" spans="1:4" x14ac:dyDescent="0.3">
      <c r="A1257" s="1"/>
      <c r="B1257" s="1" t="str">
        <f>IFERROR(IF(LEFT(Sensitivität_bzw_Monte_Carlo_bei_Strom[[#This Row],[Source.Name]],SEARCH("aus_der",Sensitivität_bzw_Monte_Carlo_bei_Strom[[#This Row],[Source.Name]],1))="Auszahlung_a","Auszahlung",""),"")</f>
        <v/>
      </c>
      <c r="D1257" s="1"/>
    </row>
    <row r="1258" spans="1:4" x14ac:dyDescent="0.3">
      <c r="A1258" s="1"/>
      <c r="B1258" s="1" t="str">
        <f>IFERROR(IF(LEFT(Sensitivität_bzw_Monte_Carlo_bei_Strom[[#This Row],[Source.Name]],SEARCH("aus_der",Sensitivität_bzw_Monte_Carlo_bei_Strom[[#This Row],[Source.Name]],1))="Auszahlung_a","Auszahlung",""),"")</f>
        <v/>
      </c>
      <c r="D1258" s="1"/>
    </row>
    <row r="1259" spans="1:4" x14ac:dyDescent="0.3">
      <c r="A1259" s="1"/>
      <c r="B1259" s="1" t="str">
        <f>IFERROR(IF(LEFT(Sensitivität_bzw_Monte_Carlo_bei_Strom[[#This Row],[Source.Name]],SEARCH("aus_der",Sensitivität_bzw_Monte_Carlo_bei_Strom[[#This Row],[Source.Name]],1))="Auszahlung_a","Auszahlung",""),"")</f>
        <v/>
      </c>
      <c r="D1259" s="1"/>
    </row>
    <row r="1260" spans="1:4" x14ac:dyDescent="0.3">
      <c r="A1260" s="1"/>
      <c r="B1260" s="1" t="str">
        <f>IFERROR(IF(LEFT(Sensitivität_bzw_Monte_Carlo_bei_Strom[[#This Row],[Source.Name]],SEARCH("aus_der",Sensitivität_bzw_Monte_Carlo_bei_Strom[[#This Row],[Source.Name]],1))="Auszahlung_a","Auszahlung",""),"")</f>
        <v/>
      </c>
      <c r="D1260" s="1"/>
    </row>
    <row r="1261" spans="1:4" x14ac:dyDescent="0.3">
      <c r="A1261" s="1"/>
      <c r="B1261" s="1" t="str">
        <f>IFERROR(IF(LEFT(Sensitivität_bzw_Monte_Carlo_bei_Strom[[#This Row],[Source.Name]],SEARCH("aus_der",Sensitivität_bzw_Monte_Carlo_bei_Strom[[#This Row],[Source.Name]],1))="Auszahlung_a","Auszahlung",""),"")</f>
        <v/>
      </c>
      <c r="D1261" s="1"/>
    </row>
    <row r="1262" spans="1:4" x14ac:dyDescent="0.3">
      <c r="A1262" s="1"/>
      <c r="B1262" s="1" t="str">
        <f>IFERROR(IF(LEFT(Sensitivität_bzw_Monte_Carlo_bei_Strom[[#This Row],[Source.Name]],SEARCH("aus_der",Sensitivität_bzw_Monte_Carlo_bei_Strom[[#This Row],[Source.Name]],1))="Auszahlung_a","Auszahlung",""),"")</f>
        <v/>
      </c>
      <c r="D1262" s="1"/>
    </row>
    <row r="1263" spans="1:4" x14ac:dyDescent="0.3">
      <c r="A1263" s="1"/>
      <c r="B1263" s="1" t="str">
        <f>IFERROR(IF(LEFT(Sensitivität_bzw_Monte_Carlo_bei_Strom[[#This Row],[Source.Name]],SEARCH("aus_der",Sensitivität_bzw_Monte_Carlo_bei_Strom[[#This Row],[Source.Name]],1))="Auszahlung_a","Auszahlung",""),"")</f>
        <v/>
      </c>
      <c r="D1263" s="1"/>
    </row>
    <row r="1264" spans="1:4" x14ac:dyDescent="0.3">
      <c r="A1264" s="1"/>
      <c r="B1264" s="1" t="str">
        <f>IFERROR(IF(LEFT(Sensitivität_bzw_Monte_Carlo_bei_Strom[[#This Row],[Source.Name]],SEARCH("aus_der",Sensitivität_bzw_Monte_Carlo_bei_Strom[[#This Row],[Source.Name]],1))="Auszahlung_a","Auszahlung",""),"")</f>
        <v/>
      </c>
      <c r="D1264" s="1"/>
    </row>
    <row r="1265" spans="1:4" x14ac:dyDescent="0.3">
      <c r="A1265" s="1"/>
      <c r="B1265" s="1" t="str">
        <f>IFERROR(IF(LEFT(Sensitivität_bzw_Monte_Carlo_bei_Strom[[#This Row],[Source.Name]],SEARCH("aus_der",Sensitivität_bzw_Monte_Carlo_bei_Strom[[#This Row],[Source.Name]],1))="Auszahlung_a","Auszahlung",""),"")</f>
        <v/>
      </c>
      <c r="D1265" s="1"/>
    </row>
    <row r="1266" spans="1:4" x14ac:dyDescent="0.3">
      <c r="A1266" s="1"/>
      <c r="B1266" s="1" t="str">
        <f>IFERROR(IF(LEFT(Sensitivität_bzw_Monte_Carlo_bei_Strom[[#This Row],[Source.Name]],SEARCH("aus_der",Sensitivität_bzw_Monte_Carlo_bei_Strom[[#This Row],[Source.Name]],1))="Auszahlung_a","Auszahlung",""),"")</f>
        <v/>
      </c>
      <c r="D1266" s="1"/>
    </row>
    <row r="1267" spans="1:4" x14ac:dyDescent="0.3">
      <c r="A1267" s="1"/>
      <c r="B1267" s="1" t="str">
        <f>IFERROR(IF(LEFT(Sensitivität_bzw_Monte_Carlo_bei_Strom[[#This Row],[Source.Name]],SEARCH("aus_der",Sensitivität_bzw_Monte_Carlo_bei_Strom[[#This Row],[Source.Name]],1))="Auszahlung_a","Auszahlung",""),"")</f>
        <v/>
      </c>
      <c r="D1267" s="1"/>
    </row>
    <row r="1268" spans="1:4" x14ac:dyDescent="0.3">
      <c r="A1268" s="1"/>
      <c r="B1268" s="1" t="str">
        <f>IFERROR(IF(LEFT(Sensitivität_bzw_Monte_Carlo_bei_Strom[[#This Row],[Source.Name]],SEARCH("aus_der",Sensitivität_bzw_Monte_Carlo_bei_Strom[[#This Row],[Source.Name]],1))="Auszahlung_a","Auszahlung",""),"")</f>
        <v/>
      </c>
      <c r="D1268" s="1"/>
    </row>
    <row r="1269" spans="1:4" x14ac:dyDescent="0.3">
      <c r="A1269" s="1"/>
      <c r="B1269" s="1" t="str">
        <f>IFERROR(IF(LEFT(Sensitivität_bzw_Monte_Carlo_bei_Strom[[#This Row],[Source.Name]],SEARCH("aus_der",Sensitivität_bzw_Monte_Carlo_bei_Strom[[#This Row],[Source.Name]],1))="Auszahlung_a","Auszahlung",""),"")</f>
        <v/>
      </c>
      <c r="D1269" s="1"/>
    </row>
    <row r="1270" spans="1:4" x14ac:dyDescent="0.3">
      <c r="A1270" s="1"/>
      <c r="B1270" s="1" t="str">
        <f>IFERROR(IF(LEFT(Sensitivität_bzw_Monte_Carlo_bei_Strom[[#This Row],[Source.Name]],SEARCH("aus_der",Sensitivität_bzw_Monte_Carlo_bei_Strom[[#This Row],[Source.Name]],1))="Auszahlung_a","Auszahlung",""),"")</f>
        <v/>
      </c>
      <c r="D1270" s="1"/>
    </row>
    <row r="1271" spans="1:4" x14ac:dyDescent="0.3">
      <c r="A1271" s="1"/>
      <c r="B1271" s="1" t="str">
        <f>IFERROR(IF(LEFT(Sensitivität_bzw_Monte_Carlo_bei_Strom[[#This Row],[Source.Name]],SEARCH("aus_der",Sensitivität_bzw_Monte_Carlo_bei_Strom[[#This Row],[Source.Name]],1))="Auszahlung_a","Auszahlung",""),"")</f>
        <v/>
      </c>
      <c r="D1271" s="1"/>
    </row>
    <row r="1272" spans="1:4" x14ac:dyDescent="0.3">
      <c r="A1272" s="1"/>
      <c r="B1272" s="1" t="str">
        <f>IFERROR(IF(LEFT(Sensitivität_bzw_Monte_Carlo_bei_Strom[[#This Row],[Source.Name]],SEARCH("aus_der",Sensitivität_bzw_Monte_Carlo_bei_Strom[[#This Row],[Source.Name]],1))="Auszahlung_a","Auszahlung",""),"")</f>
        <v/>
      </c>
      <c r="D1272" s="1"/>
    </row>
    <row r="1273" spans="1:4" x14ac:dyDescent="0.3">
      <c r="A1273" s="1"/>
      <c r="B1273" s="1" t="str">
        <f>IFERROR(IF(LEFT(Sensitivität_bzw_Monte_Carlo_bei_Strom[[#This Row],[Source.Name]],SEARCH("aus_der",Sensitivität_bzw_Monte_Carlo_bei_Strom[[#This Row],[Source.Name]],1))="Auszahlung_a","Auszahlung",""),"")</f>
        <v/>
      </c>
      <c r="D1273" s="1"/>
    </row>
    <row r="1274" spans="1:4" x14ac:dyDescent="0.3">
      <c r="A1274" s="1"/>
      <c r="B1274" s="1" t="str">
        <f>IFERROR(IF(LEFT(Sensitivität_bzw_Monte_Carlo_bei_Strom[[#This Row],[Source.Name]],SEARCH("aus_der",Sensitivität_bzw_Monte_Carlo_bei_Strom[[#This Row],[Source.Name]],1))="Auszahlung_a","Auszahlung",""),"")</f>
        <v/>
      </c>
      <c r="D1274" s="1"/>
    </row>
    <row r="1275" spans="1:4" x14ac:dyDescent="0.3">
      <c r="A1275" s="1"/>
      <c r="B1275" s="1" t="str">
        <f>IFERROR(IF(LEFT(Sensitivität_bzw_Monte_Carlo_bei_Strom[[#This Row],[Source.Name]],SEARCH("aus_der",Sensitivität_bzw_Monte_Carlo_bei_Strom[[#This Row],[Source.Name]],1))="Auszahlung_a","Auszahlung",""),"")</f>
        <v/>
      </c>
      <c r="D1275" s="1"/>
    </row>
    <row r="1276" spans="1:4" x14ac:dyDescent="0.3">
      <c r="A1276" s="1"/>
      <c r="B1276" s="1" t="str">
        <f>IFERROR(IF(LEFT(Sensitivität_bzw_Monte_Carlo_bei_Strom[[#This Row],[Source.Name]],SEARCH("aus_der",Sensitivität_bzw_Monte_Carlo_bei_Strom[[#This Row],[Source.Name]],1))="Auszahlung_a","Auszahlung",""),"")</f>
        <v/>
      </c>
      <c r="D1276" s="1"/>
    </row>
    <row r="1277" spans="1:4" x14ac:dyDescent="0.3">
      <c r="A1277" s="1"/>
      <c r="B1277" s="1" t="str">
        <f>IFERROR(IF(LEFT(Sensitivität_bzw_Monte_Carlo_bei_Strom[[#This Row],[Source.Name]],SEARCH("aus_der",Sensitivität_bzw_Monte_Carlo_bei_Strom[[#This Row],[Source.Name]],1))="Auszahlung_a","Auszahlung",""),"")</f>
        <v/>
      </c>
      <c r="D1277" s="1"/>
    </row>
    <row r="1278" spans="1:4" x14ac:dyDescent="0.3">
      <c r="A1278" s="1"/>
      <c r="B1278" s="1" t="str">
        <f>IFERROR(IF(LEFT(Sensitivität_bzw_Monte_Carlo_bei_Strom[[#This Row],[Source.Name]],SEARCH("aus_der",Sensitivität_bzw_Monte_Carlo_bei_Strom[[#This Row],[Source.Name]],1))="Auszahlung_a","Auszahlung",""),"")</f>
        <v/>
      </c>
      <c r="D1278" s="1"/>
    </row>
    <row r="1279" spans="1:4" x14ac:dyDescent="0.3">
      <c r="A1279" s="1"/>
      <c r="B1279" s="1" t="str">
        <f>IFERROR(IF(LEFT(Sensitivität_bzw_Monte_Carlo_bei_Strom[[#This Row],[Source.Name]],SEARCH("aus_der",Sensitivität_bzw_Monte_Carlo_bei_Strom[[#This Row],[Source.Name]],1))="Auszahlung_a","Auszahlung",""),"")</f>
        <v/>
      </c>
      <c r="D1279" s="1"/>
    </row>
    <row r="1280" spans="1:4" x14ac:dyDescent="0.3">
      <c r="A1280" s="1"/>
      <c r="B1280" s="1" t="str">
        <f>IFERROR(IF(LEFT(Sensitivität_bzw_Monte_Carlo_bei_Strom[[#This Row],[Source.Name]],SEARCH("aus_der",Sensitivität_bzw_Monte_Carlo_bei_Strom[[#This Row],[Source.Name]],1))="Auszahlung_a","Auszahlung",""),"")</f>
        <v/>
      </c>
      <c r="D1280" s="1"/>
    </row>
    <row r="1281" spans="1:4" x14ac:dyDescent="0.3">
      <c r="A1281" s="1"/>
      <c r="B1281" s="1" t="str">
        <f>IFERROR(IF(LEFT(Sensitivität_bzw_Monte_Carlo_bei_Strom[[#This Row],[Source.Name]],SEARCH("aus_der",Sensitivität_bzw_Monte_Carlo_bei_Strom[[#This Row],[Source.Name]],1))="Auszahlung_a","Auszahlung",""),"")</f>
        <v/>
      </c>
      <c r="D1281" s="1"/>
    </row>
    <row r="1282" spans="1:4" x14ac:dyDescent="0.3">
      <c r="A1282" s="1"/>
      <c r="B1282" s="1" t="str">
        <f>IFERROR(IF(LEFT(Sensitivität_bzw_Monte_Carlo_bei_Strom[[#This Row],[Source.Name]],SEARCH("aus_der",Sensitivität_bzw_Monte_Carlo_bei_Strom[[#This Row],[Source.Name]],1))="Auszahlung_a","Auszahlung",""),"")</f>
        <v/>
      </c>
      <c r="D1282" s="1"/>
    </row>
    <row r="1283" spans="1:4" x14ac:dyDescent="0.3">
      <c r="A1283" s="1"/>
      <c r="B1283" s="1" t="str">
        <f>IFERROR(IF(LEFT(Sensitivität_bzw_Monte_Carlo_bei_Strom[[#This Row],[Source.Name]],SEARCH("aus_der",Sensitivität_bzw_Monte_Carlo_bei_Strom[[#This Row],[Source.Name]],1))="Auszahlung_a","Auszahlung",""),"")</f>
        <v/>
      </c>
      <c r="D1283" s="1"/>
    </row>
    <row r="1284" spans="1:4" x14ac:dyDescent="0.3">
      <c r="A1284" s="1"/>
      <c r="B1284" s="1" t="str">
        <f>IFERROR(IF(LEFT(Sensitivität_bzw_Monte_Carlo_bei_Strom[[#This Row],[Source.Name]],SEARCH("aus_der",Sensitivität_bzw_Monte_Carlo_bei_Strom[[#This Row],[Source.Name]],1))="Auszahlung_a","Auszahlung",""),"")</f>
        <v/>
      </c>
      <c r="D1284" s="1"/>
    </row>
    <row r="1285" spans="1:4" x14ac:dyDescent="0.3">
      <c r="A1285" s="1"/>
      <c r="B1285" s="1" t="str">
        <f>IFERROR(IF(LEFT(Sensitivität_bzw_Monte_Carlo_bei_Strom[[#This Row],[Source.Name]],SEARCH("aus_der",Sensitivität_bzw_Monte_Carlo_bei_Strom[[#This Row],[Source.Name]],1))="Auszahlung_a","Auszahlung",""),"")</f>
        <v/>
      </c>
      <c r="D1285" s="1"/>
    </row>
    <row r="1286" spans="1:4" x14ac:dyDescent="0.3">
      <c r="A1286" s="1"/>
      <c r="B1286" s="1" t="str">
        <f>IFERROR(IF(LEFT(Sensitivität_bzw_Monte_Carlo_bei_Strom[[#This Row],[Source.Name]],SEARCH("aus_der",Sensitivität_bzw_Monte_Carlo_bei_Strom[[#This Row],[Source.Name]],1))="Auszahlung_a","Auszahlung",""),"")</f>
        <v/>
      </c>
      <c r="D1286" s="1"/>
    </row>
    <row r="1287" spans="1:4" x14ac:dyDescent="0.3">
      <c r="A1287" s="1"/>
      <c r="B1287" s="1" t="str">
        <f>IFERROR(IF(LEFT(Sensitivität_bzw_Monte_Carlo_bei_Strom[[#This Row],[Source.Name]],SEARCH("aus_der",Sensitivität_bzw_Monte_Carlo_bei_Strom[[#This Row],[Source.Name]],1))="Auszahlung_a","Auszahlung",""),"")</f>
        <v/>
      </c>
      <c r="D1287" s="1"/>
    </row>
    <row r="1288" spans="1:4" x14ac:dyDescent="0.3">
      <c r="A1288" s="1"/>
      <c r="B1288" s="1" t="str">
        <f>IFERROR(IF(LEFT(Sensitivität_bzw_Monte_Carlo_bei_Strom[[#This Row],[Source.Name]],SEARCH("aus_der",Sensitivität_bzw_Monte_Carlo_bei_Strom[[#This Row],[Source.Name]],1))="Auszahlung_a","Auszahlung",""),"")</f>
        <v/>
      </c>
      <c r="D1288" s="1"/>
    </row>
    <row r="1289" spans="1:4" x14ac:dyDescent="0.3">
      <c r="A1289" s="1"/>
      <c r="B1289" s="1" t="str">
        <f>IFERROR(IF(LEFT(Sensitivität_bzw_Monte_Carlo_bei_Strom[[#This Row],[Source.Name]],SEARCH("aus_der",Sensitivität_bzw_Monte_Carlo_bei_Strom[[#This Row],[Source.Name]],1))="Auszahlung_a","Auszahlung",""),"")</f>
        <v/>
      </c>
      <c r="D1289" s="1"/>
    </row>
    <row r="1290" spans="1:4" x14ac:dyDescent="0.3">
      <c r="A1290" s="1"/>
      <c r="B1290" s="1" t="str">
        <f>IFERROR(IF(LEFT(Sensitivität_bzw_Monte_Carlo_bei_Strom[[#This Row],[Source.Name]],SEARCH("aus_der",Sensitivität_bzw_Monte_Carlo_bei_Strom[[#This Row],[Source.Name]],1))="Auszahlung_a","Auszahlung",""),"")</f>
        <v/>
      </c>
      <c r="D1290" s="1"/>
    </row>
    <row r="1291" spans="1:4" x14ac:dyDescent="0.3">
      <c r="A1291" s="1"/>
      <c r="B1291" s="1" t="str">
        <f>IFERROR(IF(LEFT(Sensitivität_bzw_Monte_Carlo_bei_Strom[[#This Row],[Source.Name]],SEARCH("aus_der",Sensitivität_bzw_Monte_Carlo_bei_Strom[[#This Row],[Source.Name]],1))="Auszahlung_a","Auszahlung",""),"")</f>
        <v/>
      </c>
      <c r="D1291" s="1"/>
    </row>
    <row r="1292" spans="1:4" x14ac:dyDescent="0.3">
      <c r="A1292" s="1"/>
      <c r="B1292" s="1" t="str">
        <f>IFERROR(IF(LEFT(Sensitivität_bzw_Monte_Carlo_bei_Strom[[#This Row],[Source.Name]],SEARCH("aus_der",Sensitivität_bzw_Monte_Carlo_bei_Strom[[#This Row],[Source.Name]],1))="Auszahlung_a","Auszahlung",""),"")</f>
        <v/>
      </c>
      <c r="D1292" s="1"/>
    </row>
    <row r="1293" spans="1:4" x14ac:dyDescent="0.3">
      <c r="A1293" s="1"/>
      <c r="B1293" s="1" t="str">
        <f>IFERROR(IF(LEFT(Sensitivität_bzw_Monte_Carlo_bei_Strom[[#This Row],[Source.Name]],SEARCH("aus_der",Sensitivität_bzw_Monte_Carlo_bei_Strom[[#This Row],[Source.Name]],1))="Auszahlung_a","Auszahlung",""),"")</f>
        <v/>
      </c>
      <c r="D1293" s="1"/>
    </row>
    <row r="1294" spans="1:4" x14ac:dyDescent="0.3">
      <c r="A1294" s="1"/>
      <c r="B1294" s="1" t="str">
        <f>IFERROR(IF(LEFT(Sensitivität_bzw_Monte_Carlo_bei_Strom[[#This Row],[Source.Name]],SEARCH("aus_der",Sensitivität_bzw_Monte_Carlo_bei_Strom[[#This Row],[Source.Name]],1))="Auszahlung_a","Auszahlung",""),"")</f>
        <v/>
      </c>
      <c r="D1294" s="1"/>
    </row>
    <row r="1295" spans="1:4" x14ac:dyDescent="0.3">
      <c r="A1295" s="1"/>
      <c r="B1295" s="1" t="str">
        <f>IFERROR(IF(LEFT(Sensitivität_bzw_Monte_Carlo_bei_Strom[[#This Row],[Source.Name]],SEARCH("aus_der",Sensitivität_bzw_Monte_Carlo_bei_Strom[[#This Row],[Source.Name]],1))="Auszahlung_a","Auszahlung",""),"")</f>
        <v/>
      </c>
      <c r="D1295" s="1"/>
    </row>
    <row r="1296" spans="1:4" x14ac:dyDescent="0.3">
      <c r="A1296" s="1"/>
      <c r="B1296" s="1" t="str">
        <f>IFERROR(IF(LEFT(Sensitivität_bzw_Monte_Carlo_bei_Strom[[#This Row],[Source.Name]],SEARCH("aus_der",Sensitivität_bzw_Monte_Carlo_bei_Strom[[#This Row],[Source.Name]],1))="Auszahlung_a","Auszahlung",""),"")</f>
        <v/>
      </c>
      <c r="D1296" s="1"/>
    </row>
    <row r="1297" spans="1:4" x14ac:dyDescent="0.3">
      <c r="A1297" s="1"/>
      <c r="B1297" s="1" t="str">
        <f>IFERROR(IF(LEFT(Sensitivität_bzw_Monte_Carlo_bei_Strom[[#This Row],[Source.Name]],SEARCH("aus_der",Sensitivität_bzw_Monte_Carlo_bei_Strom[[#This Row],[Source.Name]],1))="Auszahlung_a","Auszahlung",""),"")</f>
        <v/>
      </c>
      <c r="D1297" s="1"/>
    </row>
    <row r="1298" spans="1:4" x14ac:dyDescent="0.3">
      <c r="A1298" s="1"/>
      <c r="B1298" s="1" t="str">
        <f>IFERROR(IF(LEFT(Sensitivität_bzw_Monte_Carlo_bei_Strom[[#This Row],[Source.Name]],SEARCH("aus_der",Sensitivität_bzw_Monte_Carlo_bei_Strom[[#This Row],[Source.Name]],1))="Auszahlung_a","Auszahlung",""),"")</f>
        <v/>
      </c>
      <c r="D1298" s="1"/>
    </row>
    <row r="1299" spans="1:4" x14ac:dyDescent="0.3">
      <c r="A1299" s="1"/>
      <c r="B1299" s="1" t="str">
        <f>IFERROR(IF(LEFT(Sensitivität_bzw_Monte_Carlo_bei_Strom[[#This Row],[Source.Name]],SEARCH("aus_der",Sensitivität_bzw_Monte_Carlo_bei_Strom[[#This Row],[Source.Name]],1))="Auszahlung_a","Auszahlung",""),"")</f>
        <v/>
      </c>
      <c r="D1299" s="1"/>
    </row>
    <row r="1300" spans="1:4" x14ac:dyDescent="0.3">
      <c r="A1300" s="1"/>
      <c r="B1300" s="1" t="str">
        <f>IFERROR(IF(LEFT(Sensitivität_bzw_Monte_Carlo_bei_Strom[[#This Row],[Source.Name]],SEARCH("aus_der",Sensitivität_bzw_Monte_Carlo_bei_Strom[[#This Row],[Source.Name]],1))="Auszahlung_a","Auszahlung",""),"")</f>
        <v/>
      </c>
      <c r="D1300" s="1"/>
    </row>
    <row r="1301" spans="1:4" x14ac:dyDescent="0.3">
      <c r="A1301" s="1"/>
      <c r="B1301" s="1" t="str">
        <f>IFERROR(IF(LEFT(Sensitivität_bzw_Monte_Carlo_bei_Strom[[#This Row],[Source.Name]],SEARCH("aus_der",Sensitivität_bzw_Monte_Carlo_bei_Strom[[#This Row],[Source.Name]],1))="Auszahlung_a","Auszahlung",""),"")</f>
        <v/>
      </c>
      <c r="D1301" s="1"/>
    </row>
    <row r="1302" spans="1:4" x14ac:dyDescent="0.3">
      <c r="A1302" s="1"/>
      <c r="B1302" s="1" t="str">
        <f>IFERROR(IF(LEFT(Sensitivität_bzw_Monte_Carlo_bei_Strom[[#This Row],[Source.Name]],SEARCH("aus_der",Sensitivität_bzw_Monte_Carlo_bei_Strom[[#This Row],[Source.Name]],1))="Auszahlung_a","Auszahlung",""),"")</f>
        <v/>
      </c>
      <c r="D1302" s="1"/>
    </row>
    <row r="1303" spans="1:4" x14ac:dyDescent="0.3">
      <c r="A1303" s="1"/>
      <c r="B1303" s="1" t="str">
        <f>IFERROR(IF(LEFT(Sensitivität_bzw_Monte_Carlo_bei_Strom[[#This Row],[Source.Name]],SEARCH("aus_der",Sensitivität_bzw_Monte_Carlo_bei_Strom[[#This Row],[Source.Name]],1))="Auszahlung_a","Auszahlung",""),"")</f>
        <v/>
      </c>
      <c r="D1303" s="1"/>
    </row>
    <row r="1304" spans="1:4" x14ac:dyDescent="0.3">
      <c r="A1304" s="1"/>
      <c r="B1304" s="1" t="str">
        <f>IFERROR(IF(LEFT(Sensitivität_bzw_Monte_Carlo_bei_Strom[[#This Row],[Source.Name]],SEARCH("aus_der",Sensitivität_bzw_Monte_Carlo_bei_Strom[[#This Row],[Source.Name]],1))="Auszahlung_a","Auszahlung",""),"")</f>
        <v/>
      </c>
      <c r="D1304" s="1"/>
    </row>
    <row r="1305" spans="1:4" x14ac:dyDescent="0.3">
      <c r="A1305" s="1"/>
      <c r="B1305" s="1" t="str">
        <f>IFERROR(IF(LEFT(Sensitivität_bzw_Monte_Carlo_bei_Strom[[#This Row],[Source.Name]],SEARCH("aus_der",Sensitivität_bzw_Monte_Carlo_bei_Strom[[#This Row],[Source.Name]],1))="Auszahlung_a","Auszahlung",""),"")</f>
        <v/>
      </c>
      <c r="D1305" s="1"/>
    </row>
    <row r="1306" spans="1:4" x14ac:dyDescent="0.3">
      <c r="A1306" s="1"/>
      <c r="B1306" s="1" t="str">
        <f>IFERROR(IF(LEFT(Sensitivität_bzw_Monte_Carlo_bei_Strom[[#This Row],[Source.Name]],SEARCH("aus_der",Sensitivität_bzw_Monte_Carlo_bei_Strom[[#This Row],[Source.Name]],1))="Auszahlung_a","Auszahlung",""),"")</f>
        <v/>
      </c>
      <c r="D1306" s="1"/>
    </row>
    <row r="1307" spans="1:4" x14ac:dyDescent="0.3">
      <c r="A1307" s="1"/>
      <c r="B1307" s="1" t="str">
        <f>IFERROR(IF(LEFT(Sensitivität_bzw_Monte_Carlo_bei_Strom[[#This Row],[Source.Name]],SEARCH("aus_der",Sensitivität_bzw_Monte_Carlo_bei_Strom[[#This Row],[Source.Name]],1))="Auszahlung_a","Auszahlung",""),"")</f>
        <v/>
      </c>
      <c r="D1307" s="1"/>
    </row>
    <row r="1308" spans="1:4" x14ac:dyDescent="0.3">
      <c r="A1308" s="1"/>
      <c r="B1308" s="1" t="str">
        <f>IFERROR(IF(LEFT(Sensitivität_bzw_Monte_Carlo_bei_Strom[[#This Row],[Source.Name]],SEARCH("aus_der",Sensitivität_bzw_Monte_Carlo_bei_Strom[[#This Row],[Source.Name]],1))="Auszahlung_a","Auszahlung",""),"")</f>
        <v/>
      </c>
      <c r="D1308" s="1"/>
    </row>
    <row r="1309" spans="1:4" x14ac:dyDescent="0.3">
      <c r="A1309" s="1"/>
      <c r="B1309" s="1" t="str">
        <f>IFERROR(IF(LEFT(Sensitivität_bzw_Monte_Carlo_bei_Strom[[#This Row],[Source.Name]],SEARCH("aus_der",Sensitivität_bzw_Monte_Carlo_bei_Strom[[#This Row],[Source.Name]],1))="Auszahlung_a","Auszahlung",""),"")</f>
        <v/>
      </c>
      <c r="D1309" s="1"/>
    </row>
    <row r="1310" spans="1:4" x14ac:dyDescent="0.3">
      <c r="A1310" s="1"/>
      <c r="B1310" s="1" t="str">
        <f>IFERROR(IF(LEFT(Sensitivität_bzw_Monte_Carlo_bei_Strom[[#This Row],[Source.Name]],SEARCH("aus_der",Sensitivität_bzw_Monte_Carlo_bei_Strom[[#This Row],[Source.Name]],1))="Auszahlung_a","Auszahlung",""),"")</f>
        <v/>
      </c>
      <c r="D1310" s="1"/>
    </row>
    <row r="1311" spans="1:4" x14ac:dyDescent="0.3">
      <c r="A1311" s="1"/>
      <c r="B1311" s="1" t="str">
        <f>IFERROR(IF(LEFT(Sensitivität_bzw_Monte_Carlo_bei_Strom[[#This Row],[Source.Name]],SEARCH("aus_der",Sensitivität_bzw_Monte_Carlo_bei_Strom[[#This Row],[Source.Name]],1))="Auszahlung_a","Auszahlung",""),"")</f>
        <v/>
      </c>
      <c r="D1311" s="1"/>
    </row>
    <row r="1312" spans="1:4" x14ac:dyDescent="0.3">
      <c r="A1312" s="1"/>
      <c r="B1312" s="1" t="str">
        <f>IFERROR(IF(LEFT(Sensitivität_bzw_Monte_Carlo_bei_Strom[[#This Row],[Source.Name]],SEARCH("aus_der",Sensitivität_bzw_Monte_Carlo_bei_Strom[[#This Row],[Source.Name]],1))="Auszahlung_a","Auszahlung",""),"")</f>
        <v/>
      </c>
      <c r="D1312" s="1"/>
    </row>
    <row r="1313" spans="1:4" x14ac:dyDescent="0.3">
      <c r="A1313" s="1"/>
      <c r="B1313" s="1" t="str">
        <f>IFERROR(IF(LEFT(Sensitivität_bzw_Monte_Carlo_bei_Strom[[#This Row],[Source.Name]],SEARCH("aus_der",Sensitivität_bzw_Monte_Carlo_bei_Strom[[#This Row],[Source.Name]],1))="Auszahlung_a","Auszahlung",""),"")</f>
        <v/>
      </c>
      <c r="D1313" s="1"/>
    </row>
    <row r="1314" spans="1:4" x14ac:dyDescent="0.3">
      <c r="A1314" s="1"/>
      <c r="B1314" s="1" t="str">
        <f>IFERROR(IF(LEFT(Sensitivität_bzw_Monte_Carlo_bei_Strom[[#This Row],[Source.Name]],SEARCH("aus_der",Sensitivität_bzw_Monte_Carlo_bei_Strom[[#This Row],[Source.Name]],1))="Auszahlung_a","Auszahlung",""),"")</f>
        <v/>
      </c>
      <c r="D1314" s="1"/>
    </row>
    <row r="1315" spans="1:4" x14ac:dyDescent="0.3">
      <c r="A1315" s="1"/>
      <c r="B1315" s="1" t="str">
        <f>IFERROR(IF(LEFT(Sensitivität_bzw_Monte_Carlo_bei_Strom[[#This Row],[Source.Name]],SEARCH("aus_der",Sensitivität_bzw_Monte_Carlo_bei_Strom[[#This Row],[Source.Name]],1))="Auszahlung_a","Auszahlung",""),"")</f>
        <v/>
      </c>
      <c r="D1315" s="1"/>
    </row>
    <row r="1316" spans="1:4" x14ac:dyDescent="0.3">
      <c r="A1316" s="1"/>
      <c r="B1316" s="1" t="str">
        <f>IFERROR(IF(LEFT(Sensitivität_bzw_Monte_Carlo_bei_Strom[[#This Row],[Source.Name]],SEARCH("aus_der",Sensitivität_bzw_Monte_Carlo_bei_Strom[[#This Row],[Source.Name]],1))="Auszahlung_a","Auszahlung",""),"")</f>
        <v/>
      </c>
      <c r="D1316" s="1"/>
    </row>
    <row r="1317" spans="1:4" x14ac:dyDescent="0.3">
      <c r="A1317" s="1"/>
      <c r="B1317" s="1" t="str">
        <f>IFERROR(IF(LEFT(Sensitivität_bzw_Monte_Carlo_bei_Strom[[#This Row],[Source.Name]],SEARCH("aus_der",Sensitivität_bzw_Monte_Carlo_bei_Strom[[#This Row],[Source.Name]],1))="Auszahlung_a","Auszahlung",""),"")</f>
        <v/>
      </c>
      <c r="D1317" s="1"/>
    </row>
    <row r="1318" spans="1:4" x14ac:dyDescent="0.3">
      <c r="A1318" s="1"/>
      <c r="B1318" s="1" t="str">
        <f>IFERROR(IF(LEFT(Sensitivität_bzw_Monte_Carlo_bei_Strom[[#This Row],[Source.Name]],SEARCH("aus_der",Sensitivität_bzw_Monte_Carlo_bei_Strom[[#This Row],[Source.Name]],1))="Auszahlung_a","Auszahlung",""),"")</f>
        <v/>
      </c>
      <c r="D1318" s="1"/>
    </row>
    <row r="1319" spans="1:4" x14ac:dyDescent="0.3">
      <c r="A1319" s="1"/>
      <c r="B1319" s="1" t="str">
        <f>IFERROR(IF(LEFT(Sensitivität_bzw_Monte_Carlo_bei_Strom[[#This Row],[Source.Name]],SEARCH("aus_der",Sensitivität_bzw_Monte_Carlo_bei_Strom[[#This Row],[Source.Name]],1))="Auszahlung_a","Auszahlung",""),"")</f>
        <v/>
      </c>
      <c r="D1319" s="1"/>
    </row>
    <row r="1320" spans="1:4" x14ac:dyDescent="0.3">
      <c r="A1320" s="1"/>
      <c r="B1320" s="1" t="str">
        <f>IFERROR(IF(LEFT(Sensitivität_bzw_Monte_Carlo_bei_Strom[[#This Row],[Source.Name]],SEARCH("aus_der",Sensitivität_bzw_Monte_Carlo_bei_Strom[[#This Row],[Source.Name]],1))="Auszahlung_a","Auszahlung",""),"")</f>
        <v/>
      </c>
      <c r="D1320" s="1"/>
    </row>
    <row r="1321" spans="1:4" x14ac:dyDescent="0.3">
      <c r="A1321" s="1"/>
      <c r="B1321" s="1" t="str">
        <f>IFERROR(IF(LEFT(Sensitivität_bzw_Monte_Carlo_bei_Strom[[#This Row],[Source.Name]],SEARCH("aus_der",Sensitivität_bzw_Monte_Carlo_bei_Strom[[#This Row],[Source.Name]],1))="Auszahlung_a","Auszahlung",""),"")</f>
        <v/>
      </c>
      <c r="D1321" s="1"/>
    </row>
    <row r="1322" spans="1:4" x14ac:dyDescent="0.3">
      <c r="A1322" s="1"/>
      <c r="B1322" s="1" t="str">
        <f>IFERROR(IF(LEFT(Sensitivität_bzw_Monte_Carlo_bei_Strom[[#This Row],[Source.Name]],SEARCH("aus_der",Sensitivität_bzw_Monte_Carlo_bei_Strom[[#This Row],[Source.Name]],1))="Auszahlung_a","Auszahlung",""),"")</f>
        <v/>
      </c>
      <c r="D1322" s="1"/>
    </row>
    <row r="1323" spans="1:4" x14ac:dyDescent="0.3">
      <c r="A1323" s="1"/>
      <c r="B1323" s="1" t="str">
        <f>IFERROR(IF(LEFT(Sensitivität_bzw_Monte_Carlo_bei_Strom[[#This Row],[Source.Name]],SEARCH("aus_der",Sensitivität_bzw_Monte_Carlo_bei_Strom[[#This Row],[Source.Name]],1))="Auszahlung_a","Auszahlung",""),"")</f>
        <v/>
      </c>
      <c r="D1323" s="1"/>
    </row>
    <row r="1324" spans="1:4" x14ac:dyDescent="0.3">
      <c r="A1324" s="1"/>
      <c r="B1324" s="1" t="str">
        <f>IFERROR(IF(LEFT(Sensitivität_bzw_Monte_Carlo_bei_Strom[[#This Row],[Source.Name]],SEARCH("aus_der",Sensitivität_bzw_Monte_Carlo_bei_Strom[[#This Row],[Source.Name]],1))="Auszahlung_a","Auszahlung",""),"")</f>
        <v/>
      </c>
      <c r="D1324" s="1"/>
    </row>
    <row r="1325" spans="1:4" x14ac:dyDescent="0.3">
      <c r="A1325" s="1"/>
      <c r="B1325" s="1" t="str">
        <f>IFERROR(IF(LEFT(Sensitivität_bzw_Monte_Carlo_bei_Strom[[#This Row],[Source.Name]],SEARCH("aus_der",Sensitivität_bzw_Monte_Carlo_bei_Strom[[#This Row],[Source.Name]],1))="Auszahlung_a","Auszahlung",""),"")</f>
        <v/>
      </c>
      <c r="D1325" s="1"/>
    </row>
    <row r="1326" spans="1:4" x14ac:dyDescent="0.3">
      <c r="A1326" s="1"/>
      <c r="B1326" s="1" t="str">
        <f>IFERROR(IF(LEFT(Sensitivität_bzw_Monte_Carlo_bei_Strom[[#This Row],[Source.Name]],SEARCH("aus_der",Sensitivität_bzw_Monte_Carlo_bei_Strom[[#This Row],[Source.Name]],1))="Auszahlung_a","Auszahlung",""),"")</f>
        <v/>
      </c>
      <c r="D1326" s="1"/>
    </row>
    <row r="1327" spans="1:4" x14ac:dyDescent="0.3">
      <c r="A1327" s="1"/>
      <c r="B1327" s="1" t="str">
        <f>IFERROR(IF(LEFT(Sensitivität_bzw_Monte_Carlo_bei_Strom[[#This Row],[Source.Name]],SEARCH("aus_der",Sensitivität_bzw_Monte_Carlo_bei_Strom[[#This Row],[Source.Name]],1))="Auszahlung_a","Auszahlung",""),"")</f>
        <v/>
      </c>
      <c r="D1327" s="1"/>
    </row>
    <row r="1328" spans="1:4" x14ac:dyDescent="0.3">
      <c r="A1328" s="1"/>
      <c r="B1328" s="1" t="str">
        <f>IFERROR(IF(LEFT(Sensitivität_bzw_Monte_Carlo_bei_Strom[[#This Row],[Source.Name]],SEARCH("aus_der",Sensitivität_bzw_Monte_Carlo_bei_Strom[[#This Row],[Source.Name]],1))="Auszahlung_a","Auszahlung",""),"")</f>
        <v/>
      </c>
      <c r="D1328" s="1"/>
    </row>
    <row r="1329" spans="1:4" x14ac:dyDescent="0.3">
      <c r="A1329" s="1"/>
      <c r="B1329" s="1" t="str">
        <f>IFERROR(IF(LEFT(Sensitivität_bzw_Monte_Carlo_bei_Strom[[#This Row],[Source.Name]],SEARCH("aus_der",Sensitivität_bzw_Monte_Carlo_bei_Strom[[#This Row],[Source.Name]],1))="Auszahlung_a","Auszahlung",""),"")</f>
        <v/>
      </c>
      <c r="D1329" s="1"/>
    </row>
    <row r="1330" spans="1:4" x14ac:dyDescent="0.3">
      <c r="A1330" s="1"/>
      <c r="B1330" s="1" t="str">
        <f>IFERROR(IF(LEFT(Sensitivität_bzw_Monte_Carlo_bei_Strom[[#This Row],[Source.Name]],SEARCH("aus_der",Sensitivität_bzw_Monte_Carlo_bei_Strom[[#This Row],[Source.Name]],1))="Auszahlung_a","Auszahlung",""),"")</f>
        <v/>
      </c>
      <c r="D1330" s="1"/>
    </row>
    <row r="1331" spans="1:4" x14ac:dyDescent="0.3">
      <c r="A1331" s="1"/>
      <c r="B1331" s="1" t="str">
        <f>IFERROR(IF(LEFT(Sensitivität_bzw_Monte_Carlo_bei_Strom[[#This Row],[Source.Name]],SEARCH("aus_der",Sensitivität_bzw_Monte_Carlo_bei_Strom[[#This Row],[Source.Name]],1))="Auszahlung_a","Auszahlung",""),"")</f>
        <v/>
      </c>
      <c r="D1331" s="1"/>
    </row>
    <row r="1332" spans="1:4" x14ac:dyDescent="0.3">
      <c r="A1332" s="1"/>
      <c r="B1332" s="1" t="str">
        <f>IFERROR(IF(LEFT(Sensitivität_bzw_Monte_Carlo_bei_Strom[[#This Row],[Source.Name]],SEARCH("aus_der",Sensitivität_bzw_Monte_Carlo_bei_Strom[[#This Row],[Source.Name]],1))="Auszahlung_a","Auszahlung",""),"")</f>
        <v/>
      </c>
      <c r="D1332" s="1"/>
    </row>
    <row r="1333" spans="1:4" x14ac:dyDescent="0.3">
      <c r="A1333" s="1"/>
      <c r="B1333" s="1" t="str">
        <f>IFERROR(IF(LEFT(Sensitivität_bzw_Monte_Carlo_bei_Strom[[#This Row],[Source.Name]],SEARCH("aus_der",Sensitivität_bzw_Monte_Carlo_bei_Strom[[#This Row],[Source.Name]],1))="Auszahlung_a","Auszahlung",""),"")</f>
        <v/>
      </c>
      <c r="D1333" s="1"/>
    </row>
    <row r="1334" spans="1:4" x14ac:dyDescent="0.3">
      <c r="A1334" s="1"/>
      <c r="B1334" s="1" t="str">
        <f>IFERROR(IF(LEFT(Sensitivität_bzw_Monte_Carlo_bei_Strom[[#This Row],[Source.Name]],SEARCH("aus_der",Sensitivität_bzw_Monte_Carlo_bei_Strom[[#This Row],[Source.Name]],1))="Auszahlung_a","Auszahlung",""),"")</f>
        <v/>
      </c>
      <c r="D1334" s="1"/>
    </row>
    <row r="1335" spans="1:4" x14ac:dyDescent="0.3">
      <c r="A1335" s="1"/>
      <c r="B1335" s="1" t="str">
        <f>IFERROR(IF(LEFT(Sensitivität_bzw_Monte_Carlo_bei_Strom[[#This Row],[Source.Name]],SEARCH("aus_der",Sensitivität_bzw_Monte_Carlo_bei_Strom[[#This Row],[Source.Name]],1))="Auszahlung_a","Auszahlung",""),"")</f>
        <v/>
      </c>
      <c r="D1335" s="1"/>
    </row>
    <row r="1336" spans="1:4" x14ac:dyDescent="0.3">
      <c r="A1336" s="1"/>
      <c r="B1336" s="1" t="str">
        <f>IFERROR(IF(LEFT(Sensitivität_bzw_Monte_Carlo_bei_Strom[[#This Row],[Source.Name]],SEARCH("aus_der",Sensitivität_bzw_Monte_Carlo_bei_Strom[[#This Row],[Source.Name]],1))="Auszahlung_a","Auszahlung",""),"")</f>
        <v/>
      </c>
      <c r="D1336" s="1"/>
    </row>
    <row r="1337" spans="1:4" x14ac:dyDescent="0.3">
      <c r="A1337" s="1"/>
      <c r="B1337" s="1" t="str">
        <f>IFERROR(IF(LEFT(Sensitivität_bzw_Monte_Carlo_bei_Strom[[#This Row],[Source.Name]],SEARCH("aus_der",Sensitivität_bzw_Monte_Carlo_bei_Strom[[#This Row],[Source.Name]],1))="Auszahlung_a","Auszahlung",""),"")</f>
        <v/>
      </c>
      <c r="D1337" s="1"/>
    </row>
    <row r="1338" spans="1:4" x14ac:dyDescent="0.3">
      <c r="A1338" s="1"/>
      <c r="B1338" s="1" t="str">
        <f>IFERROR(IF(LEFT(Sensitivität_bzw_Monte_Carlo_bei_Strom[[#This Row],[Source.Name]],SEARCH("aus_der",Sensitivität_bzw_Monte_Carlo_bei_Strom[[#This Row],[Source.Name]],1))="Auszahlung_a","Auszahlung",""),"")</f>
        <v/>
      </c>
      <c r="D1338" s="1"/>
    </row>
    <row r="1339" spans="1:4" x14ac:dyDescent="0.3">
      <c r="A1339" s="1"/>
      <c r="B1339" s="1" t="str">
        <f>IFERROR(IF(LEFT(Sensitivität_bzw_Monte_Carlo_bei_Strom[[#This Row],[Source.Name]],SEARCH("aus_der",Sensitivität_bzw_Monte_Carlo_bei_Strom[[#This Row],[Source.Name]],1))="Auszahlung_a","Auszahlung",""),"")</f>
        <v/>
      </c>
      <c r="D1339" s="1"/>
    </row>
    <row r="1340" spans="1:4" x14ac:dyDescent="0.3">
      <c r="A1340" s="1"/>
      <c r="B1340" s="1" t="str">
        <f>IFERROR(IF(LEFT(Sensitivität_bzw_Monte_Carlo_bei_Strom[[#This Row],[Source.Name]],SEARCH("aus_der",Sensitivität_bzw_Monte_Carlo_bei_Strom[[#This Row],[Source.Name]],1))="Auszahlung_a","Auszahlung",""),"")</f>
        <v/>
      </c>
      <c r="D1340" s="1"/>
    </row>
    <row r="1341" spans="1:4" x14ac:dyDescent="0.3">
      <c r="A1341" s="1"/>
      <c r="B1341" s="1" t="str">
        <f>IFERROR(IF(LEFT(Sensitivität_bzw_Monte_Carlo_bei_Strom[[#This Row],[Source.Name]],SEARCH("aus_der",Sensitivität_bzw_Monte_Carlo_bei_Strom[[#This Row],[Source.Name]],1))="Auszahlung_a","Auszahlung",""),"")</f>
        <v/>
      </c>
      <c r="D1341" s="1"/>
    </row>
    <row r="1342" spans="1:4" x14ac:dyDescent="0.3">
      <c r="A1342" s="1"/>
      <c r="B1342" s="1" t="str">
        <f>IFERROR(IF(LEFT(Sensitivität_bzw_Monte_Carlo_bei_Strom[[#This Row],[Source.Name]],SEARCH("aus_der",Sensitivität_bzw_Monte_Carlo_bei_Strom[[#This Row],[Source.Name]],1))="Auszahlung_a","Auszahlung",""),"")</f>
        <v/>
      </c>
      <c r="D1342" s="1"/>
    </row>
    <row r="1343" spans="1:4" x14ac:dyDescent="0.3">
      <c r="A1343" s="1"/>
      <c r="B1343" s="1" t="str">
        <f>IFERROR(IF(LEFT(Sensitivität_bzw_Monte_Carlo_bei_Strom[[#This Row],[Source.Name]],SEARCH("aus_der",Sensitivität_bzw_Monte_Carlo_bei_Strom[[#This Row],[Source.Name]],1))="Auszahlung_a","Auszahlung",""),"")</f>
        <v/>
      </c>
      <c r="D1343" s="1"/>
    </row>
    <row r="1344" spans="1:4" x14ac:dyDescent="0.3">
      <c r="A1344" s="1"/>
      <c r="B1344" s="1" t="str">
        <f>IFERROR(IF(LEFT(Sensitivität_bzw_Monte_Carlo_bei_Strom[[#This Row],[Source.Name]],SEARCH("aus_der",Sensitivität_bzw_Monte_Carlo_bei_Strom[[#This Row],[Source.Name]],1))="Auszahlung_a","Auszahlung",""),"")</f>
        <v/>
      </c>
      <c r="D1344" s="1"/>
    </row>
    <row r="1345" spans="1:4" x14ac:dyDescent="0.3">
      <c r="A1345" s="1"/>
      <c r="B1345" s="1" t="str">
        <f>IFERROR(IF(LEFT(Sensitivität_bzw_Monte_Carlo_bei_Strom[[#This Row],[Source.Name]],SEARCH("aus_der",Sensitivität_bzw_Monte_Carlo_bei_Strom[[#This Row],[Source.Name]],1))="Auszahlung_a","Auszahlung",""),"")</f>
        <v/>
      </c>
      <c r="D1345" s="1"/>
    </row>
    <row r="1346" spans="1:4" x14ac:dyDescent="0.3">
      <c r="A1346" s="1"/>
      <c r="B1346" s="1" t="str">
        <f>IFERROR(IF(LEFT(Sensitivität_bzw_Monte_Carlo_bei_Strom[[#This Row],[Source.Name]],SEARCH("aus_der",Sensitivität_bzw_Monte_Carlo_bei_Strom[[#This Row],[Source.Name]],1))="Auszahlung_a","Auszahlung",""),"")</f>
        <v/>
      </c>
      <c r="D1346" s="1"/>
    </row>
    <row r="1347" spans="1:4" x14ac:dyDescent="0.3">
      <c r="A1347" s="1"/>
      <c r="B1347" s="1" t="str">
        <f>IFERROR(IF(LEFT(Sensitivität_bzw_Monte_Carlo_bei_Strom[[#This Row],[Source.Name]],SEARCH("aus_der",Sensitivität_bzw_Monte_Carlo_bei_Strom[[#This Row],[Source.Name]],1))="Auszahlung_a","Auszahlung",""),"")</f>
        <v/>
      </c>
      <c r="D1347" s="1"/>
    </row>
    <row r="1348" spans="1:4" x14ac:dyDescent="0.3">
      <c r="A1348" s="1"/>
      <c r="B1348" s="1" t="str">
        <f>IFERROR(IF(LEFT(Sensitivität_bzw_Monte_Carlo_bei_Strom[[#This Row],[Source.Name]],SEARCH("aus_der",Sensitivität_bzw_Monte_Carlo_bei_Strom[[#This Row],[Source.Name]],1))="Auszahlung_a","Auszahlung",""),"")</f>
        <v/>
      </c>
      <c r="D1348" s="1"/>
    </row>
    <row r="1349" spans="1:4" x14ac:dyDescent="0.3">
      <c r="A1349" s="1"/>
      <c r="B1349" s="1" t="str">
        <f>IFERROR(IF(LEFT(Sensitivität_bzw_Monte_Carlo_bei_Strom[[#This Row],[Source.Name]],SEARCH("aus_der",Sensitivität_bzw_Monte_Carlo_bei_Strom[[#This Row],[Source.Name]],1))="Auszahlung_a","Auszahlung",""),"")</f>
        <v/>
      </c>
      <c r="D1349" s="1"/>
    </row>
    <row r="1350" spans="1:4" x14ac:dyDescent="0.3">
      <c r="A1350" s="1"/>
      <c r="B1350" s="1" t="str">
        <f>IFERROR(IF(LEFT(Sensitivität_bzw_Monte_Carlo_bei_Strom[[#This Row],[Source.Name]],SEARCH("aus_der",Sensitivität_bzw_Monte_Carlo_bei_Strom[[#This Row],[Source.Name]],1))="Auszahlung_a","Auszahlung",""),"")</f>
        <v/>
      </c>
      <c r="D1350" s="1"/>
    </row>
    <row r="1351" spans="1:4" x14ac:dyDescent="0.3">
      <c r="A1351" s="1"/>
      <c r="B1351" s="1" t="str">
        <f>IFERROR(IF(LEFT(Sensitivität_bzw_Monte_Carlo_bei_Strom[[#This Row],[Source.Name]],SEARCH("aus_der",Sensitivität_bzw_Monte_Carlo_bei_Strom[[#This Row],[Source.Name]],1))="Auszahlung_a","Auszahlung",""),"")</f>
        <v/>
      </c>
      <c r="D1351" s="1"/>
    </row>
    <row r="1352" spans="1:4" x14ac:dyDescent="0.3">
      <c r="A1352" s="1"/>
      <c r="B1352" s="1" t="str">
        <f>IFERROR(IF(LEFT(Sensitivität_bzw_Monte_Carlo_bei_Strom[[#This Row],[Source.Name]],SEARCH("aus_der",Sensitivität_bzw_Monte_Carlo_bei_Strom[[#This Row],[Source.Name]],1))="Auszahlung_a","Auszahlung",""),"")</f>
        <v/>
      </c>
      <c r="D1352" s="1"/>
    </row>
    <row r="1353" spans="1:4" x14ac:dyDescent="0.3">
      <c r="A1353" s="1"/>
      <c r="B1353" s="1" t="str">
        <f>IFERROR(IF(LEFT(Sensitivität_bzw_Monte_Carlo_bei_Strom[[#This Row],[Source.Name]],SEARCH("aus_der",Sensitivität_bzw_Monte_Carlo_bei_Strom[[#This Row],[Source.Name]],1))="Auszahlung_a","Auszahlung",""),"")</f>
        <v/>
      </c>
      <c r="D1353" s="1"/>
    </row>
    <row r="1354" spans="1:4" x14ac:dyDescent="0.3">
      <c r="A1354" s="1"/>
      <c r="B1354" s="1" t="str">
        <f>IFERROR(IF(LEFT(Sensitivität_bzw_Monte_Carlo_bei_Strom[[#This Row],[Source.Name]],SEARCH("aus_der",Sensitivität_bzw_Monte_Carlo_bei_Strom[[#This Row],[Source.Name]],1))="Auszahlung_a","Auszahlung",""),"")</f>
        <v/>
      </c>
      <c r="D1354" s="1"/>
    </row>
    <row r="1355" spans="1:4" x14ac:dyDescent="0.3">
      <c r="A1355" s="1"/>
      <c r="B1355" s="1" t="str">
        <f>IFERROR(IF(LEFT(Sensitivität_bzw_Monte_Carlo_bei_Strom[[#This Row],[Source.Name]],SEARCH("aus_der",Sensitivität_bzw_Monte_Carlo_bei_Strom[[#This Row],[Source.Name]],1))="Auszahlung_a","Auszahlung",""),"")</f>
        <v/>
      </c>
      <c r="D1355" s="1"/>
    </row>
    <row r="1356" spans="1:4" x14ac:dyDescent="0.3">
      <c r="A1356" s="1"/>
      <c r="B1356" s="1" t="str">
        <f>IFERROR(IF(LEFT(Sensitivität_bzw_Monte_Carlo_bei_Strom[[#This Row],[Source.Name]],SEARCH("aus_der",Sensitivität_bzw_Monte_Carlo_bei_Strom[[#This Row],[Source.Name]],1))="Auszahlung_a","Auszahlung",""),"")</f>
        <v/>
      </c>
      <c r="D1356" s="1"/>
    </row>
    <row r="1357" spans="1:4" x14ac:dyDescent="0.3">
      <c r="A1357" s="1"/>
      <c r="B1357" s="1" t="str">
        <f>IFERROR(IF(LEFT(Sensitivität_bzw_Monte_Carlo_bei_Strom[[#This Row],[Source.Name]],SEARCH("aus_der",Sensitivität_bzw_Monte_Carlo_bei_Strom[[#This Row],[Source.Name]],1))="Auszahlung_a","Auszahlung",""),"")</f>
        <v/>
      </c>
      <c r="D1357" s="1"/>
    </row>
    <row r="1358" spans="1:4" x14ac:dyDescent="0.3">
      <c r="A1358" s="1"/>
      <c r="B1358" s="1" t="str">
        <f>IFERROR(IF(LEFT(Sensitivität_bzw_Monte_Carlo_bei_Strom[[#This Row],[Source.Name]],SEARCH("aus_der",Sensitivität_bzw_Monte_Carlo_bei_Strom[[#This Row],[Source.Name]],1))="Auszahlung_a","Auszahlung",""),"")</f>
        <v/>
      </c>
      <c r="D1358" s="1"/>
    </row>
    <row r="1359" spans="1:4" x14ac:dyDescent="0.3">
      <c r="A1359" s="1"/>
      <c r="B1359" s="1" t="str">
        <f>IFERROR(IF(LEFT(Sensitivität_bzw_Monte_Carlo_bei_Strom[[#This Row],[Source.Name]],SEARCH("aus_der",Sensitivität_bzw_Monte_Carlo_bei_Strom[[#This Row],[Source.Name]],1))="Auszahlung_a","Auszahlung",""),"")</f>
        <v/>
      </c>
      <c r="D1359" s="1"/>
    </row>
    <row r="1360" spans="1:4" x14ac:dyDescent="0.3">
      <c r="A1360" s="1"/>
      <c r="B1360" s="1" t="str">
        <f>IFERROR(IF(LEFT(Sensitivität_bzw_Monte_Carlo_bei_Strom[[#This Row],[Source.Name]],SEARCH("aus_der",Sensitivität_bzw_Monte_Carlo_bei_Strom[[#This Row],[Source.Name]],1))="Auszahlung_a","Auszahlung",""),"")</f>
        <v/>
      </c>
      <c r="D1360" s="1"/>
    </row>
    <row r="1361" spans="1:4" x14ac:dyDescent="0.3">
      <c r="A1361" s="1"/>
      <c r="B1361" s="1" t="str">
        <f>IFERROR(IF(LEFT(Sensitivität_bzw_Monte_Carlo_bei_Strom[[#This Row],[Source.Name]],SEARCH("aus_der",Sensitivität_bzw_Monte_Carlo_bei_Strom[[#This Row],[Source.Name]],1))="Auszahlung_a","Auszahlung",""),"")</f>
        <v/>
      </c>
      <c r="D1361" s="1"/>
    </row>
    <row r="1362" spans="1:4" x14ac:dyDescent="0.3">
      <c r="A1362" s="1"/>
      <c r="B1362" s="1" t="str">
        <f>IFERROR(IF(LEFT(Sensitivität_bzw_Monte_Carlo_bei_Strom[[#This Row],[Source.Name]],SEARCH("aus_der",Sensitivität_bzw_Monte_Carlo_bei_Strom[[#This Row],[Source.Name]],1))="Auszahlung_a","Auszahlung",""),"")</f>
        <v/>
      </c>
      <c r="D1362" s="1"/>
    </row>
    <row r="1363" spans="1:4" x14ac:dyDescent="0.3">
      <c r="A1363" s="1"/>
      <c r="B1363" s="1" t="str">
        <f>IFERROR(IF(LEFT(Sensitivität_bzw_Monte_Carlo_bei_Strom[[#This Row],[Source.Name]],SEARCH("aus_der",Sensitivität_bzw_Monte_Carlo_bei_Strom[[#This Row],[Source.Name]],1))="Auszahlung_a","Auszahlung",""),"")</f>
        <v/>
      </c>
      <c r="D1363" s="1"/>
    </row>
    <row r="1364" spans="1:4" x14ac:dyDescent="0.3">
      <c r="A1364" s="1"/>
      <c r="B1364" s="1" t="str">
        <f>IFERROR(IF(LEFT(Sensitivität_bzw_Monte_Carlo_bei_Strom[[#This Row],[Source.Name]],SEARCH("aus_der",Sensitivität_bzw_Monte_Carlo_bei_Strom[[#This Row],[Source.Name]],1))="Auszahlung_a","Auszahlung",""),"")</f>
        <v/>
      </c>
      <c r="D1364" s="1"/>
    </row>
    <row r="1365" spans="1:4" x14ac:dyDescent="0.3">
      <c r="A1365" s="1"/>
      <c r="B1365" s="1" t="str">
        <f>IFERROR(IF(LEFT(Sensitivität_bzw_Monte_Carlo_bei_Strom[[#This Row],[Source.Name]],SEARCH("aus_der",Sensitivität_bzw_Monte_Carlo_bei_Strom[[#This Row],[Source.Name]],1))="Auszahlung_a","Auszahlung",""),"")</f>
        <v/>
      </c>
      <c r="D1365" s="1"/>
    </row>
    <row r="1366" spans="1:4" x14ac:dyDescent="0.3">
      <c r="A1366" s="1"/>
      <c r="B1366" s="1" t="str">
        <f>IFERROR(IF(LEFT(Sensitivität_bzw_Monte_Carlo_bei_Strom[[#This Row],[Source.Name]],SEARCH("aus_der",Sensitivität_bzw_Monte_Carlo_bei_Strom[[#This Row],[Source.Name]],1))="Auszahlung_a","Auszahlung",""),"")</f>
        <v/>
      </c>
      <c r="D1366" s="1"/>
    </row>
    <row r="1367" spans="1:4" x14ac:dyDescent="0.3">
      <c r="A1367" s="1"/>
      <c r="B1367" s="1" t="str">
        <f>IFERROR(IF(LEFT(Sensitivität_bzw_Monte_Carlo_bei_Strom[[#This Row],[Source.Name]],SEARCH("aus_der",Sensitivität_bzw_Monte_Carlo_bei_Strom[[#This Row],[Source.Name]],1))="Auszahlung_a","Auszahlung",""),"")</f>
        <v/>
      </c>
      <c r="D1367" s="1"/>
    </row>
    <row r="1368" spans="1:4" x14ac:dyDescent="0.3">
      <c r="A1368" s="1"/>
      <c r="B1368" s="1" t="str">
        <f>IFERROR(IF(LEFT(Sensitivität_bzw_Monte_Carlo_bei_Strom[[#This Row],[Source.Name]],SEARCH("aus_der",Sensitivität_bzw_Monte_Carlo_bei_Strom[[#This Row],[Source.Name]],1))="Auszahlung_a","Auszahlung",""),"")</f>
        <v/>
      </c>
      <c r="D1368" s="1"/>
    </row>
    <row r="1369" spans="1:4" x14ac:dyDescent="0.3">
      <c r="A1369" s="1"/>
      <c r="B1369" s="1" t="str">
        <f>IFERROR(IF(LEFT(Sensitivität_bzw_Monte_Carlo_bei_Strom[[#This Row],[Source.Name]],SEARCH("aus_der",Sensitivität_bzw_Monte_Carlo_bei_Strom[[#This Row],[Source.Name]],1))="Auszahlung_a","Auszahlung",""),"")</f>
        <v/>
      </c>
      <c r="D1369" s="1"/>
    </row>
    <row r="1370" spans="1:4" x14ac:dyDescent="0.3">
      <c r="A1370" s="1"/>
      <c r="B1370" s="1" t="str">
        <f>IFERROR(IF(LEFT(Sensitivität_bzw_Monte_Carlo_bei_Strom[[#This Row],[Source.Name]],SEARCH("aus_der",Sensitivität_bzw_Monte_Carlo_bei_Strom[[#This Row],[Source.Name]],1))="Auszahlung_a","Auszahlung",""),"")</f>
        <v/>
      </c>
      <c r="D1370" s="1"/>
    </row>
    <row r="1371" spans="1:4" x14ac:dyDescent="0.3">
      <c r="A1371" s="1"/>
      <c r="B1371" s="1" t="str">
        <f>IFERROR(IF(LEFT(Sensitivität_bzw_Monte_Carlo_bei_Strom[[#This Row],[Source.Name]],SEARCH("aus_der",Sensitivität_bzw_Monte_Carlo_bei_Strom[[#This Row],[Source.Name]],1))="Auszahlung_a","Auszahlung",""),"")</f>
        <v/>
      </c>
      <c r="D1371" s="1"/>
    </row>
    <row r="1372" spans="1:4" x14ac:dyDescent="0.3">
      <c r="A1372" s="1"/>
      <c r="B1372" s="1" t="str">
        <f>IFERROR(IF(LEFT(Sensitivität_bzw_Monte_Carlo_bei_Strom[[#This Row],[Source.Name]],SEARCH("aus_der",Sensitivität_bzw_Monte_Carlo_bei_Strom[[#This Row],[Source.Name]],1))="Auszahlung_a","Auszahlung",""),"")</f>
        <v/>
      </c>
      <c r="D1372" s="1"/>
    </row>
    <row r="1373" spans="1:4" x14ac:dyDescent="0.3">
      <c r="A1373" s="1"/>
      <c r="B1373" s="1" t="str">
        <f>IFERROR(IF(LEFT(Sensitivität_bzw_Monte_Carlo_bei_Strom[[#This Row],[Source.Name]],SEARCH("aus_der",Sensitivität_bzw_Monte_Carlo_bei_Strom[[#This Row],[Source.Name]],1))="Auszahlung_a","Auszahlung",""),"")</f>
        <v/>
      </c>
      <c r="D1373" s="1"/>
    </row>
    <row r="1374" spans="1:4" x14ac:dyDescent="0.3">
      <c r="A1374" s="1"/>
      <c r="B1374" s="1" t="str">
        <f>IFERROR(IF(LEFT(Sensitivität_bzw_Monte_Carlo_bei_Strom[[#This Row],[Source.Name]],SEARCH("aus_der",Sensitivität_bzw_Monte_Carlo_bei_Strom[[#This Row],[Source.Name]],1))="Auszahlung_a","Auszahlung",""),"")</f>
        <v/>
      </c>
      <c r="D1374" s="1"/>
    </row>
    <row r="1375" spans="1:4" x14ac:dyDescent="0.3">
      <c r="A1375" s="1"/>
      <c r="B1375" s="1" t="str">
        <f>IFERROR(IF(LEFT(Sensitivität_bzw_Monte_Carlo_bei_Strom[[#This Row],[Source.Name]],SEARCH("aus_der",Sensitivität_bzw_Monte_Carlo_bei_Strom[[#This Row],[Source.Name]],1))="Auszahlung_a","Auszahlung",""),"")</f>
        <v/>
      </c>
      <c r="D1375" s="1"/>
    </row>
    <row r="1376" spans="1:4" x14ac:dyDescent="0.3">
      <c r="A1376" s="1"/>
      <c r="B1376" s="1" t="str">
        <f>IFERROR(IF(LEFT(Sensitivität_bzw_Monte_Carlo_bei_Strom[[#This Row],[Source.Name]],SEARCH("aus_der",Sensitivität_bzw_Monte_Carlo_bei_Strom[[#This Row],[Source.Name]],1))="Auszahlung_a","Auszahlung",""),"")</f>
        <v/>
      </c>
      <c r="D1376" s="1"/>
    </row>
    <row r="1377" spans="1:4" x14ac:dyDescent="0.3">
      <c r="A1377" s="1"/>
      <c r="B1377" s="1" t="str">
        <f>IFERROR(IF(LEFT(Sensitivität_bzw_Monte_Carlo_bei_Strom[[#This Row],[Source.Name]],SEARCH("aus_der",Sensitivität_bzw_Monte_Carlo_bei_Strom[[#This Row],[Source.Name]],1))="Auszahlung_a","Auszahlung",""),"")</f>
        <v/>
      </c>
      <c r="D1377" s="1"/>
    </row>
    <row r="1378" spans="1:4" x14ac:dyDescent="0.3">
      <c r="A1378" s="1"/>
      <c r="B1378" s="1" t="str">
        <f>IFERROR(IF(LEFT(Sensitivität_bzw_Monte_Carlo_bei_Strom[[#This Row],[Source.Name]],SEARCH("aus_der",Sensitivität_bzw_Monte_Carlo_bei_Strom[[#This Row],[Source.Name]],1))="Auszahlung_a","Auszahlung",""),"")</f>
        <v/>
      </c>
      <c r="D1378" s="1"/>
    </row>
    <row r="1379" spans="1:4" x14ac:dyDescent="0.3">
      <c r="A1379" s="1"/>
      <c r="B1379" s="1" t="str">
        <f>IFERROR(IF(LEFT(Sensitivität_bzw_Monte_Carlo_bei_Strom[[#This Row],[Source.Name]],SEARCH("aus_der",Sensitivität_bzw_Monte_Carlo_bei_Strom[[#This Row],[Source.Name]],1))="Auszahlung_a","Auszahlung",""),"")</f>
        <v/>
      </c>
      <c r="D1379" s="1"/>
    </row>
    <row r="1380" spans="1:4" x14ac:dyDescent="0.3">
      <c r="A1380" s="1"/>
      <c r="B1380" s="1" t="str">
        <f>IFERROR(IF(LEFT(Sensitivität_bzw_Monte_Carlo_bei_Strom[[#This Row],[Source.Name]],SEARCH("aus_der",Sensitivität_bzw_Monte_Carlo_bei_Strom[[#This Row],[Source.Name]],1))="Auszahlung_a","Auszahlung",""),"")</f>
        <v/>
      </c>
      <c r="D1380" s="1"/>
    </row>
    <row r="1381" spans="1:4" x14ac:dyDescent="0.3">
      <c r="A1381" s="1"/>
      <c r="B1381" s="1" t="str">
        <f>IFERROR(IF(LEFT(Sensitivität_bzw_Monte_Carlo_bei_Strom[[#This Row],[Source.Name]],SEARCH("aus_der",Sensitivität_bzw_Monte_Carlo_bei_Strom[[#This Row],[Source.Name]],1))="Auszahlung_a","Auszahlung",""),"")</f>
        <v/>
      </c>
      <c r="D1381" s="1"/>
    </row>
    <row r="1382" spans="1:4" x14ac:dyDescent="0.3">
      <c r="A1382" s="1"/>
      <c r="B1382" s="1" t="str">
        <f>IFERROR(IF(LEFT(Sensitivität_bzw_Monte_Carlo_bei_Strom[[#This Row],[Source.Name]],SEARCH("aus_der",Sensitivität_bzw_Monte_Carlo_bei_Strom[[#This Row],[Source.Name]],1))="Auszahlung_a","Auszahlung",""),"")</f>
        <v/>
      </c>
      <c r="D1382" s="1"/>
    </row>
    <row r="1383" spans="1:4" x14ac:dyDescent="0.3">
      <c r="A1383" s="1"/>
      <c r="B1383" s="1" t="str">
        <f>IFERROR(IF(LEFT(Sensitivität_bzw_Monte_Carlo_bei_Strom[[#This Row],[Source.Name]],SEARCH("aus_der",Sensitivität_bzw_Monte_Carlo_bei_Strom[[#This Row],[Source.Name]],1))="Auszahlung_a","Auszahlung",""),"")</f>
        <v/>
      </c>
      <c r="D1383" s="1"/>
    </row>
    <row r="1384" spans="1:4" x14ac:dyDescent="0.3">
      <c r="A1384" s="1"/>
      <c r="B1384" s="1" t="str">
        <f>IFERROR(IF(LEFT(Sensitivität_bzw_Monte_Carlo_bei_Strom[[#This Row],[Source.Name]],SEARCH("aus_der",Sensitivität_bzw_Monte_Carlo_bei_Strom[[#This Row],[Source.Name]],1))="Auszahlung_a","Auszahlung",""),"")</f>
        <v/>
      </c>
      <c r="D1384" s="1"/>
    </row>
    <row r="1385" spans="1:4" x14ac:dyDescent="0.3">
      <c r="A1385" s="1"/>
      <c r="B1385" s="1" t="str">
        <f>IFERROR(IF(LEFT(Sensitivität_bzw_Monte_Carlo_bei_Strom[[#This Row],[Source.Name]],SEARCH("aus_der",Sensitivität_bzw_Monte_Carlo_bei_Strom[[#This Row],[Source.Name]],1))="Auszahlung_a","Auszahlung",""),"")</f>
        <v/>
      </c>
      <c r="D1385" s="1"/>
    </row>
    <row r="1386" spans="1:4" x14ac:dyDescent="0.3">
      <c r="A1386" s="1"/>
      <c r="B1386" s="1" t="str">
        <f>IFERROR(IF(LEFT(Sensitivität_bzw_Monte_Carlo_bei_Strom[[#This Row],[Source.Name]],SEARCH("aus_der",Sensitivität_bzw_Monte_Carlo_bei_Strom[[#This Row],[Source.Name]],1))="Auszahlung_a","Auszahlung",""),"")</f>
        <v/>
      </c>
      <c r="D1386" s="1"/>
    </row>
    <row r="1387" spans="1:4" x14ac:dyDescent="0.3">
      <c r="A1387" s="1"/>
      <c r="B1387" s="1" t="str">
        <f>IFERROR(IF(LEFT(Sensitivität_bzw_Monte_Carlo_bei_Strom[[#This Row],[Source.Name]],SEARCH("aus_der",Sensitivität_bzw_Monte_Carlo_bei_Strom[[#This Row],[Source.Name]],1))="Auszahlung_a","Auszahlung",""),"")</f>
        <v/>
      </c>
      <c r="D1387" s="1"/>
    </row>
    <row r="1388" spans="1:4" x14ac:dyDescent="0.3">
      <c r="A1388" s="1"/>
      <c r="B1388" s="1" t="str">
        <f>IFERROR(IF(LEFT(Sensitivität_bzw_Monte_Carlo_bei_Strom[[#This Row],[Source.Name]],SEARCH("aus_der",Sensitivität_bzw_Monte_Carlo_bei_Strom[[#This Row],[Source.Name]],1))="Auszahlung_a","Auszahlung",""),"")</f>
        <v/>
      </c>
      <c r="D1388" s="1"/>
    </row>
    <row r="1389" spans="1:4" x14ac:dyDescent="0.3">
      <c r="A1389" s="1"/>
      <c r="B1389" s="1" t="str">
        <f>IFERROR(IF(LEFT(Sensitivität_bzw_Monte_Carlo_bei_Strom[[#This Row],[Source.Name]],SEARCH("aus_der",Sensitivität_bzw_Monte_Carlo_bei_Strom[[#This Row],[Source.Name]],1))="Auszahlung_a","Auszahlung",""),"")</f>
        <v/>
      </c>
      <c r="D1389" s="1"/>
    </row>
    <row r="1390" spans="1:4" x14ac:dyDescent="0.3">
      <c r="A1390" s="1"/>
      <c r="B1390" s="1" t="str">
        <f>IFERROR(IF(LEFT(Sensitivität_bzw_Monte_Carlo_bei_Strom[[#This Row],[Source.Name]],SEARCH("aus_der",Sensitivität_bzw_Monte_Carlo_bei_Strom[[#This Row],[Source.Name]],1))="Auszahlung_a","Auszahlung",""),"")</f>
        <v/>
      </c>
      <c r="D1390" s="1"/>
    </row>
    <row r="1391" spans="1:4" x14ac:dyDescent="0.3">
      <c r="A1391" s="1"/>
      <c r="B1391" s="1" t="str">
        <f>IFERROR(IF(LEFT(Sensitivität_bzw_Monte_Carlo_bei_Strom[[#This Row],[Source.Name]],SEARCH("aus_der",Sensitivität_bzw_Monte_Carlo_bei_Strom[[#This Row],[Source.Name]],1))="Auszahlung_a","Auszahlung",""),"")</f>
        <v/>
      </c>
      <c r="D1391" s="1"/>
    </row>
    <row r="1392" spans="1:4" x14ac:dyDescent="0.3">
      <c r="A1392" s="1"/>
      <c r="B1392" s="1" t="str">
        <f>IFERROR(IF(LEFT(Sensitivität_bzw_Monte_Carlo_bei_Strom[[#This Row],[Source.Name]],SEARCH("aus_der",Sensitivität_bzw_Monte_Carlo_bei_Strom[[#This Row],[Source.Name]],1))="Auszahlung_a","Auszahlung",""),"")</f>
        <v/>
      </c>
      <c r="D1392" s="1"/>
    </row>
    <row r="1393" spans="1:4" x14ac:dyDescent="0.3">
      <c r="A1393" s="1"/>
      <c r="B1393" s="1" t="str">
        <f>IFERROR(IF(LEFT(Sensitivität_bzw_Monte_Carlo_bei_Strom[[#This Row],[Source.Name]],SEARCH("aus_der",Sensitivität_bzw_Monte_Carlo_bei_Strom[[#This Row],[Source.Name]],1))="Auszahlung_a","Auszahlung",""),"")</f>
        <v/>
      </c>
      <c r="D1393" s="1"/>
    </row>
    <row r="1394" spans="1:4" x14ac:dyDescent="0.3">
      <c r="A1394" s="1"/>
      <c r="B1394" s="1" t="str">
        <f>IFERROR(IF(LEFT(Sensitivität_bzw_Monte_Carlo_bei_Strom[[#This Row],[Source.Name]],SEARCH("aus_der",Sensitivität_bzw_Monte_Carlo_bei_Strom[[#This Row],[Source.Name]],1))="Auszahlung_a","Auszahlung",""),"")</f>
        <v/>
      </c>
      <c r="D1394" s="1"/>
    </row>
    <row r="1395" spans="1:4" x14ac:dyDescent="0.3">
      <c r="A1395" s="1"/>
      <c r="B1395" s="1" t="str">
        <f>IFERROR(IF(LEFT(Sensitivität_bzw_Monte_Carlo_bei_Strom[[#This Row],[Source.Name]],SEARCH("aus_der",Sensitivität_bzw_Monte_Carlo_bei_Strom[[#This Row],[Source.Name]],1))="Auszahlung_a","Auszahlung",""),"")</f>
        <v/>
      </c>
      <c r="D1395" s="1"/>
    </row>
    <row r="1396" spans="1:4" x14ac:dyDescent="0.3">
      <c r="A1396" s="1"/>
      <c r="B1396" s="1" t="str">
        <f>IFERROR(IF(LEFT(Sensitivität_bzw_Monte_Carlo_bei_Strom[[#This Row],[Source.Name]],SEARCH("aus_der",Sensitivität_bzw_Monte_Carlo_bei_Strom[[#This Row],[Source.Name]],1))="Auszahlung_a","Auszahlung",""),"")</f>
        <v/>
      </c>
      <c r="D1396" s="1"/>
    </row>
    <row r="1397" spans="1:4" x14ac:dyDescent="0.3">
      <c r="A1397" s="1"/>
      <c r="B1397" s="1" t="str">
        <f>IFERROR(IF(LEFT(Sensitivität_bzw_Monte_Carlo_bei_Strom[[#This Row],[Source.Name]],SEARCH("aus_der",Sensitivität_bzw_Monte_Carlo_bei_Strom[[#This Row],[Source.Name]],1))="Auszahlung_a","Auszahlung",""),"")</f>
        <v/>
      </c>
      <c r="D1397" s="1"/>
    </row>
    <row r="1398" spans="1:4" x14ac:dyDescent="0.3">
      <c r="A1398" s="1"/>
      <c r="B1398" s="1" t="str">
        <f>IFERROR(IF(LEFT(Sensitivität_bzw_Monte_Carlo_bei_Strom[[#This Row],[Source.Name]],SEARCH("aus_der",Sensitivität_bzw_Monte_Carlo_bei_Strom[[#This Row],[Source.Name]],1))="Auszahlung_a","Auszahlung",""),"")</f>
        <v/>
      </c>
      <c r="D1398" s="1"/>
    </row>
    <row r="1399" spans="1:4" x14ac:dyDescent="0.3">
      <c r="A1399" s="1"/>
      <c r="B1399" s="1" t="str">
        <f>IFERROR(IF(LEFT(Sensitivität_bzw_Monte_Carlo_bei_Strom[[#This Row],[Source.Name]],SEARCH("aus_der",Sensitivität_bzw_Monte_Carlo_bei_Strom[[#This Row],[Source.Name]],1))="Auszahlung_a","Auszahlung",""),"")</f>
        <v/>
      </c>
      <c r="D1399" s="1"/>
    </row>
    <row r="1400" spans="1:4" x14ac:dyDescent="0.3">
      <c r="A1400" s="1"/>
      <c r="B1400" s="1" t="str">
        <f>IFERROR(IF(LEFT(Sensitivität_bzw_Monte_Carlo_bei_Strom[[#This Row],[Source.Name]],SEARCH("aus_der",Sensitivität_bzw_Monte_Carlo_bei_Strom[[#This Row],[Source.Name]],1))="Auszahlung_a","Auszahlung",""),"")</f>
        <v/>
      </c>
      <c r="D1400" s="1"/>
    </row>
    <row r="1401" spans="1:4" x14ac:dyDescent="0.3">
      <c r="A1401" s="1"/>
      <c r="B1401" s="1" t="str">
        <f>IFERROR(IF(LEFT(Sensitivität_bzw_Monte_Carlo_bei_Strom[[#This Row],[Source.Name]],SEARCH("aus_der",Sensitivität_bzw_Monte_Carlo_bei_Strom[[#This Row],[Source.Name]],1))="Auszahlung_a","Auszahlung",""),"")</f>
        <v/>
      </c>
      <c r="D1401" s="1"/>
    </row>
    <row r="1402" spans="1:4" x14ac:dyDescent="0.3">
      <c r="A1402" s="1"/>
      <c r="B1402" s="1" t="str">
        <f>IFERROR(IF(LEFT(Sensitivität_bzw_Monte_Carlo_bei_Strom[[#This Row],[Source.Name]],SEARCH("aus_der",Sensitivität_bzw_Monte_Carlo_bei_Strom[[#This Row],[Source.Name]],1))="Auszahlung_a","Auszahlung",""),"")</f>
        <v/>
      </c>
      <c r="D1402" s="1"/>
    </row>
    <row r="1403" spans="1:4" x14ac:dyDescent="0.3">
      <c r="A1403" s="1"/>
      <c r="B1403" s="1" t="str">
        <f>IFERROR(IF(LEFT(Sensitivität_bzw_Monte_Carlo_bei_Strom[[#This Row],[Source.Name]],SEARCH("aus_der",Sensitivität_bzw_Monte_Carlo_bei_Strom[[#This Row],[Source.Name]],1))="Auszahlung_a","Auszahlung",""),"")</f>
        <v/>
      </c>
      <c r="D1403" s="1"/>
    </row>
    <row r="1404" spans="1:4" x14ac:dyDescent="0.3">
      <c r="A1404" s="1"/>
      <c r="B1404" s="1" t="str">
        <f>IFERROR(IF(LEFT(Sensitivität_bzw_Monte_Carlo_bei_Strom[[#This Row],[Source.Name]],SEARCH("aus_der",Sensitivität_bzw_Monte_Carlo_bei_Strom[[#This Row],[Source.Name]],1))="Auszahlung_a","Auszahlung",""),"")</f>
        <v/>
      </c>
      <c r="D1404" s="1"/>
    </row>
    <row r="1405" spans="1:4" x14ac:dyDescent="0.3">
      <c r="A1405" s="1"/>
      <c r="B1405" s="1" t="str">
        <f>IFERROR(IF(LEFT(Sensitivität_bzw_Monte_Carlo_bei_Strom[[#This Row],[Source.Name]],SEARCH("aus_der",Sensitivität_bzw_Monte_Carlo_bei_Strom[[#This Row],[Source.Name]],1))="Auszahlung_a","Auszahlung",""),"")</f>
        <v/>
      </c>
      <c r="D1405" s="1"/>
    </row>
    <row r="1406" spans="1:4" x14ac:dyDescent="0.3">
      <c r="A1406" s="1"/>
      <c r="B1406" s="1" t="str">
        <f>IFERROR(IF(LEFT(Sensitivität_bzw_Monte_Carlo_bei_Strom[[#This Row],[Source.Name]],SEARCH("aus_der",Sensitivität_bzw_Monte_Carlo_bei_Strom[[#This Row],[Source.Name]],1))="Auszahlung_a","Auszahlung",""),"")</f>
        <v/>
      </c>
      <c r="D1406" s="1"/>
    </row>
    <row r="1407" spans="1:4" x14ac:dyDescent="0.3">
      <c r="A1407" s="1"/>
      <c r="B1407" s="1" t="str">
        <f>IFERROR(IF(LEFT(Sensitivität_bzw_Monte_Carlo_bei_Strom[[#This Row],[Source.Name]],SEARCH("aus_der",Sensitivität_bzw_Monte_Carlo_bei_Strom[[#This Row],[Source.Name]],1))="Auszahlung_a","Auszahlung",""),"")</f>
        <v/>
      </c>
      <c r="D1407" s="1"/>
    </row>
    <row r="1408" spans="1:4" x14ac:dyDescent="0.3">
      <c r="A1408" s="1"/>
      <c r="B1408" s="1" t="str">
        <f>IFERROR(IF(LEFT(Sensitivität_bzw_Monte_Carlo_bei_Strom[[#This Row],[Source.Name]],SEARCH("aus_der",Sensitivität_bzw_Monte_Carlo_bei_Strom[[#This Row],[Source.Name]],1))="Auszahlung_a","Auszahlung",""),"")</f>
        <v/>
      </c>
      <c r="D1408" s="1"/>
    </row>
    <row r="1409" spans="1:4" x14ac:dyDescent="0.3">
      <c r="A1409" s="1"/>
      <c r="B1409" s="1" t="str">
        <f>IFERROR(IF(LEFT(Sensitivität_bzw_Monte_Carlo_bei_Strom[[#This Row],[Source.Name]],SEARCH("aus_der",Sensitivität_bzw_Monte_Carlo_bei_Strom[[#This Row],[Source.Name]],1))="Auszahlung_a","Auszahlung",""),"")</f>
        <v/>
      </c>
      <c r="D1409" s="1"/>
    </row>
    <row r="1410" spans="1:4" x14ac:dyDescent="0.3">
      <c r="A1410" s="1"/>
      <c r="B1410" s="1" t="str">
        <f>IFERROR(IF(LEFT(Sensitivität_bzw_Monte_Carlo_bei_Strom[[#This Row],[Source.Name]],SEARCH("aus_der",Sensitivität_bzw_Monte_Carlo_bei_Strom[[#This Row],[Source.Name]],1))="Auszahlung_a","Auszahlung",""),"")</f>
        <v/>
      </c>
      <c r="D1410" s="1"/>
    </row>
    <row r="1411" spans="1:4" x14ac:dyDescent="0.3">
      <c r="A1411" s="1"/>
      <c r="B1411" s="1" t="str">
        <f>IFERROR(IF(LEFT(Sensitivität_bzw_Monte_Carlo_bei_Strom[[#This Row],[Source.Name]],SEARCH("aus_der",Sensitivität_bzw_Monte_Carlo_bei_Strom[[#This Row],[Source.Name]],1))="Auszahlung_a","Auszahlung",""),"")</f>
        <v/>
      </c>
      <c r="D1411" s="1"/>
    </row>
    <row r="1412" spans="1:4" x14ac:dyDescent="0.3">
      <c r="A1412" s="1"/>
      <c r="B1412" s="1" t="str">
        <f>IFERROR(IF(LEFT(Sensitivität_bzw_Monte_Carlo_bei_Strom[[#This Row],[Source.Name]],SEARCH("aus_der",Sensitivität_bzw_Monte_Carlo_bei_Strom[[#This Row],[Source.Name]],1))="Auszahlung_a","Auszahlung",""),"")</f>
        <v/>
      </c>
      <c r="D1412" s="1"/>
    </row>
    <row r="1413" spans="1:4" x14ac:dyDescent="0.3">
      <c r="A1413" s="1"/>
      <c r="B1413" s="1" t="str">
        <f>IFERROR(IF(LEFT(Sensitivität_bzw_Monte_Carlo_bei_Strom[[#This Row],[Source.Name]],SEARCH("aus_der",Sensitivität_bzw_Monte_Carlo_bei_Strom[[#This Row],[Source.Name]],1))="Auszahlung_a","Auszahlung",""),"")</f>
        <v/>
      </c>
      <c r="D1413" s="1"/>
    </row>
    <row r="1414" spans="1:4" x14ac:dyDescent="0.3">
      <c r="A1414" s="1"/>
      <c r="B1414" s="1" t="str">
        <f>IFERROR(IF(LEFT(Sensitivität_bzw_Monte_Carlo_bei_Strom[[#This Row],[Source.Name]],SEARCH("aus_der",Sensitivität_bzw_Monte_Carlo_bei_Strom[[#This Row],[Source.Name]],1))="Auszahlung_a","Auszahlung",""),"")</f>
        <v/>
      </c>
      <c r="D1414" s="1"/>
    </row>
    <row r="1415" spans="1:4" x14ac:dyDescent="0.3">
      <c r="A1415" s="1"/>
      <c r="B1415" s="1" t="str">
        <f>IFERROR(IF(LEFT(Sensitivität_bzw_Monte_Carlo_bei_Strom[[#This Row],[Source.Name]],SEARCH("aus_der",Sensitivität_bzw_Monte_Carlo_bei_Strom[[#This Row],[Source.Name]],1))="Auszahlung_a","Auszahlung",""),"")</f>
        <v/>
      </c>
      <c r="D1415" s="1"/>
    </row>
    <row r="1416" spans="1:4" x14ac:dyDescent="0.3">
      <c r="A1416" s="1"/>
      <c r="B1416" s="1" t="str">
        <f>IFERROR(IF(LEFT(Sensitivität_bzw_Monte_Carlo_bei_Strom[[#This Row],[Source.Name]],SEARCH("aus_der",Sensitivität_bzw_Monte_Carlo_bei_Strom[[#This Row],[Source.Name]],1))="Auszahlung_a","Auszahlung",""),"")</f>
        <v/>
      </c>
      <c r="D1416" s="1"/>
    </row>
    <row r="1417" spans="1:4" x14ac:dyDescent="0.3">
      <c r="A1417" s="1"/>
      <c r="B1417" s="1" t="str">
        <f>IFERROR(IF(LEFT(Sensitivität_bzw_Monte_Carlo_bei_Strom[[#This Row],[Source.Name]],SEARCH("aus_der",Sensitivität_bzw_Monte_Carlo_bei_Strom[[#This Row],[Source.Name]],1))="Auszahlung_a","Auszahlung",""),"")</f>
        <v/>
      </c>
      <c r="D1417" s="1"/>
    </row>
    <row r="1418" spans="1:4" x14ac:dyDescent="0.3">
      <c r="A1418" s="1"/>
      <c r="B1418" s="1" t="str">
        <f>IFERROR(IF(LEFT(Sensitivität_bzw_Monte_Carlo_bei_Strom[[#This Row],[Source.Name]],SEARCH("aus_der",Sensitivität_bzw_Monte_Carlo_bei_Strom[[#This Row],[Source.Name]],1))="Auszahlung_a","Auszahlung",""),"")</f>
        <v/>
      </c>
      <c r="D1418" s="1"/>
    </row>
    <row r="1419" spans="1:4" x14ac:dyDescent="0.3">
      <c r="A1419" s="1"/>
      <c r="B1419" s="1" t="str">
        <f>IFERROR(IF(LEFT(Sensitivität_bzw_Monte_Carlo_bei_Strom[[#This Row],[Source.Name]],SEARCH("aus_der",Sensitivität_bzw_Monte_Carlo_bei_Strom[[#This Row],[Source.Name]],1))="Auszahlung_a","Auszahlung",""),"")</f>
        <v/>
      </c>
      <c r="D1419" s="1"/>
    </row>
    <row r="1420" spans="1:4" x14ac:dyDescent="0.3">
      <c r="A1420" s="1"/>
      <c r="B1420" s="1" t="str">
        <f>IFERROR(IF(LEFT(Sensitivität_bzw_Monte_Carlo_bei_Strom[[#This Row],[Source.Name]],SEARCH("aus_der",Sensitivität_bzw_Monte_Carlo_bei_Strom[[#This Row],[Source.Name]],1))="Auszahlung_a","Auszahlung",""),"")</f>
        <v/>
      </c>
      <c r="D1420" s="1"/>
    </row>
    <row r="1421" spans="1:4" x14ac:dyDescent="0.3">
      <c r="A1421" s="1"/>
      <c r="B1421" s="1" t="str">
        <f>IFERROR(IF(LEFT(Sensitivität_bzw_Monte_Carlo_bei_Strom[[#This Row],[Source.Name]],SEARCH("aus_der",Sensitivität_bzw_Monte_Carlo_bei_Strom[[#This Row],[Source.Name]],1))="Auszahlung_a","Auszahlung",""),"")</f>
        <v/>
      </c>
      <c r="D1421" s="1"/>
    </row>
    <row r="1422" spans="1:4" x14ac:dyDescent="0.3">
      <c r="A1422" s="1"/>
      <c r="B1422" s="1" t="str">
        <f>IFERROR(IF(LEFT(Sensitivität_bzw_Monte_Carlo_bei_Strom[[#This Row],[Source.Name]],SEARCH("aus_der",Sensitivität_bzw_Monte_Carlo_bei_Strom[[#This Row],[Source.Name]],1))="Auszahlung_a","Auszahlung",""),"")</f>
        <v/>
      </c>
      <c r="D1422" s="1"/>
    </row>
    <row r="1423" spans="1:4" x14ac:dyDescent="0.3">
      <c r="A1423" s="1"/>
      <c r="B1423" s="1" t="str">
        <f>IFERROR(IF(LEFT(Sensitivität_bzw_Monte_Carlo_bei_Strom[[#This Row],[Source.Name]],SEARCH("aus_der",Sensitivität_bzw_Monte_Carlo_bei_Strom[[#This Row],[Source.Name]],1))="Auszahlung_a","Auszahlung",""),"")</f>
        <v/>
      </c>
      <c r="D1423" s="1"/>
    </row>
    <row r="1424" spans="1:4" x14ac:dyDescent="0.3">
      <c r="A1424" s="1"/>
      <c r="B1424" s="1" t="str">
        <f>IFERROR(IF(LEFT(Sensitivität_bzw_Monte_Carlo_bei_Strom[[#This Row],[Source.Name]],SEARCH("aus_der",Sensitivität_bzw_Monte_Carlo_bei_Strom[[#This Row],[Source.Name]],1))="Auszahlung_a","Auszahlung",""),"")</f>
        <v/>
      </c>
      <c r="D1424" s="1"/>
    </row>
    <row r="1425" spans="1:4" x14ac:dyDescent="0.3">
      <c r="A1425" s="1"/>
      <c r="B1425" s="1" t="str">
        <f>IFERROR(IF(LEFT(Sensitivität_bzw_Monte_Carlo_bei_Strom[[#This Row],[Source.Name]],SEARCH("aus_der",Sensitivität_bzw_Monte_Carlo_bei_Strom[[#This Row],[Source.Name]],1))="Auszahlung_a","Auszahlung",""),"")</f>
        <v/>
      </c>
      <c r="D1425" s="1"/>
    </row>
    <row r="1426" spans="1:4" x14ac:dyDescent="0.3">
      <c r="A1426" s="1"/>
      <c r="B1426" s="1" t="str">
        <f>IFERROR(IF(LEFT(Sensitivität_bzw_Monte_Carlo_bei_Strom[[#This Row],[Source.Name]],SEARCH("aus_der",Sensitivität_bzw_Monte_Carlo_bei_Strom[[#This Row],[Source.Name]],1))="Auszahlung_a","Auszahlung",""),"")</f>
        <v/>
      </c>
      <c r="D1426" s="1"/>
    </row>
    <row r="1427" spans="1:4" x14ac:dyDescent="0.3">
      <c r="A1427" s="1"/>
      <c r="B1427" s="1" t="str">
        <f>IFERROR(IF(LEFT(Sensitivität_bzw_Monte_Carlo_bei_Strom[[#This Row],[Source.Name]],SEARCH("aus_der",Sensitivität_bzw_Monte_Carlo_bei_Strom[[#This Row],[Source.Name]],1))="Auszahlung_a","Auszahlung",""),"")</f>
        <v/>
      </c>
      <c r="D1427" s="1"/>
    </row>
    <row r="1428" spans="1:4" x14ac:dyDescent="0.3">
      <c r="A1428" s="1"/>
      <c r="B1428" s="1" t="str">
        <f>IFERROR(IF(LEFT(Sensitivität_bzw_Monte_Carlo_bei_Strom[[#This Row],[Source.Name]],SEARCH("aus_der",Sensitivität_bzw_Monte_Carlo_bei_Strom[[#This Row],[Source.Name]],1))="Auszahlung_a","Auszahlung",""),"")</f>
        <v/>
      </c>
      <c r="D1428" s="1"/>
    </row>
    <row r="1429" spans="1:4" x14ac:dyDescent="0.3">
      <c r="A1429" s="1"/>
      <c r="B1429" s="1" t="str">
        <f>IFERROR(IF(LEFT(Sensitivität_bzw_Monte_Carlo_bei_Strom[[#This Row],[Source.Name]],SEARCH("aus_der",Sensitivität_bzw_Monte_Carlo_bei_Strom[[#This Row],[Source.Name]],1))="Auszahlung_a","Auszahlung",""),"")</f>
        <v/>
      </c>
      <c r="D1429" s="1"/>
    </row>
    <row r="1430" spans="1:4" x14ac:dyDescent="0.3">
      <c r="A1430" s="1"/>
      <c r="B1430" s="1" t="str">
        <f>IFERROR(IF(LEFT(Sensitivität_bzw_Monte_Carlo_bei_Strom[[#This Row],[Source.Name]],SEARCH("aus_der",Sensitivität_bzw_Monte_Carlo_bei_Strom[[#This Row],[Source.Name]],1))="Auszahlung_a","Auszahlung",""),"")</f>
        <v/>
      </c>
      <c r="D1430" s="1"/>
    </row>
    <row r="1431" spans="1:4" x14ac:dyDescent="0.3">
      <c r="A1431" s="1"/>
      <c r="B1431" s="1" t="str">
        <f>IFERROR(IF(LEFT(Sensitivität_bzw_Monte_Carlo_bei_Strom[[#This Row],[Source.Name]],SEARCH("aus_der",Sensitivität_bzw_Monte_Carlo_bei_Strom[[#This Row],[Source.Name]],1))="Auszahlung_a","Auszahlung",""),"")</f>
        <v/>
      </c>
      <c r="D1431" s="1"/>
    </row>
    <row r="1432" spans="1:4" x14ac:dyDescent="0.3">
      <c r="A1432" s="1"/>
      <c r="B1432" s="1" t="str">
        <f>IFERROR(IF(LEFT(Sensitivität_bzw_Monte_Carlo_bei_Strom[[#This Row],[Source.Name]],SEARCH("aus_der",Sensitivität_bzw_Monte_Carlo_bei_Strom[[#This Row],[Source.Name]],1))="Auszahlung_a","Auszahlung",""),"")</f>
        <v/>
      </c>
      <c r="D1432" s="1"/>
    </row>
    <row r="1433" spans="1:4" x14ac:dyDescent="0.3">
      <c r="A1433" s="1"/>
      <c r="B1433" s="1" t="str">
        <f>IFERROR(IF(LEFT(Sensitivität_bzw_Monte_Carlo_bei_Strom[[#This Row],[Source.Name]],SEARCH("aus_der",Sensitivität_bzw_Monte_Carlo_bei_Strom[[#This Row],[Source.Name]],1))="Auszahlung_a","Auszahlung",""),"")</f>
        <v/>
      </c>
      <c r="D1433" s="1"/>
    </row>
    <row r="1434" spans="1:4" x14ac:dyDescent="0.3">
      <c r="A1434" s="1"/>
      <c r="B1434" s="1" t="str">
        <f>IFERROR(IF(LEFT(Sensitivität_bzw_Monte_Carlo_bei_Strom[[#This Row],[Source.Name]],SEARCH("aus_der",Sensitivität_bzw_Monte_Carlo_bei_Strom[[#This Row],[Source.Name]],1))="Auszahlung_a","Auszahlung",""),"")</f>
        <v/>
      </c>
      <c r="D1434" s="1"/>
    </row>
    <row r="1435" spans="1:4" x14ac:dyDescent="0.3">
      <c r="A1435" s="1"/>
      <c r="B1435" s="1" t="str">
        <f>IFERROR(IF(LEFT(Sensitivität_bzw_Monte_Carlo_bei_Strom[[#This Row],[Source.Name]],SEARCH("aus_der",Sensitivität_bzw_Monte_Carlo_bei_Strom[[#This Row],[Source.Name]],1))="Auszahlung_a","Auszahlung",""),"")</f>
        <v/>
      </c>
      <c r="D1435" s="1"/>
    </row>
    <row r="1436" spans="1:4" x14ac:dyDescent="0.3">
      <c r="A1436" s="1"/>
      <c r="B1436" s="1" t="str">
        <f>IFERROR(IF(LEFT(Sensitivität_bzw_Monte_Carlo_bei_Strom[[#This Row],[Source.Name]],SEARCH("aus_der",Sensitivität_bzw_Monte_Carlo_bei_Strom[[#This Row],[Source.Name]],1))="Auszahlung_a","Auszahlung",""),"")</f>
        <v/>
      </c>
      <c r="D1436" s="1"/>
    </row>
    <row r="1437" spans="1:4" x14ac:dyDescent="0.3">
      <c r="A1437" s="1"/>
      <c r="B1437" s="1" t="str">
        <f>IFERROR(IF(LEFT(Sensitivität_bzw_Monte_Carlo_bei_Strom[[#This Row],[Source.Name]],SEARCH("aus_der",Sensitivität_bzw_Monte_Carlo_bei_Strom[[#This Row],[Source.Name]],1))="Auszahlung_a","Auszahlung",""),"")</f>
        <v/>
      </c>
      <c r="D1437" s="1"/>
    </row>
    <row r="1438" spans="1:4" x14ac:dyDescent="0.3">
      <c r="A1438" s="1"/>
      <c r="B1438" s="1" t="str">
        <f>IFERROR(IF(LEFT(Sensitivität_bzw_Monte_Carlo_bei_Strom[[#This Row],[Source.Name]],SEARCH("aus_der",Sensitivität_bzw_Monte_Carlo_bei_Strom[[#This Row],[Source.Name]],1))="Auszahlung_a","Auszahlung",""),"")</f>
        <v/>
      </c>
      <c r="D1438" s="1"/>
    </row>
    <row r="1439" spans="1:4" x14ac:dyDescent="0.3">
      <c r="A1439" s="1"/>
      <c r="B1439" s="1" t="str">
        <f>IFERROR(IF(LEFT(Sensitivität_bzw_Monte_Carlo_bei_Strom[[#This Row],[Source.Name]],SEARCH("aus_der",Sensitivität_bzw_Monte_Carlo_bei_Strom[[#This Row],[Source.Name]],1))="Auszahlung_a","Auszahlung",""),"")</f>
        <v/>
      </c>
      <c r="D1439" s="1"/>
    </row>
    <row r="1440" spans="1:4" x14ac:dyDescent="0.3">
      <c r="A1440" s="1"/>
      <c r="B1440" s="1" t="str">
        <f>IFERROR(IF(LEFT(Sensitivität_bzw_Monte_Carlo_bei_Strom[[#This Row],[Source.Name]],SEARCH("aus_der",Sensitivität_bzw_Monte_Carlo_bei_Strom[[#This Row],[Source.Name]],1))="Auszahlung_a","Auszahlung",""),"")</f>
        <v/>
      </c>
      <c r="D1440" s="1"/>
    </row>
    <row r="1441" spans="1:4" x14ac:dyDescent="0.3">
      <c r="A1441" s="1"/>
      <c r="B1441" s="1" t="str">
        <f>IFERROR(IF(LEFT(Sensitivität_bzw_Monte_Carlo_bei_Strom[[#This Row],[Source.Name]],SEARCH("aus_der",Sensitivität_bzw_Monte_Carlo_bei_Strom[[#This Row],[Source.Name]],1))="Auszahlung_a","Auszahlung",""),"")</f>
        <v/>
      </c>
      <c r="D1441" s="1"/>
    </row>
    <row r="1442" spans="1:4" x14ac:dyDescent="0.3">
      <c r="A1442" s="1"/>
      <c r="B1442" s="1" t="str">
        <f>IFERROR(IF(LEFT(Sensitivität_bzw_Monte_Carlo_bei_Strom[[#This Row],[Source.Name]],SEARCH("aus_der",Sensitivität_bzw_Monte_Carlo_bei_Strom[[#This Row],[Source.Name]],1))="Auszahlung_a","Auszahlung",""),"")</f>
        <v/>
      </c>
      <c r="D1442" s="1"/>
    </row>
    <row r="1443" spans="1:4" x14ac:dyDescent="0.3">
      <c r="A1443" s="1"/>
      <c r="B1443" s="1" t="str">
        <f>IFERROR(IF(LEFT(Sensitivität_bzw_Monte_Carlo_bei_Strom[[#This Row],[Source.Name]],SEARCH("aus_der",Sensitivität_bzw_Monte_Carlo_bei_Strom[[#This Row],[Source.Name]],1))="Auszahlung_a","Auszahlung",""),"")</f>
        <v/>
      </c>
      <c r="D1443" s="1"/>
    </row>
    <row r="1444" spans="1:4" x14ac:dyDescent="0.3">
      <c r="A1444" s="1"/>
      <c r="B1444" s="1" t="str">
        <f>IFERROR(IF(LEFT(Sensitivität_bzw_Monte_Carlo_bei_Strom[[#This Row],[Source.Name]],SEARCH("aus_der",Sensitivität_bzw_Monte_Carlo_bei_Strom[[#This Row],[Source.Name]],1))="Auszahlung_a","Auszahlung",""),"")</f>
        <v/>
      </c>
      <c r="D1444" s="1"/>
    </row>
    <row r="1445" spans="1:4" x14ac:dyDescent="0.3">
      <c r="A1445" s="1"/>
      <c r="B1445" s="1" t="str">
        <f>IFERROR(IF(LEFT(Sensitivität_bzw_Monte_Carlo_bei_Strom[[#This Row],[Source.Name]],SEARCH("aus_der",Sensitivität_bzw_Monte_Carlo_bei_Strom[[#This Row],[Source.Name]],1))="Auszahlung_a","Auszahlung",""),"")</f>
        <v/>
      </c>
      <c r="D1445" s="1"/>
    </row>
    <row r="1446" spans="1:4" x14ac:dyDescent="0.3">
      <c r="A1446" s="1"/>
      <c r="B1446" s="1" t="str">
        <f>IFERROR(IF(LEFT(Sensitivität_bzw_Monte_Carlo_bei_Strom[[#This Row],[Source.Name]],SEARCH("aus_der",Sensitivität_bzw_Monte_Carlo_bei_Strom[[#This Row],[Source.Name]],1))="Auszahlung_a","Auszahlung",""),"")</f>
        <v/>
      </c>
      <c r="D1446" s="1"/>
    </row>
    <row r="1447" spans="1:4" x14ac:dyDescent="0.3">
      <c r="A1447" s="1"/>
      <c r="B1447" s="1" t="str">
        <f>IFERROR(IF(LEFT(Sensitivität_bzw_Monte_Carlo_bei_Strom[[#This Row],[Source.Name]],SEARCH("aus_der",Sensitivität_bzw_Monte_Carlo_bei_Strom[[#This Row],[Source.Name]],1))="Auszahlung_a","Auszahlung",""),"")</f>
        <v/>
      </c>
      <c r="D1447" s="1"/>
    </row>
    <row r="1448" spans="1:4" x14ac:dyDescent="0.3">
      <c r="A1448" s="1"/>
      <c r="B1448" s="1" t="str">
        <f>IFERROR(IF(LEFT(Sensitivität_bzw_Monte_Carlo_bei_Strom[[#This Row],[Source.Name]],SEARCH("aus_der",Sensitivität_bzw_Monte_Carlo_bei_Strom[[#This Row],[Source.Name]],1))="Auszahlung_a","Auszahlung",""),"")</f>
        <v/>
      </c>
      <c r="D1448" s="1"/>
    </row>
    <row r="1449" spans="1:4" x14ac:dyDescent="0.3">
      <c r="A1449" s="1"/>
      <c r="B1449" s="1" t="str">
        <f>IFERROR(IF(LEFT(Sensitivität_bzw_Monte_Carlo_bei_Strom[[#This Row],[Source.Name]],SEARCH("aus_der",Sensitivität_bzw_Monte_Carlo_bei_Strom[[#This Row],[Source.Name]],1))="Auszahlung_a","Auszahlung",""),"")</f>
        <v/>
      </c>
      <c r="D1449" s="1"/>
    </row>
    <row r="1450" spans="1:4" x14ac:dyDescent="0.3">
      <c r="A1450" s="1"/>
      <c r="B1450" s="1" t="str">
        <f>IFERROR(IF(LEFT(Sensitivität_bzw_Monte_Carlo_bei_Strom[[#This Row],[Source.Name]],SEARCH("aus_der",Sensitivität_bzw_Monte_Carlo_bei_Strom[[#This Row],[Source.Name]],1))="Auszahlung_a","Auszahlung",""),"")</f>
        <v/>
      </c>
      <c r="D1450" s="1"/>
    </row>
    <row r="1451" spans="1:4" x14ac:dyDescent="0.3">
      <c r="A1451" s="1"/>
      <c r="B1451" s="1" t="str">
        <f>IFERROR(IF(LEFT(Sensitivität_bzw_Monte_Carlo_bei_Strom[[#This Row],[Source.Name]],SEARCH("aus_der",Sensitivität_bzw_Monte_Carlo_bei_Strom[[#This Row],[Source.Name]],1))="Auszahlung_a","Auszahlung",""),"")</f>
        <v/>
      </c>
      <c r="D1451" s="1"/>
    </row>
    <row r="1452" spans="1:4" x14ac:dyDescent="0.3">
      <c r="A1452" s="1"/>
      <c r="B1452" s="1" t="str">
        <f>IFERROR(IF(LEFT(Sensitivität_bzw_Monte_Carlo_bei_Strom[[#This Row],[Source.Name]],SEARCH("aus_der",Sensitivität_bzw_Monte_Carlo_bei_Strom[[#This Row],[Source.Name]],1))="Auszahlung_a","Auszahlung",""),"")</f>
        <v/>
      </c>
      <c r="D1452" s="1"/>
    </row>
    <row r="1453" spans="1:4" x14ac:dyDescent="0.3">
      <c r="A1453" s="1"/>
      <c r="B1453" s="1" t="str">
        <f>IFERROR(IF(LEFT(Sensitivität_bzw_Monte_Carlo_bei_Strom[[#This Row],[Source.Name]],SEARCH("aus_der",Sensitivität_bzw_Monte_Carlo_bei_Strom[[#This Row],[Source.Name]],1))="Auszahlung_a","Auszahlung",""),"")</f>
        <v/>
      </c>
      <c r="D1453" s="1"/>
    </row>
    <row r="1454" spans="1:4" x14ac:dyDescent="0.3">
      <c r="A1454" s="1"/>
      <c r="B1454" s="1" t="str">
        <f>IFERROR(IF(LEFT(Sensitivität_bzw_Monte_Carlo_bei_Strom[[#This Row],[Source.Name]],SEARCH("aus_der",Sensitivität_bzw_Monte_Carlo_bei_Strom[[#This Row],[Source.Name]],1))="Auszahlung_a","Auszahlung",""),"")</f>
        <v/>
      </c>
      <c r="D1454" s="1"/>
    </row>
    <row r="1455" spans="1:4" x14ac:dyDescent="0.3">
      <c r="A1455" s="1"/>
      <c r="B1455" s="1" t="str">
        <f>IFERROR(IF(LEFT(Sensitivität_bzw_Monte_Carlo_bei_Strom[[#This Row],[Source.Name]],SEARCH("aus_der",Sensitivität_bzw_Monte_Carlo_bei_Strom[[#This Row],[Source.Name]],1))="Auszahlung_a","Auszahlung",""),"")</f>
        <v/>
      </c>
      <c r="D1455" s="1"/>
    </row>
    <row r="1456" spans="1:4" x14ac:dyDescent="0.3">
      <c r="A1456" s="1"/>
      <c r="B1456" s="1" t="str">
        <f>IFERROR(IF(LEFT(Sensitivität_bzw_Monte_Carlo_bei_Strom[[#This Row],[Source.Name]],SEARCH("aus_der",Sensitivität_bzw_Monte_Carlo_bei_Strom[[#This Row],[Source.Name]],1))="Auszahlung_a","Auszahlung",""),"")</f>
        <v/>
      </c>
      <c r="D1456" s="1"/>
    </row>
    <row r="1457" spans="1:4" x14ac:dyDescent="0.3">
      <c r="A1457" s="1"/>
      <c r="B1457" s="1" t="str">
        <f>IFERROR(IF(LEFT(Sensitivität_bzw_Monte_Carlo_bei_Strom[[#This Row],[Source.Name]],SEARCH("aus_der",Sensitivität_bzw_Monte_Carlo_bei_Strom[[#This Row],[Source.Name]],1))="Auszahlung_a","Auszahlung",""),"")</f>
        <v/>
      </c>
      <c r="D1457" s="1"/>
    </row>
    <row r="1458" spans="1:4" x14ac:dyDescent="0.3">
      <c r="A1458" s="1"/>
      <c r="B1458" s="1" t="str">
        <f>IFERROR(IF(LEFT(Sensitivität_bzw_Monte_Carlo_bei_Strom[[#This Row],[Source.Name]],SEARCH("aus_der",Sensitivität_bzw_Monte_Carlo_bei_Strom[[#This Row],[Source.Name]],1))="Auszahlung_a","Auszahlung",""),"")</f>
        <v/>
      </c>
      <c r="D1458" s="1"/>
    </row>
    <row r="1459" spans="1:4" x14ac:dyDescent="0.3">
      <c r="A1459" s="1"/>
      <c r="B1459" s="1" t="str">
        <f>IFERROR(IF(LEFT(Sensitivität_bzw_Monte_Carlo_bei_Strom[[#This Row],[Source.Name]],SEARCH("aus_der",Sensitivität_bzw_Monte_Carlo_bei_Strom[[#This Row],[Source.Name]],1))="Auszahlung_a","Auszahlung",""),"")</f>
        <v/>
      </c>
      <c r="D1459" s="1"/>
    </row>
    <row r="1460" spans="1:4" x14ac:dyDescent="0.3">
      <c r="A1460" s="1"/>
      <c r="B1460" s="1" t="str">
        <f>IFERROR(IF(LEFT(Sensitivität_bzw_Monte_Carlo_bei_Strom[[#This Row],[Source.Name]],SEARCH("aus_der",Sensitivität_bzw_Monte_Carlo_bei_Strom[[#This Row],[Source.Name]],1))="Auszahlung_a","Auszahlung",""),"")</f>
        <v/>
      </c>
      <c r="D1460" s="1"/>
    </row>
    <row r="1461" spans="1:4" x14ac:dyDescent="0.3">
      <c r="A1461" s="1"/>
      <c r="B1461" s="1" t="str">
        <f>IFERROR(IF(LEFT(Sensitivität_bzw_Monte_Carlo_bei_Strom[[#This Row],[Source.Name]],SEARCH("aus_der",Sensitivität_bzw_Monte_Carlo_bei_Strom[[#This Row],[Source.Name]],1))="Auszahlung_a","Auszahlung",""),"")</f>
        <v/>
      </c>
      <c r="D1461" s="1"/>
    </row>
    <row r="1462" spans="1:4" x14ac:dyDescent="0.3">
      <c r="A1462" s="1"/>
      <c r="B1462" s="1" t="str">
        <f>IFERROR(IF(LEFT(Sensitivität_bzw_Monte_Carlo_bei_Strom[[#This Row],[Source.Name]],SEARCH("aus_der",Sensitivität_bzw_Monte_Carlo_bei_Strom[[#This Row],[Source.Name]],1))="Auszahlung_a","Auszahlung",""),"")</f>
        <v/>
      </c>
      <c r="D1462" s="1"/>
    </row>
    <row r="1463" spans="1:4" x14ac:dyDescent="0.3">
      <c r="A1463" s="1"/>
      <c r="B1463" s="1" t="str">
        <f>IFERROR(IF(LEFT(Sensitivität_bzw_Monte_Carlo_bei_Strom[[#This Row],[Source.Name]],SEARCH("aus_der",Sensitivität_bzw_Monte_Carlo_bei_Strom[[#This Row],[Source.Name]],1))="Auszahlung_a","Auszahlung",""),"")</f>
        <v/>
      </c>
      <c r="D1463" s="1"/>
    </row>
    <row r="1464" spans="1:4" x14ac:dyDescent="0.3">
      <c r="A1464" s="1"/>
      <c r="B1464" s="1" t="str">
        <f>IFERROR(IF(LEFT(Sensitivität_bzw_Monte_Carlo_bei_Strom[[#This Row],[Source.Name]],SEARCH("aus_der",Sensitivität_bzw_Monte_Carlo_bei_Strom[[#This Row],[Source.Name]],1))="Auszahlung_a","Auszahlung",""),"")</f>
        <v/>
      </c>
      <c r="D1464" s="1"/>
    </row>
    <row r="1465" spans="1:4" x14ac:dyDescent="0.3">
      <c r="A1465" s="1"/>
      <c r="B1465" s="1" t="str">
        <f>IFERROR(IF(LEFT(Sensitivität_bzw_Monte_Carlo_bei_Strom[[#This Row],[Source.Name]],SEARCH("aus_der",Sensitivität_bzw_Monte_Carlo_bei_Strom[[#This Row],[Source.Name]],1))="Auszahlung_a","Auszahlung",""),"")</f>
        <v/>
      </c>
      <c r="D1465" s="1"/>
    </row>
    <row r="1466" spans="1:4" x14ac:dyDescent="0.3">
      <c r="A1466" s="1"/>
      <c r="B1466" s="1" t="str">
        <f>IFERROR(IF(LEFT(Sensitivität_bzw_Monte_Carlo_bei_Strom[[#This Row],[Source.Name]],SEARCH("aus_der",Sensitivität_bzw_Monte_Carlo_bei_Strom[[#This Row],[Source.Name]],1))="Auszahlung_a","Auszahlung",""),"")</f>
        <v/>
      </c>
      <c r="D1466" s="1"/>
    </row>
    <row r="1467" spans="1:4" x14ac:dyDescent="0.3">
      <c r="A1467" s="1"/>
      <c r="B1467" s="1" t="str">
        <f>IFERROR(IF(LEFT(Sensitivität_bzw_Monte_Carlo_bei_Strom[[#This Row],[Source.Name]],SEARCH("aus_der",Sensitivität_bzw_Monte_Carlo_bei_Strom[[#This Row],[Source.Name]],1))="Auszahlung_a","Auszahlung",""),"")</f>
        <v/>
      </c>
      <c r="D1467" s="1"/>
    </row>
    <row r="1468" spans="1:4" x14ac:dyDescent="0.3">
      <c r="A1468" s="1"/>
      <c r="B1468" s="1" t="str">
        <f>IFERROR(IF(LEFT(Sensitivität_bzw_Monte_Carlo_bei_Strom[[#This Row],[Source.Name]],SEARCH("aus_der",Sensitivität_bzw_Monte_Carlo_bei_Strom[[#This Row],[Source.Name]],1))="Auszahlung_a","Auszahlung",""),"")</f>
        <v/>
      </c>
      <c r="D1468" s="1"/>
    </row>
    <row r="1469" spans="1:4" x14ac:dyDescent="0.3">
      <c r="A1469" s="1"/>
      <c r="B1469" s="1" t="str">
        <f>IFERROR(IF(LEFT(Sensitivität_bzw_Monte_Carlo_bei_Strom[[#This Row],[Source.Name]],SEARCH("aus_der",Sensitivität_bzw_Monte_Carlo_bei_Strom[[#This Row],[Source.Name]],1))="Auszahlung_a","Auszahlung",""),"")</f>
        <v/>
      </c>
      <c r="D1469" s="1"/>
    </row>
    <row r="1470" spans="1:4" x14ac:dyDescent="0.3">
      <c r="A1470" s="1"/>
      <c r="B1470" s="1" t="str">
        <f>IFERROR(IF(LEFT(Sensitivität_bzw_Monte_Carlo_bei_Strom[[#This Row],[Source.Name]],SEARCH("aus_der",Sensitivität_bzw_Monte_Carlo_bei_Strom[[#This Row],[Source.Name]],1))="Auszahlung_a","Auszahlung",""),"")</f>
        <v/>
      </c>
      <c r="D1470" s="1"/>
    </row>
    <row r="1471" spans="1:4" x14ac:dyDescent="0.3">
      <c r="A1471" s="1"/>
      <c r="B1471" s="1" t="str">
        <f>IFERROR(IF(LEFT(Sensitivität_bzw_Monte_Carlo_bei_Strom[[#This Row],[Source.Name]],SEARCH("aus_der",Sensitivität_bzw_Monte_Carlo_bei_Strom[[#This Row],[Source.Name]],1))="Auszahlung_a","Auszahlung",""),"")</f>
        <v/>
      </c>
      <c r="D1471" s="1"/>
    </row>
    <row r="1472" spans="1:4" x14ac:dyDescent="0.3">
      <c r="A1472" s="1"/>
      <c r="B1472" s="1" t="str">
        <f>IFERROR(IF(LEFT(Sensitivität_bzw_Monte_Carlo_bei_Strom[[#This Row],[Source.Name]],SEARCH("aus_der",Sensitivität_bzw_Monte_Carlo_bei_Strom[[#This Row],[Source.Name]],1))="Auszahlung_a","Auszahlung",""),"")</f>
        <v/>
      </c>
      <c r="D1472" s="1"/>
    </row>
    <row r="1473" spans="1:4" x14ac:dyDescent="0.3">
      <c r="A1473" s="1"/>
      <c r="B1473" s="1" t="str">
        <f>IFERROR(IF(LEFT(Sensitivität_bzw_Monte_Carlo_bei_Strom[[#This Row],[Source.Name]],SEARCH("aus_der",Sensitivität_bzw_Monte_Carlo_bei_Strom[[#This Row],[Source.Name]],1))="Auszahlung_a","Auszahlung",""),"")</f>
        <v/>
      </c>
      <c r="D1473" s="1"/>
    </row>
    <row r="1474" spans="1:4" x14ac:dyDescent="0.3">
      <c r="A1474" s="1"/>
      <c r="B1474" s="1" t="str">
        <f>IFERROR(IF(LEFT(Sensitivität_bzw_Monte_Carlo_bei_Strom[[#This Row],[Source.Name]],SEARCH("aus_der",Sensitivität_bzw_Monte_Carlo_bei_Strom[[#This Row],[Source.Name]],1))="Auszahlung_a","Auszahlung",""),"")</f>
        <v/>
      </c>
      <c r="D1474" s="1"/>
    </row>
    <row r="1475" spans="1:4" x14ac:dyDescent="0.3">
      <c r="A1475" s="1"/>
      <c r="B1475" s="1" t="str">
        <f>IFERROR(IF(LEFT(Sensitivität_bzw_Monte_Carlo_bei_Strom[[#This Row],[Source.Name]],SEARCH("aus_der",Sensitivität_bzw_Monte_Carlo_bei_Strom[[#This Row],[Source.Name]],1))="Auszahlung_a","Auszahlung",""),"")</f>
        <v/>
      </c>
      <c r="D1475" s="1"/>
    </row>
    <row r="1476" spans="1:4" x14ac:dyDescent="0.3">
      <c r="A1476" s="1"/>
      <c r="B1476" s="1" t="str">
        <f>IFERROR(IF(LEFT(Sensitivität_bzw_Monte_Carlo_bei_Strom[[#This Row],[Source.Name]],SEARCH("aus_der",Sensitivität_bzw_Monte_Carlo_bei_Strom[[#This Row],[Source.Name]],1))="Auszahlung_a","Auszahlung",""),"")</f>
        <v/>
      </c>
      <c r="D1476" s="1"/>
    </row>
    <row r="1477" spans="1:4" x14ac:dyDescent="0.3">
      <c r="A1477" s="1"/>
      <c r="B1477" s="1" t="str">
        <f>IFERROR(IF(LEFT(Sensitivität_bzw_Monte_Carlo_bei_Strom[[#This Row],[Source.Name]],SEARCH("aus_der",Sensitivität_bzw_Monte_Carlo_bei_Strom[[#This Row],[Source.Name]],1))="Auszahlung_a","Auszahlung",""),"")</f>
        <v/>
      </c>
      <c r="D1477" s="1"/>
    </row>
    <row r="1478" spans="1:4" x14ac:dyDescent="0.3">
      <c r="A1478" s="1"/>
      <c r="B1478" s="1" t="str">
        <f>IFERROR(IF(LEFT(Sensitivität_bzw_Monte_Carlo_bei_Strom[[#This Row],[Source.Name]],SEARCH("aus_der",Sensitivität_bzw_Monte_Carlo_bei_Strom[[#This Row],[Source.Name]],1))="Auszahlung_a","Auszahlung",""),"")</f>
        <v/>
      </c>
      <c r="D1478" s="1"/>
    </row>
    <row r="1479" spans="1:4" x14ac:dyDescent="0.3">
      <c r="A1479" s="1"/>
      <c r="B1479" s="1" t="str">
        <f>IFERROR(IF(LEFT(Sensitivität_bzw_Monte_Carlo_bei_Strom[[#This Row],[Source.Name]],SEARCH("aus_der",Sensitivität_bzw_Monte_Carlo_bei_Strom[[#This Row],[Source.Name]],1))="Auszahlung_a","Auszahlung",""),"")</f>
        <v/>
      </c>
      <c r="D1479" s="1"/>
    </row>
    <row r="1480" spans="1:4" x14ac:dyDescent="0.3">
      <c r="A1480" s="1"/>
      <c r="B1480" s="1" t="str">
        <f>IFERROR(IF(LEFT(Sensitivität_bzw_Monte_Carlo_bei_Strom[[#This Row],[Source.Name]],SEARCH("aus_der",Sensitivität_bzw_Monte_Carlo_bei_Strom[[#This Row],[Source.Name]],1))="Auszahlung_a","Auszahlung",""),"")</f>
        <v/>
      </c>
      <c r="D1480" s="1"/>
    </row>
    <row r="1481" spans="1:4" x14ac:dyDescent="0.3">
      <c r="A1481" s="1"/>
      <c r="B1481" s="1" t="str">
        <f>IFERROR(IF(LEFT(Sensitivität_bzw_Monte_Carlo_bei_Strom[[#This Row],[Source.Name]],SEARCH("aus_der",Sensitivität_bzw_Monte_Carlo_bei_Strom[[#This Row],[Source.Name]],1))="Auszahlung_a","Auszahlung",""),"")</f>
        <v/>
      </c>
      <c r="D1481" s="1"/>
    </row>
    <row r="1482" spans="1:4" x14ac:dyDescent="0.3">
      <c r="A1482" s="1"/>
      <c r="B1482" s="1" t="str">
        <f>IFERROR(IF(LEFT(Sensitivität_bzw_Monte_Carlo_bei_Strom[[#This Row],[Source.Name]],SEARCH("aus_der",Sensitivität_bzw_Monte_Carlo_bei_Strom[[#This Row],[Source.Name]],1))="Auszahlung_a","Auszahlung",""),"")</f>
        <v/>
      </c>
      <c r="D1482" s="1"/>
    </row>
    <row r="1483" spans="1:4" x14ac:dyDescent="0.3">
      <c r="A1483" s="1"/>
      <c r="B1483" s="1" t="str">
        <f>IFERROR(IF(LEFT(Sensitivität_bzw_Monte_Carlo_bei_Strom[[#This Row],[Source.Name]],SEARCH("aus_der",Sensitivität_bzw_Monte_Carlo_bei_Strom[[#This Row],[Source.Name]],1))="Auszahlung_a","Auszahlung",""),"")</f>
        <v/>
      </c>
      <c r="D1483" s="1"/>
    </row>
    <row r="1484" spans="1:4" x14ac:dyDescent="0.3">
      <c r="A1484" s="1"/>
      <c r="B1484" s="1" t="str">
        <f>IFERROR(IF(LEFT(Sensitivität_bzw_Monte_Carlo_bei_Strom[[#This Row],[Source.Name]],SEARCH("aus_der",Sensitivität_bzw_Monte_Carlo_bei_Strom[[#This Row],[Source.Name]],1))="Auszahlung_a","Auszahlung",""),"")</f>
        <v/>
      </c>
      <c r="D1484" s="1"/>
    </row>
    <row r="1485" spans="1:4" x14ac:dyDescent="0.3">
      <c r="A1485" s="1"/>
      <c r="B1485" s="1" t="str">
        <f>IFERROR(IF(LEFT(Sensitivität_bzw_Monte_Carlo_bei_Strom[[#This Row],[Source.Name]],SEARCH("aus_der",Sensitivität_bzw_Monte_Carlo_bei_Strom[[#This Row],[Source.Name]],1))="Auszahlung_a","Auszahlung",""),"")</f>
        <v/>
      </c>
      <c r="D1485" s="1"/>
    </row>
    <row r="1486" spans="1:4" x14ac:dyDescent="0.3">
      <c r="A1486" s="1"/>
      <c r="B1486" s="1" t="str">
        <f>IFERROR(IF(LEFT(Sensitivität_bzw_Monte_Carlo_bei_Strom[[#This Row],[Source.Name]],SEARCH("aus_der",Sensitivität_bzw_Monte_Carlo_bei_Strom[[#This Row],[Source.Name]],1))="Auszahlung_a","Auszahlung",""),"")</f>
        <v/>
      </c>
      <c r="D1486" s="1"/>
    </row>
    <row r="1487" spans="1:4" x14ac:dyDescent="0.3">
      <c r="A1487" s="1"/>
      <c r="B1487" s="1" t="str">
        <f>IFERROR(IF(LEFT(Sensitivität_bzw_Monte_Carlo_bei_Strom[[#This Row],[Source.Name]],SEARCH("aus_der",Sensitivität_bzw_Monte_Carlo_bei_Strom[[#This Row],[Source.Name]],1))="Auszahlung_a","Auszahlung",""),"")</f>
        <v/>
      </c>
      <c r="D1487" s="1"/>
    </row>
    <row r="1488" spans="1:4" x14ac:dyDescent="0.3">
      <c r="A1488" s="1"/>
      <c r="B1488" s="1" t="str">
        <f>IFERROR(IF(LEFT(Sensitivität_bzw_Monte_Carlo_bei_Strom[[#This Row],[Source.Name]],SEARCH("aus_der",Sensitivität_bzw_Monte_Carlo_bei_Strom[[#This Row],[Source.Name]],1))="Auszahlung_a","Auszahlung",""),"")</f>
        <v/>
      </c>
      <c r="D1488" s="1"/>
    </row>
    <row r="1489" spans="1:4" x14ac:dyDescent="0.3">
      <c r="A1489" s="1"/>
      <c r="B1489" s="1" t="str">
        <f>IFERROR(IF(LEFT(Sensitivität_bzw_Monte_Carlo_bei_Strom[[#This Row],[Source.Name]],SEARCH("aus_der",Sensitivität_bzw_Monte_Carlo_bei_Strom[[#This Row],[Source.Name]],1))="Auszahlung_a","Auszahlung",""),"")</f>
        <v/>
      </c>
      <c r="D1489" s="1"/>
    </row>
    <row r="1490" spans="1:4" x14ac:dyDescent="0.3">
      <c r="A1490" s="1"/>
      <c r="B1490" s="1" t="str">
        <f>IFERROR(IF(LEFT(Sensitivität_bzw_Monte_Carlo_bei_Strom[[#This Row],[Source.Name]],SEARCH("aus_der",Sensitivität_bzw_Monte_Carlo_bei_Strom[[#This Row],[Source.Name]],1))="Auszahlung_a","Auszahlung",""),"")</f>
        <v/>
      </c>
      <c r="D1490" s="1"/>
    </row>
    <row r="1491" spans="1:4" x14ac:dyDescent="0.3">
      <c r="A1491" s="1"/>
      <c r="B1491" s="1" t="str">
        <f>IFERROR(IF(LEFT(Sensitivität_bzw_Monte_Carlo_bei_Strom[[#This Row],[Source.Name]],SEARCH("aus_der",Sensitivität_bzw_Monte_Carlo_bei_Strom[[#This Row],[Source.Name]],1))="Auszahlung_a","Auszahlung",""),"")</f>
        <v/>
      </c>
      <c r="D1491" s="1"/>
    </row>
    <row r="1492" spans="1:4" x14ac:dyDescent="0.3">
      <c r="A1492" s="1"/>
      <c r="B1492" s="1" t="str">
        <f>IFERROR(IF(LEFT(Sensitivität_bzw_Monte_Carlo_bei_Strom[[#This Row],[Source.Name]],SEARCH("aus_der",Sensitivität_bzw_Monte_Carlo_bei_Strom[[#This Row],[Source.Name]],1))="Auszahlung_a","Auszahlung",""),"")</f>
        <v/>
      </c>
      <c r="D1492" s="1"/>
    </row>
    <row r="1493" spans="1:4" x14ac:dyDescent="0.3">
      <c r="A1493" s="1"/>
      <c r="B1493" s="1" t="str">
        <f>IFERROR(IF(LEFT(Sensitivität_bzw_Monte_Carlo_bei_Strom[[#This Row],[Source.Name]],SEARCH("aus_der",Sensitivität_bzw_Monte_Carlo_bei_Strom[[#This Row],[Source.Name]],1))="Auszahlung_a","Auszahlung",""),"")</f>
        <v/>
      </c>
      <c r="D1493" s="1"/>
    </row>
    <row r="1494" spans="1:4" x14ac:dyDescent="0.3">
      <c r="A1494" s="1"/>
      <c r="B1494" s="1" t="str">
        <f>IFERROR(IF(LEFT(Sensitivität_bzw_Monte_Carlo_bei_Strom[[#This Row],[Source.Name]],SEARCH("aus_der",Sensitivität_bzw_Monte_Carlo_bei_Strom[[#This Row],[Source.Name]],1))="Auszahlung_a","Auszahlung",""),"")</f>
        <v/>
      </c>
      <c r="D1494" s="1"/>
    </row>
    <row r="1495" spans="1:4" x14ac:dyDescent="0.3">
      <c r="A1495" s="1"/>
      <c r="B1495" s="1" t="str">
        <f>IFERROR(IF(LEFT(Sensitivität_bzw_Monte_Carlo_bei_Strom[[#This Row],[Source.Name]],SEARCH("aus_der",Sensitivität_bzw_Monte_Carlo_bei_Strom[[#This Row],[Source.Name]],1))="Auszahlung_a","Auszahlung",""),"")</f>
        <v/>
      </c>
      <c r="D1495" s="1"/>
    </row>
    <row r="1496" spans="1:4" x14ac:dyDescent="0.3">
      <c r="A1496" s="1"/>
      <c r="B1496" s="1" t="str">
        <f>IFERROR(IF(LEFT(Sensitivität_bzw_Monte_Carlo_bei_Strom[[#This Row],[Source.Name]],SEARCH("aus_der",Sensitivität_bzw_Monte_Carlo_bei_Strom[[#This Row],[Source.Name]],1))="Auszahlung_a","Auszahlung",""),"")</f>
        <v/>
      </c>
      <c r="D1496" s="1"/>
    </row>
    <row r="1497" spans="1:4" x14ac:dyDescent="0.3">
      <c r="A1497" s="1"/>
      <c r="B1497" s="1" t="str">
        <f>IFERROR(IF(LEFT(Sensitivität_bzw_Monte_Carlo_bei_Strom[[#This Row],[Source.Name]],SEARCH("aus_der",Sensitivität_bzw_Monte_Carlo_bei_Strom[[#This Row],[Source.Name]],1))="Auszahlung_a","Auszahlung",""),"")</f>
        <v/>
      </c>
      <c r="D1497" s="1"/>
    </row>
    <row r="1498" spans="1:4" x14ac:dyDescent="0.3">
      <c r="A1498" s="1"/>
      <c r="B1498" s="1" t="str">
        <f>IFERROR(IF(LEFT(Sensitivität_bzw_Monte_Carlo_bei_Strom[[#This Row],[Source.Name]],SEARCH("aus_der",Sensitivität_bzw_Monte_Carlo_bei_Strom[[#This Row],[Source.Name]],1))="Auszahlung_a","Auszahlung",""),"")</f>
        <v/>
      </c>
      <c r="D1498" s="1"/>
    </row>
    <row r="1499" spans="1:4" x14ac:dyDescent="0.3">
      <c r="A1499" s="1"/>
      <c r="B1499" s="1" t="str">
        <f>IFERROR(IF(LEFT(Sensitivität_bzw_Monte_Carlo_bei_Strom[[#This Row],[Source.Name]],SEARCH("aus_der",Sensitivität_bzw_Monte_Carlo_bei_Strom[[#This Row],[Source.Name]],1))="Auszahlung_a","Auszahlung",""),"")</f>
        <v/>
      </c>
      <c r="D1499" s="1"/>
    </row>
    <row r="1500" spans="1:4" x14ac:dyDescent="0.3">
      <c r="A1500" s="1"/>
      <c r="B1500" s="1" t="str">
        <f>IFERROR(IF(LEFT(Sensitivität_bzw_Monte_Carlo_bei_Strom[[#This Row],[Source.Name]],SEARCH("aus_der",Sensitivität_bzw_Monte_Carlo_bei_Strom[[#This Row],[Source.Name]],1))="Auszahlung_a","Auszahlung",""),"")</f>
        <v/>
      </c>
      <c r="D1500" s="1"/>
    </row>
    <row r="1501" spans="1:4" x14ac:dyDescent="0.3">
      <c r="A1501" s="1"/>
      <c r="B1501" s="1" t="str">
        <f>IFERROR(IF(LEFT(Sensitivität_bzw_Monte_Carlo_bei_Strom[[#This Row],[Source.Name]],SEARCH("aus_der",Sensitivität_bzw_Monte_Carlo_bei_Strom[[#This Row],[Source.Name]],1))="Auszahlung_a","Auszahlung",""),"")</f>
        <v/>
      </c>
      <c r="D1501" s="1"/>
    </row>
    <row r="1502" spans="1:4" x14ac:dyDescent="0.3">
      <c r="A1502" s="1"/>
      <c r="B1502" s="1" t="str">
        <f>IFERROR(IF(LEFT(Sensitivität_bzw_Monte_Carlo_bei_Strom[[#This Row],[Source.Name]],SEARCH("aus_der",Sensitivität_bzw_Monte_Carlo_bei_Strom[[#This Row],[Source.Name]],1))="Auszahlung_a","Auszahlung",""),"")</f>
        <v/>
      </c>
      <c r="D1502" s="1"/>
    </row>
    <row r="1503" spans="1:4" x14ac:dyDescent="0.3">
      <c r="A1503" s="1"/>
      <c r="B1503" s="1" t="str">
        <f>IFERROR(IF(LEFT(Sensitivität_bzw_Monte_Carlo_bei_Strom[[#This Row],[Source.Name]],SEARCH("aus_der",Sensitivität_bzw_Monte_Carlo_bei_Strom[[#This Row],[Source.Name]],1))="Auszahlung_a","Auszahlung",""),"")</f>
        <v/>
      </c>
      <c r="D1503" s="1"/>
    </row>
    <row r="1504" spans="1:4" x14ac:dyDescent="0.3">
      <c r="A1504" s="1"/>
      <c r="B1504" s="1" t="str">
        <f>IFERROR(IF(LEFT(Sensitivität_bzw_Monte_Carlo_bei_Strom[[#This Row],[Source.Name]],SEARCH("aus_der",Sensitivität_bzw_Monte_Carlo_bei_Strom[[#This Row],[Source.Name]],1))="Auszahlung_a","Auszahlung",""),"")</f>
        <v/>
      </c>
      <c r="D1504" s="1"/>
    </row>
    <row r="1505" spans="1:4" x14ac:dyDescent="0.3">
      <c r="A1505" s="1"/>
      <c r="B1505" s="1" t="str">
        <f>IFERROR(IF(LEFT(Sensitivität_bzw_Monte_Carlo_bei_Strom[[#This Row],[Source.Name]],SEARCH("aus_der",Sensitivität_bzw_Monte_Carlo_bei_Strom[[#This Row],[Source.Name]],1))="Auszahlung_a","Auszahlung",""),"")</f>
        <v/>
      </c>
      <c r="D1505" s="1"/>
    </row>
    <row r="1506" spans="1:4" x14ac:dyDescent="0.3">
      <c r="A1506" s="1"/>
      <c r="B1506" s="1" t="str">
        <f>IFERROR(IF(LEFT(Sensitivität_bzw_Monte_Carlo_bei_Strom[[#This Row],[Source.Name]],SEARCH("aus_der",Sensitivität_bzw_Monte_Carlo_bei_Strom[[#This Row],[Source.Name]],1))="Auszahlung_a","Auszahlung",""),"")</f>
        <v/>
      </c>
      <c r="D1506" s="1"/>
    </row>
    <row r="1507" spans="1:4" x14ac:dyDescent="0.3">
      <c r="A1507" s="1"/>
      <c r="B1507" s="1" t="str">
        <f>IFERROR(IF(LEFT(Sensitivität_bzw_Monte_Carlo_bei_Strom[[#This Row],[Source.Name]],SEARCH("aus_der",Sensitivität_bzw_Monte_Carlo_bei_Strom[[#This Row],[Source.Name]],1))="Auszahlung_a","Auszahlung",""),"")</f>
        <v/>
      </c>
      <c r="D1507" s="1"/>
    </row>
    <row r="1508" spans="1:4" x14ac:dyDescent="0.3">
      <c r="A1508" s="1"/>
      <c r="B1508" s="1" t="str">
        <f>IFERROR(IF(LEFT(Sensitivität_bzw_Monte_Carlo_bei_Strom[[#This Row],[Source.Name]],SEARCH("aus_der",Sensitivität_bzw_Monte_Carlo_bei_Strom[[#This Row],[Source.Name]],1))="Auszahlung_a","Auszahlung",""),"")</f>
        <v/>
      </c>
      <c r="D1508" s="1"/>
    </row>
    <row r="1509" spans="1:4" x14ac:dyDescent="0.3">
      <c r="A1509" s="1"/>
      <c r="B1509" s="1" t="str">
        <f>IFERROR(IF(LEFT(Sensitivität_bzw_Monte_Carlo_bei_Strom[[#This Row],[Source.Name]],SEARCH("aus_der",Sensitivität_bzw_Monte_Carlo_bei_Strom[[#This Row],[Source.Name]],1))="Auszahlung_a","Auszahlung",""),"")</f>
        <v/>
      </c>
      <c r="D1509" s="1"/>
    </row>
    <row r="1510" spans="1:4" x14ac:dyDescent="0.3">
      <c r="A1510" s="1"/>
      <c r="B1510" s="1" t="str">
        <f>IFERROR(IF(LEFT(Sensitivität_bzw_Monte_Carlo_bei_Strom[[#This Row],[Source.Name]],SEARCH("aus_der",Sensitivität_bzw_Monte_Carlo_bei_Strom[[#This Row],[Source.Name]],1))="Auszahlung_a","Auszahlung",""),"")</f>
        <v/>
      </c>
      <c r="D1510" s="1"/>
    </row>
    <row r="1511" spans="1:4" x14ac:dyDescent="0.3">
      <c r="A1511" s="1"/>
      <c r="B1511" s="1" t="str">
        <f>IFERROR(IF(LEFT(Sensitivität_bzw_Monte_Carlo_bei_Strom[[#This Row],[Source.Name]],SEARCH("aus_der",Sensitivität_bzw_Monte_Carlo_bei_Strom[[#This Row],[Source.Name]],1))="Auszahlung_a","Auszahlung",""),"")</f>
        <v/>
      </c>
      <c r="D1511" s="1"/>
    </row>
    <row r="1512" spans="1:4" x14ac:dyDescent="0.3">
      <c r="A1512" s="1"/>
      <c r="B1512" s="1" t="str">
        <f>IFERROR(IF(LEFT(Sensitivität_bzw_Monte_Carlo_bei_Strom[[#This Row],[Source.Name]],SEARCH("aus_der",Sensitivität_bzw_Monte_Carlo_bei_Strom[[#This Row],[Source.Name]],1))="Auszahlung_a","Auszahlung",""),"")</f>
        <v/>
      </c>
      <c r="D1512" s="1"/>
    </row>
    <row r="1513" spans="1:4" x14ac:dyDescent="0.3">
      <c r="A1513" s="1"/>
      <c r="B1513" s="1" t="str">
        <f>IFERROR(IF(LEFT(Sensitivität_bzw_Monte_Carlo_bei_Strom[[#This Row],[Source.Name]],SEARCH("aus_der",Sensitivität_bzw_Monte_Carlo_bei_Strom[[#This Row],[Source.Name]],1))="Auszahlung_a","Auszahlung",""),"")</f>
        <v/>
      </c>
      <c r="D1513" s="1"/>
    </row>
    <row r="1514" spans="1:4" x14ac:dyDescent="0.3">
      <c r="A1514" s="1"/>
      <c r="B1514" s="1" t="str">
        <f>IFERROR(IF(LEFT(Sensitivität_bzw_Monte_Carlo_bei_Strom[[#This Row],[Source.Name]],SEARCH("aus_der",Sensitivität_bzw_Monte_Carlo_bei_Strom[[#This Row],[Source.Name]],1))="Auszahlung_a","Auszahlung",""),"")</f>
        <v/>
      </c>
      <c r="D1514" s="1"/>
    </row>
    <row r="1515" spans="1:4" x14ac:dyDescent="0.3">
      <c r="A1515" s="1"/>
      <c r="B1515" s="1" t="str">
        <f>IFERROR(IF(LEFT(Sensitivität_bzw_Monte_Carlo_bei_Strom[[#This Row],[Source.Name]],SEARCH("aus_der",Sensitivität_bzw_Monte_Carlo_bei_Strom[[#This Row],[Source.Name]],1))="Auszahlung_a","Auszahlung",""),"")</f>
        <v/>
      </c>
      <c r="D1515" s="1"/>
    </row>
    <row r="1516" spans="1:4" x14ac:dyDescent="0.3">
      <c r="A1516" s="1"/>
      <c r="B1516" s="1" t="str">
        <f>IFERROR(IF(LEFT(Sensitivität_bzw_Monte_Carlo_bei_Strom[[#This Row],[Source.Name]],SEARCH("aus_der",Sensitivität_bzw_Monte_Carlo_bei_Strom[[#This Row],[Source.Name]],1))="Auszahlung_a","Auszahlung",""),"")</f>
        <v/>
      </c>
      <c r="D1516" s="1"/>
    </row>
    <row r="1517" spans="1:4" x14ac:dyDescent="0.3">
      <c r="A1517" s="1"/>
      <c r="B1517" s="1" t="str">
        <f>IFERROR(IF(LEFT(Sensitivität_bzw_Monte_Carlo_bei_Strom[[#This Row],[Source.Name]],SEARCH("aus_der",Sensitivität_bzw_Monte_Carlo_bei_Strom[[#This Row],[Source.Name]],1))="Auszahlung_a","Auszahlung",""),"")</f>
        <v/>
      </c>
      <c r="D1517" s="1"/>
    </row>
    <row r="1518" spans="1:4" x14ac:dyDescent="0.3">
      <c r="A1518" s="1"/>
      <c r="B1518" s="1" t="str">
        <f>IFERROR(IF(LEFT(Sensitivität_bzw_Monte_Carlo_bei_Strom[[#This Row],[Source.Name]],SEARCH("aus_der",Sensitivität_bzw_Monte_Carlo_bei_Strom[[#This Row],[Source.Name]],1))="Auszahlung_a","Auszahlung",""),"")</f>
        <v/>
      </c>
      <c r="D1518" s="1"/>
    </row>
    <row r="1519" spans="1:4" x14ac:dyDescent="0.3">
      <c r="A1519" s="1"/>
      <c r="B1519" s="1" t="str">
        <f>IFERROR(IF(LEFT(Sensitivität_bzw_Monte_Carlo_bei_Strom[[#This Row],[Source.Name]],SEARCH("aus_der",Sensitivität_bzw_Monte_Carlo_bei_Strom[[#This Row],[Source.Name]],1))="Auszahlung_a","Auszahlung",""),"")</f>
        <v/>
      </c>
      <c r="D1519" s="1"/>
    </row>
    <row r="1520" spans="1:4" x14ac:dyDescent="0.3">
      <c r="A1520" s="1"/>
      <c r="B1520" s="1" t="str">
        <f>IFERROR(IF(LEFT(Sensitivität_bzw_Monte_Carlo_bei_Strom[[#This Row],[Source.Name]],SEARCH("aus_der",Sensitivität_bzw_Monte_Carlo_bei_Strom[[#This Row],[Source.Name]],1))="Auszahlung_a","Auszahlung",""),"")</f>
        <v/>
      </c>
      <c r="D1520" s="1"/>
    </row>
    <row r="1521" spans="1:4" x14ac:dyDescent="0.3">
      <c r="A1521" s="1"/>
      <c r="B1521" s="1" t="str">
        <f>IFERROR(IF(LEFT(Sensitivität_bzw_Monte_Carlo_bei_Strom[[#This Row],[Source.Name]],SEARCH("aus_der",Sensitivität_bzw_Monte_Carlo_bei_Strom[[#This Row],[Source.Name]],1))="Auszahlung_a","Auszahlung",""),"")</f>
        <v/>
      </c>
      <c r="D1521" s="1"/>
    </row>
    <row r="1522" spans="1:4" x14ac:dyDescent="0.3">
      <c r="A1522" s="1"/>
      <c r="B1522" s="1" t="str">
        <f>IFERROR(IF(LEFT(Sensitivität_bzw_Monte_Carlo_bei_Strom[[#This Row],[Source.Name]],SEARCH("aus_der",Sensitivität_bzw_Monte_Carlo_bei_Strom[[#This Row],[Source.Name]],1))="Auszahlung_a","Auszahlung",""),"")</f>
        <v/>
      </c>
      <c r="D1522" s="1"/>
    </row>
    <row r="1523" spans="1:4" x14ac:dyDescent="0.3">
      <c r="A1523" s="1"/>
      <c r="B1523" s="1" t="str">
        <f>IFERROR(IF(LEFT(Sensitivität_bzw_Monte_Carlo_bei_Strom[[#This Row],[Source.Name]],SEARCH("aus_der",Sensitivität_bzw_Monte_Carlo_bei_Strom[[#This Row],[Source.Name]],1))="Auszahlung_a","Auszahlung",""),"")</f>
        <v/>
      </c>
      <c r="D1523" s="1"/>
    </row>
    <row r="1524" spans="1:4" x14ac:dyDescent="0.3">
      <c r="A1524" s="1"/>
      <c r="B1524" s="1" t="str">
        <f>IFERROR(IF(LEFT(Sensitivität_bzw_Monte_Carlo_bei_Strom[[#This Row],[Source.Name]],SEARCH("aus_der",Sensitivität_bzw_Monte_Carlo_bei_Strom[[#This Row],[Source.Name]],1))="Auszahlung_a","Auszahlung",""),"")</f>
        <v/>
      </c>
      <c r="D1524" s="1"/>
    </row>
    <row r="1525" spans="1:4" x14ac:dyDescent="0.3">
      <c r="A1525" s="1"/>
      <c r="B1525" s="1" t="str">
        <f>IFERROR(IF(LEFT(Sensitivität_bzw_Monte_Carlo_bei_Strom[[#This Row],[Source.Name]],SEARCH("aus_der",Sensitivität_bzw_Monte_Carlo_bei_Strom[[#This Row],[Source.Name]],1))="Auszahlung_a","Auszahlung",""),"")</f>
        <v/>
      </c>
      <c r="D1525" s="1"/>
    </row>
    <row r="1526" spans="1:4" x14ac:dyDescent="0.3">
      <c r="A1526" s="1"/>
      <c r="B1526" s="1" t="str">
        <f>IFERROR(IF(LEFT(Sensitivität_bzw_Monte_Carlo_bei_Strom[[#This Row],[Source.Name]],SEARCH("aus_der",Sensitivität_bzw_Monte_Carlo_bei_Strom[[#This Row],[Source.Name]],1))="Auszahlung_a","Auszahlung",""),"")</f>
        <v/>
      </c>
      <c r="D1526" s="1"/>
    </row>
    <row r="1527" spans="1:4" x14ac:dyDescent="0.3">
      <c r="A1527" s="1"/>
      <c r="B1527" s="1" t="str">
        <f>IFERROR(IF(LEFT(Sensitivität_bzw_Monte_Carlo_bei_Strom[[#This Row],[Source.Name]],SEARCH("aus_der",Sensitivität_bzw_Monte_Carlo_bei_Strom[[#This Row],[Source.Name]],1))="Auszahlung_a","Auszahlung",""),"")</f>
        <v/>
      </c>
      <c r="D1527" s="1"/>
    </row>
    <row r="1528" spans="1:4" x14ac:dyDescent="0.3">
      <c r="A1528" s="1"/>
      <c r="B1528" s="1" t="str">
        <f>IFERROR(IF(LEFT(Sensitivität_bzw_Monte_Carlo_bei_Strom[[#This Row],[Source.Name]],SEARCH("aus_der",Sensitivität_bzw_Monte_Carlo_bei_Strom[[#This Row],[Source.Name]],1))="Auszahlung_a","Auszahlung",""),"")</f>
        <v/>
      </c>
      <c r="D1528" s="1"/>
    </row>
    <row r="1529" spans="1:4" x14ac:dyDescent="0.3">
      <c r="A1529" s="1"/>
      <c r="B1529" s="1" t="str">
        <f>IFERROR(IF(LEFT(Sensitivität_bzw_Monte_Carlo_bei_Strom[[#This Row],[Source.Name]],SEARCH("aus_der",Sensitivität_bzw_Monte_Carlo_bei_Strom[[#This Row],[Source.Name]],1))="Auszahlung_a","Auszahlung",""),"")</f>
        <v/>
      </c>
      <c r="D1529" s="1"/>
    </row>
    <row r="1530" spans="1:4" x14ac:dyDescent="0.3">
      <c r="A1530" s="1"/>
      <c r="B1530" s="1" t="str">
        <f>IFERROR(IF(LEFT(Sensitivität_bzw_Monte_Carlo_bei_Strom[[#This Row],[Source.Name]],SEARCH("aus_der",Sensitivität_bzw_Monte_Carlo_bei_Strom[[#This Row],[Source.Name]],1))="Auszahlung_a","Auszahlung",""),"")</f>
        <v/>
      </c>
      <c r="D1530" s="1"/>
    </row>
    <row r="1531" spans="1:4" x14ac:dyDescent="0.3">
      <c r="A1531" s="1"/>
      <c r="B1531" s="1" t="str">
        <f>IFERROR(IF(LEFT(Sensitivität_bzw_Monte_Carlo_bei_Strom[[#This Row],[Source.Name]],SEARCH("aus_der",Sensitivität_bzw_Monte_Carlo_bei_Strom[[#This Row],[Source.Name]],1))="Auszahlung_a","Auszahlung",""),"")</f>
        <v/>
      </c>
      <c r="D1531" s="1"/>
    </row>
    <row r="1532" spans="1:4" x14ac:dyDescent="0.3">
      <c r="A1532" s="1"/>
      <c r="B1532" s="1" t="str">
        <f>IFERROR(IF(LEFT(Sensitivität_bzw_Monte_Carlo_bei_Strom[[#This Row],[Source.Name]],SEARCH("aus_der",Sensitivität_bzw_Monte_Carlo_bei_Strom[[#This Row],[Source.Name]],1))="Auszahlung_a","Auszahlung",""),"")</f>
        <v/>
      </c>
      <c r="D1532" s="1"/>
    </row>
    <row r="1533" spans="1:4" x14ac:dyDescent="0.3">
      <c r="A1533" s="1"/>
      <c r="B1533" s="1" t="str">
        <f>IFERROR(IF(LEFT(Sensitivität_bzw_Monte_Carlo_bei_Strom[[#This Row],[Source.Name]],SEARCH("aus_der",Sensitivität_bzw_Monte_Carlo_bei_Strom[[#This Row],[Source.Name]],1))="Auszahlung_a","Auszahlung",""),"")</f>
        <v/>
      </c>
      <c r="D1533" s="1"/>
    </row>
    <row r="1534" spans="1:4" x14ac:dyDescent="0.3">
      <c r="A1534" s="1"/>
      <c r="B1534" s="1" t="str">
        <f>IFERROR(IF(LEFT(Sensitivität_bzw_Monte_Carlo_bei_Strom[[#This Row],[Source.Name]],SEARCH("aus_der",Sensitivität_bzw_Monte_Carlo_bei_Strom[[#This Row],[Source.Name]],1))="Auszahlung_a","Auszahlung",""),"")</f>
        <v/>
      </c>
      <c r="D1534" s="1"/>
    </row>
    <row r="1535" spans="1:4" x14ac:dyDescent="0.3">
      <c r="A1535" s="1"/>
      <c r="B1535" s="1" t="str">
        <f>IFERROR(IF(LEFT(Sensitivität_bzw_Monte_Carlo_bei_Strom[[#This Row],[Source.Name]],SEARCH("aus_der",Sensitivität_bzw_Monte_Carlo_bei_Strom[[#This Row],[Source.Name]],1))="Auszahlung_a","Auszahlung",""),"")</f>
        <v/>
      </c>
      <c r="D1535" s="1"/>
    </row>
    <row r="1536" spans="1:4" x14ac:dyDescent="0.3">
      <c r="A1536" s="1"/>
      <c r="B1536" s="1" t="str">
        <f>IFERROR(IF(LEFT(Sensitivität_bzw_Monte_Carlo_bei_Strom[[#This Row],[Source.Name]],SEARCH("aus_der",Sensitivität_bzw_Monte_Carlo_bei_Strom[[#This Row],[Source.Name]],1))="Auszahlung_a","Auszahlung",""),"")</f>
        <v/>
      </c>
      <c r="D1536" s="1"/>
    </row>
    <row r="1537" spans="1:4" x14ac:dyDescent="0.3">
      <c r="A1537" s="1"/>
      <c r="B1537" s="1" t="str">
        <f>IFERROR(IF(LEFT(Sensitivität_bzw_Monte_Carlo_bei_Strom[[#This Row],[Source.Name]],SEARCH("aus_der",Sensitivität_bzw_Monte_Carlo_bei_Strom[[#This Row],[Source.Name]],1))="Auszahlung_a","Auszahlung",""),"")</f>
        <v/>
      </c>
      <c r="D1537" s="1"/>
    </row>
    <row r="1538" spans="1:4" x14ac:dyDescent="0.3">
      <c r="A1538" s="1"/>
      <c r="B1538" s="1" t="str">
        <f>IFERROR(IF(LEFT(Sensitivität_bzw_Monte_Carlo_bei_Strom[[#This Row],[Source.Name]],SEARCH("aus_der",Sensitivität_bzw_Monte_Carlo_bei_Strom[[#This Row],[Source.Name]],1))="Auszahlung_a","Auszahlung",""),"")</f>
        <v/>
      </c>
      <c r="D1538" s="1"/>
    </row>
    <row r="1539" spans="1:4" x14ac:dyDescent="0.3">
      <c r="A1539" s="1"/>
      <c r="B1539" s="1" t="str">
        <f>IFERROR(IF(LEFT(Sensitivität_bzw_Monte_Carlo_bei_Strom[[#This Row],[Source.Name]],SEARCH("aus_der",Sensitivität_bzw_Monte_Carlo_bei_Strom[[#This Row],[Source.Name]],1))="Auszahlung_a","Auszahlung",""),"")</f>
        <v/>
      </c>
      <c r="D1539" s="1"/>
    </row>
    <row r="1540" spans="1:4" x14ac:dyDescent="0.3">
      <c r="A1540" s="1"/>
      <c r="B1540" s="1" t="str">
        <f>IFERROR(IF(LEFT(Sensitivität_bzw_Monte_Carlo_bei_Strom[[#This Row],[Source.Name]],SEARCH("aus_der",Sensitivität_bzw_Monte_Carlo_bei_Strom[[#This Row],[Source.Name]],1))="Auszahlung_a","Auszahlung",""),"")</f>
        <v/>
      </c>
      <c r="D1540" s="1"/>
    </row>
    <row r="1541" spans="1:4" x14ac:dyDescent="0.3">
      <c r="A1541" s="1"/>
      <c r="B1541" s="1" t="str">
        <f>IFERROR(IF(LEFT(Sensitivität_bzw_Monte_Carlo_bei_Strom[[#This Row],[Source.Name]],SEARCH("aus_der",Sensitivität_bzw_Monte_Carlo_bei_Strom[[#This Row],[Source.Name]],1))="Auszahlung_a","Auszahlung",""),"")</f>
        <v/>
      </c>
      <c r="D1541" s="1"/>
    </row>
    <row r="1542" spans="1:4" x14ac:dyDescent="0.3">
      <c r="A1542" s="1"/>
      <c r="B1542" s="1" t="str">
        <f>IFERROR(IF(LEFT(Sensitivität_bzw_Monte_Carlo_bei_Strom[[#This Row],[Source.Name]],SEARCH("aus_der",Sensitivität_bzw_Monte_Carlo_bei_Strom[[#This Row],[Source.Name]],1))="Auszahlung_a","Auszahlung",""),"")</f>
        <v/>
      </c>
      <c r="D1542" s="1"/>
    </row>
    <row r="1543" spans="1:4" x14ac:dyDescent="0.3">
      <c r="A1543" s="1"/>
      <c r="B1543" s="1" t="str">
        <f>IFERROR(IF(LEFT(Sensitivität_bzw_Monte_Carlo_bei_Strom[[#This Row],[Source.Name]],SEARCH("aus_der",Sensitivität_bzw_Monte_Carlo_bei_Strom[[#This Row],[Source.Name]],1))="Auszahlung_a","Auszahlung",""),"")</f>
        <v/>
      </c>
      <c r="D1543" s="1"/>
    </row>
    <row r="1544" spans="1:4" x14ac:dyDescent="0.3">
      <c r="A1544" s="1"/>
      <c r="B1544" s="1" t="str">
        <f>IFERROR(IF(LEFT(Sensitivität_bzw_Monte_Carlo_bei_Strom[[#This Row],[Source.Name]],SEARCH("aus_der",Sensitivität_bzw_Monte_Carlo_bei_Strom[[#This Row],[Source.Name]],1))="Auszahlung_a","Auszahlung",""),"")</f>
        <v/>
      </c>
      <c r="D1544" s="1"/>
    </row>
    <row r="1545" spans="1:4" x14ac:dyDescent="0.3">
      <c r="A1545" s="1"/>
      <c r="B1545" s="1" t="str">
        <f>IFERROR(IF(LEFT(Sensitivität_bzw_Monte_Carlo_bei_Strom[[#This Row],[Source.Name]],SEARCH("aus_der",Sensitivität_bzw_Monte_Carlo_bei_Strom[[#This Row],[Source.Name]],1))="Auszahlung_a","Auszahlung",""),"")</f>
        <v/>
      </c>
      <c r="D1545" s="1"/>
    </row>
    <row r="1546" spans="1:4" x14ac:dyDescent="0.3">
      <c r="A1546" s="1"/>
      <c r="B1546" s="1" t="str">
        <f>IFERROR(IF(LEFT(Sensitivität_bzw_Monte_Carlo_bei_Strom[[#This Row],[Source.Name]],SEARCH("aus_der",Sensitivität_bzw_Monte_Carlo_bei_Strom[[#This Row],[Source.Name]],1))="Auszahlung_a","Auszahlung",""),"")</f>
        <v/>
      </c>
      <c r="D1546" s="1"/>
    </row>
    <row r="1547" spans="1:4" x14ac:dyDescent="0.3">
      <c r="A1547" s="1"/>
      <c r="B1547" s="1" t="str">
        <f>IFERROR(IF(LEFT(Sensitivität_bzw_Monte_Carlo_bei_Strom[[#This Row],[Source.Name]],SEARCH("aus_der",Sensitivität_bzw_Monte_Carlo_bei_Strom[[#This Row],[Source.Name]],1))="Auszahlung_a","Auszahlung",""),"")</f>
        <v/>
      </c>
      <c r="D1547" s="1"/>
    </row>
    <row r="1548" spans="1:4" x14ac:dyDescent="0.3">
      <c r="A1548" s="1"/>
      <c r="B1548" s="1" t="str">
        <f>IFERROR(IF(LEFT(Sensitivität_bzw_Monte_Carlo_bei_Strom[[#This Row],[Source.Name]],SEARCH("aus_der",Sensitivität_bzw_Monte_Carlo_bei_Strom[[#This Row],[Source.Name]],1))="Auszahlung_a","Auszahlung",""),"")</f>
        <v/>
      </c>
      <c r="D1548" s="1"/>
    </row>
    <row r="1549" spans="1:4" x14ac:dyDescent="0.3">
      <c r="A1549" s="1"/>
      <c r="B1549" s="1" t="str">
        <f>IFERROR(IF(LEFT(Sensitivität_bzw_Monte_Carlo_bei_Strom[[#This Row],[Source.Name]],SEARCH("aus_der",Sensitivität_bzw_Monte_Carlo_bei_Strom[[#This Row],[Source.Name]],1))="Auszahlung_a","Auszahlung",""),"")</f>
        <v/>
      </c>
      <c r="D1549" s="1"/>
    </row>
    <row r="1550" spans="1:4" x14ac:dyDescent="0.3">
      <c r="A1550" s="1"/>
      <c r="B1550" s="1" t="str">
        <f>IFERROR(IF(LEFT(Sensitivität_bzw_Monte_Carlo_bei_Strom[[#This Row],[Source.Name]],SEARCH("aus_der",Sensitivität_bzw_Monte_Carlo_bei_Strom[[#This Row],[Source.Name]],1))="Auszahlung_a","Auszahlung",""),"")</f>
        <v/>
      </c>
      <c r="D1550" s="1"/>
    </row>
    <row r="1551" spans="1:4" x14ac:dyDescent="0.3">
      <c r="A1551" s="1"/>
      <c r="B1551" s="1" t="str">
        <f>IFERROR(IF(LEFT(Sensitivität_bzw_Monte_Carlo_bei_Strom[[#This Row],[Source.Name]],SEARCH("aus_der",Sensitivität_bzw_Monte_Carlo_bei_Strom[[#This Row],[Source.Name]],1))="Auszahlung_a","Auszahlung",""),"")</f>
        <v/>
      </c>
      <c r="D1551" s="1"/>
    </row>
    <row r="1552" spans="1:4" x14ac:dyDescent="0.3">
      <c r="A1552" s="1"/>
      <c r="B1552" s="1" t="str">
        <f>IFERROR(IF(LEFT(Sensitivität_bzw_Monte_Carlo_bei_Strom[[#This Row],[Source.Name]],SEARCH("aus_der",Sensitivität_bzw_Monte_Carlo_bei_Strom[[#This Row],[Source.Name]],1))="Auszahlung_a","Auszahlung",""),"")</f>
        <v/>
      </c>
      <c r="D1552" s="1"/>
    </row>
    <row r="1553" spans="1:4" x14ac:dyDescent="0.3">
      <c r="A1553" s="1"/>
      <c r="B1553" s="1" t="str">
        <f>IFERROR(IF(LEFT(Sensitivität_bzw_Monte_Carlo_bei_Strom[[#This Row],[Source.Name]],SEARCH("aus_der",Sensitivität_bzw_Monte_Carlo_bei_Strom[[#This Row],[Source.Name]],1))="Auszahlung_a","Auszahlung",""),"")</f>
        <v/>
      </c>
      <c r="D1553" s="1"/>
    </row>
    <row r="1554" spans="1:4" x14ac:dyDescent="0.3">
      <c r="A1554" s="1"/>
      <c r="B1554" s="1" t="str">
        <f>IFERROR(IF(LEFT(Sensitivität_bzw_Monte_Carlo_bei_Strom[[#This Row],[Source.Name]],SEARCH("aus_der",Sensitivität_bzw_Monte_Carlo_bei_Strom[[#This Row],[Source.Name]],1))="Auszahlung_a","Auszahlung",""),"")</f>
        <v/>
      </c>
      <c r="D1554" s="1"/>
    </row>
    <row r="1555" spans="1:4" x14ac:dyDescent="0.3">
      <c r="A1555" s="1"/>
      <c r="B1555" s="1" t="str">
        <f>IFERROR(IF(LEFT(Sensitivität_bzw_Monte_Carlo_bei_Strom[[#This Row],[Source.Name]],SEARCH("aus_der",Sensitivität_bzw_Monte_Carlo_bei_Strom[[#This Row],[Source.Name]],1))="Auszahlung_a","Auszahlung",""),"")</f>
        <v/>
      </c>
      <c r="D1555" s="1"/>
    </row>
    <row r="1556" spans="1:4" x14ac:dyDescent="0.3">
      <c r="A1556" s="1"/>
      <c r="B1556" s="1" t="str">
        <f>IFERROR(IF(LEFT(Sensitivität_bzw_Monte_Carlo_bei_Strom[[#This Row],[Source.Name]],SEARCH("aus_der",Sensitivität_bzw_Monte_Carlo_bei_Strom[[#This Row],[Source.Name]],1))="Auszahlung_a","Auszahlung",""),"")</f>
        <v/>
      </c>
      <c r="D1556" s="1"/>
    </row>
    <row r="1557" spans="1:4" x14ac:dyDescent="0.3">
      <c r="A1557" s="1"/>
      <c r="B1557" s="1" t="str">
        <f>IFERROR(IF(LEFT(Sensitivität_bzw_Monte_Carlo_bei_Strom[[#This Row],[Source.Name]],SEARCH("aus_der",Sensitivität_bzw_Monte_Carlo_bei_Strom[[#This Row],[Source.Name]],1))="Auszahlung_a","Auszahlung",""),"")</f>
        <v/>
      </c>
      <c r="D1557" s="1"/>
    </row>
    <row r="1558" spans="1:4" x14ac:dyDescent="0.3">
      <c r="A1558" s="1"/>
      <c r="B1558" s="1" t="str">
        <f>IFERROR(IF(LEFT(Sensitivität_bzw_Monte_Carlo_bei_Strom[[#This Row],[Source.Name]],SEARCH("aus_der",Sensitivität_bzw_Monte_Carlo_bei_Strom[[#This Row],[Source.Name]],1))="Auszahlung_a","Auszahlung",""),"")</f>
        <v/>
      </c>
      <c r="D1558" s="1"/>
    </row>
    <row r="1559" spans="1:4" x14ac:dyDescent="0.3">
      <c r="A1559" s="1"/>
      <c r="B1559" s="1" t="str">
        <f>IFERROR(IF(LEFT(Sensitivität_bzw_Monte_Carlo_bei_Strom[[#This Row],[Source.Name]],SEARCH("aus_der",Sensitivität_bzw_Monte_Carlo_bei_Strom[[#This Row],[Source.Name]],1))="Auszahlung_a","Auszahlung",""),"")</f>
        <v/>
      </c>
      <c r="D1559" s="1"/>
    </row>
    <row r="1560" spans="1:4" x14ac:dyDescent="0.3">
      <c r="A1560" s="1"/>
      <c r="B1560" s="1" t="str">
        <f>IFERROR(IF(LEFT(Sensitivität_bzw_Monte_Carlo_bei_Strom[[#This Row],[Source.Name]],SEARCH("aus_der",Sensitivität_bzw_Monte_Carlo_bei_Strom[[#This Row],[Source.Name]],1))="Auszahlung_a","Auszahlung",""),"")</f>
        <v/>
      </c>
      <c r="D1560" s="1"/>
    </row>
    <row r="1561" spans="1:4" x14ac:dyDescent="0.3">
      <c r="A1561" s="1"/>
      <c r="B1561" s="1" t="str">
        <f>IFERROR(IF(LEFT(Sensitivität_bzw_Monte_Carlo_bei_Strom[[#This Row],[Source.Name]],SEARCH("aus_der",Sensitivität_bzw_Monte_Carlo_bei_Strom[[#This Row],[Source.Name]],1))="Auszahlung_a","Auszahlung",""),"")</f>
        <v/>
      </c>
      <c r="D1561" s="1"/>
    </row>
    <row r="1562" spans="1:4" x14ac:dyDescent="0.3">
      <c r="A1562" s="1"/>
      <c r="B1562" s="1" t="str">
        <f>IFERROR(IF(LEFT(Sensitivität_bzw_Monte_Carlo_bei_Strom[[#This Row],[Source.Name]],SEARCH("aus_der",Sensitivität_bzw_Monte_Carlo_bei_Strom[[#This Row],[Source.Name]],1))="Auszahlung_a","Auszahlung",""),"")</f>
        <v/>
      </c>
      <c r="D1562" s="1"/>
    </row>
    <row r="1563" spans="1:4" x14ac:dyDescent="0.3">
      <c r="A1563" s="1"/>
      <c r="B1563" s="1" t="str">
        <f>IFERROR(IF(LEFT(Sensitivität_bzw_Monte_Carlo_bei_Strom[[#This Row],[Source.Name]],SEARCH("aus_der",Sensitivität_bzw_Monte_Carlo_bei_Strom[[#This Row],[Source.Name]],1))="Auszahlung_a","Auszahlung",""),"")</f>
        <v/>
      </c>
      <c r="D1563" s="1"/>
    </row>
    <row r="1564" spans="1:4" x14ac:dyDescent="0.3">
      <c r="A1564" s="1"/>
      <c r="B1564" s="1" t="str">
        <f>IFERROR(IF(LEFT(Sensitivität_bzw_Monte_Carlo_bei_Strom[[#This Row],[Source.Name]],SEARCH("aus_der",Sensitivität_bzw_Monte_Carlo_bei_Strom[[#This Row],[Source.Name]],1))="Auszahlung_a","Auszahlung",""),"")</f>
        <v/>
      </c>
      <c r="D1564" s="1"/>
    </row>
    <row r="1565" spans="1:4" x14ac:dyDescent="0.3">
      <c r="A1565" s="1"/>
      <c r="B1565" s="1" t="str">
        <f>IFERROR(IF(LEFT(Sensitivität_bzw_Monte_Carlo_bei_Strom[[#This Row],[Source.Name]],SEARCH("aus_der",Sensitivität_bzw_Monte_Carlo_bei_Strom[[#This Row],[Source.Name]],1))="Auszahlung_a","Auszahlung",""),"")</f>
        <v/>
      </c>
      <c r="D1565" s="1"/>
    </row>
    <row r="1566" spans="1:4" x14ac:dyDescent="0.3">
      <c r="A1566" s="1"/>
      <c r="B1566" s="1" t="str">
        <f>IFERROR(IF(LEFT(Sensitivität_bzw_Monte_Carlo_bei_Strom[[#This Row],[Source.Name]],SEARCH("aus_der",Sensitivität_bzw_Monte_Carlo_bei_Strom[[#This Row],[Source.Name]],1))="Auszahlung_a","Auszahlung",""),"")</f>
        <v/>
      </c>
      <c r="D1566" s="1"/>
    </row>
    <row r="1567" spans="1:4" x14ac:dyDescent="0.3">
      <c r="A1567" s="1"/>
      <c r="B1567" s="1" t="str">
        <f>IFERROR(IF(LEFT(Sensitivität_bzw_Monte_Carlo_bei_Strom[[#This Row],[Source.Name]],SEARCH("aus_der",Sensitivität_bzw_Monte_Carlo_bei_Strom[[#This Row],[Source.Name]],1))="Auszahlung_a","Auszahlung",""),"")</f>
        <v/>
      </c>
      <c r="D1567" s="1"/>
    </row>
    <row r="1568" spans="1:4" x14ac:dyDescent="0.3">
      <c r="A1568" s="1"/>
      <c r="B1568" s="1" t="str">
        <f>IFERROR(IF(LEFT(Sensitivität_bzw_Monte_Carlo_bei_Strom[[#This Row],[Source.Name]],SEARCH("aus_der",Sensitivität_bzw_Monte_Carlo_bei_Strom[[#This Row],[Source.Name]],1))="Auszahlung_a","Auszahlung",""),"")</f>
        <v/>
      </c>
      <c r="D1568" s="1"/>
    </row>
    <row r="1569" spans="1:4" x14ac:dyDescent="0.3">
      <c r="A1569" s="1"/>
      <c r="B1569" s="1" t="str">
        <f>IFERROR(IF(LEFT(Sensitivität_bzw_Monte_Carlo_bei_Strom[[#This Row],[Source.Name]],SEARCH("aus_der",Sensitivität_bzw_Monte_Carlo_bei_Strom[[#This Row],[Source.Name]],1))="Auszahlung_a","Auszahlung",""),"")</f>
        <v/>
      </c>
      <c r="D1569" s="1"/>
    </row>
    <row r="1570" spans="1:4" x14ac:dyDescent="0.3">
      <c r="A1570" s="1"/>
      <c r="B1570" s="1" t="str">
        <f>IFERROR(IF(LEFT(Sensitivität_bzw_Monte_Carlo_bei_Strom[[#This Row],[Source.Name]],SEARCH("aus_der",Sensitivität_bzw_Monte_Carlo_bei_Strom[[#This Row],[Source.Name]],1))="Auszahlung_a","Auszahlung",""),"")</f>
        <v/>
      </c>
      <c r="D1570" s="1"/>
    </row>
    <row r="1571" spans="1:4" x14ac:dyDescent="0.3">
      <c r="A1571" s="1"/>
      <c r="B1571" s="1" t="str">
        <f>IFERROR(IF(LEFT(Sensitivität_bzw_Monte_Carlo_bei_Strom[[#This Row],[Source.Name]],SEARCH("aus_der",Sensitivität_bzw_Monte_Carlo_bei_Strom[[#This Row],[Source.Name]],1))="Auszahlung_a","Auszahlung",""),"")</f>
        <v/>
      </c>
      <c r="D1571" s="1"/>
    </row>
    <row r="1572" spans="1:4" x14ac:dyDescent="0.3">
      <c r="A1572" s="1"/>
      <c r="B1572" s="1" t="str">
        <f>IFERROR(IF(LEFT(Sensitivität_bzw_Monte_Carlo_bei_Strom[[#This Row],[Source.Name]],SEARCH("aus_der",Sensitivität_bzw_Monte_Carlo_bei_Strom[[#This Row],[Source.Name]],1))="Auszahlung_a","Auszahlung",""),"")</f>
        <v/>
      </c>
      <c r="D1572" s="1"/>
    </row>
    <row r="1573" spans="1:4" x14ac:dyDescent="0.3">
      <c r="A1573" s="1"/>
      <c r="B1573" s="1" t="str">
        <f>IFERROR(IF(LEFT(Sensitivität_bzw_Monte_Carlo_bei_Strom[[#This Row],[Source.Name]],SEARCH("aus_der",Sensitivität_bzw_Monte_Carlo_bei_Strom[[#This Row],[Source.Name]],1))="Auszahlung_a","Auszahlung",""),"")</f>
        <v/>
      </c>
      <c r="D1573" s="1"/>
    </row>
    <row r="1574" spans="1:4" x14ac:dyDescent="0.3">
      <c r="A1574" s="1"/>
      <c r="B1574" s="1" t="str">
        <f>IFERROR(IF(LEFT(Sensitivität_bzw_Monte_Carlo_bei_Strom[[#This Row],[Source.Name]],SEARCH("aus_der",Sensitivität_bzw_Monte_Carlo_bei_Strom[[#This Row],[Source.Name]],1))="Auszahlung_a","Auszahlung",""),"")</f>
        <v/>
      </c>
      <c r="D1574" s="1"/>
    </row>
    <row r="1575" spans="1:4" x14ac:dyDescent="0.3">
      <c r="A1575" s="1"/>
      <c r="B1575" s="1" t="str">
        <f>IFERROR(IF(LEFT(Sensitivität_bzw_Monte_Carlo_bei_Strom[[#This Row],[Source.Name]],SEARCH("aus_der",Sensitivität_bzw_Monte_Carlo_bei_Strom[[#This Row],[Source.Name]],1))="Auszahlung_a","Auszahlung",""),"")</f>
        <v/>
      </c>
      <c r="D1575" s="1"/>
    </row>
    <row r="1576" spans="1:4" x14ac:dyDescent="0.3">
      <c r="A1576" s="1"/>
      <c r="B1576" s="1" t="str">
        <f>IFERROR(IF(LEFT(Sensitivität_bzw_Monte_Carlo_bei_Strom[[#This Row],[Source.Name]],SEARCH("aus_der",Sensitivität_bzw_Monte_Carlo_bei_Strom[[#This Row],[Source.Name]],1))="Auszahlung_a","Auszahlung",""),"")</f>
        <v/>
      </c>
      <c r="D1576" s="1"/>
    </row>
    <row r="1577" spans="1:4" x14ac:dyDescent="0.3">
      <c r="A1577" s="1"/>
      <c r="B1577" s="1" t="str">
        <f>IFERROR(IF(LEFT(Sensitivität_bzw_Monte_Carlo_bei_Strom[[#This Row],[Source.Name]],SEARCH("aus_der",Sensitivität_bzw_Monte_Carlo_bei_Strom[[#This Row],[Source.Name]],1))="Auszahlung_a","Auszahlung",""),"")</f>
        <v/>
      </c>
      <c r="D1577" s="1"/>
    </row>
    <row r="1578" spans="1:4" x14ac:dyDescent="0.3">
      <c r="A1578" s="1"/>
      <c r="B1578" s="1" t="str">
        <f>IFERROR(IF(LEFT(Sensitivität_bzw_Monte_Carlo_bei_Strom[[#This Row],[Source.Name]],SEARCH("aus_der",Sensitivität_bzw_Monte_Carlo_bei_Strom[[#This Row],[Source.Name]],1))="Auszahlung_a","Auszahlung",""),"")</f>
        <v/>
      </c>
      <c r="D1578" s="1"/>
    </row>
    <row r="1579" spans="1:4" x14ac:dyDescent="0.3">
      <c r="A1579" s="1"/>
      <c r="B1579" s="1" t="str">
        <f>IFERROR(IF(LEFT(Sensitivität_bzw_Monte_Carlo_bei_Strom[[#This Row],[Source.Name]],SEARCH("aus_der",Sensitivität_bzw_Monte_Carlo_bei_Strom[[#This Row],[Source.Name]],1))="Auszahlung_a","Auszahlung",""),"")</f>
        <v/>
      </c>
      <c r="D1579" s="1"/>
    </row>
    <row r="1580" spans="1:4" x14ac:dyDescent="0.3">
      <c r="A1580" s="1"/>
      <c r="B1580" s="1" t="str">
        <f>IFERROR(IF(LEFT(Sensitivität_bzw_Monte_Carlo_bei_Strom[[#This Row],[Source.Name]],SEARCH("aus_der",Sensitivität_bzw_Monte_Carlo_bei_Strom[[#This Row],[Source.Name]],1))="Auszahlung_a","Auszahlung",""),"")</f>
        <v/>
      </c>
      <c r="D1580" s="1"/>
    </row>
    <row r="1581" spans="1:4" x14ac:dyDescent="0.3">
      <c r="A1581" s="1"/>
      <c r="B1581" s="1" t="str">
        <f>IFERROR(IF(LEFT(Sensitivität_bzw_Monte_Carlo_bei_Strom[[#This Row],[Source.Name]],SEARCH("aus_der",Sensitivität_bzw_Monte_Carlo_bei_Strom[[#This Row],[Source.Name]],1))="Auszahlung_a","Auszahlung",""),"")</f>
        <v/>
      </c>
      <c r="D1581" s="1"/>
    </row>
    <row r="1582" spans="1:4" x14ac:dyDescent="0.3">
      <c r="A1582" s="1"/>
      <c r="B1582" s="1" t="str">
        <f>IFERROR(IF(LEFT(Sensitivität_bzw_Monte_Carlo_bei_Strom[[#This Row],[Source.Name]],SEARCH("aus_der",Sensitivität_bzw_Monte_Carlo_bei_Strom[[#This Row],[Source.Name]],1))="Auszahlung_a","Auszahlung",""),"")</f>
        <v/>
      </c>
      <c r="D1582" s="1"/>
    </row>
    <row r="1583" spans="1:4" x14ac:dyDescent="0.3">
      <c r="A1583" s="1"/>
      <c r="B1583" s="1" t="str">
        <f>IFERROR(IF(LEFT(Sensitivität_bzw_Monte_Carlo_bei_Strom[[#This Row],[Source.Name]],SEARCH("aus_der",Sensitivität_bzw_Monte_Carlo_bei_Strom[[#This Row],[Source.Name]],1))="Auszahlung_a","Auszahlung",""),"")</f>
        <v/>
      </c>
      <c r="D1583" s="1"/>
    </row>
    <row r="1584" spans="1:4" x14ac:dyDescent="0.3">
      <c r="A1584" s="1"/>
      <c r="B1584" s="1" t="str">
        <f>IFERROR(IF(LEFT(Sensitivität_bzw_Monte_Carlo_bei_Strom[[#This Row],[Source.Name]],SEARCH("aus_der",Sensitivität_bzw_Monte_Carlo_bei_Strom[[#This Row],[Source.Name]],1))="Auszahlung_a","Auszahlung",""),"")</f>
        <v/>
      </c>
      <c r="D1584" s="1"/>
    </row>
    <row r="1585" spans="1:4" x14ac:dyDescent="0.3">
      <c r="A1585" s="1"/>
      <c r="B1585" s="1" t="str">
        <f>IFERROR(IF(LEFT(Sensitivität_bzw_Monte_Carlo_bei_Strom[[#This Row],[Source.Name]],SEARCH("aus_der",Sensitivität_bzw_Monte_Carlo_bei_Strom[[#This Row],[Source.Name]],1))="Auszahlung_a","Auszahlung",""),"")</f>
        <v/>
      </c>
      <c r="D1585" s="1"/>
    </row>
    <row r="1586" spans="1:4" x14ac:dyDescent="0.3">
      <c r="A1586" s="1"/>
      <c r="B1586" s="1" t="str">
        <f>IFERROR(IF(LEFT(Sensitivität_bzw_Monte_Carlo_bei_Strom[[#This Row],[Source.Name]],SEARCH("aus_der",Sensitivität_bzw_Monte_Carlo_bei_Strom[[#This Row],[Source.Name]],1))="Auszahlung_a","Auszahlung",""),"")</f>
        <v/>
      </c>
      <c r="D1586" s="1"/>
    </row>
    <row r="1587" spans="1:4" x14ac:dyDescent="0.3">
      <c r="A1587" s="1"/>
      <c r="B1587" s="1" t="str">
        <f>IFERROR(IF(LEFT(Sensitivität_bzw_Monte_Carlo_bei_Strom[[#This Row],[Source.Name]],SEARCH("aus_der",Sensitivität_bzw_Monte_Carlo_bei_Strom[[#This Row],[Source.Name]],1))="Auszahlung_a","Auszahlung",""),"")</f>
        <v/>
      </c>
      <c r="D1587" s="1"/>
    </row>
    <row r="1588" spans="1:4" x14ac:dyDescent="0.3">
      <c r="A1588" s="1"/>
      <c r="B1588" s="1" t="str">
        <f>IFERROR(IF(LEFT(Sensitivität_bzw_Monte_Carlo_bei_Strom[[#This Row],[Source.Name]],SEARCH("aus_der",Sensitivität_bzw_Monte_Carlo_bei_Strom[[#This Row],[Source.Name]],1))="Auszahlung_a","Auszahlung",""),"")</f>
        <v/>
      </c>
      <c r="D1588" s="1"/>
    </row>
    <row r="1589" spans="1:4" x14ac:dyDescent="0.3">
      <c r="A1589" s="1"/>
      <c r="B1589" s="1" t="str">
        <f>IFERROR(IF(LEFT(Sensitivität_bzw_Monte_Carlo_bei_Strom[[#This Row],[Source.Name]],SEARCH("aus_der",Sensitivität_bzw_Monte_Carlo_bei_Strom[[#This Row],[Source.Name]],1))="Auszahlung_a","Auszahlung",""),"")</f>
        <v/>
      </c>
      <c r="D1589" s="1"/>
    </row>
    <row r="1590" spans="1:4" x14ac:dyDescent="0.3">
      <c r="A1590" s="1"/>
      <c r="B1590" s="1" t="str">
        <f>IFERROR(IF(LEFT(Sensitivität_bzw_Monte_Carlo_bei_Strom[[#This Row],[Source.Name]],SEARCH("aus_der",Sensitivität_bzw_Monte_Carlo_bei_Strom[[#This Row],[Source.Name]],1))="Auszahlung_a","Auszahlung",""),"")</f>
        <v/>
      </c>
      <c r="D1590" s="1"/>
    </row>
    <row r="1591" spans="1:4" x14ac:dyDescent="0.3">
      <c r="A1591" s="1"/>
      <c r="B1591" s="1" t="str">
        <f>IFERROR(IF(LEFT(Sensitivität_bzw_Monte_Carlo_bei_Strom[[#This Row],[Source.Name]],SEARCH("aus_der",Sensitivität_bzw_Monte_Carlo_bei_Strom[[#This Row],[Source.Name]],1))="Auszahlung_a","Auszahlung",""),"")</f>
        <v/>
      </c>
      <c r="D1591" s="1"/>
    </row>
    <row r="1592" spans="1:4" x14ac:dyDescent="0.3">
      <c r="A1592" s="1"/>
      <c r="B1592" s="1" t="str">
        <f>IFERROR(IF(LEFT(Sensitivität_bzw_Monte_Carlo_bei_Strom[[#This Row],[Source.Name]],SEARCH("aus_der",Sensitivität_bzw_Monte_Carlo_bei_Strom[[#This Row],[Source.Name]],1))="Auszahlung_a","Auszahlung",""),"")</f>
        <v/>
      </c>
      <c r="D1592" s="1"/>
    </row>
    <row r="1593" spans="1:4" x14ac:dyDescent="0.3">
      <c r="A1593" s="1"/>
      <c r="B1593" s="1" t="str">
        <f>IFERROR(IF(LEFT(Sensitivität_bzw_Monte_Carlo_bei_Strom[[#This Row],[Source.Name]],SEARCH("aus_der",Sensitivität_bzw_Monte_Carlo_bei_Strom[[#This Row],[Source.Name]],1))="Auszahlung_a","Auszahlung",""),"")</f>
        <v/>
      </c>
      <c r="D1593" s="1"/>
    </row>
    <row r="1594" spans="1:4" x14ac:dyDescent="0.3">
      <c r="A1594" s="1"/>
      <c r="B1594" s="1" t="str">
        <f>IFERROR(IF(LEFT(Sensitivität_bzw_Monte_Carlo_bei_Strom[[#This Row],[Source.Name]],SEARCH("aus_der",Sensitivität_bzw_Monte_Carlo_bei_Strom[[#This Row],[Source.Name]],1))="Auszahlung_a","Auszahlung",""),"")</f>
        <v/>
      </c>
      <c r="D1594" s="1"/>
    </row>
    <row r="1595" spans="1:4" x14ac:dyDescent="0.3">
      <c r="A1595" s="1"/>
      <c r="B1595" s="1" t="str">
        <f>IFERROR(IF(LEFT(Sensitivität_bzw_Monte_Carlo_bei_Strom[[#This Row],[Source.Name]],SEARCH("aus_der",Sensitivität_bzw_Monte_Carlo_bei_Strom[[#This Row],[Source.Name]],1))="Auszahlung_a","Auszahlung",""),"")</f>
        <v/>
      </c>
      <c r="D1595" s="1"/>
    </row>
    <row r="1596" spans="1:4" x14ac:dyDescent="0.3">
      <c r="A1596" s="1"/>
      <c r="B1596" s="1" t="str">
        <f>IFERROR(IF(LEFT(Sensitivität_bzw_Monte_Carlo_bei_Strom[[#This Row],[Source.Name]],SEARCH("aus_der",Sensitivität_bzw_Monte_Carlo_bei_Strom[[#This Row],[Source.Name]],1))="Auszahlung_a","Auszahlung",""),"")</f>
        <v/>
      </c>
      <c r="D1596" s="1"/>
    </row>
    <row r="1597" spans="1:4" x14ac:dyDescent="0.3">
      <c r="A1597" s="1"/>
      <c r="B1597" s="1" t="str">
        <f>IFERROR(IF(LEFT(Sensitivität_bzw_Monte_Carlo_bei_Strom[[#This Row],[Source.Name]],SEARCH("aus_der",Sensitivität_bzw_Monte_Carlo_bei_Strom[[#This Row],[Source.Name]],1))="Auszahlung_a","Auszahlung",""),"")</f>
        <v/>
      </c>
      <c r="D1597" s="1"/>
    </row>
    <row r="1598" spans="1:4" x14ac:dyDescent="0.3">
      <c r="A1598" s="1"/>
      <c r="B1598" s="1" t="str">
        <f>IFERROR(IF(LEFT(Sensitivität_bzw_Monte_Carlo_bei_Strom[[#This Row],[Source.Name]],SEARCH("aus_der",Sensitivität_bzw_Monte_Carlo_bei_Strom[[#This Row],[Source.Name]],1))="Auszahlung_a","Auszahlung",""),"")</f>
        <v/>
      </c>
      <c r="D1598" s="1"/>
    </row>
    <row r="1599" spans="1:4" x14ac:dyDescent="0.3">
      <c r="A1599" s="1"/>
      <c r="B1599" s="1" t="str">
        <f>IFERROR(IF(LEFT(Sensitivität_bzw_Monte_Carlo_bei_Strom[[#This Row],[Source.Name]],SEARCH("aus_der",Sensitivität_bzw_Monte_Carlo_bei_Strom[[#This Row],[Source.Name]],1))="Auszahlung_a","Auszahlung",""),"")</f>
        <v/>
      </c>
      <c r="D1599" s="1"/>
    </row>
    <row r="1600" spans="1:4" x14ac:dyDescent="0.3">
      <c r="A1600" s="1"/>
      <c r="B1600" s="1" t="str">
        <f>IFERROR(IF(LEFT(Sensitivität_bzw_Monte_Carlo_bei_Strom[[#This Row],[Source.Name]],SEARCH("aus_der",Sensitivität_bzw_Monte_Carlo_bei_Strom[[#This Row],[Source.Name]],1))="Auszahlung_a","Auszahlung",""),"")</f>
        <v/>
      </c>
      <c r="D1600" s="1"/>
    </row>
    <row r="1601" spans="1:4" x14ac:dyDescent="0.3">
      <c r="A1601" s="1"/>
      <c r="B1601" s="1" t="str">
        <f>IFERROR(IF(LEFT(Sensitivität_bzw_Monte_Carlo_bei_Strom[[#This Row],[Source.Name]],SEARCH("aus_der",Sensitivität_bzw_Monte_Carlo_bei_Strom[[#This Row],[Source.Name]],1))="Auszahlung_a","Auszahlung",""),"")</f>
        <v/>
      </c>
      <c r="D1601" s="1"/>
    </row>
    <row r="1602" spans="1:4" x14ac:dyDescent="0.3">
      <c r="A1602" s="1"/>
      <c r="B1602" s="1" t="str">
        <f>IFERROR(IF(LEFT(Sensitivität_bzw_Monte_Carlo_bei_Strom[[#This Row],[Source.Name]],SEARCH("aus_der",Sensitivität_bzw_Monte_Carlo_bei_Strom[[#This Row],[Source.Name]],1))="Auszahlung_a","Auszahlung",""),"")</f>
        <v/>
      </c>
      <c r="D1602" s="1"/>
    </row>
    <row r="1603" spans="1:4" x14ac:dyDescent="0.3">
      <c r="A1603" s="1"/>
      <c r="B1603" s="1" t="str">
        <f>IFERROR(IF(LEFT(Sensitivität_bzw_Monte_Carlo_bei_Strom[[#This Row],[Source.Name]],SEARCH("aus_der",Sensitivität_bzw_Monte_Carlo_bei_Strom[[#This Row],[Source.Name]],1))="Auszahlung_a","Auszahlung",""),"")</f>
        <v/>
      </c>
      <c r="D1603" s="1"/>
    </row>
    <row r="1604" spans="1:4" x14ac:dyDescent="0.3">
      <c r="A1604" s="1"/>
      <c r="B1604" s="1" t="str">
        <f>IFERROR(IF(LEFT(Sensitivität_bzw_Monte_Carlo_bei_Strom[[#This Row],[Source.Name]],SEARCH("aus_der",Sensitivität_bzw_Monte_Carlo_bei_Strom[[#This Row],[Source.Name]],1))="Auszahlung_a","Auszahlung",""),"")</f>
        <v/>
      </c>
      <c r="D1604" s="1"/>
    </row>
    <row r="1605" spans="1:4" x14ac:dyDescent="0.3">
      <c r="A1605" s="1"/>
      <c r="B1605" s="1" t="str">
        <f>IFERROR(IF(LEFT(Sensitivität_bzw_Monte_Carlo_bei_Strom[[#This Row],[Source.Name]],SEARCH("aus_der",Sensitivität_bzw_Monte_Carlo_bei_Strom[[#This Row],[Source.Name]],1))="Auszahlung_a","Auszahlung",""),"")</f>
        <v/>
      </c>
      <c r="D1605" s="1"/>
    </row>
    <row r="1606" spans="1:4" x14ac:dyDescent="0.3">
      <c r="A1606" s="1"/>
      <c r="B1606" s="1" t="str">
        <f>IFERROR(IF(LEFT(Sensitivität_bzw_Monte_Carlo_bei_Strom[[#This Row],[Source.Name]],SEARCH("aus_der",Sensitivität_bzw_Monte_Carlo_bei_Strom[[#This Row],[Source.Name]],1))="Auszahlung_a","Auszahlung",""),"")</f>
        <v/>
      </c>
      <c r="D1606" s="1"/>
    </row>
    <row r="1607" spans="1:4" x14ac:dyDescent="0.3">
      <c r="A1607" s="1"/>
      <c r="B1607" s="1" t="str">
        <f>IFERROR(IF(LEFT(Sensitivität_bzw_Monte_Carlo_bei_Strom[[#This Row],[Source.Name]],SEARCH("aus_der",Sensitivität_bzw_Monte_Carlo_bei_Strom[[#This Row],[Source.Name]],1))="Auszahlung_a","Auszahlung",""),"")</f>
        <v/>
      </c>
      <c r="D1607" s="1"/>
    </row>
    <row r="1608" spans="1:4" x14ac:dyDescent="0.3">
      <c r="A1608" s="1"/>
      <c r="B1608" s="1" t="str">
        <f>IFERROR(IF(LEFT(Sensitivität_bzw_Monte_Carlo_bei_Strom[[#This Row],[Source.Name]],SEARCH("aus_der",Sensitivität_bzw_Monte_Carlo_bei_Strom[[#This Row],[Source.Name]],1))="Auszahlung_a","Auszahlung",""),"")</f>
        <v/>
      </c>
      <c r="D1608" s="1"/>
    </row>
    <row r="1609" spans="1:4" x14ac:dyDescent="0.3">
      <c r="A1609" s="1"/>
      <c r="B1609" s="1" t="str">
        <f>IFERROR(IF(LEFT(Sensitivität_bzw_Monte_Carlo_bei_Strom[[#This Row],[Source.Name]],SEARCH("aus_der",Sensitivität_bzw_Monte_Carlo_bei_Strom[[#This Row],[Source.Name]],1))="Auszahlung_a","Auszahlung",""),"")</f>
        <v/>
      </c>
      <c r="D1609" s="1"/>
    </row>
    <row r="1610" spans="1:4" x14ac:dyDescent="0.3">
      <c r="A1610" s="1"/>
      <c r="B1610" s="1" t="str">
        <f>IFERROR(IF(LEFT(Sensitivität_bzw_Monte_Carlo_bei_Strom[[#This Row],[Source.Name]],SEARCH("aus_der",Sensitivität_bzw_Monte_Carlo_bei_Strom[[#This Row],[Source.Name]],1))="Auszahlung_a","Auszahlung",""),"")</f>
        <v/>
      </c>
      <c r="D1610" s="1"/>
    </row>
    <row r="1611" spans="1:4" x14ac:dyDescent="0.3">
      <c r="A1611" s="1"/>
      <c r="B1611" s="1" t="str">
        <f>IFERROR(IF(LEFT(Sensitivität_bzw_Monte_Carlo_bei_Strom[[#This Row],[Source.Name]],SEARCH("aus_der",Sensitivität_bzw_Monte_Carlo_bei_Strom[[#This Row],[Source.Name]],1))="Auszahlung_a","Auszahlung",""),"")</f>
        <v/>
      </c>
      <c r="D1611" s="1"/>
    </row>
    <row r="1612" spans="1:4" x14ac:dyDescent="0.3">
      <c r="A1612" s="1"/>
      <c r="B1612" s="1" t="str">
        <f>IFERROR(IF(LEFT(Sensitivität_bzw_Monte_Carlo_bei_Strom[[#This Row],[Source.Name]],SEARCH("aus_der",Sensitivität_bzw_Monte_Carlo_bei_Strom[[#This Row],[Source.Name]],1))="Auszahlung_a","Auszahlung",""),"")</f>
        <v/>
      </c>
      <c r="D1612" s="1"/>
    </row>
    <row r="1613" spans="1:4" x14ac:dyDescent="0.3">
      <c r="A1613" s="1"/>
      <c r="B1613" s="1" t="str">
        <f>IFERROR(IF(LEFT(Sensitivität_bzw_Monte_Carlo_bei_Strom[[#This Row],[Source.Name]],SEARCH("aus_der",Sensitivität_bzw_Monte_Carlo_bei_Strom[[#This Row],[Source.Name]],1))="Auszahlung_a","Auszahlung",""),"")</f>
        <v/>
      </c>
      <c r="D1613" s="1"/>
    </row>
    <row r="1614" spans="1:4" x14ac:dyDescent="0.3">
      <c r="A1614" s="1"/>
      <c r="B1614" s="1" t="str">
        <f>IFERROR(IF(LEFT(Sensitivität_bzw_Monte_Carlo_bei_Strom[[#This Row],[Source.Name]],SEARCH("aus_der",Sensitivität_bzw_Monte_Carlo_bei_Strom[[#This Row],[Source.Name]],1))="Auszahlung_a","Auszahlung",""),"")</f>
        <v/>
      </c>
      <c r="D1614" s="1"/>
    </row>
    <row r="1615" spans="1:4" x14ac:dyDescent="0.3">
      <c r="A1615" s="1"/>
      <c r="B1615" s="1" t="str">
        <f>IFERROR(IF(LEFT(Sensitivität_bzw_Monte_Carlo_bei_Strom[[#This Row],[Source.Name]],SEARCH("aus_der",Sensitivität_bzw_Monte_Carlo_bei_Strom[[#This Row],[Source.Name]],1))="Auszahlung_a","Auszahlung",""),"")</f>
        <v/>
      </c>
      <c r="D1615" s="1"/>
    </row>
    <row r="1616" spans="1:4" x14ac:dyDescent="0.3">
      <c r="A1616" s="1"/>
      <c r="B1616" s="1" t="str">
        <f>IFERROR(IF(LEFT(Sensitivität_bzw_Monte_Carlo_bei_Strom[[#This Row],[Source.Name]],SEARCH("aus_der",Sensitivität_bzw_Monte_Carlo_bei_Strom[[#This Row],[Source.Name]],1))="Auszahlung_a","Auszahlung",""),"")</f>
        <v/>
      </c>
      <c r="D1616" s="1"/>
    </row>
    <row r="1617" spans="1:4" x14ac:dyDescent="0.3">
      <c r="A1617" s="1"/>
      <c r="B1617" s="1" t="str">
        <f>IFERROR(IF(LEFT(Sensitivität_bzw_Monte_Carlo_bei_Strom[[#This Row],[Source.Name]],SEARCH("aus_der",Sensitivität_bzw_Monte_Carlo_bei_Strom[[#This Row],[Source.Name]],1))="Auszahlung_a","Auszahlung",""),"")</f>
        <v/>
      </c>
      <c r="D1617" s="1"/>
    </row>
    <row r="1618" spans="1:4" x14ac:dyDescent="0.3">
      <c r="A1618" s="1"/>
      <c r="B1618" s="1" t="str">
        <f>IFERROR(IF(LEFT(Sensitivität_bzw_Monte_Carlo_bei_Strom[[#This Row],[Source.Name]],SEARCH("aus_der",Sensitivität_bzw_Monte_Carlo_bei_Strom[[#This Row],[Source.Name]],1))="Auszahlung_a","Auszahlung",""),"")</f>
        <v/>
      </c>
      <c r="D1618" s="1"/>
    </row>
    <row r="1619" spans="1:4" x14ac:dyDescent="0.3">
      <c r="A1619" s="1"/>
      <c r="B1619" s="1" t="str">
        <f>IFERROR(IF(LEFT(Sensitivität_bzw_Monte_Carlo_bei_Strom[[#This Row],[Source.Name]],SEARCH("aus_der",Sensitivität_bzw_Monte_Carlo_bei_Strom[[#This Row],[Source.Name]],1))="Auszahlung_a","Auszahlung",""),"")</f>
        <v/>
      </c>
      <c r="D1619" s="1"/>
    </row>
    <row r="1620" spans="1:4" x14ac:dyDescent="0.3">
      <c r="A1620" s="1"/>
      <c r="B1620" s="1" t="str">
        <f>IFERROR(IF(LEFT(Sensitivität_bzw_Monte_Carlo_bei_Strom[[#This Row],[Source.Name]],SEARCH("aus_der",Sensitivität_bzw_Monte_Carlo_bei_Strom[[#This Row],[Source.Name]],1))="Auszahlung_a","Auszahlung",""),"")</f>
        <v/>
      </c>
      <c r="D1620" s="1"/>
    </row>
    <row r="1621" spans="1:4" x14ac:dyDescent="0.3">
      <c r="A1621" s="1"/>
      <c r="B1621" s="1" t="str">
        <f>IFERROR(IF(LEFT(Sensitivität_bzw_Monte_Carlo_bei_Strom[[#This Row],[Source.Name]],SEARCH("aus_der",Sensitivität_bzw_Monte_Carlo_bei_Strom[[#This Row],[Source.Name]],1))="Auszahlung_a","Auszahlung",""),"")</f>
        <v/>
      </c>
      <c r="D1621" s="1"/>
    </row>
    <row r="1622" spans="1:4" x14ac:dyDescent="0.3">
      <c r="A1622" s="1"/>
      <c r="B1622" s="1" t="str">
        <f>IFERROR(IF(LEFT(Sensitivität_bzw_Monte_Carlo_bei_Strom[[#This Row],[Source.Name]],SEARCH("aus_der",Sensitivität_bzw_Monte_Carlo_bei_Strom[[#This Row],[Source.Name]],1))="Auszahlung_a","Auszahlung",""),"")</f>
        <v/>
      </c>
      <c r="D1622" s="1"/>
    </row>
    <row r="1623" spans="1:4" x14ac:dyDescent="0.3">
      <c r="A1623" s="1"/>
      <c r="B1623" s="1" t="str">
        <f>IFERROR(IF(LEFT(Sensitivität_bzw_Monte_Carlo_bei_Strom[[#This Row],[Source.Name]],SEARCH("aus_der",Sensitivität_bzw_Monte_Carlo_bei_Strom[[#This Row],[Source.Name]],1))="Auszahlung_a","Auszahlung",""),"")</f>
        <v/>
      </c>
      <c r="D1623" s="1"/>
    </row>
    <row r="1624" spans="1:4" x14ac:dyDescent="0.3">
      <c r="A1624" s="1"/>
      <c r="B1624" s="1" t="str">
        <f>IFERROR(IF(LEFT(Sensitivität_bzw_Monte_Carlo_bei_Strom[[#This Row],[Source.Name]],SEARCH("aus_der",Sensitivität_bzw_Monte_Carlo_bei_Strom[[#This Row],[Source.Name]],1))="Auszahlung_a","Auszahlung",""),"")</f>
        <v/>
      </c>
      <c r="D1624" s="1"/>
    </row>
    <row r="1625" spans="1:4" x14ac:dyDescent="0.3">
      <c r="A1625" s="1"/>
      <c r="B1625" s="1" t="str">
        <f>IFERROR(IF(LEFT(Sensitivität_bzw_Monte_Carlo_bei_Strom[[#This Row],[Source.Name]],SEARCH("aus_der",Sensitivität_bzw_Monte_Carlo_bei_Strom[[#This Row],[Source.Name]],1))="Auszahlung_a","Auszahlung",""),"")</f>
        <v/>
      </c>
      <c r="D1625" s="1"/>
    </row>
    <row r="1626" spans="1:4" x14ac:dyDescent="0.3">
      <c r="A1626" s="1"/>
      <c r="B1626" s="1" t="str">
        <f>IFERROR(IF(LEFT(Sensitivität_bzw_Monte_Carlo_bei_Strom[[#This Row],[Source.Name]],SEARCH("aus_der",Sensitivität_bzw_Monte_Carlo_bei_Strom[[#This Row],[Source.Name]],1))="Auszahlung_a","Auszahlung",""),"")</f>
        <v/>
      </c>
      <c r="D1626" s="1"/>
    </row>
    <row r="1627" spans="1:4" x14ac:dyDescent="0.3">
      <c r="A1627" s="1"/>
      <c r="B1627" s="1" t="str">
        <f>IFERROR(IF(LEFT(Sensitivität_bzw_Monte_Carlo_bei_Strom[[#This Row],[Source.Name]],SEARCH("aus_der",Sensitivität_bzw_Monte_Carlo_bei_Strom[[#This Row],[Source.Name]],1))="Auszahlung_a","Auszahlung",""),"")</f>
        <v/>
      </c>
      <c r="D1627" s="1"/>
    </row>
    <row r="1628" spans="1:4" x14ac:dyDescent="0.3">
      <c r="A1628" s="1"/>
      <c r="B1628" s="1" t="str">
        <f>IFERROR(IF(LEFT(Sensitivität_bzw_Monte_Carlo_bei_Strom[[#This Row],[Source.Name]],SEARCH("aus_der",Sensitivität_bzw_Monte_Carlo_bei_Strom[[#This Row],[Source.Name]],1))="Auszahlung_a","Auszahlung",""),"")</f>
        <v/>
      </c>
      <c r="D1628" s="1"/>
    </row>
    <row r="1629" spans="1:4" x14ac:dyDescent="0.3">
      <c r="A1629" s="1"/>
      <c r="B1629" s="1" t="str">
        <f>IFERROR(IF(LEFT(Sensitivität_bzw_Monte_Carlo_bei_Strom[[#This Row],[Source.Name]],SEARCH("aus_der",Sensitivität_bzw_Monte_Carlo_bei_Strom[[#This Row],[Source.Name]],1))="Auszahlung_a","Auszahlung",""),"")</f>
        <v/>
      </c>
      <c r="D1629" s="1"/>
    </row>
    <row r="1630" spans="1:4" x14ac:dyDescent="0.3">
      <c r="A1630" s="1"/>
      <c r="B1630" s="1" t="str">
        <f>IFERROR(IF(LEFT(Sensitivität_bzw_Monte_Carlo_bei_Strom[[#This Row],[Source.Name]],SEARCH("aus_der",Sensitivität_bzw_Monte_Carlo_bei_Strom[[#This Row],[Source.Name]],1))="Auszahlung_a","Auszahlung",""),"")</f>
        <v/>
      </c>
      <c r="D1630" s="1"/>
    </row>
    <row r="1631" spans="1:4" x14ac:dyDescent="0.3">
      <c r="A1631" s="1"/>
      <c r="B1631" s="1" t="str">
        <f>IFERROR(IF(LEFT(Sensitivität_bzw_Monte_Carlo_bei_Strom[[#This Row],[Source.Name]],SEARCH("aus_der",Sensitivität_bzw_Monte_Carlo_bei_Strom[[#This Row],[Source.Name]],1))="Auszahlung_a","Auszahlung",""),"")</f>
        <v/>
      </c>
      <c r="D1631" s="1"/>
    </row>
    <row r="1632" spans="1:4" x14ac:dyDescent="0.3">
      <c r="A1632" s="1"/>
      <c r="B1632" s="1" t="str">
        <f>IFERROR(IF(LEFT(Sensitivität_bzw_Monte_Carlo_bei_Strom[[#This Row],[Source.Name]],SEARCH("aus_der",Sensitivität_bzw_Monte_Carlo_bei_Strom[[#This Row],[Source.Name]],1))="Auszahlung_a","Auszahlung",""),"")</f>
        <v/>
      </c>
      <c r="D1632" s="1"/>
    </row>
    <row r="1633" spans="1:4" x14ac:dyDescent="0.3">
      <c r="A1633" s="1"/>
      <c r="B1633" s="1" t="str">
        <f>IFERROR(IF(LEFT(Sensitivität_bzw_Monte_Carlo_bei_Strom[[#This Row],[Source.Name]],SEARCH("aus_der",Sensitivität_bzw_Monte_Carlo_bei_Strom[[#This Row],[Source.Name]],1))="Auszahlung_a","Auszahlung",""),"")</f>
        <v/>
      </c>
      <c r="D1633" s="1"/>
    </row>
    <row r="1634" spans="1:4" x14ac:dyDescent="0.3">
      <c r="A1634" s="1"/>
      <c r="B1634" s="1" t="str">
        <f>IFERROR(IF(LEFT(Sensitivität_bzw_Monte_Carlo_bei_Strom[[#This Row],[Source.Name]],SEARCH("aus_der",Sensitivität_bzw_Monte_Carlo_bei_Strom[[#This Row],[Source.Name]],1))="Auszahlung_a","Auszahlung",""),"")</f>
        <v/>
      </c>
      <c r="D1634" s="1"/>
    </row>
    <row r="1635" spans="1:4" x14ac:dyDescent="0.3">
      <c r="A1635" s="1"/>
      <c r="B1635" s="1" t="str">
        <f>IFERROR(IF(LEFT(Sensitivität_bzw_Monte_Carlo_bei_Strom[[#This Row],[Source.Name]],SEARCH("aus_der",Sensitivität_bzw_Monte_Carlo_bei_Strom[[#This Row],[Source.Name]],1))="Auszahlung_a","Auszahlung",""),"")</f>
        <v/>
      </c>
      <c r="D1635" s="1"/>
    </row>
    <row r="1636" spans="1:4" x14ac:dyDescent="0.3">
      <c r="A1636" s="1"/>
      <c r="B1636" s="1" t="str">
        <f>IFERROR(IF(LEFT(Sensitivität_bzw_Monte_Carlo_bei_Strom[[#This Row],[Source.Name]],SEARCH("aus_der",Sensitivität_bzw_Monte_Carlo_bei_Strom[[#This Row],[Source.Name]],1))="Auszahlung_a","Auszahlung",""),"")</f>
        <v/>
      </c>
      <c r="D1636" s="1"/>
    </row>
    <row r="1637" spans="1:4" x14ac:dyDescent="0.3">
      <c r="A1637" s="1"/>
      <c r="B1637" s="1" t="str">
        <f>IFERROR(IF(LEFT(Sensitivität_bzw_Monte_Carlo_bei_Strom[[#This Row],[Source.Name]],SEARCH("aus_der",Sensitivität_bzw_Monte_Carlo_bei_Strom[[#This Row],[Source.Name]],1))="Auszahlung_a","Auszahlung",""),"")</f>
        <v/>
      </c>
      <c r="D1637" s="1"/>
    </row>
    <row r="1638" spans="1:4" x14ac:dyDescent="0.3">
      <c r="A1638" s="1"/>
      <c r="B1638" s="1" t="str">
        <f>IFERROR(IF(LEFT(Sensitivität_bzw_Monte_Carlo_bei_Strom[[#This Row],[Source.Name]],SEARCH("aus_der",Sensitivität_bzw_Monte_Carlo_bei_Strom[[#This Row],[Source.Name]],1))="Auszahlung_a","Auszahlung",""),"")</f>
        <v/>
      </c>
      <c r="D1638" s="1"/>
    </row>
    <row r="1639" spans="1:4" x14ac:dyDescent="0.3">
      <c r="A1639" s="1"/>
      <c r="B1639" s="1" t="str">
        <f>IFERROR(IF(LEFT(Sensitivität_bzw_Monte_Carlo_bei_Strom[[#This Row],[Source.Name]],SEARCH("aus_der",Sensitivität_bzw_Monte_Carlo_bei_Strom[[#This Row],[Source.Name]],1))="Auszahlung_a","Auszahlung",""),"")</f>
        <v/>
      </c>
      <c r="D1639" s="1"/>
    </row>
    <row r="1640" spans="1:4" x14ac:dyDescent="0.3">
      <c r="A1640" s="1"/>
      <c r="B1640" s="1" t="str">
        <f>IFERROR(IF(LEFT(Sensitivität_bzw_Monte_Carlo_bei_Strom[[#This Row],[Source.Name]],SEARCH("aus_der",Sensitivität_bzw_Monte_Carlo_bei_Strom[[#This Row],[Source.Name]],1))="Auszahlung_a","Auszahlung",""),"")</f>
        <v/>
      </c>
      <c r="D1640" s="1"/>
    </row>
    <row r="1641" spans="1:4" x14ac:dyDescent="0.3">
      <c r="A1641" s="1"/>
      <c r="B1641" s="1" t="str">
        <f>IFERROR(IF(LEFT(Sensitivität_bzw_Monte_Carlo_bei_Strom[[#This Row],[Source.Name]],SEARCH("aus_der",Sensitivität_bzw_Monte_Carlo_bei_Strom[[#This Row],[Source.Name]],1))="Auszahlung_a","Auszahlung",""),"")</f>
        <v/>
      </c>
      <c r="D1641" s="1"/>
    </row>
    <row r="1642" spans="1:4" x14ac:dyDescent="0.3">
      <c r="A1642" s="1"/>
      <c r="B1642" s="1" t="str">
        <f>IFERROR(IF(LEFT(Sensitivität_bzw_Monte_Carlo_bei_Strom[[#This Row],[Source.Name]],SEARCH("aus_der",Sensitivität_bzw_Monte_Carlo_bei_Strom[[#This Row],[Source.Name]],1))="Auszahlung_a","Auszahlung",""),"")</f>
        <v/>
      </c>
      <c r="D1642" s="1"/>
    </row>
    <row r="1643" spans="1:4" x14ac:dyDescent="0.3">
      <c r="A1643" s="1"/>
      <c r="B1643" s="1" t="str">
        <f>IFERROR(IF(LEFT(Sensitivität_bzw_Monte_Carlo_bei_Strom[[#This Row],[Source.Name]],SEARCH("aus_der",Sensitivität_bzw_Monte_Carlo_bei_Strom[[#This Row],[Source.Name]],1))="Auszahlung_a","Auszahlung",""),"")</f>
        <v/>
      </c>
      <c r="D1643" s="1"/>
    </row>
    <row r="1644" spans="1:4" x14ac:dyDescent="0.3">
      <c r="A1644" s="1"/>
      <c r="B1644" s="1" t="str">
        <f>IFERROR(IF(LEFT(Sensitivität_bzw_Monte_Carlo_bei_Strom[[#This Row],[Source.Name]],SEARCH("aus_der",Sensitivität_bzw_Monte_Carlo_bei_Strom[[#This Row],[Source.Name]],1))="Auszahlung_a","Auszahlung",""),"")</f>
        <v/>
      </c>
      <c r="D1644" s="1"/>
    </row>
    <row r="1645" spans="1:4" x14ac:dyDescent="0.3">
      <c r="A1645" s="1"/>
      <c r="B1645" s="1" t="str">
        <f>IFERROR(IF(LEFT(Sensitivität_bzw_Monte_Carlo_bei_Strom[[#This Row],[Source.Name]],SEARCH("aus_der",Sensitivität_bzw_Monte_Carlo_bei_Strom[[#This Row],[Source.Name]],1))="Auszahlung_a","Auszahlung",""),"")</f>
        <v/>
      </c>
      <c r="D1645" s="1"/>
    </row>
    <row r="1646" spans="1:4" x14ac:dyDescent="0.3">
      <c r="A1646" s="1"/>
      <c r="B1646" s="1" t="str">
        <f>IFERROR(IF(LEFT(Sensitivität_bzw_Monte_Carlo_bei_Strom[[#This Row],[Source.Name]],SEARCH("aus_der",Sensitivität_bzw_Monte_Carlo_bei_Strom[[#This Row],[Source.Name]],1))="Auszahlung_a","Auszahlung",""),"")</f>
        <v/>
      </c>
      <c r="D1646" s="1"/>
    </row>
    <row r="1647" spans="1:4" x14ac:dyDescent="0.3">
      <c r="A1647" s="1"/>
      <c r="B1647" s="1" t="str">
        <f>IFERROR(IF(LEFT(Sensitivität_bzw_Monte_Carlo_bei_Strom[[#This Row],[Source.Name]],SEARCH("aus_der",Sensitivität_bzw_Monte_Carlo_bei_Strom[[#This Row],[Source.Name]],1))="Auszahlung_a","Auszahlung",""),"")</f>
        <v/>
      </c>
      <c r="D1647" s="1"/>
    </row>
    <row r="1648" spans="1:4" x14ac:dyDescent="0.3">
      <c r="A1648" s="1"/>
      <c r="B1648" s="1" t="str">
        <f>IFERROR(IF(LEFT(Sensitivität_bzw_Monte_Carlo_bei_Strom[[#This Row],[Source.Name]],SEARCH("aus_der",Sensitivität_bzw_Monte_Carlo_bei_Strom[[#This Row],[Source.Name]],1))="Auszahlung_a","Auszahlung",""),"")</f>
        <v/>
      </c>
      <c r="D1648" s="1"/>
    </row>
    <row r="1649" spans="1:4" x14ac:dyDescent="0.3">
      <c r="A1649" s="1"/>
      <c r="B1649" s="1" t="str">
        <f>IFERROR(IF(LEFT(Sensitivität_bzw_Monte_Carlo_bei_Strom[[#This Row],[Source.Name]],SEARCH("aus_der",Sensitivität_bzw_Monte_Carlo_bei_Strom[[#This Row],[Source.Name]],1))="Auszahlung_a","Auszahlung",""),"")</f>
        <v/>
      </c>
      <c r="D1649" s="1"/>
    </row>
    <row r="1650" spans="1:4" x14ac:dyDescent="0.3">
      <c r="A1650" s="1"/>
      <c r="B1650" s="1" t="str">
        <f>IFERROR(IF(LEFT(Sensitivität_bzw_Monte_Carlo_bei_Strom[[#This Row],[Source.Name]],SEARCH("aus_der",Sensitivität_bzw_Monte_Carlo_bei_Strom[[#This Row],[Source.Name]],1))="Auszahlung_a","Auszahlung",""),"")</f>
        <v/>
      </c>
      <c r="D1650" s="1"/>
    </row>
    <row r="1651" spans="1:4" x14ac:dyDescent="0.3">
      <c r="A1651" s="1"/>
      <c r="B1651" s="1" t="str">
        <f>IFERROR(IF(LEFT(Sensitivität_bzw_Monte_Carlo_bei_Strom[[#This Row],[Source.Name]],SEARCH("aus_der",Sensitivität_bzw_Monte_Carlo_bei_Strom[[#This Row],[Source.Name]],1))="Auszahlung_a","Auszahlung",""),"")</f>
        <v/>
      </c>
      <c r="D1651" s="1"/>
    </row>
    <row r="1652" spans="1:4" x14ac:dyDescent="0.3">
      <c r="A1652" s="1"/>
      <c r="B1652" s="1" t="str">
        <f>IFERROR(IF(LEFT(Sensitivität_bzw_Monte_Carlo_bei_Strom[[#This Row],[Source.Name]],SEARCH("aus_der",Sensitivität_bzw_Monte_Carlo_bei_Strom[[#This Row],[Source.Name]],1))="Auszahlung_a","Auszahlung",""),"")</f>
        <v/>
      </c>
      <c r="D1652" s="1"/>
    </row>
    <row r="1653" spans="1:4" x14ac:dyDescent="0.3">
      <c r="A1653" s="1"/>
      <c r="B1653" s="1" t="str">
        <f>IFERROR(IF(LEFT(Sensitivität_bzw_Monte_Carlo_bei_Strom[[#This Row],[Source.Name]],SEARCH("aus_der",Sensitivität_bzw_Monte_Carlo_bei_Strom[[#This Row],[Source.Name]],1))="Auszahlung_a","Auszahlung",""),"")</f>
        <v/>
      </c>
      <c r="D1653" s="1"/>
    </row>
    <row r="1654" spans="1:4" x14ac:dyDescent="0.3">
      <c r="A1654" s="1"/>
      <c r="B1654" s="1" t="str">
        <f>IFERROR(IF(LEFT(Sensitivität_bzw_Monte_Carlo_bei_Strom[[#This Row],[Source.Name]],SEARCH("aus_der",Sensitivität_bzw_Monte_Carlo_bei_Strom[[#This Row],[Source.Name]],1))="Auszahlung_a","Auszahlung",""),"")</f>
        <v/>
      </c>
      <c r="D1654" s="1"/>
    </row>
    <row r="1655" spans="1:4" x14ac:dyDescent="0.3">
      <c r="A1655" s="1"/>
      <c r="B1655" s="1" t="str">
        <f>IFERROR(IF(LEFT(Sensitivität_bzw_Monte_Carlo_bei_Strom[[#This Row],[Source.Name]],SEARCH("aus_der",Sensitivität_bzw_Monte_Carlo_bei_Strom[[#This Row],[Source.Name]],1))="Auszahlung_a","Auszahlung",""),"")</f>
        <v/>
      </c>
      <c r="D1655" s="1"/>
    </row>
    <row r="1656" spans="1:4" x14ac:dyDescent="0.3">
      <c r="A1656" s="1"/>
      <c r="B1656" s="1" t="str">
        <f>IFERROR(IF(LEFT(Sensitivität_bzw_Monte_Carlo_bei_Strom[[#This Row],[Source.Name]],SEARCH("aus_der",Sensitivität_bzw_Monte_Carlo_bei_Strom[[#This Row],[Source.Name]],1))="Auszahlung_a","Auszahlung",""),"")</f>
        <v/>
      </c>
      <c r="D1656" s="1"/>
    </row>
    <row r="1657" spans="1:4" x14ac:dyDescent="0.3">
      <c r="A1657" s="1"/>
      <c r="B1657" s="1" t="str">
        <f>IFERROR(IF(LEFT(Sensitivität_bzw_Monte_Carlo_bei_Strom[[#This Row],[Source.Name]],SEARCH("aus_der",Sensitivität_bzw_Monte_Carlo_bei_Strom[[#This Row],[Source.Name]],1))="Auszahlung_a","Auszahlung",""),"")</f>
        <v/>
      </c>
      <c r="D1657" s="1"/>
    </row>
    <row r="1658" spans="1:4" x14ac:dyDescent="0.3">
      <c r="A1658" s="1"/>
      <c r="B1658" s="1" t="str">
        <f>IFERROR(IF(LEFT(Sensitivität_bzw_Monte_Carlo_bei_Strom[[#This Row],[Source.Name]],SEARCH("aus_der",Sensitivität_bzw_Monte_Carlo_bei_Strom[[#This Row],[Source.Name]],1))="Auszahlung_a","Auszahlung",""),"")</f>
        <v/>
      </c>
      <c r="D1658" s="1"/>
    </row>
    <row r="1659" spans="1:4" x14ac:dyDescent="0.3">
      <c r="A1659" s="1"/>
      <c r="B1659" s="1" t="str">
        <f>IFERROR(IF(LEFT(Sensitivität_bzw_Monte_Carlo_bei_Strom[[#This Row],[Source.Name]],SEARCH("aus_der",Sensitivität_bzw_Monte_Carlo_bei_Strom[[#This Row],[Source.Name]],1))="Auszahlung_a","Auszahlung",""),"")</f>
        <v/>
      </c>
      <c r="D1659" s="1"/>
    </row>
    <row r="1660" spans="1:4" x14ac:dyDescent="0.3">
      <c r="A1660" s="1"/>
      <c r="B1660" s="1" t="str">
        <f>IFERROR(IF(LEFT(Sensitivität_bzw_Monte_Carlo_bei_Strom[[#This Row],[Source.Name]],SEARCH("aus_der",Sensitivität_bzw_Monte_Carlo_bei_Strom[[#This Row],[Source.Name]],1))="Auszahlung_a","Auszahlung",""),"")</f>
        <v/>
      </c>
      <c r="D1660" s="1"/>
    </row>
    <row r="1661" spans="1:4" x14ac:dyDescent="0.3">
      <c r="A1661" s="1"/>
      <c r="B1661" s="1" t="str">
        <f>IFERROR(IF(LEFT(Sensitivität_bzw_Monte_Carlo_bei_Strom[[#This Row],[Source.Name]],SEARCH("aus_der",Sensitivität_bzw_Monte_Carlo_bei_Strom[[#This Row],[Source.Name]],1))="Auszahlung_a","Auszahlung",""),"")</f>
        <v/>
      </c>
      <c r="D1661" s="1"/>
    </row>
    <row r="1662" spans="1:4" x14ac:dyDescent="0.3">
      <c r="A1662" s="1"/>
      <c r="B1662" s="1" t="str">
        <f>IFERROR(IF(LEFT(Sensitivität_bzw_Monte_Carlo_bei_Strom[[#This Row],[Source.Name]],SEARCH("aus_der",Sensitivität_bzw_Monte_Carlo_bei_Strom[[#This Row],[Source.Name]],1))="Auszahlung_a","Auszahlung",""),"")</f>
        <v/>
      </c>
      <c r="D1662" s="1"/>
    </row>
    <row r="1663" spans="1:4" x14ac:dyDescent="0.3">
      <c r="A1663" s="1"/>
      <c r="B1663" s="1" t="str">
        <f>IFERROR(IF(LEFT(Sensitivität_bzw_Monte_Carlo_bei_Strom[[#This Row],[Source.Name]],SEARCH("aus_der",Sensitivität_bzw_Monte_Carlo_bei_Strom[[#This Row],[Source.Name]],1))="Auszahlung_a","Auszahlung",""),"")</f>
        <v/>
      </c>
      <c r="D1663" s="1"/>
    </row>
    <row r="1664" spans="1:4" x14ac:dyDescent="0.3">
      <c r="A1664" s="1"/>
      <c r="B1664" s="1" t="str">
        <f>IFERROR(IF(LEFT(Sensitivität_bzw_Monte_Carlo_bei_Strom[[#This Row],[Source.Name]],SEARCH("aus_der",Sensitivität_bzw_Monte_Carlo_bei_Strom[[#This Row],[Source.Name]],1))="Auszahlung_a","Auszahlung",""),"")</f>
        <v/>
      </c>
      <c r="D1664" s="1"/>
    </row>
    <row r="1665" spans="1:4" x14ac:dyDescent="0.3">
      <c r="A1665" s="1"/>
      <c r="B1665" s="1" t="str">
        <f>IFERROR(IF(LEFT(Sensitivität_bzw_Monte_Carlo_bei_Strom[[#This Row],[Source.Name]],SEARCH("aus_der",Sensitivität_bzw_Monte_Carlo_bei_Strom[[#This Row],[Source.Name]],1))="Auszahlung_a","Auszahlung",""),"")</f>
        <v/>
      </c>
      <c r="D1665" s="1"/>
    </row>
    <row r="1666" spans="1:4" x14ac:dyDescent="0.3">
      <c r="A1666" s="1"/>
      <c r="B1666" s="1" t="str">
        <f>IFERROR(IF(LEFT(Sensitivität_bzw_Monte_Carlo_bei_Strom[[#This Row],[Source.Name]],SEARCH("aus_der",Sensitivität_bzw_Monte_Carlo_bei_Strom[[#This Row],[Source.Name]],1))="Auszahlung_a","Auszahlung",""),"")</f>
        <v/>
      </c>
      <c r="D1666" s="1"/>
    </row>
    <row r="1667" spans="1:4" x14ac:dyDescent="0.3">
      <c r="A1667" s="1"/>
      <c r="B1667" s="1" t="str">
        <f>IFERROR(IF(LEFT(Sensitivität_bzw_Monte_Carlo_bei_Strom[[#This Row],[Source.Name]],SEARCH("aus_der",Sensitivität_bzw_Monte_Carlo_bei_Strom[[#This Row],[Source.Name]],1))="Auszahlung_a","Auszahlung",""),"")</f>
        <v/>
      </c>
      <c r="D1667" s="1"/>
    </row>
    <row r="1668" spans="1:4" x14ac:dyDescent="0.3">
      <c r="A1668" s="1"/>
      <c r="B1668" s="1" t="str">
        <f>IFERROR(IF(LEFT(Sensitivität_bzw_Monte_Carlo_bei_Strom[[#This Row],[Source.Name]],SEARCH("aus_der",Sensitivität_bzw_Monte_Carlo_bei_Strom[[#This Row],[Source.Name]],1))="Auszahlung_a","Auszahlung",""),"")</f>
        <v/>
      </c>
      <c r="D1668" s="1"/>
    </row>
    <row r="1669" spans="1:4" x14ac:dyDescent="0.3">
      <c r="A1669" s="1"/>
      <c r="B1669" s="1" t="str">
        <f>IFERROR(IF(LEFT(Sensitivität_bzw_Monte_Carlo_bei_Strom[[#This Row],[Source.Name]],SEARCH("aus_der",Sensitivität_bzw_Monte_Carlo_bei_Strom[[#This Row],[Source.Name]],1))="Auszahlung_a","Auszahlung",""),"")</f>
        <v/>
      </c>
      <c r="D1669" s="1"/>
    </row>
    <row r="1670" spans="1:4" x14ac:dyDescent="0.3">
      <c r="A1670" s="1"/>
      <c r="B1670" s="1" t="str">
        <f>IFERROR(IF(LEFT(Sensitivität_bzw_Monte_Carlo_bei_Strom[[#This Row],[Source.Name]],SEARCH("aus_der",Sensitivität_bzw_Monte_Carlo_bei_Strom[[#This Row],[Source.Name]],1))="Auszahlung_a","Auszahlung",""),"")</f>
        <v/>
      </c>
      <c r="D1670" s="1"/>
    </row>
    <row r="1671" spans="1:4" x14ac:dyDescent="0.3">
      <c r="A1671" s="1"/>
      <c r="B1671" s="1" t="str">
        <f>IFERROR(IF(LEFT(Sensitivität_bzw_Monte_Carlo_bei_Strom[[#This Row],[Source.Name]],SEARCH("aus_der",Sensitivität_bzw_Monte_Carlo_bei_Strom[[#This Row],[Source.Name]],1))="Auszahlung_a","Auszahlung",""),"")</f>
        <v/>
      </c>
      <c r="D1671" s="1"/>
    </row>
    <row r="1672" spans="1:4" x14ac:dyDescent="0.3">
      <c r="A1672" s="1"/>
      <c r="B1672" s="1" t="str">
        <f>IFERROR(IF(LEFT(Sensitivität_bzw_Monte_Carlo_bei_Strom[[#This Row],[Source.Name]],SEARCH("aus_der",Sensitivität_bzw_Monte_Carlo_bei_Strom[[#This Row],[Source.Name]],1))="Auszahlung_a","Auszahlung",""),"")</f>
        <v/>
      </c>
      <c r="D1672" s="1"/>
    </row>
    <row r="1673" spans="1:4" x14ac:dyDescent="0.3">
      <c r="A1673" s="1"/>
      <c r="B1673" s="1" t="str">
        <f>IFERROR(IF(LEFT(Sensitivität_bzw_Monte_Carlo_bei_Strom[[#This Row],[Source.Name]],SEARCH("aus_der",Sensitivität_bzw_Monte_Carlo_bei_Strom[[#This Row],[Source.Name]],1))="Auszahlung_a","Auszahlung",""),"")</f>
        <v/>
      </c>
      <c r="D1673" s="1"/>
    </row>
    <row r="1674" spans="1:4" x14ac:dyDescent="0.3">
      <c r="A1674" s="1"/>
      <c r="B1674" s="1" t="str">
        <f>IFERROR(IF(LEFT(Sensitivität_bzw_Monte_Carlo_bei_Strom[[#This Row],[Source.Name]],SEARCH("aus_der",Sensitivität_bzw_Monte_Carlo_bei_Strom[[#This Row],[Source.Name]],1))="Auszahlung_a","Auszahlung",""),"")</f>
        <v/>
      </c>
      <c r="D1674" s="1"/>
    </row>
    <row r="1675" spans="1:4" x14ac:dyDescent="0.3">
      <c r="A1675" s="1"/>
      <c r="B1675" s="1" t="str">
        <f>IFERROR(IF(LEFT(Sensitivität_bzw_Monte_Carlo_bei_Strom[[#This Row],[Source.Name]],SEARCH("aus_der",Sensitivität_bzw_Monte_Carlo_bei_Strom[[#This Row],[Source.Name]],1))="Auszahlung_a","Auszahlung",""),"")</f>
        <v/>
      </c>
      <c r="D1675" s="1"/>
    </row>
    <row r="1676" spans="1:4" x14ac:dyDescent="0.3">
      <c r="A1676" s="1"/>
      <c r="B1676" s="1" t="str">
        <f>IFERROR(IF(LEFT(Sensitivität_bzw_Monte_Carlo_bei_Strom[[#This Row],[Source.Name]],SEARCH("aus_der",Sensitivität_bzw_Monte_Carlo_bei_Strom[[#This Row],[Source.Name]],1))="Auszahlung_a","Auszahlung",""),"")</f>
        <v/>
      </c>
      <c r="D1676" s="1"/>
    </row>
    <row r="1677" spans="1:4" x14ac:dyDescent="0.3">
      <c r="A1677" s="1"/>
      <c r="B1677" s="1" t="str">
        <f>IFERROR(IF(LEFT(Sensitivität_bzw_Monte_Carlo_bei_Strom[[#This Row],[Source.Name]],SEARCH("aus_der",Sensitivität_bzw_Monte_Carlo_bei_Strom[[#This Row],[Source.Name]],1))="Auszahlung_a","Auszahlung",""),"")</f>
        <v/>
      </c>
      <c r="D1677" s="1"/>
    </row>
    <row r="1678" spans="1:4" x14ac:dyDescent="0.3">
      <c r="A1678" s="1"/>
      <c r="B1678" s="1" t="str">
        <f>IFERROR(IF(LEFT(Sensitivität_bzw_Monte_Carlo_bei_Strom[[#This Row],[Source.Name]],SEARCH("aus_der",Sensitivität_bzw_Monte_Carlo_bei_Strom[[#This Row],[Source.Name]],1))="Auszahlung_a","Auszahlung",""),"")</f>
        <v/>
      </c>
      <c r="D1678" s="1"/>
    </row>
    <row r="1679" spans="1:4" x14ac:dyDescent="0.3">
      <c r="A1679" s="1"/>
      <c r="B1679" s="1" t="str">
        <f>IFERROR(IF(LEFT(Sensitivität_bzw_Monte_Carlo_bei_Strom[[#This Row],[Source.Name]],SEARCH("aus_der",Sensitivität_bzw_Monte_Carlo_bei_Strom[[#This Row],[Source.Name]],1))="Auszahlung_a","Auszahlung",""),"")</f>
        <v/>
      </c>
      <c r="D1679" s="1"/>
    </row>
    <row r="1680" spans="1:4" x14ac:dyDescent="0.3">
      <c r="A1680" s="1"/>
      <c r="B1680" s="1" t="str">
        <f>IFERROR(IF(LEFT(Sensitivität_bzw_Monte_Carlo_bei_Strom[[#This Row],[Source.Name]],SEARCH("aus_der",Sensitivität_bzw_Monte_Carlo_bei_Strom[[#This Row],[Source.Name]],1))="Auszahlung_a","Auszahlung",""),"")</f>
        <v/>
      </c>
      <c r="D1680" s="1"/>
    </row>
    <row r="1681" spans="1:4" x14ac:dyDescent="0.3">
      <c r="A1681" s="1"/>
      <c r="B1681" s="1" t="str">
        <f>IFERROR(IF(LEFT(Sensitivität_bzw_Monte_Carlo_bei_Strom[[#This Row],[Source.Name]],SEARCH("aus_der",Sensitivität_bzw_Monte_Carlo_bei_Strom[[#This Row],[Source.Name]],1))="Auszahlung_a","Auszahlung",""),"")</f>
        <v/>
      </c>
      <c r="D1681" s="1"/>
    </row>
    <row r="1682" spans="1:4" x14ac:dyDescent="0.3">
      <c r="A1682" s="1"/>
      <c r="B1682" s="1" t="str">
        <f>IFERROR(IF(LEFT(Sensitivität_bzw_Monte_Carlo_bei_Strom[[#This Row],[Source.Name]],SEARCH("aus_der",Sensitivität_bzw_Monte_Carlo_bei_Strom[[#This Row],[Source.Name]],1))="Auszahlung_a","Auszahlung",""),"")</f>
        <v/>
      </c>
      <c r="D1682" s="1"/>
    </row>
    <row r="1683" spans="1:4" x14ac:dyDescent="0.3">
      <c r="A1683" s="1"/>
      <c r="B1683" s="1" t="str">
        <f>IFERROR(IF(LEFT(Sensitivität_bzw_Monte_Carlo_bei_Strom[[#This Row],[Source.Name]],SEARCH("aus_der",Sensitivität_bzw_Monte_Carlo_bei_Strom[[#This Row],[Source.Name]],1))="Auszahlung_a","Auszahlung",""),"")</f>
        <v/>
      </c>
      <c r="D1683" s="1"/>
    </row>
    <row r="1684" spans="1:4" x14ac:dyDescent="0.3">
      <c r="A1684" s="1"/>
      <c r="B1684" s="1" t="str">
        <f>IFERROR(IF(LEFT(Sensitivität_bzw_Monte_Carlo_bei_Strom[[#This Row],[Source.Name]],SEARCH("aus_der",Sensitivität_bzw_Monte_Carlo_bei_Strom[[#This Row],[Source.Name]],1))="Auszahlung_a","Auszahlung",""),"")</f>
        <v/>
      </c>
      <c r="D1684" s="1"/>
    </row>
    <row r="1685" spans="1:4" x14ac:dyDescent="0.3">
      <c r="A1685" s="1"/>
      <c r="B1685" s="1" t="str">
        <f>IFERROR(IF(LEFT(Sensitivität_bzw_Monte_Carlo_bei_Strom[[#This Row],[Source.Name]],SEARCH("aus_der",Sensitivität_bzw_Monte_Carlo_bei_Strom[[#This Row],[Source.Name]],1))="Auszahlung_a","Auszahlung",""),"")</f>
        <v/>
      </c>
      <c r="D1685" s="1"/>
    </row>
    <row r="1686" spans="1:4" x14ac:dyDescent="0.3">
      <c r="A1686" s="1"/>
      <c r="B1686" s="1" t="str">
        <f>IFERROR(IF(LEFT(Sensitivität_bzw_Monte_Carlo_bei_Strom[[#This Row],[Source.Name]],SEARCH("aus_der",Sensitivität_bzw_Monte_Carlo_bei_Strom[[#This Row],[Source.Name]],1))="Auszahlung_a","Auszahlung",""),"")</f>
        <v/>
      </c>
      <c r="D1686" s="1"/>
    </row>
    <row r="1687" spans="1:4" x14ac:dyDescent="0.3">
      <c r="A1687" s="1"/>
      <c r="B1687" s="1" t="str">
        <f>IFERROR(IF(LEFT(Sensitivität_bzw_Monte_Carlo_bei_Strom[[#This Row],[Source.Name]],SEARCH("aus_der",Sensitivität_bzw_Monte_Carlo_bei_Strom[[#This Row],[Source.Name]],1))="Auszahlung_a","Auszahlung",""),"")</f>
        <v/>
      </c>
      <c r="D1687" s="1"/>
    </row>
    <row r="1688" spans="1:4" x14ac:dyDescent="0.3">
      <c r="A1688" s="1"/>
      <c r="B1688" s="1" t="str">
        <f>IFERROR(IF(LEFT(Sensitivität_bzw_Monte_Carlo_bei_Strom[[#This Row],[Source.Name]],SEARCH("aus_der",Sensitivität_bzw_Monte_Carlo_bei_Strom[[#This Row],[Source.Name]],1))="Auszahlung_a","Auszahlung",""),"")</f>
        <v/>
      </c>
      <c r="D1688" s="1"/>
    </row>
    <row r="1689" spans="1:4" x14ac:dyDescent="0.3">
      <c r="A1689" s="1"/>
      <c r="B1689" s="1" t="str">
        <f>IFERROR(IF(LEFT(Sensitivität_bzw_Monte_Carlo_bei_Strom[[#This Row],[Source.Name]],SEARCH("aus_der",Sensitivität_bzw_Monte_Carlo_bei_Strom[[#This Row],[Source.Name]],1))="Auszahlung_a","Auszahlung",""),"")</f>
        <v/>
      </c>
      <c r="D1689" s="1"/>
    </row>
    <row r="1690" spans="1:4" x14ac:dyDescent="0.3">
      <c r="A1690" s="1"/>
      <c r="B1690" s="1" t="str">
        <f>IFERROR(IF(LEFT(Sensitivität_bzw_Monte_Carlo_bei_Strom[[#This Row],[Source.Name]],SEARCH("aus_der",Sensitivität_bzw_Monte_Carlo_bei_Strom[[#This Row],[Source.Name]],1))="Auszahlung_a","Auszahlung",""),"")</f>
        <v/>
      </c>
      <c r="D1690" s="1"/>
    </row>
    <row r="1691" spans="1:4" x14ac:dyDescent="0.3">
      <c r="A1691" s="1"/>
      <c r="B1691" s="1" t="str">
        <f>IFERROR(IF(LEFT(Sensitivität_bzw_Monte_Carlo_bei_Strom[[#This Row],[Source.Name]],SEARCH("aus_der",Sensitivität_bzw_Monte_Carlo_bei_Strom[[#This Row],[Source.Name]],1))="Auszahlung_a","Auszahlung",""),"")</f>
        <v/>
      </c>
      <c r="D1691" s="1"/>
    </row>
    <row r="1692" spans="1:4" x14ac:dyDescent="0.3">
      <c r="A1692" s="1"/>
      <c r="B1692" s="1" t="str">
        <f>IFERROR(IF(LEFT(Sensitivität_bzw_Monte_Carlo_bei_Strom[[#This Row],[Source.Name]],SEARCH("aus_der",Sensitivität_bzw_Monte_Carlo_bei_Strom[[#This Row],[Source.Name]],1))="Auszahlung_a","Auszahlung",""),"")</f>
        <v/>
      </c>
      <c r="D1692" s="1"/>
    </row>
    <row r="1693" spans="1:4" x14ac:dyDescent="0.3">
      <c r="A1693" s="1"/>
      <c r="B1693" s="1" t="str">
        <f>IFERROR(IF(LEFT(Sensitivität_bzw_Monte_Carlo_bei_Strom[[#This Row],[Source.Name]],SEARCH("aus_der",Sensitivität_bzw_Monte_Carlo_bei_Strom[[#This Row],[Source.Name]],1))="Auszahlung_a","Auszahlung",""),"")</f>
        <v/>
      </c>
      <c r="D1693" s="1"/>
    </row>
    <row r="1694" spans="1:4" x14ac:dyDescent="0.3">
      <c r="A1694" s="1"/>
      <c r="B1694" s="1" t="str">
        <f>IFERROR(IF(LEFT(Sensitivität_bzw_Monte_Carlo_bei_Strom[[#This Row],[Source.Name]],SEARCH("aus_der",Sensitivität_bzw_Monte_Carlo_bei_Strom[[#This Row],[Source.Name]],1))="Auszahlung_a","Auszahlung",""),"")</f>
        <v/>
      </c>
      <c r="D1694" s="1"/>
    </row>
    <row r="1695" spans="1:4" x14ac:dyDescent="0.3">
      <c r="A1695" s="1"/>
      <c r="B1695" s="1" t="str">
        <f>IFERROR(IF(LEFT(Sensitivität_bzw_Monte_Carlo_bei_Strom[[#This Row],[Source.Name]],SEARCH("aus_der",Sensitivität_bzw_Monte_Carlo_bei_Strom[[#This Row],[Source.Name]],1))="Auszahlung_a","Auszahlung",""),"")</f>
        <v/>
      </c>
      <c r="D1695" s="1"/>
    </row>
    <row r="1696" spans="1:4" x14ac:dyDescent="0.3">
      <c r="A1696" s="1"/>
      <c r="B1696" s="1" t="str">
        <f>IFERROR(IF(LEFT(Sensitivität_bzw_Monte_Carlo_bei_Strom[[#This Row],[Source.Name]],SEARCH("aus_der",Sensitivität_bzw_Monte_Carlo_bei_Strom[[#This Row],[Source.Name]],1))="Auszahlung_a","Auszahlung",""),"")</f>
        <v/>
      </c>
      <c r="D1696" s="1"/>
    </row>
    <row r="1697" spans="1:4" x14ac:dyDescent="0.3">
      <c r="A1697" s="1"/>
      <c r="B1697" s="1" t="str">
        <f>IFERROR(IF(LEFT(Sensitivität_bzw_Monte_Carlo_bei_Strom[[#This Row],[Source.Name]],SEARCH("aus_der",Sensitivität_bzw_Monte_Carlo_bei_Strom[[#This Row],[Source.Name]],1))="Auszahlung_a","Auszahlung",""),"")</f>
        <v/>
      </c>
      <c r="D1697" s="1"/>
    </row>
    <row r="1698" spans="1:4" x14ac:dyDescent="0.3">
      <c r="A1698" s="1"/>
      <c r="B1698" s="1" t="str">
        <f>IFERROR(IF(LEFT(Sensitivität_bzw_Monte_Carlo_bei_Strom[[#This Row],[Source.Name]],SEARCH("aus_der",Sensitivität_bzw_Monte_Carlo_bei_Strom[[#This Row],[Source.Name]],1))="Auszahlung_a","Auszahlung",""),"")</f>
        <v/>
      </c>
      <c r="D1698" s="1"/>
    </row>
    <row r="1699" spans="1:4" x14ac:dyDescent="0.3">
      <c r="A1699" s="1"/>
      <c r="B1699" s="1" t="str">
        <f>IFERROR(IF(LEFT(Sensitivität_bzw_Monte_Carlo_bei_Strom[[#This Row],[Source.Name]],SEARCH("aus_der",Sensitivität_bzw_Monte_Carlo_bei_Strom[[#This Row],[Source.Name]],1))="Auszahlung_a","Auszahlung",""),"")</f>
        <v/>
      </c>
      <c r="D1699" s="1"/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4EAE47-DF08-4B61-AF15-BC61B9EE7EE1}">
  <sheetPr codeName="Tabelle13"/>
  <dimension ref="A1:G1904"/>
  <sheetViews>
    <sheetView topLeftCell="A38" zoomScale="62" zoomScaleNormal="40" workbookViewId="0">
      <selection activeCell="B16" sqref="B16"/>
    </sheetView>
  </sheetViews>
  <sheetFormatPr baseColWidth="10" defaultRowHeight="14.4" x14ac:dyDescent="0.3"/>
  <cols>
    <col min="2" max="2" width="66.21875" bestFit="1" customWidth="1"/>
    <col min="4" max="4" width="17.77734375" bestFit="1" customWidth="1"/>
    <col min="7" max="7" width="18" bestFit="1" customWidth="1"/>
    <col min="9" max="9" width="46.6640625" bestFit="1" customWidth="1"/>
    <col min="10" max="10" width="28.5546875" bestFit="1" customWidth="1"/>
    <col min="11" max="12" width="39" bestFit="1" customWidth="1"/>
    <col min="13" max="15" width="19.88671875" bestFit="1" customWidth="1"/>
    <col min="16" max="16" width="18.88671875" bestFit="1" customWidth="1"/>
    <col min="17" max="22" width="19.88671875" bestFit="1" customWidth="1"/>
    <col min="23" max="29" width="18.88671875" bestFit="1" customWidth="1"/>
    <col min="30" max="30" width="17.33203125" bestFit="1" customWidth="1"/>
    <col min="31" max="42" width="18.88671875" bestFit="1" customWidth="1"/>
    <col min="43" max="43" width="20.21875" bestFit="1" customWidth="1"/>
    <col min="44" max="44" width="17.33203125" bestFit="1" customWidth="1"/>
    <col min="45" max="45" width="20.21875" bestFit="1" customWidth="1"/>
  </cols>
  <sheetData>
    <row r="1" spans="1:7" x14ac:dyDescent="0.3">
      <c r="A1" t="s">
        <v>17</v>
      </c>
      <c r="B1" t="s">
        <v>16</v>
      </c>
      <c r="C1" t="s">
        <v>15</v>
      </c>
      <c r="D1" t="s">
        <v>18</v>
      </c>
    </row>
    <row r="2" spans="1:7" x14ac:dyDescent="0.3">
      <c r="A2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" s="1" t="s">
        <v>87</v>
      </c>
      <c r="C2">
        <v>-38567.444851079992</v>
      </c>
      <c r="D2">
        <v>0.1031768325422337</v>
      </c>
    </row>
    <row r="3" spans="1:7" x14ac:dyDescent="0.3">
      <c r="A3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" s="1" t="s">
        <v>87</v>
      </c>
      <c r="C3">
        <v>-34169.355034827058</v>
      </c>
      <c r="D3">
        <v>0.12543022491432559</v>
      </c>
    </row>
    <row r="4" spans="1:7" x14ac:dyDescent="0.3">
      <c r="A4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4" s="1" t="s">
        <v>87</v>
      </c>
      <c r="C4">
        <v>-29867.633400725608</v>
      </c>
      <c r="D4">
        <v>0.14768361728641741</v>
      </c>
      <c r="F4" t="s">
        <v>113</v>
      </c>
      <c r="G4" t="s">
        <v>114</v>
      </c>
    </row>
    <row r="5" spans="1:7" x14ac:dyDescent="0.3">
      <c r="A5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5" s="1" t="s">
        <v>87</v>
      </c>
      <c r="C5">
        <v>-25600.910826106669</v>
      </c>
      <c r="D5">
        <v>0.16993700965850919</v>
      </c>
      <c r="F5">
        <f>MIN(C2:C101)</f>
        <v>-38567.444851079992</v>
      </c>
      <c r="G5">
        <f>MAX(C2:C101)</f>
        <v>232334.68261936991</v>
      </c>
    </row>
    <row r="6" spans="1:7" x14ac:dyDescent="0.3">
      <c r="A6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6" s="1" t="s">
        <v>87</v>
      </c>
      <c r="C6">
        <v>-21403.82033472681</v>
      </c>
      <c r="D6">
        <v>0.19219040203060109</v>
      </c>
    </row>
    <row r="7" spans="1:7" x14ac:dyDescent="0.3">
      <c r="A7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7" s="1" t="s">
        <v>87</v>
      </c>
      <c r="C7">
        <v>-17244.342079126189</v>
      </c>
      <c r="D7">
        <v>0.2144437944026929</v>
      </c>
    </row>
    <row r="8" spans="1:7" x14ac:dyDescent="0.3">
      <c r="A8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8" s="1" t="s">
        <v>87</v>
      </c>
      <c r="C8">
        <v>-13135.592639803241</v>
      </c>
      <c r="D8">
        <v>0.23669718677478471</v>
      </c>
      <c r="F8" t="s">
        <v>113</v>
      </c>
      <c r="G8" t="s">
        <v>114</v>
      </c>
    </row>
    <row r="9" spans="1:7" x14ac:dyDescent="0.3">
      <c r="A9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" s="1" t="s">
        <v>87</v>
      </c>
      <c r="C9">
        <v>-9220.005845117641</v>
      </c>
      <c r="D9">
        <v>0.25895057914687653</v>
      </c>
      <c r="F9">
        <f>MIN(C102:C201)</f>
        <v>-58465.387944957969</v>
      </c>
      <c r="G9">
        <f>MAX(C102:C201)</f>
        <v>215174.62227716841</v>
      </c>
    </row>
    <row r="10" spans="1:7" x14ac:dyDescent="0.3">
      <c r="A10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0" s="1" t="s">
        <v>87</v>
      </c>
      <c r="C10">
        <v>-5521.3583356730542</v>
      </c>
      <c r="D10">
        <v>0.28120397151896842</v>
      </c>
    </row>
    <row r="11" spans="1:7" x14ac:dyDescent="0.3">
      <c r="A1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1" s="1" t="s">
        <v>87</v>
      </c>
      <c r="C11">
        <v>-2016.7804706846559</v>
      </c>
      <c r="D11">
        <v>0.30345736389106021</v>
      </c>
    </row>
    <row r="12" spans="1:7" x14ac:dyDescent="0.3">
      <c r="A12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2" s="1" t="s">
        <v>87</v>
      </c>
      <c r="C12">
        <v>823.03652562497507</v>
      </c>
      <c r="D12">
        <v>0.32571075626315199</v>
      </c>
    </row>
    <row r="13" spans="1:7" x14ac:dyDescent="0.3">
      <c r="A13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3" s="1" t="s">
        <v>87</v>
      </c>
      <c r="C13">
        <v>3414.2996881663171</v>
      </c>
      <c r="D13">
        <v>0.34796414863524378</v>
      </c>
    </row>
    <row r="14" spans="1:7" x14ac:dyDescent="0.3">
      <c r="A14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4" s="1" t="s">
        <v>87</v>
      </c>
      <c r="C14">
        <v>6018.9904131538296</v>
      </c>
      <c r="D14">
        <v>0.37021754100733573</v>
      </c>
    </row>
    <row r="15" spans="1:7" x14ac:dyDescent="0.3">
      <c r="A15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5" s="1" t="s">
        <v>87</v>
      </c>
      <c r="C15">
        <v>8638.2200043520697</v>
      </c>
      <c r="D15">
        <v>0.39247093337942751</v>
      </c>
    </row>
    <row r="16" spans="1:7" x14ac:dyDescent="0.3">
      <c r="A16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6" s="1" t="s">
        <v>87</v>
      </c>
      <c r="C16">
        <v>11258.37628988209</v>
      </c>
      <c r="D16">
        <v>0.4147243257515193</v>
      </c>
    </row>
    <row r="17" spans="1:4" x14ac:dyDescent="0.3">
      <c r="A17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7" s="1" t="s">
        <v>87</v>
      </c>
      <c r="C17">
        <v>13835.39368846533</v>
      </c>
      <c r="D17">
        <v>0.43697771812361108</v>
      </c>
    </row>
    <row r="18" spans="1:4" x14ac:dyDescent="0.3">
      <c r="A18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8" s="1" t="s">
        <v>87</v>
      </c>
      <c r="C18">
        <v>16426.230287133909</v>
      </c>
      <c r="D18">
        <v>0.45923111049570298</v>
      </c>
    </row>
    <row r="19" spans="1:4" x14ac:dyDescent="0.3">
      <c r="A19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9" s="1" t="s">
        <v>87</v>
      </c>
      <c r="C19">
        <v>19043.689747230779</v>
      </c>
      <c r="D19">
        <v>0.48148450286779482</v>
      </c>
    </row>
    <row r="20" spans="1:4" x14ac:dyDescent="0.3">
      <c r="A20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0" s="1" t="s">
        <v>87</v>
      </c>
      <c r="C20">
        <v>21622.13007831795</v>
      </c>
      <c r="D20">
        <v>0.50373789523988666</v>
      </c>
    </row>
    <row r="21" spans="1:4" x14ac:dyDescent="0.3">
      <c r="A2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1" s="1" t="s">
        <v>87</v>
      </c>
      <c r="C21">
        <v>24239.829515152731</v>
      </c>
      <c r="D21">
        <v>0.52599128761197844</v>
      </c>
    </row>
    <row r="22" spans="1:4" x14ac:dyDescent="0.3">
      <c r="A22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2" s="1" t="s">
        <v>87</v>
      </c>
      <c r="C22">
        <v>26832.093696869459</v>
      </c>
      <c r="D22">
        <v>0.54824467998407023</v>
      </c>
    </row>
    <row r="23" spans="1:4" x14ac:dyDescent="0.3">
      <c r="A23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3" s="1" t="s">
        <v>87</v>
      </c>
      <c r="C23">
        <v>29439.472840319511</v>
      </c>
      <c r="D23">
        <v>0.57049807235616212</v>
      </c>
    </row>
    <row r="24" spans="1:4" x14ac:dyDescent="0.3">
      <c r="A24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4" s="1" t="s">
        <v>87</v>
      </c>
      <c r="C24">
        <v>32055.196282725668</v>
      </c>
      <c r="D24">
        <v>0.59275146472825391</v>
      </c>
    </row>
    <row r="25" spans="1:4" x14ac:dyDescent="0.3">
      <c r="A25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5" s="1" t="s">
        <v>87</v>
      </c>
      <c r="C25">
        <v>34633.359795909622</v>
      </c>
      <c r="D25">
        <v>0.6150048571003458</v>
      </c>
    </row>
    <row r="26" spans="1:4" x14ac:dyDescent="0.3">
      <c r="A26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6" s="1" t="s">
        <v>87</v>
      </c>
      <c r="C26">
        <v>37251.460164100317</v>
      </c>
      <c r="D26">
        <v>0.63725824947243759</v>
      </c>
    </row>
    <row r="27" spans="1:4" x14ac:dyDescent="0.3">
      <c r="A27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7" s="1" t="s">
        <v>87</v>
      </c>
      <c r="C27">
        <v>39813.797463043127</v>
      </c>
      <c r="D27">
        <v>0.65951164184452937</v>
      </c>
    </row>
    <row r="28" spans="1:4" x14ac:dyDescent="0.3">
      <c r="A28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8" s="1" t="s">
        <v>87</v>
      </c>
      <c r="C28">
        <v>42448.051577763952</v>
      </c>
      <c r="D28">
        <v>0.68176503421662127</v>
      </c>
    </row>
    <row r="29" spans="1:4" x14ac:dyDescent="0.3">
      <c r="A29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29" s="1" t="s">
        <v>87</v>
      </c>
      <c r="C29">
        <v>45052.829870328067</v>
      </c>
      <c r="D29">
        <v>0.70401842658871305</v>
      </c>
    </row>
    <row r="30" spans="1:4" x14ac:dyDescent="0.3">
      <c r="A30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0" s="1" t="s">
        <v>87</v>
      </c>
      <c r="C30">
        <v>47658.506913912213</v>
      </c>
      <c r="D30">
        <v>0.72627181896080484</v>
      </c>
    </row>
    <row r="31" spans="1:4" x14ac:dyDescent="0.3">
      <c r="A3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1" s="1" t="s">
        <v>87</v>
      </c>
      <c r="C31">
        <v>50264.794790973763</v>
      </c>
      <c r="D31">
        <v>0.74852521133289673</v>
      </c>
    </row>
    <row r="32" spans="1:4" x14ac:dyDescent="0.3">
      <c r="A32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2" s="1" t="s">
        <v>87</v>
      </c>
      <c r="C32">
        <v>52853.992186498821</v>
      </c>
      <c r="D32">
        <v>0.77077860370498852</v>
      </c>
    </row>
    <row r="33" spans="1:4" x14ac:dyDescent="0.3">
      <c r="A33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3" s="1" t="s">
        <v>87</v>
      </c>
      <c r="C33">
        <v>55444.892009246323</v>
      </c>
      <c r="D33">
        <v>0.79303199607708041</v>
      </c>
    </row>
    <row r="34" spans="1:4" x14ac:dyDescent="0.3">
      <c r="A34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4" s="1" t="s">
        <v>87</v>
      </c>
      <c r="C34">
        <v>58079.064189609388</v>
      </c>
      <c r="D34">
        <v>0.8152853884491722</v>
      </c>
    </row>
    <row r="35" spans="1:4" x14ac:dyDescent="0.3">
      <c r="A35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5" s="1" t="s">
        <v>87</v>
      </c>
      <c r="C35">
        <v>60668.455205949773</v>
      </c>
      <c r="D35">
        <v>0.83753878082126398</v>
      </c>
    </row>
    <row r="36" spans="1:4" x14ac:dyDescent="0.3">
      <c r="A36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6" s="1" t="s">
        <v>87</v>
      </c>
      <c r="C36">
        <v>63260.369211803292</v>
      </c>
      <c r="D36">
        <v>0.85979217319335588</v>
      </c>
    </row>
    <row r="37" spans="1:4" x14ac:dyDescent="0.3">
      <c r="A37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7" s="1" t="s">
        <v>87</v>
      </c>
      <c r="C37">
        <v>65851.894383363164</v>
      </c>
      <c r="D37">
        <v>0.88204556556544766</v>
      </c>
    </row>
    <row r="38" spans="1:4" x14ac:dyDescent="0.3">
      <c r="A38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8" s="1" t="s">
        <v>87</v>
      </c>
      <c r="C38">
        <v>68458.251681250884</v>
      </c>
      <c r="D38">
        <v>0.90429895793753956</v>
      </c>
    </row>
    <row r="39" spans="1:4" x14ac:dyDescent="0.3">
      <c r="A39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39" s="1" t="s">
        <v>87</v>
      </c>
      <c r="C39">
        <v>71089.80804170284</v>
      </c>
      <c r="D39">
        <v>0.92655235030963135</v>
      </c>
    </row>
    <row r="40" spans="1:4" x14ac:dyDescent="0.3">
      <c r="A40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40" s="1" t="s">
        <v>87</v>
      </c>
      <c r="C40">
        <v>73667.008363845729</v>
      </c>
      <c r="D40">
        <v>0.94880574268172313</v>
      </c>
    </row>
    <row r="41" spans="1:4" x14ac:dyDescent="0.3">
      <c r="B41" s="1" t="s">
        <v>87</v>
      </c>
      <c r="C41">
        <v>76257.969274088086</v>
      </c>
      <c r="D41">
        <v>0.97105913505381503</v>
      </c>
    </row>
    <row r="42" spans="1:4" x14ac:dyDescent="0.3">
      <c r="B42" s="1" t="s">
        <v>87</v>
      </c>
      <c r="C42">
        <v>78860.369079900716</v>
      </c>
      <c r="D42">
        <v>0.99331252742590681</v>
      </c>
    </row>
    <row r="43" spans="1:4" x14ac:dyDescent="0.3">
      <c r="B43" s="1" t="s">
        <v>87</v>
      </c>
      <c r="C43">
        <v>81454.188941075059</v>
      </c>
      <c r="D43">
        <v>1.015565919797998</v>
      </c>
    </row>
    <row r="44" spans="1:4" x14ac:dyDescent="0.3">
      <c r="B44" s="1" t="s">
        <v>87</v>
      </c>
      <c r="C44">
        <v>84072.022364885241</v>
      </c>
      <c r="D44">
        <v>1.03781931217009</v>
      </c>
    </row>
    <row r="45" spans="1:4" x14ac:dyDescent="0.3">
      <c r="B45" s="1" t="s">
        <v>87</v>
      </c>
      <c r="C45">
        <v>86660.493154158859</v>
      </c>
      <c r="D45">
        <v>1.0600727045421821</v>
      </c>
    </row>
    <row r="46" spans="1:4" x14ac:dyDescent="0.3">
      <c r="B46" s="1" t="s">
        <v>87</v>
      </c>
      <c r="C46">
        <v>89269.288472400702</v>
      </c>
      <c r="D46">
        <v>1.0823260969142741</v>
      </c>
    </row>
    <row r="47" spans="1:4" x14ac:dyDescent="0.3">
      <c r="B47" s="1" t="s">
        <v>87</v>
      </c>
      <c r="C47">
        <v>91859.438348473297</v>
      </c>
      <c r="D47">
        <v>1.1045794892863661</v>
      </c>
    </row>
    <row r="48" spans="1:4" x14ac:dyDescent="0.3">
      <c r="B48" s="1" t="s">
        <v>87</v>
      </c>
      <c r="C48">
        <v>94490.997104067748</v>
      </c>
      <c r="D48">
        <v>1.1268328816584581</v>
      </c>
    </row>
    <row r="49" spans="2:4" x14ac:dyDescent="0.3">
      <c r="B49" s="1" t="s">
        <v>87</v>
      </c>
      <c r="C49">
        <v>97084.406813904483</v>
      </c>
      <c r="D49">
        <v>1.1490862740305501</v>
      </c>
    </row>
    <row r="50" spans="2:4" x14ac:dyDescent="0.3">
      <c r="B50" s="1" t="s">
        <v>87</v>
      </c>
      <c r="C50">
        <v>99662.185817034915</v>
      </c>
      <c r="D50">
        <v>1.171339666402641</v>
      </c>
    </row>
    <row r="51" spans="2:4" x14ac:dyDescent="0.3">
      <c r="B51" s="1" t="s">
        <v>87</v>
      </c>
      <c r="C51">
        <v>102321.3278230197</v>
      </c>
      <c r="D51">
        <v>1.193593058774733</v>
      </c>
    </row>
    <row r="52" spans="2:4" x14ac:dyDescent="0.3">
      <c r="B52" s="1" t="s">
        <v>87</v>
      </c>
      <c r="C52">
        <v>104885.3600277396</v>
      </c>
      <c r="D52">
        <v>1.215846451146825</v>
      </c>
    </row>
    <row r="53" spans="2:4" x14ac:dyDescent="0.3">
      <c r="B53" s="1" t="s">
        <v>87</v>
      </c>
      <c r="C53">
        <v>107463.9422682462</v>
      </c>
      <c r="D53">
        <v>1.238099843518917</v>
      </c>
    </row>
    <row r="54" spans="2:4" x14ac:dyDescent="0.3">
      <c r="B54" s="1" t="s">
        <v>87</v>
      </c>
      <c r="C54">
        <v>110108.7848953644</v>
      </c>
      <c r="D54">
        <v>1.260353235891009</v>
      </c>
    </row>
    <row r="55" spans="2:4" x14ac:dyDescent="0.3">
      <c r="B55" s="1" t="s">
        <v>87</v>
      </c>
      <c r="C55">
        <v>112698.81791256341</v>
      </c>
      <c r="D55">
        <v>1.282606628263101</v>
      </c>
    </row>
    <row r="56" spans="2:4" x14ac:dyDescent="0.3">
      <c r="B56" s="1" t="s">
        <v>87</v>
      </c>
      <c r="C56">
        <v>115263.25711324489</v>
      </c>
      <c r="D56">
        <v>1.3048600206351919</v>
      </c>
    </row>
    <row r="57" spans="2:4" x14ac:dyDescent="0.3">
      <c r="B57" s="1" t="s">
        <v>87</v>
      </c>
      <c r="C57">
        <v>117855.29279617951</v>
      </c>
      <c r="D57">
        <v>1.3271134130072839</v>
      </c>
    </row>
    <row r="58" spans="2:4" x14ac:dyDescent="0.3">
      <c r="B58" s="1" t="s">
        <v>87</v>
      </c>
      <c r="C58">
        <v>120511.4234190759</v>
      </c>
      <c r="D58">
        <v>1.3493668053793759</v>
      </c>
    </row>
    <row r="59" spans="2:4" x14ac:dyDescent="0.3">
      <c r="B59" s="1" t="s">
        <v>87</v>
      </c>
      <c r="C59">
        <v>123090.41591927881</v>
      </c>
      <c r="D59">
        <v>1.3716201977514679</v>
      </c>
    </row>
    <row r="60" spans="2:4" x14ac:dyDescent="0.3">
      <c r="B60" s="1" t="s">
        <v>87</v>
      </c>
      <c r="C60">
        <v>125667.6988472829</v>
      </c>
      <c r="D60">
        <v>1.3938735901235599</v>
      </c>
    </row>
    <row r="61" spans="2:4" x14ac:dyDescent="0.3">
      <c r="B61" s="1" t="s">
        <v>87</v>
      </c>
      <c r="C61">
        <v>128242.9970864112</v>
      </c>
      <c r="D61">
        <v>1.4161269824956511</v>
      </c>
    </row>
    <row r="62" spans="2:4" x14ac:dyDescent="0.3">
      <c r="B62" s="1" t="s">
        <v>87</v>
      </c>
      <c r="C62">
        <v>130937.0248281965</v>
      </c>
      <c r="D62">
        <v>1.4383803748677431</v>
      </c>
    </row>
    <row r="63" spans="2:4" x14ac:dyDescent="0.3">
      <c r="B63" s="1" t="s">
        <v>87</v>
      </c>
      <c r="C63">
        <v>133515.3789910152</v>
      </c>
      <c r="D63">
        <v>1.4606337672398351</v>
      </c>
    </row>
    <row r="64" spans="2:4" x14ac:dyDescent="0.3">
      <c r="B64" s="1" t="s">
        <v>87</v>
      </c>
      <c r="C64">
        <v>136119.83625128839</v>
      </c>
      <c r="D64">
        <v>1.4828871596119271</v>
      </c>
    </row>
    <row r="65" spans="2:4" x14ac:dyDescent="0.3">
      <c r="B65" s="1" t="s">
        <v>87</v>
      </c>
      <c r="C65">
        <v>138695.49775687419</v>
      </c>
      <c r="D65">
        <v>1.5051405519840191</v>
      </c>
    </row>
    <row r="66" spans="2:4" x14ac:dyDescent="0.3">
      <c r="B66" s="1" t="s">
        <v>87</v>
      </c>
      <c r="C66">
        <v>141287.2778904103</v>
      </c>
      <c r="D66">
        <v>1.5273939443561111</v>
      </c>
    </row>
    <row r="67" spans="2:4" x14ac:dyDescent="0.3">
      <c r="B67" s="1" t="s">
        <v>87</v>
      </c>
      <c r="C67">
        <v>143904.63248946311</v>
      </c>
      <c r="D67">
        <v>1.549647336728202</v>
      </c>
    </row>
    <row r="68" spans="2:4" x14ac:dyDescent="0.3">
      <c r="B68" s="1" t="s">
        <v>87</v>
      </c>
      <c r="C68">
        <v>146525.04894684011</v>
      </c>
      <c r="D68">
        <v>1.571900729100294</v>
      </c>
    </row>
    <row r="69" spans="2:4" x14ac:dyDescent="0.3">
      <c r="B69" s="1" t="s">
        <v>87</v>
      </c>
      <c r="C69">
        <v>149129.92777697311</v>
      </c>
      <c r="D69">
        <v>1.594154121472386</v>
      </c>
    </row>
    <row r="70" spans="2:4" x14ac:dyDescent="0.3">
      <c r="B70" s="1" t="s">
        <v>87</v>
      </c>
      <c r="C70">
        <v>151718.20767700861</v>
      </c>
      <c r="D70">
        <v>1.616407513844478</v>
      </c>
    </row>
    <row r="71" spans="2:4" x14ac:dyDescent="0.3">
      <c r="B71" s="1" t="s">
        <v>87</v>
      </c>
      <c r="C71">
        <v>154308.15812168259</v>
      </c>
      <c r="D71">
        <v>1.63866090621657</v>
      </c>
    </row>
    <row r="72" spans="2:4" x14ac:dyDescent="0.3">
      <c r="B72" s="1" t="s">
        <v>87</v>
      </c>
      <c r="C72">
        <v>156871.03648572671</v>
      </c>
      <c r="D72">
        <v>1.660914298588662</v>
      </c>
    </row>
    <row r="73" spans="2:4" x14ac:dyDescent="0.3">
      <c r="B73" s="1" t="s">
        <v>87</v>
      </c>
      <c r="C73">
        <v>159460.44609490421</v>
      </c>
      <c r="D73">
        <v>1.6831676909607529</v>
      </c>
    </row>
    <row r="74" spans="2:4" x14ac:dyDescent="0.3">
      <c r="B74" s="1" t="s">
        <v>87</v>
      </c>
      <c r="C74">
        <v>162096.15895764731</v>
      </c>
      <c r="D74">
        <v>1.7054210833328449</v>
      </c>
    </row>
    <row r="75" spans="2:4" x14ac:dyDescent="0.3">
      <c r="B75" s="1" t="s">
        <v>87</v>
      </c>
      <c r="C75">
        <v>164747.1283218594</v>
      </c>
      <c r="D75">
        <v>1.7276744757049369</v>
      </c>
    </row>
    <row r="76" spans="2:4" x14ac:dyDescent="0.3">
      <c r="B76" s="1" t="s">
        <v>87</v>
      </c>
      <c r="C76">
        <v>167352.20201362949</v>
      </c>
      <c r="D76">
        <v>1.7499278680770289</v>
      </c>
    </row>
    <row r="77" spans="2:4" x14ac:dyDescent="0.3">
      <c r="B77" s="1" t="s">
        <v>87</v>
      </c>
      <c r="C77">
        <v>169944.14434715739</v>
      </c>
      <c r="D77">
        <v>1.7721812604491209</v>
      </c>
    </row>
    <row r="78" spans="2:4" x14ac:dyDescent="0.3">
      <c r="B78" s="1" t="s">
        <v>87</v>
      </c>
      <c r="C78">
        <v>172534.10029407419</v>
      </c>
      <c r="D78">
        <v>1.7944346528212129</v>
      </c>
    </row>
    <row r="79" spans="2:4" x14ac:dyDescent="0.3">
      <c r="B79" s="1" t="s">
        <v>87</v>
      </c>
      <c r="C79">
        <v>175137.05425558239</v>
      </c>
      <c r="D79">
        <v>1.8166880451933041</v>
      </c>
    </row>
    <row r="80" spans="2:4" x14ac:dyDescent="0.3">
      <c r="B80" s="1" t="s">
        <v>87</v>
      </c>
      <c r="C80">
        <v>177713.8913112678</v>
      </c>
      <c r="D80">
        <v>1.8389414375653961</v>
      </c>
    </row>
    <row r="81" spans="1:4" x14ac:dyDescent="0.3">
      <c r="B81" s="1" t="s">
        <v>87</v>
      </c>
      <c r="C81">
        <v>180305.20643070311</v>
      </c>
      <c r="D81">
        <v>1.8611948299374881</v>
      </c>
    </row>
    <row r="82" spans="1:4" x14ac:dyDescent="0.3">
      <c r="A82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82" s="1" t="s">
        <v>87</v>
      </c>
      <c r="C82">
        <v>182908.40145170729</v>
      </c>
      <c r="D82">
        <v>1.8834482223095801</v>
      </c>
    </row>
    <row r="83" spans="1:4" x14ac:dyDescent="0.3">
      <c r="A83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83" s="1" t="s">
        <v>87</v>
      </c>
      <c r="C83">
        <v>185512.7489474398</v>
      </c>
      <c r="D83">
        <v>1.9057016146816721</v>
      </c>
    </row>
    <row r="84" spans="1:4" x14ac:dyDescent="0.3">
      <c r="A84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84" s="1" t="s">
        <v>87</v>
      </c>
      <c r="C84">
        <v>188136.44422571981</v>
      </c>
      <c r="D84">
        <v>1.927955007053763</v>
      </c>
    </row>
    <row r="85" spans="1:4" x14ac:dyDescent="0.3">
      <c r="A85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85" s="1" t="s">
        <v>87</v>
      </c>
      <c r="C85">
        <v>190738.44058495821</v>
      </c>
      <c r="D85">
        <v>1.950208399425855</v>
      </c>
    </row>
    <row r="86" spans="1:4" x14ac:dyDescent="0.3">
      <c r="A86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86" s="1" t="s">
        <v>87</v>
      </c>
      <c r="C86">
        <v>193344.43708322081</v>
      </c>
      <c r="D86">
        <v>1.972461791797947</v>
      </c>
    </row>
    <row r="87" spans="1:4" x14ac:dyDescent="0.3">
      <c r="A87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87" s="1" t="s">
        <v>87</v>
      </c>
      <c r="C87">
        <v>195921.84234900359</v>
      </c>
      <c r="D87">
        <v>1.994715184170039</v>
      </c>
    </row>
    <row r="88" spans="1:4" x14ac:dyDescent="0.3">
      <c r="A88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88" s="1" t="s">
        <v>87</v>
      </c>
      <c r="C88">
        <v>198537.56579140981</v>
      </c>
      <c r="D88">
        <v>2.0169685765421308</v>
      </c>
    </row>
    <row r="89" spans="1:4" x14ac:dyDescent="0.3">
      <c r="A89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89" s="1" t="s">
        <v>87</v>
      </c>
      <c r="C89">
        <v>201118.25888364701</v>
      </c>
      <c r="D89">
        <v>2.039221968914223</v>
      </c>
    </row>
    <row r="90" spans="1:4" x14ac:dyDescent="0.3">
      <c r="A90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0" s="1" t="s">
        <v>87</v>
      </c>
      <c r="C90">
        <v>203749.86969612469</v>
      </c>
      <c r="D90">
        <v>2.0614753612863139</v>
      </c>
    </row>
    <row r="91" spans="1:4" x14ac:dyDescent="0.3">
      <c r="A91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1" s="1" t="s">
        <v>87</v>
      </c>
      <c r="C91">
        <v>206312.20699506759</v>
      </c>
      <c r="D91">
        <v>2.0837287536584062</v>
      </c>
    </row>
    <row r="92" spans="1:4" x14ac:dyDescent="0.3">
      <c r="A92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2" s="1" t="s">
        <v>87</v>
      </c>
      <c r="C92">
        <v>208931.06618886601</v>
      </c>
      <c r="D92">
        <v>2.1059821460304979</v>
      </c>
    </row>
    <row r="93" spans="1:4" x14ac:dyDescent="0.3">
      <c r="A93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3" s="1" t="s">
        <v>87</v>
      </c>
      <c r="C93">
        <v>211553.6809477575</v>
      </c>
      <c r="D93">
        <v>2.1282355384025902</v>
      </c>
    </row>
    <row r="94" spans="1:4" x14ac:dyDescent="0.3">
      <c r="A94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4" s="1" t="s">
        <v>87</v>
      </c>
      <c r="C94">
        <v>214142.32411425051</v>
      </c>
      <c r="D94">
        <v>2.150488930774682</v>
      </c>
    </row>
    <row r="95" spans="1:4" x14ac:dyDescent="0.3">
      <c r="A95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5" s="1" t="s">
        <v>87</v>
      </c>
      <c r="C95">
        <v>216763.1950097887</v>
      </c>
      <c r="D95">
        <v>2.1727423231467742</v>
      </c>
    </row>
    <row r="96" spans="1:4" x14ac:dyDescent="0.3">
      <c r="A96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6" s="1" t="s">
        <v>87</v>
      </c>
      <c r="C96">
        <v>219338.86171362671</v>
      </c>
      <c r="D96">
        <v>2.194995715518866</v>
      </c>
    </row>
    <row r="97" spans="1:4" x14ac:dyDescent="0.3">
      <c r="A97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7" s="1" t="s">
        <v>87</v>
      </c>
      <c r="C97">
        <v>221957.8373675849</v>
      </c>
      <c r="D97">
        <v>2.2172491078909569</v>
      </c>
    </row>
    <row r="98" spans="1:4" x14ac:dyDescent="0.3">
      <c r="A98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8" s="1" t="s">
        <v>87</v>
      </c>
      <c r="C98">
        <v>224562.7389435629</v>
      </c>
      <c r="D98">
        <v>2.2395025002630491</v>
      </c>
    </row>
    <row r="99" spans="1:4" x14ac:dyDescent="0.3">
      <c r="A99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99" s="1" t="s">
        <v>87</v>
      </c>
      <c r="C99">
        <v>227138.978353652</v>
      </c>
      <c r="D99">
        <v>2.2617558926351409</v>
      </c>
    </row>
    <row r="100" spans="1:4" x14ac:dyDescent="0.3">
      <c r="A100" s="1" t="str">
        <f>IF(Tabelle256789101113[[#This Row],[Auszahlung_aus_der_Szenario_Range]]="","",IFERROR(MID(Sensitivität_bzw_Monte_Carlo_bei_Strom[[#This Row],[Source.Name]],FIND("1",Sensitivität_bzw_Monte_Carlo_bei_Strom[[#This Row],[Source.Name]],1),1),2))</f>
        <v>1</v>
      </c>
      <c r="B100" s="1" t="s">
        <v>87</v>
      </c>
      <c r="C100">
        <v>229758.27356363871</v>
      </c>
      <c r="D100">
        <v>2.2840092850072331</v>
      </c>
    </row>
    <row r="101" spans="1:4" x14ac:dyDescent="0.3">
      <c r="A10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01" s="1" t="s">
        <v>87</v>
      </c>
      <c r="C101">
        <v>232334.68261936991</v>
      </c>
      <c r="D101">
        <v>2.306262677379324</v>
      </c>
    </row>
    <row r="102" spans="1:4" x14ac:dyDescent="0.3">
      <c r="A10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02" s="1" t="s">
        <v>88</v>
      </c>
      <c r="C102">
        <v>-58465.387944957969</v>
      </c>
      <c r="D102">
        <v>0.1031768325422337</v>
      </c>
    </row>
    <row r="103" spans="1:4" x14ac:dyDescent="0.3">
      <c r="A10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03" s="1" t="s">
        <v>88</v>
      </c>
      <c r="C103">
        <v>-54219.605551492947</v>
      </c>
      <c r="D103">
        <v>0.12543022491432559</v>
      </c>
    </row>
    <row r="104" spans="1:4" x14ac:dyDescent="0.3">
      <c r="A10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04" s="1" t="s">
        <v>88</v>
      </c>
      <c r="C104">
        <v>-49913.426158927861</v>
      </c>
      <c r="D104">
        <v>0.14768361728641741</v>
      </c>
    </row>
    <row r="105" spans="1:4" x14ac:dyDescent="0.3">
      <c r="A10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05" s="1" t="s">
        <v>88</v>
      </c>
      <c r="C105">
        <v>-45697.289559425473</v>
      </c>
      <c r="D105">
        <v>0.16993700965850919</v>
      </c>
    </row>
    <row r="106" spans="1:4" x14ac:dyDescent="0.3">
      <c r="A10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06" s="1" t="s">
        <v>88</v>
      </c>
      <c r="C106">
        <v>-41476.93870516662</v>
      </c>
      <c r="D106">
        <v>0.19219040203060109</v>
      </c>
    </row>
    <row r="107" spans="1:4" x14ac:dyDescent="0.3">
      <c r="A10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07" s="1" t="s">
        <v>88</v>
      </c>
      <c r="C107">
        <v>-37320.477997880902</v>
      </c>
      <c r="D107">
        <v>0.2144437944026929</v>
      </c>
    </row>
    <row r="108" spans="1:4" x14ac:dyDescent="0.3">
      <c r="A10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08" s="1" t="s">
        <v>88</v>
      </c>
      <c r="C108">
        <v>-33115.616004918127</v>
      </c>
      <c r="D108">
        <v>0.23669718677478471</v>
      </c>
    </row>
    <row r="109" spans="1:4" x14ac:dyDescent="0.3">
      <c r="A10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09" s="1" t="s">
        <v>88</v>
      </c>
      <c r="C109">
        <v>-29002.27604749248</v>
      </c>
      <c r="D109">
        <v>0.25895057914687653</v>
      </c>
    </row>
    <row r="110" spans="1:4" x14ac:dyDescent="0.3">
      <c r="A11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0" s="1" t="s">
        <v>88</v>
      </c>
      <c r="C110">
        <v>-24911.642542639031</v>
      </c>
      <c r="D110">
        <v>0.28120397151896842</v>
      </c>
    </row>
    <row r="111" spans="1:4" x14ac:dyDescent="0.3">
      <c r="A11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1" s="1" t="s">
        <v>88</v>
      </c>
      <c r="C111">
        <v>-20874.342437786148</v>
      </c>
      <c r="D111">
        <v>0.30345736389106021</v>
      </c>
    </row>
    <row r="112" spans="1:4" x14ac:dyDescent="0.3">
      <c r="A11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2" s="1" t="s">
        <v>88</v>
      </c>
      <c r="C112">
        <v>-17000.147201701289</v>
      </c>
      <c r="D112">
        <v>0.32571075626315199</v>
      </c>
    </row>
    <row r="113" spans="1:4" x14ac:dyDescent="0.3">
      <c r="A11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3" s="1" t="s">
        <v>88</v>
      </c>
      <c r="C113">
        <v>-13210.406315753769</v>
      </c>
      <c r="D113">
        <v>0.34796414863524378</v>
      </c>
    </row>
    <row r="114" spans="1:4" x14ac:dyDescent="0.3">
      <c r="A11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4" s="1" t="s">
        <v>88</v>
      </c>
      <c r="C114">
        <v>-9508.813213229585</v>
      </c>
      <c r="D114">
        <v>0.37021754100733573</v>
      </c>
    </row>
    <row r="115" spans="1:4" x14ac:dyDescent="0.3">
      <c r="A11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5" s="1" t="s">
        <v>88</v>
      </c>
      <c r="C115">
        <v>-5825.7787976856907</v>
      </c>
      <c r="D115">
        <v>0.39247093337942751</v>
      </c>
    </row>
    <row r="116" spans="1:4" x14ac:dyDescent="0.3">
      <c r="A11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6" s="1" t="s">
        <v>88</v>
      </c>
      <c r="C116">
        <v>-2336.029738482172</v>
      </c>
      <c r="D116">
        <v>0.4147243257515193</v>
      </c>
    </row>
    <row r="117" spans="1:4" x14ac:dyDescent="0.3">
      <c r="A11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7" s="1" t="s">
        <v>88</v>
      </c>
      <c r="C117">
        <v>557.40060728757908</v>
      </c>
      <c r="D117">
        <v>0.43697771812361108</v>
      </c>
    </row>
    <row r="118" spans="1:4" x14ac:dyDescent="0.3">
      <c r="A11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8" s="1" t="s">
        <v>88</v>
      </c>
      <c r="C118">
        <v>3137.6405135355139</v>
      </c>
      <c r="D118">
        <v>0.45923111049570298</v>
      </c>
    </row>
    <row r="119" spans="1:4" x14ac:dyDescent="0.3">
      <c r="A11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19" s="1" t="s">
        <v>88</v>
      </c>
      <c r="C119">
        <v>5714.7168698540381</v>
      </c>
      <c r="D119">
        <v>0.48148450286779482</v>
      </c>
    </row>
    <row r="120" spans="1:4" x14ac:dyDescent="0.3">
      <c r="A12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0" s="1" t="s">
        <v>88</v>
      </c>
      <c r="C120">
        <v>8236.063536825277</v>
      </c>
      <c r="D120">
        <v>0.50373789523988666</v>
      </c>
    </row>
    <row r="121" spans="1:4" x14ac:dyDescent="0.3">
      <c r="A12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1" s="1" t="s">
        <v>88</v>
      </c>
      <c r="C121">
        <v>10783.430212498281</v>
      </c>
      <c r="D121">
        <v>0.52599128761197844</v>
      </c>
    </row>
    <row r="122" spans="1:4" x14ac:dyDescent="0.3">
      <c r="A12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2" s="1" t="s">
        <v>88</v>
      </c>
      <c r="C122">
        <v>13346.14321466303</v>
      </c>
      <c r="D122">
        <v>0.54824467998407023</v>
      </c>
    </row>
    <row r="123" spans="1:4" x14ac:dyDescent="0.3">
      <c r="A12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3" s="1" t="s">
        <v>88</v>
      </c>
      <c r="C123">
        <v>15910.698540830461</v>
      </c>
      <c r="D123">
        <v>0.57049807235616212</v>
      </c>
    </row>
    <row r="124" spans="1:4" x14ac:dyDescent="0.3">
      <c r="A12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4" s="1" t="s">
        <v>88</v>
      </c>
      <c r="C124">
        <v>18459.3952171321</v>
      </c>
      <c r="D124">
        <v>0.59275146472825391</v>
      </c>
    </row>
    <row r="125" spans="1:4" x14ac:dyDescent="0.3">
      <c r="A12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5" s="1" t="s">
        <v>88</v>
      </c>
      <c r="C125">
        <v>21023.27034556081</v>
      </c>
      <c r="D125">
        <v>0.6150048571003458</v>
      </c>
    </row>
    <row r="126" spans="1:4" x14ac:dyDescent="0.3">
      <c r="A12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6" s="1" t="s">
        <v>88</v>
      </c>
      <c r="C126">
        <v>23557.74645010359</v>
      </c>
      <c r="D126">
        <v>0.63725824947243759</v>
      </c>
    </row>
    <row r="127" spans="1:4" ht="13.8" customHeight="1" x14ac:dyDescent="0.3">
      <c r="A12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7" s="1" t="s">
        <v>88</v>
      </c>
      <c r="C127">
        <v>26121.0940945334</v>
      </c>
      <c r="D127">
        <v>0.65951164184452937</v>
      </c>
    </row>
    <row r="128" spans="1:4" x14ac:dyDescent="0.3">
      <c r="A12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8" s="1" t="s">
        <v>88</v>
      </c>
      <c r="C128">
        <v>28698.568686087881</v>
      </c>
      <c r="D128">
        <v>0.68176503421662127</v>
      </c>
    </row>
    <row r="129" spans="1:4" x14ac:dyDescent="0.3">
      <c r="A12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29" s="1" t="s">
        <v>88</v>
      </c>
      <c r="C129">
        <v>31231.180621937641</v>
      </c>
      <c r="D129">
        <v>0.70401842658871305</v>
      </c>
    </row>
    <row r="130" spans="1:4" x14ac:dyDescent="0.3">
      <c r="A13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0" s="1" t="s">
        <v>88</v>
      </c>
      <c r="C130">
        <v>33781.607490168914</v>
      </c>
      <c r="D130">
        <v>0.72627181896080484</v>
      </c>
    </row>
    <row r="131" spans="1:4" x14ac:dyDescent="0.3">
      <c r="A13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1" s="1" t="s">
        <v>88</v>
      </c>
      <c r="C131">
        <v>36358.667989685571</v>
      </c>
      <c r="D131">
        <v>0.74852521133289673</v>
      </c>
    </row>
    <row r="132" spans="1:4" x14ac:dyDescent="0.3">
      <c r="A13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2" s="1" t="s">
        <v>88</v>
      </c>
      <c r="C132">
        <v>38907.245565518322</v>
      </c>
      <c r="D132">
        <v>0.77077860370498852</v>
      </c>
    </row>
    <row r="133" spans="1:4" x14ac:dyDescent="0.3">
      <c r="A13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3" s="1" t="s">
        <v>88</v>
      </c>
      <c r="C133">
        <v>41442.746595139193</v>
      </c>
      <c r="D133">
        <v>0.79303199607708041</v>
      </c>
    </row>
    <row r="134" spans="1:4" x14ac:dyDescent="0.3">
      <c r="A13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4" s="1" t="s">
        <v>88</v>
      </c>
      <c r="C134">
        <v>43976.715463243978</v>
      </c>
      <c r="D134">
        <v>0.8152853884491722</v>
      </c>
    </row>
    <row r="135" spans="1:4" x14ac:dyDescent="0.3">
      <c r="A13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5" s="1" t="s">
        <v>88</v>
      </c>
      <c r="C135">
        <v>46570.192431291784</v>
      </c>
      <c r="D135">
        <v>0.83753878082126398</v>
      </c>
    </row>
    <row r="136" spans="1:4" x14ac:dyDescent="0.3">
      <c r="A13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6" s="1" t="s">
        <v>88</v>
      </c>
      <c r="C136">
        <v>49119.894557053551</v>
      </c>
      <c r="D136">
        <v>0.85979217319335588</v>
      </c>
    </row>
    <row r="137" spans="1:4" x14ac:dyDescent="0.3">
      <c r="A13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7" s="1" t="s">
        <v>88</v>
      </c>
      <c r="C137">
        <v>51695.458136107423</v>
      </c>
      <c r="D137">
        <v>0.88204556556544766</v>
      </c>
    </row>
    <row r="138" spans="1:4" x14ac:dyDescent="0.3">
      <c r="A13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8" s="1" t="s">
        <v>88</v>
      </c>
      <c r="C138">
        <v>54215.454182719113</v>
      </c>
      <c r="D138">
        <v>0.90429895793753956</v>
      </c>
    </row>
    <row r="139" spans="1:4" x14ac:dyDescent="0.3">
      <c r="A13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39" s="1" t="s">
        <v>88</v>
      </c>
      <c r="C139">
        <v>56794.424057162549</v>
      </c>
      <c r="D139">
        <v>0.92655235030963135</v>
      </c>
    </row>
    <row r="140" spans="1:4" x14ac:dyDescent="0.3">
      <c r="A14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0" s="1" t="s">
        <v>88</v>
      </c>
      <c r="C140">
        <v>59344.015364262093</v>
      </c>
      <c r="D140">
        <v>0.94880574268172313</v>
      </c>
    </row>
    <row r="141" spans="1:4" x14ac:dyDescent="0.3">
      <c r="A14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1" s="1" t="s">
        <v>88</v>
      </c>
      <c r="C141">
        <v>61891.288270990262</v>
      </c>
      <c r="D141">
        <v>0.97105913505381503</v>
      </c>
    </row>
    <row r="142" spans="1:4" x14ac:dyDescent="0.3">
      <c r="A14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2" s="1" t="s">
        <v>88</v>
      </c>
      <c r="C142">
        <v>64425.838752774893</v>
      </c>
      <c r="D142">
        <v>0.99331252742590681</v>
      </c>
    </row>
    <row r="143" spans="1:4" x14ac:dyDescent="0.3">
      <c r="A14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3" s="1" t="s">
        <v>88</v>
      </c>
      <c r="C143">
        <v>67003.689434113156</v>
      </c>
      <c r="D143">
        <v>1.015565919797998</v>
      </c>
    </row>
    <row r="144" spans="1:4" x14ac:dyDescent="0.3">
      <c r="A14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4" s="1" t="s">
        <v>88</v>
      </c>
      <c r="C144">
        <v>69551.369336802949</v>
      </c>
      <c r="D144">
        <v>1.03781931217009</v>
      </c>
    </row>
    <row r="145" spans="1:4" x14ac:dyDescent="0.3">
      <c r="A14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5" s="1" t="s">
        <v>88</v>
      </c>
      <c r="C145">
        <v>72100.45262767683</v>
      </c>
      <c r="D145">
        <v>1.0600727045421821</v>
      </c>
    </row>
    <row r="146" spans="1:4" x14ac:dyDescent="0.3">
      <c r="A14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6" s="1" t="s">
        <v>88</v>
      </c>
      <c r="C146">
        <v>74665.674297909267</v>
      </c>
      <c r="D146">
        <v>1.0823260969142741</v>
      </c>
    </row>
    <row r="147" spans="1:4" x14ac:dyDescent="0.3">
      <c r="A14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7" s="1" t="s">
        <v>88</v>
      </c>
      <c r="C147">
        <v>77228.98763888258</v>
      </c>
      <c r="D147">
        <v>1.1045794892863661</v>
      </c>
    </row>
    <row r="148" spans="1:4" x14ac:dyDescent="0.3">
      <c r="A14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8" s="1" t="s">
        <v>88</v>
      </c>
      <c r="C148">
        <v>79791.9736500336</v>
      </c>
      <c r="D148">
        <v>1.1268328816584581</v>
      </c>
    </row>
    <row r="149" spans="1:4" x14ac:dyDescent="0.3">
      <c r="A14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49" s="1" t="s">
        <v>88</v>
      </c>
      <c r="C149">
        <v>82328.872954119128</v>
      </c>
      <c r="D149">
        <v>1.1490862740305501</v>
      </c>
    </row>
    <row r="150" spans="1:4" x14ac:dyDescent="0.3">
      <c r="A15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0" s="1" t="s">
        <v>88</v>
      </c>
      <c r="C150">
        <v>84890.088733510391</v>
      </c>
      <c r="D150">
        <v>1.171339666402641</v>
      </c>
    </row>
    <row r="151" spans="1:4" x14ac:dyDescent="0.3">
      <c r="A15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1" s="1" t="s">
        <v>88</v>
      </c>
      <c r="C151">
        <v>87453.25603504233</v>
      </c>
      <c r="D151">
        <v>1.193593058774733</v>
      </c>
    </row>
    <row r="152" spans="1:4" x14ac:dyDescent="0.3">
      <c r="A15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2" s="1" t="s">
        <v>88</v>
      </c>
      <c r="C152">
        <v>89974.580533333705</v>
      </c>
      <c r="D152">
        <v>1.215846451146825</v>
      </c>
    </row>
    <row r="153" spans="1:4" x14ac:dyDescent="0.3">
      <c r="A15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3" s="1" t="s">
        <v>88</v>
      </c>
      <c r="C153">
        <v>92535.429029368956</v>
      </c>
      <c r="D153">
        <v>1.238099843518917</v>
      </c>
    </row>
    <row r="154" spans="1:4" x14ac:dyDescent="0.3">
      <c r="A15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4" s="1" t="s">
        <v>88</v>
      </c>
      <c r="C154">
        <v>95098.555216364155</v>
      </c>
      <c r="D154">
        <v>1.260353235891009</v>
      </c>
    </row>
    <row r="155" spans="1:4" x14ac:dyDescent="0.3">
      <c r="A15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5" s="1" t="s">
        <v>88</v>
      </c>
      <c r="C155">
        <v>97620.272537264726</v>
      </c>
      <c r="D155">
        <v>1.282606628263101</v>
      </c>
    </row>
    <row r="156" spans="1:4" x14ac:dyDescent="0.3">
      <c r="A15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6" s="1" t="s">
        <v>88</v>
      </c>
      <c r="C156">
        <v>100234.0249468199</v>
      </c>
      <c r="D156">
        <v>1.3048600206351919</v>
      </c>
    </row>
    <row r="157" spans="1:4" x14ac:dyDescent="0.3">
      <c r="A15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7" s="1" t="s">
        <v>88</v>
      </c>
      <c r="C157">
        <v>102776.03933448291</v>
      </c>
      <c r="D157">
        <v>1.3271134130072839</v>
      </c>
    </row>
    <row r="158" spans="1:4" x14ac:dyDescent="0.3">
      <c r="A15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8" s="1" t="s">
        <v>88</v>
      </c>
      <c r="C158">
        <v>105284.8580661653</v>
      </c>
      <c r="D158">
        <v>1.3493668053793759</v>
      </c>
    </row>
    <row r="159" spans="1:4" x14ac:dyDescent="0.3">
      <c r="A15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59" s="1" t="s">
        <v>88</v>
      </c>
      <c r="C159">
        <v>107902.5702138113</v>
      </c>
      <c r="D159">
        <v>1.3716201977514679</v>
      </c>
    </row>
    <row r="160" spans="1:4" x14ac:dyDescent="0.3">
      <c r="A16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0" s="1" t="s">
        <v>88</v>
      </c>
      <c r="C160">
        <v>110464.348395956</v>
      </c>
      <c r="D160">
        <v>1.3938735901235599</v>
      </c>
    </row>
    <row r="161" spans="1:4" x14ac:dyDescent="0.3">
      <c r="A16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1" s="1" t="s">
        <v>88</v>
      </c>
      <c r="C161">
        <v>112973.59792447</v>
      </c>
      <c r="D161">
        <v>1.4161269824956511</v>
      </c>
    </row>
    <row r="162" spans="1:4" x14ac:dyDescent="0.3">
      <c r="A16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2" s="1" t="s">
        <v>88</v>
      </c>
      <c r="C162">
        <v>115505.2819672765</v>
      </c>
      <c r="D162">
        <v>1.4383803748677431</v>
      </c>
    </row>
    <row r="163" spans="1:4" x14ac:dyDescent="0.3">
      <c r="A16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3" s="1" t="s">
        <v>88</v>
      </c>
      <c r="C163">
        <v>118081.02704516549</v>
      </c>
      <c r="D163">
        <v>1.4606337672398351</v>
      </c>
    </row>
    <row r="164" spans="1:4" x14ac:dyDescent="0.3">
      <c r="A16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4" s="1" t="s">
        <v>88</v>
      </c>
      <c r="C164">
        <v>120646.9431227778</v>
      </c>
      <c r="D164">
        <v>1.4828871596119271</v>
      </c>
    </row>
    <row r="165" spans="1:4" x14ac:dyDescent="0.3">
      <c r="A16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5" s="1" t="s">
        <v>88</v>
      </c>
      <c r="C165">
        <v>123193.154067323</v>
      </c>
      <c r="D165">
        <v>1.5051405519840191</v>
      </c>
    </row>
    <row r="166" spans="1:4" x14ac:dyDescent="0.3">
      <c r="A16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6" s="1" t="s">
        <v>88</v>
      </c>
      <c r="C166">
        <v>125728.96448142509</v>
      </c>
      <c r="D166">
        <v>1.5273939443561111</v>
      </c>
    </row>
    <row r="167" spans="1:4" x14ac:dyDescent="0.3">
      <c r="A16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7" s="1" t="s">
        <v>88</v>
      </c>
      <c r="C167">
        <v>128323.7754943015</v>
      </c>
      <c r="D167">
        <v>1.549647336728202</v>
      </c>
    </row>
    <row r="168" spans="1:4" x14ac:dyDescent="0.3">
      <c r="A16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8" s="1" t="s">
        <v>88</v>
      </c>
      <c r="C168">
        <v>130886.4515727613</v>
      </c>
      <c r="D168">
        <v>1.571900729100294</v>
      </c>
    </row>
    <row r="169" spans="1:4" x14ac:dyDescent="0.3">
      <c r="A16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69" s="1" t="s">
        <v>88</v>
      </c>
      <c r="C169">
        <v>133422.7721958592</v>
      </c>
      <c r="D169">
        <v>1.594154121472386</v>
      </c>
    </row>
    <row r="170" spans="1:4" x14ac:dyDescent="0.3">
      <c r="A17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0" s="1" t="s">
        <v>88</v>
      </c>
      <c r="C170">
        <v>135999.76901605149</v>
      </c>
      <c r="D170">
        <v>1.616407513844478</v>
      </c>
    </row>
    <row r="171" spans="1:4" x14ac:dyDescent="0.3">
      <c r="A17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1" s="1" t="s">
        <v>88</v>
      </c>
      <c r="C171">
        <v>138546.28306304739</v>
      </c>
      <c r="D171">
        <v>1.63866090621657</v>
      </c>
    </row>
    <row r="172" spans="1:4" x14ac:dyDescent="0.3">
      <c r="A17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2" s="1" t="s">
        <v>88</v>
      </c>
      <c r="C172">
        <v>141053.1222307698</v>
      </c>
      <c r="D172">
        <v>1.660914298588662</v>
      </c>
    </row>
    <row r="173" spans="1:4" x14ac:dyDescent="0.3">
      <c r="A17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3" s="1" t="s">
        <v>88</v>
      </c>
      <c r="C173">
        <v>143600.61254940249</v>
      </c>
      <c r="D173">
        <v>1.6831676909607529</v>
      </c>
    </row>
    <row r="174" spans="1:4" x14ac:dyDescent="0.3">
      <c r="A17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4" s="1" t="s">
        <v>88</v>
      </c>
      <c r="C174">
        <v>146192.48014327549</v>
      </c>
      <c r="D174">
        <v>1.7054210833328449</v>
      </c>
    </row>
    <row r="175" spans="1:4" x14ac:dyDescent="0.3">
      <c r="A17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5" s="1" t="s">
        <v>88</v>
      </c>
      <c r="C175">
        <v>148755.37195113191</v>
      </c>
      <c r="D175">
        <v>1.7276744757049369</v>
      </c>
    </row>
    <row r="176" spans="1:4" x14ac:dyDescent="0.3">
      <c r="A17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6" s="1" t="s">
        <v>88</v>
      </c>
      <c r="C176">
        <v>151335.88537828071</v>
      </c>
      <c r="D176">
        <v>1.7499278680770289</v>
      </c>
    </row>
    <row r="177" spans="1:4" x14ac:dyDescent="0.3">
      <c r="A17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7" s="1" t="s">
        <v>88</v>
      </c>
      <c r="C177">
        <v>153883.92203465279</v>
      </c>
      <c r="D177">
        <v>1.7721812604491209</v>
      </c>
    </row>
    <row r="178" spans="1:4" x14ac:dyDescent="0.3">
      <c r="A17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8" s="1" t="s">
        <v>88</v>
      </c>
      <c r="C178">
        <v>156420.0264586508</v>
      </c>
      <c r="D178">
        <v>1.7944346528212129</v>
      </c>
    </row>
    <row r="179" spans="1:4" x14ac:dyDescent="0.3">
      <c r="A17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79" s="1" t="s">
        <v>88</v>
      </c>
      <c r="C179">
        <v>158967.5146956181</v>
      </c>
      <c r="D179">
        <v>1.8166880451933041</v>
      </c>
    </row>
    <row r="180" spans="1:4" x14ac:dyDescent="0.3">
      <c r="A18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0" s="1" t="s">
        <v>88</v>
      </c>
      <c r="C180">
        <v>161487.32254603229</v>
      </c>
      <c r="D180">
        <v>1.8389414375653961</v>
      </c>
    </row>
    <row r="181" spans="1:4" x14ac:dyDescent="0.3">
      <c r="A18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1" s="1" t="s">
        <v>88</v>
      </c>
      <c r="C181">
        <v>164050.14283489509</v>
      </c>
      <c r="D181">
        <v>1.8611948299374881</v>
      </c>
    </row>
    <row r="182" spans="1:4" x14ac:dyDescent="0.3">
      <c r="A18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2" s="1" t="s">
        <v>88</v>
      </c>
      <c r="C182">
        <v>166658.31340965969</v>
      </c>
      <c r="D182">
        <v>1.8834482223095801</v>
      </c>
    </row>
    <row r="183" spans="1:4" x14ac:dyDescent="0.3">
      <c r="A18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3" s="1" t="s">
        <v>88</v>
      </c>
      <c r="C183">
        <v>169220.09021270461</v>
      </c>
      <c r="D183">
        <v>1.9057016146816721</v>
      </c>
    </row>
    <row r="184" spans="1:4" x14ac:dyDescent="0.3">
      <c r="A18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4" s="1" t="s">
        <v>88</v>
      </c>
      <c r="C184">
        <v>171741.62507587339</v>
      </c>
      <c r="D184">
        <v>1.927955007053763</v>
      </c>
    </row>
    <row r="185" spans="1:4" x14ac:dyDescent="0.3">
      <c r="A18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5" s="1" t="s">
        <v>88</v>
      </c>
      <c r="C185">
        <v>174274.98774622279</v>
      </c>
      <c r="D185">
        <v>1.950208399425855</v>
      </c>
    </row>
    <row r="186" spans="1:4" x14ac:dyDescent="0.3">
      <c r="A18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6" s="1" t="s">
        <v>88</v>
      </c>
      <c r="C186">
        <v>176865.44411106329</v>
      </c>
      <c r="D186">
        <v>1.972461791797947</v>
      </c>
    </row>
    <row r="187" spans="1:4" x14ac:dyDescent="0.3">
      <c r="A18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7" s="1" t="s">
        <v>88</v>
      </c>
      <c r="C187">
        <v>179387.7763042576</v>
      </c>
      <c r="D187">
        <v>1.994715184170039</v>
      </c>
    </row>
    <row r="188" spans="1:4" x14ac:dyDescent="0.3">
      <c r="A18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8" s="1" t="s">
        <v>88</v>
      </c>
      <c r="C188">
        <v>181949.82566023269</v>
      </c>
      <c r="D188">
        <v>2.0169685765421308</v>
      </c>
    </row>
    <row r="189" spans="1:4" x14ac:dyDescent="0.3">
      <c r="A18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89" s="1" t="s">
        <v>88</v>
      </c>
      <c r="C189">
        <v>184513.8727230494</v>
      </c>
      <c r="D189">
        <v>2.039221968914223</v>
      </c>
    </row>
    <row r="190" spans="1:4" x14ac:dyDescent="0.3">
      <c r="A19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0" s="1" t="s">
        <v>88</v>
      </c>
      <c r="C190">
        <v>187065.79102050141</v>
      </c>
      <c r="D190">
        <v>2.0614753612863139</v>
      </c>
    </row>
    <row r="191" spans="1:4" x14ac:dyDescent="0.3">
      <c r="A19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1" s="1" t="s">
        <v>88</v>
      </c>
      <c r="C191">
        <v>189640.94390933469</v>
      </c>
      <c r="D191">
        <v>2.0837287536584062</v>
      </c>
    </row>
    <row r="192" spans="1:4" x14ac:dyDescent="0.3">
      <c r="A192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2" s="1" t="s">
        <v>88</v>
      </c>
      <c r="C192">
        <v>192190.57957169661</v>
      </c>
      <c r="D192">
        <v>2.1059821460304979</v>
      </c>
    </row>
    <row r="193" spans="1:4" x14ac:dyDescent="0.3">
      <c r="A193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3" s="1" t="s">
        <v>88</v>
      </c>
      <c r="C193">
        <v>194738.0597289986</v>
      </c>
      <c r="D193">
        <v>2.1282355384025902</v>
      </c>
    </row>
    <row r="194" spans="1:4" x14ac:dyDescent="0.3">
      <c r="A194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4" s="1" t="s">
        <v>88</v>
      </c>
      <c r="C194">
        <v>197286.19022976561</v>
      </c>
      <c r="D194">
        <v>2.150488930774682</v>
      </c>
    </row>
    <row r="195" spans="1:4" x14ac:dyDescent="0.3">
      <c r="A195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5" s="1" t="s">
        <v>88</v>
      </c>
      <c r="C195">
        <v>199835.07008615651</v>
      </c>
      <c r="D195">
        <v>2.1727423231467742</v>
      </c>
    </row>
    <row r="196" spans="1:4" x14ac:dyDescent="0.3">
      <c r="A196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6" s="1" t="s">
        <v>88</v>
      </c>
      <c r="C196">
        <v>202399.39041641209</v>
      </c>
      <c r="D196">
        <v>2.194995715518866</v>
      </c>
    </row>
    <row r="197" spans="1:4" x14ac:dyDescent="0.3">
      <c r="A197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7" s="1" t="s">
        <v>88</v>
      </c>
      <c r="C197">
        <v>204934.59563661311</v>
      </c>
      <c r="D197">
        <v>2.2172491078909569</v>
      </c>
    </row>
    <row r="198" spans="1:4" x14ac:dyDescent="0.3">
      <c r="A198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8" s="1" t="s">
        <v>88</v>
      </c>
      <c r="C198">
        <v>207526.13164718231</v>
      </c>
      <c r="D198">
        <v>2.2395025002630491</v>
      </c>
    </row>
    <row r="199" spans="1:4" x14ac:dyDescent="0.3">
      <c r="A199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199" s="1" t="s">
        <v>88</v>
      </c>
      <c r="C199">
        <v>210046.33186094961</v>
      </c>
      <c r="D199">
        <v>2.2617558926351409</v>
      </c>
    </row>
    <row r="200" spans="1:4" x14ac:dyDescent="0.3">
      <c r="A200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200" s="1" t="s">
        <v>88</v>
      </c>
      <c r="C200">
        <v>212611.12273435041</v>
      </c>
      <c r="D200">
        <v>2.2840092850072331</v>
      </c>
    </row>
    <row r="201" spans="1:4" x14ac:dyDescent="0.3">
      <c r="A201" s="1">
        <f>IF(Tabelle256789101113[[#This Row],[Auszahlung_aus_der_Szenario_Range]]="","",IFERROR(MID(Sensitivität_bzw_Monte_Carlo_bei_Strom[[#This Row],[Source.Name]],FIND("1",Sensitivität_bzw_Monte_Carlo_bei_Strom[[#This Row],[Source.Name]],1),1),2))</f>
        <v>2</v>
      </c>
      <c r="B201" s="1" t="s">
        <v>88</v>
      </c>
      <c r="C201">
        <v>215174.62227716841</v>
      </c>
      <c r="D201">
        <v>2.306262677379324</v>
      </c>
    </row>
    <row r="202" spans="1:4" x14ac:dyDescent="0.3">
      <c r="C202" s="4"/>
    </row>
    <row r="203" spans="1:4" x14ac:dyDescent="0.3">
      <c r="C203" s="4"/>
    </row>
    <row r="204" spans="1:4" x14ac:dyDescent="0.3">
      <c r="C204" s="4"/>
    </row>
    <row r="205" spans="1:4" x14ac:dyDescent="0.3">
      <c r="C205" s="4"/>
    </row>
    <row r="206" spans="1:4" x14ac:dyDescent="0.3">
      <c r="C206" s="4"/>
    </row>
    <row r="207" spans="1:4" x14ac:dyDescent="0.3">
      <c r="C207" s="4"/>
    </row>
    <row r="208" spans="1:4" x14ac:dyDescent="0.3">
      <c r="C208" s="4"/>
    </row>
    <row r="209" spans="3:3" x14ac:dyDescent="0.3">
      <c r="C209" s="4"/>
    </row>
    <row r="210" spans="3:3" x14ac:dyDescent="0.3">
      <c r="C210" s="4"/>
    </row>
    <row r="211" spans="3:3" x14ac:dyDescent="0.3">
      <c r="C211" s="4"/>
    </row>
    <row r="212" spans="3:3" x14ac:dyDescent="0.3">
      <c r="C212" s="4"/>
    </row>
    <row r="213" spans="3:3" x14ac:dyDescent="0.3">
      <c r="C213" s="4"/>
    </row>
    <row r="214" spans="3:3" x14ac:dyDescent="0.3">
      <c r="C214" s="4"/>
    </row>
    <row r="215" spans="3:3" x14ac:dyDescent="0.3">
      <c r="C215" s="4"/>
    </row>
    <row r="216" spans="3:3" x14ac:dyDescent="0.3">
      <c r="C216" s="4"/>
    </row>
    <row r="217" spans="3:3" x14ac:dyDescent="0.3">
      <c r="C217" s="4"/>
    </row>
    <row r="218" spans="3:3" x14ac:dyDescent="0.3">
      <c r="C218" s="4"/>
    </row>
    <row r="219" spans="3:3" x14ac:dyDescent="0.3">
      <c r="C219" s="4"/>
    </row>
    <row r="220" spans="3:3" x14ac:dyDescent="0.3">
      <c r="C220" s="4"/>
    </row>
    <row r="221" spans="3:3" x14ac:dyDescent="0.3">
      <c r="C221" s="4"/>
    </row>
    <row r="222" spans="3:3" x14ac:dyDescent="0.3">
      <c r="C222" s="4"/>
    </row>
    <row r="223" spans="3:3" x14ac:dyDescent="0.3">
      <c r="C223" s="4"/>
    </row>
    <row r="224" spans="3:3" x14ac:dyDescent="0.3">
      <c r="C224" s="4"/>
    </row>
    <row r="225" spans="2:3" x14ac:dyDescent="0.3">
      <c r="C225" s="4"/>
    </row>
    <row r="226" spans="2:3" x14ac:dyDescent="0.3">
      <c r="B2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7" spans="2:3" x14ac:dyDescent="0.3">
      <c r="B2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8" spans="2:3" x14ac:dyDescent="0.3">
      <c r="B2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9" spans="2:3" x14ac:dyDescent="0.3">
      <c r="B2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0" spans="2:3" x14ac:dyDescent="0.3">
      <c r="B2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1" spans="2:3" x14ac:dyDescent="0.3">
      <c r="B2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2" spans="2:3" x14ac:dyDescent="0.3">
      <c r="B2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3" spans="2:3" x14ac:dyDescent="0.3">
      <c r="B2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4" spans="2:3" x14ac:dyDescent="0.3">
      <c r="B2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5" spans="2:3" x14ac:dyDescent="0.3">
      <c r="B2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6" spans="2:3" x14ac:dyDescent="0.3">
      <c r="B2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7" spans="2:3" x14ac:dyDescent="0.3">
      <c r="B2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8" spans="2:3" x14ac:dyDescent="0.3">
      <c r="B2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9" spans="2:3" x14ac:dyDescent="0.3">
      <c r="B2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0" spans="2:3" x14ac:dyDescent="0.3">
      <c r="B2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1" spans="2:2" x14ac:dyDescent="0.3">
      <c r="B2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2" spans="2:2" x14ac:dyDescent="0.3">
      <c r="B2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3" spans="2:2" x14ac:dyDescent="0.3">
      <c r="B2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4" spans="2:2" x14ac:dyDescent="0.3">
      <c r="B2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5" spans="2:2" x14ac:dyDescent="0.3">
      <c r="B2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6" spans="2:2" x14ac:dyDescent="0.3">
      <c r="B2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7" spans="2:2" x14ac:dyDescent="0.3">
      <c r="B2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8" spans="2:2" x14ac:dyDescent="0.3">
      <c r="B2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9" spans="2:2" x14ac:dyDescent="0.3">
      <c r="B2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0" spans="2:2" x14ac:dyDescent="0.3">
      <c r="B2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1" spans="2:2" x14ac:dyDescent="0.3">
      <c r="B2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2" spans="2:2" x14ac:dyDescent="0.3">
      <c r="B2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3" spans="2:2" x14ac:dyDescent="0.3">
      <c r="B2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4" spans="2:2" x14ac:dyDescent="0.3">
      <c r="B2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5" spans="2:2" x14ac:dyDescent="0.3">
      <c r="B2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6" spans="2:2" x14ac:dyDescent="0.3">
      <c r="B2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7" spans="2:2" x14ac:dyDescent="0.3">
      <c r="B2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8" spans="2:2" x14ac:dyDescent="0.3">
      <c r="B2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9" spans="2:2" x14ac:dyDescent="0.3">
      <c r="B2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0" spans="2:2" x14ac:dyDescent="0.3">
      <c r="B2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1" spans="2:2" x14ac:dyDescent="0.3">
      <c r="B2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2" spans="2:2" x14ac:dyDescent="0.3">
      <c r="B2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3" spans="2:2" x14ac:dyDescent="0.3">
      <c r="B2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4" spans="2:2" x14ac:dyDescent="0.3">
      <c r="B2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5" spans="2:2" x14ac:dyDescent="0.3">
      <c r="B2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6" spans="2:2" x14ac:dyDescent="0.3">
      <c r="B2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7" spans="2:2" x14ac:dyDescent="0.3">
      <c r="B2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8" spans="2:2" x14ac:dyDescent="0.3">
      <c r="B2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9" spans="2:2" x14ac:dyDescent="0.3">
      <c r="B2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0" spans="2:2" x14ac:dyDescent="0.3">
      <c r="B2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1" spans="2:2" x14ac:dyDescent="0.3">
      <c r="B2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2" spans="2:2" x14ac:dyDescent="0.3">
      <c r="B2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3" spans="2:2" x14ac:dyDescent="0.3">
      <c r="B2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4" spans="2:2" x14ac:dyDescent="0.3">
      <c r="B2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5" spans="2:2" x14ac:dyDescent="0.3">
      <c r="B2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6" spans="2:2" x14ac:dyDescent="0.3">
      <c r="B2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7" spans="2:2" x14ac:dyDescent="0.3">
      <c r="B2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8" spans="2:2" x14ac:dyDescent="0.3">
      <c r="B2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9" spans="2:2" x14ac:dyDescent="0.3">
      <c r="B2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0" spans="2:2" x14ac:dyDescent="0.3">
      <c r="B2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1" spans="2:2" x14ac:dyDescent="0.3">
      <c r="B2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2" spans="2:2" x14ac:dyDescent="0.3">
      <c r="B2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3" spans="2:2" x14ac:dyDescent="0.3">
      <c r="B2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4" spans="2:2" x14ac:dyDescent="0.3">
      <c r="B2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5" spans="2:2" x14ac:dyDescent="0.3">
      <c r="B2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6" spans="2:2" x14ac:dyDescent="0.3">
      <c r="B2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7" spans="2:2" x14ac:dyDescent="0.3">
      <c r="B2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8" spans="2:2" x14ac:dyDescent="0.3">
      <c r="B2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9" spans="2:2" x14ac:dyDescent="0.3">
      <c r="B2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0" spans="2:2" x14ac:dyDescent="0.3">
      <c r="B2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1" spans="2:2" x14ac:dyDescent="0.3">
      <c r="B2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2" spans="2:2" x14ac:dyDescent="0.3">
      <c r="B2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3" spans="2:2" x14ac:dyDescent="0.3">
      <c r="B2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4" spans="2:2" x14ac:dyDescent="0.3">
      <c r="B2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5" spans="2:2" x14ac:dyDescent="0.3">
      <c r="B2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6" spans="2:2" x14ac:dyDescent="0.3">
      <c r="B2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7" spans="2:2" x14ac:dyDescent="0.3">
      <c r="B2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8" spans="2:2" x14ac:dyDescent="0.3">
      <c r="B2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9" spans="2:2" x14ac:dyDescent="0.3">
      <c r="B2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0" spans="2:2" x14ac:dyDescent="0.3">
      <c r="B3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1" spans="2:2" x14ac:dyDescent="0.3">
      <c r="B3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2" spans="2:2" x14ac:dyDescent="0.3">
      <c r="B3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3" spans="2:2" x14ac:dyDescent="0.3">
      <c r="B3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4" spans="2:2" x14ac:dyDescent="0.3">
      <c r="B3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5" spans="2:2" x14ac:dyDescent="0.3">
      <c r="B3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6" spans="2:2" x14ac:dyDescent="0.3">
      <c r="B3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7" spans="2:2" x14ac:dyDescent="0.3">
      <c r="B3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8" spans="2:2" x14ac:dyDescent="0.3">
      <c r="B3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9" spans="2:2" x14ac:dyDescent="0.3">
      <c r="B3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0" spans="2:2" x14ac:dyDescent="0.3">
      <c r="B3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1" spans="2:2" x14ac:dyDescent="0.3">
      <c r="B3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2" spans="2:2" x14ac:dyDescent="0.3">
      <c r="B3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3" spans="2:2" x14ac:dyDescent="0.3">
      <c r="B3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4" spans="2:2" x14ac:dyDescent="0.3">
      <c r="B3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5" spans="2:2" x14ac:dyDescent="0.3">
      <c r="B3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6" spans="2:2" x14ac:dyDescent="0.3">
      <c r="B3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7" spans="2:2" x14ac:dyDescent="0.3">
      <c r="B3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8" spans="2:2" x14ac:dyDescent="0.3">
      <c r="B3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9" spans="2:2" x14ac:dyDescent="0.3">
      <c r="B3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0" spans="2:2" x14ac:dyDescent="0.3">
      <c r="B3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1" spans="2:2" x14ac:dyDescent="0.3">
      <c r="B3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2" spans="2:2" x14ac:dyDescent="0.3">
      <c r="B3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3" spans="2:2" x14ac:dyDescent="0.3">
      <c r="B3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4" spans="2:2" x14ac:dyDescent="0.3">
      <c r="B3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5" spans="2:2" x14ac:dyDescent="0.3">
      <c r="B3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6" spans="2:2" x14ac:dyDescent="0.3">
      <c r="B3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7" spans="2:2" x14ac:dyDescent="0.3">
      <c r="B3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8" spans="2:2" x14ac:dyDescent="0.3">
      <c r="B3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9" spans="2:2" x14ac:dyDescent="0.3">
      <c r="B3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0" spans="2:2" x14ac:dyDescent="0.3">
      <c r="B3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1" spans="2:2" x14ac:dyDescent="0.3">
      <c r="B3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2" spans="2:2" x14ac:dyDescent="0.3">
      <c r="B3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3" spans="2:2" x14ac:dyDescent="0.3">
      <c r="B3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4" spans="2:2" x14ac:dyDescent="0.3">
      <c r="B3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5" spans="2:2" x14ac:dyDescent="0.3">
      <c r="B3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6" spans="2:2" x14ac:dyDescent="0.3">
      <c r="B3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7" spans="2:2" x14ac:dyDescent="0.3">
      <c r="B3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8" spans="2:2" x14ac:dyDescent="0.3">
      <c r="B3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9" spans="2:2" x14ac:dyDescent="0.3">
      <c r="B3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0" spans="2:2" x14ac:dyDescent="0.3">
      <c r="B3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1" spans="2:2" x14ac:dyDescent="0.3">
      <c r="B3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2" spans="2:2" x14ac:dyDescent="0.3">
      <c r="B3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3" spans="2:2" x14ac:dyDescent="0.3">
      <c r="B3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4" spans="2:2" x14ac:dyDescent="0.3">
      <c r="B3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5" spans="2:2" x14ac:dyDescent="0.3">
      <c r="B3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6" spans="2:2" x14ac:dyDescent="0.3">
      <c r="B3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7" spans="2:2" x14ac:dyDescent="0.3">
      <c r="B3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8" spans="2:2" x14ac:dyDescent="0.3">
      <c r="B3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9" spans="2:2" x14ac:dyDescent="0.3">
      <c r="B3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0" spans="2:2" x14ac:dyDescent="0.3">
      <c r="B3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1" spans="2:2" x14ac:dyDescent="0.3">
      <c r="B3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2" spans="2:2" x14ac:dyDescent="0.3">
      <c r="B3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3" spans="2:2" x14ac:dyDescent="0.3">
      <c r="B3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4" spans="2:2" x14ac:dyDescent="0.3">
      <c r="B3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5" spans="2:2" x14ac:dyDescent="0.3">
      <c r="B3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6" spans="2:2" x14ac:dyDescent="0.3">
      <c r="B3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7" spans="2:2" x14ac:dyDescent="0.3">
      <c r="B3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8" spans="2:2" x14ac:dyDescent="0.3">
      <c r="B3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9" spans="2:2" x14ac:dyDescent="0.3">
      <c r="B3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0" spans="2:2" x14ac:dyDescent="0.3">
      <c r="B3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1" spans="2:2" x14ac:dyDescent="0.3">
      <c r="B3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2" spans="2:2" x14ac:dyDescent="0.3">
      <c r="B3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3" spans="2:2" x14ac:dyDescent="0.3">
      <c r="B3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4" spans="2:2" x14ac:dyDescent="0.3">
      <c r="B3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5" spans="2:2" x14ac:dyDescent="0.3">
      <c r="B3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6" spans="2:2" x14ac:dyDescent="0.3">
      <c r="B3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7" spans="2:2" x14ac:dyDescent="0.3">
      <c r="B3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8" spans="2:2" x14ac:dyDescent="0.3">
      <c r="B3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9" spans="2:2" x14ac:dyDescent="0.3">
      <c r="B3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0" spans="2:2" x14ac:dyDescent="0.3">
      <c r="B3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1" spans="2:2" x14ac:dyDescent="0.3">
      <c r="B3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2" spans="2:2" x14ac:dyDescent="0.3">
      <c r="B3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3" spans="2:2" x14ac:dyDescent="0.3">
      <c r="B3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4" spans="2:2" x14ac:dyDescent="0.3">
      <c r="B3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5" spans="2:2" x14ac:dyDescent="0.3">
      <c r="B3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6" spans="2:2" x14ac:dyDescent="0.3">
      <c r="B3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7" spans="2:2" x14ac:dyDescent="0.3">
      <c r="B3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8" spans="2:2" x14ac:dyDescent="0.3">
      <c r="B3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9" spans="2:2" x14ac:dyDescent="0.3">
      <c r="B3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0" spans="2:2" x14ac:dyDescent="0.3">
      <c r="B3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1" spans="2:2" x14ac:dyDescent="0.3">
      <c r="B3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2" spans="2:2" x14ac:dyDescent="0.3">
      <c r="B3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3" spans="2:2" x14ac:dyDescent="0.3">
      <c r="B3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4" spans="2:2" x14ac:dyDescent="0.3">
      <c r="B3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5" spans="2:2" x14ac:dyDescent="0.3">
      <c r="B3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6" spans="2:2" x14ac:dyDescent="0.3">
      <c r="B3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7" spans="2:2" x14ac:dyDescent="0.3">
      <c r="B3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8" spans="2:2" x14ac:dyDescent="0.3">
      <c r="B3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9" spans="2:2" x14ac:dyDescent="0.3">
      <c r="B3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0" spans="2:2" x14ac:dyDescent="0.3">
      <c r="B3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1" spans="2:2" x14ac:dyDescent="0.3">
      <c r="B3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2" spans="2:2" x14ac:dyDescent="0.3">
      <c r="B3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3" spans="2:2" x14ac:dyDescent="0.3">
      <c r="B3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4" spans="2:2" x14ac:dyDescent="0.3">
      <c r="B3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5" spans="2:2" x14ac:dyDescent="0.3">
      <c r="B3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6" spans="2:2" x14ac:dyDescent="0.3">
      <c r="B3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7" spans="2:2" x14ac:dyDescent="0.3">
      <c r="B3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8" spans="2:2" x14ac:dyDescent="0.3">
      <c r="B3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9" spans="2:2" x14ac:dyDescent="0.3">
      <c r="B3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0" spans="2:2" x14ac:dyDescent="0.3">
      <c r="B4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1" spans="2:2" x14ac:dyDescent="0.3">
      <c r="B4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2" spans="2:2" x14ac:dyDescent="0.3">
      <c r="B4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3" spans="2:2" x14ac:dyDescent="0.3">
      <c r="B4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4" spans="2:2" x14ac:dyDescent="0.3">
      <c r="B4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5" spans="2:2" x14ac:dyDescent="0.3">
      <c r="B4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6" spans="2:2" x14ac:dyDescent="0.3">
      <c r="B4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7" spans="2:2" x14ac:dyDescent="0.3">
      <c r="B4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8" spans="2:2" x14ac:dyDescent="0.3">
      <c r="B4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9" spans="2:2" x14ac:dyDescent="0.3">
      <c r="B4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0" spans="2:2" x14ac:dyDescent="0.3">
      <c r="B4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1" spans="2:2" x14ac:dyDescent="0.3">
      <c r="B4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2" spans="2:2" x14ac:dyDescent="0.3">
      <c r="B4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3" spans="2:2" x14ac:dyDescent="0.3">
      <c r="B4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4" spans="2:2" x14ac:dyDescent="0.3">
      <c r="B4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5" spans="2:2" x14ac:dyDescent="0.3">
      <c r="B4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6" spans="2:2" x14ac:dyDescent="0.3">
      <c r="B4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7" spans="2:2" x14ac:dyDescent="0.3">
      <c r="B4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8" spans="2:2" x14ac:dyDescent="0.3">
      <c r="B4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9" spans="2:2" x14ac:dyDescent="0.3">
      <c r="B4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0" spans="2:2" x14ac:dyDescent="0.3">
      <c r="B4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1" spans="2:2" x14ac:dyDescent="0.3">
      <c r="B4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2" spans="2:2" x14ac:dyDescent="0.3">
      <c r="B4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3" spans="2:2" x14ac:dyDescent="0.3">
      <c r="B4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4" spans="2:2" x14ac:dyDescent="0.3">
      <c r="B4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5" spans="2:2" x14ac:dyDescent="0.3">
      <c r="B4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6" spans="2:2" x14ac:dyDescent="0.3">
      <c r="B4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7" spans="2:2" x14ac:dyDescent="0.3">
      <c r="B4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8" spans="2:2" x14ac:dyDescent="0.3">
      <c r="B4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9" spans="2:2" x14ac:dyDescent="0.3">
      <c r="B4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0" spans="2:2" x14ac:dyDescent="0.3">
      <c r="B4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1" spans="2:2" x14ac:dyDescent="0.3">
      <c r="B4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2" spans="2:2" x14ac:dyDescent="0.3">
      <c r="B4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3" spans="2:2" x14ac:dyDescent="0.3">
      <c r="B4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4" spans="2:2" x14ac:dyDescent="0.3">
      <c r="B4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5" spans="2:2" x14ac:dyDescent="0.3">
      <c r="B4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6" spans="2:2" x14ac:dyDescent="0.3">
      <c r="B4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7" spans="2:2" x14ac:dyDescent="0.3">
      <c r="B4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8" spans="2:2" x14ac:dyDescent="0.3">
      <c r="B4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9" spans="2:2" x14ac:dyDescent="0.3">
      <c r="B4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0" spans="2:2" x14ac:dyDescent="0.3">
      <c r="B4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1" spans="2:2" x14ac:dyDescent="0.3">
      <c r="B4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2" spans="2:2" x14ac:dyDescent="0.3">
      <c r="B4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3" spans="2:2" x14ac:dyDescent="0.3">
      <c r="B4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4" spans="2:2" x14ac:dyDescent="0.3">
      <c r="B4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5" spans="2:2" x14ac:dyDescent="0.3">
      <c r="B4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6" spans="2:2" x14ac:dyDescent="0.3">
      <c r="B4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7" spans="2:2" x14ac:dyDescent="0.3">
      <c r="B4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8" spans="2:2" x14ac:dyDescent="0.3">
      <c r="B4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9" spans="2:2" x14ac:dyDescent="0.3">
      <c r="B4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0" spans="2:2" x14ac:dyDescent="0.3">
      <c r="B4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1" spans="2:2" x14ac:dyDescent="0.3">
      <c r="B4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2" spans="2:2" x14ac:dyDescent="0.3">
      <c r="B4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3" spans="2:2" x14ac:dyDescent="0.3">
      <c r="B4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4" spans="2:2" x14ac:dyDescent="0.3">
      <c r="B4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5" spans="2:2" x14ac:dyDescent="0.3">
      <c r="B4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6" spans="2:2" x14ac:dyDescent="0.3">
      <c r="B4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7" spans="2:2" x14ac:dyDescent="0.3">
      <c r="B4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8" spans="2:2" x14ac:dyDescent="0.3">
      <c r="B4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9" spans="2:2" x14ac:dyDescent="0.3">
      <c r="B4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0" spans="2:2" x14ac:dyDescent="0.3">
      <c r="B4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1" spans="2:2" x14ac:dyDescent="0.3">
      <c r="B4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2" spans="2:2" x14ac:dyDescent="0.3">
      <c r="B4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3" spans="2:2" x14ac:dyDescent="0.3">
      <c r="B4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4" spans="2:2" x14ac:dyDescent="0.3">
      <c r="B4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5" spans="2:2" x14ac:dyDescent="0.3">
      <c r="B4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6" spans="2:2" x14ac:dyDescent="0.3">
      <c r="B4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7" spans="2:2" x14ac:dyDescent="0.3">
      <c r="B4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8" spans="2:2" x14ac:dyDescent="0.3">
      <c r="B4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9" spans="2:2" x14ac:dyDescent="0.3">
      <c r="B4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0" spans="2:2" x14ac:dyDescent="0.3">
      <c r="B4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1" spans="2:2" x14ac:dyDescent="0.3">
      <c r="B4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2" spans="2:2" x14ac:dyDescent="0.3">
      <c r="B4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3" spans="2:2" x14ac:dyDescent="0.3">
      <c r="B4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4" spans="2:2" x14ac:dyDescent="0.3">
      <c r="B4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5" spans="2:2" x14ac:dyDescent="0.3">
      <c r="B4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6" spans="2:2" x14ac:dyDescent="0.3">
      <c r="B4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7" spans="2:2" x14ac:dyDescent="0.3">
      <c r="B4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8" spans="2:2" x14ac:dyDescent="0.3">
      <c r="B4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9" spans="2:2" x14ac:dyDescent="0.3">
      <c r="B4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0" spans="2:2" x14ac:dyDescent="0.3">
      <c r="B4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1" spans="2:2" x14ac:dyDescent="0.3">
      <c r="B4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2" spans="2:2" x14ac:dyDescent="0.3">
      <c r="B4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3" spans="2:2" x14ac:dyDescent="0.3">
      <c r="B4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4" spans="2:2" x14ac:dyDescent="0.3">
      <c r="B4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5" spans="2:2" x14ac:dyDescent="0.3">
      <c r="B4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6" spans="2:2" x14ac:dyDescent="0.3">
      <c r="B4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7" spans="2:2" x14ac:dyDescent="0.3">
      <c r="B4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8" spans="2:2" x14ac:dyDescent="0.3">
      <c r="B4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9" spans="2:2" x14ac:dyDescent="0.3">
      <c r="B4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0" spans="2:2" x14ac:dyDescent="0.3">
      <c r="B4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1" spans="2:2" x14ac:dyDescent="0.3">
      <c r="B4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2" spans="2:2" x14ac:dyDescent="0.3">
      <c r="B4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3" spans="2:2" x14ac:dyDescent="0.3">
      <c r="B4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4" spans="2:2" x14ac:dyDescent="0.3">
      <c r="B4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5" spans="2:2" x14ac:dyDescent="0.3">
      <c r="B4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6" spans="2:2" x14ac:dyDescent="0.3">
      <c r="B4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7" spans="2:2" x14ac:dyDescent="0.3">
      <c r="B4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8" spans="2:2" x14ac:dyDescent="0.3">
      <c r="B4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9" spans="2:2" x14ac:dyDescent="0.3">
      <c r="B4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0" spans="2:2" x14ac:dyDescent="0.3">
      <c r="B5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1" spans="2:2" x14ac:dyDescent="0.3">
      <c r="B5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2" spans="2:2" x14ac:dyDescent="0.3">
      <c r="B5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3" spans="2:2" x14ac:dyDescent="0.3">
      <c r="B5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4" spans="2:2" x14ac:dyDescent="0.3">
      <c r="B5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5" spans="2:2" x14ac:dyDescent="0.3">
      <c r="B5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6" spans="2:2" x14ac:dyDescent="0.3">
      <c r="B5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7" spans="2:2" x14ac:dyDescent="0.3">
      <c r="B5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8" spans="2:2" x14ac:dyDescent="0.3">
      <c r="B5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9" spans="2:2" x14ac:dyDescent="0.3">
      <c r="B5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0" spans="2:2" x14ac:dyDescent="0.3">
      <c r="B5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1" spans="2:2" x14ac:dyDescent="0.3">
      <c r="B5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2" spans="2:2" x14ac:dyDescent="0.3">
      <c r="B5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3" spans="2:2" x14ac:dyDescent="0.3">
      <c r="B5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4" spans="2:2" x14ac:dyDescent="0.3">
      <c r="B5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5" spans="2:2" x14ac:dyDescent="0.3">
      <c r="B5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6" spans="2:2" x14ac:dyDescent="0.3">
      <c r="B5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7" spans="2:2" x14ac:dyDescent="0.3">
      <c r="B5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8" spans="2:2" x14ac:dyDescent="0.3">
      <c r="B5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9" spans="2:2" x14ac:dyDescent="0.3">
      <c r="B5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0" spans="2:2" x14ac:dyDescent="0.3">
      <c r="B5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1" spans="2:2" x14ac:dyDescent="0.3">
      <c r="B5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2" spans="2:2" x14ac:dyDescent="0.3">
      <c r="B5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3" spans="2:2" x14ac:dyDescent="0.3">
      <c r="B5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4" spans="2:2" x14ac:dyDescent="0.3">
      <c r="B5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5" spans="2:2" x14ac:dyDescent="0.3">
      <c r="B5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6" spans="2:2" x14ac:dyDescent="0.3">
      <c r="B5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7" spans="2:2" x14ac:dyDescent="0.3">
      <c r="B5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8" spans="2:2" x14ac:dyDescent="0.3">
      <c r="B5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9" spans="2:2" x14ac:dyDescent="0.3">
      <c r="B5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0" spans="2:2" x14ac:dyDescent="0.3">
      <c r="B5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1" spans="2:2" x14ac:dyDescent="0.3">
      <c r="B5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2" spans="2:2" x14ac:dyDescent="0.3">
      <c r="B5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3" spans="2:2" x14ac:dyDescent="0.3">
      <c r="B5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4" spans="2:2" x14ac:dyDescent="0.3">
      <c r="B5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5" spans="2:2" x14ac:dyDescent="0.3">
      <c r="B5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6" spans="2:2" x14ac:dyDescent="0.3">
      <c r="B5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7" spans="2:2" x14ac:dyDescent="0.3">
      <c r="B5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8" spans="2:2" x14ac:dyDescent="0.3">
      <c r="B5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9" spans="2:2" x14ac:dyDescent="0.3">
      <c r="B5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0" spans="2:2" x14ac:dyDescent="0.3">
      <c r="B5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1" spans="2:2" x14ac:dyDescent="0.3">
      <c r="B5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2" spans="2:2" x14ac:dyDescent="0.3">
      <c r="B5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3" spans="2:2" x14ac:dyDescent="0.3">
      <c r="B5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4" spans="2:2" x14ac:dyDescent="0.3">
      <c r="B5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5" spans="2:2" x14ac:dyDescent="0.3">
      <c r="B5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6" spans="2:2" x14ac:dyDescent="0.3">
      <c r="B5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7" spans="2:2" x14ac:dyDescent="0.3">
      <c r="B5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8" spans="2:2" x14ac:dyDescent="0.3">
      <c r="B5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9" spans="2:2" x14ac:dyDescent="0.3">
      <c r="B5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0" spans="2:2" x14ac:dyDescent="0.3">
      <c r="B5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1" spans="2:2" x14ac:dyDescent="0.3">
      <c r="B5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2" spans="2:2" x14ac:dyDescent="0.3">
      <c r="B5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3" spans="2:2" x14ac:dyDescent="0.3">
      <c r="B5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4" spans="2:2" x14ac:dyDescent="0.3">
      <c r="B5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5" spans="2:2" x14ac:dyDescent="0.3">
      <c r="B5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6" spans="2:2" x14ac:dyDescent="0.3">
      <c r="B5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7" spans="2:2" x14ac:dyDescent="0.3">
      <c r="B5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8" spans="2:2" x14ac:dyDescent="0.3">
      <c r="B5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9" spans="2:2" x14ac:dyDescent="0.3">
      <c r="B5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0" spans="2:2" x14ac:dyDescent="0.3">
      <c r="B5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1" spans="2:2" x14ac:dyDescent="0.3">
      <c r="B5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2" spans="2:2" x14ac:dyDescent="0.3">
      <c r="B5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3" spans="2:2" x14ac:dyDescent="0.3">
      <c r="B5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4" spans="2:2" x14ac:dyDescent="0.3">
      <c r="B5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5" spans="2:2" x14ac:dyDescent="0.3">
      <c r="B5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6" spans="2:2" x14ac:dyDescent="0.3">
      <c r="B5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7" spans="2:2" x14ac:dyDescent="0.3">
      <c r="B5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8" spans="2:2" x14ac:dyDescent="0.3">
      <c r="B5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9" spans="2:2" x14ac:dyDescent="0.3">
      <c r="B5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0" spans="2:2" x14ac:dyDescent="0.3">
      <c r="B5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1" spans="2:2" x14ac:dyDescent="0.3">
      <c r="B5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2" spans="2:2" x14ac:dyDescent="0.3">
      <c r="B5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3" spans="2:2" x14ac:dyDescent="0.3">
      <c r="B5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4" spans="2:2" x14ac:dyDescent="0.3">
      <c r="B5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5" spans="2:2" x14ac:dyDescent="0.3">
      <c r="B5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6" spans="2:2" x14ac:dyDescent="0.3">
      <c r="B5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7" spans="2:2" x14ac:dyDescent="0.3">
      <c r="B5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8" spans="2:2" x14ac:dyDescent="0.3">
      <c r="B5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9" spans="2:2" x14ac:dyDescent="0.3">
      <c r="B5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0" spans="2:2" x14ac:dyDescent="0.3">
      <c r="B5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1" spans="2:2" x14ac:dyDescent="0.3">
      <c r="B5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2" spans="2:2" x14ac:dyDescent="0.3">
      <c r="B5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3" spans="2:2" x14ac:dyDescent="0.3">
      <c r="B5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4" spans="2:2" x14ac:dyDescent="0.3">
      <c r="B5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5" spans="2:2" x14ac:dyDescent="0.3">
      <c r="B5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6" spans="2:2" x14ac:dyDescent="0.3">
      <c r="B5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7" spans="2:2" x14ac:dyDescent="0.3">
      <c r="B5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8" spans="2:2" x14ac:dyDescent="0.3">
      <c r="B5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9" spans="2:2" x14ac:dyDescent="0.3">
      <c r="B5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0" spans="2:2" x14ac:dyDescent="0.3">
      <c r="B5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1" spans="2:2" x14ac:dyDescent="0.3">
      <c r="B5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2" spans="2:2" x14ac:dyDescent="0.3">
      <c r="B5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3" spans="2:2" x14ac:dyDescent="0.3">
      <c r="B5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4" spans="2:2" x14ac:dyDescent="0.3">
      <c r="B5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5" spans="2:2" x14ac:dyDescent="0.3">
      <c r="B5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6" spans="2:2" x14ac:dyDescent="0.3">
      <c r="B5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7" spans="2:2" x14ac:dyDescent="0.3">
      <c r="B5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8" spans="2:2" x14ac:dyDescent="0.3">
      <c r="B5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9" spans="2:2" x14ac:dyDescent="0.3">
      <c r="B5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0" spans="2:2" x14ac:dyDescent="0.3">
      <c r="B6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1" spans="2:2" x14ac:dyDescent="0.3">
      <c r="B6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2" spans="2:2" x14ac:dyDescent="0.3">
      <c r="B6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3" spans="2:2" x14ac:dyDescent="0.3">
      <c r="B6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4" spans="2:2" x14ac:dyDescent="0.3">
      <c r="B6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5" spans="2:2" x14ac:dyDescent="0.3">
      <c r="B6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6" spans="2:2" x14ac:dyDescent="0.3">
      <c r="B6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7" spans="2:2" x14ac:dyDescent="0.3">
      <c r="B6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8" spans="2:2" x14ac:dyDescent="0.3">
      <c r="B6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9" spans="2:2" x14ac:dyDescent="0.3">
      <c r="B6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0" spans="2:2" x14ac:dyDescent="0.3">
      <c r="B6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1" spans="2:2" x14ac:dyDescent="0.3">
      <c r="B6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2" spans="2:2" x14ac:dyDescent="0.3">
      <c r="B6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3" spans="2:2" x14ac:dyDescent="0.3">
      <c r="B6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4" spans="2:2" x14ac:dyDescent="0.3">
      <c r="B6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5" spans="2:2" x14ac:dyDescent="0.3">
      <c r="B6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6" spans="2:2" x14ac:dyDescent="0.3">
      <c r="B6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7" spans="2:2" x14ac:dyDescent="0.3">
      <c r="B6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8" spans="2:2" x14ac:dyDescent="0.3">
      <c r="B6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9" spans="2:2" x14ac:dyDescent="0.3">
      <c r="B6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0" spans="2:2" x14ac:dyDescent="0.3">
      <c r="B6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1" spans="2:2" x14ac:dyDescent="0.3">
      <c r="B6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2" spans="2:2" x14ac:dyDescent="0.3">
      <c r="B6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3" spans="2:2" x14ac:dyDescent="0.3">
      <c r="B6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4" spans="2:2" x14ac:dyDescent="0.3">
      <c r="B6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5" spans="2:2" x14ac:dyDescent="0.3">
      <c r="B6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6" spans="2:2" x14ac:dyDescent="0.3">
      <c r="B6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7" spans="2:2" x14ac:dyDescent="0.3">
      <c r="B6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8" spans="2:2" x14ac:dyDescent="0.3">
      <c r="B6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9" spans="2:2" x14ac:dyDescent="0.3">
      <c r="B6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0" spans="2:2" x14ac:dyDescent="0.3">
      <c r="B6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1" spans="2:2" x14ac:dyDescent="0.3">
      <c r="B6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2" spans="2:2" x14ac:dyDescent="0.3">
      <c r="B6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3" spans="2:2" x14ac:dyDescent="0.3">
      <c r="B6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4" spans="2:2" x14ac:dyDescent="0.3">
      <c r="B6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5" spans="2:2" x14ac:dyDescent="0.3">
      <c r="B6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6" spans="2:2" x14ac:dyDescent="0.3">
      <c r="B6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7" spans="2:2" x14ac:dyDescent="0.3">
      <c r="B6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8" spans="2:2" x14ac:dyDescent="0.3">
      <c r="B6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9" spans="2:2" x14ac:dyDescent="0.3">
      <c r="B6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0" spans="2:2" x14ac:dyDescent="0.3">
      <c r="B6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1" spans="2:2" x14ac:dyDescent="0.3">
      <c r="B6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2" spans="2:2" x14ac:dyDescent="0.3">
      <c r="B6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3" spans="2:2" x14ac:dyDescent="0.3">
      <c r="B6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4" spans="2:2" x14ac:dyDescent="0.3">
      <c r="B6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5" spans="2:2" x14ac:dyDescent="0.3">
      <c r="B6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6" spans="2:2" x14ac:dyDescent="0.3">
      <c r="B6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7" spans="2:2" x14ac:dyDescent="0.3">
      <c r="B6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8" spans="2:2" x14ac:dyDescent="0.3">
      <c r="B6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9" spans="2:2" x14ac:dyDescent="0.3">
      <c r="B6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0" spans="2:2" x14ac:dyDescent="0.3">
      <c r="B6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1" spans="2:2" x14ac:dyDescent="0.3">
      <c r="B6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2" spans="2:2" x14ac:dyDescent="0.3">
      <c r="B6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3" spans="2:2" x14ac:dyDescent="0.3">
      <c r="B6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4" spans="2:2" x14ac:dyDescent="0.3">
      <c r="B6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5" spans="2:2" x14ac:dyDescent="0.3">
      <c r="B6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6" spans="2:2" x14ac:dyDescent="0.3">
      <c r="B6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7" spans="2:2" x14ac:dyDescent="0.3">
      <c r="B6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8" spans="2:2" x14ac:dyDescent="0.3">
      <c r="B6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9" spans="2:2" x14ac:dyDescent="0.3">
      <c r="B6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0" spans="2:2" x14ac:dyDescent="0.3">
      <c r="B6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1" spans="2:2" x14ac:dyDescent="0.3">
      <c r="B6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2" spans="2:2" x14ac:dyDescent="0.3">
      <c r="B6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3" spans="2:2" x14ac:dyDescent="0.3">
      <c r="B6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4" spans="2:2" x14ac:dyDescent="0.3">
      <c r="B6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5" spans="2:2" x14ac:dyDescent="0.3">
      <c r="B6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6" spans="2:2" x14ac:dyDescent="0.3">
      <c r="B6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7" spans="2:2" x14ac:dyDescent="0.3">
      <c r="B6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8" spans="2:2" x14ac:dyDescent="0.3">
      <c r="B6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9" spans="2:2" x14ac:dyDescent="0.3">
      <c r="B6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0" spans="2:2" x14ac:dyDescent="0.3">
      <c r="B6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1" spans="2:2" x14ac:dyDescent="0.3">
      <c r="B6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2" spans="2:2" x14ac:dyDescent="0.3">
      <c r="B6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3" spans="2:2" x14ac:dyDescent="0.3">
      <c r="B6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4" spans="2:2" x14ac:dyDescent="0.3">
      <c r="B6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5" spans="2:2" x14ac:dyDescent="0.3">
      <c r="B6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6" spans="2:2" x14ac:dyDescent="0.3">
      <c r="B6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7" spans="2:2" x14ac:dyDescent="0.3">
      <c r="B6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8" spans="2:2" x14ac:dyDescent="0.3">
      <c r="B6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9" spans="2:2" x14ac:dyDescent="0.3">
      <c r="B6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0" spans="2:2" x14ac:dyDescent="0.3">
      <c r="B6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1" spans="2:2" x14ac:dyDescent="0.3">
      <c r="B6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2" spans="2:2" x14ac:dyDescent="0.3">
      <c r="B6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3" spans="2:2" x14ac:dyDescent="0.3">
      <c r="B6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4" spans="2:2" x14ac:dyDescent="0.3">
      <c r="B6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5" spans="2:2" x14ac:dyDescent="0.3">
      <c r="B6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6" spans="2:2" x14ac:dyDescent="0.3">
      <c r="B6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7" spans="2:2" x14ac:dyDescent="0.3">
      <c r="B6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8" spans="2:2" x14ac:dyDescent="0.3">
      <c r="B6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9" spans="2:2" x14ac:dyDescent="0.3">
      <c r="B6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0" spans="2:2" x14ac:dyDescent="0.3">
      <c r="B6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1" spans="2:2" x14ac:dyDescent="0.3">
      <c r="B6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2" spans="2:2" x14ac:dyDescent="0.3">
      <c r="B6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3" spans="2:2" x14ac:dyDescent="0.3">
      <c r="B6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4" spans="2:2" x14ac:dyDescent="0.3">
      <c r="B6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5" spans="2:2" x14ac:dyDescent="0.3">
      <c r="B6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6" spans="2:2" x14ac:dyDescent="0.3">
      <c r="B6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7" spans="2:2" x14ac:dyDescent="0.3">
      <c r="B6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8" spans="2:2" x14ac:dyDescent="0.3">
      <c r="B6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9" spans="2:2" x14ac:dyDescent="0.3">
      <c r="B6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0" spans="2:2" x14ac:dyDescent="0.3">
      <c r="B7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1" spans="2:2" x14ac:dyDescent="0.3">
      <c r="B7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2" spans="2:2" x14ac:dyDescent="0.3">
      <c r="B7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3" spans="2:2" x14ac:dyDescent="0.3">
      <c r="B7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4" spans="2:2" x14ac:dyDescent="0.3">
      <c r="B7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5" spans="2:2" x14ac:dyDescent="0.3">
      <c r="B7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6" spans="2:2" x14ac:dyDescent="0.3">
      <c r="B7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7" spans="2:2" x14ac:dyDescent="0.3">
      <c r="B7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8" spans="2:2" x14ac:dyDescent="0.3">
      <c r="B7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9" spans="2:2" x14ac:dyDescent="0.3">
      <c r="B7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0" spans="2:2" x14ac:dyDescent="0.3">
      <c r="B7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1" spans="2:2" x14ac:dyDescent="0.3">
      <c r="B7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2" spans="2:2" x14ac:dyDescent="0.3">
      <c r="B7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3" spans="2:2" x14ac:dyDescent="0.3">
      <c r="B7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4" spans="2:2" x14ac:dyDescent="0.3">
      <c r="B7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5" spans="2:2" x14ac:dyDescent="0.3">
      <c r="B7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6" spans="2:2" x14ac:dyDescent="0.3">
      <c r="B7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7" spans="2:2" x14ac:dyDescent="0.3">
      <c r="B7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8" spans="2:2" x14ac:dyDescent="0.3">
      <c r="B7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9" spans="2:2" x14ac:dyDescent="0.3">
      <c r="B7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0" spans="2:2" x14ac:dyDescent="0.3">
      <c r="B7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1" spans="2:2" x14ac:dyDescent="0.3">
      <c r="B7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2" spans="2:2" x14ac:dyDescent="0.3">
      <c r="B7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3" spans="2:2" x14ac:dyDescent="0.3">
      <c r="B7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4" spans="2:2" x14ac:dyDescent="0.3">
      <c r="B7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5" spans="2:2" x14ac:dyDescent="0.3">
      <c r="B7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6" spans="2:2" x14ac:dyDescent="0.3">
      <c r="B7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7" spans="2:2" x14ac:dyDescent="0.3">
      <c r="B7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8" spans="2:2" x14ac:dyDescent="0.3">
      <c r="B7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9" spans="2:2" x14ac:dyDescent="0.3">
      <c r="B7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0" spans="2:2" x14ac:dyDescent="0.3">
      <c r="B7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1" spans="2:2" x14ac:dyDescent="0.3">
      <c r="B7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2" spans="2:2" x14ac:dyDescent="0.3">
      <c r="B7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3" spans="2:2" x14ac:dyDescent="0.3">
      <c r="B7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4" spans="2:2" x14ac:dyDescent="0.3">
      <c r="B7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5" spans="2:2" x14ac:dyDescent="0.3">
      <c r="B7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6" spans="2:2" x14ac:dyDescent="0.3">
      <c r="B7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7" spans="2:2" x14ac:dyDescent="0.3">
      <c r="B7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8" spans="2:2" x14ac:dyDescent="0.3">
      <c r="B7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9" spans="2:2" x14ac:dyDescent="0.3">
      <c r="B7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0" spans="2:2" x14ac:dyDescent="0.3">
      <c r="B7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1" spans="2:2" x14ac:dyDescent="0.3">
      <c r="B7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2" spans="2:2" x14ac:dyDescent="0.3">
      <c r="B7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3" spans="2:2" x14ac:dyDescent="0.3">
      <c r="B7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4" spans="2:2" x14ac:dyDescent="0.3">
      <c r="B7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5" spans="2:2" x14ac:dyDescent="0.3">
      <c r="B7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6" spans="2:2" x14ac:dyDescent="0.3">
      <c r="B7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7" spans="2:2" x14ac:dyDescent="0.3">
      <c r="B7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8" spans="2:2" x14ac:dyDescent="0.3">
      <c r="B7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9" spans="2:2" x14ac:dyDescent="0.3">
      <c r="B7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0" spans="2:2" x14ac:dyDescent="0.3">
      <c r="B7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1" spans="2:2" x14ac:dyDescent="0.3">
      <c r="B7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2" spans="2:2" x14ac:dyDescent="0.3">
      <c r="B7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3" spans="2:2" x14ac:dyDescent="0.3">
      <c r="B7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4" spans="2:2" x14ac:dyDescent="0.3">
      <c r="B7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5" spans="2:2" x14ac:dyDescent="0.3">
      <c r="B7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6" spans="2:2" x14ac:dyDescent="0.3">
      <c r="B7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7" spans="2:2" x14ac:dyDescent="0.3">
      <c r="B7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8" spans="2:2" x14ac:dyDescent="0.3">
      <c r="B7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9" spans="2:2" x14ac:dyDescent="0.3">
      <c r="B7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0" spans="2:2" x14ac:dyDescent="0.3">
      <c r="B7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1" spans="2:2" x14ac:dyDescent="0.3">
      <c r="B7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2" spans="2:2" x14ac:dyDescent="0.3">
      <c r="B7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3" spans="2:2" x14ac:dyDescent="0.3">
      <c r="B7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4" spans="2:2" x14ac:dyDescent="0.3">
      <c r="B7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5" spans="2:2" x14ac:dyDescent="0.3">
      <c r="B7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6" spans="2:2" x14ac:dyDescent="0.3">
      <c r="B7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7" spans="2:2" x14ac:dyDescent="0.3">
      <c r="B7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8" spans="2:2" x14ac:dyDescent="0.3">
      <c r="B7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9" spans="2:2" x14ac:dyDescent="0.3">
      <c r="B7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0" spans="2:2" x14ac:dyDescent="0.3">
      <c r="B7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1" spans="2:2" x14ac:dyDescent="0.3">
      <c r="B7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2" spans="2:2" x14ac:dyDescent="0.3">
      <c r="B7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3" spans="2:2" x14ac:dyDescent="0.3">
      <c r="B7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4" spans="2:2" x14ac:dyDescent="0.3">
      <c r="B7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5" spans="2:2" x14ac:dyDescent="0.3">
      <c r="B7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6" spans="2:2" x14ac:dyDescent="0.3">
      <c r="B7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7" spans="2:2" x14ac:dyDescent="0.3">
      <c r="B7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8" spans="2:2" x14ac:dyDescent="0.3">
      <c r="B7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9" spans="2:2" x14ac:dyDescent="0.3">
      <c r="B7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0" spans="2:2" x14ac:dyDescent="0.3">
      <c r="B7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1" spans="2:2" x14ac:dyDescent="0.3">
      <c r="B7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2" spans="2:2" x14ac:dyDescent="0.3">
      <c r="B7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3" spans="2:2" x14ac:dyDescent="0.3">
      <c r="B7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4" spans="2:2" x14ac:dyDescent="0.3">
      <c r="B7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5" spans="2:2" x14ac:dyDescent="0.3">
      <c r="B7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6" spans="2:2" x14ac:dyDescent="0.3">
      <c r="B7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7" spans="2:2" x14ac:dyDescent="0.3">
      <c r="B7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8" spans="2:2" x14ac:dyDescent="0.3">
      <c r="B7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9" spans="2:2" x14ac:dyDescent="0.3">
      <c r="B7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0" spans="2:2" x14ac:dyDescent="0.3">
      <c r="B7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1" spans="2:2" x14ac:dyDescent="0.3">
      <c r="B7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2" spans="2:2" x14ac:dyDescent="0.3">
      <c r="B7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3" spans="2:2" x14ac:dyDescent="0.3">
      <c r="B7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4" spans="2:2" x14ac:dyDescent="0.3">
      <c r="B7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5" spans="2:2" x14ac:dyDescent="0.3">
      <c r="B7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6" spans="2:2" x14ac:dyDescent="0.3">
      <c r="B7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7" spans="2:2" x14ac:dyDescent="0.3">
      <c r="B7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8" spans="2:2" x14ac:dyDescent="0.3">
      <c r="B7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9" spans="2:2" x14ac:dyDescent="0.3">
      <c r="B7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0" spans="2:2" x14ac:dyDescent="0.3">
      <c r="B8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1" spans="2:2" x14ac:dyDescent="0.3">
      <c r="B8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2" spans="2:2" x14ac:dyDescent="0.3">
      <c r="B8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3" spans="2:2" x14ac:dyDescent="0.3">
      <c r="B8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4" spans="2:2" x14ac:dyDescent="0.3">
      <c r="B8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5" spans="2:2" x14ac:dyDescent="0.3">
      <c r="B8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6" spans="2:2" x14ac:dyDescent="0.3">
      <c r="B8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7" spans="2:2" x14ac:dyDescent="0.3">
      <c r="B8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8" spans="2:2" x14ac:dyDescent="0.3">
      <c r="B8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9" spans="2:2" x14ac:dyDescent="0.3">
      <c r="B8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0" spans="2:2" x14ac:dyDescent="0.3">
      <c r="B8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1" spans="2:2" x14ac:dyDescent="0.3">
      <c r="B8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2" spans="2:2" x14ac:dyDescent="0.3">
      <c r="B8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3" spans="2:2" x14ac:dyDescent="0.3">
      <c r="B8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4" spans="2:2" x14ac:dyDescent="0.3">
      <c r="B8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5" spans="2:2" x14ac:dyDescent="0.3">
      <c r="B8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6" spans="2:2" x14ac:dyDescent="0.3">
      <c r="B8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7" spans="2:2" x14ac:dyDescent="0.3">
      <c r="B8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8" spans="2:2" x14ac:dyDescent="0.3">
      <c r="B8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9" spans="2:2" x14ac:dyDescent="0.3">
      <c r="B8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0" spans="2:2" x14ac:dyDescent="0.3">
      <c r="B8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1" spans="2:2" x14ac:dyDescent="0.3">
      <c r="B8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2" spans="2:2" x14ac:dyDescent="0.3">
      <c r="B8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3" spans="2:2" x14ac:dyDescent="0.3">
      <c r="B8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4" spans="2:2" x14ac:dyDescent="0.3">
      <c r="B8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5" spans="2:2" x14ac:dyDescent="0.3">
      <c r="B8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6" spans="2:2" x14ac:dyDescent="0.3">
      <c r="B8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7" spans="2:2" x14ac:dyDescent="0.3">
      <c r="B8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8" spans="2:2" x14ac:dyDescent="0.3">
      <c r="B8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9" spans="2:2" x14ac:dyDescent="0.3">
      <c r="B8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0" spans="2:2" x14ac:dyDescent="0.3">
      <c r="B8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1" spans="2:2" x14ac:dyDescent="0.3">
      <c r="B8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2" spans="2:2" x14ac:dyDescent="0.3">
      <c r="B8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3" spans="2:2" x14ac:dyDescent="0.3">
      <c r="B8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4" spans="2:2" x14ac:dyDescent="0.3">
      <c r="B8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5" spans="2:2" x14ac:dyDescent="0.3">
      <c r="B8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6" spans="2:2" x14ac:dyDescent="0.3">
      <c r="B8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7" spans="2:2" x14ac:dyDescent="0.3">
      <c r="B8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8" spans="2:2" x14ac:dyDescent="0.3">
      <c r="B8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9" spans="2:2" x14ac:dyDescent="0.3">
      <c r="B8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0" spans="2:2" x14ac:dyDescent="0.3">
      <c r="B8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1" spans="2:2" x14ac:dyDescent="0.3">
      <c r="B8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2" spans="2:2" x14ac:dyDescent="0.3">
      <c r="B8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3" spans="2:2" x14ac:dyDescent="0.3">
      <c r="B8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4" spans="2:2" x14ac:dyDescent="0.3">
      <c r="B8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5" spans="2:2" x14ac:dyDescent="0.3">
      <c r="B8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6" spans="2:2" x14ac:dyDescent="0.3">
      <c r="B8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7" spans="2:2" x14ac:dyDescent="0.3">
      <c r="B8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8" spans="2:2" x14ac:dyDescent="0.3">
      <c r="B8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9" spans="2:2" x14ac:dyDescent="0.3">
      <c r="B8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0" spans="2:2" x14ac:dyDescent="0.3">
      <c r="B8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1" spans="2:2" x14ac:dyDescent="0.3">
      <c r="B8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2" spans="2:2" x14ac:dyDescent="0.3">
      <c r="B8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3" spans="2:2" x14ac:dyDescent="0.3">
      <c r="B8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4" spans="2:2" x14ac:dyDescent="0.3">
      <c r="B8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5" spans="2:2" x14ac:dyDescent="0.3">
      <c r="B8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6" spans="2:2" x14ac:dyDescent="0.3">
      <c r="B8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7" spans="2:2" x14ac:dyDescent="0.3">
      <c r="B8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8" spans="2:2" x14ac:dyDescent="0.3">
      <c r="B8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9" spans="2:2" x14ac:dyDescent="0.3">
      <c r="B8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0" spans="2:2" x14ac:dyDescent="0.3">
      <c r="B8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1" spans="2:2" x14ac:dyDescent="0.3">
      <c r="B8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2" spans="2:2" x14ac:dyDescent="0.3">
      <c r="B8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3" spans="2:2" x14ac:dyDescent="0.3">
      <c r="B8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4" spans="2:2" x14ac:dyDescent="0.3">
      <c r="B8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5" spans="2:2" x14ac:dyDescent="0.3">
      <c r="B8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6" spans="2:2" x14ac:dyDescent="0.3">
      <c r="B8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7" spans="2:2" x14ac:dyDescent="0.3">
      <c r="B8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8" spans="2:2" x14ac:dyDescent="0.3">
      <c r="B8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9" spans="2:2" x14ac:dyDescent="0.3">
      <c r="B8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0" spans="2:2" x14ac:dyDescent="0.3">
      <c r="B8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1" spans="2:2" x14ac:dyDescent="0.3">
      <c r="B8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2" spans="2:2" x14ac:dyDescent="0.3">
      <c r="B8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3" spans="2:2" x14ac:dyDescent="0.3">
      <c r="B8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4" spans="2:2" x14ac:dyDescent="0.3">
      <c r="B8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5" spans="2:2" x14ac:dyDescent="0.3">
      <c r="B8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6" spans="2:2" x14ac:dyDescent="0.3">
      <c r="B8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7" spans="2:2" x14ac:dyDescent="0.3">
      <c r="B8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8" spans="2:2" x14ac:dyDescent="0.3">
      <c r="B8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9" spans="2:2" x14ac:dyDescent="0.3">
      <c r="B8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0" spans="2:2" x14ac:dyDescent="0.3">
      <c r="B8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1" spans="2:2" x14ac:dyDescent="0.3">
      <c r="B8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2" spans="2:2" x14ac:dyDescent="0.3">
      <c r="B8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3" spans="2:2" x14ac:dyDescent="0.3">
      <c r="B8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4" spans="2:2" x14ac:dyDescent="0.3">
      <c r="B8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5" spans="2:2" x14ac:dyDescent="0.3">
      <c r="B8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6" spans="2:2" x14ac:dyDescent="0.3">
      <c r="B8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7" spans="2:2" x14ac:dyDescent="0.3">
      <c r="B8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8" spans="2:2" x14ac:dyDescent="0.3">
      <c r="B8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9" spans="2:2" x14ac:dyDescent="0.3">
      <c r="B8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0" spans="2:2" x14ac:dyDescent="0.3">
      <c r="B8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1" spans="2:2" x14ac:dyDescent="0.3">
      <c r="B8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2" spans="2:2" x14ac:dyDescent="0.3">
      <c r="B8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3" spans="2:2" x14ac:dyDescent="0.3">
      <c r="B8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4" spans="2:2" x14ac:dyDescent="0.3">
      <c r="B8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5" spans="2:2" x14ac:dyDescent="0.3">
      <c r="B8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6" spans="2:2" x14ac:dyDescent="0.3">
      <c r="B8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7" spans="2:2" x14ac:dyDescent="0.3">
      <c r="B8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8" spans="2:2" x14ac:dyDescent="0.3">
      <c r="B8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9" spans="2:2" x14ac:dyDescent="0.3">
      <c r="B8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0" spans="2:2" x14ac:dyDescent="0.3">
      <c r="B9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1" spans="2:2" x14ac:dyDescent="0.3">
      <c r="B9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2" spans="2:2" x14ac:dyDescent="0.3">
      <c r="B9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3" spans="2:2" x14ac:dyDescent="0.3">
      <c r="B9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4" spans="2:2" x14ac:dyDescent="0.3">
      <c r="B9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5" spans="2:2" x14ac:dyDescent="0.3">
      <c r="B9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6" spans="2:2" x14ac:dyDescent="0.3">
      <c r="B9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7" spans="2:2" x14ac:dyDescent="0.3">
      <c r="B9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8" spans="2:2" x14ac:dyDescent="0.3">
      <c r="B9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9" spans="2:2" x14ac:dyDescent="0.3">
      <c r="B9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0" spans="2:2" x14ac:dyDescent="0.3">
      <c r="B9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1" spans="2:2" x14ac:dyDescent="0.3">
      <c r="B9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2" spans="2:2" x14ac:dyDescent="0.3">
      <c r="B9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3" spans="2:2" x14ac:dyDescent="0.3">
      <c r="B9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4" spans="2:2" x14ac:dyDescent="0.3">
      <c r="B9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5" spans="2:2" x14ac:dyDescent="0.3">
      <c r="B9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6" spans="2:2" x14ac:dyDescent="0.3">
      <c r="B9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7" spans="2:2" x14ac:dyDescent="0.3">
      <c r="B9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8" spans="2:2" x14ac:dyDescent="0.3">
      <c r="B9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9" spans="2:2" x14ac:dyDescent="0.3">
      <c r="B9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0" spans="2:2" x14ac:dyDescent="0.3">
      <c r="B9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1" spans="2:2" x14ac:dyDescent="0.3">
      <c r="B9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2" spans="2:2" x14ac:dyDescent="0.3">
      <c r="B9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3" spans="2:2" x14ac:dyDescent="0.3">
      <c r="B9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4" spans="2:2" x14ac:dyDescent="0.3">
      <c r="B9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5" spans="2:2" x14ac:dyDescent="0.3">
      <c r="B9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6" spans="2:2" x14ac:dyDescent="0.3">
      <c r="B9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7" spans="2:2" x14ac:dyDescent="0.3">
      <c r="B9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8" spans="2:2" x14ac:dyDescent="0.3">
      <c r="B9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9" spans="2:2" x14ac:dyDescent="0.3">
      <c r="B9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0" spans="2:2" x14ac:dyDescent="0.3">
      <c r="B9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1" spans="2:2" x14ac:dyDescent="0.3">
      <c r="B9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2" spans="2:2" x14ac:dyDescent="0.3">
      <c r="B9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3" spans="2:2" x14ac:dyDescent="0.3">
      <c r="B9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4" spans="2:2" x14ac:dyDescent="0.3">
      <c r="B9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5" spans="2:2" x14ac:dyDescent="0.3">
      <c r="B9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6" spans="2:2" x14ac:dyDescent="0.3">
      <c r="B9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7" spans="2:2" x14ac:dyDescent="0.3">
      <c r="B9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8" spans="2:2" x14ac:dyDescent="0.3">
      <c r="B9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9" spans="2:2" x14ac:dyDescent="0.3">
      <c r="B9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0" spans="2:2" x14ac:dyDescent="0.3">
      <c r="B9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1" spans="2:2" x14ac:dyDescent="0.3">
      <c r="B9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2" spans="2:2" x14ac:dyDescent="0.3">
      <c r="B9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3" spans="2:2" x14ac:dyDescent="0.3">
      <c r="B9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4" spans="2:2" x14ac:dyDescent="0.3">
      <c r="B9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5" spans="2:2" x14ac:dyDescent="0.3">
      <c r="B9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6" spans="2:2" x14ac:dyDescent="0.3">
      <c r="B9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7" spans="2:2" x14ac:dyDescent="0.3">
      <c r="B9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8" spans="2:2" x14ac:dyDescent="0.3">
      <c r="B9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9" spans="2:2" x14ac:dyDescent="0.3">
      <c r="B9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0" spans="2:2" x14ac:dyDescent="0.3">
      <c r="B9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1" spans="2:2" x14ac:dyDescent="0.3">
      <c r="B9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2" spans="2:2" x14ac:dyDescent="0.3">
      <c r="B9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3" spans="2:2" x14ac:dyDescent="0.3">
      <c r="B9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4" spans="2:2" x14ac:dyDescent="0.3">
      <c r="B9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5" spans="2:2" x14ac:dyDescent="0.3">
      <c r="B9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6" spans="2:2" x14ac:dyDescent="0.3">
      <c r="B9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7" spans="2:2" x14ac:dyDescent="0.3">
      <c r="B9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8" spans="2:2" x14ac:dyDescent="0.3">
      <c r="B9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9" spans="2:2" x14ac:dyDescent="0.3">
      <c r="B9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0" spans="2:2" x14ac:dyDescent="0.3">
      <c r="B9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1" spans="2:2" x14ac:dyDescent="0.3">
      <c r="B9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2" spans="2:2" x14ac:dyDescent="0.3">
      <c r="B9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3" spans="2:2" x14ac:dyDescent="0.3">
      <c r="B9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4" spans="2:2" x14ac:dyDescent="0.3">
      <c r="B9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5" spans="2:2" x14ac:dyDescent="0.3">
      <c r="B9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6" spans="2:2" x14ac:dyDescent="0.3">
      <c r="B9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7" spans="2:2" x14ac:dyDescent="0.3">
      <c r="B9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8" spans="2:2" x14ac:dyDescent="0.3">
      <c r="B9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9" spans="2:2" x14ac:dyDescent="0.3">
      <c r="B9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0" spans="2:2" x14ac:dyDescent="0.3">
      <c r="B9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1" spans="2:2" x14ac:dyDescent="0.3">
      <c r="B9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2" spans="2:2" x14ac:dyDescent="0.3">
      <c r="B9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3" spans="2:2" x14ac:dyDescent="0.3">
      <c r="B9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4" spans="2:2" x14ac:dyDescent="0.3">
      <c r="B9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5" spans="2:2" x14ac:dyDescent="0.3">
      <c r="B9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6" spans="2:2" x14ac:dyDescent="0.3">
      <c r="B9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7" spans="2:2" x14ac:dyDescent="0.3">
      <c r="B9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8" spans="2:2" x14ac:dyDescent="0.3">
      <c r="B9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9" spans="2:2" x14ac:dyDescent="0.3">
      <c r="B9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0" spans="2:2" x14ac:dyDescent="0.3">
      <c r="B9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1" spans="2:2" x14ac:dyDescent="0.3">
      <c r="B9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2" spans="2:2" x14ac:dyDescent="0.3">
      <c r="B9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3" spans="2:2" x14ac:dyDescent="0.3">
      <c r="B9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4" spans="2:2" x14ac:dyDescent="0.3">
      <c r="B9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5" spans="2:2" x14ac:dyDescent="0.3">
      <c r="B9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6" spans="2:2" x14ac:dyDescent="0.3">
      <c r="B9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7" spans="2:2" x14ac:dyDescent="0.3">
      <c r="B9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8" spans="2:2" x14ac:dyDescent="0.3">
      <c r="B9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9" spans="2:2" x14ac:dyDescent="0.3">
      <c r="B9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0" spans="2:2" x14ac:dyDescent="0.3">
      <c r="B9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1" spans="2:2" x14ac:dyDescent="0.3">
      <c r="B9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2" spans="2:2" x14ac:dyDescent="0.3">
      <c r="B9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3" spans="2:2" x14ac:dyDescent="0.3">
      <c r="B9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4" spans="2:2" x14ac:dyDescent="0.3">
      <c r="B9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5" spans="2:2" x14ac:dyDescent="0.3">
      <c r="B9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6" spans="2:2" x14ac:dyDescent="0.3">
      <c r="B9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7" spans="2:2" x14ac:dyDescent="0.3">
      <c r="B9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8" spans="2:2" x14ac:dyDescent="0.3">
      <c r="B9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9" spans="2:2" x14ac:dyDescent="0.3">
      <c r="B9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0" spans="2:2" x14ac:dyDescent="0.3">
      <c r="B10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1" spans="2:2" x14ac:dyDescent="0.3">
      <c r="B10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2" spans="2:2" x14ac:dyDescent="0.3">
      <c r="B10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3" spans="2:2" x14ac:dyDescent="0.3">
      <c r="B10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4" spans="2:2" x14ac:dyDescent="0.3">
      <c r="B10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5" spans="2:2" x14ac:dyDescent="0.3">
      <c r="B10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6" spans="2:2" x14ac:dyDescent="0.3">
      <c r="B10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7" spans="2:2" x14ac:dyDescent="0.3">
      <c r="B10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8" spans="2:2" x14ac:dyDescent="0.3">
      <c r="B10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9" spans="2:2" x14ac:dyDescent="0.3">
      <c r="B10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0" spans="2:2" x14ac:dyDescent="0.3">
      <c r="B10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1" spans="2:2" x14ac:dyDescent="0.3">
      <c r="B10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2" spans="2:2" x14ac:dyDescent="0.3">
      <c r="B10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3" spans="2:2" x14ac:dyDescent="0.3">
      <c r="B10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4" spans="2:2" x14ac:dyDescent="0.3">
      <c r="B10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5" spans="2:2" x14ac:dyDescent="0.3">
      <c r="B10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6" spans="2:2" x14ac:dyDescent="0.3">
      <c r="B10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7" spans="2:2" x14ac:dyDescent="0.3">
      <c r="B10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8" spans="2:2" x14ac:dyDescent="0.3">
      <c r="B10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9" spans="2:2" x14ac:dyDescent="0.3">
      <c r="B10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0" spans="2:2" x14ac:dyDescent="0.3">
      <c r="B10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1" spans="2:2" x14ac:dyDescent="0.3">
      <c r="B10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2" spans="2:2" x14ac:dyDescent="0.3">
      <c r="B10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3" spans="2:2" x14ac:dyDescent="0.3">
      <c r="B10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4" spans="2:2" x14ac:dyDescent="0.3">
      <c r="B10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5" spans="2:2" x14ac:dyDescent="0.3">
      <c r="B10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6" spans="2:2" x14ac:dyDescent="0.3">
      <c r="B10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7" spans="2:2" x14ac:dyDescent="0.3">
      <c r="B10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8" spans="2:2" x14ac:dyDescent="0.3">
      <c r="B10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9" spans="2:2" x14ac:dyDescent="0.3">
      <c r="B10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0" spans="2:2" x14ac:dyDescent="0.3">
      <c r="B10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1" spans="2:2" x14ac:dyDescent="0.3">
      <c r="B10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2" spans="2:2" x14ac:dyDescent="0.3">
      <c r="B10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3" spans="2:2" x14ac:dyDescent="0.3">
      <c r="B10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4" spans="2:2" x14ac:dyDescent="0.3">
      <c r="B10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5" spans="2:2" x14ac:dyDescent="0.3">
      <c r="B10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6" spans="2:2" x14ac:dyDescent="0.3">
      <c r="B10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7" spans="2:2" x14ac:dyDescent="0.3">
      <c r="B10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8" spans="2:2" x14ac:dyDescent="0.3">
      <c r="B10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9" spans="2:2" x14ac:dyDescent="0.3">
      <c r="B10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0" spans="2:2" x14ac:dyDescent="0.3">
      <c r="B10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1" spans="2:2" x14ac:dyDescent="0.3">
      <c r="B10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2" spans="2:2" x14ac:dyDescent="0.3">
      <c r="B10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3" spans="2:2" x14ac:dyDescent="0.3">
      <c r="B10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4" spans="2:2" x14ac:dyDescent="0.3">
      <c r="B10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5" spans="2:2" x14ac:dyDescent="0.3">
      <c r="B10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6" spans="2:2" x14ac:dyDescent="0.3">
      <c r="B10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7" spans="2:2" x14ac:dyDescent="0.3">
      <c r="B10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8" spans="2:2" x14ac:dyDescent="0.3">
      <c r="B10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9" spans="2:2" x14ac:dyDescent="0.3">
      <c r="B10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0" spans="2:2" x14ac:dyDescent="0.3">
      <c r="B10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1" spans="2:2" x14ac:dyDescent="0.3">
      <c r="B10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2" spans="2:2" x14ac:dyDescent="0.3">
      <c r="B10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3" spans="2:2" x14ac:dyDescent="0.3">
      <c r="B10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4" spans="2:2" x14ac:dyDescent="0.3">
      <c r="B10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5" spans="2:2" x14ac:dyDescent="0.3">
      <c r="B10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6" spans="2:2" x14ac:dyDescent="0.3">
      <c r="B10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7" spans="2:2" x14ac:dyDescent="0.3">
      <c r="B10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8" spans="2:2" x14ac:dyDescent="0.3">
      <c r="B10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9" spans="2:2" x14ac:dyDescent="0.3">
      <c r="B10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0" spans="2:2" x14ac:dyDescent="0.3">
      <c r="B10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1" spans="2:2" x14ac:dyDescent="0.3">
      <c r="B10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2" spans="2:2" x14ac:dyDescent="0.3">
      <c r="B10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3" spans="2:2" x14ac:dyDescent="0.3">
      <c r="B10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4" spans="2:2" x14ac:dyDescent="0.3">
      <c r="B10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5" spans="2:2" x14ac:dyDescent="0.3">
      <c r="B10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6" spans="2:2" x14ac:dyDescent="0.3">
      <c r="B10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7" spans="2:2" x14ac:dyDescent="0.3">
      <c r="B10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8" spans="2:2" x14ac:dyDescent="0.3">
      <c r="B10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9" spans="2:2" x14ac:dyDescent="0.3">
      <c r="B10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0" spans="2:2" x14ac:dyDescent="0.3">
      <c r="B10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1" spans="2:2" x14ac:dyDescent="0.3">
      <c r="B10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2" spans="2:2" x14ac:dyDescent="0.3">
      <c r="B10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3" spans="2:2" x14ac:dyDescent="0.3">
      <c r="B10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4" spans="2:2" x14ac:dyDescent="0.3">
      <c r="B10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5" spans="2:2" x14ac:dyDescent="0.3">
      <c r="B10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6" spans="2:2" x14ac:dyDescent="0.3">
      <c r="B10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7" spans="2:2" x14ac:dyDescent="0.3">
      <c r="B10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8" spans="2:2" x14ac:dyDescent="0.3">
      <c r="B10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9" spans="2:2" x14ac:dyDescent="0.3">
      <c r="B10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0" spans="2:2" x14ac:dyDescent="0.3">
      <c r="B10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1" spans="2:2" x14ac:dyDescent="0.3">
      <c r="B10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2" spans="2:2" x14ac:dyDescent="0.3">
      <c r="B10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3" spans="2:2" x14ac:dyDescent="0.3">
      <c r="B10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4" spans="2:2" x14ac:dyDescent="0.3">
      <c r="B10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5" spans="2:2" x14ac:dyDescent="0.3">
      <c r="B10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6" spans="2:2" x14ac:dyDescent="0.3">
      <c r="B10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7" spans="2:2" x14ac:dyDescent="0.3">
      <c r="B10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8" spans="2:2" x14ac:dyDescent="0.3">
      <c r="B10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9" spans="2:2" x14ac:dyDescent="0.3">
      <c r="B10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0" spans="2:2" x14ac:dyDescent="0.3">
      <c r="B10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1" spans="2:2" x14ac:dyDescent="0.3">
      <c r="B10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2" spans="2:2" x14ac:dyDescent="0.3">
      <c r="B10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3" spans="2:2" x14ac:dyDescent="0.3">
      <c r="B10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4" spans="2:2" x14ac:dyDescent="0.3">
      <c r="B10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5" spans="2:2" x14ac:dyDescent="0.3">
      <c r="B10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6" spans="2:2" x14ac:dyDescent="0.3">
      <c r="B10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7" spans="2:2" x14ac:dyDescent="0.3">
      <c r="B10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8" spans="2:2" x14ac:dyDescent="0.3">
      <c r="B10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9" spans="2:2" x14ac:dyDescent="0.3">
      <c r="B10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0" spans="2:2" x14ac:dyDescent="0.3">
      <c r="B11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1" spans="2:2" x14ac:dyDescent="0.3">
      <c r="B11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2" spans="2:2" x14ac:dyDescent="0.3">
      <c r="B11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3" spans="2:2" x14ac:dyDescent="0.3">
      <c r="B11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4" spans="2:2" x14ac:dyDescent="0.3">
      <c r="B11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5" spans="2:2" x14ac:dyDescent="0.3">
      <c r="B11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6" spans="2:2" x14ac:dyDescent="0.3">
      <c r="B11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7" spans="2:2" x14ac:dyDescent="0.3">
      <c r="B11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8" spans="2:2" x14ac:dyDescent="0.3">
      <c r="B11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9" spans="2:2" x14ac:dyDescent="0.3">
      <c r="B11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0" spans="2:2" x14ac:dyDescent="0.3">
      <c r="B11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1" spans="2:2" x14ac:dyDescent="0.3">
      <c r="B11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2" spans="2:2" x14ac:dyDescent="0.3">
      <c r="B11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3" spans="2:2" x14ac:dyDescent="0.3">
      <c r="B11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4" spans="2:2" x14ac:dyDescent="0.3">
      <c r="B11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5" spans="2:2" x14ac:dyDescent="0.3">
      <c r="B11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6" spans="2:2" x14ac:dyDescent="0.3">
      <c r="B11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7" spans="2:2" x14ac:dyDescent="0.3">
      <c r="B11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8" spans="2:2" x14ac:dyDescent="0.3">
      <c r="B11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9" spans="2:2" x14ac:dyDescent="0.3">
      <c r="B11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0" spans="2:2" x14ac:dyDescent="0.3">
      <c r="B11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1" spans="2:2" x14ac:dyDescent="0.3">
      <c r="B11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2" spans="2:2" x14ac:dyDescent="0.3">
      <c r="B11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3" spans="2:2" x14ac:dyDescent="0.3">
      <c r="B11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4" spans="2:2" x14ac:dyDescent="0.3">
      <c r="B11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5" spans="2:2" x14ac:dyDescent="0.3">
      <c r="B11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6" spans="2:2" x14ac:dyDescent="0.3">
      <c r="B11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7" spans="2:2" x14ac:dyDescent="0.3">
      <c r="B11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8" spans="2:2" x14ac:dyDescent="0.3">
      <c r="B11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9" spans="2:2" x14ac:dyDescent="0.3">
      <c r="B11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0" spans="2:2" x14ac:dyDescent="0.3">
      <c r="B11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1" spans="2:2" x14ac:dyDescent="0.3">
      <c r="B11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2" spans="2:2" x14ac:dyDescent="0.3">
      <c r="B11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3" spans="2:2" x14ac:dyDescent="0.3">
      <c r="B11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4" spans="2:2" x14ac:dyDescent="0.3">
      <c r="B11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5" spans="2:2" x14ac:dyDescent="0.3">
      <c r="B11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6" spans="2:2" x14ac:dyDescent="0.3">
      <c r="B11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7" spans="2:2" x14ac:dyDescent="0.3">
      <c r="B11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8" spans="2:2" x14ac:dyDescent="0.3">
      <c r="B11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9" spans="2:2" x14ac:dyDescent="0.3">
      <c r="B11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0" spans="2:2" x14ac:dyDescent="0.3">
      <c r="B11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1" spans="2:2" x14ac:dyDescent="0.3">
      <c r="B11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2" spans="2:2" x14ac:dyDescent="0.3">
      <c r="B11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3" spans="2:2" x14ac:dyDescent="0.3">
      <c r="B11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4" spans="2:2" x14ac:dyDescent="0.3">
      <c r="B11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5" spans="2:2" x14ac:dyDescent="0.3">
      <c r="B11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6" spans="2:2" x14ac:dyDescent="0.3">
      <c r="B11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7" spans="2:2" x14ac:dyDescent="0.3">
      <c r="B11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8" spans="2:2" x14ac:dyDescent="0.3">
      <c r="B11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9" spans="2:2" x14ac:dyDescent="0.3">
      <c r="B11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0" spans="2:2" x14ac:dyDescent="0.3">
      <c r="B11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1" spans="2:2" x14ac:dyDescent="0.3">
      <c r="B11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2" spans="2:2" x14ac:dyDescent="0.3">
      <c r="B11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3" spans="2:2" x14ac:dyDescent="0.3">
      <c r="B11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4" spans="2:2" x14ac:dyDescent="0.3">
      <c r="B11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5" spans="2:2" x14ac:dyDescent="0.3">
      <c r="B11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6" spans="2:2" x14ac:dyDescent="0.3">
      <c r="B11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7" spans="2:2" x14ac:dyDescent="0.3">
      <c r="B11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8" spans="2:2" x14ac:dyDescent="0.3">
      <c r="B11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9" spans="2:2" x14ac:dyDescent="0.3">
      <c r="B11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0" spans="2:2" x14ac:dyDescent="0.3">
      <c r="B11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1" spans="2:2" x14ac:dyDescent="0.3">
      <c r="B11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2" spans="2:2" x14ac:dyDescent="0.3">
      <c r="B11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3" spans="2:2" x14ac:dyDescent="0.3">
      <c r="B11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4" spans="2:2" x14ac:dyDescent="0.3">
      <c r="B11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5" spans="2:2" x14ac:dyDescent="0.3">
      <c r="B11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6" spans="2:2" x14ac:dyDescent="0.3">
      <c r="B11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7" spans="2:2" x14ac:dyDescent="0.3">
      <c r="B11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8" spans="2:2" x14ac:dyDescent="0.3">
      <c r="B11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9" spans="2:2" x14ac:dyDescent="0.3">
      <c r="B11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0" spans="2:2" x14ac:dyDescent="0.3">
      <c r="B11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1" spans="2:2" x14ac:dyDescent="0.3">
      <c r="B11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2" spans="2:2" x14ac:dyDescent="0.3">
      <c r="B11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3" spans="2:2" x14ac:dyDescent="0.3">
      <c r="B11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4" spans="2:2" x14ac:dyDescent="0.3">
      <c r="B11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5" spans="2:2" x14ac:dyDescent="0.3">
      <c r="B11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6" spans="2:2" x14ac:dyDescent="0.3">
      <c r="B11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7" spans="2:2" x14ac:dyDescent="0.3">
      <c r="B11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8" spans="2:2" x14ac:dyDescent="0.3">
      <c r="B11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9" spans="2:2" x14ac:dyDescent="0.3">
      <c r="B11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0" spans="2:2" x14ac:dyDescent="0.3">
      <c r="B11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1" spans="2:2" x14ac:dyDescent="0.3">
      <c r="B11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2" spans="2:2" x14ac:dyDescent="0.3">
      <c r="B11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3" spans="2:2" x14ac:dyDescent="0.3">
      <c r="B11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4" spans="2:2" x14ac:dyDescent="0.3">
      <c r="B11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5" spans="2:2" x14ac:dyDescent="0.3">
      <c r="B11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6" spans="2:2" x14ac:dyDescent="0.3">
      <c r="B11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7" spans="2:2" x14ac:dyDescent="0.3">
      <c r="B11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8" spans="2:2" x14ac:dyDescent="0.3">
      <c r="B11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9" spans="2:2" x14ac:dyDescent="0.3">
      <c r="B11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0" spans="2:2" x14ac:dyDescent="0.3">
      <c r="B11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1" spans="2:2" x14ac:dyDescent="0.3">
      <c r="B11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2" spans="2:2" x14ac:dyDescent="0.3">
      <c r="B11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3" spans="2:2" x14ac:dyDescent="0.3">
      <c r="B11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4" spans="2:2" x14ac:dyDescent="0.3">
      <c r="B11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5" spans="2:2" x14ac:dyDescent="0.3">
      <c r="B11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6" spans="2:2" x14ac:dyDescent="0.3">
      <c r="B11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7" spans="2:2" x14ac:dyDescent="0.3">
      <c r="B11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8" spans="2:2" x14ac:dyDescent="0.3">
      <c r="B11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9" spans="2:2" x14ac:dyDescent="0.3">
      <c r="B11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0" spans="2:2" x14ac:dyDescent="0.3">
      <c r="B12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1" spans="2:2" x14ac:dyDescent="0.3">
      <c r="B12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2" spans="2:2" x14ac:dyDescent="0.3">
      <c r="B12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3" spans="2:2" x14ac:dyDescent="0.3">
      <c r="B12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4" spans="2:2" x14ac:dyDescent="0.3">
      <c r="B12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5" spans="2:2" x14ac:dyDescent="0.3">
      <c r="B12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6" spans="2:2" x14ac:dyDescent="0.3">
      <c r="B12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7" spans="2:2" x14ac:dyDescent="0.3">
      <c r="B12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8" spans="2:2" x14ac:dyDescent="0.3">
      <c r="B12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9" spans="2:2" x14ac:dyDescent="0.3">
      <c r="B12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0" spans="2:2" x14ac:dyDescent="0.3">
      <c r="B12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1" spans="2:2" x14ac:dyDescent="0.3">
      <c r="B12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2" spans="2:2" x14ac:dyDescent="0.3">
      <c r="B12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3" spans="2:2" x14ac:dyDescent="0.3">
      <c r="B12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4" spans="2:2" x14ac:dyDescent="0.3">
      <c r="B12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5" spans="2:2" x14ac:dyDescent="0.3">
      <c r="B12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6" spans="2:2" x14ac:dyDescent="0.3">
      <c r="B12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7" spans="2:2" x14ac:dyDescent="0.3">
      <c r="B12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8" spans="2:2" x14ac:dyDescent="0.3">
      <c r="B12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9" spans="2:2" x14ac:dyDescent="0.3">
      <c r="B12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0" spans="2:2" x14ac:dyDescent="0.3">
      <c r="B12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1" spans="2:2" x14ac:dyDescent="0.3">
      <c r="B12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2" spans="2:2" x14ac:dyDescent="0.3">
      <c r="B12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3" spans="2:2" x14ac:dyDescent="0.3">
      <c r="B12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4" spans="2:2" x14ac:dyDescent="0.3">
      <c r="B12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5" spans="2:2" x14ac:dyDescent="0.3">
      <c r="B12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6" spans="2:2" x14ac:dyDescent="0.3">
      <c r="B12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7" spans="2:2" x14ac:dyDescent="0.3">
      <c r="B12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8" spans="2:2" x14ac:dyDescent="0.3">
      <c r="B12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9" spans="2:2" x14ac:dyDescent="0.3">
      <c r="B12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0" spans="2:2" x14ac:dyDescent="0.3">
      <c r="B12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1" spans="2:2" x14ac:dyDescent="0.3">
      <c r="B12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2" spans="2:2" x14ac:dyDescent="0.3">
      <c r="B12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3" spans="2:2" x14ac:dyDescent="0.3">
      <c r="B12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4" spans="2:2" x14ac:dyDescent="0.3">
      <c r="B12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5" spans="2:2" x14ac:dyDescent="0.3">
      <c r="B12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6" spans="2:2" x14ac:dyDescent="0.3">
      <c r="B12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7" spans="2:2" x14ac:dyDescent="0.3">
      <c r="B12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8" spans="2:2" x14ac:dyDescent="0.3">
      <c r="B12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9" spans="2:2" x14ac:dyDescent="0.3">
      <c r="B12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0" spans="2:2" x14ac:dyDescent="0.3">
      <c r="B12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1" spans="2:2" x14ac:dyDescent="0.3">
      <c r="B12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2" spans="2:2" x14ac:dyDescent="0.3">
      <c r="B12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3" spans="2:2" x14ac:dyDescent="0.3">
      <c r="B12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4" spans="2:2" x14ac:dyDescent="0.3">
      <c r="B12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5" spans="2:2" x14ac:dyDescent="0.3">
      <c r="B12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6" spans="2:2" x14ac:dyDescent="0.3">
      <c r="B12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7" spans="2:2" x14ac:dyDescent="0.3">
      <c r="B12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8" spans="2:2" x14ac:dyDescent="0.3">
      <c r="B12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9" spans="2:2" x14ac:dyDescent="0.3">
      <c r="B12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0" spans="2:2" x14ac:dyDescent="0.3">
      <c r="B12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1" spans="2:2" x14ac:dyDescent="0.3">
      <c r="B12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2" spans="2:2" x14ac:dyDescent="0.3">
      <c r="B12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3" spans="2:2" x14ac:dyDescent="0.3">
      <c r="B12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4" spans="2:2" x14ac:dyDescent="0.3">
      <c r="B12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5" spans="2:2" x14ac:dyDescent="0.3">
      <c r="B12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6" spans="2:2" x14ac:dyDescent="0.3">
      <c r="B12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7" spans="2:2" x14ac:dyDescent="0.3">
      <c r="B12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8" spans="2:2" x14ac:dyDescent="0.3">
      <c r="B12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9" spans="2:2" x14ac:dyDescent="0.3">
      <c r="B12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0" spans="2:2" x14ac:dyDescent="0.3">
      <c r="B12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1" spans="2:2" x14ac:dyDescent="0.3">
      <c r="B12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2" spans="2:2" x14ac:dyDescent="0.3">
      <c r="B12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3" spans="2:2" x14ac:dyDescent="0.3">
      <c r="B12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4" spans="2:2" x14ac:dyDescent="0.3">
      <c r="B12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5" spans="2:2" x14ac:dyDescent="0.3">
      <c r="B12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6" spans="2:2" x14ac:dyDescent="0.3">
      <c r="B12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7" spans="2:2" x14ac:dyDescent="0.3">
      <c r="B12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8" spans="2:2" x14ac:dyDescent="0.3">
      <c r="B12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9" spans="2:2" x14ac:dyDescent="0.3">
      <c r="B12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0" spans="2:2" x14ac:dyDescent="0.3">
      <c r="B12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1" spans="2:2" x14ac:dyDescent="0.3">
      <c r="B12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2" spans="2:2" x14ac:dyDescent="0.3">
      <c r="B12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3" spans="2:2" x14ac:dyDescent="0.3">
      <c r="B12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4" spans="2:2" x14ac:dyDescent="0.3">
      <c r="B12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5" spans="2:2" x14ac:dyDescent="0.3">
      <c r="B12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6" spans="2:2" x14ac:dyDescent="0.3">
      <c r="B12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7" spans="2:2" x14ac:dyDescent="0.3">
      <c r="B12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8" spans="2:2" x14ac:dyDescent="0.3">
      <c r="B12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9" spans="2:2" x14ac:dyDescent="0.3">
      <c r="B12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0" spans="2:2" x14ac:dyDescent="0.3">
      <c r="B12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1" spans="2:2" x14ac:dyDescent="0.3">
      <c r="B12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2" spans="2:2" x14ac:dyDescent="0.3">
      <c r="B12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3" spans="2:2" x14ac:dyDescent="0.3">
      <c r="B12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4" spans="2:2" x14ac:dyDescent="0.3">
      <c r="B12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5" spans="2:2" x14ac:dyDescent="0.3">
      <c r="B12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6" spans="2:2" x14ac:dyDescent="0.3">
      <c r="B12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7" spans="2:2" x14ac:dyDescent="0.3">
      <c r="B12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8" spans="2:2" x14ac:dyDescent="0.3">
      <c r="B12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9" spans="2:2" x14ac:dyDescent="0.3">
      <c r="B12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0" spans="2:2" x14ac:dyDescent="0.3">
      <c r="B12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1" spans="2:2" x14ac:dyDescent="0.3">
      <c r="B12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2" spans="2:2" x14ac:dyDescent="0.3">
      <c r="B12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3" spans="2:2" x14ac:dyDescent="0.3">
      <c r="B12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4" spans="2:2" x14ac:dyDescent="0.3">
      <c r="B12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5" spans="2:2" x14ac:dyDescent="0.3">
      <c r="B12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6" spans="2:2" x14ac:dyDescent="0.3">
      <c r="B12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7" spans="2:2" x14ac:dyDescent="0.3">
      <c r="B12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8" spans="2:2" x14ac:dyDescent="0.3">
      <c r="B12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9" spans="2:2" x14ac:dyDescent="0.3">
      <c r="B12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0" spans="2:2" x14ac:dyDescent="0.3">
      <c r="B13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1" spans="2:2" x14ac:dyDescent="0.3">
      <c r="B13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2" spans="2:2" x14ac:dyDescent="0.3">
      <c r="B13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3" spans="2:2" x14ac:dyDescent="0.3">
      <c r="B13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4" spans="2:2" x14ac:dyDescent="0.3">
      <c r="B13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5" spans="2:2" x14ac:dyDescent="0.3">
      <c r="B13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6" spans="2:2" x14ac:dyDescent="0.3">
      <c r="B13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7" spans="2:2" x14ac:dyDescent="0.3">
      <c r="B13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8" spans="2:2" x14ac:dyDescent="0.3">
      <c r="B13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9" spans="2:2" x14ac:dyDescent="0.3">
      <c r="B13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0" spans="2:2" x14ac:dyDescent="0.3">
      <c r="B13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1" spans="2:2" x14ac:dyDescent="0.3">
      <c r="B13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2" spans="2:2" x14ac:dyDescent="0.3">
      <c r="B13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3" spans="2:2" x14ac:dyDescent="0.3">
      <c r="B13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4" spans="2:2" x14ac:dyDescent="0.3">
      <c r="B13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5" spans="2:2" x14ac:dyDescent="0.3">
      <c r="B13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6" spans="2:2" x14ac:dyDescent="0.3">
      <c r="B13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7" spans="2:2" x14ac:dyDescent="0.3">
      <c r="B13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8" spans="2:2" x14ac:dyDescent="0.3">
      <c r="B13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9" spans="2:2" x14ac:dyDescent="0.3">
      <c r="B13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0" spans="2:2" x14ac:dyDescent="0.3">
      <c r="B13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1" spans="2:2" x14ac:dyDescent="0.3">
      <c r="B13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2" spans="2:2" x14ac:dyDescent="0.3">
      <c r="B13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3" spans="2:2" x14ac:dyDescent="0.3">
      <c r="B13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4" spans="2:2" x14ac:dyDescent="0.3">
      <c r="B13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5" spans="2:2" x14ac:dyDescent="0.3">
      <c r="B13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6" spans="2:2" x14ac:dyDescent="0.3">
      <c r="B13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7" spans="2:2" x14ac:dyDescent="0.3">
      <c r="B13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8" spans="2:2" x14ac:dyDescent="0.3">
      <c r="B13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9" spans="2:2" x14ac:dyDescent="0.3">
      <c r="B13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0" spans="2:2" x14ac:dyDescent="0.3">
      <c r="B13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1" spans="2:2" x14ac:dyDescent="0.3">
      <c r="B13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2" spans="2:2" x14ac:dyDescent="0.3">
      <c r="B13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3" spans="2:2" x14ac:dyDescent="0.3">
      <c r="B13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4" spans="2:2" x14ac:dyDescent="0.3">
      <c r="B13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5" spans="2:2" x14ac:dyDescent="0.3">
      <c r="B13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6" spans="2:2" x14ac:dyDescent="0.3">
      <c r="B13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7" spans="2:2" x14ac:dyDescent="0.3">
      <c r="B13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8" spans="2:2" x14ac:dyDescent="0.3">
      <c r="B13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9" spans="2:2" x14ac:dyDescent="0.3">
      <c r="B13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0" spans="2:2" x14ac:dyDescent="0.3">
      <c r="B13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1" spans="2:2" x14ac:dyDescent="0.3">
      <c r="B13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2" spans="2:2" x14ac:dyDescent="0.3">
      <c r="B13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3" spans="2:2" x14ac:dyDescent="0.3">
      <c r="B13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4" spans="2:2" x14ac:dyDescent="0.3">
      <c r="B13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5" spans="2:2" x14ac:dyDescent="0.3">
      <c r="B13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6" spans="2:2" x14ac:dyDescent="0.3">
      <c r="B13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7" spans="2:2" x14ac:dyDescent="0.3">
      <c r="B13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8" spans="2:2" x14ac:dyDescent="0.3">
      <c r="B13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9" spans="2:2" x14ac:dyDescent="0.3">
      <c r="B13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0" spans="2:2" x14ac:dyDescent="0.3">
      <c r="B13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1" spans="2:2" x14ac:dyDescent="0.3">
      <c r="B13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2" spans="2:2" x14ac:dyDescent="0.3">
      <c r="B13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3" spans="2:2" x14ac:dyDescent="0.3">
      <c r="B13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4" spans="2:2" x14ac:dyDescent="0.3">
      <c r="B13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5" spans="2:2" x14ac:dyDescent="0.3">
      <c r="B13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6" spans="2:2" x14ac:dyDescent="0.3">
      <c r="B13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7" spans="2:2" x14ac:dyDescent="0.3">
      <c r="B13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8" spans="2:2" x14ac:dyDescent="0.3">
      <c r="B13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9" spans="2:2" x14ac:dyDescent="0.3">
      <c r="B13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0" spans="2:2" x14ac:dyDescent="0.3">
      <c r="B13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1" spans="2:2" x14ac:dyDescent="0.3">
      <c r="B13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2" spans="2:2" x14ac:dyDescent="0.3">
      <c r="B13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3" spans="2:2" x14ac:dyDescent="0.3">
      <c r="B13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4" spans="2:2" x14ac:dyDescent="0.3">
      <c r="B13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5" spans="2:2" x14ac:dyDescent="0.3">
      <c r="B13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6" spans="2:2" x14ac:dyDescent="0.3">
      <c r="B13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7" spans="2:2" x14ac:dyDescent="0.3">
      <c r="B13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8" spans="2:2" x14ac:dyDescent="0.3">
      <c r="B13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9" spans="2:2" x14ac:dyDescent="0.3">
      <c r="B13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0" spans="2:2" x14ac:dyDescent="0.3">
      <c r="B13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1" spans="2:2" x14ac:dyDescent="0.3">
      <c r="B13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2" spans="2:2" x14ac:dyDescent="0.3">
      <c r="B13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3" spans="2:2" x14ac:dyDescent="0.3">
      <c r="B13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4" spans="2:2" x14ac:dyDescent="0.3">
      <c r="B13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5" spans="2:2" x14ac:dyDescent="0.3">
      <c r="B13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6" spans="2:2" x14ac:dyDescent="0.3">
      <c r="B13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7" spans="2:2" x14ac:dyDescent="0.3">
      <c r="B13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8" spans="2:2" x14ac:dyDescent="0.3">
      <c r="B13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9" spans="2:2" x14ac:dyDescent="0.3">
      <c r="B13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0" spans="2:2" x14ac:dyDescent="0.3">
      <c r="B13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1" spans="2:2" x14ac:dyDescent="0.3">
      <c r="B13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2" spans="2:2" x14ac:dyDescent="0.3">
      <c r="B13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3" spans="2:2" x14ac:dyDescent="0.3">
      <c r="B13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4" spans="2:2" x14ac:dyDescent="0.3">
      <c r="B13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5" spans="2:2" x14ac:dyDescent="0.3">
      <c r="B13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6" spans="2:2" x14ac:dyDescent="0.3">
      <c r="B13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7" spans="2:2" x14ac:dyDescent="0.3">
      <c r="B13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8" spans="2:2" x14ac:dyDescent="0.3">
      <c r="B13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9" spans="2:2" x14ac:dyDescent="0.3">
      <c r="B13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0" spans="2:2" x14ac:dyDescent="0.3">
      <c r="B13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1" spans="2:2" x14ac:dyDescent="0.3">
      <c r="B13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2" spans="2:2" x14ac:dyDescent="0.3">
      <c r="B13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3" spans="2:2" x14ac:dyDescent="0.3">
      <c r="B13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4" spans="2:2" x14ac:dyDescent="0.3">
      <c r="B13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5" spans="2:2" x14ac:dyDescent="0.3">
      <c r="B13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6" spans="2:2" x14ac:dyDescent="0.3">
      <c r="B13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7" spans="2:2" x14ac:dyDescent="0.3">
      <c r="B13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8" spans="2:2" x14ac:dyDescent="0.3">
      <c r="B13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9" spans="2:2" x14ac:dyDescent="0.3">
      <c r="B13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0" spans="2:2" x14ac:dyDescent="0.3">
      <c r="B14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1" spans="2:2" x14ac:dyDescent="0.3">
      <c r="B14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2" spans="2:2" x14ac:dyDescent="0.3">
      <c r="B14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3" spans="2:2" x14ac:dyDescent="0.3">
      <c r="B14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4" spans="2:2" x14ac:dyDescent="0.3">
      <c r="B14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5" spans="2:2" x14ac:dyDescent="0.3">
      <c r="B14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6" spans="2:2" x14ac:dyDescent="0.3">
      <c r="B14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7" spans="2:2" x14ac:dyDescent="0.3">
      <c r="B14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8" spans="2:2" x14ac:dyDescent="0.3">
      <c r="B14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9" spans="2:2" x14ac:dyDescent="0.3">
      <c r="B14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0" spans="2:2" x14ac:dyDescent="0.3">
      <c r="B14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1" spans="2:2" x14ac:dyDescent="0.3">
      <c r="B14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2" spans="2:2" x14ac:dyDescent="0.3">
      <c r="B14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3" spans="2:2" x14ac:dyDescent="0.3">
      <c r="B14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4" spans="2:2" x14ac:dyDescent="0.3">
      <c r="B14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5" spans="2:2" x14ac:dyDescent="0.3">
      <c r="B14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6" spans="2:2" x14ac:dyDescent="0.3">
      <c r="B14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7" spans="2:2" x14ac:dyDescent="0.3">
      <c r="B14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8" spans="2:2" x14ac:dyDescent="0.3">
      <c r="B14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9" spans="2:2" x14ac:dyDescent="0.3">
      <c r="B14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0" spans="2:2" x14ac:dyDescent="0.3">
      <c r="B14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1" spans="2:2" x14ac:dyDescent="0.3">
      <c r="B14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2" spans="2:2" x14ac:dyDescent="0.3">
      <c r="B14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3" spans="2:2" x14ac:dyDescent="0.3">
      <c r="B14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4" spans="2:2" x14ac:dyDescent="0.3">
      <c r="B14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5" spans="2:2" x14ac:dyDescent="0.3">
      <c r="B14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6" spans="2:2" x14ac:dyDescent="0.3">
      <c r="B14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7" spans="2:2" x14ac:dyDescent="0.3">
      <c r="B14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8" spans="2:2" x14ac:dyDescent="0.3">
      <c r="B14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9" spans="2:2" x14ac:dyDescent="0.3">
      <c r="B14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0" spans="2:2" x14ac:dyDescent="0.3">
      <c r="B14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1" spans="2:2" x14ac:dyDescent="0.3">
      <c r="B14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2" spans="2:2" x14ac:dyDescent="0.3">
      <c r="B14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3" spans="2:2" x14ac:dyDescent="0.3">
      <c r="B14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4" spans="2:2" x14ac:dyDescent="0.3">
      <c r="B14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5" spans="2:2" x14ac:dyDescent="0.3">
      <c r="B14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6" spans="2:2" x14ac:dyDescent="0.3">
      <c r="B14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7" spans="2:2" x14ac:dyDescent="0.3">
      <c r="B14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8" spans="2:2" x14ac:dyDescent="0.3">
      <c r="B14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9" spans="2:2" x14ac:dyDescent="0.3">
      <c r="B14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0" spans="2:2" x14ac:dyDescent="0.3">
      <c r="B14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1" spans="2:2" x14ac:dyDescent="0.3">
      <c r="B14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2" spans="2:2" x14ac:dyDescent="0.3">
      <c r="B14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3" spans="2:2" x14ac:dyDescent="0.3">
      <c r="B14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4" spans="2:2" x14ac:dyDescent="0.3">
      <c r="B14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5" spans="2:2" x14ac:dyDescent="0.3">
      <c r="B14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6" spans="2:2" x14ac:dyDescent="0.3">
      <c r="B14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7" spans="2:2" x14ac:dyDescent="0.3">
      <c r="B14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8" spans="2:2" x14ac:dyDescent="0.3">
      <c r="B14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9" spans="2:2" x14ac:dyDescent="0.3">
      <c r="B14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0" spans="2:2" x14ac:dyDescent="0.3">
      <c r="B14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1" spans="2:2" x14ac:dyDescent="0.3">
      <c r="B14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2" spans="2:2" x14ac:dyDescent="0.3">
      <c r="B14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3" spans="2:2" x14ac:dyDescent="0.3">
      <c r="B14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4" spans="2:2" x14ac:dyDescent="0.3">
      <c r="B14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5" spans="2:2" x14ac:dyDescent="0.3">
      <c r="B14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6" spans="2:2" x14ac:dyDescent="0.3">
      <c r="B14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7" spans="2:2" x14ac:dyDescent="0.3">
      <c r="B14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8" spans="2:2" x14ac:dyDescent="0.3">
      <c r="B14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9" spans="2:2" x14ac:dyDescent="0.3">
      <c r="B14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0" spans="2:2" x14ac:dyDescent="0.3">
      <c r="B14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1" spans="2:2" x14ac:dyDescent="0.3">
      <c r="B14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2" spans="2:2" x14ac:dyDescent="0.3">
      <c r="B14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3" spans="2:2" x14ac:dyDescent="0.3">
      <c r="B14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4" spans="2:2" x14ac:dyDescent="0.3">
      <c r="B14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5" spans="2:2" x14ac:dyDescent="0.3">
      <c r="B14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6" spans="2:2" x14ac:dyDescent="0.3">
      <c r="B14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7" spans="2:2" x14ac:dyDescent="0.3">
      <c r="B14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8" spans="2:2" x14ac:dyDescent="0.3">
      <c r="B14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9" spans="2:2" x14ac:dyDescent="0.3">
      <c r="B14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0" spans="2:2" x14ac:dyDescent="0.3">
      <c r="B14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1" spans="2:2" x14ac:dyDescent="0.3">
      <c r="B14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2" spans="2:2" x14ac:dyDescent="0.3">
      <c r="B14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3" spans="2:2" x14ac:dyDescent="0.3">
      <c r="B14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4" spans="2:2" x14ac:dyDescent="0.3">
      <c r="B14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5" spans="2:2" x14ac:dyDescent="0.3">
      <c r="B14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6" spans="2:2" x14ac:dyDescent="0.3">
      <c r="B14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7" spans="2:2" x14ac:dyDescent="0.3">
      <c r="B14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8" spans="2:2" x14ac:dyDescent="0.3">
      <c r="B14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9" spans="2:2" x14ac:dyDescent="0.3">
      <c r="B14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0" spans="2:2" x14ac:dyDescent="0.3">
      <c r="B14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1" spans="2:2" x14ac:dyDescent="0.3">
      <c r="B14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2" spans="2:2" x14ac:dyDescent="0.3">
      <c r="B14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3" spans="2:2" x14ac:dyDescent="0.3">
      <c r="B14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4" spans="2:2" x14ac:dyDescent="0.3">
      <c r="B14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5" spans="2:2" x14ac:dyDescent="0.3">
      <c r="B14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6" spans="2:2" x14ac:dyDescent="0.3">
      <c r="B14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7" spans="2:2" x14ac:dyDescent="0.3">
      <c r="B14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8" spans="2:2" x14ac:dyDescent="0.3">
      <c r="B14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9" spans="2:2" x14ac:dyDescent="0.3">
      <c r="B14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0" spans="2:2" x14ac:dyDescent="0.3">
      <c r="B14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1" spans="2:2" x14ac:dyDescent="0.3">
      <c r="B14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2" spans="2:2" x14ac:dyDescent="0.3">
      <c r="B14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3" spans="2:2" x14ac:dyDescent="0.3">
      <c r="B14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4" spans="2:2" x14ac:dyDescent="0.3">
      <c r="B14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5" spans="2:2" x14ac:dyDescent="0.3">
      <c r="B14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6" spans="2:2" x14ac:dyDescent="0.3">
      <c r="B14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7" spans="2:2" x14ac:dyDescent="0.3">
      <c r="B14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8" spans="2:2" x14ac:dyDescent="0.3">
      <c r="B14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9" spans="2:2" x14ac:dyDescent="0.3">
      <c r="B14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0" spans="2:2" x14ac:dyDescent="0.3">
      <c r="B15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1" spans="2:2" x14ac:dyDescent="0.3">
      <c r="B15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2" spans="2:2" x14ac:dyDescent="0.3">
      <c r="B15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3" spans="2:2" x14ac:dyDescent="0.3">
      <c r="B15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4" spans="2:2" x14ac:dyDescent="0.3">
      <c r="B15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5" spans="2:2" x14ac:dyDescent="0.3">
      <c r="B15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6" spans="2:2" x14ac:dyDescent="0.3">
      <c r="B15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7" spans="2:2" x14ac:dyDescent="0.3">
      <c r="B15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8" spans="2:2" x14ac:dyDescent="0.3">
      <c r="B15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9" spans="2:2" x14ac:dyDescent="0.3">
      <c r="B15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0" spans="2:2" x14ac:dyDescent="0.3">
      <c r="B15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1" spans="2:2" x14ac:dyDescent="0.3">
      <c r="B15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2" spans="2:2" x14ac:dyDescent="0.3">
      <c r="B15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3" spans="2:2" x14ac:dyDescent="0.3">
      <c r="B15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4" spans="2:2" x14ac:dyDescent="0.3">
      <c r="B15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5" spans="2:2" x14ac:dyDescent="0.3">
      <c r="B15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6" spans="2:2" x14ac:dyDescent="0.3">
      <c r="B15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7" spans="2:2" x14ac:dyDescent="0.3">
      <c r="B15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8" spans="2:2" x14ac:dyDescent="0.3">
      <c r="B15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9" spans="2:2" x14ac:dyDescent="0.3">
      <c r="B15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0" spans="2:2" x14ac:dyDescent="0.3">
      <c r="B15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1" spans="2:2" x14ac:dyDescent="0.3">
      <c r="B15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2" spans="2:2" x14ac:dyDescent="0.3">
      <c r="B15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3" spans="2:2" x14ac:dyDescent="0.3">
      <c r="B15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4" spans="2:2" x14ac:dyDescent="0.3">
      <c r="B15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5" spans="2:2" x14ac:dyDescent="0.3">
      <c r="B15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6" spans="2:2" x14ac:dyDescent="0.3">
      <c r="B15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7" spans="2:2" x14ac:dyDescent="0.3">
      <c r="B15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8" spans="2:2" x14ac:dyDescent="0.3">
      <c r="B15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9" spans="2:2" x14ac:dyDescent="0.3">
      <c r="B15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0" spans="2:2" x14ac:dyDescent="0.3">
      <c r="B15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1" spans="2:2" x14ac:dyDescent="0.3">
      <c r="B15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2" spans="2:2" x14ac:dyDescent="0.3">
      <c r="B15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3" spans="2:2" x14ac:dyDescent="0.3">
      <c r="B15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4" spans="2:2" x14ac:dyDescent="0.3">
      <c r="B15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5" spans="2:2" x14ac:dyDescent="0.3">
      <c r="B15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6" spans="2:2" x14ac:dyDescent="0.3">
      <c r="B15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7" spans="2:2" x14ac:dyDescent="0.3">
      <c r="B15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8" spans="2:2" x14ac:dyDescent="0.3">
      <c r="B15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9" spans="2:2" x14ac:dyDescent="0.3">
      <c r="B15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0" spans="2:2" x14ac:dyDescent="0.3">
      <c r="B15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1" spans="2:2" x14ac:dyDescent="0.3">
      <c r="B15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2" spans="2:2" x14ac:dyDescent="0.3">
      <c r="B15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3" spans="2:2" x14ac:dyDescent="0.3">
      <c r="B15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4" spans="2:2" x14ac:dyDescent="0.3">
      <c r="B15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5" spans="2:2" x14ac:dyDescent="0.3">
      <c r="B15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6" spans="2:2" x14ac:dyDescent="0.3">
      <c r="B15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7" spans="2:2" x14ac:dyDescent="0.3">
      <c r="B15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8" spans="2:2" x14ac:dyDescent="0.3">
      <c r="B15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9" spans="2:2" x14ac:dyDescent="0.3">
      <c r="B15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0" spans="2:2" x14ac:dyDescent="0.3">
      <c r="B15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1" spans="2:2" x14ac:dyDescent="0.3">
      <c r="B15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2" spans="2:2" x14ac:dyDescent="0.3">
      <c r="B15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3" spans="2:2" x14ac:dyDescent="0.3">
      <c r="B15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4" spans="2:2" x14ac:dyDescent="0.3">
      <c r="B15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5" spans="2:2" x14ac:dyDescent="0.3">
      <c r="B15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6" spans="2:2" x14ac:dyDescent="0.3">
      <c r="B15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7" spans="2:2" x14ac:dyDescent="0.3">
      <c r="B15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8" spans="2:2" x14ac:dyDescent="0.3">
      <c r="B15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9" spans="2:2" x14ac:dyDescent="0.3">
      <c r="B15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0" spans="2:2" x14ac:dyDescent="0.3">
      <c r="B15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1" spans="2:2" x14ac:dyDescent="0.3">
      <c r="B15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2" spans="2:2" x14ac:dyDescent="0.3">
      <c r="B15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3" spans="2:2" x14ac:dyDescent="0.3">
      <c r="B15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4" spans="2:2" x14ac:dyDescent="0.3">
      <c r="B15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5" spans="2:2" x14ac:dyDescent="0.3">
      <c r="B15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6" spans="2:2" x14ac:dyDescent="0.3">
      <c r="B15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7" spans="2:2" x14ac:dyDescent="0.3">
      <c r="B15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8" spans="2:2" x14ac:dyDescent="0.3">
      <c r="B15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9" spans="2:2" x14ac:dyDescent="0.3">
      <c r="B15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0" spans="2:2" x14ac:dyDescent="0.3">
      <c r="B15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1" spans="2:2" x14ac:dyDescent="0.3">
      <c r="B15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2" spans="2:2" x14ac:dyDescent="0.3">
      <c r="B15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3" spans="2:2" x14ac:dyDescent="0.3">
      <c r="B15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4" spans="2:2" x14ac:dyDescent="0.3">
      <c r="B15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5" spans="2:2" x14ac:dyDescent="0.3">
      <c r="B15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6" spans="2:2" x14ac:dyDescent="0.3">
      <c r="B15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7" spans="2:2" x14ac:dyDescent="0.3">
      <c r="B15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8" spans="2:2" x14ac:dyDescent="0.3">
      <c r="B15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9" spans="2:2" x14ac:dyDescent="0.3">
      <c r="B15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0" spans="2:2" x14ac:dyDescent="0.3">
      <c r="B15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1" spans="2:2" x14ac:dyDescent="0.3">
      <c r="B15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2" spans="2:2" x14ac:dyDescent="0.3">
      <c r="B15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3" spans="2:2" x14ac:dyDescent="0.3">
      <c r="B15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4" spans="2:2" x14ac:dyDescent="0.3">
      <c r="B15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5" spans="2:2" x14ac:dyDescent="0.3">
      <c r="B15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6" spans="2:2" x14ac:dyDescent="0.3">
      <c r="B15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7" spans="2:2" x14ac:dyDescent="0.3">
      <c r="B15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8" spans="2:2" x14ac:dyDescent="0.3">
      <c r="B15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9" spans="2:2" x14ac:dyDescent="0.3">
      <c r="B15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0" spans="2:2" x14ac:dyDescent="0.3">
      <c r="B15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1" spans="2:2" x14ac:dyDescent="0.3">
      <c r="B15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2" spans="2:2" x14ac:dyDescent="0.3">
      <c r="B15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3" spans="2:2" x14ac:dyDescent="0.3">
      <c r="B15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4" spans="2:2" x14ac:dyDescent="0.3">
      <c r="B15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5" spans="2:2" x14ac:dyDescent="0.3">
      <c r="B15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6" spans="2:2" x14ac:dyDescent="0.3">
      <c r="B15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7" spans="2:2" x14ac:dyDescent="0.3">
      <c r="B15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8" spans="2:2" x14ac:dyDescent="0.3">
      <c r="B15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9" spans="2:2" x14ac:dyDescent="0.3">
      <c r="B15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0" spans="2:2" x14ac:dyDescent="0.3">
      <c r="B16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1" spans="2:2" x14ac:dyDescent="0.3">
      <c r="B16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2" spans="2:2" x14ac:dyDescent="0.3">
      <c r="B16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3" spans="2:2" x14ac:dyDescent="0.3">
      <c r="B16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4" spans="2:2" x14ac:dyDescent="0.3">
      <c r="B16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5" spans="2:2" x14ac:dyDescent="0.3">
      <c r="B16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6" spans="2:2" x14ac:dyDescent="0.3">
      <c r="B16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7" spans="2:2" x14ac:dyDescent="0.3">
      <c r="B16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8" spans="2:2" x14ac:dyDescent="0.3">
      <c r="B16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9" spans="2:2" x14ac:dyDescent="0.3">
      <c r="B16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0" spans="2:2" x14ac:dyDescent="0.3">
      <c r="B16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1" spans="2:2" x14ac:dyDescent="0.3">
      <c r="B16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2" spans="2:2" x14ac:dyDescent="0.3">
      <c r="B16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3" spans="2:2" x14ac:dyDescent="0.3">
      <c r="B16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4" spans="2:2" x14ac:dyDescent="0.3">
      <c r="B16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5" spans="2:2" x14ac:dyDescent="0.3">
      <c r="B16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6" spans="2:2" x14ac:dyDescent="0.3">
      <c r="B16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7" spans="2:2" x14ac:dyDescent="0.3">
      <c r="B16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8" spans="2:2" x14ac:dyDescent="0.3">
      <c r="B16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9" spans="2:2" x14ac:dyDescent="0.3">
      <c r="B16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0" spans="2:2" x14ac:dyDescent="0.3">
      <c r="B16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1" spans="2:2" x14ac:dyDescent="0.3">
      <c r="B16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2" spans="2:2" x14ac:dyDescent="0.3">
      <c r="B16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3" spans="2:2" x14ac:dyDescent="0.3">
      <c r="B16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4" spans="2:2" x14ac:dyDescent="0.3">
      <c r="B16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5" spans="2:2" x14ac:dyDescent="0.3">
      <c r="B16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6" spans="2:2" x14ac:dyDescent="0.3">
      <c r="B16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7" spans="2:2" x14ac:dyDescent="0.3">
      <c r="B16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8" spans="2:2" x14ac:dyDescent="0.3">
      <c r="B16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9" spans="2:2" x14ac:dyDescent="0.3">
      <c r="B16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0" spans="2:2" x14ac:dyDescent="0.3">
      <c r="B16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1" spans="2:2" x14ac:dyDescent="0.3">
      <c r="B16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2" spans="2:2" x14ac:dyDescent="0.3">
      <c r="B16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3" spans="2:2" x14ac:dyDescent="0.3">
      <c r="B16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4" spans="2:2" x14ac:dyDescent="0.3">
      <c r="B16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5" spans="2:2" x14ac:dyDescent="0.3">
      <c r="B16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6" spans="2:2" x14ac:dyDescent="0.3">
      <c r="B16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7" spans="2:2" x14ac:dyDescent="0.3">
      <c r="B16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8" spans="2:2" x14ac:dyDescent="0.3">
      <c r="B16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9" spans="2:2" x14ac:dyDescent="0.3">
      <c r="B16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0" spans="2:2" x14ac:dyDescent="0.3">
      <c r="B16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1" spans="2:2" x14ac:dyDescent="0.3">
      <c r="B16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2" spans="2:2" x14ac:dyDescent="0.3">
      <c r="B16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3" spans="2:2" x14ac:dyDescent="0.3">
      <c r="B16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4" spans="2:2" x14ac:dyDescent="0.3">
      <c r="B16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5" spans="2:2" x14ac:dyDescent="0.3">
      <c r="B16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6" spans="2:2" x14ac:dyDescent="0.3">
      <c r="B16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7" spans="2:2" x14ac:dyDescent="0.3">
      <c r="B16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8" spans="2:2" x14ac:dyDescent="0.3">
      <c r="B16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9" spans="2:2" x14ac:dyDescent="0.3">
      <c r="B16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0" spans="2:2" x14ac:dyDescent="0.3">
      <c r="B16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1" spans="2:2" x14ac:dyDescent="0.3">
      <c r="B16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2" spans="2:2" x14ac:dyDescent="0.3">
      <c r="B16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3" spans="2:2" x14ac:dyDescent="0.3">
      <c r="B16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4" spans="2:2" x14ac:dyDescent="0.3">
      <c r="B16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5" spans="2:2" x14ac:dyDescent="0.3">
      <c r="B16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6" spans="2:2" x14ac:dyDescent="0.3">
      <c r="B16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7" spans="2:2" x14ac:dyDescent="0.3">
      <c r="B16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8" spans="2:2" x14ac:dyDescent="0.3">
      <c r="B16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9" spans="2:2" x14ac:dyDescent="0.3">
      <c r="B16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0" spans="2:2" x14ac:dyDescent="0.3">
      <c r="B16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1" spans="2:2" x14ac:dyDescent="0.3">
      <c r="B16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2" spans="2:2" x14ac:dyDescent="0.3">
      <c r="B16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3" spans="2:2" x14ac:dyDescent="0.3">
      <c r="B16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4" spans="2:2" x14ac:dyDescent="0.3">
      <c r="B16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5" spans="2:2" x14ac:dyDescent="0.3">
      <c r="B16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6" spans="2:2" x14ac:dyDescent="0.3">
      <c r="B16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7" spans="2:2" x14ac:dyDescent="0.3">
      <c r="B16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8" spans="2:2" x14ac:dyDescent="0.3">
      <c r="B16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9" spans="2:2" x14ac:dyDescent="0.3">
      <c r="B16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0" spans="2:2" x14ac:dyDescent="0.3">
      <c r="B16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1" spans="2:2" x14ac:dyDescent="0.3">
      <c r="B16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2" spans="2:2" x14ac:dyDescent="0.3">
      <c r="B16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3" spans="2:2" x14ac:dyDescent="0.3">
      <c r="B16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4" spans="2:2" x14ac:dyDescent="0.3">
      <c r="B16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5" spans="2:2" x14ac:dyDescent="0.3">
      <c r="B16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6" spans="2:2" x14ac:dyDescent="0.3">
      <c r="B16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7" spans="2:2" x14ac:dyDescent="0.3">
      <c r="B16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8" spans="2:2" x14ac:dyDescent="0.3">
      <c r="B16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9" spans="2:2" x14ac:dyDescent="0.3">
      <c r="B16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0" spans="2:2" x14ac:dyDescent="0.3">
      <c r="B16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1" spans="2:2" x14ac:dyDescent="0.3">
      <c r="B16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2" spans="2:2" x14ac:dyDescent="0.3">
      <c r="B16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3" spans="2:2" x14ac:dyDescent="0.3">
      <c r="B16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4" spans="2:2" x14ac:dyDescent="0.3">
      <c r="B16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5" spans="2:2" x14ac:dyDescent="0.3">
      <c r="B16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6" spans="2:2" x14ac:dyDescent="0.3">
      <c r="B16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7" spans="2:2" x14ac:dyDescent="0.3">
      <c r="B16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8" spans="2:2" x14ac:dyDescent="0.3">
      <c r="B16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9" spans="2:2" x14ac:dyDescent="0.3">
      <c r="B16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0" spans="2:2" x14ac:dyDescent="0.3">
      <c r="B16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1" spans="2:2" x14ac:dyDescent="0.3">
      <c r="B16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2" spans="2:2" x14ac:dyDescent="0.3">
      <c r="B16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3" spans="2:2" x14ac:dyDescent="0.3">
      <c r="B16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4" spans="2:2" x14ac:dyDescent="0.3">
      <c r="B16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5" spans="2:2" x14ac:dyDescent="0.3">
      <c r="B16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6" spans="2:2" x14ac:dyDescent="0.3">
      <c r="B16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7" spans="2:2" x14ac:dyDescent="0.3">
      <c r="B16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8" spans="2:2" x14ac:dyDescent="0.3">
      <c r="B16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9" spans="2:2" x14ac:dyDescent="0.3">
      <c r="B16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0" spans="2:2" x14ac:dyDescent="0.3">
      <c r="B17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1" spans="2:2" x14ac:dyDescent="0.3">
      <c r="B17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2" spans="2:2" x14ac:dyDescent="0.3">
      <c r="B17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3" spans="2:2" x14ac:dyDescent="0.3">
      <c r="B17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4" spans="2:2" x14ac:dyDescent="0.3">
      <c r="B17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5" spans="2:2" x14ac:dyDescent="0.3">
      <c r="B17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6" spans="2:2" x14ac:dyDescent="0.3">
      <c r="B17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7" spans="2:2" x14ac:dyDescent="0.3">
      <c r="B17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8" spans="2:2" x14ac:dyDescent="0.3">
      <c r="B17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9" spans="2:2" x14ac:dyDescent="0.3">
      <c r="B17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0" spans="2:2" x14ac:dyDescent="0.3">
      <c r="B17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1" spans="2:2" x14ac:dyDescent="0.3">
      <c r="B17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2" spans="2:2" x14ac:dyDescent="0.3">
      <c r="B17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3" spans="2:2" x14ac:dyDescent="0.3">
      <c r="B17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4" spans="2:2" x14ac:dyDescent="0.3">
      <c r="B17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5" spans="2:2" x14ac:dyDescent="0.3">
      <c r="B17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6" spans="2:2" x14ac:dyDescent="0.3">
      <c r="B17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7" spans="2:2" x14ac:dyDescent="0.3">
      <c r="B17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8" spans="2:2" x14ac:dyDescent="0.3">
      <c r="B17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9" spans="2:2" x14ac:dyDescent="0.3">
      <c r="B17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0" spans="2:2" x14ac:dyDescent="0.3">
      <c r="B17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1" spans="2:2" x14ac:dyDescent="0.3">
      <c r="B17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2" spans="2:2" x14ac:dyDescent="0.3">
      <c r="B17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3" spans="2:2" x14ac:dyDescent="0.3">
      <c r="B17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4" spans="2:2" x14ac:dyDescent="0.3">
      <c r="B17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5" spans="2:2" x14ac:dyDescent="0.3">
      <c r="B17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6" spans="2:2" x14ac:dyDescent="0.3">
      <c r="B17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7" spans="2:2" x14ac:dyDescent="0.3">
      <c r="B17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8" spans="2:2" x14ac:dyDescent="0.3">
      <c r="B17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9" spans="2:2" x14ac:dyDescent="0.3">
      <c r="B17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0" spans="2:2" x14ac:dyDescent="0.3">
      <c r="B17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1" spans="2:2" x14ac:dyDescent="0.3">
      <c r="B17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2" spans="2:2" x14ac:dyDescent="0.3">
      <c r="B17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3" spans="2:2" x14ac:dyDescent="0.3">
      <c r="B17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4" spans="2:2" x14ac:dyDescent="0.3">
      <c r="B17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5" spans="2:2" x14ac:dyDescent="0.3">
      <c r="B17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6" spans="2:2" x14ac:dyDescent="0.3">
      <c r="B17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7" spans="2:2" x14ac:dyDescent="0.3">
      <c r="B17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8" spans="2:2" x14ac:dyDescent="0.3">
      <c r="B17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9" spans="2:2" x14ac:dyDescent="0.3">
      <c r="B17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0" spans="2:2" x14ac:dyDescent="0.3">
      <c r="B17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1" spans="2:2" x14ac:dyDescent="0.3">
      <c r="B17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2" spans="2:2" x14ac:dyDescent="0.3">
      <c r="B17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3" spans="2:2" x14ac:dyDescent="0.3">
      <c r="B17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4" spans="2:2" x14ac:dyDescent="0.3">
      <c r="B17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5" spans="2:2" x14ac:dyDescent="0.3">
      <c r="B17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6" spans="2:2" x14ac:dyDescent="0.3">
      <c r="B17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7" spans="2:2" x14ac:dyDescent="0.3">
      <c r="B17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8" spans="2:2" x14ac:dyDescent="0.3">
      <c r="B17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9" spans="2:2" x14ac:dyDescent="0.3">
      <c r="B17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0" spans="2:2" x14ac:dyDescent="0.3">
      <c r="B17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1" spans="2:2" x14ac:dyDescent="0.3">
      <c r="B17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2" spans="2:2" x14ac:dyDescent="0.3">
      <c r="B17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3" spans="2:2" x14ac:dyDescent="0.3">
      <c r="B17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4" spans="2:2" x14ac:dyDescent="0.3">
      <c r="B17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5" spans="2:2" x14ac:dyDescent="0.3">
      <c r="B17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6" spans="2:2" x14ac:dyDescent="0.3">
      <c r="B17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7" spans="2:2" x14ac:dyDescent="0.3">
      <c r="B17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8" spans="2:2" x14ac:dyDescent="0.3">
      <c r="B17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9" spans="2:2" x14ac:dyDescent="0.3">
      <c r="B17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0" spans="2:2" x14ac:dyDescent="0.3">
      <c r="B17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1" spans="2:2" x14ac:dyDescent="0.3">
      <c r="B17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2" spans="2:2" x14ac:dyDescent="0.3">
      <c r="B17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3" spans="2:2" x14ac:dyDescent="0.3">
      <c r="B17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4" spans="2:2" x14ac:dyDescent="0.3">
      <c r="B17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5" spans="2:2" x14ac:dyDescent="0.3">
      <c r="B17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6" spans="2:2" x14ac:dyDescent="0.3">
      <c r="B17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7" spans="2:2" x14ac:dyDescent="0.3">
      <c r="B17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8" spans="2:2" x14ac:dyDescent="0.3">
      <c r="B17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9" spans="2:2" x14ac:dyDescent="0.3">
      <c r="B17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0" spans="2:2" x14ac:dyDescent="0.3">
      <c r="B17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1" spans="2:2" x14ac:dyDescent="0.3">
      <c r="B17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2" spans="2:2" x14ac:dyDescent="0.3">
      <c r="B17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3" spans="2:2" x14ac:dyDescent="0.3">
      <c r="B17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4" spans="2:2" x14ac:dyDescent="0.3">
      <c r="B17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5" spans="2:2" x14ac:dyDescent="0.3">
      <c r="B17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6" spans="2:2" x14ac:dyDescent="0.3">
      <c r="B17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7" spans="2:2" x14ac:dyDescent="0.3">
      <c r="B17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8" spans="2:2" x14ac:dyDescent="0.3">
      <c r="B17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9" spans="2:2" x14ac:dyDescent="0.3">
      <c r="B17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0" spans="2:2" x14ac:dyDescent="0.3">
      <c r="B17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1" spans="2:2" x14ac:dyDescent="0.3">
      <c r="B17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2" spans="2:2" x14ac:dyDescent="0.3">
      <c r="B17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3" spans="2:2" x14ac:dyDescent="0.3">
      <c r="B17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4" spans="2:2" x14ac:dyDescent="0.3">
      <c r="B17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5" spans="2:2" x14ac:dyDescent="0.3">
      <c r="B17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6" spans="2:2" x14ac:dyDescent="0.3">
      <c r="B17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7" spans="2:2" x14ac:dyDescent="0.3">
      <c r="B17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8" spans="2:2" x14ac:dyDescent="0.3">
      <c r="B17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9" spans="2:2" x14ac:dyDescent="0.3">
      <c r="B17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0" spans="2:2" x14ac:dyDescent="0.3">
      <c r="B17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1" spans="2:2" x14ac:dyDescent="0.3">
      <c r="B17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2" spans="2:2" x14ac:dyDescent="0.3">
      <c r="B17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3" spans="2:2" x14ac:dyDescent="0.3">
      <c r="B17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4" spans="2:2" x14ac:dyDescent="0.3">
      <c r="B17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5" spans="2:2" x14ac:dyDescent="0.3">
      <c r="B17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6" spans="2:2" x14ac:dyDescent="0.3">
      <c r="B17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7" spans="2:2" x14ac:dyDescent="0.3">
      <c r="B17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8" spans="2:2" x14ac:dyDescent="0.3">
      <c r="B17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9" spans="2:2" x14ac:dyDescent="0.3">
      <c r="B17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0" spans="2:2" x14ac:dyDescent="0.3">
      <c r="B18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1" spans="2:2" x14ac:dyDescent="0.3">
      <c r="B18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2" spans="2:2" x14ac:dyDescent="0.3">
      <c r="B18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3" spans="2:2" x14ac:dyDescent="0.3">
      <c r="B18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4" spans="2:2" x14ac:dyDescent="0.3">
      <c r="B180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5" spans="2:2" x14ac:dyDescent="0.3">
      <c r="B180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6" spans="2:2" x14ac:dyDescent="0.3">
      <c r="B180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7" spans="2:2" x14ac:dyDescent="0.3">
      <c r="B180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8" spans="2:2" x14ac:dyDescent="0.3">
      <c r="B180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9" spans="2:2" x14ac:dyDescent="0.3">
      <c r="B180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0" spans="2:2" x14ac:dyDescent="0.3">
      <c r="B181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1" spans="2:2" x14ac:dyDescent="0.3">
      <c r="B181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2" spans="2:2" x14ac:dyDescent="0.3">
      <c r="B181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3" spans="2:2" x14ac:dyDescent="0.3">
      <c r="B181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4" spans="2:2" x14ac:dyDescent="0.3">
      <c r="B181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5" spans="2:2" x14ac:dyDescent="0.3">
      <c r="B181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6" spans="2:2" x14ac:dyDescent="0.3">
      <c r="B181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7" spans="2:2" x14ac:dyDescent="0.3">
      <c r="B181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8" spans="2:2" x14ac:dyDescent="0.3">
      <c r="B181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9" spans="2:2" x14ac:dyDescent="0.3">
      <c r="B181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0" spans="2:2" x14ac:dyDescent="0.3">
      <c r="B182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1" spans="2:2" x14ac:dyDescent="0.3">
      <c r="B182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2" spans="2:2" x14ac:dyDescent="0.3">
      <c r="B182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3" spans="2:2" x14ac:dyDescent="0.3">
      <c r="B182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4" spans="2:2" x14ac:dyDescent="0.3">
      <c r="B182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5" spans="2:2" x14ac:dyDescent="0.3">
      <c r="B182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6" spans="2:2" x14ac:dyDescent="0.3">
      <c r="B182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7" spans="2:2" x14ac:dyDescent="0.3">
      <c r="B182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8" spans="2:2" x14ac:dyDescent="0.3">
      <c r="B182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9" spans="2:2" x14ac:dyDescent="0.3">
      <c r="B182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0" spans="2:2" x14ac:dyDescent="0.3">
      <c r="B183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1" spans="2:2" x14ac:dyDescent="0.3">
      <c r="B183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2" spans="2:2" x14ac:dyDescent="0.3">
      <c r="B183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3" spans="2:2" x14ac:dyDescent="0.3">
      <c r="B183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4" spans="2:2" x14ac:dyDescent="0.3">
      <c r="B183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5" spans="2:2" x14ac:dyDescent="0.3">
      <c r="B183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6" spans="2:2" x14ac:dyDescent="0.3">
      <c r="B183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7" spans="2:2" x14ac:dyDescent="0.3">
      <c r="B183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8" spans="2:2" x14ac:dyDescent="0.3">
      <c r="B183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9" spans="2:2" x14ac:dyDescent="0.3">
      <c r="B183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0" spans="2:2" x14ac:dyDescent="0.3">
      <c r="B184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1" spans="2:2" x14ac:dyDescent="0.3">
      <c r="B184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2" spans="2:2" x14ac:dyDescent="0.3">
      <c r="B184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3" spans="2:2" x14ac:dyDescent="0.3">
      <c r="B184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4" spans="2:2" x14ac:dyDescent="0.3">
      <c r="B184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5" spans="2:2" x14ac:dyDescent="0.3">
      <c r="B184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6" spans="2:2" x14ac:dyDescent="0.3">
      <c r="B184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7" spans="2:2" x14ac:dyDescent="0.3">
      <c r="B184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8" spans="2:2" x14ac:dyDescent="0.3">
      <c r="B184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9" spans="2:2" x14ac:dyDescent="0.3">
      <c r="B184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0" spans="2:2" x14ac:dyDescent="0.3">
      <c r="B185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1" spans="2:2" x14ac:dyDescent="0.3">
      <c r="B185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2" spans="2:2" x14ac:dyDescent="0.3">
      <c r="B185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3" spans="2:2" x14ac:dyDescent="0.3">
      <c r="B185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4" spans="2:2" x14ac:dyDescent="0.3">
      <c r="B185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5" spans="2:2" x14ac:dyDescent="0.3">
      <c r="B185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6" spans="2:2" x14ac:dyDescent="0.3">
      <c r="B185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7" spans="2:2" x14ac:dyDescent="0.3">
      <c r="B185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8" spans="2:2" x14ac:dyDescent="0.3">
      <c r="B185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9" spans="2:2" x14ac:dyDescent="0.3">
      <c r="B185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0" spans="2:2" x14ac:dyDescent="0.3">
      <c r="B186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1" spans="2:2" x14ac:dyDescent="0.3">
      <c r="B186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2" spans="2:2" x14ac:dyDescent="0.3">
      <c r="B186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3" spans="2:2" x14ac:dyDescent="0.3">
      <c r="B186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4" spans="2:2" x14ac:dyDescent="0.3">
      <c r="B186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5" spans="2:2" x14ac:dyDescent="0.3">
      <c r="B186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6" spans="2:2" x14ac:dyDescent="0.3">
      <c r="B186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7" spans="2:2" x14ac:dyDescent="0.3">
      <c r="B186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8" spans="2:2" x14ac:dyDescent="0.3">
      <c r="B186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9" spans="2:2" x14ac:dyDescent="0.3">
      <c r="B186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0" spans="2:2" x14ac:dyDescent="0.3">
      <c r="B187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1" spans="2:2" x14ac:dyDescent="0.3">
      <c r="B187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2" spans="2:2" x14ac:dyDescent="0.3">
      <c r="B187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3" spans="2:2" x14ac:dyDescent="0.3">
      <c r="B187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4" spans="2:2" x14ac:dyDescent="0.3">
      <c r="B187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5" spans="2:2" x14ac:dyDescent="0.3">
      <c r="B187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6" spans="2:2" x14ac:dyDescent="0.3">
      <c r="B187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7" spans="2:2" x14ac:dyDescent="0.3">
      <c r="B187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8" spans="2:2" x14ac:dyDescent="0.3">
      <c r="B187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9" spans="2:2" x14ac:dyDescent="0.3">
      <c r="B187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0" spans="2:2" x14ac:dyDescent="0.3">
      <c r="B188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1" spans="2:2" x14ac:dyDescent="0.3">
      <c r="B188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2" spans="2:2" x14ac:dyDescent="0.3">
      <c r="B188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3" spans="2:2" x14ac:dyDescent="0.3">
      <c r="B188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4" spans="2:2" x14ac:dyDescent="0.3">
      <c r="B188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5" spans="2:2" x14ac:dyDescent="0.3">
      <c r="B188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6" spans="2:2" x14ac:dyDescent="0.3">
      <c r="B188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7" spans="2:2" x14ac:dyDescent="0.3">
      <c r="B188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8" spans="2:2" x14ac:dyDescent="0.3">
      <c r="B188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9" spans="2:2" x14ac:dyDescent="0.3">
      <c r="B188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0" spans="2:2" x14ac:dyDescent="0.3">
      <c r="B189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1" spans="2:2" x14ac:dyDescent="0.3">
      <c r="B189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2" spans="2:2" x14ac:dyDescent="0.3">
      <c r="B189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3" spans="2:2" x14ac:dyDescent="0.3">
      <c r="B189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4" spans="2:2" x14ac:dyDescent="0.3">
      <c r="B1894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5" spans="2:2" x14ac:dyDescent="0.3">
      <c r="B1895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6" spans="2:2" x14ac:dyDescent="0.3">
      <c r="B1896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7" spans="2:2" x14ac:dyDescent="0.3">
      <c r="B1897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8" spans="2:2" x14ac:dyDescent="0.3">
      <c r="B1898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9" spans="2:2" x14ac:dyDescent="0.3">
      <c r="B1899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0" spans="2:2" x14ac:dyDescent="0.3">
      <c r="B1900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1" spans="2:2" x14ac:dyDescent="0.3">
      <c r="B190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2" spans="2:2" x14ac:dyDescent="0.3">
      <c r="B1902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3" spans="2:2" x14ac:dyDescent="0.3">
      <c r="B1903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4" spans="2:2" x14ac:dyDescent="0.3">
      <c r="B1904" t="str">
        <f>IFERROR(IF(LEFT(Sensitivität_bzw_Monte_Carlo_bei_Strom[[#This Row],[Source.Name]],SEARCH("aus_der",Sensitivität_bzw_Monte_Carlo_bei_Strom[[#This Row],[Source.Name]],1))="Auszahlung_a","Auszahlung",""),"")</f>
        <v/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6719D-029C-43BD-B1AE-272BFD69EFFA}">
  <sheetPr codeName="Tabelle17"/>
  <dimension ref="A1:U1907"/>
  <sheetViews>
    <sheetView zoomScale="85" zoomScaleNormal="85" workbookViewId="0">
      <selection activeCell="E13" sqref="E13"/>
    </sheetView>
  </sheetViews>
  <sheetFormatPr baseColWidth="10" defaultRowHeight="14.4" x14ac:dyDescent="0.3"/>
  <cols>
    <col min="1" max="1" width="36" bestFit="1" customWidth="1"/>
    <col min="2" max="3" width="12.6640625" bestFit="1" customWidth="1"/>
    <col min="4" max="4" width="15.109375" bestFit="1" customWidth="1"/>
  </cols>
  <sheetData>
    <row r="1" spans="1:7" x14ac:dyDescent="0.3">
      <c r="A1" t="s">
        <v>16</v>
      </c>
      <c r="B1" t="s">
        <v>13</v>
      </c>
      <c r="C1" t="s">
        <v>14</v>
      </c>
    </row>
    <row r="2" spans="1:7" x14ac:dyDescent="0.3">
      <c r="A2">
        <v>1</v>
      </c>
      <c r="B2" s="1">
        <v>-19326.086447199999</v>
      </c>
      <c r="C2">
        <v>-19326.086447199999</v>
      </c>
    </row>
    <row r="3" spans="1:7" x14ac:dyDescent="0.3">
      <c r="A3">
        <v>1</v>
      </c>
      <c r="B3">
        <v>-17087.484793747968</v>
      </c>
      <c r="C3">
        <v>-17464.691719182509</v>
      </c>
    </row>
    <row r="4" spans="1:7" x14ac:dyDescent="0.3">
      <c r="A4">
        <v>1</v>
      </c>
      <c r="B4">
        <v>-14789.147234764825</v>
      </c>
      <c r="C4">
        <v>-15570.837029485436</v>
      </c>
      <c r="F4" t="s">
        <v>113</v>
      </c>
      <c r="G4" t="s">
        <v>114</v>
      </c>
    </row>
    <row r="5" spans="1:7" x14ac:dyDescent="0.3">
      <c r="A5">
        <v>1</v>
      </c>
      <c r="B5">
        <v>-12448.932148609521</v>
      </c>
      <c r="C5">
        <v>-13647.519980029967</v>
      </c>
      <c r="F5">
        <f>MIN(B2:B22)</f>
        <v>-19326.086447199999</v>
      </c>
      <c r="G5">
        <f>MAX(B2:B22)</f>
        <v>38765.638007506575</v>
      </c>
    </row>
    <row r="6" spans="1:7" x14ac:dyDescent="0.3">
      <c r="A6">
        <v>1</v>
      </c>
      <c r="B6">
        <v>-10034.924615453487</v>
      </c>
      <c r="C6">
        <v>-11680.478844992298</v>
      </c>
    </row>
    <row r="7" spans="1:7" x14ac:dyDescent="0.3">
      <c r="A7">
        <v>1</v>
      </c>
      <c r="B7">
        <v>-7531.1795717855803</v>
      </c>
      <c r="C7">
        <v>-9656.7221378967351</v>
      </c>
    </row>
    <row r="8" spans="1:7" x14ac:dyDescent="0.3">
      <c r="A8">
        <v>1</v>
      </c>
      <c r="B8">
        <v>-4930.5086444956578</v>
      </c>
      <c r="C8">
        <v>-7721.3587509759727</v>
      </c>
      <c r="F8" t="s">
        <v>113</v>
      </c>
      <c r="G8" t="s">
        <v>114</v>
      </c>
    </row>
    <row r="9" spans="1:7" x14ac:dyDescent="0.3">
      <c r="A9">
        <v>1</v>
      </c>
      <c r="B9">
        <v>-2238.3401588890629</v>
      </c>
      <c r="C9">
        <v>-5730.9226789179502</v>
      </c>
      <c r="F9">
        <f>MIN(B23:B43)</f>
        <v>-26046.086447199999</v>
      </c>
      <c r="G9">
        <f>MAX(B23:B43)</f>
        <v>20587.517496833745</v>
      </c>
    </row>
    <row r="10" spans="1:7" x14ac:dyDescent="0.3">
      <c r="A10">
        <v>1</v>
      </c>
      <c r="B10">
        <v>542.76400161499078</v>
      </c>
      <c r="C10">
        <v>-3688.0916179197684</v>
      </c>
    </row>
    <row r="11" spans="1:7" x14ac:dyDescent="0.3">
      <c r="A11">
        <v>1</v>
      </c>
      <c r="B11">
        <v>3417.2023046531467</v>
      </c>
      <c r="C11">
        <v>-1577.2610459291609</v>
      </c>
    </row>
    <row r="12" spans="1:7" x14ac:dyDescent="0.3">
      <c r="A12">
        <v>1</v>
      </c>
      <c r="B12">
        <v>6377.722580795682</v>
      </c>
      <c r="C12">
        <v>582.67699119270219</v>
      </c>
    </row>
    <row r="13" spans="1:7" x14ac:dyDescent="0.3">
      <c r="A13">
        <v>1</v>
      </c>
      <c r="B13">
        <v>9432.7686146876185</v>
      </c>
      <c r="C13">
        <v>2798.3009532052947</v>
      </c>
    </row>
    <row r="14" spans="1:7" x14ac:dyDescent="0.3">
      <c r="A14">
        <v>1</v>
      </c>
      <c r="B14">
        <v>10783.308892227844</v>
      </c>
      <c r="C14">
        <v>3790.7952748157622</v>
      </c>
    </row>
    <row r="15" spans="1:7" x14ac:dyDescent="0.3">
      <c r="A15">
        <v>1</v>
      </c>
      <c r="B15">
        <v>13982.545263725202</v>
      </c>
      <c r="C15">
        <v>6110.6559853967792</v>
      </c>
    </row>
    <row r="16" spans="1:7" x14ac:dyDescent="0.3">
      <c r="A16">
        <v>1</v>
      </c>
      <c r="B16">
        <v>17272.04208948688</v>
      </c>
      <c r="C16">
        <v>8481.4847874909883</v>
      </c>
    </row>
    <row r="17" spans="1:3" x14ac:dyDescent="0.3">
      <c r="A17">
        <v>1</v>
      </c>
      <c r="B17">
        <v>20656.199384249747</v>
      </c>
      <c r="C17">
        <v>10906.423129615272</v>
      </c>
    </row>
    <row r="18" spans="1:3" x14ac:dyDescent="0.3">
      <c r="A18">
        <v>1</v>
      </c>
      <c r="B18">
        <v>24118.136551355383</v>
      </c>
      <c r="C18">
        <v>13383.106495876564</v>
      </c>
    </row>
    <row r="19" spans="1:3" x14ac:dyDescent="0.3">
      <c r="A19">
        <v>1</v>
      </c>
      <c r="B19">
        <v>27656.569439502746</v>
      </c>
      <c r="C19">
        <v>15897.656399748095</v>
      </c>
    </row>
    <row r="20" spans="1:3" x14ac:dyDescent="0.3">
      <c r="A20">
        <v>1</v>
      </c>
      <c r="B20">
        <v>31273.789248395758</v>
      </c>
      <c r="C20">
        <v>18463.873684623035</v>
      </c>
    </row>
    <row r="21" spans="1:3" x14ac:dyDescent="0.3">
      <c r="A21">
        <v>1</v>
      </c>
      <c r="B21">
        <v>34981.741122778032</v>
      </c>
      <c r="C21">
        <v>21079.000102255497</v>
      </c>
    </row>
    <row r="22" spans="1:3" x14ac:dyDescent="0.3">
      <c r="A22">
        <v>1</v>
      </c>
      <c r="B22">
        <v>38765.638007506575</v>
      </c>
      <c r="C22">
        <v>23742.415173267203</v>
      </c>
    </row>
    <row r="23" spans="1:3" x14ac:dyDescent="0.3">
      <c r="A23">
        <v>2</v>
      </c>
      <c r="B23">
        <v>-26046.086447199999</v>
      </c>
      <c r="C23">
        <v>-26046.086447199999</v>
      </c>
    </row>
    <row r="24" spans="1:3" x14ac:dyDescent="0.3">
      <c r="A24">
        <v>2</v>
      </c>
      <c r="B24">
        <v>-24221.752261392641</v>
      </c>
      <c r="C24">
        <v>-24400.41676007241</v>
      </c>
    </row>
    <row r="25" spans="1:3" x14ac:dyDescent="0.3">
      <c r="A25">
        <v>2</v>
      </c>
      <c r="B25">
        <v>-22346.455637975108</v>
      </c>
      <c r="C25">
        <v>-22726.831085396436</v>
      </c>
    </row>
    <row r="26" spans="1:3" x14ac:dyDescent="0.3">
      <c r="A26">
        <v>2</v>
      </c>
      <c r="B26">
        <v>-20438.004898467661</v>
      </c>
      <c r="C26">
        <v>-21028.224366750535</v>
      </c>
    </row>
    <row r="27" spans="1:3" x14ac:dyDescent="0.3">
      <c r="A27">
        <v>2</v>
      </c>
      <c r="B27">
        <v>-18456.856735935005</v>
      </c>
      <c r="C27">
        <v>-19283.852407750685</v>
      </c>
    </row>
    <row r="28" spans="1:3" x14ac:dyDescent="0.3">
      <c r="A28">
        <v>2</v>
      </c>
      <c r="B28">
        <v>-16380.530877241979</v>
      </c>
      <c r="C28">
        <v>-17462.752831286351</v>
      </c>
    </row>
    <row r="29" spans="1:3" x14ac:dyDescent="0.3">
      <c r="A29">
        <v>2</v>
      </c>
      <c r="B29">
        <v>-14201.923348126231</v>
      </c>
      <c r="C29">
        <v>-15791.463852650177</v>
      </c>
    </row>
    <row r="30" spans="1:3" x14ac:dyDescent="0.3">
      <c r="A30">
        <v>2</v>
      </c>
      <c r="B30">
        <v>-11926.351763664095</v>
      </c>
      <c r="C30">
        <v>-14058.239982053907</v>
      </c>
    </row>
    <row r="31" spans="1:3" x14ac:dyDescent="0.3">
      <c r="A31">
        <v>2</v>
      </c>
      <c r="B31">
        <v>-9556.3128756564056</v>
      </c>
      <c r="C31">
        <v>-12253.259118896658</v>
      </c>
    </row>
    <row r="32" spans="1:3" x14ac:dyDescent="0.3">
      <c r="A32">
        <v>2</v>
      </c>
      <c r="B32">
        <v>-7087.4651885720014</v>
      </c>
      <c r="C32">
        <v>-10385.61678818769</v>
      </c>
    </row>
    <row r="33" spans="1:8" x14ac:dyDescent="0.3">
      <c r="A33">
        <v>2</v>
      </c>
      <c r="B33">
        <v>-7550.9208430720482</v>
      </c>
      <c r="C33">
        <v>-10622.093893605826</v>
      </c>
    </row>
    <row r="34" spans="1:8" x14ac:dyDescent="0.3">
      <c r="A34">
        <v>2</v>
      </c>
      <c r="B34">
        <v>-4941.787820354406</v>
      </c>
      <c r="C34">
        <v>-8654.1464736832477</v>
      </c>
    </row>
    <row r="35" spans="1:8" x14ac:dyDescent="0.3">
      <c r="A35">
        <v>2</v>
      </c>
      <c r="B35">
        <v>-4032.4891872224925</v>
      </c>
      <c r="C35">
        <v>-7914.9848568740545</v>
      </c>
    </row>
    <row r="36" spans="1:8" x14ac:dyDescent="0.3">
      <c r="A36">
        <v>2</v>
      </c>
      <c r="B36">
        <v>-1269.7246631889029</v>
      </c>
      <c r="C36">
        <v>-5841.7529445676992</v>
      </c>
      <c r="F36" s="32">
        <v>34981.741122778032</v>
      </c>
      <c r="G36" s="33">
        <v>21079.000102255497</v>
      </c>
      <c r="H36">
        <f>F36-G36</f>
        <v>13902.741020522535</v>
      </c>
    </row>
    <row r="37" spans="1:8" x14ac:dyDescent="0.3">
      <c r="A37">
        <v>2</v>
      </c>
      <c r="B37">
        <v>1587.9168000930204</v>
      </c>
      <c r="C37">
        <v>-3710.9504079397229</v>
      </c>
      <c r="F37" s="32">
        <v>20587.517496833745</v>
      </c>
      <c r="G37" s="33">
        <v>10289.163871678786</v>
      </c>
      <c r="H37">
        <f>F37-G37</f>
        <v>10298.353625154959</v>
      </c>
    </row>
    <row r="38" spans="1:8" x14ac:dyDescent="0.3">
      <c r="A38">
        <v>2</v>
      </c>
      <c r="B38">
        <v>4544.7036858535184</v>
      </c>
      <c r="C38">
        <v>-1507.0930952710924</v>
      </c>
    </row>
    <row r="39" spans="1:8" x14ac:dyDescent="0.3">
      <c r="A39">
        <v>2</v>
      </c>
      <c r="B39">
        <v>7584.0614235491466</v>
      </c>
      <c r="C39">
        <v>743.06899805538251</v>
      </c>
    </row>
    <row r="40" spans="1:8" x14ac:dyDescent="0.3">
      <c r="A40">
        <v>2</v>
      </c>
      <c r="B40">
        <v>10704.689101452783</v>
      </c>
      <c r="C40">
        <v>3050.3468711799351</v>
      </c>
    </row>
    <row r="41" spans="1:8" x14ac:dyDescent="0.3">
      <c r="A41">
        <v>2</v>
      </c>
      <c r="B41">
        <v>13908.769475451631</v>
      </c>
      <c r="C41">
        <v>5403.8072188736969</v>
      </c>
    </row>
    <row r="42" spans="1:8" x14ac:dyDescent="0.3">
      <c r="A42">
        <v>2</v>
      </c>
      <c r="B42">
        <v>17207.88977848482</v>
      </c>
      <c r="C42">
        <v>7825.0952669106946</v>
      </c>
    </row>
    <row r="43" spans="1:8" x14ac:dyDescent="0.3">
      <c r="A43">
        <v>2</v>
      </c>
      <c r="B43">
        <v>20587.517496833745</v>
      </c>
      <c r="C43">
        <v>10289.163871678786</v>
      </c>
    </row>
    <row r="44" spans="1:8" x14ac:dyDescent="0.3">
      <c r="A44" s="1"/>
      <c r="B44" s="1"/>
      <c r="C44" s="1"/>
      <c r="D44" s="1"/>
    </row>
    <row r="45" spans="1:8" x14ac:dyDescent="0.3">
      <c r="A45" s="1"/>
    </row>
    <row r="46" spans="1:8" x14ac:dyDescent="0.3">
      <c r="A46" s="1"/>
    </row>
    <row r="47" spans="1:8" x14ac:dyDescent="0.3">
      <c r="A47" s="1"/>
    </row>
    <row r="48" spans="1:8" x14ac:dyDescent="0.3">
      <c r="A48" s="1"/>
    </row>
    <row r="49" spans="1:1" x14ac:dyDescent="0.3">
      <c r="A49" s="1"/>
    </row>
    <row r="50" spans="1:1" x14ac:dyDescent="0.3">
      <c r="A50" s="1"/>
    </row>
    <row r="51" spans="1:1" x14ac:dyDescent="0.3">
      <c r="A51" s="1"/>
    </row>
    <row r="52" spans="1:1" x14ac:dyDescent="0.3">
      <c r="A52" s="1"/>
    </row>
    <row r="53" spans="1:1" x14ac:dyDescent="0.3">
      <c r="A53" s="1"/>
    </row>
    <row r="54" spans="1:1" x14ac:dyDescent="0.3">
      <c r="A54" s="1"/>
    </row>
    <row r="55" spans="1:1" x14ac:dyDescent="0.3">
      <c r="A55" s="1"/>
    </row>
    <row r="56" spans="1:1" x14ac:dyDescent="0.3">
      <c r="A56" s="1"/>
    </row>
    <row r="57" spans="1:1" x14ac:dyDescent="0.3">
      <c r="A57" s="1"/>
    </row>
    <row r="58" spans="1:1" x14ac:dyDescent="0.3">
      <c r="A58" s="1"/>
    </row>
    <row r="59" spans="1:1" x14ac:dyDescent="0.3">
      <c r="A59" s="1"/>
    </row>
    <row r="60" spans="1:1" x14ac:dyDescent="0.3">
      <c r="A60" s="1"/>
    </row>
    <row r="61" spans="1:1" x14ac:dyDescent="0.3">
      <c r="A61" s="1"/>
    </row>
    <row r="62" spans="1:1" x14ac:dyDescent="0.3">
      <c r="A62" s="1"/>
    </row>
    <row r="63" spans="1:1" x14ac:dyDescent="0.3">
      <c r="A63" s="1"/>
    </row>
    <row r="64" spans="1:1" x14ac:dyDescent="0.3">
      <c r="A64" s="1"/>
    </row>
    <row r="65" spans="1:21" x14ac:dyDescent="0.3">
      <c r="A65" s="1"/>
    </row>
    <row r="66" spans="1:21" x14ac:dyDescent="0.3">
      <c r="A66" s="1"/>
    </row>
    <row r="67" spans="1:21" x14ac:dyDescent="0.3">
      <c r="A67" s="1"/>
    </row>
    <row r="68" spans="1:21" x14ac:dyDescent="0.3">
      <c r="A68" s="1"/>
    </row>
    <row r="69" spans="1:21" x14ac:dyDescent="0.3">
      <c r="A69" s="1"/>
    </row>
    <row r="70" spans="1:21" x14ac:dyDescent="0.3">
      <c r="A70" s="1"/>
    </row>
    <row r="71" spans="1:21" x14ac:dyDescent="0.3">
      <c r="A71" s="1"/>
    </row>
    <row r="72" spans="1:21" x14ac:dyDescent="0.3">
      <c r="A72" s="1"/>
    </row>
    <row r="73" spans="1:21" x14ac:dyDescent="0.3">
      <c r="A73" s="1"/>
      <c r="B73">
        <v>-26046.086447199999</v>
      </c>
      <c r="C73">
        <v>-24221.752261392641</v>
      </c>
      <c r="D73">
        <v>-20438.004898467661</v>
      </c>
      <c r="E73">
        <v>-18456.856735935005</v>
      </c>
      <c r="F73">
        <v>-16380.530877241979</v>
      </c>
      <c r="G73">
        <v>-14201.923348126231</v>
      </c>
      <c r="H73">
        <v>-11926.351763664095</v>
      </c>
      <c r="I73">
        <v>-9556.3128756564056</v>
      </c>
      <c r="J73">
        <v>-7087.4651885720014</v>
      </c>
      <c r="K73">
        <v>-7550.9208430720482</v>
      </c>
      <c r="L73">
        <v>-4941.787820354406</v>
      </c>
      <c r="M73">
        <v>-4032.4891872224925</v>
      </c>
      <c r="N73">
        <v>-1269.7246631889029</v>
      </c>
      <c r="O73">
        <v>1587.9168000930204</v>
      </c>
      <c r="P73">
        <v>4544.7036858535184</v>
      </c>
      <c r="Q73">
        <v>7584.0614235491466</v>
      </c>
      <c r="R73">
        <v>10704.689101452783</v>
      </c>
      <c r="S73">
        <v>13908.769475451631</v>
      </c>
      <c r="T73">
        <v>17207.88977848482</v>
      </c>
      <c r="U73">
        <v>20587.517496833745</v>
      </c>
    </row>
    <row r="74" spans="1:21" x14ac:dyDescent="0.3">
      <c r="A74" s="1"/>
    </row>
    <row r="75" spans="1:21" x14ac:dyDescent="0.3">
      <c r="A75" s="1"/>
    </row>
    <row r="76" spans="1:21" x14ac:dyDescent="0.3">
      <c r="A76" s="1"/>
    </row>
    <row r="77" spans="1:21" x14ac:dyDescent="0.3">
      <c r="A77" s="1"/>
    </row>
    <row r="78" spans="1:21" x14ac:dyDescent="0.3">
      <c r="A78" s="1"/>
    </row>
    <row r="79" spans="1:21" x14ac:dyDescent="0.3">
      <c r="A79" s="1"/>
    </row>
    <row r="80" spans="1:21" x14ac:dyDescent="0.3">
      <c r="A80" s="1"/>
    </row>
    <row r="81" spans="1:1" x14ac:dyDescent="0.3">
      <c r="A81" s="1"/>
    </row>
    <row r="82" spans="1:1" x14ac:dyDescent="0.3">
      <c r="A82" s="1"/>
    </row>
    <row r="83" spans="1:1" x14ac:dyDescent="0.3">
      <c r="A83" s="1"/>
    </row>
    <row r="84" spans="1:1" x14ac:dyDescent="0.3">
      <c r="A84" s="1"/>
    </row>
    <row r="85" spans="1:1" x14ac:dyDescent="0.3">
      <c r="A85" s="1"/>
    </row>
    <row r="86" spans="1:1" x14ac:dyDescent="0.3">
      <c r="A86" s="1"/>
    </row>
    <row r="87" spans="1:1" x14ac:dyDescent="0.3">
      <c r="A87" s="1"/>
    </row>
    <row r="88" spans="1:1" x14ac:dyDescent="0.3">
      <c r="A88" s="1"/>
    </row>
    <row r="89" spans="1:1" x14ac:dyDescent="0.3">
      <c r="A89" s="1"/>
    </row>
    <row r="90" spans="1:1" x14ac:dyDescent="0.3">
      <c r="A90" s="1"/>
    </row>
    <row r="91" spans="1:1" x14ac:dyDescent="0.3">
      <c r="A91" s="1"/>
    </row>
    <row r="92" spans="1:1" x14ac:dyDescent="0.3">
      <c r="A92" s="1"/>
    </row>
    <row r="93" spans="1:1" x14ac:dyDescent="0.3">
      <c r="A93" s="1"/>
    </row>
    <row r="94" spans="1:1" x14ac:dyDescent="0.3">
      <c r="A94" s="1"/>
    </row>
    <row r="95" spans="1:1" x14ac:dyDescent="0.3">
      <c r="A95" s="1"/>
    </row>
    <row r="96" spans="1:1" x14ac:dyDescent="0.3">
      <c r="A96" s="1"/>
    </row>
    <row r="97" spans="1:1" x14ac:dyDescent="0.3">
      <c r="A97" s="1"/>
    </row>
    <row r="98" spans="1:1" x14ac:dyDescent="0.3">
      <c r="A98" s="1"/>
    </row>
    <row r="99" spans="1:1" x14ac:dyDescent="0.3">
      <c r="A99" s="1"/>
    </row>
    <row r="100" spans="1:1" x14ac:dyDescent="0.3">
      <c r="A100" s="1"/>
    </row>
    <row r="101" spans="1:1" x14ac:dyDescent="0.3">
      <c r="A101" s="1"/>
    </row>
    <row r="102" spans="1:1" x14ac:dyDescent="0.3">
      <c r="A102" s="1"/>
    </row>
    <row r="103" spans="1:1" x14ac:dyDescent="0.3">
      <c r="A103" s="1"/>
    </row>
    <row r="104" spans="1:1" x14ac:dyDescent="0.3">
      <c r="A104" s="1"/>
    </row>
    <row r="105" spans="1:1" x14ac:dyDescent="0.3">
      <c r="A105" s="1"/>
    </row>
    <row r="106" spans="1:1" x14ac:dyDescent="0.3">
      <c r="A106" s="1"/>
    </row>
    <row r="107" spans="1:1" x14ac:dyDescent="0.3">
      <c r="A107" s="1"/>
    </row>
    <row r="108" spans="1:1" x14ac:dyDescent="0.3">
      <c r="A108" s="1"/>
    </row>
    <row r="109" spans="1:1" x14ac:dyDescent="0.3">
      <c r="A109" s="1"/>
    </row>
    <row r="110" spans="1:1" x14ac:dyDescent="0.3">
      <c r="A110" s="1"/>
    </row>
    <row r="111" spans="1:1" x14ac:dyDescent="0.3">
      <c r="A111" s="1"/>
    </row>
    <row r="112" spans="1:1" x14ac:dyDescent="0.3">
      <c r="A112" s="1"/>
    </row>
    <row r="113" spans="1:1" x14ac:dyDescent="0.3">
      <c r="A113" s="1"/>
    </row>
    <row r="114" spans="1:1" x14ac:dyDescent="0.3">
      <c r="A114" s="1"/>
    </row>
    <row r="115" spans="1:1" x14ac:dyDescent="0.3">
      <c r="A115" s="1"/>
    </row>
    <row r="116" spans="1:1" x14ac:dyDescent="0.3">
      <c r="A116" s="1"/>
    </row>
    <row r="117" spans="1:1" x14ac:dyDescent="0.3">
      <c r="A117" s="1"/>
    </row>
    <row r="118" spans="1:1" x14ac:dyDescent="0.3">
      <c r="A118" s="1"/>
    </row>
    <row r="119" spans="1:1" x14ac:dyDescent="0.3">
      <c r="A119" s="1"/>
    </row>
    <row r="120" spans="1:1" x14ac:dyDescent="0.3">
      <c r="A120" s="1"/>
    </row>
    <row r="121" spans="1:1" x14ac:dyDescent="0.3">
      <c r="A121" s="1"/>
    </row>
    <row r="122" spans="1:1" x14ac:dyDescent="0.3">
      <c r="A122" s="1"/>
    </row>
    <row r="123" spans="1:1" x14ac:dyDescent="0.3">
      <c r="A123" s="1"/>
    </row>
    <row r="124" spans="1:1" x14ac:dyDescent="0.3">
      <c r="A124" s="1"/>
    </row>
    <row r="125" spans="1:1" x14ac:dyDescent="0.3">
      <c r="A125" s="1"/>
    </row>
    <row r="126" spans="1:1" x14ac:dyDescent="0.3">
      <c r="A126" s="1"/>
    </row>
    <row r="127" spans="1:1" ht="13.8" customHeight="1" x14ac:dyDescent="0.3">
      <c r="A127" s="1"/>
    </row>
    <row r="128" spans="1:1" x14ac:dyDescent="0.3">
      <c r="A128" s="1"/>
    </row>
    <row r="129" spans="1:1" x14ac:dyDescent="0.3">
      <c r="A129" s="1"/>
    </row>
    <row r="130" spans="1:1" x14ac:dyDescent="0.3">
      <c r="A130" s="1"/>
    </row>
    <row r="131" spans="1:1" x14ac:dyDescent="0.3">
      <c r="A131" s="1"/>
    </row>
    <row r="132" spans="1:1" x14ac:dyDescent="0.3">
      <c r="A132" s="1"/>
    </row>
    <row r="133" spans="1:1" x14ac:dyDescent="0.3">
      <c r="A133" s="1"/>
    </row>
    <row r="134" spans="1:1" x14ac:dyDescent="0.3">
      <c r="A134" s="1"/>
    </row>
    <row r="135" spans="1:1" x14ac:dyDescent="0.3">
      <c r="A135" s="1"/>
    </row>
    <row r="136" spans="1:1" x14ac:dyDescent="0.3">
      <c r="A136" s="1"/>
    </row>
    <row r="137" spans="1:1" x14ac:dyDescent="0.3">
      <c r="A137" s="1"/>
    </row>
    <row r="138" spans="1:1" x14ac:dyDescent="0.3">
      <c r="A138" s="1"/>
    </row>
    <row r="139" spans="1:1" x14ac:dyDescent="0.3">
      <c r="A139" s="1"/>
    </row>
    <row r="140" spans="1:1" x14ac:dyDescent="0.3">
      <c r="A140" s="1"/>
    </row>
    <row r="141" spans="1:1" x14ac:dyDescent="0.3">
      <c r="A141" s="1"/>
    </row>
    <row r="142" spans="1:1" x14ac:dyDescent="0.3">
      <c r="A142" s="1"/>
    </row>
    <row r="143" spans="1:1" x14ac:dyDescent="0.3">
      <c r="A143" s="1"/>
    </row>
    <row r="144" spans="1:1" x14ac:dyDescent="0.3">
      <c r="A144" s="1"/>
    </row>
    <row r="145" spans="1:1" x14ac:dyDescent="0.3">
      <c r="A145" s="1"/>
    </row>
    <row r="146" spans="1:1" x14ac:dyDescent="0.3">
      <c r="A146" s="1"/>
    </row>
    <row r="147" spans="1:1" x14ac:dyDescent="0.3">
      <c r="A147" s="1"/>
    </row>
    <row r="148" spans="1:1" x14ac:dyDescent="0.3">
      <c r="A148" s="1"/>
    </row>
    <row r="149" spans="1:1" x14ac:dyDescent="0.3">
      <c r="A149" s="1"/>
    </row>
    <row r="150" spans="1:1" x14ac:dyDescent="0.3">
      <c r="A150" s="1"/>
    </row>
    <row r="151" spans="1:1" x14ac:dyDescent="0.3">
      <c r="A151" s="1"/>
    </row>
    <row r="152" spans="1:1" x14ac:dyDescent="0.3">
      <c r="A152" s="1"/>
    </row>
    <row r="153" spans="1:1" x14ac:dyDescent="0.3">
      <c r="A153" s="1"/>
    </row>
    <row r="154" spans="1:1" x14ac:dyDescent="0.3">
      <c r="A154" s="1"/>
    </row>
    <row r="155" spans="1:1" x14ac:dyDescent="0.3">
      <c r="A155" s="1"/>
    </row>
    <row r="156" spans="1:1" x14ac:dyDescent="0.3">
      <c r="A156" s="1"/>
    </row>
    <row r="157" spans="1:1" x14ac:dyDescent="0.3">
      <c r="A157" s="1"/>
    </row>
    <row r="158" spans="1:1" x14ac:dyDescent="0.3">
      <c r="A158" s="1"/>
    </row>
    <row r="159" spans="1:1" x14ac:dyDescent="0.3">
      <c r="A159" s="1"/>
    </row>
    <row r="160" spans="1:1" x14ac:dyDescent="0.3">
      <c r="A160" s="1"/>
    </row>
    <row r="161" spans="1:1" x14ac:dyDescent="0.3">
      <c r="A161" s="1"/>
    </row>
    <row r="162" spans="1:1" x14ac:dyDescent="0.3">
      <c r="A162" s="1"/>
    </row>
    <row r="163" spans="1:1" x14ac:dyDescent="0.3">
      <c r="A163" s="1"/>
    </row>
    <row r="164" spans="1:1" x14ac:dyDescent="0.3">
      <c r="A164" s="1"/>
    </row>
    <row r="165" spans="1:1" x14ac:dyDescent="0.3">
      <c r="A165" s="1"/>
    </row>
    <row r="166" spans="1:1" x14ac:dyDescent="0.3">
      <c r="A166" s="1"/>
    </row>
    <row r="167" spans="1:1" x14ac:dyDescent="0.3">
      <c r="A167" s="1"/>
    </row>
    <row r="168" spans="1:1" x14ac:dyDescent="0.3">
      <c r="A168" s="1"/>
    </row>
    <row r="169" spans="1:1" x14ac:dyDescent="0.3">
      <c r="A169" s="1"/>
    </row>
    <row r="170" spans="1:1" x14ac:dyDescent="0.3">
      <c r="A170" s="1"/>
    </row>
    <row r="171" spans="1:1" x14ac:dyDescent="0.3">
      <c r="A171" s="1"/>
    </row>
    <row r="172" spans="1:1" x14ac:dyDescent="0.3">
      <c r="A172" s="1"/>
    </row>
    <row r="173" spans="1:1" x14ac:dyDescent="0.3">
      <c r="A173" s="1"/>
    </row>
    <row r="174" spans="1:1" x14ac:dyDescent="0.3">
      <c r="A174" s="1"/>
    </row>
    <row r="175" spans="1:1" x14ac:dyDescent="0.3">
      <c r="A175" s="1"/>
    </row>
    <row r="176" spans="1:1" x14ac:dyDescent="0.3">
      <c r="A176" s="1"/>
    </row>
    <row r="177" spans="1:1" x14ac:dyDescent="0.3">
      <c r="A177" s="1"/>
    </row>
    <row r="178" spans="1:1" x14ac:dyDescent="0.3">
      <c r="A178" s="1"/>
    </row>
    <row r="179" spans="1:1" x14ac:dyDescent="0.3">
      <c r="A179" s="1"/>
    </row>
    <row r="180" spans="1:1" x14ac:dyDescent="0.3">
      <c r="A180" s="1"/>
    </row>
    <row r="181" spans="1:1" x14ac:dyDescent="0.3">
      <c r="A181" s="1"/>
    </row>
    <row r="182" spans="1:1" x14ac:dyDescent="0.3">
      <c r="A182" s="1"/>
    </row>
    <row r="183" spans="1:1" x14ac:dyDescent="0.3">
      <c r="A183" s="1"/>
    </row>
    <row r="184" spans="1:1" x14ac:dyDescent="0.3">
      <c r="A184" s="1"/>
    </row>
    <row r="185" spans="1:1" x14ac:dyDescent="0.3">
      <c r="A185" s="1"/>
    </row>
    <row r="186" spans="1:1" x14ac:dyDescent="0.3">
      <c r="A186" s="1"/>
    </row>
    <row r="187" spans="1:1" x14ac:dyDescent="0.3">
      <c r="A187" s="1"/>
    </row>
    <row r="188" spans="1:1" x14ac:dyDescent="0.3">
      <c r="A188" s="1"/>
    </row>
    <row r="189" spans="1:1" x14ac:dyDescent="0.3">
      <c r="A189" s="1"/>
    </row>
    <row r="190" spans="1:1" x14ac:dyDescent="0.3">
      <c r="A190" s="1"/>
    </row>
    <row r="191" spans="1:1" x14ac:dyDescent="0.3">
      <c r="A191" s="1"/>
    </row>
    <row r="192" spans="1:1" x14ac:dyDescent="0.3">
      <c r="A192" s="1"/>
    </row>
    <row r="193" spans="1:3" x14ac:dyDescent="0.3">
      <c r="A193" s="1"/>
    </row>
    <row r="194" spans="1:3" x14ac:dyDescent="0.3">
      <c r="A194" s="1"/>
    </row>
    <row r="195" spans="1:3" x14ac:dyDescent="0.3">
      <c r="A195" s="1"/>
    </row>
    <row r="196" spans="1:3" x14ac:dyDescent="0.3">
      <c r="A196" s="1"/>
    </row>
    <row r="197" spans="1:3" x14ac:dyDescent="0.3">
      <c r="A197" s="1"/>
    </row>
    <row r="198" spans="1:3" x14ac:dyDescent="0.3">
      <c r="A198" s="1"/>
    </row>
    <row r="199" spans="1:3" x14ac:dyDescent="0.3">
      <c r="A199" s="1"/>
    </row>
    <row r="200" spans="1:3" x14ac:dyDescent="0.3">
      <c r="A200" s="1"/>
    </row>
    <row r="201" spans="1:3" x14ac:dyDescent="0.3">
      <c r="A201" s="1"/>
      <c r="B201" s="1"/>
      <c r="C201" s="1"/>
    </row>
    <row r="202" spans="1:3" x14ac:dyDescent="0.3">
      <c r="A202" s="1"/>
      <c r="B202" s="1"/>
      <c r="C202" s="1"/>
    </row>
    <row r="203" spans="1:3" x14ac:dyDescent="0.3">
      <c r="A203" s="1"/>
      <c r="B203" s="1"/>
      <c r="C203" s="1"/>
    </row>
    <row r="204" spans="1:3" x14ac:dyDescent="0.3">
      <c r="A2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5" spans="1:3" x14ac:dyDescent="0.3">
      <c r="A2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6" spans="1:3" x14ac:dyDescent="0.3">
      <c r="A2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7" spans="1:3" x14ac:dyDescent="0.3">
      <c r="A2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8" spans="1:3" x14ac:dyDescent="0.3">
      <c r="A2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09" spans="1:1" x14ac:dyDescent="0.3">
      <c r="A2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0" spans="1:1" x14ac:dyDescent="0.3">
      <c r="A2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1" spans="1:1" x14ac:dyDescent="0.3">
      <c r="A2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2" spans="1:1" x14ac:dyDescent="0.3">
      <c r="A2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3" spans="1:1" x14ac:dyDescent="0.3">
      <c r="A2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4" spans="1:1" x14ac:dyDescent="0.3">
      <c r="A2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5" spans="1:1" x14ac:dyDescent="0.3">
      <c r="A2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6" spans="1:1" x14ac:dyDescent="0.3">
      <c r="A2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7" spans="1:1" x14ac:dyDescent="0.3">
      <c r="A2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8" spans="1:1" x14ac:dyDescent="0.3">
      <c r="A2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19" spans="1:1" x14ac:dyDescent="0.3">
      <c r="A2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0" spans="1:1" x14ac:dyDescent="0.3">
      <c r="A2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1" spans="1:1" x14ac:dyDescent="0.3">
      <c r="A2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2" spans="1:1" x14ac:dyDescent="0.3">
      <c r="A2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3" spans="1:1" x14ac:dyDescent="0.3">
      <c r="A2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4" spans="1:1" x14ac:dyDescent="0.3">
      <c r="A2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5" spans="1:1" x14ac:dyDescent="0.3">
      <c r="A2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6" spans="1:1" x14ac:dyDescent="0.3">
      <c r="A2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7" spans="1:1" x14ac:dyDescent="0.3">
      <c r="A2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8" spans="1:1" x14ac:dyDescent="0.3">
      <c r="A2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29" spans="1:1" x14ac:dyDescent="0.3">
      <c r="A2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0" spans="1:1" x14ac:dyDescent="0.3">
      <c r="A2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1" spans="1:1" x14ac:dyDescent="0.3">
      <c r="A2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2" spans="1:1" x14ac:dyDescent="0.3">
      <c r="A2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3" spans="1:1" x14ac:dyDescent="0.3">
      <c r="A2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4" spans="1:1" x14ac:dyDescent="0.3">
      <c r="A2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5" spans="1:1" x14ac:dyDescent="0.3">
      <c r="A2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6" spans="1:1" x14ac:dyDescent="0.3">
      <c r="A2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7" spans="1:1" x14ac:dyDescent="0.3">
      <c r="A2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8" spans="1:1" x14ac:dyDescent="0.3">
      <c r="A2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39" spans="1:1" x14ac:dyDescent="0.3">
      <c r="A2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0" spans="1:1" x14ac:dyDescent="0.3">
      <c r="A2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1" spans="1:1" x14ac:dyDescent="0.3">
      <c r="A2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2" spans="1:1" x14ac:dyDescent="0.3">
      <c r="A2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3" spans="1:1" x14ac:dyDescent="0.3">
      <c r="A2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4" spans="1:1" x14ac:dyDescent="0.3">
      <c r="A2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5" spans="1:1" x14ac:dyDescent="0.3">
      <c r="A2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6" spans="1:1" x14ac:dyDescent="0.3">
      <c r="A2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7" spans="1:1" x14ac:dyDescent="0.3">
      <c r="A2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8" spans="1:1" x14ac:dyDescent="0.3">
      <c r="A2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49" spans="1:1" x14ac:dyDescent="0.3">
      <c r="A2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0" spans="1:1" x14ac:dyDescent="0.3">
      <c r="A2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1" spans="1:1" x14ac:dyDescent="0.3">
      <c r="A2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2" spans="1:1" x14ac:dyDescent="0.3">
      <c r="A2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3" spans="1:1" x14ac:dyDescent="0.3">
      <c r="A2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4" spans="1:1" x14ac:dyDescent="0.3">
      <c r="A2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5" spans="1:1" x14ac:dyDescent="0.3">
      <c r="A2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6" spans="1:1" x14ac:dyDescent="0.3">
      <c r="A2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7" spans="1:1" x14ac:dyDescent="0.3">
      <c r="A2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8" spans="1:1" x14ac:dyDescent="0.3">
      <c r="A2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59" spans="1:1" x14ac:dyDescent="0.3">
      <c r="A2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0" spans="1:1" x14ac:dyDescent="0.3">
      <c r="A2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1" spans="1:1" x14ac:dyDescent="0.3">
      <c r="A2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2" spans="1:1" x14ac:dyDescent="0.3">
      <c r="A2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3" spans="1:1" x14ac:dyDescent="0.3">
      <c r="A2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4" spans="1:1" x14ac:dyDescent="0.3">
      <c r="A2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5" spans="1:1" x14ac:dyDescent="0.3">
      <c r="A2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6" spans="1:1" x14ac:dyDescent="0.3">
      <c r="A2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7" spans="1:1" x14ac:dyDescent="0.3">
      <c r="A2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8" spans="1:1" x14ac:dyDescent="0.3">
      <c r="A2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69" spans="1:1" x14ac:dyDescent="0.3">
      <c r="A2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0" spans="1:1" x14ac:dyDescent="0.3">
      <c r="A2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1" spans="1:1" x14ac:dyDescent="0.3">
      <c r="A2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2" spans="1:1" x14ac:dyDescent="0.3">
      <c r="A2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3" spans="1:1" x14ac:dyDescent="0.3">
      <c r="A2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4" spans="1:1" x14ac:dyDescent="0.3">
      <c r="A2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5" spans="1:1" x14ac:dyDescent="0.3">
      <c r="A2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6" spans="1:1" x14ac:dyDescent="0.3">
      <c r="A2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7" spans="1:1" x14ac:dyDescent="0.3">
      <c r="A2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8" spans="1:1" x14ac:dyDescent="0.3">
      <c r="A2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79" spans="1:1" x14ac:dyDescent="0.3">
      <c r="A2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0" spans="1:1" x14ac:dyDescent="0.3">
      <c r="A2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1" spans="1:1" x14ac:dyDescent="0.3">
      <c r="A2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2" spans="1:1" x14ac:dyDescent="0.3">
      <c r="A2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3" spans="1:1" x14ac:dyDescent="0.3">
      <c r="A2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4" spans="1:1" x14ac:dyDescent="0.3">
      <c r="A2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5" spans="1:1" x14ac:dyDescent="0.3">
      <c r="A2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6" spans="1:1" x14ac:dyDescent="0.3">
      <c r="A2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7" spans="1:1" x14ac:dyDescent="0.3">
      <c r="A2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8" spans="1:1" x14ac:dyDescent="0.3">
      <c r="A2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89" spans="1:1" x14ac:dyDescent="0.3">
      <c r="A2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0" spans="1:1" x14ac:dyDescent="0.3">
      <c r="A2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1" spans="1:1" x14ac:dyDescent="0.3">
      <c r="A2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2" spans="1:1" x14ac:dyDescent="0.3">
      <c r="A2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3" spans="1:1" x14ac:dyDescent="0.3">
      <c r="A2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4" spans="1:1" x14ac:dyDescent="0.3">
      <c r="A2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5" spans="1:1" x14ac:dyDescent="0.3">
      <c r="A2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6" spans="1:1" x14ac:dyDescent="0.3">
      <c r="A2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7" spans="1:1" x14ac:dyDescent="0.3">
      <c r="A2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8" spans="1:1" x14ac:dyDescent="0.3">
      <c r="A2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299" spans="1:1" x14ac:dyDescent="0.3">
      <c r="A2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0" spans="1:1" x14ac:dyDescent="0.3">
      <c r="A3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1" spans="1:1" x14ac:dyDescent="0.3">
      <c r="A3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2" spans="1:1" x14ac:dyDescent="0.3">
      <c r="A3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3" spans="1:1" x14ac:dyDescent="0.3">
      <c r="A3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4" spans="1:1" x14ac:dyDescent="0.3">
      <c r="A3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5" spans="1:1" x14ac:dyDescent="0.3">
      <c r="A3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6" spans="1:1" x14ac:dyDescent="0.3">
      <c r="A3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7" spans="1:1" x14ac:dyDescent="0.3">
      <c r="A3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8" spans="1:1" x14ac:dyDescent="0.3">
      <c r="A3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09" spans="1:1" x14ac:dyDescent="0.3">
      <c r="A3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0" spans="1:1" x14ac:dyDescent="0.3">
      <c r="A3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1" spans="1:1" x14ac:dyDescent="0.3">
      <c r="A3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2" spans="1:1" x14ac:dyDescent="0.3">
      <c r="A3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3" spans="1:1" x14ac:dyDescent="0.3">
      <c r="A3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4" spans="1:1" x14ac:dyDescent="0.3">
      <c r="A3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5" spans="1:1" x14ac:dyDescent="0.3">
      <c r="A3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6" spans="1:1" x14ac:dyDescent="0.3">
      <c r="A3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7" spans="1:1" x14ac:dyDescent="0.3">
      <c r="A3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8" spans="1:1" x14ac:dyDescent="0.3">
      <c r="A3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19" spans="1:1" x14ac:dyDescent="0.3">
      <c r="A3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0" spans="1:1" x14ac:dyDescent="0.3">
      <c r="A3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1" spans="1:1" x14ac:dyDescent="0.3">
      <c r="A3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2" spans="1:1" x14ac:dyDescent="0.3">
      <c r="A3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3" spans="1:1" x14ac:dyDescent="0.3">
      <c r="A3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4" spans="1:1" x14ac:dyDescent="0.3">
      <c r="A3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5" spans="1:1" x14ac:dyDescent="0.3">
      <c r="A3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6" spans="1:1" x14ac:dyDescent="0.3">
      <c r="A3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7" spans="1:1" x14ac:dyDescent="0.3">
      <c r="A3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8" spans="1:1" x14ac:dyDescent="0.3">
      <c r="A3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29" spans="1:1" x14ac:dyDescent="0.3">
      <c r="A3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0" spans="1:1" x14ac:dyDescent="0.3">
      <c r="A3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1" spans="1:1" x14ac:dyDescent="0.3">
      <c r="A3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2" spans="1:1" x14ac:dyDescent="0.3">
      <c r="A3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3" spans="1:1" x14ac:dyDescent="0.3">
      <c r="A3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4" spans="1:1" x14ac:dyDescent="0.3">
      <c r="A3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5" spans="1:1" x14ac:dyDescent="0.3">
      <c r="A3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6" spans="1:1" x14ac:dyDescent="0.3">
      <c r="A3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7" spans="1:1" x14ac:dyDescent="0.3">
      <c r="A3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8" spans="1:1" x14ac:dyDescent="0.3">
      <c r="A3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39" spans="1:1" x14ac:dyDescent="0.3">
      <c r="A3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0" spans="1:1" x14ac:dyDescent="0.3">
      <c r="A3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1" spans="1:1" x14ac:dyDescent="0.3">
      <c r="A3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2" spans="1:1" x14ac:dyDescent="0.3">
      <c r="A3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3" spans="1:1" x14ac:dyDescent="0.3">
      <c r="A3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4" spans="1:1" x14ac:dyDescent="0.3">
      <c r="A3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5" spans="1:1" x14ac:dyDescent="0.3">
      <c r="A3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6" spans="1:1" x14ac:dyDescent="0.3">
      <c r="A3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7" spans="1:1" x14ac:dyDescent="0.3">
      <c r="A3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8" spans="1:1" x14ac:dyDescent="0.3">
      <c r="A3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49" spans="1:1" x14ac:dyDescent="0.3">
      <c r="A3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0" spans="1:1" x14ac:dyDescent="0.3">
      <c r="A3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1" spans="1:1" x14ac:dyDescent="0.3">
      <c r="A3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2" spans="1:1" x14ac:dyDescent="0.3">
      <c r="A3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3" spans="1:1" x14ac:dyDescent="0.3">
      <c r="A3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4" spans="1:1" x14ac:dyDescent="0.3">
      <c r="A3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5" spans="1:1" x14ac:dyDescent="0.3">
      <c r="A3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6" spans="1:1" x14ac:dyDescent="0.3">
      <c r="A3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7" spans="1:1" x14ac:dyDescent="0.3">
      <c r="A3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8" spans="1:1" x14ac:dyDescent="0.3">
      <c r="A3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59" spans="1:1" x14ac:dyDescent="0.3">
      <c r="A3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0" spans="1:1" x14ac:dyDescent="0.3">
      <c r="A3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1" spans="1:1" x14ac:dyDescent="0.3">
      <c r="A3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2" spans="1:1" x14ac:dyDescent="0.3">
      <c r="A3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3" spans="1:1" x14ac:dyDescent="0.3">
      <c r="A3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4" spans="1:1" x14ac:dyDescent="0.3">
      <c r="A3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5" spans="1:1" x14ac:dyDescent="0.3">
      <c r="A3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6" spans="1:1" x14ac:dyDescent="0.3">
      <c r="A3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7" spans="1:1" x14ac:dyDescent="0.3">
      <c r="A3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8" spans="1:1" x14ac:dyDescent="0.3">
      <c r="A3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69" spans="1:1" x14ac:dyDescent="0.3">
      <c r="A3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0" spans="1:1" x14ac:dyDescent="0.3">
      <c r="A3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1" spans="1:1" x14ac:dyDescent="0.3">
      <c r="A3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2" spans="1:1" x14ac:dyDescent="0.3">
      <c r="A3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3" spans="1:1" x14ac:dyDescent="0.3">
      <c r="A3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4" spans="1:1" x14ac:dyDescent="0.3">
      <c r="A3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5" spans="1:1" x14ac:dyDescent="0.3">
      <c r="A3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6" spans="1:1" x14ac:dyDescent="0.3">
      <c r="A3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7" spans="1:1" x14ac:dyDescent="0.3">
      <c r="A3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8" spans="1:1" x14ac:dyDescent="0.3">
      <c r="A3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79" spans="1:1" x14ac:dyDescent="0.3">
      <c r="A3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0" spans="1:1" x14ac:dyDescent="0.3">
      <c r="A3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1" spans="1:1" x14ac:dyDescent="0.3">
      <c r="A3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2" spans="1:1" x14ac:dyDescent="0.3">
      <c r="A3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3" spans="1:1" x14ac:dyDescent="0.3">
      <c r="A3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4" spans="1:1" x14ac:dyDescent="0.3">
      <c r="A3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5" spans="1:1" x14ac:dyDescent="0.3">
      <c r="A3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6" spans="1:1" x14ac:dyDescent="0.3">
      <c r="A3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7" spans="1:1" x14ac:dyDescent="0.3">
      <c r="A3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8" spans="1:1" x14ac:dyDescent="0.3">
      <c r="A3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89" spans="1:1" x14ac:dyDescent="0.3">
      <c r="A3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0" spans="1:1" x14ac:dyDescent="0.3">
      <c r="A3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1" spans="1:1" x14ac:dyDescent="0.3">
      <c r="A3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2" spans="1:1" x14ac:dyDescent="0.3">
      <c r="A3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3" spans="1:1" x14ac:dyDescent="0.3">
      <c r="A3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4" spans="1:1" x14ac:dyDescent="0.3">
      <c r="A3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5" spans="1:1" x14ac:dyDescent="0.3">
      <c r="A3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6" spans="1:1" x14ac:dyDescent="0.3">
      <c r="A3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7" spans="1:1" x14ac:dyDescent="0.3">
      <c r="A3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8" spans="1:1" x14ac:dyDescent="0.3">
      <c r="A3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399" spans="1:1" x14ac:dyDescent="0.3">
      <c r="A3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0" spans="1:1" x14ac:dyDescent="0.3">
      <c r="A4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1" spans="1:1" x14ac:dyDescent="0.3">
      <c r="A4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2" spans="1:1" x14ac:dyDescent="0.3">
      <c r="A4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3" spans="1:1" x14ac:dyDescent="0.3">
      <c r="A4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4" spans="1:1" x14ac:dyDescent="0.3">
      <c r="A4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5" spans="1:1" x14ac:dyDescent="0.3">
      <c r="A4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6" spans="1:1" x14ac:dyDescent="0.3">
      <c r="A4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7" spans="1:1" x14ac:dyDescent="0.3">
      <c r="A4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8" spans="1:1" x14ac:dyDescent="0.3">
      <c r="A4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09" spans="1:1" x14ac:dyDescent="0.3">
      <c r="A4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0" spans="1:1" x14ac:dyDescent="0.3">
      <c r="A4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1" spans="1:1" x14ac:dyDescent="0.3">
      <c r="A4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2" spans="1:1" x14ac:dyDescent="0.3">
      <c r="A4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3" spans="1:1" x14ac:dyDescent="0.3">
      <c r="A4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4" spans="1:1" x14ac:dyDescent="0.3">
      <c r="A4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5" spans="1:1" x14ac:dyDescent="0.3">
      <c r="A4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6" spans="1:1" x14ac:dyDescent="0.3">
      <c r="A4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7" spans="1:1" x14ac:dyDescent="0.3">
      <c r="A4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8" spans="1:1" x14ac:dyDescent="0.3">
      <c r="A4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19" spans="1:1" x14ac:dyDescent="0.3">
      <c r="A4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0" spans="1:1" x14ac:dyDescent="0.3">
      <c r="A4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1" spans="1:1" x14ac:dyDescent="0.3">
      <c r="A4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2" spans="1:1" x14ac:dyDescent="0.3">
      <c r="A4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3" spans="1:1" x14ac:dyDescent="0.3">
      <c r="A4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4" spans="1:1" x14ac:dyDescent="0.3">
      <c r="A4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5" spans="1:1" x14ac:dyDescent="0.3">
      <c r="A4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6" spans="1:1" x14ac:dyDescent="0.3">
      <c r="A4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7" spans="1:1" x14ac:dyDescent="0.3">
      <c r="A4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8" spans="1:1" x14ac:dyDescent="0.3">
      <c r="A4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29" spans="1:1" x14ac:dyDescent="0.3">
      <c r="A4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0" spans="1:1" x14ac:dyDescent="0.3">
      <c r="A4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1" spans="1:1" x14ac:dyDescent="0.3">
      <c r="A4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2" spans="1:1" x14ac:dyDescent="0.3">
      <c r="A4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3" spans="1:1" x14ac:dyDescent="0.3">
      <c r="A4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4" spans="1:1" x14ac:dyDescent="0.3">
      <c r="A4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5" spans="1:1" x14ac:dyDescent="0.3">
      <c r="A4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6" spans="1:1" x14ac:dyDescent="0.3">
      <c r="A4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7" spans="1:1" x14ac:dyDescent="0.3">
      <c r="A4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8" spans="1:1" x14ac:dyDescent="0.3">
      <c r="A4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39" spans="1:1" x14ac:dyDescent="0.3">
      <c r="A4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0" spans="1:1" x14ac:dyDescent="0.3">
      <c r="A4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1" spans="1:1" x14ac:dyDescent="0.3">
      <c r="A4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2" spans="1:1" x14ac:dyDescent="0.3">
      <c r="A4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3" spans="1:1" x14ac:dyDescent="0.3">
      <c r="A4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4" spans="1:1" x14ac:dyDescent="0.3">
      <c r="A4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5" spans="1:1" x14ac:dyDescent="0.3">
      <c r="A4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6" spans="1:1" x14ac:dyDescent="0.3">
      <c r="A4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7" spans="1:1" x14ac:dyDescent="0.3">
      <c r="A4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8" spans="1:1" x14ac:dyDescent="0.3">
      <c r="A4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49" spans="1:1" x14ac:dyDescent="0.3">
      <c r="A4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0" spans="1:1" x14ac:dyDescent="0.3">
      <c r="A4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1" spans="1:1" x14ac:dyDescent="0.3">
      <c r="A4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2" spans="1:1" x14ac:dyDescent="0.3">
      <c r="A4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3" spans="1:1" x14ac:dyDescent="0.3">
      <c r="A4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4" spans="1:1" x14ac:dyDescent="0.3">
      <c r="A4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5" spans="1:1" x14ac:dyDescent="0.3">
      <c r="A4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6" spans="1:1" x14ac:dyDescent="0.3">
      <c r="A4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7" spans="1:1" x14ac:dyDescent="0.3">
      <c r="A4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8" spans="1:1" x14ac:dyDescent="0.3">
      <c r="A4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59" spans="1:1" x14ac:dyDescent="0.3">
      <c r="A4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0" spans="1:1" x14ac:dyDescent="0.3">
      <c r="A4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1" spans="1:1" x14ac:dyDescent="0.3">
      <c r="A4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2" spans="1:1" x14ac:dyDescent="0.3">
      <c r="A4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3" spans="1:1" x14ac:dyDescent="0.3">
      <c r="A4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4" spans="1:1" x14ac:dyDescent="0.3">
      <c r="A4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5" spans="1:1" x14ac:dyDescent="0.3">
      <c r="A4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6" spans="1:1" x14ac:dyDescent="0.3">
      <c r="A4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7" spans="1:1" x14ac:dyDescent="0.3">
      <c r="A4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8" spans="1:1" x14ac:dyDescent="0.3">
      <c r="A4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69" spans="1:1" x14ac:dyDescent="0.3">
      <c r="A4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0" spans="1:1" x14ac:dyDescent="0.3">
      <c r="A4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1" spans="1:1" x14ac:dyDescent="0.3">
      <c r="A4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2" spans="1:1" x14ac:dyDescent="0.3">
      <c r="A4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3" spans="1:1" x14ac:dyDescent="0.3">
      <c r="A4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4" spans="1:1" x14ac:dyDescent="0.3">
      <c r="A4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5" spans="1:1" x14ac:dyDescent="0.3">
      <c r="A4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6" spans="1:1" x14ac:dyDescent="0.3">
      <c r="A4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7" spans="1:1" x14ac:dyDescent="0.3">
      <c r="A4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8" spans="1:1" x14ac:dyDescent="0.3">
      <c r="A4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79" spans="1:1" x14ac:dyDescent="0.3">
      <c r="A4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0" spans="1:1" x14ac:dyDescent="0.3">
      <c r="A4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1" spans="1:1" x14ac:dyDescent="0.3">
      <c r="A4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2" spans="1:1" x14ac:dyDescent="0.3">
      <c r="A4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3" spans="1:1" x14ac:dyDescent="0.3">
      <c r="A4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4" spans="1:1" x14ac:dyDescent="0.3">
      <c r="A4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5" spans="1:1" x14ac:dyDescent="0.3">
      <c r="A4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6" spans="1:1" x14ac:dyDescent="0.3">
      <c r="A4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7" spans="1:1" x14ac:dyDescent="0.3">
      <c r="A4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8" spans="1:1" x14ac:dyDescent="0.3">
      <c r="A4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89" spans="1:1" x14ac:dyDescent="0.3">
      <c r="A4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0" spans="1:1" x14ac:dyDescent="0.3">
      <c r="A4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1" spans="1:1" x14ac:dyDescent="0.3">
      <c r="A4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2" spans="1:1" x14ac:dyDescent="0.3">
      <c r="A4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3" spans="1:1" x14ac:dyDescent="0.3">
      <c r="A4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4" spans="1:1" x14ac:dyDescent="0.3">
      <c r="A4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5" spans="1:1" x14ac:dyDescent="0.3">
      <c r="A4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6" spans="1:1" x14ac:dyDescent="0.3">
      <c r="A4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7" spans="1:1" x14ac:dyDescent="0.3">
      <c r="A4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8" spans="1:1" x14ac:dyDescent="0.3">
      <c r="A4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499" spans="1:1" x14ac:dyDescent="0.3">
      <c r="A4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0" spans="1:1" x14ac:dyDescent="0.3">
      <c r="A5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1" spans="1:1" x14ac:dyDescent="0.3">
      <c r="A5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2" spans="1:1" x14ac:dyDescent="0.3">
      <c r="A5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3" spans="1:1" x14ac:dyDescent="0.3">
      <c r="A5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4" spans="1:1" x14ac:dyDescent="0.3">
      <c r="A5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5" spans="1:1" x14ac:dyDescent="0.3">
      <c r="A5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6" spans="1:1" x14ac:dyDescent="0.3">
      <c r="A5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7" spans="1:1" x14ac:dyDescent="0.3">
      <c r="A5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8" spans="1:1" x14ac:dyDescent="0.3">
      <c r="A5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09" spans="1:1" x14ac:dyDescent="0.3">
      <c r="A5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0" spans="1:1" x14ac:dyDescent="0.3">
      <c r="A5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1" spans="1:1" x14ac:dyDescent="0.3">
      <c r="A5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2" spans="1:1" x14ac:dyDescent="0.3">
      <c r="A5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3" spans="1:1" x14ac:dyDescent="0.3">
      <c r="A5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4" spans="1:1" x14ac:dyDescent="0.3">
      <c r="A5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5" spans="1:1" x14ac:dyDescent="0.3">
      <c r="A5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6" spans="1:1" x14ac:dyDescent="0.3">
      <c r="A5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7" spans="1:1" x14ac:dyDescent="0.3">
      <c r="A5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8" spans="1:1" x14ac:dyDescent="0.3">
      <c r="A5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19" spans="1:1" x14ac:dyDescent="0.3">
      <c r="A5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0" spans="1:1" x14ac:dyDescent="0.3">
      <c r="A5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1" spans="1:1" x14ac:dyDescent="0.3">
      <c r="A5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2" spans="1:1" x14ac:dyDescent="0.3">
      <c r="A5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3" spans="1:1" x14ac:dyDescent="0.3">
      <c r="A5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4" spans="1:1" x14ac:dyDescent="0.3">
      <c r="A5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5" spans="1:1" x14ac:dyDescent="0.3">
      <c r="A5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6" spans="1:1" x14ac:dyDescent="0.3">
      <c r="A5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7" spans="1:1" x14ac:dyDescent="0.3">
      <c r="A5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8" spans="1:1" x14ac:dyDescent="0.3">
      <c r="A5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29" spans="1:1" x14ac:dyDescent="0.3">
      <c r="A5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0" spans="1:1" x14ac:dyDescent="0.3">
      <c r="A5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1" spans="1:1" x14ac:dyDescent="0.3">
      <c r="A5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2" spans="1:1" x14ac:dyDescent="0.3">
      <c r="A5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3" spans="1:1" x14ac:dyDescent="0.3">
      <c r="A5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4" spans="1:1" x14ac:dyDescent="0.3">
      <c r="A5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5" spans="1:1" x14ac:dyDescent="0.3">
      <c r="A5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6" spans="1:1" x14ac:dyDescent="0.3">
      <c r="A5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7" spans="1:1" x14ac:dyDescent="0.3">
      <c r="A5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8" spans="1:1" x14ac:dyDescent="0.3">
      <c r="A5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39" spans="1:1" x14ac:dyDescent="0.3">
      <c r="A5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0" spans="1:1" x14ac:dyDescent="0.3">
      <c r="A5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1" spans="1:1" x14ac:dyDescent="0.3">
      <c r="A5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2" spans="1:1" x14ac:dyDescent="0.3">
      <c r="A5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3" spans="1:1" x14ac:dyDescent="0.3">
      <c r="A5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4" spans="1:1" x14ac:dyDescent="0.3">
      <c r="A5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5" spans="1:1" x14ac:dyDescent="0.3">
      <c r="A5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6" spans="1:1" x14ac:dyDescent="0.3">
      <c r="A5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7" spans="1:1" x14ac:dyDescent="0.3">
      <c r="A5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8" spans="1:1" x14ac:dyDescent="0.3">
      <c r="A5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49" spans="1:1" x14ac:dyDescent="0.3">
      <c r="A5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0" spans="1:1" x14ac:dyDescent="0.3">
      <c r="A5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1" spans="1:1" x14ac:dyDescent="0.3">
      <c r="A5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2" spans="1:1" x14ac:dyDescent="0.3">
      <c r="A5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3" spans="1:1" x14ac:dyDescent="0.3">
      <c r="A5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4" spans="1:1" x14ac:dyDescent="0.3">
      <c r="A5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5" spans="1:1" x14ac:dyDescent="0.3">
      <c r="A5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6" spans="1:1" x14ac:dyDescent="0.3">
      <c r="A5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7" spans="1:1" x14ac:dyDescent="0.3">
      <c r="A5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8" spans="1:1" x14ac:dyDescent="0.3">
      <c r="A5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59" spans="1:1" x14ac:dyDescent="0.3">
      <c r="A5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0" spans="1:1" x14ac:dyDescent="0.3">
      <c r="A5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1" spans="1:1" x14ac:dyDescent="0.3">
      <c r="A5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2" spans="1:1" x14ac:dyDescent="0.3">
      <c r="A5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3" spans="1:1" x14ac:dyDescent="0.3">
      <c r="A5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4" spans="1:1" x14ac:dyDescent="0.3">
      <c r="A5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5" spans="1:1" x14ac:dyDescent="0.3">
      <c r="A5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6" spans="1:1" x14ac:dyDescent="0.3">
      <c r="A5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7" spans="1:1" x14ac:dyDescent="0.3">
      <c r="A5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8" spans="1:1" x14ac:dyDescent="0.3">
      <c r="A5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69" spans="1:1" x14ac:dyDescent="0.3">
      <c r="A5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0" spans="1:1" x14ac:dyDescent="0.3">
      <c r="A5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1" spans="1:1" x14ac:dyDescent="0.3">
      <c r="A5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2" spans="1:1" x14ac:dyDescent="0.3">
      <c r="A5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3" spans="1:1" x14ac:dyDescent="0.3">
      <c r="A5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4" spans="1:1" x14ac:dyDescent="0.3">
      <c r="A5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5" spans="1:1" x14ac:dyDescent="0.3">
      <c r="A5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6" spans="1:1" x14ac:dyDescent="0.3">
      <c r="A5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7" spans="1:1" x14ac:dyDescent="0.3">
      <c r="A5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8" spans="1:1" x14ac:dyDescent="0.3">
      <c r="A5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79" spans="1:1" x14ac:dyDescent="0.3">
      <c r="A5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0" spans="1:1" x14ac:dyDescent="0.3">
      <c r="A5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1" spans="1:1" x14ac:dyDescent="0.3">
      <c r="A5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2" spans="1:1" x14ac:dyDescent="0.3">
      <c r="A5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3" spans="1:1" x14ac:dyDescent="0.3">
      <c r="A5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4" spans="1:1" x14ac:dyDescent="0.3">
      <c r="A5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5" spans="1:1" x14ac:dyDescent="0.3">
      <c r="A5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6" spans="1:1" x14ac:dyDescent="0.3">
      <c r="A5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7" spans="1:1" x14ac:dyDescent="0.3">
      <c r="A5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8" spans="1:1" x14ac:dyDescent="0.3">
      <c r="A5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89" spans="1:1" x14ac:dyDescent="0.3">
      <c r="A5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0" spans="1:1" x14ac:dyDescent="0.3">
      <c r="A5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1" spans="1:1" x14ac:dyDescent="0.3">
      <c r="A5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2" spans="1:1" x14ac:dyDescent="0.3">
      <c r="A5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3" spans="1:1" x14ac:dyDescent="0.3">
      <c r="A5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4" spans="1:1" x14ac:dyDescent="0.3">
      <c r="A5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5" spans="1:1" x14ac:dyDescent="0.3">
      <c r="A5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6" spans="1:1" x14ac:dyDescent="0.3">
      <c r="A5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7" spans="1:1" x14ac:dyDescent="0.3">
      <c r="A5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8" spans="1:1" x14ac:dyDescent="0.3">
      <c r="A5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599" spans="1:1" x14ac:dyDescent="0.3">
      <c r="A5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0" spans="1:1" x14ac:dyDescent="0.3">
      <c r="A6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1" spans="1:1" x14ac:dyDescent="0.3">
      <c r="A6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2" spans="1:1" x14ac:dyDescent="0.3">
      <c r="A6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3" spans="1:1" x14ac:dyDescent="0.3">
      <c r="A6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4" spans="1:1" x14ac:dyDescent="0.3">
      <c r="A6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5" spans="1:1" x14ac:dyDescent="0.3">
      <c r="A6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6" spans="1:1" x14ac:dyDescent="0.3">
      <c r="A6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7" spans="1:1" x14ac:dyDescent="0.3">
      <c r="A6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8" spans="1:1" x14ac:dyDescent="0.3">
      <c r="A6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09" spans="1:1" x14ac:dyDescent="0.3">
      <c r="A6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0" spans="1:1" x14ac:dyDescent="0.3">
      <c r="A6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1" spans="1:1" x14ac:dyDescent="0.3">
      <c r="A6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2" spans="1:1" x14ac:dyDescent="0.3">
      <c r="A6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3" spans="1:1" x14ac:dyDescent="0.3">
      <c r="A6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4" spans="1:1" x14ac:dyDescent="0.3">
      <c r="A6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5" spans="1:1" x14ac:dyDescent="0.3">
      <c r="A6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6" spans="1:1" x14ac:dyDescent="0.3">
      <c r="A6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7" spans="1:1" x14ac:dyDescent="0.3">
      <c r="A6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8" spans="1:1" x14ac:dyDescent="0.3">
      <c r="A6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19" spans="1:1" x14ac:dyDescent="0.3">
      <c r="A6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0" spans="1:1" x14ac:dyDescent="0.3">
      <c r="A6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1" spans="1:1" x14ac:dyDescent="0.3">
      <c r="A6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2" spans="1:1" x14ac:dyDescent="0.3">
      <c r="A6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3" spans="1:1" x14ac:dyDescent="0.3">
      <c r="A6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4" spans="1:1" x14ac:dyDescent="0.3">
      <c r="A6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5" spans="1:1" x14ac:dyDescent="0.3">
      <c r="A6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6" spans="1:1" x14ac:dyDescent="0.3">
      <c r="A6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7" spans="1:1" x14ac:dyDescent="0.3">
      <c r="A6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8" spans="1:1" x14ac:dyDescent="0.3">
      <c r="A6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29" spans="1:1" x14ac:dyDescent="0.3">
      <c r="A6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0" spans="1:1" x14ac:dyDescent="0.3">
      <c r="A6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1" spans="1:1" x14ac:dyDescent="0.3">
      <c r="A6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2" spans="1:1" x14ac:dyDescent="0.3">
      <c r="A6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3" spans="1:1" x14ac:dyDescent="0.3">
      <c r="A6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4" spans="1:1" x14ac:dyDescent="0.3">
      <c r="A6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5" spans="1:1" x14ac:dyDescent="0.3">
      <c r="A6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6" spans="1:1" x14ac:dyDescent="0.3">
      <c r="A6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7" spans="1:1" x14ac:dyDescent="0.3">
      <c r="A6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8" spans="1:1" x14ac:dyDescent="0.3">
      <c r="A6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39" spans="1:1" x14ac:dyDescent="0.3">
      <c r="A6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0" spans="1:1" x14ac:dyDescent="0.3">
      <c r="A6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1" spans="1:1" x14ac:dyDescent="0.3">
      <c r="A6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2" spans="1:1" x14ac:dyDescent="0.3">
      <c r="A6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3" spans="1:1" x14ac:dyDescent="0.3">
      <c r="A6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4" spans="1:1" x14ac:dyDescent="0.3">
      <c r="A6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5" spans="1:1" x14ac:dyDescent="0.3">
      <c r="A6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6" spans="1:1" x14ac:dyDescent="0.3">
      <c r="A6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7" spans="1:1" x14ac:dyDescent="0.3">
      <c r="A6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8" spans="1:1" x14ac:dyDescent="0.3">
      <c r="A6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49" spans="1:1" x14ac:dyDescent="0.3">
      <c r="A6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0" spans="1:1" x14ac:dyDescent="0.3">
      <c r="A6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1" spans="1:1" x14ac:dyDescent="0.3">
      <c r="A6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2" spans="1:1" x14ac:dyDescent="0.3">
      <c r="A6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3" spans="1:1" x14ac:dyDescent="0.3">
      <c r="A6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4" spans="1:1" x14ac:dyDescent="0.3">
      <c r="A6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5" spans="1:1" x14ac:dyDescent="0.3">
      <c r="A6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6" spans="1:1" x14ac:dyDescent="0.3">
      <c r="A6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7" spans="1:1" x14ac:dyDescent="0.3">
      <c r="A6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8" spans="1:1" x14ac:dyDescent="0.3">
      <c r="A6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59" spans="1:1" x14ac:dyDescent="0.3">
      <c r="A6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0" spans="1:1" x14ac:dyDescent="0.3">
      <c r="A6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1" spans="1:1" x14ac:dyDescent="0.3">
      <c r="A6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2" spans="1:1" x14ac:dyDescent="0.3">
      <c r="A6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3" spans="1:1" x14ac:dyDescent="0.3">
      <c r="A6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4" spans="1:1" x14ac:dyDescent="0.3">
      <c r="A6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5" spans="1:1" x14ac:dyDescent="0.3">
      <c r="A6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6" spans="1:1" x14ac:dyDescent="0.3">
      <c r="A6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7" spans="1:1" x14ac:dyDescent="0.3">
      <c r="A6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8" spans="1:1" x14ac:dyDescent="0.3">
      <c r="A6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69" spans="1:1" x14ac:dyDescent="0.3">
      <c r="A6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0" spans="1:1" x14ac:dyDescent="0.3">
      <c r="A6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1" spans="1:1" x14ac:dyDescent="0.3">
      <c r="A6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2" spans="1:1" x14ac:dyDescent="0.3">
      <c r="A6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3" spans="1:1" x14ac:dyDescent="0.3">
      <c r="A6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4" spans="1:1" x14ac:dyDescent="0.3">
      <c r="A6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5" spans="1:1" x14ac:dyDescent="0.3">
      <c r="A6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6" spans="1:1" x14ac:dyDescent="0.3">
      <c r="A6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7" spans="1:1" x14ac:dyDescent="0.3">
      <c r="A6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8" spans="1:1" x14ac:dyDescent="0.3">
      <c r="A6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79" spans="1:1" x14ac:dyDescent="0.3">
      <c r="A6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0" spans="1:1" x14ac:dyDescent="0.3">
      <c r="A6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1" spans="1:1" x14ac:dyDescent="0.3">
      <c r="A6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2" spans="1:1" x14ac:dyDescent="0.3">
      <c r="A6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3" spans="1:1" x14ac:dyDescent="0.3">
      <c r="A6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4" spans="1:1" x14ac:dyDescent="0.3">
      <c r="A6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5" spans="1:1" x14ac:dyDescent="0.3">
      <c r="A6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6" spans="1:1" x14ac:dyDescent="0.3">
      <c r="A6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7" spans="1:1" x14ac:dyDescent="0.3">
      <c r="A6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8" spans="1:1" x14ac:dyDescent="0.3">
      <c r="A6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89" spans="1:1" x14ac:dyDescent="0.3">
      <c r="A6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0" spans="1:1" x14ac:dyDescent="0.3">
      <c r="A6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1" spans="1:1" x14ac:dyDescent="0.3">
      <c r="A6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2" spans="1:1" x14ac:dyDescent="0.3">
      <c r="A6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3" spans="1:1" x14ac:dyDescent="0.3">
      <c r="A6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4" spans="1:1" x14ac:dyDescent="0.3">
      <c r="A6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5" spans="1:1" x14ac:dyDescent="0.3">
      <c r="A6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6" spans="1:1" x14ac:dyDescent="0.3">
      <c r="A6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7" spans="1:1" x14ac:dyDescent="0.3">
      <c r="A6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8" spans="1:1" x14ac:dyDescent="0.3">
      <c r="A6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699" spans="1:1" x14ac:dyDescent="0.3">
      <c r="A6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0" spans="1:1" x14ac:dyDescent="0.3">
      <c r="A7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1" spans="1:1" x14ac:dyDescent="0.3">
      <c r="A7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2" spans="1:1" x14ac:dyDescent="0.3">
      <c r="A7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3" spans="1:1" x14ac:dyDescent="0.3">
      <c r="A7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4" spans="1:1" x14ac:dyDescent="0.3">
      <c r="A7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5" spans="1:1" x14ac:dyDescent="0.3">
      <c r="A7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6" spans="1:1" x14ac:dyDescent="0.3">
      <c r="A7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7" spans="1:1" x14ac:dyDescent="0.3">
      <c r="A7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8" spans="1:1" x14ac:dyDescent="0.3">
      <c r="A7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09" spans="1:1" x14ac:dyDescent="0.3">
      <c r="A7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0" spans="1:1" x14ac:dyDescent="0.3">
      <c r="A7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1" spans="1:1" x14ac:dyDescent="0.3">
      <c r="A7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2" spans="1:1" x14ac:dyDescent="0.3">
      <c r="A7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3" spans="1:1" x14ac:dyDescent="0.3">
      <c r="A7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4" spans="1:1" x14ac:dyDescent="0.3">
      <c r="A7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5" spans="1:1" x14ac:dyDescent="0.3">
      <c r="A7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6" spans="1:1" x14ac:dyDescent="0.3">
      <c r="A7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7" spans="1:1" x14ac:dyDescent="0.3">
      <c r="A7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8" spans="1:1" x14ac:dyDescent="0.3">
      <c r="A7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19" spans="1:1" x14ac:dyDescent="0.3">
      <c r="A7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0" spans="1:1" x14ac:dyDescent="0.3">
      <c r="A7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1" spans="1:1" x14ac:dyDescent="0.3">
      <c r="A7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2" spans="1:1" x14ac:dyDescent="0.3">
      <c r="A7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3" spans="1:1" x14ac:dyDescent="0.3">
      <c r="A7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4" spans="1:1" x14ac:dyDescent="0.3">
      <c r="A7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5" spans="1:1" x14ac:dyDescent="0.3">
      <c r="A7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6" spans="1:1" x14ac:dyDescent="0.3">
      <c r="A7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7" spans="1:1" x14ac:dyDescent="0.3">
      <c r="A7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8" spans="1:1" x14ac:dyDescent="0.3">
      <c r="A7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29" spans="1:1" x14ac:dyDescent="0.3">
      <c r="A7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0" spans="1:1" x14ac:dyDescent="0.3">
      <c r="A7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1" spans="1:1" x14ac:dyDescent="0.3">
      <c r="A7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2" spans="1:1" x14ac:dyDescent="0.3">
      <c r="A7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3" spans="1:1" x14ac:dyDescent="0.3">
      <c r="A7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4" spans="1:1" x14ac:dyDescent="0.3">
      <c r="A7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5" spans="1:1" x14ac:dyDescent="0.3">
      <c r="A7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6" spans="1:1" x14ac:dyDescent="0.3">
      <c r="A7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7" spans="1:1" x14ac:dyDescent="0.3">
      <c r="A7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8" spans="1:1" x14ac:dyDescent="0.3">
      <c r="A7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39" spans="1:1" x14ac:dyDescent="0.3">
      <c r="A7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0" spans="1:1" x14ac:dyDescent="0.3">
      <c r="A7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1" spans="1:1" x14ac:dyDescent="0.3">
      <c r="A7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2" spans="1:1" x14ac:dyDescent="0.3">
      <c r="A7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3" spans="1:1" x14ac:dyDescent="0.3">
      <c r="A7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4" spans="1:1" x14ac:dyDescent="0.3">
      <c r="A7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5" spans="1:1" x14ac:dyDescent="0.3">
      <c r="A7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6" spans="1:1" x14ac:dyDescent="0.3">
      <c r="A7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7" spans="1:1" x14ac:dyDescent="0.3">
      <c r="A7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8" spans="1:1" x14ac:dyDescent="0.3">
      <c r="A7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49" spans="1:1" x14ac:dyDescent="0.3">
      <c r="A7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0" spans="1:1" x14ac:dyDescent="0.3">
      <c r="A7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1" spans="1:1" x14ac:dyDescent="0.3">
      <c r="A7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2" spans="1:1" x14ac:dyDescent="0.3">
      <c r="A7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3" spans="1:1" x14ac:dyDescent="0.3">
      <c r="A7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4" spans="1:1" x14ac:dyDescent="0.3">
      <c r="A7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5" spans="1:1" x14ac:dyDescent="0.3">
      <c r="A7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6" spans="1:1" x14ac:dyDescent="0.3">
      <c r="A7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7" spans="1:1" x14ac:dyDescent="0.3">
      <c r="A7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8" spans="1:1" x14ac:dyDescent="0.3">
      <c r="A7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59" spans="1:1" x14ac:dyDescent="0.3">
      <c r="A7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0" spans="1:1" x14ac:dyDescent="0.3">
      <c r="A7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1" spans="1:1" x14ac:dyDescent="0.3">
      <c r="A7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2" spans="1:1" x14ac:dyDescent="0.3">
      <c r="A7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3" spans="1:1" x14ac:dyDescent="0.3">
      <c r="A7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4" spans="1:1" x14ac:dyDescent="0.3">
      <c r="A7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5" spans="1:1" x14ac:dyDescent="0.3">
      <c r="A7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6" spans="1:1" x14ac:dyDescent="0.3">
      <c r="A7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7" spans="1:1" x14ac:dyDescent="0.3">
      <c r="A7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8" spans="1:1" x14ac:dyDescent="0.3">
      <c r="A7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69" spans="1:1" x14ac:dyDescent="0.3">
      <c r="A7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0" spans="1:1" x14ac:dyDescent="0.3">
      <c r="A7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1" spans="1:1" x14ac:dyDescent="0.3">
      <c r="A7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2" spans="1:1" x14ac:dyDescent="0.3">
      <c r="A7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3" spans="1:1" x14ac:dyDescent="0.3">
      <c r="A7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4" spans="1:1" x14ac:dyDescent="0.3">
      <c r="A7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5" spans="1:1" x14ac:dyDescent="0.3">
      <c r="A7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6" spans="1:1" x14ac:dyDescent="0.3">
      <c r="A7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7" spans="1:1" x14ac:dyDescent="0.3">
      <c r="A7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8" spans="1:1" x14ac:dyDescent="0.3">
      <c r="A7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79" spans="1:1" x14ac:dyDescent="0.3">
      <c r="A7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0" spans="1:1" x14ac:dyDescent="0.3">
      <c r="A7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1" spans="1:1" x14ac:dyDescent="0.3">
      <c r="A7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2" spans="1:1" x14ac:dyDescent="0.3">
      <c r="A7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3" spans="1:1" x14ac:dyDescent="0.3">
      <c r="A7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4" spans="1:1" x14ac:dyDescent="0.3">
      <c r="A7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5" spans="1:1" x14ac:dyDescent="0.3">
      <c r="A7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6" spans="1:1" x14ac:dyDescent="0.3">
      <c r="A7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7" spans="1:1" x14ac:dyDescent="0.3">
      <c r="A7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8" spans="1:1" x14ac:dyDescent="0.3">
      <c r="A7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89" spans="1:1" x14ac:dyDescent="0.3">
      <c r="A7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0" spans="1:1" x14ac:dyDescent="0.3">
      <c r="A7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1" spans="1:1" x14ac:dyDescent="0.3">
      <c r="A7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2" spans="1:1" x14ac:dyDescent="0.3">
      <c r="A7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3" spans="1:1" x14ac:dyDescent="0.3">
      <c r="A7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4" spans="1:1" x14ac:dyDescent="0.3">
      <c r="A7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5" spans="1:1" x14ac:dyDescent="0.3">
      <c r="A7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6" spans="1:1" x14ac:dyDescent="0.3">
      <c r="A7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7" spans="1:1" x14ac:dyDescent="0.3">
      <c r="A7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8" spans="1:1" x14ac:dyDescent="0.3">
      <c r="A7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799" spans="1:1" x14ac:dyDescent="0.3">
      <c r="A7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0" spans="1:1" x14ac:dyDescent="0.3">
      <c r="A8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1" spans="1:1" x14ac:dyDescent="0.3">
      <c r="A8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2" spans="1:1" x14ac:dyDescent="0.3">
      <c r="A8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3" spans="1:1" x14ac:dyDescent="0.3">
      <c r="A8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4" spans="1:1" x14ac:dyDescent="0.3">
      <c r="A8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5" spans="1:1" x14ac:dyDescent="0.3">
      <c r="A8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6" spans="1:1" x14ac:dyDescent="0.3">
      <c r="A8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7" spans="1:1" x14ac:dyDescent="0.3">
      <c r="A8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8" spans="1:1" x14ac:dyDescent="0.3">
      <c r="A8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09" spans="1:1" x14ac:dyDescent="0.3">
      <c r="A8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0" spans="1:1" x14ac:dyDescent="0.3">
      <c r="A8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1" spans="1:1" x14ac:dyDescent="0.3">
      <c r="A8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2" spans="1:1" x14ac:dyDescent="0.3">
      <c r="A8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3" spans="1:1" x14ac:dyDescent="0.3">
      <c r="A8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4" spans="1:1" x14ac:dyDescent="0.3">
      <c r="A8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5" spans="1:1" x14ac:dyDescent="0.3">
      <c r="A8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6" spans="1:1" x14ac:dyDescent="0.3">
      <c r="A8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7" spans="1:1" x14ac:dyDescent="0.3">
      <c r="A8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8" spans="1:1" x14ac:dyDescent="0.3">
      <c r="A8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19" spans="1:1" x14ac:dyDescent="0.3">
      <c r="A8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0" spans="1:1" x14ac:dyDescent="0.3">
      <c r="A8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1" spans="1:1" x14ac:dyDescent="0.3">
      <c r="A8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2" spans="1:1" x14ac:dyDescent="0.3">
      <c r="A8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3" spans="1:1" x14ac:dyDescent="0.3">
      <c r="A8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4" spans="1:1" x14ac:dyDescent="0.3">
      <c r="A8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5" spans="1:1" x14ac:dyDescent="0.3">
      <c r="A8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6" spans="1:1" x14ac:dyDescent="0.3">
      <c r="A8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7" spans="1:1" x14ac:dyDescent="0.3">
      <c r="A8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8" spans="1:1" x14ac:dyDescent="0.3">
      <c r="A8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29" spans="1:1" x14ac:dyDescent="0.3">
      <c r="A8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0" spans="1:1" x14ac:dyDescent="0.3">
      <c r="A8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1" spans="1:1" x14ac:dyDescent="0.3">
      <c r="A8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2" spans="1:1" x14ac:dyDescent="0.3">
      <c r="A8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3" spans="1:1" x14ac:dyDescent="0.3">
      <c r="A8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4" spans="1:1" x14ac:dyDescent="0.3">
      <c r="A8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5" spans="1:1" x14ac:dyDescent="0.3">
      <c r="A8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6" spans="1:1" x14ac:dyDescent="0.3">
      <c r="A8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7" spans="1:1" x14ac:dyDescent="0.3">
      <c r="A8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8" spans="1:1" x14ac:dyDescent="0.3">
      <c r="A8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39" spans="1:1" x14ac:dyDescent="0.3">
      <c r="A8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0" spans="1:1" x14ac:dyDescent="0.3">
      <c r="A8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1" spans="1:1" x14ac:dyDescent="0.3">
      <c r="A8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2" spans="1:1" x14ac:dyDescent="0.3">
      <c r="A8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3" spans="1:1" x14ac:dyDescent="0.3">
      <c r="A8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4" spans="1:1" x14ac:dyDescent="0.3">
      <c r="A8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5" spans="1:1" x14ac:dyDescent="0.3">
      <c r="A8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6" spans="1:1" x14ac:dyDescent="0.3">
      <c r="A8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7" spans="1:1" x14ac:dyDescent="0.3">
      <c r="A8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8" spans="1:1" x14ac:dyDescent="0.3">
      <c r="A8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49" spans="1:1" x14ac:dyDescent="0.3">
      <c r="A8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0" spans="1:1" x14ac:dyDescent="0.3">
      <c r="A8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1" spans="1:1" x14ac:dyDescent="0.3">
      <c r="A8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2" spans="1:1" x14ac:dyDescent="0.3">
      <c r="A8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3" spans="1:1" x14ac:dyDescent="0.3">
      <c r="A8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4" spans="1:1" x14ac:dyDescent="0.3">
      <c r="A8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5" spans="1:1" x14ac:dyDescent="0.3">
      <c r="A8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6" spans="1:1" x14ac:dyDescent="0.3">
      <c r="A8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7" spans="1:1" x14ac:dyDescent="0.3">
      <c r="A8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8" spans="1:1" x14ac:dyDescent="0.3">
      <c r="A8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59" spans="1:1" x14ac:dyDescent="0.3">
      <c r="A8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0" spans="1:1" x14ac:dyDescent="0.3">
      <c r="A8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1" spans="1:1" x14ac:dyDescent="0.3">
      <c r="A8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2" spans="1:1" x14ac:dyDescent="0.3">
      <c r="A8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3" spans="1:1" x14ac:dyDescent="0.3">
      <c r="A8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4" spans="1:1" x14ac:dyDescent="0.3">
      <c r="A8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5" spans="1:1" x14ac:dyDescent="0.3">
      <c r="A8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6" spans="1:1" x14ac:dyDescent="0.3">
      <c r="A8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7" spans="1:1" x14ac:dyDescent="0.3">
      <c r="A8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8" spans="1:1" x14ac:dyDescent="0.3">
      <c r="A8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69" spans="1:1" x14ac:dyDescent="0.3">
      <c r="A8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0" spans="1:1" x14ac:dyDescent="0.3">
      <c r="A8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1" spans="1:1" x14ac:dyDescent="0.3">
      <c r="A8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2" spans="1:1" x14ac:dyDescent="0.3">
      <c r="A8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3" spans="1:1" x14ac:dyDescent="0.3">
      <c r="A8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4" spans="1:1" x14ac:dyDescent="0.3">
      <c r="A8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5" spans="1:1" x14ac:dyDescent="0.3">
      <c r="A8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6" spans="1:1" x14ac:dyDescent="0.3">
      <c r="A8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7" spans="1:1" x14ac:dyDescent="0.3">
      <c r="A8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8" spans="1:1" x14ac:dyDescent="0.3">
      <c r="A8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79" spans="1:1" x14ac:dyDescent="0.3">
      <c r="A8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0" spans="1:1" x14ac:dyDescent="0.3">
      <c r="A8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1" spans="1:1" x14ac:dyDescent="0.3">
      <c r="A8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2" spans="1:1" x14ac:dyDescent="0.3">
      <c r="A8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3" spans="1:1" x14ac:dyDescent="0.3">
      <c r="A8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4" spans="1:1" x14ac:dyDescent="0.3">
      <c r="A8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5" spans="1:1" x14ac:dyDescent="0.3">
      <c r="A8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6" spans="1:1" x14ac:dyDescent="0.3">
      <c r="A8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7" spans="1:1" x14ac:dyDescent="0.3">
      <c r="A8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8" spans="1:1" x14ac:dyDescent="0.3">
      <c r="A8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89" spans="1:1" x14ac:dyDescent="0.3">
      <c r="A8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0" spans="1:1" x14ac:dyDescent="0.3">
      <c r="A8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1" spans="1:1" x14ac:dyDescent="0.3">
      <c r="A8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2" spans="1:1" x14ac:dyDescent="0.3">
      <c r="A8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3" spans="1:1" x14ac:dyDescent="0.3">
      <c r="A8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4" spans="1:1" x14ac:dyDescent="0.3">
      <c r="A8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5" spans="1:1" x14ac:dyDescent="0.3">
      <c r="A8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6" spans="1:1" x14ac:dyDescent="0.3">
      <c r="A8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7" spans="1:1" x14ac:dyDescent="0.3">
      <c r="A8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8" spans="1:1" x14ac:dyDescent="0.3">
      <c r="A8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899" spans="1:1" x14ac:dyDescent="0.3">
      <c r="A8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0" spans="1:1" x14ac:dyDescent="0.3">
      <c r="A9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1" spans="1:1" x14ac:dyDescent="0.3">
      <c r="A9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2" spans="1:1" x14ac:dyDescent="0.3">
      <c r="A9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3" spans="1:1" x14ac:dyDescent="0.3">
      <c r="A9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4" spans="1:1" x14ac:dyDescent="0.3">
      <c r="A9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5" spans="1:1" x14ac:dyDescent="0.3">
      <c r="A9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6" spans="1:1" x14ac:dyDescent="0.3">
      <c r="A9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7" spans="1:1" x14ac:dyDescent="0.3">
      <c r="A9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8" spans="1:1" x14ac:dyDescent="0.3">
      <c r="A9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09" spans="1:1" x14ac:dyDescent="0.3">
      <c r="A9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0" spans="1:1" x14ac:dyDescent="0.3">
      <c r="A9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1" spans="1:1" x14ac:dyDescent="0.3">
      <c r="A9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2" spans="1:1" x14ac:dyDescent="0.3">
      <c r="A9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3" spans="1:1" x14ac:dyDescent="0.3">
      <c r="A9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4" spans="1:1" x14ac:dyDescent="0.3">
      <c r="A9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5" spans="1:1" x14ac:dyDescent="0.3">
      <c r="A9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6" spans="1:1" x14ac:dyDescent="0.3">
      <c r="A9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7" spans="1:1" x14ac:dyDescent="0.3">
      <c r="A9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8" spans="1:1" x14ac:dyDescent="0.3">
      <c r="A9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19" spans="1:1" x14ac:dyDescent="0.3">
      <c r="A9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0" spans="1:1" x14ac:dyDescent="0.3">
      <c r="A9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1" spans="1:1" x14ac:dyDescent="0.3">
      <c r="A9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2" spans="1:1" x14ac:dyDescent="0.3">
      <c r="A9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3" spans="1:1" x14ac:dyDescent="0.3">
      <c r="A9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4" spans="1:1" x14ac:dyDescent="0.3">
      <c r="A9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5" spans="1:1" x14ac:dyDescent="0.3">
      <c r="A9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6" spans="1:1" x14ac:dyDescent="0.3">
      <c r="A9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7" spans="1:1" x14ac:dyDescent="0.3">
      <c r="A9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8" spans="1:1" x14ac:dyDescent="0.3">
      <c r="A9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29" spans="1:1" x14ac:dyDescent="0.3">
      <c r="A9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0" spans="1:1" x14ac:dyDescent="0.3">
      <c r="A9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1" spans="1:1" x14ac:dyDescent="0.3">
      <c r="A9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2" spans="1:1" x14ac:dyDescent="0.3">
      <c r="A9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3" spans="1:1" x14ac:dyDescent="0.3">
      <c r="A9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4" spans="1:1" x14ac:dyDescent="0.3">
      <c r="A9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5" spans="1:1" x14ac:dyDescent="0.3">
      <c r="A9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6" spans="1:1" x14ac:dyDescent="0.3">
      <c r="A9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7" spans="1:1" x14ac:dyDescent="0.3">
      <c r="A9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8" spans="1:1" x14ac:dyDescent="0.3">
      <c r="A9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39" spans="1:1" x14ac:dyDescent="0.3">
      <c r="A9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0" spans="1:1" x14ac:dyDescent="0.3">
      <c r="A9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1" spans="1:1" x14ac:dyDescent="0.3">
      <c r="A9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2" spans="1:1" x14ac:dyDescent="0.3">
      <c r="A9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3" spans="1:1" x14ac:dyDescent="0.3">
      <c r="A9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4" spans="1:1" x14ac:dyDescent="0.3">
      <c r="A9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5" spans="1:1" x14ac:dyDescent="0.3">
      <c r="A9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6" spans="1:1" x14ac:dyDescent="0.3">
      <c r="A9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7" spans="1:1" x14ac:dyDescent="0.3">
      <c r="A9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8" spans="1:1" x14ac:dyDescent="0.3">
      <c r="A9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49" spans="1:1" x14ac:dyDescent="0.3">
      <c r="A9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0" spans="1:1" x14ac:dyDescent="0.3">
      <c r="A9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1" spans="1:1" x14ac:dyDescent="0.3">
      <c r="A9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2" spans="1:1" x14ac:dyDescent="0.3">
      <c r="A9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3" spans="1:1" x14ac:dyDescent="0.3">
      <c r="A9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4" spans="1:1" x14ac:dyDescent="0.3">
      <c r="A9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5" spans="1:1" x14ac:dyDescent="0.3">
      <c r="A9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6" spans="1:1" x14ac:dyDescent="0.3">
      <c r="A9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7" spans="1:1" x14ac:dyDescent="0.3">
      <c r="A9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8" spans="1:1" x14ac:dyDescent="0.3">
      <c r="A9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59" spans="1:1" x14ac:dyDescent="0.3">
      <c r="A9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0" spans="1:1" x14ac:dyDescent="0.3">
      <c r="A9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1" spans="1:1" x14ac:dyDescent="0.3">
      <c r="A9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2" spans="1:1" x14ac:dyDescent="0.3">
      <c r="A9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3" spans="1:1" x14ac:dyDescent="0.3">
      <c r="A9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4" spans="1:1" x14ac:dyDescent="0.3">
      <c r="A9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5" spans="1:1" x14ac:dyDescent="0.3">
      <c r="A9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6" spans="1:1" x14ac:dyDescent="0.3">
      <c r="A9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7" spans="1:1" x14ac:dyDescent="0.3">
      <c r="A9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8" spans="1:1" x14ac:dyDescent="0.3">
      <c r="A9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69" spans="1:1" x14ac:dyDescent="0.3">
      <c r="A9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0" spans="1:1" x14ac:dyDescent="0.3">
      <c r="A9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1" spans="1:1" x14ac:dyDescent="0.3">
      <c r="A9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2" spans="1:1" x14ac:dyDescent="0.3">
      <c r="A9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3" spans="1:1" x14ac:dyDescent="0.3">
      <c r="A9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4" spans="1:1" x14ac:dyDescent="0.3">
      <c r="A9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5" spans="1:1" x14ac:dyDescent="0.3">
      <c r="A9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6" spans="1:1" x14ac:dyDescent="0.3">
      <c r="A9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7" spans="1:1" x14ac:dyDescent="0.3">
      <c r="A9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8" spans="1:1" x14ac:dyDescent="0.3">
      <c r="A9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79" spans="1:1" x14ac:dyDescent="0.3">
      <c r="A9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0" spans="1:1" x14ac:dyDescent="0.3">
      <c r="A9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1" spans="1:1" x14ac:dyDescent="0.3">
      <c r="A9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2" spans="1:1" x14ac:dyDescent="0.3">
      <c r="A9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3" spans="1:1" x14ac:dyDescent="0.3">
      <c r="A9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4" spans="1:1" x14ac:dyDescent="0.3">
      <c r="A9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5" spans="1:1" x14ac:dyDescent="0.3">
      <c r="A9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6" spans="1:1" x14ac:dyDescent="0.3">
      <c r="A9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7" spans="1:1" x14ac:dyDescent="0.3">
      <c r="A9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8" spans="1:1" x14ac:dyDescent="0.3">
      <c r="A9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89" spans="1:1" x14ac:dyDescent="0.3">
      <c r="A9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0" spans="1:1" x14ac:dyDescent="0.3">
      <c r="A9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1" spans="1:1" x14ac:dyDescent="0.3">
      <c r="A9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2" spans="1:1" x14ac:dyDescent="0.3">
      <c r="A9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3" spans="1:1" x14ac:dyDescent="0.3">
      <c r="A9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4" spans="1:1" x14ac:dyDescent="0.3">
      <c r="A9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5" spans="1:1" x14ac:dyDescent="0.3">
      <c r="A9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6" spans="1:1" x14ac:dyDescent="0.3">
      <c r="A9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7" spans="1:1" x14ac:dyDescent="0.3">
      <c r="A9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8" spans="1:1" x14ac:dyDescent="0.3">
      <c r="A9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999" spans="1:1" x14ac:dyDescent="0.3">
      <c r="A9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0" spans="1:1" x14ac:dyDescent="0.3">
      <c r="A10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1" spans="1:1" x14ac:dyDescent="0.3">
      <c r="A10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2" spans="1:1" x14ac:dyDescent="0.3">
      <c r="A10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3" spans="1:1" x14ac:dyDescent="0.3">
      <c r="A10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4" spans="1:1" x14ac:dyDescent="0.3">
      <c r="A10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5" spans="1:1" x14ac:dyDescent="0.3">
      <c r="A10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6" spans="1:1" x14ac:dyDescent="0.3">
      <c r="A10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7" spans="1:1" x14ac:dyDescent="0.3">
      <c r="A10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8" spans="1:1" x14ac:dyDescent="0.3">
      <c r="A10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09" spans="1:1" x14ac:dyDescent="0.3">
      <c r="A10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0" spans="1:1" x14ac:dyDescent="0.3">
      <c r="A10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1" spans="1:1" x14ac:dyDescent="0.3">
      <c r="A10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2" spans="1:1" x14ac:dyDescent="0.3">
      <c r="A10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3" spans="1:1" x14ac:dyDescent="0.3">
      <c r="A10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4" spans="1:1" x14ac:dyDescent="0.3">
      <c r="A10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5" spans="1:1" x14ac:dyDescent="0.3">
      <c r="A10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6" spans="1:1" x14ac:dyDescent="0.3">
      <c r="A10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7" spans="1:1" x14ac:dyDescent="0.3">
      <c r="A10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8" spans="1:1" x14ac:dyDescent="0.3">
      <c r="A10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19" spans="1:1" x14ac:dyDescent="0.3">
      <c r="A10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0" spans="1:1" x14ac:dyDescent="0.3">
      <c r="A10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1" spans="1:1" x14ac:dyDescent="0.3">
      <c r="A10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2" spans="1:1" x14ac:dyDescent="0.3">
      <c r="A10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3" spans="1:1" x14ac:dyDescent="0.3">
      <c r="A10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4" spans="1:1" x14ac:dyDescent="0.3">
      <c r="A10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5" spans="1:1" x14ac:dyDescent="0.3">
      <c r="A10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6" spans="1:1" x14ac:dyDescent="0.3">
      <c r="A10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7" spans="1:1" x14ac:dyDescent="0.3">
      <c r="A10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8" spans="1:1" x14ac:dyDescent="0.3">
      <c r="A10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29" spans="1:1" x14ac:dyDescent="0.3">
      <c r="A10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0" spans="1:1" x14ac:dyDescent="0.3">
      <c r="A10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1" spans="1:1" x14ac:dyDescent="0.3">
      <c r="A10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2" spans="1:1" x14ac:dyDescent="0.3">
      <c r="A10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3" spans="1:1" x14ac:dyDescent="0.3">
      <c r="A10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4" spans="1:1" x14ac:dyDescent="0.3">
      <c r="A10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5" spans="1:1" x14ac:dyDescent="0.3">
      <c r="A10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6" spans="1:1" x14ac:dyDescent="0.3">
      <c r="A10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7" spans="1:1" x14ac:dyDescent="0.3">
      <c r="A10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8" spans="1:1" x14ac:dyDescent="0.3">
      <c r="A10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39" spans="1:1" x14ac:dyDescent="0.3">
      <c r="A10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0" spans="1:1" x14ac:dyDescent="0.3">
      <c r="A10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1" spans="1:1" x14ac:dyDescent="0.3">
      <c r="A10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2" spans="1:1" x14ac:dyDescent="0.3">
      <c r="A10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3" spans="1:1" x14ac:dyDescent="0.3">
      <c r="A10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4" spans="1:1" x14ac:dyDescent="0.3">
      <c r="A10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5" spans="1:1" x14ac:dyDescent="0.3">
      <c r="A10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6" spans="1:1" x14ac:dyDescent="0.3">
      <c r="A10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7" spans="1:1" x14ac:dyDescent="0.3">
      <c r="A10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8" spans="1:1" x14ac:dyDescent="0.3">
      <c r="A10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49" spans="1:1" x14ac:dyDescent="0.3">
      <c r="A10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0" spans="1:1" x14ac:dyDescent="0.3">
      <c r="A10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1" spans="1:1" x14ac:dyDescent="0.3">
      <c r="A10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2" spans="1:1" x14ac:dyDescent="0.3">
      <c r="A10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3" spans="1:1" x14ac:dyDescent="0.3">
      <c r="A10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4" spans="1:1" x14ac:dyDescent="0.3">
      <c r="A10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5" spans="1:1" x14ac:dyDescent="0.3">
      <c r="A10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6" spans="1:1" x14ac:dyDescent="0.3">
      <c r="A10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7" spans="1:1" x14ac:dyDescent="0.3">
      <c r="A10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8" spans="1:1" x14ac:dyDescent="0.3">
      <c r="A10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59" spans="1:1" x14ac:dyDescent="0.3">
      <c r="A10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0" spans="1:1" x14ac:dyDescent="0.3">
      <c r="A10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1" spans="1:1" x14ac:dyDescent="0.3">
      <c r="A10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2" spans="1:1" x14ac:dyDescent="0.3">
      <c r="A10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3" spans="1:1" x14ac:dyDescent="0.3">
      <c r="A10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4" spans="1:1" x14ac:dyDescent="0.3">
      <c r="A10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5" spans="1:1" x14ac:dyDescent="0.3">
      <c r="A10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6" spans="1:1" x14ac:dyDescent="0.3">
      <c r="A10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7" spans="1:1" x14ac:dyDescent="0.3">
      <c r="A10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8" spans="1:1" x14ac:dyDescent="0.3">
      <c r="A10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69" spans="1:1" x14ac:dyDescent="0.3">
      <c r="A10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0" spans="1:1" x14ac:dyDescent="0.3">
      <c r="A10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1" spans="1:1" x14ac:dyDescent="0.3">
      <c r="A10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2" spans="1:1" x14ac:dyDescent="0.3">
      <c r="A10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3" spans="1:1" x14ac:dyDescent="0.3">
      <c r="A10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4" spans="1:1" x14ac:dyDescent="0.3">
      <c r="A10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5" spans="1:1" x14ac:dyDescent="0.3">
      <c r="A10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6" spans="1:1" x14ac:dyDescent="0.3">
      <c r="A10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7" spans="1:1" x14ac:dyDescent="0.3">
      <c r="A10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8" spans="1:1" x14ac:dyDescent="0.3">
      <c r="A10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79" spans="1:1" x14ac:dyDescent="0.3">
      <c r="A10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0" spans="1:1" x14ac:dyDescent="0.3">
      <c r="A10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1" spans="1:1" x14ac:dyDescent="0.3">
      <c r="A10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2" spans="1:1" x14ac:dyDescent="0.3">
      <c r="A10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3" spans="1:1" x14ac:dyDescent="0.3">
      <c r="A10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4" spans="1:1" x14ac:dyDescent="0.3">
      <c r="A10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5" spans="1:1" x14ac:dyDescent="0.3">
      <c r="A10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6" spans="1:1" x14ac:dyDescent="0.3">
      <c r="A10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7" spans="1:1" x14ac:dyDescent="0.3">
      <c r="A10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8" spans="1:1" x14ac:dyDescent="0.3">
      <c r="A10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89" spans="1:1" x14ac:dyDescent="0.3">
      <c r="A10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0" spans="1:1" x14ac:dyDescent="0.3">
      <c r="A10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1" spans="1:1" x14ac:dyDescent="0.3">
      <c r="A10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2" spans="1:1" x14ac:dyDescent="0.3">
      <c r="A10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3" spans="1:1" x14ac:dyDescent="0.3">
      <c r="A10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4" spans="1:1" x14ac:dyDescent="0.3">
      <c r="A10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5" spans="1:1" x14ac:dyDescent="0.3">
      <c r="A10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6" spans="1:1" x14ac:dyDescent="0.3">
      <c r="A10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7" spans="1:1" x14ac:dyDescent="0.3">
      <c r="A10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8" spans="1:1" x14ac:dyDescent="0.3">
      <c r="A10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099" spans="1:1" x14ac:dyDescent="0.3">
      <c r="A10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0" spans="1:1" x14ac:dyDescent="0.3">
      <c r="A11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1" spans="1:1" x14ac:dyDescent="0.3">
      <c r="A11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2" spans="1:1" x14ac:dyDescent="0.3">
      <c r="A11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3" spans="1:1" x14ac:dyDescent="0.3">
      <c r="A11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4" spans="1:1" x14ac:dyDescent="0.3">
      <c r="A11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5" spans="1:1" x14ac:dyDescent="0.3">
      <c r="A11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6" spans="1:1" x14ac:dyDescent="0.3">
      <c r="A11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7" spans="1:1" x14ac:dyDescent="0.3">
      <c r="A11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8" spans="1:1" x14ac:dyDescent="0.3">
      <c r="A11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09" spans="1:1" x14ac:dyDescent="0.3">
      <c r="A11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0" spans="1:1" x14ac:dyDescent="0.3">
      <c r="A11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1" spans="1:1" x14ac:dyDescent="0.3">
      <c r="A11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2" spans="1:1" x14ac:dyDescent="0.3">
      <c r="A11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3" spans="1:1" x14ac:dyDescent="0.3">
      <c r="A11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4" spans="1:1" x14ac:dyDescent="0.3">
      <c r="A11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5" spans="1:1" x14ac:dyDescent="0.3">
      <c r="A11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6" spans="1:1" x14ac:dyDescent="0.3">
      <c r="A11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7" spans="1:1" x14ac:dyDescent="0.3">
      <c r="A11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8" spans="1:1" x14ac:dyDescent="0.3">
      <c r="A11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19" spans="1:1" x14ac:dyDescent="0.3">
      <c r="A11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0" spans="1:1" x14ac:dyDescent="0.3">
      <c r="A11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1" spans="1:1" x14ac:dyDescent="0.3">
      <c r="A11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2" spans="1:1" x14ac:dyDescent="0.3">
      <c r="A11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3" spans="1:1" x14ac:dyDescent="0.3">
      <c r="A11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4" spans="1:1" x14ac:dyDescent="0.3">
      <c r="A11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5" spans="1:1" x14ac:dyDescent="0.3">
      <c r="A11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6" spans="1:1" x14ac:dyDescent="0.3">
      <c r="A11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7" spans="1:1" x14ac:dyDescent="0.3">
      <c r="A11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8" spans="1:1" x14ac:dyDescent="0.3">
      <c r="A11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29" spans="1:1" x14ac:dyDescent="0.3">
      <c r="A11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0" spans="1:1" x14ac:dyDescent="0.3">
      <c r="A11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1" spans="1:1" x14ac:dyDescent="0.3">
      <c r="A11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2" spans="1:1" x14ac:dyDescent="0.3">
      <c r="A11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3" spans="1:1" x14ac:dyDescent="0.3">
      <c r="A11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4" spans="1:1" x14ac:dyDescent="0.3">
      <c r="A11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5" spans="1:1" x14ac:dyDescent="0.3">
      <c r="A11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6" spans="1:1" x14ac:dyDescent="0.3">
      <c r="A11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7" spans="1:1" x14ac:dyDescent="0.3">
      <c r="A11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8" spans="1:1" x14ac:dyDescent="0.3">
      <c r="A11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39" spans="1:1" x14ac:dyDescent="0.3">
      <c r="A11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0" spans="1:1" x14ac:dyDescent="0.3">
      <c r="A11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1" spans="1:1" x14ac:dyDescent="0.3">
      <c r="A11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2" spans="1:1" x14ac:dyDescent="0.3">
      <c r="A11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3" spans="1:1" x14ac:dyDescent="0.3">
      <c r="A11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4" spans="1:1" x14ac:dyDescent="0.3">
      <c r="A11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5" spans="1:1" x14ac:dyDescent="0.3">
      <c r="A11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6" spans="1:1" x14ac:dyDescent="0.3">
      <c r="A11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7" spans="1:1" x14ac:dyDescent="0.3">
      <c r="A11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8" spans="1:1" x14ac:dyDescent="0.3">
      <c r="A11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49" spans="1:1" x14ac:dyDescent="0.3">
      <c r="A11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0" spans="1:1" x14ac:dyDescent="0.3">
      <c r="A11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1" spans="1:1" x14ac:dyDescent="0.3">
      <c r="A11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2" spans="1:1" x14ac:dyDescent="0.3">
      <c r="A11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3" spans="1:1" x14ac:dyDescent="0.3">
      <c r="A11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4" spans="1:1" x14ac:dyDescent="0.3">
      <c r="A11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5" spans="1:1" x14ac:dyDescent="0.3">
      <c r="A11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6" spans="1:1" x14ac:dyDescent="0.3">
      <c r="A11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7" spans="1:1" x14ac:dyDescent="0.3">
      <c r="A11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8" spans="1:1" x14ac:dyDescent="0.3">
      <c r="A11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59" spans="1:1" x14ac:dyDescent="0.3">
      <c r="A11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0" spans="1:1" x14ac:dyDescent="0.3">
      <c r="A11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1" spans="1:1" x14ac:dyDescent="0.3">
      <c r="A11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2" spans="1:1" x14ac:dyDescent="0.3">
      <c r="A11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3" spans="1:1" x14ac:dyDescent="0.3">
      <c r="A11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4" spans="1:1" x14ac:dyDescent="0.3">
      <c r="A11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5" spans="1:1" x14ac:dyDescent="0.3">
      <c r="A11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6" spans="1:1" x14ac:dyDescent="0.3">
      <c r="A11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7" spans="1:1" x14ac:dyDescent="0.3">
      <c r="A11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8" spans="1:1" x14ac:dyDescent="0.3">
      <c r="A11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69" spans="1:1" x14ac:dyDescent="0.3">
      <c r="A11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0" spans="1:1" x14ac:dyDescent="0.3">
      <c r="A11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1" spans="1:1" x14ac:dyDescent="0.3">
      <c r="A11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2" spans="1:1" x14ac:dyDescent="0.3">
      <c r="A11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3" spans="1:1" x14ac:dyDescent="0.3">
      <c r="A11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4" spans="1:1" x14ac:dyDescent="0.3">
      <c r="A11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5" spans="1:1" x14ac:dyDescent="0.3">
      <c r="A11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6" spans="1:1" x14ac:dyDescent="0.3">
      <c r="A11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7" spans="1:1" x14ac:dyDescent="0.3">
      <c r="A11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8" spans="1:1" x14ac:dyDescent="0.3">
      <c r="A11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79" spans="1:1" x14ac:dyDescent="0.3">
      <c r="A11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0" spans="1:1" x14ac:dyDescent="0.3">
      <c r="A11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1" spans="1:1" x14ac:dyDescent="0.3">
      <c r="A11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2" spans="1:1" x14ac:dyDescent="0.3">
      <c r="A11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3" spans="1:1" x14ac:dyDescent="0.3">
      <c r="A11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4" spans="1:1" x14ac:dyDescent="0.3">
      <c r="A11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5" spans="1:1" x14ac:dyDescent="0.3">
      <c r="A11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6" spans="1:1" x14ac:dyDescent="0.3">
      <c r="A11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7" spans="1:1" x14ac:dyDescent="0.3">
      <c r="A11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8" spans="1:1" x14ac:dyDescent="0.3">
      <c r="A11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89" spans="1:1" x14ac:dyDescent="0.3">
      <c r="A11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0" spans="1:1" x14ac:dyDescent="0.3">
      <c r="A11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1" spans="1:1" x14ac:dyDescent="0.3">
      <c r="A11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2" spans="1:1" x14ac:dyDescent="0.3">
      <c r="A11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3" spans="1:1" x14ac:dyDescent="0.3">
      <c r="A11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4" spans="1:1" x14ac:dyDescent="0.3">
      <c r="A11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5" spans="1:1" x14ac:dyDescent="0.3">
      <c r="A11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6" spans="1:1" x14ac:dyDescent="0.3">
      <c r="A11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7" spans="1:1" x14ac:dyDescent="0.3">
      <c r="A11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8" spans="1:1" x14ac:dyDescent="0.3">
      <c r="A11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199" spans="1:1" x14ac:dyDescent="0.3">
      <c r="A11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0" spans="1:1" x14ac:dyDescent="0.3">
      <c r="A12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1" spans="1:1" x14ac:dyDescent="0.3">
      <c r="A12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2" spans="1:1" x14ac:dyDescent="0.3">
      <c r="A12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3" spans="1:1" x14ac:dyDescent="0.3">
      <c r="A12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4" spans="1:1" x14ac:dyDescent="0.3">
      <c r="A12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5" spans="1:1" x14ac:dyDescent="0.3">
      <c r="A12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6" spans="1:1" x14ac:dyDescent="0.3">
      <c r="A12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7" spans="1:1" x14ac:dyDescent="0.3">
      <c r="A12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8" spans="1:1" x14ac:dyDescent="0.3">
      <c r="A12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09" spans="1:1" x14ac:dyDescent="0.3">
      <c r="A12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0" spans="1:1" x14ac:dyDescent="0.3">
      <c r="A12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1" spans="1:1" x14ac:dyDescent="0.3">
      <c r="A12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2" spans="1:1" x14ac:dyDescent="0.3">
      <c r="A12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3" spans="1:1" x14ac:dyDescent="0.3">
      <c r="A12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4" spans="1:1" x14ac:dyDescent="0.3">
      <c r="A12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5" spans="1:1" x14ac:dyDescent="0.3">
      <c r="A12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6" spans="1:1" x14ac:dyDescent="0.3">
      <c r="A12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7" spans="1:1" x14ac:dyDescent="0.3">
      <c r="A12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8" spans="1:1" x14ac:dyDescent="0.3">
      <c r="A12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19" spans="1:1" x14ac:dyDescent="0.3">
      <c r="A12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0" spans="1:1" x14ac:dyDescent="0.3">
      <c r="A12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1" spans="1:1" x14ac:dyDescent="0.3">
      <c r="A12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2" spans="1:1" x14ac:dyDescent="0.3">
      <c r="A12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3" spans="1:1" x14ac:dyDescent="0.3">
      <c r="A12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4" spans="1:1" x14ac:dyDescent="0.3">
      <c r="A12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5" spans="1:1" x14ac:dyDescent="0.3">
      <c r="A12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6" spans="1:1" x14ac:dyDescent="0.3">
      <c r="A12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7" spans="1:1" x14ac:dyDescent="0.3">
      <c r="A12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8" spans="1:1" x14ac:dyDescent="0.3">
      <c r="A12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29" spans="1:1" x14ac:dyDescent="0.3">
      <c r="A12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0" spans="1:1" x14ac:dyDescent="0.3">
      <c r="A12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1" spans="1:1" x14ac:dyDescent="0.3">
      <c r="A12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2" spans="1:1" x14ac:dyDescent="0.3">
      <c r="A12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3" spans="1:1" x14ac:dyDescent="0.3">
      <c r="A12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4" spans="1:1" x14ac:dyDescent="0.3">
      <c r="A12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5" spans="1:1" x14ac:dyDescent="0.3">
      <c r="A12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6" spans="1:1" x14ac:dyDescent="0.3">
      <c r="A12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7" spans="1:1" x14ac:dyDescent="0.3">
      <c r="A12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8" spans="1:1" x14ac:dyDescent="0.3">
      <c r="A12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39" spans="1:1" x14ac:dyDescent="0.3">
      <c r="A12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0" spans="1:1" x14ac:dyDescent="0.3">
      <c r="A12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1" spans="1:1" x14ac:dyDescent="0.3">
      <c r="A12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2" spans="1:1" x14ac:dyDescent="0.3">
      <c r="A12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3" spans="1:1" x14ac:dyDescent="0.3">
      <c r="A12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4" spans="1:1" x14ac:dyDescent="0.3">
      <c r="A12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5" spans="1:1" x14ac:dyDescent="0.3">
      <c r="A12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6" spans="1:1" x14ac:dyDescent="0.3">
      <c r="A12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7" spans="1:1" x14ac:dyDescent="0.3">
      <c r="A12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8" spans="1:1" x14ac:dyDescent="0.3">
      <c r="A12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49" spans="1:1" x14ac:dyDescent="0.3">
      <c r="A12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0" spans="1:1" x14ac:dyDescent="0.3">
      <c r="A12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1" spans="1:1" x14ac:dyDescent="0.3">
      <c r="A12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2" spans="1:1" x14ac:dyDescent="0.3">
      <c r="A12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3" spans="1:1" x14ac:dyDescent="0.3">
      <c r="A12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4" spans="1:1" x14ac:dyDescent="0.3">
      <c r="A12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5" spans="1:1" x14ac:dyDescent="0.3">
      <c r="A12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6" spans="1:1" x14ac:dyDescent="0.3">
      <c r="A12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7" spans="1:1" x14ac:dyDescent="0.3">
      <c r="A12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8" spans="1:1" x14ac:dyDescent="0.3">
      <c r="A12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59" spans="1:1" x14ac:dyDescent="0.3">
      <c r="A12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0" spans="1:1" x14ac:dyDescent="0.3">
      <c r="A12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1" spans="1:1" x14ac:dyDescent="0.3">
      <c r="A12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2" spans="1:1" x14ac:dyDescent="0.3">
      <c r="A12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3" spans="1:1" x14ac:dyDescent="0.3">
      <c r="A12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4" spans="1:1" x14ac:dyDescent="0.3">
      <c r="A12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5" spans="1:1" x14ac:dyDescent="0.3">
      <c r="A12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6" spans="1:1" x14ac:dyDescent="0.3">
      <c r="A12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7" spans="1:1" x14ac:dyDescent="0.3">
      <c r="A12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8" spans="1:1" x14ac:dyDescent="0.3">
      <c r="A12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69" spans="1:1" x14ac:dyDescent="0.3">
      <c r="A12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0" spans="1:1" x14ac:dyDescent="0.3">
      <c r="A12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1" spans="1:1" x14ac:dyDescent="0.3">
      <c r="A12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2" spans="1:1" x14ac:dyDescent="0.3">
      <c r="A12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3" spans="1:1" x14ac:dyDescent="0.3">
      <c r="A12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4" spans="1:1" x14ac:dyDescent="0.3">
      <c r="A12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5" spans="1:1" x14ac:dyDescent="0.3">
      <c r="A12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6" spans="1:1" x14ac:dyDescent="0.3">
      <c r="A12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7" spans="1:1" x14ac:dyDescent="0.3">
      <c r="A12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8" spans="1:1" x14ac:dyDescent="0.3">
      <c r="A12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79" spans="1:1" x14ac:dyDescent="0.3">
      <c r="A12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0" spans="1:1" x14ac:dyDescent="0.3">
      <c r="A12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1" spans="1:1" x14ac:dyDescent="0.3">
      <c r="A12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2" spans="1:1" x14ac:dyDescent="0.3">
      <c r="A12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3" spans="1:1" x14ac:dyDescent="0.3">
      <c r="A12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4" spans="1:1" x14ac:dyDescent="0.3">
      <c r="A12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5" spans="1:1" x14ac:dyDescent="0.3">
      <c r="A12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6" spans="1:1" x14ac:dyDescent="0.3">
      <c r="A12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7" spans="1:1" x14ac:dyDescent="0.3">
      <c r="A12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8" spans="1:1" x14ac:dyDescent="0.3">
      <c r="A12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89" spans="1:1" x14ac:dyDescent="0.3">
      <c r="A12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0" spans="1:1" x14ac:dyDescent="0.3">
      <c r="A12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1" spans="1:1" x14ac:dyDescent="0.3">
      <c r="A12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2" spans="1:1" x14ac:dyDescent="0.3">
      <c r="A12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3" spans="1:1" x14ac:dyDescent="0.3">
      <c r="A12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4" spans="1:1" x14ac:dyDescent="0.3">
      <c r="A12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5" spans="1:1" x14ac:dyDescent="0.3">
      <c r="A12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6" spans="1:1" x14ac:dyDescent="0.3">
      <c r="A12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7" spans="1:1" x14ac:dyDescent="0.3">
      <c r="A12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8" spans="1:1" x14ac:dyDescent="0.3">
      <c r="A12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299" spans="1:1" x14ac:dyDescent="0.3">
      <c r="A12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0" spans="1:1" x14ac:dyDescent="0.3">
      <c r="A13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1" spans="1:1" x14ac:dyDescent="0.3">
      <c r="A13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2" spans="1:1" x14ac:dyDescent="0.3">
      <c r="A13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3" spans="1:1" x14ac:dyDescent="0.3">
      <c r="A13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4" spans="1:1" x14ac:dyDescent="0.3">
      <c r="A13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5" spans="1:1" x14ac:dyDescent="0.3">
      <c r="A13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6" spans="1:1" x14ac:dyDescent="0.3">
      <c r="A13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7" spans="1:1" x14ac:dyDescent="0.3">
      <c r="A13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8" spans="1:1" x14ac:dyDescent="0.3">
      <c r="A13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09" spans="1:1" x14ac:dyDescent="0.3">
      <c r="A13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0" spans="1:1" x14ac:dyDescent="0.3">
      <c r="A13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1" spans="1:1" x14ac:dyDescent="0.3">
      <c r="A13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2" spans="1:1" x14ac:dyDescent="0.3">
      <c r="A13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3" spans="1:1" x14ac:dyDescent="0.3">
      <c r="A13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4" spans="1:1" x14ac:dyDescent="0.3">
      <c r="A13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5" spans="1:1" x14ac:dyDescent="0.3">
      <c r="A13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6" spans="1:1" x14ac:dyDescent="0.3">
      <c r="A13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7" spans="1:1" x14ac:dyDescent="0.3">
      <c r="A13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8" spans="1:1" x14ac:dyDescent="0.3">
      <c r="A13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19" spans="1:1" x14ac:dyDescent="0.3">
      <c r="A13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0" spans="1:1" x14ac:dyDescent="0.3">
      <c r="A13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1" spans="1:1" x14ac:dyDescent="0.3">
      <c r="A13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2" spans="1:1" x14ac:dyDescent="0.3">
      <c r="A13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3" spans="1:1" x14ac:dyDescent="0.3">
      <c r="A13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4" spans="1:1" x14ac:dyDescent="0.3">
      <c r="A13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5" spans="1:1" x14ac:dyDescent="0.3">
      <c r="A13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6" spans="1:1" x14ac:dyDescent="0.3">
      <c r="A13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7" spans="1:1" x14ac:dyDescent="0.3">
      <c r="A13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8" spans="1:1" x14ac:dyDescent="0.3">
      <c r="A13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29" spans="1:1" x14ac:dyDescent="0.3">
      <c r="A13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0" spans="1:1" x14ac:dyDescent="0.3">
      <c r="A13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1" spans="1:1" x14ac:dyDescent="0.3">
      <c r="A13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2" spans="1:1" x14ac:dyDescent="0.3">
      <c r="A13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3" spans="1:1" x14ac:dyDescent="0.3">
      <c r="A13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4" spans="1:1" x14ac:dyDescent="0.3">
      <c r="A13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5" spans="1:1" x14ac:dyDescent="0.3">
      <c r="A13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6" spans="1:1" x14ac:dyDescent="0.3">
      <c r="A13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7" spans="1:1" x14ac:dyDescent="0.3">
      <c r="A13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8" spans="1:1" x14ac:dyDescent="0.3">
      <c r="A13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39" spans="1:1" x14ac:dyDescent="0.3">
      <c r="A13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0" spans="1:1" x14ac:dyDescent="0.3">
      <c r="A13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1" spans="1:1" x14ac:dyDescent="0.3">
      <c r="A13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2" spans="1:1" x14ac:dyDescent="0.3">
      <c r="A13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3" spans="1:1" x14ac:dyDescent="0.3">
      <c r="A13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4" spans="1:1" x14ac:dyDescent="0.3">
      <c r="A13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5" spans="1:1" x14ac:dyDescent="0.3">
      <c r="A13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6" spans="1:1" x14ac:dyDescent="0.3">
      <c r="A13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7" spans="1:1" x14ac:dyDescent="0.3">
      <c r="A13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8" spans="1:1" x14ac:dyDescent="0.3">
      <c r="A13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49" spans="1:1" x14ac:dyDescent="0.3">
      <c r="A13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0" spans="1:1" x14ac:dyDescent="0.3">
      <c r="A13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1" spans="1:1" x14ac:dyDescent="0.3">
      <c r="A13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2" spans="1:1" x14ac:dyDescent="0.3">
      <c r="A13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3" spans="1:1" x14ac:dyDescent="0.3">
      <c r="A13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4" spans="1:1" x14ac:dyDescent="0.3">
      <c r="A13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5" spans="1:1" x14ac:dyDescent="0.3">
      <c r="A13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6" spans="1:1" x14ac:dyDescent="0.3">
      <c r="A13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7" spans="1:1" x14ac:dyDescent="0.3">
      <c r="A13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8" spans="1:1" x14ac:dyDescent="0.3">
      <c r="A13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59" spans="1:1" x14ac:dyDescent="0.3">
      <c r="A13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0" spans="1:1" x14ac:dyDescent="0.3">
      <c r="A13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1" spans="1:1" x14ac:dyDescent="0.3">
      <c r="A13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2" spans="1:1" x14ac:dyDescent="0.3">
      <c r="A13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3" spans="1:1" x14ac:dyDescent="0.3">
      <c r="A13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4" spans="1:1" x14ac:dyDescent="0.3">
      <c r="A13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5" spans="1:1" x14ac:dyDescent="0.3">
      <c r="A13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6" spans="1:1" x14ac:dyDescent="0.3">
      <c r="A13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7" spans="1:1" x14ac:dyDescent="0.3">
      <c r="A13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8" spans="1:1" x14ac:dyDescent="0.3">
      <c r="A13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69" spans="1:1" x14ac:dyDescent="0.3">
      <c r="A13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0" spans="1:1" x14ac:dyDescent="0.3">
      <c r="A13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1" spans="1:1" x14ac:dyDescent="0.3">
      <c r="A13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2" spans="1:1" x14ac:dyDescent="0.3">
      <c r="A13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3" spans="1:1" x14ac:dyDescent="0.3">
      <c r="A13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4" spans="1:1" x14ac:dyDescent="0.3">
      <c r="A13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5" spans="1:1" x14ac:dyDescent="0.3">
      <c r="A13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6" spans="1:1" x14ac:dyDescent="0.3">
      <c r="A13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7" spans="1:1" x14ac:dyDescent="0.3">
      <c r="A13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8" spans="1:1" x14ac:dyDescent="0.3">
      <c r="A13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79" spans="1:1" x14ac:dyDescent="0.3">
      <c r="A13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0" spans="1:1" x14ac:dyDescent="0.3">
      <c r="A13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1" spans="1:1" x14ac:dyDescent="0.3">
      <c r="A13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2" spans="1:1" x14ac:dyDescent="0.3">
      <c r="A13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3" spans="1:1" x14ac:dyDescent="0.3">
      <c r="A13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4" spans="1:1" x14ac:dyDescent="0.3">
      <c r="A13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5" spans="1:1" x14ac:dyDescent="0.3">
      <c r="A13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6" spans="1:1" x14ac:dyDescent="0.3">
      <c r="A13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7" spans="1:1" x14ac:dyDescent="0.3">
      <c r="A13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8" spans="1:1" x14ac:dyDescent="0.3">
      <c r="A13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89" spans="1:1" x14ac:dyDescent="0.3">
      <c r="A13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0" spans="1:1" x14ac:dyDescent="0.3">
      <c r="A13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1" spans="1:1" x14ac:dyDescent="0.3">
      <c r="A13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2" spans="1:1" x14ac:dyDescent="0.3">
      <c r="A13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3" spans="1:1" x14ac:dyDescent="0.3">
      <c r="A13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4" spans="1:1" x14ac:dyDescent="0.3">
      <c r="A13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5" spans="1:1" x14ac:dyDescent="0.3">
      <c r="A13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6" spans="1:1" x14ac:dyDescent="0.3">
      <c r="A13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7" spans="1:1" x14ac:dyDescent="0.3">
      <c r="A13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8" spans="1:1" x14ac:dyDescent="0.3">
      <c r="A13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399" spans="1:1" x14ac:dyDescent="0.3">
      <c r="A13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0" spans="1:1" x14ac:dyDescent="0.3">
      <c r="A14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1" spans="1:1" x14ac:dyDescent="0.3">
      <c r="A14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2" spans="1:1" x14ac:dyDescent="0.3">
      <c r="A14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3" spans="1:1" x14ac:dyDescent="0.3">
      <c r="A14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4" spans="1:1" x14ac:dyDescent="0.3">
      <c r="A14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5" spans="1:1" x14ac:dyDescent="0.3">
      <c r="A14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6" spans="1:1" x14ac:dyDescent="0.3">
      <c r="A14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7" spans="1:1" x14ac:dyDescent="0.3">
      <c r="A14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8" spans="1:1" x14ac:dyDescent="0.3">
      <c r="A14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09" spans="1:1" x14ac:dyDescent="0.3">
      <c r="A14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0" spans="1:1" x14ac:dyDescent="0.3">
      <c r="A14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1" spans="1:1" x14ac:dyDescent="0.3">
      <c r="A14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2" spans="1:1" x14ac:dyDescent="0.3">
      <c r="A14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3" spans="1:1" x14ac:dyDescent="0.3">
      <c r="A14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4" spans="1:1" x14ac:dyDescent="0.3">
      <c r="A14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5" spans="1:1" x14ac:dyDescent="0.3">
      <c r="A14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6" spans="1:1" x14ac:dyDescent="0.3">
      <c r="A14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7" spans="1:1" x14ac:dyDescent="0.3">
      <c r="A14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8" spans="1:1" x14ac:dyDescent="0.3">
      <c r="A14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19" spans="1:1" x14ac:dyDescent="0.3">
      <c r="A14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0" spans="1:1" x14ac:dyDescent="0.3">
      <c r="A14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1" spans="1:1" x14ac:dyDescent="0.3">
      <c r="A14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2" spans="1:1" x14ac:dyDescent="0.3">
      <c r="A14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3" spans="1:1" x14ac:dyDescent="0.3">
      <c r="A14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4" spans="1:1" x14ac:dyDescent="0.3">
      <c r="A14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5" spans="1:1" x14ac:dyDescent="0.3">
      <c r="A14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6" spans="1:1" x14ac:dyDescent="0.3">
      <c r="A14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7" spans="1:1" x14ac:dyDescent="0.3">
      <c r="A14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8" spans="1:1" x14ac:dyDescent="0.3">
      <c r="A14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29" spans="1:1" x14ac:dyDescent="0.3">
      <c r="A14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0" spans="1:1" x14ac:dyDescent="0.3">
      <c r="A14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1" spans="1:1" x14ac:dyDescent="0.3">
      <c r="A14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2" spans="1:1" x14ac:dyDescent="0.3">
      <c r="A14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3" spans="1:1" x14ac:dyDescent="0.3">
      <c r="A14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4" spans="1:1" x14ac:dyDescent="0.3">
      <c r="A14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5" spans="1:1" x14ac:dyDescent="0.3">
      <c r="A14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6" spans="1:1" x14ac:dyDescent="0.3">
      <c r="A14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7" spans="1:1" x14ac:dyDescent="0.3">
      <c r="A14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8" spans="1:1" x14ac:dyDescent="0.3">
      <c r="A14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39" spans="1:1" x14ac:dyDescent="0.3">
      <c r="A14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0" spans="1:1" x14ac:dyDescent="0.3">
      <c r="A14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1" spans="1:1" x14ac:dyDescent="0.3">
      <c r="A14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2" spans="1:1" x14ac:dyDescent="0.3">
      <c r="A14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3" spans="1:1" x14ac:dyDescent="0.3">
      <c r="A14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4" spans="1:1" x14ac:dyDescent="0.3">
      <c r="A14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5" spans="1:1" x14ac:dyDescent="0.3">
      <c r="A14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6" spans="1:1" x14ac:dyDescent="0.3">
      <c r="A14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7" spans="1:1" x14ac:dyDescent="0.3">
      <c r="A14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8" spans="1:1" x14ac:dyDescent="0.3">
      <c r="A14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49" spans="1:1" x14ac:dyDescent="0.3">
      <c r="A14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0" spans="1:1" x14ac:dyDescent="0.3">
      <c r="A14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1" spans="1:1" x14ac:dyDescent="0.3">
      <c r="A14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2" spans="1:1" x14ac:dyDescent="0.3">
      <c r="A14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3" spans="1:1" x14ac:dyDescent="0.3">
      <c r="A14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4" spans="1:1" x14ac:dyDescent="0.3">
      <c r="A14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5" spans="1:1" x14ac:dyDescent="0.3">
      <c r="A14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6" spans="1:1" x14ac:dyDescent="0.3">
      <c r="A14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7" spans="1:1" x14ac:dyDescent="0.3">
      <c r="A14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8" spans="1:1" x14ac:dyDescent="0.3">
      <c r="A14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59" spans="1:1" x14ac:dyDescent="0.3">
      <c r="A14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0" spans="1:1" x14ac:dyDescent="0.3">
      <c r="A14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1" spans="1:1" x14ac:dyDescent="0.3">
      <c r="A14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2" spans="1:1" x14ac:dyDescent="0.3">
      <c r="A14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3" spans="1:1" x14ac:dyDescent="0.3">
      <c r="A14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4" spans="1:1" x14ac:dyDescent="0.3">
      <c r="A14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5" spans="1:1" x14ac:dyDescent="0.3">
      <c r="A14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6" spans="1:1" x14ac:dyDescent="0.3">
      <c r="A14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7" spans="1:1" x14ac:dyDescent="0.3">
      <c r="A14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8" spans="1:1" x14ac:dyDescent="0.3">
      <c r="A14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69" spans="1:1" x14ac:dyDescent="0.3">
      <c r="A14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0" spans="1:1" x14ac:dyDescent="0.3">
      <c r="A14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1" spans="1:1" x14ac:dyDescent="0.3">
      <c r="A14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2" spans="1:1" x14ac:dyDescent="0.3">
      <c r="A14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3" spans="1:1" x14ac:dyDescent="0.3">
      <c r="A14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4" spans="1:1" x14ac:dyDescent="0.3">
      <c r="A14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5" spans="1:1" x14ac:dyDescent="0.3">
      <c r="A14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6" spans="1:1" x14ac:dyDescent="0.3">
      <c r="A14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7" spans="1:1" x14ac:dyDescent="0.3">
      <c r="A14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8" spans="1:1" x14ac:dyDescent="0.3">
      <c r="A14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79" spans="1:1" x14ac:dyDescent="0.3">
      <c r="A14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0" spans="1:1" x14ac:dyDescent="0.3">
      <c r="A14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1" spans="1:1" x14ac:dyDescent="0.3">
      <c r="A14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2" spans="1:1" x14ac:dyDescent="0.3">
      <c r="A14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3" spans="1:1" x14ac:dyDescent="0.3">
      <c r="A14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4" spans="1:1" x14ac:dyDescent="0.3">
      <c r="A14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5" spans="1:1" x14ac:dyDescent="0.3">
      <c r="A14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6" spans="1:1" x14ac:dyDescent="0.3">
      <c r="A14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7" spans="1:1" x14ac:dyDescent="0.3">
      <c r="A14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8" spans="1:1" x14ac:dyDescent="0.3">
      <c r="A14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89" spans="1:1" x14ac:dyDescent="0.3">
      <c r="A14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0" spans="1:1" x14ac:dyDescent="0.3">
      <c r="A14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1" spans="1:1" x14ac:dyDescent="0.3">
      <c r="A14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2" spans="1:1" x14ac:dyDescent="0.3">
      <c r="A14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3" spans="1:1" x14ac:dyDescent="0.3">
      <c r="A14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4" spans="1:1" x14ac:dyDescent="0.3">
      <c r="A14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5" spans="1:1" x14ac:dyDescent="0.3">
      <c r="A14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6" spans="1:1" x14ac:dyDescent="0.3">
      <c r="A14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7" spans="1:1" x14ac:dyDescent="0.3">
      <c r="A14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8" spans="1:1" x14ac:dyDescent="0.3">
      <c r="A14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499" spans="1:1" x14ac:dyDescent="0.3">
      <c r="A14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0" spans="1:1" x14ac:dyDescent="0.3">
      <c r="A15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1" spans="1:1" x14ac:dyDescent="0.3">
      <c r="A15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2" spans="1:1" x14ac:dyDescent="0.3">
      <c r="A15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3" spans="1:1" x14ac:dyDescent="0.3">
      <c r="A15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4" spans="1:1" x14ac:dyDescent="0.3">
      <c r="A15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5" spans="1:1" x14ac:dyDescent="0.3">
      <c r="A15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6" spans="1:1" x14ac:dyDescent="0.3">
      <c r="A15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7" spans="1:1" x14ac:dyDescent="0.3">
      <c r="A15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8" spans="1:1" x14ac:dyDescent="0.3">
      <c r="A15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09" spans="1:1" x14ac:dyDescent="0.3">
      <c r="A15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0" spans="1:1" x14ac:dyDescent="0.3">
      <c r="A15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1" spans="1:1" x14ac:dyDescent="0.3">
      <c r="A15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2" spans="1:1" x14ac:dyDescent="0.3">
      <c r="A15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3" spans="1:1" x14ac:dyDescent="0.3">
      <c r="A15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4" spans="1:1" x14ac:dyDescent="0.3">
      <c r="A15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5" spans="1:1" x14ac:dyDescent="0.3">
      <c r="A15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6" spans="1:1" x14ac:dyDescent="0.3">
      <c r="A15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7" spans="1:1" x14ac:dyDescent="0.3">
      <c r="A15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8" spans="1:1" x14ac:dyDescent="0.3">
      <c r="A15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19" spans="1:1" x14ac:dyDescent="0.3">
      <c r="A15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0" spans="1:1" x14ac:dyDescent="0.3">
      <c r="A15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1" spans="1:1" x14ac:dyDescent="0.3">
      <c r="A15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2" spans="1:1" x14ac:dyDescent="0.3">
      <c r="A15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3" spans="1:1" x14ac:dyDescent="0.3">
      <c r="A15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4" spans="1:1" x14ac:dyDescent="0.3">
      <c r="A15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5" spans="1:1" x14ac:dyDescent="0.3">
      <c r="A15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6" spans="1:1" x14ac:dyDescent="0.3">
      <c r="A15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7" spans="1:1" x14ac:dyDescent="0.3">
      <c r="A15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8" spans="1:1" x14ac:dyDescent="0.3">
      <c r="A15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29" spans="1:1" x14ac:dyDescent="0.3">
      <c r="A15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0" spans="1:1" x14ac:dyDescent="0.3">
      <c r="A15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1" spans="1:1" x14ac:dyDescent="0.3">
      <c r="A15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2" spans="1:1" x14ac:dyDescent="0.3">
      <c r="A15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3" spans="1:1" x14ac:dyDescent="0.3">
      <c r="A15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4" spans="1:1" x14ac:dyDescent="0.3">
      <c r="A15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5" spans="1:1" x14ac:dyDescent="0.3">
      <c r="A15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6" spans="1:1" x14ac:dyDescent="0.3">
      <c r="A15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7" spans="1:1" x14ac:dyDescent="0.3">
      <c r="A15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8" spans="1:1" x14ac:dyDescent="0.3">
      <c r="A15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39" spans="1:1" x14ac:dyDescent="0.3">
      <c r="A15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0" spans="1:1" x14ac:dyDescent="0.3">
      <c r="A15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1" spans="1:1" x14ac:dyDescent="0.3">
      <c r="A15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2" spans="1:1" x14ac:dyDescent="0.3">
      <c r="A15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3" spans="1:1" x14ac:dyDescent="0.3">
      <c r="A15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4" spans="1:1" x14ac:dyDescent="0.3">
      <c r="A15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5" spans="1:1" x14ac:dyDescent="0.3">
      <c r="A15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6" spans="1:1" x14ac:dyDescent="0.3">
      <c r="A15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7" spans="1:1" x14ac:dyDescent="0.3">
      <c r="A15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8" spans="1:1" x14ac:dyDescent="0.3">
      <c r="A15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49" spans="1:1" x14ac:dyDescent="0.3">
      <c r="A15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0" spans="1:1" x14ac:dyDescent="0.3">
      <c r="A15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1" spans="1:1" x14ac:dyDescent="0.3">
      <c r="A15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2" spans="1:1" x14ac:dyDescent="0.3">
      <c r="A15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3" spans="1:1" x14ac:dyDescent="0.3">
      <c r="A15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4" spans="1:1" x14ac:dyDescent="0.3">
      <c r="A15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5" spans="1:1" x14ac:dyDescent="0.3">
      <c r="A15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6" spans="1:1" x14ac:dyDescent="0.3">
      <c r="A15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7" spans="1:1" x14ac:dyDescent="0.3">
      <c r="A15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8" spans="1:1" x14ac:dyDescent="0.3">
      <c r="A15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59" spans="1:1" x14ac:dyDescent="0.3">
      <c r="A15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0" spans="1:1" x14ac:dyDescent="0.3">
      <c r="A15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1" spans="1:1" x14ac:dyDescent="0.3">
      <c r="A15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2" spans="1:1" x14ac:dyDescent="0.3">
      <c r="A15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3" spans="1:1" x14ac:dyDescent="0.3">
      <c r="A15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4" spans="1:1" x14ac:dyDescent="0.3">
      <c r="A15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5" spans="1:1" x14ac:dyDescent="0.3">
      <c r="A15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6" spans="1:1" x14ac:dyDescent="0.3">
      <c r="A15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7" spans="1:1" x14ac:dyDescent="0.3">
      <c r="A15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8" spans="1:1" x14ac:dyDescent="0.3">
      <c r="A15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69" spans="1:1" x14ac:dyDescent="0.3">
      <c r="A15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0" spans="1:1" x14ac:dyDescent="0.3">
      <c r="A15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1" spans="1:1" x14ac:dyDescent="0.3">
      <c r="A15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2" spans="1:1" x14ac:dyDescent="0.3">
      <c r="A15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3" spans="1:1" x14ac:dyDescent="0.3">
      <c r="A15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4" spans="1:1" x14ac:dyDescent="0.3">
      <c r="A15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5" spans="1:1" x14ac:dyDescent="0.3">
      <c r="A15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6" spans="1:1" x14ac:dyDescent="0.3">
      <c r="A15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7" spans="1:1" x14ac:dyDescent="0.3">
      <c r="A15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8" spans="1:1" x14ac:dyDescent="0.3">
      <c r="A15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79" spans="1:1" x14ac:dyDescent="0.3">
      <c r="A15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0" spans="1:1" x14ac:dyDescent="0.3">
      <c r="A15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1" spans="1:1" x14ac:dyDescent="0.3">
      <c r="A15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2" spans="1:1" x14ac:dyDescent="0.3">
      <c r="A15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3" spans="1:1" x14ac:dyDescent="0.3">
      <c r="A15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4" spans="1:1" x14ac:dyDescent="0.3">
      <c r="A15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5" spans="1:1" x14ac:dyDescent="0.3">
      <c r="A15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6" spans="1:1" x14ac:dyDescent="0.3">
      <c r="A15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7" spans="1:1" x14ac:dyDescent="0.3">
      <c r="A15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8" spans="1:1" x14ac:dyDescent="0.3">
      <c r="A15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89" spans="1:1" x14ac:dyDescent="0.3">
      <c r="A15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0" spans="1:1" x14ac:dyDescent="0.3">
      <c r="A15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1" spans="1:1" x14ac:dyDescent="0.3">
      <c r="A15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2" spans="1:1" x14ac:dyDescent="0.3">
      <c r="A15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3" spans="1:1" x14ac:dyDescent="0.3">
      <c r="A15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4" spans="1:1" x14ac:dyDescent="0.3">
      <c r="A15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5" spans="1:1" x14ac:dyDescent="0.3">
      <c r="A15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6" spans="1:1" x14ac:dyDescent="0.3">
      <c r="A15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7" spans="1:1" x14ac:dyDescent="0.3">
      <c r="A15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8" spans="1:1" x14ac:dyDescent="0.3">
      <c r="A15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599" spans="1:1" x14ac:dyDescent="0.3">
      <c r="A15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0" spans="1:1" x14ac:dyDescent="0.3">
      <c r="A16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1" spans="1:1" x14ac:dyDescent="0.3">
      <c r="A16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2" spans="1:1" x14ac:dyDescent="0.3">
      <c r="A16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3" spans="1:1" x14ac:dyDescent="0.3">
      <c r="A16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4" spans="1:1" x14ac:dyDescent="0.3">
      <c r="A16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5" spans="1:1" x14ac:dyDescent="0.3">
      <c r="A16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6" spans="1:1" x14ac:dyDescent="0.3">
      <c r="A16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7" spans="1:1" x14ac:dyDescent="0.3">
      <c r="A16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8" spans="1:1" x14ac:dyDescent="0.3">
      <c r="A16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09" spans="1:1" x14ac:dyDescent="0.3">
      <c r="A16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0" spans="1:1" x14ac:dyDescent="0.3">
      <c r="A16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1" spans="1:1" x14ac:dyDescent="0.3">
      <c r="A16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2" spans="1:1" x14ac:dyDescent="0.3">
      <c r="A16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3" spans="1:1" x14ac:dyDescent="0.3">
      <c r="A16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4" spans="1:1" x14ac:dyDescent="0.3">
      <c r="A16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5" spans="1:1" x14ac:dyDescent="0.3">
      <c r="A16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6" spans="1:1" x14ac:dyDescent="0.3">
      <c r="A16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7" spans="1:1" x14ac:dyDescent="0.3">
      <c r="A16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8" spans="1:1" x14ac:dyDescent="0.3">
      <c r="A16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19" spans="1:1" x14ac:dyDescent="0.3">
      <c r="A16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0" spans="1:1" x14ac:dyDescent="0.3">
      <c r="A16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1" spans="1:1" x14ac:dyDescent="0.3">
      <c r="A16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2" spans="1:1" x14ac:dyDescent="0.3">
      <c r="A16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3" spans="1:1" x14ac:dyDescent="0.3">
      <c r="A16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4" spans="1:1" x14ac:dyDescent="0.3">
      <c r="A16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5" spans="1:1" x14ac:dyDescent="0.3">
      <c r="A16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6" spans="1:1" x14ac:dyDescent="0.3">
      <c r="A16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7" spans="1:1" x14ac:dyDescent="0.3">
      <c r="A16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8" spans="1:1" x14ac:dyDescent="0.3">
      <c r="A16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29" spans="1:1" x14ac:dyDescent="0.3">
      <c r="A16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0" spans="1:1" x14ac:dyDescent="0.3">
      <c r="A16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1" spans="1:1" x14ac:dyDescent="0.3">
      <c r="A16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2" spans="1:1" x14ac:dyDescent="0.3">
      <c r="A16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3" spans="1:1" x14ac:dyDescent="0.3">
      <c r="A16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4" spans="1:1" x14ac:dyDescent="0.3">
      <c r="A16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5" spans="1:1" x14ac:dyDescent="0.3">
      <c r="A16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6" spans="1:1" x14ac:dyDescent="0.3">
      <c r="A16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7" spans="1:1" x14ac:dyDescent="0.3">
      <c r="A16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8" spans="1:1" x14ac:dyDescent="0.3">
      <c r="A16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39" spans="1:1" x14ac:dyDescent="0.3">
      <c r="A16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0" spans="1:1" x14ac:dyDescent="0.3">
      <c r="A16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1" spans="1:1" x14ac:dyDescent="0.3">
      <c r="A16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2" spans="1:1" x14ac:dyDescent="0.3">
      <c r="A16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3" spans="1:1" x14ac:dyDescent="0.3">
      <c r="A16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4" spans="1:1" x14ac:dyDescent="0.3">
      <c r="A16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5" spans="1:1" x14ac:dyDescent="0.3">
      <c r="A16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6" spans="1:1" x14ac:dyDescent="0.3">
      <c r="A16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7" spans="1:1" x14ac:dyDescent="0.3">
      <c r="A16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8" spans="1:1" x14ac:dyDescent="0.3">
      <c r="A16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49" spans="1:1" x14ac:dyDescent="0.3">
      <c r="A16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0" spans="1:1" x14ac:dyDescent="0.3">
      <c r="A16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1" spans="1:1" x14ac:dyDescent="0.3">
      <c r="A16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2" spans="1:1" x14ac:dyDescent="0.3">
      <c r="A16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3" spans="1:1" x14ac:dyDescent="0.3">
      <c r="A16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4" spans="1:1" x14ac:dyDescent="0.3">
      <c r="A16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5" spans="1:1" x14ac:dyDescent="0.3">
      <c r="A16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6" spans="1:1" x14ac:dyDescent="0.3">
      <c r="A16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7" spans="1:1" x14ac:dyDescent="0.3">
      <c r="A16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8" spans="1:1" x14ac:dyDescent="0.3">
      <c r="A16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59" spans="1:1" x14ac:dyDescent="0.3">
      <c r="A16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0" spans="1:1" x14ac:dyDescent="0.3">
      <c r="A16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1" spans="1:1" x14ac:dyDescent="0.3">
      <c r="A16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2" spans="1:1" x14ac:dyDescent="0.3">
      <c r="A16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3" spans="1:1" x14ac:dyDescent="0.3">
      <c r="A16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4" spans="1:1" x14ac:dyDescent="0.3">
      <c r="A16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5" spans="1:1" x14ac:dyDescent="0.3">
      <c r="A16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6" spans="1:1" x14ac:dyDescent="0.3">
      <c r="A16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7" spans="1:1" x14ac:dyDescent="0.3">
      <c r="A16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8" spans="1:1" x14ac:dyDescent="0.3">
      <c r="A16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69" spans="1:1" x14ac:dyDescent="0.3">
      <c r="A16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0" spans="1:1" x14ac:dyDescent="0.3">
      <c r="A16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1" spans="1:1" x14ac:dyDescent="0.3">
      <c r="A16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2" spans="1:1" x14ac:dyDescent="0.3">
      <c r="A16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3" spans="1:1" x14ac:dyDescent="0.3">
      <c r="A16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4" spans="1:1" x14ac:dyDescent="0.3">
      <c r="A16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5" spans="1:1" x14ac:dyDescent="0.3">
      <c r="A16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6" spans="1:1" x14ac:dyDescent="0.3">
      <c r="A16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7" spans="1:1" x14ac:dyDescent="0.3">
      <c r="A16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8" spans="1:1" x14ac:dyDescent="0.3">
      <c r="A16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79" spans="1:1" x14ac:dyDescent="0.3">
      <c r="A16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0" spans="1:1" x14ac:dyDescent="0.3">
      <c r="A16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1" spans="1:1" x14ac:dyDescent="0.3">
      <c r="A16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2" spans="1:1" x14ac:dyDescent="0.3">
      <c r="A16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3" spans="1:1" x14ac:dyDescent="0.3">
      <c r="A16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4" spans="1:1" x14ac:dyDescent="0.3">
      <c r="A16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5" spans="1:1" x14ac:dyDescent="0.3">
      <c r="A16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6" spans="1:1" x14ac:dyDescent="0.3">
      <c r="A16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7" spans="1:1" x14ac:dyDescent="0.3">
      <c r="A16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8" spans="1:1" x14ac:dyDescent="0.3">
      <c r="A16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89" spans="1:1" x14ac:dyDescent="0.3">
      <c r="A16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0" spans="1:1" x14ac:dyDescent="0.3">
      <c r="A16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1" spans="1:1" x14ac:dyDescent="0.3">
      <c r="A16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2" spans="1:1" x14ac:dyDescent="0.3">
      <c r="A16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3" spans="1:1" x14ac:dyDescent="0.3">
      <c r="A16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4" spans="1:1" x14ac:dyDescent="0.3">
      <c r="A16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5" spans="1:1" x14ac:dyDescent="0.3">
      <c r="A16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6" spans="1:1" x14ac:dyDescent="0.3">
      <c r="A16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7" spans="1:1" x14ac:dyDescent="0.3">
      <c r="A16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8" spans="1:1" x14ac:dyDescent="0.3">
      <c r="A16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699" spans="1:1" x14ac:dyDescent="0.3">
      <c r="A16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0" spans="1:1" x14ac:dyDescent="0.3">
      <c r="A17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1" spans="1:1" x14ac:dyDescent="0.3">
      <c r="A17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2" spans="1:1" x14ac:dyDescent="0.3">
      <c r="A17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3" spans="1:1" x14ac:dyDescent="0.3">
      <c r="A17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4" spans="1:1" x14ac:dyDescent="0.3">
      <c r="A17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5" spans="1:1" x14ac:dyDescent="0.3">
      <c r="A17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6" spans="1:1" x14ac:dyDescent="0.3">
      <c r="A17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7" spans="1:1" x14ac:dyDescent="0.3">
      <c r="A17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8" spans="1:1" x14ac:dyDescent="0.3">
      <c r="A17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09" spans="1:1" x14ac:dyDescent="0.3">
      <c r="A17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0" spans="1:1" x14ac:dyDescent="0.3">
      <c r="A17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1" spans="1:1" x14ac:dyDescent="0.3">
      <c r="A17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2" spans="1:1" x14ac:dyDescent="0.3">
      <c r="A17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3" spans="1:1" x14ac:dyDescent="0.3">
      <c r="A17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4" spans="1:1" x14ac:dyDescent="0.3">
      <c r="A17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5" spans="1:1" x14ac:dyDescent="0.3">
      <c r="A17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6" spans="1:1" x14ac:dyDescent="0.3">
      <c r="A17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7" spans="1:1" x14ac:dyDescent="0.3">
      <c r="A17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8" spans="1:1" x14ac:dyDescent="0.3">
      <c r="A17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19" spans="1:1" x14ac:dyDescent="0.3">
      <c r="A17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0" spans="1:1" x14ac:dyDescent="0.3">
      <c r="A17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1" spans="1:1" x14ac:dyDescent="0.3">
      <c r="A17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2" spans="1:1" x14ac:dyDescent="0.3">
      <c r="A17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3" spans="1:1" x14ac:dyDescent="0.3">
      <c r="A17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4" spans="1:1" x14ac:dyDescent="0.3">
      <c r="A17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5" spans="1:1" x14ac:dyDescent="0.3">
      <c r="A17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6" spans="1:1" x14ac:dyDescent="0.3">
      <c r="A17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7" spans="1:1" x14ac:dyDescent="0.3">
      <c r="A17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8" spans="1:1" x14ac:dyDescent="0.3">
      <c r="A17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29" spans="1:1" x14ac:dyDescent="0.3">
      <c r="A17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0" spans="1:1" x14ac:dyDescent="0.3">
      <c r="A17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1" spans="1:1" x14ac:dyDescent="0.3">
      <c r="A17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2" spans="1:1" x14ac:dyDescent="0.3">
      <c r="A17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3" spans="1:1" x14ac:dyDescent="0.3">
      <c r="A17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4" spans="1:1" x14ac:dyDescent="0.3">
      <c r="A17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5" spans="1:1" x14ac:dyDescent="0.3">
      <c r="A17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6" spans="1:1" x14ac:dyDescent="0.3">
      <c r="A17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7" spans="1:1" x14ac:dyDescent="0.3">
      <c r="A17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8" spans="1:1" x14ac:dyDescent="0.3">
      <c r="A17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39" spans="1:1" x14ac:dyDescent="0.3">
      <c r="A17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0" spans="1:1" x14ac:dyDescent="0.3">
      <c r="A17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1" spans="1:1" x14ac:dyDescent="0.3">
      <c r="A17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2" spans="1:1" x14ac:dyDescent="0.3">
      <c r="A17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3" spans="1:1" x14ac:dyDescent="0.3">
      <c r="A17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4" spans="1:1" x14ac:dyDescent="0.3">
      <c r="A17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5" spans="1:1" x14ac:dyDescent="0.3">
      <c r="A17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6" spans="1:1" x14ac:dyDescent="0.3">
      <c r="A17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7" spans="1:1" x14ac:dyDescent="0.3">
      <c r="A17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8" spans="1:1" x14ac:dyDescent="0.3">
      <c r="A17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49" spans="1:1" x14ac:dyDescent="0.3">
      <c r="A17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0" spans="1:1" x14ac:dyDescent="0.3">
      <c r="A17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1" spans="1:1" x14ac:dyDescent="0.3">
      <c r="A17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2" spans="1:1" x14ac:dyDescent="0.3">
      <c r="A17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3" spans="1:1" x14ac:dyDescent="0.3">
      <c r="A17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4" spans="1:1" x14ac:dyDescent="0.3">
      <c r="A17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5" spans="1:1" x14ac:dyDescent="0.3">
      <c r="A17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6" spans="1:1" x14ac:dyDescent="0.3">
      <c r="A17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7" spans="1:1" x14ac:dyDescent="0.3">
      <c r="A17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8" spans="1:1" x14ac:dyDescent="0.3">
      <c r="A17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59" spans="1:1" x14ac:dyDescent="0.3">
      <c r="A17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0" spans="1:1" x14ac:dyDescent="0.3">
      <c r="A17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1" spans="1:1" x14ac:dyDescent="0.3">
      <c r="A17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2" spans="1:1" x14ac:dyDescent="0.3">
      <c r="A17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3" spans="1:1" x14ac:dyDescent="0.3">
      <c r="A17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4" spans="1:1" x14ac:dyDescent="0.3">
      <c r="A17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5" spans="1:1" x14ac:dyDescent="0.3">
      <c r="A17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6" spans="1:1" x14ac:dyDescent="0.3">
      <c r="A17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7" spans="1:1" x14ac:dyDescent="0.3">
      <c r="A17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8" spans="1:1" x14ac:dyDescent="0.3">
      <c r="A17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69" spans="1:1" x14ac:dyDescent="0.3">
      <c r="A17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0" spans="1:1" x14ac:dyDescent="0.3">
      <c r="A17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1" spans="1:1" x14ac:dyDescent="0.3">
      <c r="A17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2" spans="1:1" x14ac:dyDescent="0.3">
      <c r="A17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3" spans="1:1" x14ac:dyDescent="0.3">
      <c r="A17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4" spans="1:1" x14ac:dyDescent="0.3">
      <c r="A17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5" spans="1:1" x14ac:dyDescent="0.3">
      <c r="A17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6" spans="1:1" x14ac:dyDescent="0.3">
      <c r="A17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7" spans="1:1" x14ac:dyDescent="0.3">
      <c r="A17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8" spans="1:1" x14ac:dyDescent="0.3">
      <c r="A17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79" spans="1:1" x14ac:dyDescent="0.3">
      <c r="A17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0" spans="1:1" x14ac:dyDescent="0.3">
      <c r="A17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1" spans="1:1" x14ac:dyDescent="0.3">
      <c r="A17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2" spans="1:1" x14ac:dyDescent="0.3">
      <c r="A17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3" spans="1:1" x14ac:dyDescent="0.3">
      <c r="A17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4" spans="1:1" x14ac:dyDescent="0.3">
      <c r="A17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5" spans="1:1" x14ac:dyDescent="0.3">
      <c r="A17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6" spans="1:1" x14ac:dyDescent="0.3">
      <c r="A17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7" spans="1:1" x14ac:dyDescent="0.3">
      <c r="A17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8" spans="1:1" x14ac:dyDescent="0.3">
      <c r="A17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89" spans="1:1" x14ac:dyDescent="0.3">
      <c r="A17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0" spans="1:1" x14ac:dyDescent="0.3">
      <c r="A17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1" spans="1:1" x14ac:dyDescent="0.3">
      <c r="A17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2" spans="1:1" x14ac:dyDescent="0.3">
      <c r="A17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3" spans="1:1" x14ac:dyDescent="0.3">
      <c r="A17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4" spans="1:1" x14ac:dyDescent="0.3">
      <c r="A17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5" spans="1:1" x14ac:dyDescent="0.3">
      <c r="A17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6" spans="1:1" x14ac:dyDescent="0.3">
      <c r="A17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7" spans="1:1" x14ac:dyDescent="0.3">
      <c r="A17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8" spans="1:1" x14ac:dyDescent="0.3">
      <c r="A17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799" spans="1:1" x14ac:dyDescent="0.3">
      <c r="A17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0" spans="1:1" x14ac:dyDescent="0.3">
      <c r="A18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1" spans="1:1" x14ac:dyDescent="0.3">
      <c r="A18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2" spans="1:1" x14ac:dyDescent="0.3">
      <c r="A18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3" spans="1:1" x14ac:dyDescent="0.3">
      <c r="A18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4" spans="1:1" x14ac:dyDescent="0.3">
      <c r="A18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5" spans="1:1" x14ac:dyDescent="0.3">
      <c r="A18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6" spans="1:1" x14ac:dyDescent="0.3">
      <c r="A18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7" spans="1:1" x14ac:dyDescent="0.3">
      <c r="A180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8" spans="1:1" x14ac:dyDescent="0.3">
      <c r="A180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09" spans="1:1" x14ac:dyDescent="0.3">
      <c r="A180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0" spans="1:1" x14ac:dyDescent="0.3">
      <c r="A181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1" spans="1:1" x14ac:dyDescent="0.3">
      <c r="A181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2" spans="1:1" x14ac:dyDescent="0.3">
      <c r="A181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3" spans="1:1" x14ac:dyDescent="0.3">
      <c r="A181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4" spans="1:1" x14ac:dyDescent="0.3">
      <c r="A181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5" spans="1:1" x14ac:dyDescent="0.3">
      <c r="A181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6" spans="1:1" x14ac:dyDescent="0.3">
      <c r="A181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7" spans="1:1" x14ac:dyDescent="0.3">
      <c r="A181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8" spans="1:1" x14ac:dyDescent="0.3">
      <c r="A181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19" spans="1:1" x14ac:dyDescent="0.3">
      <c r="A181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0" spans="1:1" x14ac:dyDescent="0.3">
      <c r="A182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1" spans="1:1" x14ac:dyDescent="0.3">
      <c r="A182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2" spans="1:1" x14ac:dyDescent="0.3">
      <c r="A182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3" spans="1:1" x14ac:dyDescent="0.3">
      <c r="A182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4" spans="1:1" x14ac:dyDescent="0.3">
      <c r="A182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5" spans="1:1" x14ac:dyDescent="0.3">
      <c r="A182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6" spans="1:1" x14ac:dyDescent="0.3">
      <c r="A182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7" spans="1:1" x14ac:dyDescent="0.3">
      <c r="A182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8" spans="1:1" x14ac:dyDescent="0.3">
      <c r="A182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29" spans="1:1" x14ac:dyDescent="0.3">
      <c r="A182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0" spans="1:1" x14ac:dyDescent="0.3">
      <c r="A183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1" spans="1:1" x14ac:dyDescent="0.3">
      <c r="A183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2" spans="1:1" x14ac:dyDescent="0.3">
      <c r="A183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3" spans="1:1" x14ac:dyDescent="0.3">
      <c r="A183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4" spans="1:1" x14ac:dyDescent="0.3">
      <c r="A183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5" spans="1:1" x14ac:dyDescent="0.3">
      <c r="A183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6" spans="1:1" x14ac:dyDescent="0.3">
      <c r="A183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7" spans="1:1" x14ac:dyDescent="0.3">
      <c r="A183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8" spans="1:1" x14ac:dyDescent="0.3">
      <c r="A183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39" spans="1:1" x14ac:dyDescent="0.3">
      <c r="A183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0" spans="1:1" x14ac:dyDescent="0.3">
      <c r="A184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1" spans="1:1" x14ac:dyDescent="0.3">
      <c r="A184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2" spans="1:1" x14ac:dyDescent="0.3">
      <c r="A184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3" spans="1:1" x14ac:dyDescent="0.3">
      <c r="A184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4" spans="1:1" x14ac:dyDescent="0.3">
      <c r="A184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5" spans="1:1" x14ac:dyDescent="0.3">
      <c r="A184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6" spans="1:1" x14ac:dyDescent="0.3">
      <c r="A184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7" spans="1:1" x14ac:dyDescent="0.3">
      <c r="A184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8" spans="1:1" x14ac:dyDescent="0.3">
      <c r="A184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49" spans="1:1" x14ac:dyDescent="0.3">
      <c r="A184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0" spans="1:1" x14ac:dyDescent="0.3">
      <c r="A185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1" spans="1:1" x14ac:dyDescent="0.3">
      <c r="A185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2" spans="1:1" x14ac:dyDescent="0.3">
      <c r="A185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3" spans="1:1" x14ac:dyDescent="0.3">
      <c r="A185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4" spans="1:1" x14ac:dyDescent="0.3">
      <c r="A185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5" spans="1:1" x14ac:dyDescent="0.3">
      <c r="A185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6" spans="1:1" x14ac:dyDescent="0.3">
      <c r="A185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7" spans="1:1" x14ac:dyDescent="0.3">
      <c r="A185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8" spans="1:1" x14ac:dyDescent="0.3">
      <c r="A185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59" spans="1:1" x14ac:dyDescent="0.3">
      <c r="A185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0" spans="1:1" x14ac:dyDescent="0.3">
      <c r="A186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1" spans="1:1" x14ac:dyDescent="0.3">
      <c r="A186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2" spans="1:1" x14ac:dyDescent="0.3">
      <c r="A186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3" spans="1:1" x14ac:dyDescent="0.3">
      <c r="A186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4" spans="1:1" x14ac:dyDescent="0.3">
      <c r="A186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5" spans="1:1" x14ac:dyDescent="0.3">
      <c r="A186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6" spans="1:1" x14ac:dyDescent="0.3">
      <c r="A186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7" spans="1:1" x14ac:dyDescent="0.3">
      <c r="A186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8" spans="1:1" x14ac:dyDescent="0.3">
      <c r="A186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69" spans="1:1" x14ac:dyDescent="0.3">
      <c r="A186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0" spans="1:1" x14ac:dyDescent="0.3">
      <c r="A187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1" spans="1:1" x14ac:dyDescent="0.3">
      <c r="A187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2" spans="1:1" x14ac:dyDescent="0.3">
      <c r="A187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3" spans="1:1" x14ac:dyDescent="0.3">
      <c r="A187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4" spans="1:1" x14ac:dyDescent="0.3">
      <c r="A187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5" spans="1:1" x14ac:dyDescent="0.3">
      <c r="A187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6" spans="1:1" x14ac:dyDescent="0.3">
      <c r="A187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7" spans="1:1" x14ac:dyDescent="0.3">
      <c r="A187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8" spans="1:1" x14ac:dyDescent="0.3">
      <c r="A187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79" spans="1:1" x14ac:dyDescent="0.3">
      <c r="A187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0" spans="1:1" x14ac:dyDescent="0.3">
      <c r="A188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1" spans="1:1" x14ac:dyDescent="0.3">
      <c r="A188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2" spans="1:1" x14ac:dyDescent="0.3">
      <c r="A188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3" spans="1:1" x14ac:dyDescent="0.3">
      <c r="A188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4" spans="1:1" x14ac:dyDescent="0.3">
      <c r="A188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5" spans="1:1" x14ac:dyDescent="0.3">
      <c r="A188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6" spans="1:1" x14ac:dyDescent="0.3">
      <c r="A188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7" spans="1:1" x14ac:dyDescent="0.3">
      <c r="A188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8" spans="1:1" x14ac:dyDescent="0.3">
      <c r="A188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89" spans="1:1" x14ac:dyDescent="0.3">
      <c r="A188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0" spans="1:1" x14ac:dyDescent="0.3">
      <c r="A189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1" spans="1:1" x14ac:dyDescent="0.3">
      <c r="A189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2" spans="1:1" x14ac:dyDescent="0.3">
      <c r="A189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3" spans="1:1" x14ac:dyDescent="0.3">
      <c r="A189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4" spans="1:1" x14ac:dyDescent="0.3">
      <c r="A189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5" spans="1:1" x14ac:dyDescent="0.3">
      <c r="A189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6" spans="1:1" x14ac:dyDescent="0.3">
      <c r="A189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7" spans="1:1" x14ac:dyDescent="0.3">
      <c r="A1897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8" spans="1:1" x14ac:dyDescent="0.3">
      <c r="A1898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899" spans="1:1" x14ac:dyDescent="0.3">
      <c r="A1899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0" spans="1:1" x14ac:dyDescent="0.3">
      <c r="A1900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1" spans="1:1" x14ac:dyDescent="0.3">
      <c r="A1901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2" spans="1:1" x14ac:dyDescent="0.3">
      <c r="A1902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3" spans="1:1" x14ac:dyDescent="0.3">
      <c r="A1903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4" spans="1:1" x14ac:dyDescent="0.3">
      <c r="A1904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5" spans="1:1" x14ac:dyDescent="0.3">
      <c r="A1905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6" spans="1:1" x14ac:dyDescent="0.3">
      <c r="A1906" s="1" t="str">
        <f>IFERROR(IF(LEFT(Sensitivität_bzw_Monte_Carlo_bei_Strom[[#This Row],[Source.Name]],SEARCH("aus_der",Sensitivität_bzw_Monte_Carlo_bei_Strom[[#This Row],[Source.Name]],1))="Auszahlung_a","Auszahlung",""),"")</f>
        <v/>
      </c>
    </row>
    <row r="1907" spans="1:1" x14ac:dyDescent="0.3">
      <c r="A1907" s="1" t="str">
        <f>IFERROR(IF(LEFT(Sensitivität_bzw_Monte_Carlo_bei_Strom[[#This Row],[Source.Name]],SEARCH("aus_der",Sensitivität_bzw_Monte_Carlo_bei_Strom[[#This Row],[Source.Name]],1))="Auszahlung_a","Auszahlung",""),"")</f>
        <v/>
      </c>
    </row>
  </sheetData>
  <pageMargins left="0.7" right="0.7" top="0.78740157499999996" bottom="0.78740157499999996" header="0.3" footer="0.3"/>
  <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EBF067-A8CD-4E6B-BAF9-9D7DD98B0910}">
  <sheetPr codeName="Tabelle9"/>
  <dimension ref="A1:N1880"/>
  <sheetViews>
    <sheetView workbookViewId="0"/>
  </sheetViews>
  <sheetFormatPr baseColWidth="10" defaultRowHeight="14.4" x14ac:dyDescent="0.3"/>
  <sheetData>
    <row r="1" spans="1:7" x14ac:dyDescent="0.3">
      <c r="A1" t="s">
        <v>55</v>
      </c>
      <c r="B1" t="s">
        <v>59</v>
      </c>
      <c r="C1" t="s">
        <v>58</v>
      </c>
      <c r="D1" t="s">
        <v>56</v>
      </c>
      <c r="E1" t="s">
        <v>28</v>
      </c>
      <c r="F1" t="s">
        <v>57</v>
      </c>
    </row>
    <row r="2" spans="1:7" x14ac:dyDescent="0.3">
      <c r="A2" s="11"/>
      <c r="B2" s="8"/>
      <c r="C2" s="8"/>
      <c r="E2" s="14"/>
    </row>
    <row r="3" spans="1:7" x14ac:dyDescent="0.3">
      <c r="A3" s="12"/>
      <c r="B3" s="9"/>
      <c r="C3" s="9"/>
      <c r="E3" s="14"/>
    </row>
    <row r="4" spans="1:7" x14ac:dyDescent="0.3">
      <c r="A4" s="11"/>
      <c r="B4" s="8"/>
      <c r="C4" s="8"/>
      <c r="E4" s="14"/>
    </row>
    <row r="5" spans="1:7" x14ac:dyDescent="0.3">
      <c r="A5" s="12"/>
      <c r="B5" s="9"/>
      <c r="C5" s="9"/>
      <c r="E5" s="14"/>
      <c r="G5" s="3"/>
    </row>
    <row r="6" spans="1:7" x14ac:dyDescent="0.3">
      <c r="A6" s="11"/>
      <c r="B6" s="8"/>
      <c r="C6" s="8"/>
      <c r="E6" s="14"/>
      <c r="G6" s="3"/>
    </row>
    <row r="7" spans="1:7" x14ac:dyDescent="0.3">
      <c r="A7" s="12"/>
      <c r="B7" s="9"/>
      <c r="C7" s="9"/>
      <c r="E7" s="14"/>
    </row>
    <row r="8" spans="1:7" x14ac:dyDescent="0.3">
      <c r="A8" s="11"/>
      <c r="B8" s="8"/>
      <c r="C8" s="8"/>
      <c r="E8" s="14"/>
    </row>
    <row r="9" spans="1:7" x14ac:dyDescent="0.3">
      <c r="A9" s="12"/>
      <c r="B9" s="9"/>
      <c r="C9" s="9"/>
      <c r="E9" s="14"/>
    </row>
    <row r="10" spans="1:7" x14ac:dyDescent="0.3">
      <c r="A10" s="11"/>
      <c r="B10" s="8"/>
      <c r="C10" s="8"/>
      <c r="D10" t="s">
        <v>92</v>
      </c>
      <c r="E10" s="14"/>
    </row>
    <row r="11" spans="1:7" x14ac:dyDescent="0.3">
      <c r="A11" s="12"/>
      <c r="B11" s="9"/>
      <c r="C11" s="9"/>
      <c r="E11" s="14"/>
    </row>
    <row r="12" spans="1:7" x14ac:dyDescent="0.3">
      <c r="A12" s="11"/>
      <c r="B12" s="8"/>
      <c r="C12" s="8"/>
      <c r="E12" s="14"/>
    </row>
    <row r="13" spans="1:7" x14ac:dyDescent="0.3">
      <c r="A13" s="12"/>
      <c r="B13" s="9"/>
      <c r="C13" s="9"/>
      <c r="E13" s="14"/>
    </row>
    <row r="14" spans="1:7" x14ac:dyDescent="0.3">
      <c r="A14" s="11"/>
      <c r="B14" s="8"/>
      <c r="C14" s="8"/>
      <c r="E14" s="14"/>
    </row>
    <row r="15" spans="1:7" x14ac:dyDescent="0.3">
      <c r="A15" s="12"/>
      <c r="B15" s="9"/>
      <c r="C15" s="9"/>
      <c r="E15" s="14"/>
    </row>
    <row r="16" spans="1:7" x14ac:dyDescent="0.3">
      <c r="A16" s="11"/>
      <c r="B16" s="8"/>
      <c r="C16" s="8"/>
      <c r="E16" s="14"/>
    </row>
    <row r="17" spans="1:5" x14ac:dyDescent="0.3">
      <c r="A17" s="12"/>
      <c r="B17" s="9"/>
      <c r="C17" s="9"/>
      <c r="E17" s="14"/>
    </row>
    <row r="18" spans="1:5" x14ac:dyDescent="0.3">
      <c r="A18" s="11"/>
      <c r="B18" s="8"/>
      <c r="C18" s="8"/>
      <c r="E18" s="14"/>
    </row>
    <row r="19" spans="1:5" x14ac:dyDescent="0.3">
      <c r="A19" s="12"/>
      <c r="B19" s="9"/>
      <c r="C19" s="9"/>
      <c r="E19" s="14"/>
    </row>
    <row r="20" spans="1:5" x14ac:dyDescent="0.3">
      <c r="A20" s="11"/>
      <c r="B20" s="8"/>
      <c r="C20" s="8"/>
      <c r="E20" s="14"/>
    </row>
    <row r="21" spans="1:5" x14ac:dyDescent="0.3">
      <c r="A21" s="12"/>
      <c r="B21" s="9"/>
      <c r="C21" s="9"/>
      <c r="E21" s="14"/>
    </row>
    <row r="22" spans="1:5" x14ac:dyDescent="0.3">
      <c r="A22" s="11"/>
      <c r="B22" s="8"/>
      <c r="C22" s="8"/>
      <c r="E22" s="14"/>
    </row>
    <row r="23" spans="1:5" x14ac:dyDescent="0.3">
      <c r="A23" s="12"/>
      <c r="B23" s="9"/>
      <c r="C23" s="9"/>
      <c r="E23" s="14"/>
    </row>
    <row r="24" spans="1:5" x14ac:dyDescent="0.3">
      <c r="A24" s="11"/>
      <c r="B24" s="8"/>
      <c r="C24" s="8"/>
      <c r="E24" s="14"/>
    </row>
    <row r="25" spans="1:5" x14ac:dyDescent="0.3">
      <c r="A25" s="12"/>
      <c r="B25" s="9"/>
      <c r="C25" s="9"/>
      <c r="E25" s="14"/>
    </row>
    <row r="26" spans="1:5" x14ac:dyDescent="0.3">
      <c r="A26" s="11"/>
      <c r="B26" s="8"/>
      <c r="C26" s="8"/>
      <c r="E26" s="14"/>
    </row>
    <row r="27" spans="1:5" x14ac:dyDescent="0.3">
      <c r="A27" s="12"/>
      <c r="B27" s="9"/>
      <c r="C27" s="9"/>
      <c r="E27" s="14"/>
    </row>
    <row r="28" spans="1:5" x14ac:dyDescent="0.3">
      <c r="A28" s="11"/>
      <c r="B28" s="8"/>
      <c r="C28" s="8"/>
      <c r="E28" s="14"/>
    </row>
    <row r="29" spans="1:5" x14ac:dyDescent="0.3">
      <c r="A29" s="12"/>
      <c r="B29" s="9"/>
      <c r="C29" s="9"/>
      <c r="E29" s="14"/>
    </row>
    <row r="30" spans="1:5" x14ac:dyDescent="0.3">
      <c r="A30" s="11"/>
      <c r="B30" s="8"/>
      <c r="C30" s="8"/>
      <c r="E30" s="14"/>
    </row>
    <row r="31" spans="1:5" x14ac:dyDescent="0.3">
      <c r="A31" s="12"/>
      <c r="B31" s="9"/>
      <c r="C31" s="9"/>
      <c r="E31" s="14"/>
    </row>
    <row r="32" spans="1:5" x14ac:dyDescent="0.3">
      <c r="A32" s="11"/>
      <c r="B32" s="8"/>
      <c r="C32" s="8"/>
      <c r="E32" s="14"/>
    </row>
    <row r="33" spans="1:5" x14ac:dyDescent="0.3">
      <c r="A33" s="12"/>
      <c r="B33" s="9"/>
      <c r="C33" s="9"/>
      <c r="E33" s="14"/>
    </row>
    <row r="34" spans="1:5" x14ac:dyDescent="0.3">
      <c r="A34" s="11"/>
      <c r="B34" s="8"/>
      <c r="C34" s="8"/>
      <c r="E34" s="14"/>
    </row>
    <row r="35" spans="1:5" x14ac:dyDescent="0.3">
      <c r="A35" s="12"/>
      <c r="B35" s="9"/>
      <c r="C35" s="9"/>
      <c r="E35" s="14"/>
    </row>
    <row r="36" spans="1:5" x14ac:dyDescent="0.3">
      <c r="A36" s="11"/>
      <c r="B36" s="8"/>
      <c r="C36" s="8"/>
      <c r="E36" s="14"/>
    </row>
    <row r="37" spans="1:5" x14ac:dyDescent="0.3">
      <c r="A37" s="12"/>
      <c r="B37" s="9"/>
      <c r="C37" s="9"/>
      <c r="E37" s="14"/>
    </row>
    <row r="38" spans="1:5" x14ac:dyDescent="0.3">
      <c r="A38" s="11"/>
      <c r="B38" s="8"/>
      <c r="C38" s="8"/>
      <c r="E38" s="14"/>
    </row>
    <row r="39" spans="1:5" x14ac:dyDescent="0.3">
      <c r="A39" s="12"/>
      <c r="B39" s="9"/>
      <c r="C39" s="9"/>
      <c r="E39" s="14"/>
    </row>
    <row r="40" spans="1:5" x14ac:dyDescent="0.3">
      <c r="A40" s="11"/>
      <c r="B40" s="8"/>
      <c r="C40" s="8"/>
      <c r="E40" s="14"/>
    </row>
    <row r="41" spans="1:5" x14ac:dyDescent="0.3">
      <c r="A41" s="12"/>
      <c r="B41" s="9"/>
      <c r="C41" s="9"/>
      <c r="E41" s="14"/>
    </row>
    <row r="42" spans="1:5" x14ac:dyDescent="0.3">
      <c r="A42" s="11"/>
      <c r="B42" s="8"/>
      <c r="C42" s="8"/>
      <c r="E42" s="14"/>
    </row>
    <row r="43" spans="1:5" x14ac:dyDescent="0.3">
      <c r="A43" s="12"/>
      <c r="B43" s="9"/>
      <c r="C43" s="9"/>
      <c r="E43" s="14"/>
    </row>
    <row r="44" spans="1:5" x14ac:dyDescent="0.3">
      <c r="A44" s="11"/>
      <c r="B44" s="8"/>
      <c r="C44" s="8"/>
      <c r="E44" s="14"/>
    </row>
    <row r="45" spans="1:5" x14ac:dyDescent="0.3">
      <c r="A45" s="12"/>
      <c r="B45" s="9"/>
      <c r="C45" s="9"/>
      <c r="E45" s="14"/>
    </row>
    <row r="46" spans="1:5" x14ac:dyDescent="0.3">
      <c r="A46" s="11"/>
      <c r="B46" s="8"/>
      <c r="C46" s="8"/>
      <c r="E46" s="14"/>
    </row>
    <row r="47" spans="1:5" x14ac:dyDescent="0.3">
      <c r="A47" s="12"/>
      <c r="B47" s="9"/>
      <c r="C47" s="9"/>
      <c r="E47" s="14"/>
    </row>
    <row r="48" spans="1:5" x14ac:dyDescent="0.3">
      <c r="A48" s="11"/>
      <c r="B48" s="8"/>
      <c r="C48" s="8"/>
      <c r="E48" s="14"/>
    </row>
    <row r="49" spans="1:6" x14ac:dyDescent="0.3">
      <c r="A49" s="12"/>
      <c r="B49" s="9"/>
      <c r="C49" s="9"/>
      <c r="E49" s="14"/>
    </row>
    <row r="50" spans="1:6" x14ac:dyDescent="0.3">
      <c r="A50" s="11"/>
      <c r="B50" s="8"/>
      <c r="C50" s="8"/>
      <c r="E50" s="14"/>
    </row>
    <row r="51" spans="1:6" x14ac:dyDescent="0.3">
      <c r="A51" s="12"/>
      <c r="B51" s="9"/>
      <c r="E51" s="14"/>
    </row>
    <row r="52" spans="1:6" x14ac:dyDescent="0.3">
      <c r="A52" s="11" t="s">
        <v>31</v>
      </c>
      <c r="B52" s="8"/>
      <c r="D52">
        <f t="shared" ref="D52:D100" si="0">IF(IFERROR(FIND("1",A52,1),ERROR.TYPE(#VALUE!))=ERROR.TYPE(#VALUE!),$M$2,$M$1)</f>
        <v>0</v>
      </c>
      <c r="E52" s="14">
        <v>1201.969276767677</v>
      </c>
      <c r="F52">
        <f>Tabelle1318[[#This Row],[Variation]]</f>
        <v>1201.969276767677</v>
      </c>
    </row>
    <row r="53" spans="1:6" x14ac:dyDescent="0.3">
      <c r="A53" s="12" t="s">
        <v>31</v>
      </c>
      <c r="B53" s="9"/>
      <c r="D53">
        <f t="shared" si="0"/>
        <v>0</v>
      </c>
      <c r="E53" s="14">
        <v>1203.6678303030301</v>
      </c>
    </row>
    <row r="54" spans="1:6" x14ac:dyDescent="0.3">
      <c r="A54" s="11" t="s">
        <v>31</v>
      </c>
      <c r="B54" s="8"/>
      <c r="D54">
        <f t="shared" si="0"/>
        <v>0</v>
      </c>
      <c r="E54" s="14">
        <v>1205.3663838383841</v>
      </c>
    </row>
    <row r="55" spans="1:6" x14ac:dyDescent="0.3">
      <c r="A55" s="12" t="s">
        <v>31</v>
      </c>
      <c r="B55" s="9"/>
      <c r="D55">
        <f t="shared" si="0"/>
        <v>0</v>
      </c>
      <c r="E55" s="14">
        <v>1207.0649373737369</v>
      </c>
    </row>
    <row r="56" spans="1:6" x14ac:dyDescent="0.3">
      <c r="A56" s="11" t="s">
        <v>31</v>
      </c>
      <c r="B56" s="8"/>
      <c r="D56">
        <f t="shared" si="0"/>
        <v>0</v>
      </c>
      <c r="E56" s="14">
        <v>1208.7634909090909</v>
      </c>
    </row>
    <row r="57" spans="1:6" x14ac:dyDescent="0.3">
      <c r="A57" s="12" t="s">
        <v>31</v>
      </c>
      <c r="B57" s="9"/>
      <c r="D57">
        <f t="shared" si="0"/>
        <v>0</v>
      </c>
      <c r="E57" s="14">
        <v>1210.462044444444</v>
      </c>
    </row>
    <row r="58" spans="1:6" x14ac:dyDescent="0.3">
      <c r="A58" s="11" t="s">
        <v>31</v>
      </c>
      <c r="B58" s="8"/>
      <c r="D58">
        <f t="shared" si="0"/>
        <v>0</v>
      </c>
      <c r="E58" s="14">
        <v>1212.160597979798</v>
      </c>
    </row>
    <row r="59" spans="1:6" x14ac:dyDescent="0.3">
      <c r="A59" s="12" t="s">
        <v>31</v>
      </c>
      <c r="B59" s="9"/>
      <c r="D59">
        <f t="shared" si="0"/>
        <v>0</v>
      </c>
      <c r="E59" s="14">
        <v>1213.8591515151511</v>
      </c>
    </row>
    <row r="60" spans="1:6" x14ac:dyDescent="0.3">
      <c r="A60" s="11" t="s">
        <v>31</v>
      </c>
      <c r="B60" s="8"/>
      <c r="D60">
        <f t="shared" si="0"/>
        <v>0</v>
      </c>
      <c r="E60" s="14">
        <v>1215.5577050505051</v>
      </c>
    </row>
    <row r="61" spans="1:6" x14ac:dyDescent="0.3">
      <c r="A61" s="12" t="s">
        <v>31</v>
      </c>
      <c r="B61" s="9"/>
      <c r="D61">
        <f t="shared" si="0"/>
        <v>0</v>
      </c>
      <c r="E61" s="14">
        <v>1217.2562585858579</v>
      </c>
    </row>
    <row r="62" spans="1:6" x14ac:dyDescent="0.3">
      <c r="A62" s="11" t="s">
        <v>31</v>
      </c>
      <c r="B62" s="8"/>
      <c r="D62">
        <f t="shared" si="0"/>
        <v>0</v>
      </c>
      <c r="E62" s="14">
        <v>1218.9548121212119</v>
      </c>
    </row>
    <row r="63" spans="1:6" x14ac:dyDescent="0.3">
      <c r="A63" s="12" t="s">
        <v>31</v>
      </c>
      <c r="B63" s="9"/>
      <c r="D63">
        <f t="shared" si="0"/>
        <v>0</v>
      </c>
      <c r="E63" s="14">
        <v>1220.653365656565</v>
      </c>
    </row>
    <row r="64" spans="1:6" x14ac:dyDescent="0.3">
      <c r="A64" s="11" t="s">
        <v>31</v>
      </c>
      <c r="B64" s="8"/>
      <c r="D64">
        <f t="shared" si="0"/>
        <v>0</v>
      </c>
      <c r="E64" s="14">
        <v>1222.351919191919</v>
      </c>
    </row>
    <row r="65" spans="1:5" x14ac:dyDescent="0.3">
      <c r="A65" s="12" t="s">
        <v>31</v>
      </c>
      <c r="B65" s="9"/>
      <c r="D65">
        <f t="shared" si="0"/>
        <v>0</v>
      </c>
      <c r="E65" s="14">
        <v>1224.050472727273</v>
      </c>
    </row>
    <row r="66" spans="1:5" x14ac:dyDescent="0.3">
      <c r="A66" s="11" t="s">
        <v>31</v>
      </c>
      <c r="B66" s="8"/>
      <c r="D66">
        <f t="shared" si="0"/>
        <v>0</v>
      </c>
      <c r="E66" s="14">
        <v>1225.7490262626261</v>
      </c>
    </row>
    <row r="67" spans="1:5" x14ac:dyDescent="0.3">
      <c r="A67" s="12" t="s">
        <v>31</v>
      </c>
      <c r="B67" s="9"/>
      <c r="D67">
        <f t="shared" si="0"/>
        <v>0</v>
      </c>
      <c r="E67" s="14">
        <v>1227.4475797979801</v>
      </c>
    </row>
    <row r="68" spans="1:5" x14ac:dyDescent="0.3">
      <c r="A68" s="11" t="s">
        <v>31</v>
      </c>
      <c r="B68" s="8"/>
      <c r="D68">
        <f t="shared" si="0"/>
        <v>0</v>
      </c>
      <c r="E68" s="14">
        <v>1229.146133333333</v>
      </c>
    </row>
    <row r="69" spans="1:5" x14ac:dyDescent="0.3">
      <c r="A69" s="12" t="s">
        <v>31</v>
      </c>
      <c r="B69" s="9"/>
      <c r="D69">
        <f t="shared" si="0"/>
        <v>0</v>
      </c>
      <c r="E69" s="14">
        <v>1230.8446868686869</v>
      </c>
    </row>
    <row r="70" spans="1:5" x14ac:dyDescent="0.3">
      <c r="A70" s="11" t="s">
        <v>31</v>
      </c>
      <c r="B70" s="8"/>
      <c r="D70">
        <f t="shared" si="0"/>
        <v>0</v>
      </c>
      <c r="E70" s="14">
        <v>1232.54324040404</v>
      </c>
    </row>
    <row r="71" spans="1:5" x14ac:dyDescent="0.3">
      <c r="A71" s="12" t="s">
        <v>31</v>
      </c>
      <c r="B71" s="9"/>
      <c r="D71">
        <f t="shared" si="0"/>
        <v>0</v>
      </c>
      <c r="E71" s="14">
        <v>1234.241793939394</v>
      </c>
    </row>
    <row r="72" spans="1:5" x14ac:dyDescent="0.3">
      <c r="A72" s="11" t="s">
        <v>31</v>
      </c>
      <c r="B72" s="8"/>
      <c r="D72">
        <f t="shared" si="0"/>
        <v>0</v>
      </c>
      <c r="E72" s="14">
        <v>1235.9403474747469</v>
      </c>
    </row>
    <row r="73" spans="1:5" x14ac:dyDescent="0.3">
      <c r="A73" s="12" t="s">
        <v>31</v>
      </c>
      <c r="B73" s="9"/>
      <c r="D73">
        <f t="shared" si="0"/>
        <v>0</v>
      </c>
      <c r="E73" s="14">
        <v>1237.6389010101011</v>
      </c>
    </row>
    <row r="74" spans="1:5" x14ac:dyDescent="0.3">
      <c r="A74" s="11" t="s">
        <v>31</v>
      </c>
      <c r="B74" s="8"/>
      <c r="D74">
        <f t="shared" si="0"/>
        <v>0</v>
      </c>
      <c r="E74" s="14">
        <v>1239.337454545454</v>
      </c>
    </row>
    <row r="75" spans="1:5" x14ac:dyDescent="0.3">
      <c r="A75" s="12" t="s">
        <v>31</v>
      </c>
      <c r="B75" s="9"/>
      <c r="D75">
        <f t="shared" si="0"/>
        <v>0</v>
      </c>
      <c r="E75" s="14">
        <v>1241.036008080808</v>
      </c>
    </row>
    <row r="76" spans="1:5" x14ac:dyDescent="0.3">
      <c r="A76" s="11" t="s">
        <v>31</v>
      </c>
      <c r="B76" s="8"/>
      <c r="D76">
        <f t="shared" si="0"/>
        <v>0</v>
      </c>
      <c r="E76" s="14">
        <v>1242.734561616161</v>
      </c>
    </row>
    <row r="77" spans="1:5" x14ac:dyDescent="0.3">
      <c r="A77" s="12" t="s">
        <v>31</v>
      </c>
      <c r="B77" s="9"/>
      <c r="D77">
        <f t="shared" si="0"/>
        <v>0</v>
      </c>
      <c r="E77" s="14">
        <v>1244.433115151515</v>
      </c>
    </row>
    <row r="78" spans="1:5" x14ac:dyDescent="0.3">
      <c r="A78" s="11" t="s">
        <v>31</v>
      </c>
      <c r="B78" s="8"/>
      <c r="D78">
        <f t="shared" si="0"/>
        <v>0</v>
      </c>
      <c r="E78" s="14">
        <v>1246.131668686869</v>
      </c>
    </row>
    <row r="79" spans="1:5" x14ac:dyDescent="0.3">
      <c r="A79" s="12" t="s">
        <v>31</v>
      </c>
      <c r="B79" s="9"/>
      <c r="D79">
        <f t="shared" si="0"/>
        <v>0</v>
      </c>
      <c r="E79" s="14">
        <v>1247.8302222222219</v>
      </c>
    </row>
    <row r="80" spans="1:5" x14ac:dyDescent="0.3">
      <c r="A80" s="11" t="s">
        <v>31</v>
      </c>
      <c r="B80" s="8"/>
      <c r="D80">
        <f t="shared" si="0"/>
        <v>0</v>
      </c>
      <c r="E80" s="14">
        <v>1249.5287757575761</v>
      </c>
    </row>
    <row r="81" spans="1:5" x14ac:dyDescent="0.3">
      <c r="A81" s="12" t="s">
        <v>31</v>
      </c>
      <c r="B81" s="9"/>
      <c r="D81">
        <f t="shared" si="0"/>
        <v>0</v>
      </c>
      <c r="E81" s="14">
        <v>1251.227329292929</v>
      </c>
    </row>
    <row r="82" spans="1:5" x14ac:dyDescent="0.3">
      <c r="A82" s="11" t="s">
        <v>31</v>
      </c>
      <c r="B82" s="8"/>
      <c r="D82">
        <f t="shared" si="0"/>
        <v>0</v>
      </c>
      <c r="E82" s="14">
        <v>1252.925882828283</v>
      </c>
    </row>
    <row r="83" spans="1:5" x14ac:dyDescent="0.3">
      <c r="A83" s="12" t="s">
        <v>31</v>
      </c>
      <c r="B83" s="9"/>
      <c r="D83">
        <f t="shared" si="0"/>
        <v>0</v>
      </c>
      <c r="E83" s="14">
        <v>1254.6244363636361</v>
      </c>
    </row>
    <row r="84" spans="1:5" x14ac:dyDescent="0.3">
      <c r="A84" s="11" t="s">
        <v>31</v>
      </c>
      <c r="B84" s="8"/>
      <c r="D84">
        <f t="shared" si="0"/>
        <v>0</v>
      </c>
      <c r="E84" s="14">
        <v>1256.32298989899</v>
      </c>
    </row>
    <row r="85" spans="1:5" x14ac:dyDescent="0.3">
      <c r="A85" s="12" t="s">
        <v>31</v>
      </c>
      <c r="B85" s="9"/>
      <c r="D85">
        <f t="shared" si="0"/>
        <v>0</v>
      </c>
      <c r="E85" s="14">
        <v>1258.0215434343429</v>
      </c>
    </row>
    <row r="86" spans="1:5" x14ac:dyDescent="0.3">
      <c r="A86" s="11" t="s">
        <v>31</v>
      </c>
      <c r="B86" s="8"/>
      <c r="D86">
        <f t="shared" si="0"/>
        <v>0</v>
      </c>
      <c r="E86" s="14">
        <v>1259.7200969696969</v>
      </c>
    </row>
    <row r="87" spans="1:5" x14ac:dyDescent="0.3">
      <c r="A87" s="12" t="s">
        <v>31</v>
      </c>
      <c r="B87" s="9"/>
      <c r="D87">
        <f t="shared" si="0"/>
        <v>0</v>
      </c>
      <c r="E87" s="14">
        <v>1261.41865050505</v>
      </c>
    </row>
    <row r="88" spans="1:5" x14ac:dyDescent="0.3">
      <c r="A88" s="11" t="s">
        <v>31</v>
      </c>
      <c r="B88" s="8"/>
      <c r="D88">
        <f t="shared" si="0"/>
        <v>0</v>
      </c>
      <c r="E88" s="14">
        <v>1263.117204040404</v>
      </c>
    </row>
    <row r="89" spans="1:5" x14ac:dyDescent="0.3">
      <c r="A89" s="12" t="s">
        <v>31</v>
      </c>
      <c r="B89" s="9"/>
      <c r="D89">
        <f t="shared" si="0"/>
        <v>0</v>
      </c>
      <c r="E89" s="14">
        <v>1264.815757575758</v>
      </c>
    </row>
    <row r="90" spans="1:5" x14ac:dyDescent="0.3">
      <c r="A90" s="11" t="s">
        <v>31</v>
      </c>
      <c r="B90" s="8"/>
      <c r="D90">
        <f t="shared" si="0"/>
        <v>0</v>
      </c>
      <c r="E90" s="14">
        <v>1266.5143111111111</v>
      </c>
    </row>
    <row r="91" spans="1:5" x14ac:dyDescent="0.3">
      <c r="A91" s="12" t="s">
        <v>31</v>
      </c>
      <c r="B91" s="9"/>
      <c r="D91">
        <f t="shared" si="0"/>
        <v>0</v>
      </c>
      <c r="E91" s="14">
        <v>1268.2128646464651</v>
      </c>
    </row>
    <row r="92" spans="1:5" x14ac:dyDescent="0.3">
      <c r="A92" s="11" t="s">
        <v>31</v>
      </c>
      <c r="B92" s="8"/>
      <c r="D92">
        <f t="shared" si="0"/>
        <v>0</v>
      </c>
      <c r="E92" s="14">
        <v>1269.9114181818179</v>
      </c>
    </row>
    <row r="93" spans="1:5" x14ac:dyDescent="0.3">
      <c r="A93" s="12" t="s">
        <v>31</v>
      </c>
      <c r="B93" s="9"/>
      <c r="D93">
        <f t="shared" si="0"/>
        <v>0</v>
      </c>
      <c r="E93" s="14">
        <v>1271.6099717171719</v>
      </c>
    </row>
    <row r="94" spans="1:5" x14ac:dyDescent="0.3">
      <c r="A94" s="11" t="s">
        <v>31</v>
      </c>
      <c r="B94" s="8"/>
      <c r="D94">
        <f t="shared" si="0"/>
        <v>0</v>
      </c>
      <c r="E94" s="14">
        <v>1273.308525252525</v>
      </c>
    </row>
    <row r="95" spans="1:5" x14ac:dyDescent="0.3">
      <c r="A95" s="12" t="s">
        <v>31</v>
      </c>
      <c r="B95" s="9"/>
      <c r="D95">
        <f t="shared" si="0"/>
        <v>0</v>
      </c>
      <c r="E95" s="14">
        <v>1275.007078787879</v>
      </c>
    </row>
    <row r="96" spans="1:5" x14ac:dyDescent="0.3">
      <c r="A96" s="11" t="s">
        <v>31</v>
      </c>
      <c r="B96" s="8"/>
      <c r="D96">
        <f t="shared" si="0"/>
        <v>0</v>
      </c>
      <c r="E96" s="14">
        <v>1276.7056323232321</v>
      </c>
    </row>
    <row r="97" spans="1:5" x14ac:dyDescent="0.3">
      <c r="A97" s="12" t="s">
        <v>31</v>
      </c>
      <c r="B97" s="9"/>
      <c r="D97">
        <f t="shared" si="0"/>
        <v>0</v>
      </c>
      <c r="E97" s="14">
        <v>1278.4041858585861</v>
      </c>
    </row>
    <row r="98" spans="1:5" x14ac:dyDescent="0.3">
      <c r="A98" s="11" t="s">
        <v>31</v>
      </c>
      <c r="B98" s="8"/>
      <c r="D98">
        <f t="shared" si="0"/>
        <v>0</v>
      </c>
      <c r="E98" s="14">
        <v>1280.1027393939389</v>
      </c>
    </row>
    <row r="99" spans="1:5" x14ac:dyDescent="0.3">
      <c r="A99" s="12" t="s">
        <v>31</v>
      </c>
      <c r="B99" s="9"/>
      <c r="D99">
        <f t="shared" si="0"/>
        <v>0</v>
      </c>
      <c r="E99" s="14">
        <v>1281.8012929292929</v>
      </c>
    </row>
    <row r="100" spans="1:5" x14ac:dyDescent="0.3">
      <c r="A100" s="11" t="s">
        <v>31</v>
      </c>
      <c r="B100" s="8"/>
      <c r="D100">
        <f t="shared" si="0"/>
        <v>0</v>
      </c>
      <c r="E100" s="14">
        <v>1283.499846464646</v>
      </c>
    </row>
    <row r="101" spans="1:5" x14ac:dyDescent="0.3">
      <c r="A101" s="12"/>
      <c r="B101" s="9"/>
      <c r="C101" s="9"/>
      <c r="E101" s="15"/>
    </row>
    <row r="102" spans="1:5" x14ac:dyDescent="0.3">
      <c r="A102" s="11"/>
      <c r="B102" s="8"/>
      <c r="C102" s="8"/>
      <c r="E102" s="15"/>
    </row>
    <row r="103" spans="1:5" x14ac:dyDescent="0.3">
      <c r="A103" s="12"/>
      <c r="B103" s="9"/>
      <c r="C103" s="9"/>
      <c r="E103" s="15"/>
    </row>
    <row r="104" spans="1:5" x14ac:dyDescent="0.3">
      <c r="A104" s="11"/>
      <c r="B104" s="8"/>
      <c r="C104" s="8"/>
      <c r="E104" s="15"/>
    </row>
    <row r="105" spans="1:5" x14ac:dyDescent="0.3">
      <c r="A105" s="12"/>
      <c r="B105" s="9"/>
      <c r="C105" s="9"/>
      <c r="E105" s="15"/>
    </row>
    <row r="106" spans="1:5" x14ac:dyDescent="0.3">
      <c r="A106" s="11"/>
      <c r="B106" s="8"/>
      <c r="C106" s="8"/>
      <c r="E106" s="15"/>
    </row>
    <row r="107" spans="1:5" x14ac:dyDescent="0.3">
      <c r="A107" s="12"/>
      <c r="B107" s="9"/>
      <c r="C107" s="9"/>
      <c r="E107" s="15"/>
    </row>
    <row r="108" spans="1:5" x14ac:dyDescent="0.3">
      <c r="A108" s="11"/>
      <c r="B108" s="8"/>
      <c r="C108" s="8"/>
      <c r="E108" s="15"/>
    </row>
    <row r="109" spans="1:5" x14ac:dyDescent="0.3">
      <c r="A109" s="12"/>
      <c r="B109" s="9"/>
      <c r="C109" s="9"/>
      <c r="E109" s="15"/>
    </row>
    <row r="110" spans="1:5" x14ac:dyDescent="0.3">
      <c r="A110" s="11"/>
      <c r="B110" s="8"/>
      <c r="C110" s="8"/>
      <c r="E110" s="15"/>
    </row>
    <row r="111" spans="1:5" x14ac:dyDescent="0.3">
      <c r="A111" s="12"/>
      <c r="B111" s="9"/>
      <c r="C111" s="9"/>
      <c r="E111" s="15"/>
    </row>
    <row r="112" spans="1:5" x14ac:dyDescent="0.3">
      <c r="A112" s="11"/>
      <c r="B112" s="8"/>
      <c r="C112" s="8"/>
      <c r="E112" s="15"/>
    </row>
    <row r="113" spans="1:5" x14ac:dyDescent="0.3">
      <c r="A113" s="12"/>
      <c r="B113" s="9"/>
      <c r="C113" s="9"/>
      <c r="E113" s="15"/>
    </row>
    <row r="114" spans="1:5" x14ac:dyDescent="0.3">
      <c r="A114" s="11"/>
      <c r="B114" s="8"/>
      <c r="C114" s="8"/>
      <c r="E114" s="15"/>
    </row>
    <row r="115" spans="1:5" x14ac:dyDescent="0.3">
      <c r="A115" s="12"/>
      <c r="B115" s="9"/>
      <c r="C115" s="9"/>
      <c r="E115" s="15"/>
    </row>
    <row r="116" spans="1:5" x14ac:dyDescent="0.3">
      <c r="A116" s="11"/>
      <c r="B116" s="8"/>
      <c r="C116" s="8"/>
      <c r="E116" s="15"/>
    </row>
    <row r="117" spans="1:5" x14ac:dyDescent="0.3">
      <c r="A117" s="12"/>
      <c r="B117" s="9"/>
      <c r="C117" s="9"/>
      <c r="E117" s="15"/>
    </row>
    <row r="118" spans="1:5" x14ac:dyDescent="0.3">
      <c r="A118" s="11"/>
      <c r="B118" s="8"/>
      <c r="C118" s="8"/>
      <c r="E118" s="15"/>
    </row>
    <row r="119" spans="1:5" x14ac:dyDescent="0.3">
      <c r="A119" s="12"/>
      <c r="B119" s="9"/>
      <c r="C119" s="9"/>
      <c r="E119" s="15"/>
    </row>
    <row r="120" spans="1:5" x14ac:dyDescent="0.3">
      <c r="A120" s="11"/>
      <c r="B120" s="8"/>
      <c r="C120" s="8"/>
      <c r="E120" s="15"/>
    </row>
    <row r="121" spans="1:5" x14ac:dyDescent="0.3">
      <c r="A121" s="12"/>
      <c r="B121" s="9"/>
      <c r="C121" s="9"/>
      <c r="E121" s="15"/>
    </row>
    <row r="122" spans="1:5" x14ac:dyDescent="0.3">
      <c r="A122" s="11"/>
      <c r="B122" s="8"/>
      <c r="C122" s="8"/>
      <c r="E122" s="15"/>
    </row>
    <row r="123" spans="1:5" x14ac:dyDescent="0.3">
      <c r="A123" s="12"/>
      <c r="B123" s="9"/>
      <c r="C123" s="9"/>
      <c r="E123" s="15"/>
    </row>
    <row r="124" spans="1:5" x14ac:dyDescent="0.3">
      <c r="A124" s="11"/>
      <c r="B124" s="8"/>
      <c r="C124" s="8"/>
      <c r="E124" s="15"/>
    </row>
    <row r="125" spans="1:5" x14ac:dyDescent="0.3">
      <c r="A125" s="12"/>
      <c r="B125" s="9"/>
      <c r="C125" s="9"/>
      <c r="E125" s="15"/>
    </row>
    <row r="126" spans="1:5" x14ac:dyDescent="0.3">
      <c r="A126" s="11"/>
      <c r="B126" s="8"/>
      <c r="C126" s="8"/>
      <c r="E126" s="15"/>
    </row>
    <row r="127" spans="1:5" x14ac:dyDescent="0.3">
      <c r="A127" s="12"/>
      <c r="B127" s="9"/>
      <c r="C127" s="9"/>
      <c r="E127" s="15"/>
    </row>
    <row r="128" spans="1:5" x14ac:dyDescent="0.3">
      <c r="A128" s="11"/>
      <c r="B128" s="8"/>
      <c r="C128" s="8"/>
      <c r="E128" s="15"/>
    </row>
    <row r="129" spans="1:5" x14ac:dyDescent="0.3">
      <c r="A129" s="12"/>
      <c r="B129" s="9"/>
      <c r="C129" s="9"/>
      <c r="E129" s="15"/>
    </row>
    <row r="130" spans="1:5" x14ac:dyDescent="0.3">
      <c r="A130" s="11"/>
      <c r="B130" s="8"/>
      <c r="C130" s="8"/>
      <c r="E130" s="15"/>
    </row>
    <row r="131" spans="1:5" x14ac:dyDescent="0.3">
      <c r="A131" s="12"/>
      <c r="B131" s="9"/>
      <c r="C131" s="9"/>
      <c r="E131" s="15"/>
    </row>
    <row r="132" spans="1:5" x14ac:dyDescent="0.3">
      <c r="A132" s="11"/>
      <c r="B132" s="8"/>
      <c r="C132" s="8"/>
      <c r="E132" s="15"/>
    </row>
    <row r="133" spans="1:5" x14ac:dyDescent="0.3">
      <c r="A133" s="12"/>
      <c r="B133" s="9"/>
      <c r="C133" s="9"/>
      <c r="E133" s="15"/>
    </row>
    <row r="134" spans="1:5" x14ac:dyDescent="0.3">
      <c r="A134" s="11"/>
      <c r="B134" s="8"/>
      <c r="C134" s="8"/>
      <c r="E134" s="15"/>
    </row>
    <row r="135" spans="1:5" x14ac:dyDescent="0.3">
      <c r="A135" s="12"/>
      <c r="B135" s="9"/>
      <c r="C135" s="9"/>
      <c r="E135" s="15"/>
    </row>
    <row r="136" spans="1:5" x14ac:dyDescent="0.3">
      <c r="A136" s="11"/>
      <c r="B136" s="8"/>
      <c r="C136" s="8"/>
      <c r="E136" s="15"/>
    </row>
    <row r="137" spans="1:5" x14ac:dyDescent="0.3">
      <c r="A137" s="12"/>
      <c r="B137" s="9"/>
      <c r="C137" s="9"/>
      <c r="E137" s="15"/>
    </row>
    <row r="138" spans="1:5" x14ac:dyDescent="0.3">
      <c r="A138" s="11"/>
      <c r="B138" s="8"/>
      <c r="C138" s="8"/>
      <c r="E138" s="15"/>
    </row>
    <row r="139" spans="1:5" x14ac:dyDescent="0.3">
      <c r="A139" s="12"/>
      <c r="B139" s="9"/>
      <c r="C139" s="9"/>
      <c r="E139" s="15"/>
    </row>
    <row r="140" spans="1:5" x14ac:dyDescent="0.3">
      <c r="A140" s="11"/>
      <c r="B140" s="8"/>
      <c r="C140" s="8"/>
      <c r="E140" s="15"/>
    </row>
    <row r="141" spans="1:5" x14ac:dyDescent="0.3">
      <c r="A141" s="12"/>
      <c r="B141" s="9"/>
      <c r="C141" s="9"/>
      <c r="E141" s="15"/>
    </row>
    <row r="142" spans="1:5" x14ac:dyDescent="0.3">
      <c r="A142" s="11"/>
      <c r="B142" s="8"/>
      <c r="C142" s="8"/>
      <c r="E142" s="15"/>
    </row>
    <row r="143" spans="1:5" x14ac:dyDescent="0.3">
      <c r="A143" s="12"/>
      <c r="B143" s="9"/>
      <c r="C143" s="9"/>
      <c r="E143" s="15"/>
    </row>
    <row r="144" spans="1:5" x14ac:dyDescent="0.3">
      <c r="A144" s="11"/>
      <c r="B144" s="8"/>
      <c r="C144" s="8"/>
      <c r="E144" s="15"/>
    </row>
    <row r="145" spans="1:6" x14ac:dyDescent="0.3">
      <c r="A145" s="12"/>
      <c r="B145" s="9"/>
      <c r="C145" s="9"/>
      <c r="E145" s="15"/>
    </row>
    <row r="146" spans="1:6" x14ac:dyDescent="0.3">
      <c r="A146" s="11"/>
      <c r="B146" s="8"/>
      <c r="C146" s="8"/>
      <c r="E146" s="15"/>
    </row>
    <row r="147" spans="1:6" x14ac:dyDescent="0.3">
      <c r="A147" s="12"/>
      <c r="B147" s="9"/>
      <c r="C147" s="9"/>
      <c r="E147" s="15"/>
    </row>
    <row r="148" spans="1:6" x14ac:dyDescent="0.3">
      <c r="A148" s="11"/>
      <c r="B148" s="8"/>
      <c r="C148" s="8"/>
      <c r="E148" s="15"/>
    </row>
    <row r="149" spans="1:6" x14ac:dyDescent="0.3">
      <c r="A149" s="12"/>
      <c r="B149" s="9"/>
      <c r="C149" s="9"/>
      <c r="E149" s="15"/>
    </row>
    <row r="150" spans="1:6" x14ac:dyDescent="0.3">
      <c r="A150" s="11"/>
      <c r="B150" s="8"/>
      <c r="C150" s="8"/>
      <c r="E150" s="15"/>
    </row>
    <row r="151" spans="1:6" x14ac:dyDescent="0.3">
      <c r="A151" s="12" t="s">
        <v>0</v>
      </c>
      <c r="B151" s="8"/>
      <c r="D151">
        <f t="shared" ref="D151:D200" si="1">IF(IFERROR(FIND("1",A151,1),ERROR.TYPE(#VALUE!))=ERROR.TYPE(#VALUE!),$M$2,$M$1)</f>
        <v>0</v>
      </c>
      <c r="E151" s="15">
        <v>1201.969276767677</v>
      </c>
      <c r="F151">
        <f>Tabelle1318[[#This Row],[Variation]]</f>
        <v>1201.969276767677</v>
      </c>
    </row>
    <row r="152" spans="1:6" x14ac:dyDescent="0.3">
      <c r="A152" s="11" t="s">
        <v>0</v>
      </c>
      <c r="B152" s="8"/>
      <c r="D152">
        <f t="shared" si="1"/>
        <v>0</v>
      </c>
      <c r="E152" s="15">
        <v>1203.6678303030301</v>
      </c>
    </row>
    <row r="153" spans="1:6" x14ac:dyDescent="0.3">
      <c r="A153" s="12" t="s">
        <v>0</v>
      </c>
      <c r="B153" s="8"/>
      <c r="D153">
        <f t="shared" si="1"/>
        <v>0</v>
      </c>
      <c r="E153" s="15">
        <v>1205.3663838383841</v>
      </c>
    </row>
    <row r="154" spans="1:6" x14ac:dyDescent="0.3">
      <c r="A154" s="11" t="s">
        <v>0</v>
      </c>
      <c r="B154" s="8"/>
      <c r="D154">
        <f t="shared" si="1"/>
        <v>0</v>
      </c>
      <c r="E154" s="15">
        <v>1207.0649373737369</v>
      </c>
    </row>
    <row r="155" spans="1:6" x14ac:dyDescent="0.3">
      <c r="A155" s="12" t="s">
        <v>0</v>
      </c>
      <c r="B155" s="8"/>
      <c r="D155">
        <f t="shared" si="1"/>
        <v>0</v>
      </c>
      <c r="E155" s="15">
        <v>1208.7634909090909</v>
      </c>
    </row>
    <row r="156" spans="1:6" x14ac:dyDescent="0.3">
      <c r="A156" s="11" t="s">
        <v>0</v>
      </c>
      <c r="B156" s="8"/>
      <c r="D156">
        <f t="shared" si="1"/>
        <v>0</v>
      </c>
      <c r="E156" s="15">
        <v>1210.462044444444</v>
      </c>
    </row>
    <row r="157" spans="1:6" x14ac:dyDescent="0.3">
      <c r="A157" s="12" t="s">
        <v>0</v>
      </c>
      <c r="B157" s="8"/>
      <c r="D157">
        <f t="shared" si="1"/>
        <v>0</v>
      </c>
      <c r="E157" s="15">
        <v>1212.160597979798</v>
      </c>
    </row>
    <row r="158" spans="1:6" x14ac:dyDescent="0.3">
      <c r="A158" s="11" t="s">
        <v>0</v>
      </c>
      <c r="B158" s="8"/>
      <c r="D158">
        <f t="shared" si="1"/>
        <v>0</v>
      </c>
      <c r="E158" s="15">
        <v>1213.8591515151511</v>
      </c>
    </row>
    <row r="159" spans="1:6" x14ac:dyDescent="0.3">
      <c r="A159" s="12" t="s">
        <v>0</v>
      </c>
      <c r="B159" s="8"/>
      <c r="D159">
        <f t="shared" si="1"/>
        <v>0</v>
      </c>
      <c r="E159" s="15">
        <v>1215.5577050505051</v>
      </c>
    </row>
    <row r="160" spans="1:6" x14ac:dyDescent="0.3">
      <c r="A160" s="11" t="s">
        <v>0</v>
      </c>
      <c r="B160" s="8"/>
      <c r="D160">
        <f t="shared" si="1"/>
        <v>0</v>
      </c>
      <c r="E160" s="15">
        <v>1217.2562585858579</v>
      </c>
    </row>
    <row r="161" spans="1:5" x14ac:dyDescent="0.3">
      <c r="A161" s="12" t="s">
        <v>0</v>
      </c>
      <c r="B161" s="8"/>
      <c r="D161">
        <f t="shared" si="1"/>
        <v>0</v>
      </c>
      <c r="E161" s="15">
        <v>1218.9548121212119</v>
      </c>
    </row>
    <row r="162" spans="1:5" x14ac:dyDescent="0.3">
      <c r="A162" s="11" t="s">
        <v>0</v>
      </c>
      <c r="B162" s="8"/>
      <c r="D162">
        <f t="shared" si="1"/>
        <v>0</v>
      </c>
      <c r="E162" s="15">
        <v>1220.653365656565</v>
      </c>
    </row>
    <row r="163" spans="1:5" x14ac:dyDescent="0.3">
      <c r="A163" s="12" t="s">
        <v>0</v>
      </c>
      <c r="B163" s="8"/>
      <c r="D163">
        <f t="shared" si="1"/>
        <v>0</v>
      </c>
      <c r="E163" s="15">
        <v>1222.351919191919</v>
      </c>
    </row>
    <row r="164" spans="1:5" x14ac:dyDescent="0.3">
      <c r="A164" s="11" t="s">
        <v>0</v>
      </c>
      <c r="B164" s="8"/>
      <c r="D164">
        <f t="shared" si="1"/>
        <v>0</v>
      </c>
      <c r="E164" s="15">
        <v>1224.050472727273</v>
      </c>
    </row>
    <row r="165" spans="1:5" x14ac:dyDescent="0.3">
      <c r="A165" s="12" t="s">
        <v>0</v>
      </c>
      <c r="B165" s="8"/>
      <c r="D165">
        <f t="shared" si="1"/>
        <v>0</v>
      </c>
      <c r="E165" s="15">
        <v>1225.7490262626261</v>
      </c>
    </row>
    <row r="166" spans="1:5" x14ac:dyDescent="0.3">
      <c r="A166" s="11" t="s">
        <v>0</v>
      </c>
      <c r="B166" s="8"/>
      <c r="D166">
        <f t="shared" si="1"/>
        <v>0</v>
      </c>
      <c r="E166" s="15">
        <v>1227.4475797979801</v>
      </c>
    </row>
    <row r="167" spans="1:5" x14ac:dyDescent="0.3">
      <c r="A167" s="12" t="s">
        <v>0</v>
      </c>
      <c r="B167" s="8"/>
      <c r="D167">
        <f t="shared" si="1"/>
        <v>0</v>
      </c>
      <c r="E167" s="15">
        <v>1229.146133333333</v>
      </c>
    </row>
    <row r="168" spans="1:5" x14ac:dyDescent="0.3">
      <c r="A168" s="11" t="s">
        <v>0</v>
      </c>
      <c r="B168" s="8"/>
      <c r="D168">
        <f t="shared" si="1"/>
        <v>0</v>
      </c>
      <c r="E168" s="15">
        <v>1230.8446868686869</v>
      </c>
    </row>
    <row r="169" spans="1:5" x14ac:dyDescent="0.3">
      <c r="A169" s="12" t="s">
        <v>0</v>
      </c>
      <c r="B169" s="8"/>
      <c r="D169">
        <f t="shared" si="1"/>
        <v>0</v>
      </c>
      <c r="E169" s="15">
        <v>1232.54324040404</v>
      </c>
    </row>
    <row r="170" spans="1:5" x14ac:dyDescent="0.3">
      <c r="A170" s="11" t="s">
        <v>0</v>
      </c>
      <c r="B170" s="8"/>
      <c r="D170">
        <f t="shared" si="1"/>
        <v>0</v>
      </c>
      <c r="E170" s="15">
        <v>1234.241793939394</v>
      </c>
    </row>
    <row r="171" spans="1:5" x14ac:dyDescent="0.3">
      <c r="A171" s="12" t="s">
        <v>0</v>
      </c>
      <c r="B171" s="8"/>
      <c r="D171">
        <f t="shared" si="1"/>
        <v>0</v>
      </c>
      <c r="E171" s="15">
        <v>1235.9403474747469</v>
      </c>
    </row>
    <row r="172" spans="1:5" x14ac:dyDescent="0.3">
      <c r="A172" s="11" t="s">
        <v>0</v>
      </c>
      <c r="B172" s="8"/>
      <c r="D172">
        <f t="shared" si="1"/>
        <v>0</v>
      </c>
      <c r="E172" s="15">
        <v>1237.6389010101011</v>
      </c>
    </row>
    <row r="173" spans="1:5" x14ac:dyDescent="0.3">
      <c r="A173" s="12" t="s">
        <v>0</v>
      </c>
      <c r="B173" s="8"/>
      <c r="D173">
        <f t="shared" si="1"/>
        <v>0</v>
      </c>
      <c r="E173" s="15">
        <v>1239.337454545454</v>
      </c>
    </row>
    <row r="174" spans="1:5" x14ac:dyDescent="0.3">
      <c r="A174" s="11" t="s">
        <v>0</v>
      </c>
      <c r="B174" s="8"/>
      <c r="D174">
        <f t="shared" si="1"/>
        <v>0</v>
      </c>
      <c r="E174" s="15">
        <v>1241.036008080808</v>
      </c>
    </row>
    <row r="175" spans="1:5" x14ac:dyDescent="0.3">
      <c r="A175" s="12" t="s">
        <v>0</v>
      </c>
      <c r="B175" s="8"/>
      <c r="D175">
        <f t="shared" si="1"/>
        <v>0</v>
      </c>
      <c r="E175" s="15">
        <v>1242.734561616161</v>
      </c>
    </row>
    <row r="176" spans="1:5" x14ac:dyDescent="0.3">
      <c r="A176" s="11" t="s">
        <v>0</v>
      </c>
      <c r="B176" s="8"/>
      <c r="D176">
        <f t="shared" si="1"/>
        <v>0</v>
      </c>
      <c r="E176" s="15">
        <v>1244.433115151515</v>
      </c>
    </row>
    <row r="177" spans="1:5" x14ac:dyDescent="0.3">
      <c r="A177" s="12" t="s">
        <v>0</v>
      </c>
      <c r="B177" s="8"/>
      <c r="D177">
        <f t="shared" si="1"/>
        <v>0</v>
      </c>
      <c r="E177" s="15">
        <v>1246.131668686869</v>
      </c>
    </row>
    <row r="178" spans="1:5" x14ac:dyDescent="0.3">
      <c r="A178" s="11" t="s">
        <v>0</v>
      </c>
      <c r="B178" s="8"/>
      <c r="D178">
        <f t="shared" si="1"/>
        <v>0</v>
      </c>
      <c r="E178" s="15">
        <v>1247.8302222222219</v>
      </c>
    </row>
    <row r="179" spans="1:5" x14ac:dyDescent="0.3">
      <c r="A179" s="12" t="s">
        <v>0</v>
      </c>
      <c r="B179" s="8"/>
      <c r="D179">
        <f t="shared" si="1"/>
        <v>0</v>
      </c>
      <c r="E179" s="15">
        <v>1249.5287757575761</v>
      </c>
    </row>
    <row r="180" spans="1:5" x14ac:dyDescent="0.3">
      <c r="A180" s="11" t="s">
        <v>0</v>
      </c>
      <c r="B180" s="8"/>
      <c r="D180">
        <f t="shared" si="1"/>
        <v>0</v>
      </c>
      <c r="E180" s="15">
        <v>1251.227329292929</v>
      </c>
    </row>
    <row r="181" spans="1:5" x14ac:dyDescent="0.3">
      <c r="A181" s="12" t="s">
        <v>0</v>
      </c>
      <c r="B181" s="8"/>
      <c r="D181">
        <f t="shared" si="1"/>
        <v>0</v>
      </c>
      <c r="E181" s="15">
        <v>1252.925882828283</v>
      </c>
    </row>
    <row r="182" spans="1:5" x14ac:dyDescent="0.3">
      <c r="A182" s="11" t="s">
        <v>0</v>
      </c>
      <c r="B182" s="8"/>
      <c r="D182">
        <f t="shared" si="1"/>
        <v>0</v>
      </c>
      <c r="E182" s="15">
        <v>1254.6244363636361</v>
      </c>
    </row>
    <row r="183" spans="1:5" x14ac:dyDescent="0.3">
      <c r="A183" s="12" t="s">
        <v>0</v>
      </c>
      <c r="B183" s="8"/>
      <c r="D183">
        <f t="shared" si="1"/>
        <v>0</v>
      </c>
      <c r="E183" s="15">
        <v>1256.32298989899</v>
      </c>
    </row>
    <row r="184" spans="1:5" x14ac:dyDescent="0.3">
      <c r="A184" s="11" t="s">
        <v>0</v>
      </c>
      <c r="B184" s="8"/>
      <c r="D184">
        <f t="shared" si="1"/>
        <v>0</v>
      </c>
      <c r="E184" s="15">
        <v>1258.0215434343429</v>
      </c>
    </row>
    <row r="185" spans="1:5" x14ac:dyDescent="0.3">
      <c r="A185" s="12" t="s">
        <v>0</v>
      </c>
      <c r="B185" s="8"/>
      <c r="D185">
        <f t="shared" si="1"/>
        <v>0</v>
      </c>
      <c r="E185" s="15">
        <v>1259.7200969696969</v>
      </c>
    </row>
    <row r="186" spans="1:5" x14ac:dyDescent="0.3">
      <c r="A186" s="11" t="s">
        <v>0</v>
      </c>
      <c r="B186" s="8"/>
      <c r="D186">
        <f t="shared" si="1"/>
        <v>0</v>
      </c>
      <c r="E186" s="15">
        <v>1261.41865050505</v>
      </c>
    </row>
    <row r="187" spans="1:5" x14ac:dyDescent="0.3">
      <c r="A187" s="12" t="s">
        <v>0</v>
      </c>
      <c r="B187" s="8"/>
      <c r="D187">
        <f t="shared" si="1"/>
        <v>0</v>
      </c>
      <c r="E187" s="15">
        <v>1263.117204040404</v>
      </c>
    </row>
    <row r="188" spans="1:5" x14ac:dyDescent="0.3">
      <c r="A188" s="11" t="s">
        <v>0</v>
      </c>
      <c r="B188" s="8"/>
      <c r="D188">
        <f t="shared" si="1"/>
        <v>0</v>
      </c>
      <c r="E188" s="15">
        <v>1264.815757575758</v>
      </c>
    </row>
    <row r="189" spans="1:5" x14ac:dyDescent="0.3">
      <c r="A189" s="12" t="s">
        <v>0</v>
      </c>
      <c r="B189" s="8"/>
      <c r="D189">
        <f t="shared" si="1"/>
        <v>0</v>
      </c>
      <c r="E189" s="15">
        <v>1266.5143111111111</v>
      </c>
    </row>
    <row r="190" spans="1:5" x14ac:dyDescent="0.3">
      <c r="A190" s="11" t="s">
        <v>0</v>
      </c>
      <c r="B190" s="8"/>
      <c r="D190">
        <f t="shared" si="1"/>
        <v>0</v>
      </c>
      <c r="E190" s="15">
        <v>1268.2128646464651</v>
      </c>
    </row>
    <row r="191" spans="1:5" x14ac:dyDescent="0.3">
      <c r="A191" s="12" t="s">
        <v>0</v>
      </c>
      <c r="B191" s="8"/>
      <c r="D191">
        <f t="shared" si="1"/>
        <v>0</v>
      </c>
      <c r="E191" s="15">
        <v>1269.9114181818179</v>
      </c>
    </row>
    <row r="192" spans="1:5" x14ac:dyDescent="0.3">
      <c r="A192" s="11" t="s">
        <v>0</v>
      </c>
      <c r="B192" s="8"/>
      <c r="D192">
        <f t="shared" si="1"/>
        <v>0</v>
      </c>
      <c r="E192" s="15">
        <v>1271.6099717171719</v>
      </c>
    </row>
    <row r="193" spans="1:5" x14ac:dyDescent="0.3">
      <c r="A193" s="12" t="s">
        <v>0</v>
      </c>
      <c r="B193" s="8"/>
      <c r="D193">
        <f t="shared" si="1"/>
        <v>0</v>
      </c>
      <c r="E193" s="15">
        <v>1273.308525252525</v>
      </c>
    </row>
    <row r="194" spans="1:5" x14ac:dyDescent="0.3">
      <c r="A194" s="11" t="s">
        <v>0</v>
      </c>
      <c r="B194" s="8"/>
      <c r="D194">
        <f t="shared" si="1"/>
        <v>0</v>
      </c>
      <c r="E194" s="15">
        <v>1275.007078787879</v>
      </c>
    </row>
    <row r="195" spans="1:5" x14ac:dyDescent="0.3">
      <c r="A195" s="12" t="s">
        <v>0</v>
      </c>
      <c r="B195" s="8"/>
      <c r="D195">
        <f t="shared" si="1"/>
        <v>0</v>
      </c>
      <c r="E195" s="15">
        <v>1276.7056323232321</v>
      </c>
    </row>
    <row r="196" spans="1:5" x14ac:dyDescent="0.3">
      <c r="A196" s="11" t="s">
        <v>0</v>
      </c>
      <c r="B196" s="8"/>
      <c r="D196">
        <f t="shared" si="1"/>
        <v>0</v>
      </c>
      <c r="E196" s="15">
        <v>1278.4041858585861</v>
      </c>
    </row>
    <row r="197" spans="1:5" x14ac:dyDescent="0.3">
      <c r="A197" s="12" t="s">
        <v>0</v>
      </c>
      <c r="B197" s="8"/>
      <c r="D197">
        <f t="shared" si="1"/>
        <v>0</v>
      </c>
      <c r="E197" s="15">
        <v>1280.1027393939389</v>
      </c>
    </row>
    <row r="198" spans="1:5" x14ac:dyDescent="0.3">
      <c r="A198" s="11" t="s">
        <v>0</v>
      </c>
      <c r="B198" s="8"/>
      <c r="D198">
        <f t="shared" si="1"/>
        <v>0</v>
      </c>
      <c r="E198" s="15">
        <v>1281.8012929292929</v>
      </c>
    </row>
    <row r="199" spans="1:5" x14ac:dyDescent="0.3">
      <c r="A199" s="12" t="s">
        <v>0</v>
      </c>
      <c r="B199" s="8"/>
      <c r="D199">
        <f t="shared" si="1"/>
        <v>0</v>
      </c>
      <c r="E199" s="15">
        <v>1283.499846464646</v>
      </c>
    </row>
    <row r="200" spans="1:5" x14ac:dyDescent="0.3">
      <c r="A200" s="11" t="s">
        <v>0</v>
      </c>
      <c r="B200" s="8"/>
      <c r="D200">
        <f t="shared" si="1"/>
        <v>0</v>
      </c>
      <c r="E200" s="15">
        <v>1285.1984</v>
      </c>
    </row>
    <row r="201" spans="1:5" x14ac:dyDescent="0.3">
      <c r="A201" s="12"/>
      <c r="B201" s="9"/>
      <c r="C201" s="8"/>
      <c r="E201" s="16"/>
    </row>
    <row r="202" spans="1:5" x14ac:dyDescent="0.3">
      <c r="A202" s="11"/>
      <c r="B202" s="8"/>
      <c r="C202" s="9"/>
      <c r="E202" s="16"/>
    </row>
    <row r="203" spans="1:5" x14ac:dyDescent="0.3">
      <c r="A203" s="12"/>
      <c r="B203" s="9"/>
      <c r="C203" s="8"/>
      <c r="E203" s="16"/>
    </row>
    <row r="204" spans="1:5" x14ac:dyDescent="0.3">
      <c r="A204" s="11"/>
      <c r="B204" s="8"/>
      <c r="C204" s="9"/>
      <c r="E204" s="16"/>
    </row>
    <row r="205" spans="1:5" x14ac:dyDescent="0.3">
      <c r="A205" s="12"/>
      <c r="B205" s="9"/>
      <c r="C205" s="8"/>
      <c r="E205" s="16"/>
    </row>
    <row r="206" spans="1:5" x14ac:dyDescent="0.3">
      <c r="A206" s="11"/>
      <c r="B206" s="8"/>
      <c r="C206" s="9"/>
      <c r="E206" s="16"/>
    </row>
    <row r="207" spans="1:5" x14ac:dyDescent="0.3">
      <c r="A207" s="12"/>
      <c r="B207" s="9"/>
      <c r="C207" s="8"/>
      <c r="E207" s="16"/>
    </row>
    <row r="208" spans="1:5" x14ac:dyDescent="0.3">
      <c r="A208" s="11"/>
      <c r="B208" s="8"/>
      <c r="C208" s="9"/>
      <c r="E208" s="16"/>
    </row>
    <row r="209" spans="1:5" x14ac:dyDescent="0.3">
      <c r="A209" s="12"/>
      <c r="B209" s="9"/>
      <c r="C209" s="8"/>
      <c r="E209" s="16"/>
    </row>
    <row r="210" spans="1:5" x14ac:dyDescent="0.3">
      <c r="A210" s="11"/>
      <c r="B210" s="8"/>
      <c r="C210" s="9"/>
      <c r="E210" s="16"/>
    </row>
    <row r="211" spans="1:5" x14ac:dyDescent="0.3">
      <c r="A211" s="12"/>
      <c r="B211" s="9"/>
      <c r="C211" s="8"/>
      <c r="E211" s="16"/>
    </row>
    <row r="212" spans="1:5" x14ac:dyDescent="0.3">
      <c r="A212" s="11"/>
      <c r="B212" s="8"/>
      <c r="C212" s="9"/>
      <c r="E212" s="16"/>
    </row>
    <row r="213" spans="1:5" x14ac:dyDescent="0.3">
      <c r="A213" s="12"/>
      <c r="B213" s="9"/>
      <c r="C213" s="8"/>
      <c r="E213" s="16"/>
    </row>
    <row r="214" spans="1:5" x14ac:dyDescent="0.3">
      <c r="A214" s="11"/>
      <c r="B214" s="8"/>
      <c r="C214" s="9"/>
      <c r="E214" s="16"/>
    </row>
    <row r="215" spans="1:5" x14ac:dyDescent="0.3">
      <c r="A215" s="12"/>
      <c r="B215" s="9"/>
      <c r="C215" s="8"/>
      <c r="E215" s="16"/>
    </row>
    <row r="216" spans="1:5" x14ac:dyDescent="0.3">
      <c r="A216" s="11"/>
      <c r="B216" s="8"/>
      <c r="C216" s="9"/>
      <c r="E216" s="16"/>
    </row>
    <row r="217" spans="1:5" x14ac:dyDescent="0.3">
      <c r="A217" s="12"/>
      <c r="B217" s="9"/>
      <c r="C217" s="8"/>
      <c r="E217" s="16"/>
    </row>
    <row r="218" spans="1:5" x14ac:dyDescent="0.3">
      <c r="A218" s="11"/>
      <c r="B218" s="8"/>
      <c r="C218" s="9"/>
      <c r="E218" s="16"/>
    </row>
    <row r="219" spans="1:5" x14ac:dyDescent="0.3">
      <c r="A219" s="12"/>
      <c r="B219" s="9"/>
      <c r="C219" s="8"/>
      <c r="E219" s="16"/>
    </row>
    <row r="220" spans="1:5" x14ac:dyDescent="0.3">
      <c r="A220" s="11"/>
      <c r="B220" s="8"/>
      <c r="C220" s="9"/>
      <c r="E220" s="16"/>
    </row>
    <row r="221" spans="1:5" x14ac:dyDescent="0.3">
      <c r="A221" s="12"/>
      <c r="B221" s="9"/>
      <c r="C221" s="8"/>
      <c r="E221" s="16"/>
    </row>
    <row r="222" spans="1:5" x14ac:dyDescent="0.3">
      <c r="A222" s="11"/>
      <c r="B222" s="8"/>
      <c r="C222" s="9"/>
      <c r="E222" s="16"/>
    </row>
    <row r="223" spans="1:5" x14ac:dyDescent="0.3">
      <c r="A223" s="12"/>
      <c r="B223" s="9"/>
      <c r="C223" s="8"/>
      <c r="E223" s="16"/>
    </row>
    <row r="224" spans="1:5" x14ac:dyDescent="0.3">
      <c r="A224" s="11"/>
      <c r="B224" s="8"/>
      <c r="C224" s="9"/>
      <c r="E224" s="16"/>
    </row>
    <row r="225" spans="1:5" x14ac:dyDescent="0.3">
      <c r="A225" s="12"/>
      <c r="B225" s="9"/>
      <c r="C225" s="8"/>
      <c r="E225" s="16"/>
    </row>
    <row r="226" spans="1:5" x14ac:dyDescent="0.3">
      <c r="A226" s="11"/>
      <c r="B226" s="8"/>
      <c r="C226" s="9"/>
      <c r="E226" s="16"/>
    </row>
    <row r="227" spans="1:5" x14ac:dyDescent="0.3">
      <c r="A227" s="12"/>
      <c r="B227" s="9"/>
      <c r="C227" s="8"/>
      <c r="E227" s="16"/>
    </row>
    <row r="228" spans="1:5" x14ac:dyDescent="0.3">
      <c r="A228" s="11"/>
      <c r="B228" s="8"/>
      <c r="C228" s="9"/>
      <c r="E228" s="16"/>
    </row>
    <row r="229" spans="1:5" x14ac:dyDescent="0.3">
      <c r="A229" s="12"/>
      <c r="B229" s="9"/>
      <c r="C229" s="8"/>
      <c r="E229" s="16"/>
    </row>
    <row r="230" spans="1:5" x14ac:dyDescent="0.3">
      <c r="A230" s="11"/>
      <c r="B230" s="8"/>
      <c r="C230" s="9"/>
      <c r="E230" s="16"/>
    </row>
    <row r="231" spans="1:5" x14ac:dyDescent="0.3">
      <c r="A231" s="12"/>
      <c r="B231" s="9"/>
      <c r="C231" s="8"/>
      <c r="E231" s="16"/>
    </row>
    <row r="232" spans="1:5" x14ac:dyDescent="0.3">
      <c r="A232" s="11"/>
      <c r="B232" s="8"/>
      <c r="C232" s="9"/>
      <c r="E232" s="16"/>
    </row>
    <row r="233" spans="1:5" x14ac:dyDescent="0.3">
      <c r="A233" s="12"/>
      <c r="B233" s="9"/>
      <c r="C233" s="8"/>
      <c r="E233" s="16"/>
    </row>
    <row r="234" spans="1:5" x14ac:dyDescent="0.3">
      <c r="A234" s="11"/>
      <c r="B234" s="8"/>
      <c r="C234" s="9"/>
      <c r="E234" s="16"/>
    </row>
    <row r="235" spans="1:5" x14ac:dyDescent="0.3">
      <c r="A235" s="12"/>
      <c r="B235" s="9"/>
      <c r="C235" s="8"/>
      <c r="E235" s="16"/>
    </row>
    <row r="236" spans="1:5" x14ac:dyDescent="0.3">
      <c r="A236" s="11"/>
      <c r="B236" s="8"/>
      <c r="C236" s="9"/>
      <c r="E236" s="16"/>
    </row>
    <row r="237" spans="1:5" x14ac:dyDescent="0.3">
      <c r="A237" s="12"/>
      <c r="B237" s="9"/>
      <c r="C237" s="8"/>
      <c r="E237" s="16"/>
    </row>
    <row r="238" spans="1:5" x14ac:dyDescent="0.3">
      <c r="A238" s="11"/>
      <c r="B238" s="8"/>
      <c r="C238" s="9"/>
      <c r="E238" s="16"/>
    </row>
    <row r="239" spans="1:5" x14ac:dyDescent="0.3">
      <c r="A239" s="12"/>
      <c r="B239" s="9"/>
      <c r="C239" s="8"/>
      <c r="E239" s="16"/>
    </row>
    <row r="240" spans="1:5" x14ac:dyDescent="0.3">
      <c r="A240" s="11"/>
      <c r="B240" s="8"/>
      <c r="C240" s="9"/>
      <c r="E240" s="16"/>
    </row>
    <row r="241" spans="1:5" x14ac:dyDescent="0.3">
      <c r="A241" s="12"/>
      <c r="B241" s="9"/>
      <c r="C241" s="8"/>
      <c r="E241" s="16"/>
    </row>
    <row r="242" spans="1:5" x14ac:dyDescent="0.3">
      <c r="A242" s="11"/>
      <c r="B242" s="8"/>
      <c r="C242" s="9"/>
      <c r="E242" s="16"/>
    </row>
    <row r="243" spans="1:5" x14ac:dyDescent="0.3">
      <c r="A243" s="12"/>
      <c r="B243" s="9"/>
      <c r="C243" s="8"/>
      <c r="E243" s="16"/>
    </row>
    <row r="244" spans="1:5" x14ac:dyDescent="0.3">
      <c r="A244" s="11"/>
      <c r="B244" s="8"/>
      <c r="C244" s="9"/>
      <c r="E244" s="16"/>
    </row>
    <row r="245" spans="1:5" x14ac:dyDescent="0.3">
      <c r="A245" s="12"/>
      <c r="B245" s="9"/>
      <c r="C245" s="8"/>
      <c r="E245" s="16"/>
    </row>
    <row r="246" spans="1:5" x14ac:dyDescent="0.3">
      <c r="A246" s="11"/>
      <c r="B246" s="8"/>
      <c r="C246" s="9"/>
      <c r="E246" s="16"/>
    </row>
    <row r="247" spans="1:5" x14ac:dyDescent="0.3">
      <c r="A247" s="12"/>
      <c r="B247" s="9"/>
      <c r="C247" s="8"/>
      <c r="E247" s="16"/>
    </row>
    <row r="248" spans="1:5" x14ac:dyDescent="0.3">
      <c r="A248" s="11"/>
      <c r="B248" s="8"/>
      <c r="C248" s="9"/>
      <c r="E248" s="16"/>
    </row>
    <row r="249" spans="1:5" x14ac:dyDescent="0.3">
      <c r="A249" s="12"/>
      <c r="B249" s="9"/>
      <c r="C249" s="8"/>
      <c r="E249" s="16"/>
    </row>
    <row r="250" spans="1:5" x14ac:dyDescent="0.3">
      <c r="A250" s="11"/>
      <c r="B250" s="8"/>
      <c r="E250" s="16"/>
    </row>
    <row r="251" spans="1:5" x14ac:dyDescent="0.3">
      <c r="A251" s="12"/>
      <c r="B251" s="9"/>
      <c r="E251" s="16"/>
    </row>
    <row r="252" spans="1:5" x14ac:dyDescent="0.3">
      <c r="A252" s="11" t="s">
        <v>32</v>
      </c>
      <c r="B252" s="8"/>
      <c r="D252">
        <f t="shared" ref="D252:D300" si="2">IF(IFERROR(FIND("1",A252,1),ERROR.TYPE(#VALUE!))=ERROR.TYPE(#VALUE!),$M$2,$M$1)</f>
        <v>0</v>
      </c>
      <c r="E252" s="16">
        <v>30.282424242424241</v>
      </c>
    </row>
    <row r="253" spans="1:5" x14ac:dyDescent="0.3">
      <c r="A253" s="12" t="s">
        <v>32</v>
      </c>
      <c r="B253" s="8"/>
      <c r="D253">
        <f t="shared" si="2"/>
        <v>0</v>
      </c>
      <c r="E253" s="16">
        <v>30.404040404040401</v>
      </c>
    </row>
    <row r="254" spans="1:5" x14ac:dyDescent="0.3">
      <c r="A254" s="11" t="s">
        <v>32</v>
      </c>
      <c r="B254" s="8"/>
      <c r="D254">
        <f t="shared" si="2"/>
        <v>0</v>
      </c>
      <c r="E254" s="16">
        <v>30.525656565656561</v>
      </c>
    </row>
    <row r="255" spans="1:5" x14ac:dyDescent="0.3">
      <c r="A255" s="12" t="s">
        <v>32</v>
      </c>
      <c r="B255" s="8"/>
      <c r="D255">
        <f t="shared" si="2"/>
        <v>0</v>
      </c>
      <c r="E255" s="16">
        <v>30.647272727272728</v>
      </c>
    </row>
    <row r="256" spans="1:5" x14ac:dyDescent="0.3">
      <c r="A256" s="11" t="s">
        <v>32</v>
      </c>
      <c r="B256" s="8"/>
      <c r="D256">
        <f t="shared" si="2"/>
        <v>0</v>
      </c>
      <c r="E256" s="16">
        <v>30.768888888888888</v>
      </c>
    </row>
    <row r="257" spans="1:5" x14ac:dyDescent="0.3">
      <c r="A257" s="12" t="s">
        <v>32</v>
      </c>
      <c r="B257" s="8"/>
      <c r="D257">
        <f t="shared" si="2"/>
        <v>0</v>
      </c>
      <c r="E257" s="16">
        <v>30.890505050505048</v>
      </c>
    </row>
    <row r="258" spans="1:5" x14ac:dyDescent="0.3">
      <c r="A258" s="11" t="s">
        <v>32</v>
      </c>
      <c r="B258" s="8"/>
      <c r="D258">
        <f t="shared" si="2"/>
        <v>0</v>
      </c>
      <c r="E258" s="16">
        <v>31.012121212121212</v>
      </c>
    </row>
    <row r="259" spans="1:5" x14ac:dyDescent="0.3">
      <c r="A259" s="12" t="s">
        <v>32</v>
      </c>
      <c r="B259" s="8"/>
      <c r="D259">
        <f t="shared" si="2"/>
        <v>0</v>
      </c>
      <c r="E259" s="16">
        <v>31.133737373737372</v>
      </c>
    </row>
    <row r="260" spans="1:5" x14ac:dyDescent="0.3">
      <c r="A260" s="11" t="s">
        <v>32</v>
      </c>
      <c r="B260" s="8"/>
      <c r="D260">
        <f t="shared" si="2"/>
        <v>0</v>
      </c>
      <c r="E260" s="16">
        <v>31.255353535353539</v>
      </c>
    </row>
    <row r="261" spans="1:5" x14ac:dyDescent="0.3">
      <c r="A261" s="12" t="s">
        <v>32</v>
      </c>
      <c r="B261" s="8"/>
      <c r="D261">
        <f t="shared" si="2"/>
        <v>0</v>
      </c>
      <c r="E261" s="16">
        <v>31.376969696969699</v>
      </c>
    </row>
    <row r="262" spans="1:5" x14ac:dyDescent="0.3">
      <c r="A262" s="11" t="s">
        <v>32</v>
      </c>
      <c r="B262" s="8"/>
      <c r="D262">
        <f t="shared" si="2"/>
        <v>0</v>
      </c>
      <c r="E262" s="16">
        <v>31.498585858585859</v>
      </c>
    </row>
    <row r="263" spans="1:5" x14ac:dyDescent="0.3">
      <c r="A263" s="12" t="s">
        <v>32</v>
      </c>
      <c r="B263" s="8"/>
      <c r="D263">
        <f t="shared" si="2"/>
        <v>0</v>
      </c>
      <c r="E263" s="16">
        <v>31.620202020202019</v>
      </c>
    </row>
    <row r="264" spans="1:5" x14ac:dyDescent="0.3">
      <c r="A264" s="11" t="s">
        <v>32</v>
      </c>
      <c r="B264" s="8"/>
      <c r="D264">
        <f t="shared" si="2"/>
        <v>0</v>
      </c>
      <c r="E264" s="16">
        <v>31.741818181818179</v>
      </c>
    </row>
    <row r="265" spans="1:5" x14ac:dyDescent="0.3">
      <c r="A265" s="12" t="s">
        <v>32</v>
      </c>
      <c r="B265" s="8"/>
      <c r="D265">
        <f t="shared" si="2"/>
        <v>0</v>
      </c>
      <c r="E265" s="16">
        <v>31.863434343434339</v>
      </c>
    </row>
    <row r="266" spans="1:5" x14ac:dyDescent="0.3">
      <c r="A266" s="11" t="s">
        <v>32</v>
      </c>
      <c r="B266" s="8"/>
      <c r="D266">
        <f t="shared" si="2"/>
        <v>0</v>
      </c>
      <c r="E266" s="16">
        <v>31.985050505050499</v>
      </c>
    </row>
    <row r="267" spans="1:5" x14ac:dyDescent="0.3">
      <c r="A267" s="12" t="s">
        <v>32</v>
      </c>
      <c r="B267" s="8"/>
      <c r="D267">
        <f t="shared" si="2"/>
        <v>0</v>
      </c>
      <c r="E267" s="16">
        <v>32.106666666666669</v>
      </c>
    </row>
    <row r="268" spans="1:5" x14ac:dyDescent="0.3">
      <c r="A268" s="11" t="s">
        <v>32</v>
      </c>
      <c r="B268" s="8"/>
      <c r="D268">
        <f t="shared" si="2"/>
        <v>0</v>
      </c>
      <c r="E268" s="16">
        <v>32.228282828282829</v>
      </c>
    </row>
    <row r="269" spans="1:5" x14ac:dyDescent="0.3">
      <c r="A269" s="12" t="s">
        <v>32</v>
      </c>
      <c r="B269" s="8"/>
      <c r="D269">
        <f t="shared" si="2"/>
        <v>0</v>
      </c>
      <c r="E269" s="16">
        <v>32.349898989898989</v>
      </c>
    </row>
    <row r="270" spans="1:5" x14ac:dyDescent="0.3">
      <c r="A270" s="11" t="s">
        <v>32</v>
      </c>
      <c r="B270" s="8"/>
      <c r="D270">
        <f t="shared" si="2"/>
        <v>0</v>
      </c>
      <c r="E270" s="16">
        <v>32.471515151515149</v>
      </c>
    </row>
    <row r="271" spans="1:5" x14ac:dyDescent="0.3">
      <c r="A271" s="12" t="s">
        <v>32</v>
      </c>
      <c r="B271" s="8"/>
      <c r="D271">
        <f t="shared" si="2"/>
        <v>0</v>
      </c>
      <c r="E271" s="16">
        <v>32.593131313131309</v>
      </c>
    </row>
    <row r="272" spans="1:5" x14ac:dyDescent="0.3">
      <c r="A272" s="11" t="s">
        <v>32</v>
      </c>
      <c r="B272" s="8"/>
      <c r="D272">
        <f t="shared" si="2"/>
        <v>0</v>
      </c>
      <c r="E272" s="16">
        <v>32.714747474747469</v>
      </c>
    </row>
    <row r="273" spans="1:5" x14ac:dyDescent="0.3">
      <c r="A273" s="12" t="s">
        <v>32</v>
      </c>
      <c r="B273" s="8"/>
      <c r="D273">
        <f t="shared" si="2"/>
        <v>0</v>
      </c>
      <c r="E273" s="16">
        <v>32.836363636363643</v>
      </c>
    </row>
    <row r="274" spans="1:5" x14ac:dyDescent="0.3">
      <c r="A274" s="11" t="s">
        <v>32</v>
      </c>
      <c r="B274" s="8"/>
      <c r="D274">
        <f t="shared" si="2"/>
        <v>0</v>
      </c>
      <c r="E274" s="16">
        <v>32.957979797979803</v>
      </c>
    </row>
    <row r="275" spans="1:5" x14ac:dyDescent="0.3">
      <c r="A275" s="12" t="s">
        <v>32</v>
      </c>
      <c r="B275" s="8"/>
      <c r="D275">
        <f t="shared" si="2"/>
        <v>0</v>
      </c>
      <c r="E275" s="16">
        <v>33.079595959595963</v>
      </c>
    </row>
    <row r="276" spans="1:5" x14ac:dyDescent="0.3">
      <c r="A276" s="11" t="s">
        <v>32</v>
      </c>
      <c r="B276" s="8"/>
      <c r="D276">
        <f t="shared" si="2"/>
        <v>0</v>
      </c>
      <c r="E276" s="16">
        <v>33.201212121212123</v>
      </c>
    </row>
    <row r="277" spans="1:5" x14ac:dyDescent="0.3">
      <c r="A277" s="12" t="s">
        <v>32</v>
      </c>
      <c r="B277" s="8"/>
      <c r="D277">
        <f t="shared" si="2"/>
        <v>0</v>
      </c>
      <c r="E277" s="16">
        <v>33.322828282828283</v>
      </c>
    </row>
    <row r="278" spans="1:5" x14ac:dyDescent="0.3">
      <c r="A278" s="11" t="s">
        <v>32</v>
      </c>
      <c r="B278" s="8"/>
      <c r="D278">
        <f t="shared" si="2"/>
        <v>0</v>
      </c>
      <c r="E278" s="16">
        <v>33.444444444444443</v>
      </c>
    </row>
    <row r="279" spans="1:5" x14ac:dyDescent="0.3">
      <c r="A279" s="12" t="s">
        <v>32</v>
      </c>
      <c r="B279" s="8"/>
      <c r="D279">
        <f t="shared" si="2"/>
        <v>0</v>
      </c>
      <c r="E279" s="16">
        <v>33.566060606060603</v>
      </c>
    </row>
    <row r="280" spans="1:5" x14ac:dyDescent="0.3">
      <c r="A280" s="11" t="s">
        <v>32</v>
      </c>
      <c r="B280" s="8"/>
      <c r="D280">
        <f t="shared" si="2"/>
        <v>0</v>
      </c>
      <c r="E280" s="16">
        <v>33.687676767676763</v>
      </c>
    </row>
    <row r="281" spans="1:5" x14ac:dyDescent="0.3">
      <c r="A281" s="12" t="s">
        <v>32</v>
      </c>
      <c r="B281" s="8"/>
      <c r="D281">
        <f t="shared" si="2"/>
        <v>0</v>
      </c>
      <c r="E281" s="16">
        <v>33.809292929292923</v>
      </c>
    </row>
    <row r="282" spans="1:5" x14ac:dyDescent="0.3">
      <c r="A282" s="11" t="s">
        <v>32</v>
      </c>
      <c r="B282" s="8"/>
      <c r="D282">
        <f t="shared" si="2"/>
        <v>0</v>
      </c>
      <c r="E282" s="16">
        <v>33.93090909090909</v>
      </c>
    </row>
    <row r="283" spans="1:5" x14ac:dyDescent="0.3">
      <c r="A283" s="12" t="s">
        <v>32</v>
      </c>
      <c r="B283" s="8"/>
      <c r="D283">
        <f t="shared" si="2"/>
        <v>0</v>
      </c>
      <c r="E283" s="16">
        <v>34.05252525252525</v>
      </c>
    </row>
    <row r="284" spans="1:5" x14ac:dyDescent="0.3">
      <c r="A284" s="11" t="s">
        <v>32</v>
      </c>
      <c r="B284" s="8"/>
      <c r="D284">
        <f t="shared" si="2"/>
        <v>0</v>
      </c>
      <c r="E284" s="16">
        <v>34.17414141414141</v>
      </c>
    </row>
    <row r="285" spans="1:5" x14ac:dyDescent="0.3">
      <c r="A285" s="12" t="s">
        <v>32</v>
      </c>
      <c r="B285" s="8"/>
      <c r="D285">
        <f t="shared" si="2"/>
        <v>0</v>
      </c>
      <c r="E285" s="16">
        <v>34.295757575757577</v>
      </c>
    </row>
    <row r="286" spans="1:5" x14ac:dyDescent="0.3">
      <c r="A286" s="11" t="s">
        <v>32</v>
      </c>
      <c r="B286" s="8"/>
      <c r="D286">
        <f t="shared" si="2"/>
        <v>0</v>
      </c>
      <c r="E286" s="16">
        <v>34.417373737373737</v>
      </c>
    </row>
    <row r="287" spans="1:5" x14ac:dyDescent="0.3">
      <c r="A287" s="12" t="s">
        <v>32</v>
      </c>
      <c r="B287" s="8"/>
      <c r="D287">
        <f t="shared" si="2"/>
        <v>0</v>
      </c>
      <c r="E287" s="16">
        <v>34.538989898989897</v>
      </c>
    </row>
    <row r="288" spans="1:5" x14ac:dyDescent="0.3">
      <c r="A288" s="11" t="s">
        <v>32</v>
      </c>
      <c r="B288" s="8"/>
      <c r="D288">
        <f t="shared" si="2"/>
        <v>0</v>
      </c>
      <c r="E288" s="16">
        <v>34.660606060606057</v>
      </c>
    </row>
    <row r="289" spans="1:5" x14ac:dyDescent="0.3">
      <c r="A289" s="12" t="s">
        <v>32</v>
      </c>
      <c r="B289" s="8"/>
      <c r="D289">
        <f t="shared" si="2"/>
        <v>0</v>
      </c>
      <c r="E289" s="16">
        <v>34.782222222222217</v>
      </c>
    </row>
    <row r="290" spans="1:5" x14ac:dyDescent="0.3">
      <c r="A290" s="11" t="s">
        <v>32</v>
      </c>
      <c r="B290" s="8"/>
      <c r="D290">
        <f t="shared" si="2"/>
        <v>0</v>
      </c>
      <c r="E290" s="16">
        <v>34.903838383838377</v>
      </c>
    </row>
    <row r="291" spans="1:5" x14ac:dyDescent="0.3">
      <c r="A291" s="12" t="s">
        <v>32</v>
      </c>
      <c r="B291" s="8"/>
      <c r="D291">
        <f t="shared" si="2"/>
        <v>0</v>
      </c>
      <c r="E291" s="16">
        <v>35.025454545454537</v>
      </c>
    </row>
    <row r="292" spans="1:5" x14ac:dyDescent="0.3">
      <c r="A292" s="11" t="s">
        <v>32</v>
      </c>
      <c r="B292" s="8"/>
      <c r="D292">
        <f t="shared" si="2"/>
        <v>0</v>
      </c>
      <c r="E292" s="16">
        <v>35.147070707070696</v>
      </c>
    </row>
    <row r="293" spans="1:5" x14ac:dyDescent="0.3">
      <c r="A293" s="12" t="s">
        <v>32</v>
      </c>
      <c r="B293" s="8"/>
      <c r="D293">
        <f t="shared" si="2"/>
        <v>0</v>
      </c>
      <c r="E293" s="16">
        <v>35.268686868686864</v>
      </c>
    </row>
    <row r="294" spans="1:5" x14ac:dyDescent="0.3">
      <c r="A294" s="11" t="s">
        <v>32</v>
      </c>
      <c r="B294" s="8"/>
      <c r="D294">
        <f t="shared" si="2"/>
        <v>0</v>
      </c>
      <c r="E294" s="16">
        <v>35.390303030303031</v>
      </c>
    </row>
    <row r="295" spans="1:5" x14ac:dyDescent="0.3">
      <c r="A295" s="12" t="s">
        <v>32</v>
      </c>
      <c r="B295" s="8"/>
      <c r="D295">
        <f t="shared" si="2"/>
        <v>0</v>
      </c>
      <c r="E295" s="16">
        <v>35.511919191919191</v>
      </c>
    </row>
    <row r="296" spans="1:5" x14ac:dyDescent="0.3">
      <c r="A296" s="11" t="s">
        <v>32</v>
      </c>
      <c r="B296" s="8"/>
      <c r="D296">
        <f t="shared" si="2"/>
        <v>0</v>
      </c>
      <c r="E296" s="16">
        <v>35.633535353535351</v>
      </c>
    </row>
    <row r="297" spans="1:5" x14ac:dyDescent="0.3">
      <c r="A297" s="12" t="s">
        <v>32</v>
      </c>
      <c r="B297" s="8"/>
      <c r="D297">
        <f t="shared" si="2"/>
        <v>0</v>
      </c>
      <c r="E297" s="16">
        <v>35.75515151515151</v>
      </c>
    </row>
    <row r="298" spans="1:5" x14ac:dyDescent="0.3">
      <c r="A298" s="11" t="s">
        <v>32</v>
      </c>
      <c r="B298" s="8"/>
      <c r="D298">
        <f t="shared" si="2"/>
        <v>0</v>
      </c>
      <c r="E298" s="16">
        <v>35.87676767676767</v>
      </c>
    </row>
    <row r="299" spans="1:5" x14ac:dyDescent="0.3">
      <c r="A299" s="12" t="s">
        <v>32</v>
      </c>
      <c r="B299" s="8"/>
      <c r="D299">
        <f t="shared" si="2"/>
        <v>0</v>
      </c>
      <c r="E299" s="16">
        <v>35.998383838383837</v>
      </c>
    </row>
    <row r="300" spans="1:5" x14ac:dyDescent="0.3">
      <c r="A300" s="11" t="s">
        <v>32</v>
      </c>
      <c r="B300" s="8"/>
      <c r="D300">
        <f t="shared" si="2"/>
        <v>0</v>
      </c>
      <c r="E300" s="16">
        <v>36.119999999999997</v>
      </c>
    </row>
    <row r="301" spans="1:5" x14ac:dyDescent="0.3">
      <c r="A301" s="12"/>
      <c r="B301" s="9"/>
      <c r="C301" s="8"/>
      <c r="E301" s="5"/>
    </row>
    <row r="302" spans="1:5" x14ac:dyDescent="0.3">
      <c r="A302" s="11"/>
      <c r="B302" s="8"/>
      <c r="C302" s="9"/>
      <c r="E302" s="5"/>
    </row>
    <row r="303" spans="1:5" x14ac:dyDescent="0.3">
      <c r="A303" s="12"/>
      <c r="B303" s="9"/>
      <c r="C303" s="8"/>
      <c r="E303" s="5"/>
    </row>
    <row r="304" spans="1:5" x14ac:dyDescent="0.3">
      <c r="A304" s="11"/>
      <c r="B304" s="8"/>
      <c r="C304" s="9"/>
      <c r="E304" s="5"/>
    </row>
    <row r="305" spans="1:5" x14ac:dyDescent="0.3">
      <c r="A305" s="12"/>
      <c r="B305" s="9"/>
      <c r="C305" s="8"/>
      <c r="E305" s="5"/>
    </row>
    <row r="306" spans="1:5" x14ac:dyDescent="0.3">
      <c r="A306" s="11"/>
      <c r="B306" s="8"/>
      <c r="C306" s="9"/>
      <c r="E306" s="5"/>
    </row>
    <row r="307" spans="1:5" x14ac:dyDescent="0.3">
      <c r="A307" s="12"/>
      <c r="B307" s="9"/>
      <c r="C307" s="8"/>
      <c r="E307" s="5"/>
    </row>
    <row r="308" spans="1:5" x14ac:dyDescent="0.3">
      <c r="A308" s="11"/>
      <c r="B308" s="8"/>
      <c r="C308" s="9"/>
      <c r="E308" s="5"/>
    </row>
    <row r="309" spans="1:5" x14ac:dyDescent="0.3">
      <c r="A309" s="12"/>
      <c r="B309" s="9"/>
      <c r="C309" s="8"/>
      <c r="E309" s="5"/>
    </row>
    <row r="310" spans="1:5" x14ac:dyDescent="0.3">
      <c r="A310" s="11"/>
      <c r="B310" s="8"/>
      <c r="C310" s="9"/>
      <c r="E310" s="5"/>
    </row>
    <row r="311" spans="1:5" x14ac:dyDescent="0.3">
      <c r="A311" s="12"/>
      <c r="B311" s="9"/>
      <c r="C311" s="8"/>
      <c r="E311" s="5"/>
    </row>
    <row r="312" spans="1:5" x14ac:dyDescent="0.3">
      <c r="A312" s="11"/>
      <c r="B312" s="8"/>
      <c r="C312" s="9"/>
      <c r="E312" s="5"/>
    </row>
    <row r="313" spans="1:5" x14ac:dyDescent="0.3">
      <c r="A313" s="12"/>
      <c r="B313" s="9"/>
      <c r="C313" s="8"/>
      <c r="E313" s="5"/>
    </row>
    <row r="314" spans="1:5" x14ac:dyDescent="0.3">
      <c r="A314" s="11"/>
      <c r="B314" s="8"/>
      <c r="C314" s="9"/>
      <c r="E314" s="5"/>
    </row>
    <row r="315" spans="1:5" x14ac:dyDescent="0.3">
      <c r="A315" s="12"/>
      <c r="B315" s="9"/>
      <c r="C315" s="8"/>
      <c r="E315" s="5"/>
    </row>
    <row r="316" spans="1:5" x14ac:dyDescent="0.3">
      <c r="A316" s="11"/>
      <c r="B316" s="8"/>
      <c r="C316" s="9"/>
      <c r="E316" s="5"/>
    </row>
    <row r="317" spans="1:5" x14ac:dyDescent="0.3">
      <c r="A317" s="12"/>
      <c r="B317" s="9"/>
      <c r="C317" s="8"/>
      <c r="E317" s="5"/>
    </row>
    <row r="318" spans="1:5" x14ac:dyDescent="0.3">
      <c r="A318" s="11"/>
      <c r="B318" s="8"/>
      <c r="C318" s="9"/>
      <c r="E318" s="5"/>
    </row>
    <row r="319" spans="1:5" x14ac:dyDescent="0.3">
      <c r="A319" s="12"/>
      <c r="B319" s="9"/>
      <c r="C319" s="8"/>
      <c r="E319" s="5"/>
    </row>
    <row r="320" spans="1:5" x14ac:dyDescent="0.3">
      <c r="A320" s="11"/>
      <c r="B320" s="8"/>
      <c r="C320" s="9"/>
      <c r="E320" s="5"/>
    </row>
    <row r="321" spans="1:5" x14ac:dyDescent="0.3">
      <c r="A321" s="12"/>
      <c r="B321" s="9"/>
      <c r="C321" s="8"/>
      <c r="E321" s="5"/>
    </row>
    <row r="322" spans="1:5" x14ac:dyDescent="0.3">
      <c r="A322" s="11"/>
      <c r="B322" s="8"/>
      <c r="C322" s="9"/>
      <c r="E322" s="5"/>
    </row>
    <row r="323" spans="1:5" x14ac:dyDescent="0.3">
      <c r="A323" s="12"/>
      <c r="B323" s="9"/>
      <c r="C323" s="8"/>
      <c r="E323" s="5"/>
    </row>
    <row r="324" spans="1:5" x14ac:dyDescent="0.3">
      <c r="A324" s="11"/>
      <c r="B324" s="8"/>
      <c r="C324" s="9"/>
      <c r="E324" s="5"/>
    </row>
    <row r="325" spans="1:5" x14ac:dyDescent="0.3">
      <c r="A325" s="12"/>
      <c r="B325" s="9"/>
      <c r="C325" s="8"/>
      <c r="E325" s="5"/>
    </row>
    <row r="326" spans="1:5" x14ac:dyDescent="0.3">
      <c r="A326" s="11"/>
      <c r="B326" s="8"/>
      <c r="C326" s="9"/>
      <c r="E326" s="5"/>
    </row>
    <row r="327" spans="1:5" x14ac:dyDescent="0.3">
      <c r="A327" s="12"/>
      <c r="B327" s="9"/>
      <c r="C327" s="8"/>
      <c r="E327" s="5"/>
    </row>
    <row r="328" spans="1:5" x14ac:dyDescent="0.3">
      <c r="A328" s="11"/>
      <c r="B328" s="8"/>
      <c r="C328" s="9"/>
      <c r="E328" s="5"/>
    </row>
    <row r="329" spans="1:5" x14ac:dyDescent="0.3">
      <c r="A329" s="12"/>
      <c r="B329" s="9"/>
      <c r="C329" s="8"/>
      <c r="E329" s="5"/>
    </row>
    <row r="330" spans="1:5" x14ac:dyDescent="0.3">
      <c r="A330" s="11"/>
      <c r="B330" s="8"/>
      <c r="C330" s="9"/>
      <c r="E330" s="5"/>
    </row>
    <row r="331" spans="1:5" x14ac:dyDescent="0.3">
      <c r="A331" s="12"/>
      <c r="B331" s="9"/>
      <c r="C331" s="8"/>
      <c r="E331" s="5"/>
    </row>
    <row r="332" spans="1:5" x14ac:dyDescent="0.3">
      <c r="A332" s="11"/>
      <c r="B332" s="8"/>
      <c r="C332" s="9"/>
      <c r="E332" s="5"/>
    </row>
    <row r="333" spans="1:5" x14ac:dyDescent="0.3">
      <c r="A333" s="12"/>
      <c r="B333" s="9"/>
      <c r="C333" s="8"/>
      <c r="E333" s="5"/>
    </row>
    <row r="334" spans="1:5" x14ac:dyDescent="0.3">
      <c r="A334" s="11"/>
      <c r="B334" s="8"/>
      <c r="C334" s="9"/>
      <c r="E334" s="5"/>
    </row>
    <row r="335" spans="1:5" x14ac:dyDescent="0.3">
      <c r="A335" s="12"/>
      <c r="B335" s="9"/>
      <c r="C335" s="8"/>
      <c r="E335" s="5"/>
    </row>
    <row r="336" spans="1:5" x14ac:dyDescent="0.3">
      <c r="A336" s="11"/>
      <c r="B336" s="8"/>
      <c r="C336" s="9"/>
      <c r="E336" s="5"/>
    </row>
    <row r="337" spans="1:6" x14ac:dyDescent="0.3">
      <c r="A337" s="12"/>
      <c r="B337" s="9"/>
      <c r="C337" s="8"/>
      <c r="E337" s="5"/>
    </row>
    <row r="338" spans="1:6" x14ac:dyDescent="0.3">
      <c r="A338" s="11"/>
      <c r="B338" s="8"/>
      <c r="C338" s="9"/>
      <c r="E338" s="5"/>
    </row>
    <row r="339" spans="1:6" x14ac:dyDescent="0.3">
      <c r="A339" s="12"/>
      <c r="B339" s="9"/>
      <c r="C339" s="8"/>
      <c r="E339" s="5"/>
    </row>
    <row r="340" spans="1:6" x14ac:dyDescent="0.3">
      <c r="A340" s="11"/>
      <c r="B340" s="8"/>
      <c r="C340" s="9"/>
      <c r="E340" s="5"/>
    </row>
    <row r="341" spans="1:6" x14ac:dyDescent="0.3">
      <c r="A341" s="12"/>
      <c r="B341" s="9"/>
      <c r="C341" s="8"/>
      <c r="E341" s="5"/>
    </row>
    <row r="342" spans="1:6" x14ac:dyDescent="0.3">
      <c r="A342" s="11"/>
      <c r="B342" s="8"/>
      <c r="C342" s="9"/>
      <c r="E342" s="5"/>
    </row>
    <row r="343" spans="1:6" x14ac:dyDescent="0.3">
      <c r="A343" s="12"/>
      <c r="B343" s="9"/>
      <c r="C343" s="8"/>
      <c r="E343" s="5"/>
    </row>
    <row r="344" spans="1:6" x14ac:dyDescent="0.3">
      <c r="A344" s="11"/>
      <c r="B344" s="8"/>
      <c r="C344" s="9"/>
      <c r="E344" s="5"/>
    </row>
    <row r="345" spans="1:6" x14ac:dyDescent="0.3">
      <c r="A345" s="12"/>
      <c r="B345" s="9"/>
      <c r="C345" s="8"/>
      <c r="E345" s="5"/>
    </row>
    <row r="346" spans="1:6" x14ac:dyDescent="0.3">
      <c r="A346" s="11"/>
      <c r="B346" s="8"/>
      <c r="C346" s="9"/>
      <c r="E346" s="5"/>
    </row>
    <row r="347" spans="1:6" x14ac:dyDescent="0.3">
      <c r="A347" s="12"/>
      <c r="B347" s="9"/>
      <c r="C347" s="8"/>
      <c r="E347" s="5"/>
    </row>
    <row r="348" spans="1:6" x14ac:dyDescent="0.3">
      <c r="A348" s="11"/>
      <c r="B348" s="8"/>
      <c r="C348" s="9"/>
      <c r="E348" s="5"/>
    </row>
    <row r="349" spans="1:6" x14ac:dyDescent="0.3">
      <c r="A349" s="12"/>
      <c r="B349" s="9"/>
      <c r="C349" s="8"/>
      <c r="E349" s="5"/>
    </row>
    <row r="350" spans="1:6" x14ac:dyDescent="0.3">
      <c r="A350" s="11"/>
      <c r="B350" s="8"/>
      <c r="C350" s="9"/>
      <c r="E350" s="5"/>
    </row>
    <row r="351" spans="1:6" x14ac:dyDescent="0.3">
      <c r="A351" s="12" t="s">
        <v>33</v>
      </c>
      <c r="B351" s="8"/>
      <c r="D351">
        <f t="shared" ref="D351:D400" si="3">IF(IFERROR(FIND("1",A351,1),ERROR.TYPE(#VALUE!))=ERROR.TYPE(#VALUE!),$M$2,$M$1)</f>
        <v>0</v>
      </c>
      <c r="E351" s="5">
        <v>30.160808080808081</v>
      </c>
      <c r="F351">
        <f>Tabelle1318[[#This Row],[Variation]]</f>
        <v>30.160808080808081</v>
      </c>
    </row>
    <row r="352" spans="1:6" x14ac:dyDescent="0.3">
      <c r="A352" s="11" t="s">
        <v>33</v>
      </c>
      <c r="B352" s="8"/>
      <c r="D352">
        <f t="shared" si="3"/>
        <v>0</v>
      </c>
      <c r="E352" s="5">
        <v>30.282424242424241</v>
      </c>
    </row>
    <row r="353" spans="1:5" x14ac:dyDescent="0.3">
      <c r="A353" s="12" t="s">
        <v>33</v>
      </c>
      <c r="B353" s="8"/>
      <c r="D353">
        <f t="shared" si="3"/>
        <v>0</v>
      </c>
      <c r="E353" s="5">
        <v>30.404040404040401</v>
      </c>
    </row>
    <row r="354" spans="1:5" x14ac:dyDescent="0.3">
      <c r="A354" s="11" t="s">
        <v>33</v>
      </c>
      <c r="B354" s="8"/>
      <c r="D354">
        <f t="shared" si="3"/>
        <v>0</v>
      </c>
      <c r="E354" s="5">
        <v>30.525656565656561</v>
      </c>
    </row>
    <row r="355" spans="1:5" x14ac:dyDescent="0.3">
      <c r="A355" s="12" t="s">
        <v>33</v>
      </c>
      <c r="B355" s="8"/>
      <c r="D355">
        <f t="shared" si="3"/>
        <v>0</v>
      </c>
      <c r="E355" s="5">
        <v>30.647272727272728</v>
      </c>
    </row>
    <row r="356" spans="1:5" x14ac:dyDescent="0.3">
      <c r="A356" s="11" t="s">
        <v>33</v>
      </c>
      <c r="B356" s="8"/>
      <c r="D356">
        <f t="shared" si="3"/>
        <v>0</v>
      </c>
      <c r="E356" s="5">
        <v>30.768888888888888</v>
      </c>
    </row>
    <row r="357" spans="1:5" x14ac:dyDescent="0.3">
      <c r="A357" s="12" t="s">
        <v>33</v>
      </c>
      <c r="B357" s="8"/>
      <c r="D357">
        <f t="shared" si="3"/>
        <v>0</v>
      </c>
      <c r="E357" s="5">
        <v>30.890505050505048</v>
      </c>
    </row>
    <row r="358" spans="1:5" x14ac:dyDescent="0.3">
      <c r="A358" s="11" t="s">
        <v>33</v>
      </c>
      <c r="B358" s="8"/>
      <c r="D358">
        <f t="shared" si="3"/>
        <v>0</v>
      </c>
      <c r="E358" s="5">
        <v>31.012121212121212</v>
      </c>
    </row>
    <row r="359" spans="1:5" x14ac:dyDescent="0.3">
      <c r="A359" s="12" t="s">
        <v>33</v>
      </c>
      <c r="B359" s="8"/>
      <c r="D359">
        <f t="shared" si="3"/>
        <v>0</v>
      </c>
      <c r="E359" s="5">
        <v>31.133737373737372</v>
      </c>
    </row>
    <row r="360" spans="1:5" x14ac:dyDescent="0.3">
      <c r="A360" s="11" t="s">
        <v>33</v>
      </c>
      <c r="B360" s="8"/>
      <c r="D360">
        <f t="shared" si="3"/>
        <v>0</v>
      </c>
      <c r="E360" s="5">
        <v>31.255353535353539</v>
      </c>
    </row>
    <row r="361" spans="1:5" x14ac:dyDescent="0.3">
      <c r="A361" s="12" t="s">
        <v>33</v>
      </c>
      <c r="B361" s="8"/>
      <c r="D361">
        <f t="shared" si="3"/>
        <v>0</v>
      </c>
      <c r="E361" s="5">
        <v>31.376969696969699</v>
      </c>
    </row>
    <row r="362" spans="1:5" x14ac:dyDescent="0.3">
      <c r="A362" s="11" t="s">
        <v>33</v>
      </c>
      <c r="B362" s="8"/>
      <c r="D362">
        <f t="shared" si="3"/>
        <v>0</v>
      </c>
      <c r="E362" s="5">
        <v>31.498585858585859</v>
      </c>
    </row>
    <row r="363" spans="1:5" x14ac:dyDescent="0.3">
      <c r="A363" s="12" t="s">
        <v>33</v>
      </c>
      <c r="B363" s="8"/>
      <c r="D363">
        <f t="shared" si="3"/>
        <v>0</v>
      </c>
      <c r="E363" s="5">
        <v>31.620202020202019</v>
      </c>
    </row>
    <row r="364" spans="1:5" x14ac:dyDescent="0.3">
      <c r="A364" s="11" t="s">
        <v>33</v>
      </c>
      <c r="B364" s="8"/>
      <c r="D364">
        <f t="shared" si="3"/>
        <v>0</v>
      </c>
      <c r="E364" s="5">
        <v>31.741818181818179</v>
      </c>
    </row>
    <row r="365" spans="1:5" x14ac:dyDescent="0.3">
      <c r="A365" s="12" t="s">
        <v>33</v>
      </c>
      <c r="B365" s="8"/>
      <c r="D365">
        <f t="shared" si="3"/>
        <v>0</v>
      </c>
      <c r="E365" s="5">
        <v>31.863434343434339</v>
      </c>
    </row>
    <row r="366" spans="1:5" x14ac:dyDescent="0.3">
      <c r="A366" s="11" t="s">
        <v>33</v>
      </c>
      <c r="B366" s="8"/>
      <c r="D366">
        <f t="shared" si="3"/>
        <v>0</v>
      </c>
      <c r="E366" s="5">
        <v>31.985050505050499</v>
      </c>
    </row>
    <row r="367" spans="1:5" x14ac:dyDescent="0.3">
      <c r="A367" s="12" t="s">
        <v>33</v>
      </c>
      <c r="B367" s="8"/>
      <c r="D367">
        <f t="shared" si="3"/>
        <v>0</v>
      </c>
      <c r="E367" s="5">
        <v>32.106666666666669</v>
      </c>
    </row>
    <row r="368" spans="1:5" x14ac:dyDescent="0.3">
      <c r="A368" s="11" t="s">
        <v>33</v>
      </c>
      <c r="B368" s="8"/>
      <c r="D368">
        <f t="shared" si="3"/>
        <v>0</v>
      </c>
      <c r="E368" s="5">
        <v>32.228282828282829</v>
      </c>
    </row>
    <row r="369" spans="1:5" x14ac:dyDescent="0.3">
      <c r="A369" s="12" t="s">
        <v>33</v>
      </c>
      <c r="B369" s="8"/>
      <c r="D369">
        <f t="shared" si="3"/>
        <v>0</v>
      </c>
      <c r="E369" s="5">
        <v>32.349898989898989</v>
      </c>
    </row>
    <row r="370" spans="1:5" x14ac:dyDescent="0.3">
      <c r="A370" s="11" t="s">
        <v>33</v>
      </c>
      <c r="B370" s="8"/>
      <c r="D370">
        <f t="shared" si="3"/>
        <v>0</v>
      </c>
      <c r="E370" s="5">
        <v>32.471515151515149</v>
      </c>
    </row>
    <row r="371" spans="1:5" x14ac:dyDescent="0.3">
      <c r="A371" s="12" t="s">
        <v>33</v>
      </c>
      <c r="B371" s="8"/>
      <c r="D371">
        <f t="shared" si="3"/>
        <v>0</v>
      </c>
      <c r="E371" s="5">
        <v>32.593131313131309</v>
      </c>
    </row>
    <row r="372" spans="1:5" x14ac:dyDescent="0.3">
      <c r="A372" s="11" t="s">
        <v>33</v>
      </c>
      <c r="B372" s="8"/>
      <c r="D372">
        <f t="shared" si="3"/>
        <v>0</v>
      </c>
      <c r="E372" s="5">
        <v>32.714747474747469</v>
      </c>
    </row>
    <row r="373" spans="1:5" x14ac:dyDescent="0.3">
      <c r="A373" s="12" t="s">
        <v>33</v>
      </c>
      <c r="B373" s="8"/>
      <c r="D373">
        <f t="shared" si="3"/>
        <v>0</v>
      </c>
      <c r="E373" s="5">
        <v>32.836363636363643</v>
      </c>
    </row>
    <row r="374" spans="1:5" x14ac:dyDescent="0.3">
      <c r="A374" s="11" t="s">
        <v>33</v>
      </c>
      <c r="B374" s="8"/>
      <c r="D374">
        <f t="shared" si="3"/>
        <v>0</v>
      </c>
      <c r="E374" s="5">
        <v>32.957979797979803</v>
      </c>
    </row>
    <row r="375" spans="1:5" x14ac:dyDescent="0.3">
      <c r="A375" s="12" t="s">
        <v>33</v>
      </c>
      <c r="B375" s="8"/>
      <c r="D375">
        <f t="shared" si="3"/>
        <v>0</v>
      </c>
      <c r="E375" s="5">
        <v>33.079595959595963</v>
      </c>
    </row>
    <row r="376" spans="1:5" x14ac:dyDescent="0.3">
      <c r="A376" s="11" t="s">
        <v>33</v>
      </c>
      <c r="B376" s="8"/>
      <c r="D376">
        <f t="shared" si="3"/>
        <v>0</v>
      </c>
      <c r="E376" s="5">
        <v>33.201212121212123</v>
      </c>
    </row>
    <row r="377" spans="1:5" x14ac:dyDescent="0.3">
      <c r="A377" s="12" t="s">
        <v>33</v>
      </c>
      <c r="B377" s="8"/>
      <c r="D377">
        <f t="shared" si="3"/>
        <v>0</v>
      </c>
      <c r="E377" s="5">
        <v>33.322828282828283</v>
      </c>
    </row>
    <row r="378" spans="1:5" x14ac:dyDescent="0.3">
      <c r="A378" s="11" t="s">
        <v>33</v>
      </c>
      <c r="B378" s="8"/>
      <c r="D378">
        <f t="shared" si="3"/>
        <v>0</v>
      </c>
      <c r="E378" s="5">
        <v>33.444444444444443</v>
      </c>
    </row>
    <row r="379" spans="1:5" x14ac:dyDescent="0.3">
      <c r="A379" s="12" t="s">
        <v>33</v>
      </c>
      <c r="B379" s="8"/>
      <c r="D379">
        <f t="shared" si="3"/>
        <v>0</v>
      </c>
      <c r="E379" s="5">
        <v>33.566060606060603</v>
      </c>
    </row>
    <row r="380" spans="1:5" x14ac:dyDescent="0.3">
      <c r="A380" s="11" t="s">
        <v>33</v>
      </c>
      <c r="B380" s="8"/>
      <c r="D380">
        <f t="shared" si="3"/>
        <v>0</v>
      </c>
      <c r="E380" s="5">
        <v>33.687676767676763</v>
      </c>
    </row>
    <row r="381" spans="1:5" x14ac:dyDescent="0.3">
      <c r="A381" s="12" t="s">
        <v>33</v>
      </c>
      <c r="B381" s="8"/>
      <c r="D381">
        <f t="shared" si="3"/>
        <v>0</v>
      </c>
      <c r="E381" s="5">
        <v>33.809292929292923</v>
      </c>
    </row>
    <row r="382" spans="1:5" x14ac:dyDescent="0.3">
      <c r="A382" s="11" t="s">
        <v>33</v>
      </c>
      <c r="B382" s="8"/>
      <c r="D382">
        <f t="shared" si="3"/>
        <v>0</v>
      </c>
      <c r="E382" s="5">
        <v>33.93090909090909</v>
      </c>
    </row>
    <row r="383" spans="1:5" x14ac:dyDescent="0.3">
      <c r="A383" s="12" t="s">
        <v>33</v>
      </c>
      <c r="B383" s="8"/>
      <c r="D383">
        <f t="shared" si="3"/>
        <v>0</v>
      </c>
      <c r="E383" s="5">
        <v>34.05252525252525</v>
      </c>
    </row>
    <row r="384" spans="1:5" x14ac:dyDescent="0.3">
      <c r="A384" s="11" t="s">
        <v>33</v>
      </c>
      <c r="B384" s="8"/>
      <c r="D384">
        <f t="shared" si="3"/>
        <v>0</v>
      </c>
      <c r="E384" s="5">
        <v>34.17414141414141</v>
      </c>
    </row>
    <row r="385" spans="1:5" x14ac:dyDescent="0.3">
      <c r="A385" s="12" t="s">
        <v>33</v>
      </c>
      <c r="B385" s="8"/>
      <c r="D385">
        <f t="shared" si="3"/>
        <v>0</v>
      </c>
      <c r="E385" s="5">
        <v>34.295757575757577</v>
      </c>
    </row>
    <row r="386" spans="1:5" x14ac:dyDescent="0.3">
      <c r="A386" s="11" t="s">
        <v>33</v>
      </c>
      <c r="B386" s="8"/>
      <c r="D386">
        <f t="shared" si="3"/>
        <v>0</v>
      </c>
      <c r="E386" s="5">
        <v>34.417373737373737</v>
      </c>
    </row>
    <row r="387" spans="1:5" x14ac:dyDescent="0.3">
      <c r="A387" s="12" t="s">
        <v>33</v>
      </c>
      <c r="B387" s="8"/>
      <c r="D387">
        <f t="shared" si="3"/>
        <v>0</v>
      </c>
      <c r="E387" s="5">
        <v>34.538989898989897</v>
      </c>
    </row>
    <row r="388" spans="1:5" x14ac:dyDescent="0.3">
      <c r="A388" s="11" t="s">
        <v>33</v>
      </c>
      <c r="B388" s="8"/>
      <c r="D388">
        <f t="shared" si="3"/>
        <v>0</v>
      </c>
      <c r="E388" s="5">
        <v>34.660606060606057</v>
      </c>
    </row>
    <row r="389" spans="1:5" x14ac:dyDescent="0.3">
      <c r="A389" s="12" t="s">
        <v>33</v>
      </c>
      <c r="B389" s="8"/>
      <c r="D389">
        <f t="shared" si="3"/>
        <v>0</v>
      </c>
      <c r="E389" s="5">
        <v>34.782222222222217</v>
      </c>
    </row>
    <row r="390" spans="1:5" x14ac:dyDescent="0.3">
      <c r="A390" s="11" t="s">
        <v>33</v>
      </c>
      <c r="B390" s="8"/>
      <c r="D390">
        <f t="shared" si="3"/>
        <v>0</v>
      </c>
      <c r="E390" s="5">
        <v>34.903838383838377</v>
      </c>
    </row>
    <row r="391" spans="1:5" x14ac:dyDescent="0.3">
      <c r="A391" s="12" t="s">
        <v>33</v>
      </c>
      <c r="B391" s="8"/>
      <c r="D391">
        <f t="shared" si="3"/>
        <v>0</v>
      </c>
      <c r="E391" s="5">
        <v>35.025454545454537</v>
      </c>
    </row>
    <row r="392" spans="1:5" x14ac:dyDescent="0.3">
      <c r="A392" s="11" t="s">
        <v>33</v>
      </c>
      <c r="B392" s="8"/>
      <c r="D392">
        <f t="shared" si="3"/>
        <v>0</v>
      </c>
      <c r="E392" s="5">
        <v>35.147070707070696</v>
      </c>
    </row>
    <row r="393" spans="1:5" x14ac:dyDescent="0.3">
      <c r="A393" s="12" t="s">
        <v>33</v>
      </c>
      <c r="B393" s="8"/>
      <c r="D393">
        <f t="shared" si="3"/>
        <v>0</v>
      </c>
      <c r="E393" s="5">
        <v>35.268686868686864</v>
      </c>
    </row>
    <row r="394" spans="1:5" x14ac:dyDescent="0.3">
      <c r="A394" s="11" t="s">
        <v>33</v>
      </c>
      <c r="B394" s="8"/>
      <c r="D394">
        <f t="shared" si="3"/>
        <v>0</v>
      </c>
      <c r="E394" s="5">
        <v>35.390303030303031</v>
      </c>
    </row>
    <row r="395" spans="1:5" x14ac:dyDescent="0.3">
      <c r="A395" s="12" t="s">
        <v>33</v>
      </c>
      <c r="B395" s="8"/>
      <c r="D395">
        <f t="shared" si="3"/>
        <v>0</v>
      </c>
      <c r="E395" s="5">
        <v>35.511919191919191</v>
      </c>
    </row>
    <row r="396" spans="1:5" x14ac:dyDescent="0.3">
      <c r="A396" s="11" t="s">
        <v>33</v>
      </c>
      <c r="B396" s="8"/>
      <c r="D396">
        <f t="shared" si="3"/>
        <v>0</v>
      </c>
      <c r="E396" s="5">
        <v>35.633535353535351</v>
      </c>
    </row>
    <row r="397" spans="1:5" x14ac:dyDescent="0.3">
      <c r="A397" s="12" t="s">
        <v>33</v>
      </c>
      <c r="B397" s="8"/>
      <c r="D397">
        <f t="shared" si="3"/>
        <v>0</v>
      </c>
      <c r="E397" s="5">
        <v>35.75515151515151</v>
      </c>
    </row>
    <row r="398" spans="1:5" x14ac:dyDescent="0.3">
      <c r="A398" s="11" t="s">
        <v>33</v>
      </c>
      <c r="B398" s="8"/>
      <c r="D398">
        <f t="shared" si="3"/>
        <v>0</v>
      </c>
      <c r="E398" s="5">
        <v>35.87676767676767</v>
      </c>
    </row>
    <row r="399" spans="1:5" x14ac:dyDescent="0.3">
      <c r="A399" s="12" t="s">
        <v>33</v>
      </c>
      <c r="B399" s="8"/>
      <c r="D399">
        <f t="shared" si="3"/>
        <v>0</v>
      </c>
      <c r="E399" s="5">
        <v>35.998383838383837</v>
      </c>
    </row>
    <row r="400" spans="1:5" x14ac:dyDescent="0.3">
      <c r="A400" s="11" t="s">
        <v>33</v>
      </c>
      <c r="B400" s="8"/>
      <c r="D400">
        <f t="shared" si="3"/>
        <v>0</v>
      </c>
      <c r="E400" s="5">
        <v>36.119999999999997</v>
      </c>
    </row>
    <row r="401" spans="1:3" x14ac:dyDescent="0.3">
      <c r="A401" s="12"/>
      <c r="B401" s="9"/>
      <c r="C401" s="9"/>
    </row>
    <row r="402" spans="1:3" x14ac:dyDescent="0.3">
      <c r="A402" s="11"/>
      <c r="B402" s="8"/>
      <c r="C402" s="8"/>
    </row>
    <row r="403" spans="1:3" x14ac:dyDescent="0.3">
      <c r="A403" s="12"/>
      <c r="B403" s="9"/>
      <c r="C403" s="9"/>
    </row>
    <row r="404" spans="1:3" x14ac:dyDescent="0.3">
      <c r="A404" s="11"/>
      <c r="B404" s="8"/>
      <c r="C404" s="8"/>
    </row>
    <row r="405" spans="1:3" x14ac:dyDescent="0.3">
      <c r="A405" s="12"/>
      <c r="B405" s="9"/>
      <c r="C405" s="9"/>
    </row>
    <row r="406" spans="1:3" x14ac:dyDescent="0.3">
      <c r="A406" s="11"/>
      <c r="B406" s="8"/>
      <c r="C406" s="8"/>
    </row>
    <row r="407" spans="1:3" x14ac:dyDescent="0.3">
      <c r="A407" s="12"/>
      <c r="B407" s="9"/>
      <c r="C407" s="9"/>
    </row>
    <row r="408" spans="1:3" x14ac:dyDescent="0.3">
      <c r="A408" s="11"/>
      <c r="B408" s="8"/>
      <c r="C408" s="8"/>
    </row>
    <row r="409" spans="1:3" x14ac:dyDescent="0.3">
      <c r="A409" s="12"/>
      <c r="B409" s="9"/>
      <c r="C409" s="9"/>
    </row>
    <row r="410" spans="1:3" x14ac:dyDescent="0.3">
      <c r="A410" s="11"/>
      <c r="B410" s="8"/>
      <c r="C410" s="8"/>
    </row>
    <row r="411" spans="1:3" x14ac:dyDescent="0.3">
      <c r="A411" s="12"/>
      <c r="B411" s="9"/>
      <c r="C411" s="9"/>
    </row>
    <row r="412" spans="1:3" x14ac:dyDescent="0.3">
      <c r="A412" s="11"/>
      <c r="B412" s="8"/>
      <c r="C412" s="8"/>
    </row>
    <row r="413" spans="1:3" x14ac:dyDescent="0.3">
      <c r="A413" s="12"/>
      <c r="B413" s="9"/>
      <c r="C413" s="9"/>
    </row>
    <row r="414" spans="1:3" x14ac:dyDescent="0.3">
      <c r="A414" s="11"/>
      <c r="B414" s="8"/>
      <c r="C414" s="8"/>
    </row>
    <row r="415" spans="1:3" x14ac:dyDescent="0.3">
      <c r="A415" s="12"/>
      <c r="B415" s="9"/>
      <c r="C415" s="9"/>
    </row>
    <row r="416" spans="1:3" x14ac:dyDescent="0.3">
      <c r="A416" s="11"/>
      <c r="B416" s="8"/>
      <c r="C416" s="8"/>
    </row>
    <row r="417" spans="1:3" x14ac:dyDescent="0.3">
      <c r="A417" s="12"/>
      <c r="B417" s="9"/>
      <c r="C417" s="9"/>
    </row>
    <row r="418" spans="1:3" x14ac:dyDescent="0.3">
      <c r="A418" s="11"/>
      <c r="B418" s="8"/>
      <c r="C418" s="8"/>
    </row>
    <row r="419" spans="1:3" x14ac:dyDescent="0.3">
      <c r="A419" s="12"/>
      <c r="B419" s="9"/>
      <c r="C419" s="9"/>
    </row>
    <row r="420" spans="1:3" x14ac:dyDescent="0.3">
      <c r="A420" s="11"/>
      <c r="B420" s="8"/>
      <c r="C420" s="8"/>
    </row>
    <row r="421" spans="1:3" x14ac:dyDescent="0.3">
      <c r="A421" s="12"/>
      <c r="B421" s="9"/>
      <c r="C421" s="9"/>
    </row>
    <row r="422" spans="1:3" x14ac:dyDescent="0.3">
      <c r="A422" s="11"/>
      <c r="B422" s="8"/>
      <c r="C422" s="8"/>
    </row>
    <row r="423" spans="1:3" x14ac:dyDescent="0.3">
      <c r="A423" s="12"/>
      <c r="B423" s="9"/>
      <c r="C423" s="9"/>
    </row>
    <row r="424" spans="1:3" x14ac:dyDescent="0.3">
      <c r="A424" s="11"/>
      <c r="B424" s="8"/>
      <c r="C424" s="8"/>
    </row>
    <row r="425" spans="1:3" x14ac:dyDescent="0.3">
      <c r="A425" s="12"/>
      <c r="B425" s="9"/>
      <c r="C425" s="9"/>
    </row>
    <row r="426" spans="1:3" x14ac:dyDescent="0.3">
      <c r="A426" s="11"/>
      <c r="B426" s="8"/>
      <c r="C426" s="8"/>
    </row>
    <row r="427" spans="1:3" x14ac:dyDescent="0.3">
      <c r="A427" s="12"/>
      <c r="B427" s="9"/>
      <c r="C427" s="9"/>
    </row>
    <row r="428" spans="1:3" x14ac:dyDescent="0.3">
      <c r="A428" s="11"/>
      <c r="B428" s="8"/>
      <c r="C428" s="8"/>
    </row>
    <row r="429" spans="1:3" x14ac:dyDescent="0.3">
      <c r="A429" s="12"/>
      <c r="B429" s="9"/>
      <c r="C429" s="9"/>
    </row>
    <row r="430" spans="1:3" x14ac:dyDescent="0.3">
      <c r="A430" s="11"/>
      <c r="B430" s="8"/>
      <c r="C430" s="8"/>
    </row>
    <row r="431" spans="1:3" x14ac:dyDescent="0.3">
      <c r="A431" s="12"/>
      <c r="B431" s="9"/>
      <c r="C431" s="9"/>
    </row>
    <row r="432" spans="1:3" x14ac:dyDescent="0.3">
      <c r="A432" s="11"/>
      <c r="B432" s="8"/>
      <c r="C432" s="8"/>
    </row>
    <row r="433" spans="1:3" x14ac:dyDescent="0.3">
      <c r="A433" s="12"/>
      <c r="B433" s="9"/>
      <c r="C433" s="9"/>
    </row>
    <row r="434" spans="1:3" x14ac:dyDescent="0.3">
      <c r="A434" s="11"/>
      <c r="B434" s="8"/>
      <c r="C434" s="8"/>
    </row>
    <row r="435" spans="1:3" x14ac:dyDescent="0.3">
      <c r="A435" s="12"/>
      <c r="B435" s="9"/>
      <c r="C435" s="9"/>
    </row>
    <row r="436" spans="1:3" x14ac:dyDescent="0.3">
      <c r="A436" s="11"/>
      <c r="B436" s="8"/>
      <c r="C436" s="8"/>
    </row>
    <row r="437" spans="1:3" x14ac:dyDescent="0.3">
      <c r="A437" s="12"/>
      <c r="B437" s="9"/>
      <c r="C437" s="9"/>
    </row>
    <row r="438" spans="1:3" x14ac:dyDescent="0.3">
      <c r="A438" s="11"/>
      <c r="B438" s="8"/>
      <c r="C438" s="8"/>
    </row>
    <row r="439" spans="1:3" x14ac:dyDescent="0.3">
      <c r="A439" s="12"/>
      <c r="B439" s="9"/>
      <c r="C439" s="9"/>
    </row>
    <row r="440" spans="1:3" x14ac:dyDescent="0.3">
      <c r="A440" s="11"/>
      <c r="B440" s="8"/>
      <c r="C440" s="8"/>
    </row>
    <row r="441" spans="1:3" x14ac:dyDescent="0.3">
      <c r="A441" s="12"/>
      <c r="B441" s="9"/>
      <c r="C441" s="9"/>
    </row>
    <row r="442" spans="1:3" x14ac:dyDescent="0.3">
      <c r="A442" s="11"/>
      <c r="B442" s="8"/>
      <c r="C442" s="8"/>
    </row>
    <row r="443" spans="1:3" x14ac:dyDescent="0.3">
      <c r="A443" s="12"/>
      <c r="B443" s="9"/>
      <c r="C443" s="9"/>
    </row>
    <row r="444" spans="1:3" x14ac:dyDescent="0.3">
      <c r="A444" s="11"/>
      <c r="B444" s="8"/>
      <c r="C444" s="8"/>
    </row>
    <row r="445" spans="1:3" x14ac:dyDescent="0.3">
      <c r="A445" s="12"/>
      <c r="B445" s="9"/>
      <c r="C445" s="9"/>
    </row>
    <row r="446" spans="1:3" x14ac:dyDescent="0.3">
      <c r="A446" s="11"/>
      <c r="B446" s="8"/>
      <c r="C446" s="8"/>
    </row>
    <row r="447" spans="1:3" x14ac:dyDescent="0.3">
      <c r="A447" s="12"/>
      <c r="B447" s="9"/>
      <c r="C447" s="9"/>
    </row>
    <row r="448" spans="1:3" x14ac:dyDescent="0.3">
      <c r="A448" s="11"/>
      <c r="B448" s="8"/>
      <c r="C448" s="8"/>
    </row>
    <row r="449" spans="1:6" x14ac:dyDescent="0.3">
      <c r="A449" s="12"/>
      <c r="B449" s="9"/>
      <c r="C449" s="9"/>
    </row>
    <row r="450" spans="1:6" x14ac:dyDescent="0.3">
      <c r="A450" s="11"/>
      <c r="B450" s="8"/>
      <c r="C450" s="8"/>
    </row>
    <row r="451" spans="1:6" x14ac:dyDescent="0.3">
      <c r="A451" s="12" t="s">
        <v>1</v>
      </c>
      <c r="B451" s="8"/>
      <c r="D451">
        <f t="shared" ref="D451:D500" si="4">IF(IFERROR(FIND("1",A451,1),ERROR.TYPE(#VALUE!))=ERROR.TYPE(#VALUE!),$M$2,$M$1)</f>
        <v>0</v>
      </c>
      <c r="E451">
        <v>0.45050505050505052</v>
      </c>
      <c r="F451">
        <f>Tabelle1318[[#This Row],[Variation]]</f>
        <v>0.45050505050505052</v>
      </c>
    </row>
    <row r="452" spans="1:6" x14ac:dyDescent="0.3">
      <c r="A452" s="11" t="s">
        <v>1</v>
      </c>
      <c r="B452" s="8"/>
      <c r="D452">
        <f t="shared" si="4"/>
        <v>0</v>
      </c>
      <c r="E452">
        <v>0.45151515151515148</v>
      </c>
    </row>
    <row r="453" spans="1:6" x14ac:dyDescent="0.3">
      <c r="A453" s="12" t="s">
        <v>1</v>
      </c>
      <c r="B453" s="8"/>
      <c r="D453">
        <f t="shared" si="4"/>
        <v>0</v>
      </c>
      <c r="E453">
        <v>0.45252525252525261</v>
      </c>
    </row>
    <row r="454" spans="1:6" x14ac:dyDescent="0.3">
      <c r="A454" s="11" t="s">
        <v>1</v>
      </c>
      <c r="B454" s="8"/>
      <c r="D454">
        <f t="shared" si="4"/>
        <v>0</v>
      </c>
      <c r="E454">
        <v>0.45353535353535362</v>
      </c>
    </row>
    <row r="455" spans="1:6" x14ac:dyDescent="0.3">
      <c r="A455" s="12" t="s">
        <v>1</v>
      </c>
      <c r="B455" s="8"/>
      <c r="D455">
        <f t="shared" si="4"/>
        <v>0</v>
      </c>
      <c r="E455">
        <v>0.45454545454545459</v>
      </c>
    </row>
    <row r="456" spans="1:6" x14ac:dyDescent="0.3">
      <c r="A456" s="11" t="s">
        <v>1</v>
      </c>
      <c r="B456" s="8"/>
      <c r="D456">
        <f t="shared" si="4"/>
        <v>0</v>
      </c>
      <c r="E456">
        <v>0.45555555555555549</v>
      </c>
    </row>
    <row r="457" spans="1:6" x14ac:dyDescent="0.3">
      <c r="A457" s="12" t="s">
        <v>1</v>
      </c>
      <c r="B457" s="8"/>
      <c r="D457">
        <f t="shared" si="4"/>
        <v>0</v>
      </c>
      <c r="E457">
        <v>0.45656565656565662</v>
      </c>
    </row>
    <row r="458" spans="1:6" x14ac:dyDescent="0.3">
      <c r="A458" s="11" t="s">
        <v>1</v>
      </c>
      <c r="B458" s="8"/>
      <c r="D458">
        <f t="shared" si="4"/>
        <v>0</v>
      </c>
      <c r="E458">
        <v>0.45757575757575758</v>
      </c>
    </row>
    <row r="459" spans="1:6" x14ac:dyDescent="0.3">
      <c r="A459" s="12" t="s">
        <v>1</v>
      </c>
      <c r="B459" s="8"/>
      <c r="D459">
        <f t="shared" si="4"/>
        <v>0</v>
      </c>
      <c r="E459">
        <v>0.4585858585858586</v>
      </c>
    </row>
    <row r="460" spans="1:6" x14ac:dyDescent="0.3">
      <c r="A460" s="11" t="s">
        <v>1</v>
      </c>
      <c r="B460" s="8"/>
      <c r="D460">
        <f t="shared" si="4"/>
        <v>0</v>
      </c>
      <c r="E460">
        <v>0.45959595959595961</v>
      </c>
    </row>
    <row r="461" spans="1:6" x14ac:dyDescent="0.3">
      <c r="A461" s="12" t="s">
        <v>1</v>
      </c>
      <c r="B461" s="8"/>
      <c r="D461">
        <f t="shared" si="4"/>
        <v>0</v>
      </c>
      <c r="E461">
        <v>0.46060606060606057</v>
      </c>
    </row>
    <row r="462" spans="1:6" x14ac:dyDescent="0.3">
      <c r="A462" s="11" t="s">
        <v>1</v>
      </c>
      <c r="B462" s="8"/>
      <c r="D462">
        <f t="shared" si="4"/>
        <v>0</v>
      </c>
      <c r="E462">
        <v>0.46161616161616159</v>
      </c>
    </row>
    <row r="463" spans="1:6" x14ac:dyDescent="0.3">
      <c r="A463" s="12" t="s">
        <v>1</v>
      </c>
      <c r="B463" s="8"/>
      <c r="D463">
        <f t="shared" si="4"/>
        <v>0</v>
      </c>
      <c r="E463">
        <v>0.46262626262626261</v>
      </c>
    </row>
    <row r="464" spans="1:6" x14ac:dyDescent="0.3">
      <c r="A464" s="11" t="s">
        <v>1</v>
      </c>
      <c r="B464" s="8"/>
      <c r="D464">
        <f t="shared" si="4"/>
        <v>0</v>
      </c>
      <c r="E464">
        <v>0.46363636363636362</v>
      </c>
    </row>
    <row r="465" spans="1:5" x14ac:dyDescent="0.3">
      <c r="A465" s="12" t="s">
        <v>1</v>
      </c>
      <c r="B465" s="8"/>
      <c r="D465">
        <f t="shared" si="4"/>
        <v>0</v>
      </c>
      <c r="E465">
        <v>0.46464646464646459</v>
      </c>
    </row>
    <row r="466" spans="1:5" x14ac:dyDescent="0.3">
      <c r="A466" s="11" t="s">
        <v>1</v>
      </c>
      <c r="B466" s="8"/>
      <c r="D466">
        <f t="shared" si="4"/>
        <v>0</v>
      </c>
      <c r="E466">
        <v>0.46565656565656571</v>
      </c>
    </row>
    <row r="467" spans="1:5" x14ac:dyDescent="0.3">
      <c r="A467" s="12" t="s">
        <v>1</v>
      </c>
      <c r="B467" s="8"/>
      <c r="D467">
        <f t="shared" si="4"/>
        <v>0</v>
      </c>
      <c r="E467">
        <v>0.46666666666666667</v>
      </c>
    </row>
    <row r="468" spans="1:5" x14ac:dyDescent="0.3">
      <c r="A468" s="11" t="s">
        <v>1</v>
      </c>
      <c r="B468" s="8"/>
      <c r="D468">
        <f t="shared" si="4"/>
        <v>0</v>
      </c>
      <c r="E468">
        <v>0.46767676767676769</v>
      </c>
    </row>
    <row r="469" spans="1:5" x14ac:dyDescent="0.3">
      <c r="A469" s="12" t="s">
        <v>1</v>
      </c>
      <c r="B469" s="8"/>
      <c r="D469">
        <f t="shared" si="4"/>
        <v>0</v>
      </c>
      <c r="E469">
        <v>0.46868686868686871</v>
      </c>
    </row>
    <row r="470" spans="1:5" x14ac:dyDescent="0.3">
      <c r="A470" s="11" t="s">
        <v>1</v>
      </c>
      <c r="B470" s="8"/>
      <c r="D470">
        <f t="shared" si="4"/>
        <v>0</v>
      </c>
      <c r="E470">
        <v>0.46969696969696972</v>
      </c>
    </row>
    <row r="471" spans="1:5" x14ac:dyDescent="0.3">
      <c r="A471" s="12" t="s">
        <v>1</v>
      </c>
      <c r="B471" s="8"/>
      <c r="D471">
        <f t="shared" si="4"/>
        <v>0</v>
      </c>
      <c r="E471">
        <v>0.47070707070707068</v>
      </c>
    </row>
    <row r="472" spans="1:5" x14ac:dyDescent="0.3">
      <c r="A472" s="11" t="s">
        <v>1</v>
      </c>
      <c r="B472" s="8"/>
      <c r="D472">
        <f t="shared" si="4"/>
        <v>0</v>
      </c>
      <c r="E472">
        <v>0.47171717171717181</v>
      </c>
    </row>
    <row r="473" spans="1:5" x14ac:dyDescent="0.3">
      <c r="A473" s="12" t="s">
        <v>1</v>
      </c>
      <c r="B473" s="8"/>
      <c r="D473">
        <f t="shared" si="4"/>
        <v>0</v>
      </c>
      <c r="E473">
        <v>0.47272727272727272</v>
      </c>
    </row>
    <row r="474" spans="1:5" x14ac:dyDescent="0.3">
      <c r="A474" s="11" t="s">
        <v>1</v>
      </c>
      <c r="B474" s="8"/>
      <c r="D474">
        <f t="shared" si="4"/>
        <v>0</v>
      </c>
      <c r="E474">
        <v>0.47373737373737368</v>
      </c>
    </row>
    <row r="475" spans="1:5" x14ac:dyDescent="0.3">
      <c r="A475" s="12" t="s">
        <v>1</v>
      </c>
      <c r="B475" s="8"/>
      <c r="D475">
        <f t="shared" si="4"/>
        <v>0</v>
      </c>
      <c r="E475">
        <v>0.47474747474747481</v>
      </c>
    </row>
    <row r="476" spans="1:5" x14ac:dyDescent="0.3">
      <c r="A476" s="11" t="s">
        <v>1</v>
      </c>
      <c r="B476" s="8"/>
      <c r="D476">
        <f t="shared" si="4"/>
        <v>0</v>
      </c>
      <c r="E476">
        <v>0.47575757575757582</v>
      </c>
    </row>
    <row r="477" spans="1:5" x14ac:dyDescent="0.3">
      <c r="A477" s="12" t="s">
        <v>1</v>
      </c>
      <c r="B477" s="8"/>
      <c r="D477">
        <f t="shared" si="4"/>
        <v>0</v>
      </c>
      <c r="E477">
        <v>0.47676767676767678</v>
      </c>
    </row>
    <row r="478" spans="1:5" x14ac:dyDescent="0.3">
      <c r="A478" s="11" t="s">
        <v>1</v>
      </c>
      <c r="B478" s="8"/>
      <c r="D478">
        <f t="shared" si="4"/>
        <v>0</v>
      </c>
      <c r="E478">
        <v>0.4777777777777778</v>
      </c>
    </row>
    <row r="479" spans="1:5" x14ac:dyDescent="0.3">
      <c r="A479" s="12" t="s">
        <v>1</v>
      </c>
      <c r="B479" s="8"/>
      <c r="D479">
        <f t="shared" si="4"/>
        <v>0</v>
      </c>
      <c r="E479">
        <v>0.47878787878787882</v>
      </c>
    </row>
    <row r="480" spans="1:5" x14ac:dyDescent="0.3">
      <c r="A480" s="11" t="s">
        <v>1</v>
      </c>
      <c r="B480" s="8"/>
      <c r="D480">
        <f t="shared" si="4"/>
        <v>0</v>
      </c>
      <c r="E480">
        <v>0.47979797979797978</v>
      </c>
    </row>
    <row r="481" spans="1:5" x14ac:dyDescent="0.3">
      <c r="A481" s="12" t="s">
        <v>1</v>
      </c>
      <c r="B481" s="8"/>
      <c r="D481">
        <f t="shared" si="4"/>
        <v>0</v>
      </c>
      <c r="E481">
        <v>0.4808080808080808</v>
      </c>
    </row>
    <row r="482" spans="1:5" x14ac:dyDescent="0.3">
      <c r="A482" s="11" t="s">
        <v>1</v>
      </c>
      <c r="B482" s="8"/>
      <c r="D482">
        <f t="shared" si="4"/>
        <v>0</v>
      </c>
      <c r="E482">
        <v>0.48181818181818181</v>
      </c>
    </row>
    <row r="483" spans="1:5" x14ac:dyDescent="0.3">
      <c r="A483" s="12" t="s">
        <v>1</v>
      </c>
      <c r="B483" s="8"/>
      <c r="D483">
        <f t="shared" si="4"/>
        <v>0</v>
      </c>
      <c r="E483">
        <v>0.48282828282828277</v>
      </c>
    </row>
    <row r="484" spans="1:5" x14ac:dyDescent="0.3">
      <c r="A484" s="11" t="s">
        <v>1</v>
      </c>
      <c r="B484" s="8"/>
      <c r="D484">
        <f t="shared" si="4"/>
        <v>0</v>
      </c>
      <c r="E484">
        <v>0.48383838383838379</v>
      </c>
    </row>
    <row r="485" spans="1:5" x14ac:dyDescent="0.3">
      <c r="A485" s="12" t="s">
        <v>1</v>
      </c>
      <c r="B485" s="8"/>
      <c r="D485">
        <f t="shared" si="4"/>
        <v>0</v>
      </c>
      <c r="E485">
        <v>0.48484848484848492</v>
      </c>
    </row>
    <row r="486" spans="1:5" x14ac:dyDescent="0.3">
      <c r="A486" s="11" t="s">
        <v>1</v>
      </c>
      <c r="B486" s="8"/>
      <c r="D486">
        <f t="shared" si="4"/>
        <v>0</v>
      </c>
      <c r="E486">
        <v>0.48585858585858588</v>
      </c>
    </row>
    <row r="487" spans="1:5" x14ac:dyDescent="0.3">
      <c r="A487" s="12" t="s">
        <v>1</v>
      </c>
      <c r="B487" s="8"/>
      <c r="D487">
        <f t="shared" si="4"/>
        <v>0</v>
      </c>
      <c r="E487">
        <v>0.4868686868686869</v>
      </c>
    </row>
    <row r="488" spans="1:5" x14ac:dyDescent="0.3">
      <c r="A488" s="11" t="s">
        <v>1</v>
      </c>
      <c r="B488" s="8"/>
      <c r="D488">
        <f t="shared" si="4"/>
        <v>0</v>
      </c>
      <c r="E488">
        <v>0.48787878787878791</v>
      </c>
    </row>
    <row r="489" spans="1:5" x14ac:dyDescent="0.3">
      <c r="A489" s="12" t="s">
        <v>1</v>
      </c>
      <c r="B489" s="8"/>
      <c r="D489">
        <f t="shared" si="4"/>
        <v>0</v>
      </c>
      <c r="E489">
        <v>0.48888888888888887</v>
      </c>
    </row>
    <row r="490" spans="1:5" x14ac:dyDescent="0.3">
      <c r="A490" s="11" t="s">
        <v>1</v>
      </c>
      <c r="B490" s="8"/>
      <c r="D490">
        <f t="shared" si="4"/>
        <v>0</v>
      </c>
      <c r="E490">
        <v>0.48989898989898989</v>
      </c>
    </row>
    <row r="491" spans="1:5" x14ac:dyDescent="0.3">
      <c r="A491" s="12" t="s">
        <v>1</v>
      </c>
      <c r="B491" s="8"/>
      <c r="D491">
        <f t="shared" si="4"/>
        <v>0</v>
      </c>
      <c r="E491">
        <v>0.49090909090909091</v>
      </c>
    </row>
    <row r="492" spans="1:5" x14ac:dyDescent="0.3">
      <c r="A492" s="11" t="s">
        <v>1</v>
      </c>
      <c r="B492" s="8"/>
      <c r="D492">
        <f t="shared" si="4"/>
        <v>0</v>
      </c>
      <c r="E492">
        <v>0.49191919191919192</v>
      </c>
    </row>
    <row r="493" spans="1:5" x14ac:dyDescent="0.3">
      <c r="A493" s="12" t="s">
        <v>1</v>
      </c>
      <c r="B493" s="8"/>
      <c r="D493">
        <f t="shared" si="4"/>
        <v>0</v>
      </c>
      <c r="E493">
        <v>0.49292929292929288</v>
      </c>
    </row>
    <row r="494" spans="1:5" x14ac:dyDescent="0.3">
      <c r="A494" s="11" t="s">
        <v>1</v>
      </c>
      <c r="B494" s="8"/>
      <c r="D494">
        <f t="shared" si="4"/>
        <v>0</v>
      </c>
      <c r="E494">
        <v>0.49393939393939401</v>
      </c>
    </row>
    <row r="495" spans="1:5" x14ac:dyDescent="0.3">
      <c r="A495" s="12" t="s">
        <v>1</v>
      </c>
      <c r="B495" s="8"/>
      <c r="D495">
        <f t="shared" si="4"/>
        <v>0</v>
      </c>
      <c r="E495">
        <v>0.49494949494949492</v>
      </c>
    </row>
    <row r="496" spans="1:5" x14ac:dyDescent="0.3">
      <c r="A496" s="11" t="s">
        <v>1</v>
      </c>
      <c r="B496" s="8"/>
      <c r="D496">
        <f t="shared" si="4"/>
        <v>0</v>
      </c>
      <c r="E496">
        <v>0.49595959595959588</v>
      </c>
    </row>
    <row r="497" spans="1:5" x14ac:dyDescent="0.3">
      <c r="A497" s="12" t="s">
        <v>1</v>
      </c>
      <c r="B497" s="8"/>
      <c r="D497">
        <f t="shared" si="4"/>
        <v>0</v>
      </c>
      <c r="E497">
        <v>0.49696969696969701</v>
      </c>
    </row>
    <row r="498" spans="1:5" x14ac:dyDescent="0.3">
      <c r="A498" s="11" t="s">
        <v>1</v>
      </c>
      <c r="B498" s="8"/>
      <c r="D498">
        <f t="shared" si="4"/>
        <v>0</v>
      </c>
      <c r="E498">
        <v>0.49797979797979802</v>
      </c>
    </row>
    <row r="499" spans="1:5" x14ac:dyDescent="0.3">
      <c r="A499" s="12" t="s">
        <v>1</v>
      </c>
      <c r="B499" s="8"/>
      <c r="D499">
        <f t="shared" si="4"/>
        <v>0</v>
      </c>
      <c r="E499">
        <v>0.49898989898989898</v>
      </c>
    </row>
    <row r="500" spans="1:5" x14ac:dyDescent="0.3">
      <c r="A500" s="11" t="s">
        <v>1</v>
      </c>
      <c r="B500" s="8"/>
      <c r="D500">
        <f t="shared" si="4"/>
        <v>0</v>
      </c>
      <c r="E500">
        <v>0.5</v>
      </c>
    </row>
    <row r="501" spans="1:5" x14ac:dyDescent="0.3">
      <c r="A501" s="12"/>
      <c r="B501" s="9"/>
      <c r="C501" s="9"/>
    </row>
    <row r="502" spans="1:5" x14ac:dyDescent="0.3">
      <c r="A502" s="11"/>
      <c r="B502" s="8"/>
      <c r="C502" s="8"/>
    </row>
    <row r="503" spans="1:5" x14ac:dyDescent="0.3">
      <c r="A503" s="12"/>
      <c r="B503" s="9"/>
      <c r="C503" s="9"/>
    </row>
    <row r="504" spans="1:5" x14ac:dyDescent="0.3">
      <c r="A504" s="11"/>
      <c r="B504" s="8"/>
      <c r="C504" s="8"/>
    </row>
    <row r="505" spans="1:5" x14ac:dyDescent="0.3">
      <c r="A505" s="12"/>
      <c r="B505" s="9"/>
      <c r="C505" s="9"/>
    </row>
    <row r="506" spans="1:5" x14ac:dyDescent="0.3">
      <c r="A506" s="11"/>
      <c r="B506" s="8"/>
      <c r="C506" s="8"/>
    </row>
    <row r="507" spans="1:5" x14ac:dyDescent="0.3">
      <c r="A507" s="12"/>
      <c r="B507" s="9"/>
      <c r="C507" s="9"/>
    </row>
    <row r="508" spans="1:5" x14ac:dyDescent="0.3">
      <c r="A508" s="11"/>
      <c r="B508" s="8"/>
      <c r="C508" s="8"/>
    </row>
    <row r="509" spans="1:5" x14ac:dyDescent="0.3">
      <c r="A509" s="12"/>
      <c r="B509" s="9"/>
      <c r="C509" s="9"/>
    </row>
    <row r="510" spans="1:5" x14ac:dyDescent="0.3">
      <c r="A510" s="11"/>
      <c r="B510" s="8"/>
      <c r="C510" s="8"/>
    </row>
    <row r="511" spans="1:5" x14ac:dyDescent="0.3">
      <c r="A511" s="12"/>
      <c r="B511" s="9"/>
      <c r="C511" s="9"/>
    </row>
    <row r="512" spans="1:5" x14ac:dyDescent="0.3">
      <c r="A512" s="11"/>
      <c r="B512" s="8"/>
      <c r="C512" s="8"/>
    </row>
    <row r="513" spans="1:3" x14ac:dyDescent="0.3">
      <c r="A513" s="12"/>
      <c r="B513" s="9"/>
      <c r="C513" s="9"/>
    </row>
    <row r="514" spans="1:3" x14ac:dyDescent="0.3">
      <c r="A514" s="11"/>
      <c r="B514" s="8"/>
      <c r="C514" s="8"/>
    </row>
    <row r="515" spans="1:3" x14ac:dyDescent="0.3">
      <c r="A515" s="12"/>
      <c r="B515" s="9"/>
      <c r="C515" s="9"/>
    </row>
    <row r="516" spans="1:3" x14ac:dyDescent="0.3">
      <c r="A516" s="11"/>
      <c r="B516" s="8"/>
      <c r="C516" s="8"/>
    </row>
    <row r="517" spans="1:3" x14ac:dyDescent="0.3">
      <c r="A517" s="12"/>
      <c r="B517" s="9"/>
      <c r="C517" s="9"/>
    </row>
    <row r="518" spans="1:3" x14ac:dyDescent="0.3">
      <c r="A518" s="11"/>
      <c r="B518" s="8"/>
      <c r="C518" s="8"/>
    </row>
    <row r="519" spans="1:3" x14ac:dyDescent="0.3">
      <c r="A519" s="12"/>
      <c r="B519" s="9"/>
      <c r="C519" s="9"/>
    </row>
    <row r="520" spans="1:3" x14ac:dyDescent="0.3">
      <c r="A520" s="11"/>
      <c r="B520" s="8"/>
      <c r="C520" s="8"/>
    </row>
    <row r="521" spans="1:3" x14ac:dyDescent="0.3">
      <c r="A521" s="12"/>
      <c r="B521" s="9"/>
      <c r="C521" s="9"/>
    </row>
    <row r="522" spans="1:3" x14ac:dyDescent="0.3">
      <c r="A522" s="11"/>
      <c r="B522" s="8"/>
      <c r="C522" s="8"/>
    </row>
    <row r="523" spans="1:3" x14ac:dyDescent="0.3">
      <c r="A523" s="12"/>
      <c r="B523" s="9"/>
      <c r="C523" s="9"/>
    </row>
    <row r="524" spans="1:3" x14ac:dyDescent="0.3">
      <c r="A524" s="11"/>
      <c r="B524" s="8"/>
      <c r="C524" s="8"/>
    </row>
    <row r="525" spans="1:3" x14ac:dyDescent="0.3">
      <c r="A525" s="12"/>
      <c r="B525" s="9"/>
      <c r="C525" s="9"/>
    </row>
    <row r="526" spans="1:3" x14ac:dyDescent="0.3">
      <c r="A526" s="11"/>
      <c r="B526" s="8"/>
      <c r="C526" s="8"/>
    </row>
    <row r="527" spans="1:3" x14ac:dyDescent="0.3">
      <c r="A527" s="12"/>
      <c r="B527" s="9"/>
      <c r="C527" s="9"/>
    </row>
    <row r="528" spans="1:3" x14ac:dyDescent="0.3">
      <c r="A528" s="11"/>
      <c r="B528" s="8"/>
      <c r="C528" s="8"/>
    </row>
    <row r="529" spans="1:3" x14ac:dyDescent="0.3">
      <c r="A529" s="12"/>
      <c r="B529" s="9"/>
      <c r="C529" s="9"/>
    </row>
    <row r="530" spans="1:3" x14ac:dyDescent="0.3">
      <c r="A530" s="11"/>
      <c r="B530" s="8"/>
      <c r="C530" s="8"/>
    </row>
    <row r="531" spans="1:3" x14ac:dyDescent="0.3">
      <c r="A531" s="12"/>
      <c r="B531" s="9"/>
      <c r="C531" s="9"/>
    </row>
    <row r="532" spans="1:3" x14ac:dyDescent="0.3">
      <c r="A532" s="11"/>
      <c r="B532" s="8"/>
      <c r="C532" s="8"/>
    </row>
    <row r="533" spans="1:3" x14ac:dyDescent="0.3">
      <c r="A533" s="12"/>
      <c r="B533" s="9"/>
      <c r="C533" s="9"/>
    </row>
    <row r="534" spans="1:3" x14ac:dyDescent="0.3">
      <c r="A534" s="11"/>
      <c r="B534" s="8"/>
      <c r="C534" s="8"/>
    </row>
    <row r="535" spans="1:3" x14ac:dyDescent="0.3">
      <c r="A535" s="12"/>
      <c r="B535" s="9"/>
      <c r="C535" s="9"/>
    </row>
    <row r="536" spans="1:3" x14ac:dyDescent="0.3">
      <c r="A536" s="11"/>
      <c r="B536" s="8"/>
      <c r="C536" s="8"/>
    </row>
    <row r="537" spans="1:3" x14ac:dyDescent="0.3">
      <c r="A537" s="12"/>
      <c r="B537" s="9"/>
      <c r="C537" s="9"/>
    </row>
    <row r="538" spans="1:3" x14ac:dyDescent="0.3">
      <c r="A538" s="11"/>
      <c r="B538" s="8"/>
      <c r="C538" s="8"/>
    </row>
    <row r="539" spans="1:3" x14ac:dyDescent="0.3">
      <c r="A539" s="12"/>
      <c r="B539" s="9"/>
      <c r="C539" s="9"/>
    </row>
    <row r="540" spans="1:3" x14ac:dyDescent="0.3">
      <c r="A540" s="11"/>
      <c r="B540" s="8"/>
      <c r="C540" s="8"/>
    </row>
    <row r="541" spans="1:3" x14ac:dyDescent="0.3">
      <c r="A541" s="12"/>
      <c r="B541" s="9"/>
      <c r="C541" s="9"/>
    </row>
    <row r="542" spans="1:3" x14ac:dyDescent="0.3">
      <c r="A542" s="11"/>
      <c r="B542" s="8"/>
      <c r="C542" s="8"/>
    </row>
    <row r="543" spans="1:3" x14ac:dyDescent="0.3">
      <c r="A543" s="12"/>
      <c r="B543" s="9"/>
      <c r="C543" s="9"/>
    </row>
    <row r="544" spans="1:3" x14ac:dyDescent="0.3">
      <c r="A544" s="11"/>
      <c r="B544" s="8"/>
      <c r="C544" s="8"/>
    </row>
    <row r="545" spans="1:6" x14ac:dyDescent="0.3">
      <c r="A545" s="12"/>
      <c r="B545" s="9"/>
      <c r="C545" s="9"/>
    </row>
    <row r="546" spans="1:6" x14ac:dyDescent="0.3">
      <c r="A546" s="11"/>
      <c r="B546" s="8"/>
      <c r="C546" s="8"/>
    </row>
    <row r="547" spans="1:6" x14ac:dyDescent="0.3">
      <c r="A547" s="12"/>
      <c r="B547" s="9"/>
      <c r="C547" s="9"/>
    </row>
    <row r="548" spans="1:6" x14ac:dyDescent="0.3">
      <c r="A548" s="11"/>
      <c r="B548" s="8"/>
      <c r="C548" s="8"/>
    </row>
    <row r="549" spans="1:6" x14ac:dyDescent="0.3">
      <c r="A549" s="12"/>
      <c r="B549" s="9"/>
      <c r="C549" s="9"/>
    </row>
    <row r="550" spans="1:6" x14ac:dyDescent="0.3">
      <c r="A550" s="11"/>
      <c r="B550" s="8"/>
    </row>
    <row r="551" spans="1:6" x14ac:dyDescent="0.3">
      <c r="A551" s="12" t="s">
        <v>34</v>
      </c>
      <c r="B551" s="8"/>
      <c r="D551">
        <f t="shared" ref="D551:D614" si="5">IF(IFERROR(FIND("1",A551,1),ERROR.TYPE(#VALUE!))=ERROR.TYPE(#VALUE!),$M$2,$M$1)</f>
        <v>0</v>
      </c>
      <c r="E551">
        <v>1753.535353535354</v>
      </c>
      <c r="F551">
        <f>Tabelle1318[[#This Row],[Variation]]</f>
        <v>1753.535353535354</v>
      </c>
    </row>
    <row r="552" spans="1:6" x14ac:dyDescent="0.3">
      <c r="A552" s="11" t="s">
        <v>34</v>
      </c>
      <c r="B552" s="8"/>
      <c r="D552">
        <f t="shared" si="5"/>
        <v>0</v>
      </c>
      <c r="E552">
        <v>1760.606060606061</v>
      </c>
    </row>
    <row r="553" spans="1:6" x14ac:dyDescent="0.3">
      <c r="A553" s="12" t="s">
        <v>34</v>
      </c>
      <c r="B553" s="8"/>
      <c r="D553">
        <f t="shared" si="5"/>
        <v>0</v>
      </c>
      <c r="E553">
        <v>1767.6767676767679</v>
      </c>
    </row>
    <row r="554" spans="1:6" x14ac:dyDescent="0.3">
      <c r="A554" s="11" t="s">
        <v>34</v>
      </c>
      <c r="B554" s="8"/>
      <c r="D554">
        <f t="shared" si="5"/>
        <v>0</v>
      </c>
      <c r="E554">
        <v>1774.7474747474751</v>
      </c>
    </row>
    <row r="555" spans="1:6" x14ac:dyDescent="0.3">
      <c r="A555" s="12" t="s">
        <v>34</v>
      </c>
      <c r="B555" s="8"/>
      <c r="D555">
        <f t="shared" si="5"/>
        <v>0</v>
      </c>
      <c r="E555">
        <v>1781.818181818182</v>
      </c>
    </row>
    <row r="556" spans="1:6" x14ac:dyDescent="0.3">
      <c r="A556" s="11" t="s">
        <v>34</v>
      </c>
      <c r="B556" s="8"/>
      <c r="D556">
        <f t="shared" si="5"/>
        <v>0</v>
      </c>
      <c r="E556">
        <v>1788.8888888888889</v>
      </c>
    </row>
    <row r="557" spans="1:6" x14ac:dyDescent="0.3">
      <c r="A557" s="12" t="s">
        <v>34</v>
      </c>
      <c r="B557" s="8"/>
      <c r="D557">
        <f t="shared" si="5"/>
        <v>0</v>
      </c>
      <c r="E557">
        <v>1795.9595959595961</v>
      </c>
    </row>
    <row r="558" spans="1:6" x14ac:dyDescent="0.3">
      <c r="A558" s="11" t="s">
        <v>34</v>
      </c>
      <c r="B558" s="8"/>
      <c r="D558">
        <f t="shared" si="5"/>
        <v>0</v>
      </c>
      <c r="E558">
        <v>1803.030303030303</v>
      </c>
    </row>
    <row r="559" spans="1:6" x14ac:dyDescent="0.3">
      <c r="A559" s="12" t="s">
        <v>34</v>
      </c>
      <c r="B559" s="8"/>
      <c r="D559">
        <f t="shared" si="5"/>
        <v>0</v>
      </c>
      <c r="E559">
        <v>1810.1010101010099</v>
      </c>
    </row>
    <row r="560" spans="1:6" x14ac:dyDescent="0.3">
      <c r="A560" s="11" t="s">
        <v>34</v>
      </c>
      <c r="B560" s="8"/>
      <c r="D560">
        <f t="shared" si="5"/>
        <v>0</v>
      </c>
      <c r="E560">
        <v>1817.1717171717171</v>
      </c>
    </row>
    <row r="561" spans="1:5" x14ac:dyDescent="0.3">
      <c r="A561" s="12" t="s">
        <v>34</v>
      </c>
      <c r="B561" s="8"/>
      <c r="D561">
        <f t="shared" si="5"/>
        <v>0</v>
      </c>
      <c r="E561">
        <v>1824.242424242424</v>
      </c>
    </row>
    <row r="562" spans="1:5" x14ac:dyDescent="0.3">
      <c r="A562" s="11" t="s">
        <v>34</v>
      </c>
      <c r="B562" s="8"/>
      <c r="D562">
        <f t="shared" si="5"/>
        <v>0</v>
      </c>
      <c r="E562">
        <v>1831.313131313131</v>
      </c>
    </row>
    <row r="563" spans="1:5" x14ac:dyDescent="0.3">
      <c r="A563" s="12" t="s">
        <v>34</v>
      </c>
      <c r="B563" s="8"/>
      <c r="D563">
        <f t="shared" si="5"/>
        <v>0</v>
      </c>
      <c r="E563">
        <v>1838.3838383838381</v>
      </c>
    </row>
    <row r="564" spans="1:5" x14ac:dyDescent="0.3">
      <c r="A564" s="11" t="s">
        <v>34</v>
      </c>
      <c r="B564" s="8"/>
      <c r="D564">
        <f t="shared" si="5"/>
        <v>0</v>
      </c>
      <c r="E564">
        <v>1845.454545454545</v>
      </c>
    </row>
    <row r="565" spans="1:5" x14ac:dyDescent="0.3">
      <c r="A565" s="12" t="s">
        <v>34</v>
      </c>
      <c r="B565" s="8"/>
      <c r="D565">
        <f t="shared" si="5"/>
        <v>0</v>
      </c>
      <c r="E565">
        <v>1852.5252525252531</v>
      </c>
    </row>
    <row r="566" spans="1:5" x14ac:dyDescent="0.3">
      <c r="A566" s="11" t="s">
        <v>34</v>
      </c>
      <c r="B566" s="8"/>
      <c r="D566">
        <f t="shared" si="5"/>
        <v>0</v>
      </c>
      <c r="E566">
        <v>1859.59595959596</v>
      </c>
    </row>
    <row r="567" spans="1:5" x14ac:dyDescent="0.3">
      <c r="A567" s="12" t="s">
        <v>34</v>
      </c>
      <c r="B567" s="8"/>
      <c r="D567">
        <f t="shared" si="5"/>
        <v>0</v>
      </c>
      <c r="E567">
        <v>1866.666666666667</v>
      </c>
    </row>
    <row r="568" spans="1:5" x14ac:dyDescent="0.3">
      <c r="A568" s="11" t="s">
        <v>34</v>
      </c>
      <c r="B568" s="8"/>
      <c r="D568">
        <f t="shared" si="5"/>
        <v>0</v>
      </c>
      <c r="E568">
        <v>1873.7373737373739</v>
      </c>
    </row>
    <row r="569" spans="1:5" x14ac:dyDescent="0.3">
      <c r="A569" s="12" t="s">
        <v>34</v>
      </c>
      <c r="B569" s="8"/>
      <c r="D569">
        <f t="shared" si="5"/>
        <v>0</v>
      </c>
      <c r="E569">
        <v>1880.8080808080811</v>
      </c>
    </row>
    <row r="570" spans="1:5" x14ac:dyDescent="0.3">
      <c r="A570" s="11" t="s">
        <v>34</v>
      </c>
      <c r="B570" s="8"/>
      <c r="D570">
        <f t="shared" si="5"/>
        <v>0</v>
      </c>
      <c r="E570">
        <v>1887.878787878788</v>
      </c>
    </row>
    <row r="571" spans="1:5" x14ac:dyDescent="0.3">
      <c r="A571" s="12" t="s">
        <v>34</v>
      </c>
      <c r="B571" s="8"/>
      <c r="D571">
        <f t="shared" si="5"/>
        <v>0</v>
      </c>
      <c r="E571">
        <v>1894.9494949494949</v>
      </c>
    </row>
    <row r="572" spans="1:5" x14ac:dyDescent="0.3">
      <c r="A572" s="11" t="s">
        <v>34</v>
      </c>
      <c r="B572" s="8"/>
      <c r="D572">
        <f t="shared" si="5"/>
        <v>0</v>
      </c>
      <c r="E572">
        <v>1902.0202020202021</v>
      </c>
    </row>
    <row r="573" spans="1:5" x14ac:dyDescent="0.3">
      <c r="A573" s="12" t="s">
        <v>34</v>
      </c>
      <c r="B573" s="8"/>
      <c r="D573">
        <f t="shared" si="5"/>
        <v>0</v>
      </c>
      <c r="E573">
        <v>1909.090909090909</v>
      </c>
    </row>
    <row r="574" spans="1:5" x14ac:dyDescent="0.3">
      <c r="A574" s="11" t="s">
        <v>34</v>
      </c>
      <c r="B574" s="8"/>
      <c r="D574">
        <f t="shared" si="5"/>
        <v>0</v>
      </c>
      <c r="E574">
        <v>1916.1616161616159</v>
      </c>
    </row>
    <row r="575" spans="1:5" x14ac:dyDescent="0.3">
      <c r="A575" s="12" t="s">
        <v>34</v>
      </c>
      <c r="B575" s="8"/>
      <c r="D575">
        <f t="shared" si="5"/>
        <v>0</v>
      </c>
      <c r="E575">
        <v>1923.2323232323231</v>
      </c>
    </row>
    <row r="576" spans="1:5" x14ac:dyDescent="0.3">
      <c r="A576" s="11" t="s">
        <v>34</v>
      </c>
      <c r="B576" s="8"/>
      <c r="D576">
        <f t="shared" si="5"/>
        <v>0</v>
      </c>
      <c r="E576">
        <v>1930.30303030303</v>
      </c>
    </row>
    <row r="577" spans="1:5" x14ac:dyDescent="0.3">
      <c r="A577" s="12" t="s">
        <v>34</v>
      </c>
      <c r="B577" s="8"/>
      <c r="D577">
        <f t="shared" si="5"/>
        <v>0</v>
      </c>
      <c r="E577">
        <v>1937.373737373737</v>
      </c>
    </row>
    <row r="578" spans="1:5" x14ac:dyDescent="0.3">
      <c r="A578" s="11" t="s">
        <v>34</v>
      </c>
      <c r="B578" s="8"/>
      <c r="D578">
        <f t="shared" si="5"/>
        <v>0</v>
      </c>
      <c r="E578">
        <v>1944.4444444444439</v>
      </c>
    </row>
    <row r="579" spans="1:5" x14ac:dyDescent="0.3">
      <c r="A579" s="12" t="s">
        <v>34</v>
      </c>
      <c r="B579" s="8"/>
      <c r="D579">
        <f t="shared" si="5"/>
        <v>0</v>
      </c>
      <c r="E579">
        <v>1951.515151515152</v>
      </c>
    </row>
    <row r="580" spans="1:5" x14ac:dyDescent="0.3">
      <c r="A580" s="11" t="s">
        <v>34</v>
      </c>
      <c r="B580" s="8"/>
      <c r="D580">
        <f t="shared" si="5"/>
        <v>0</v>
      </c>
      <c r="E580">
        <v>1958.5858585858589</v>
      </c>
    </row>
    <row r="581" spans="1:5" x14ac:dyDescent="0.3">
      <c r="A581" s="12" t="s">
        <v>34</v>
      </c>
      <c r="B581" s="8"/>
      <c r="D581">
        <f t="shared" si="5"/>
        <v>0</v>
      </c>
      <c r="E581">
        <v>1965.656565656566</v>
      </c>
    </row>
    <row r="582" spans="1:5" x14ac:dyDescent="0.3">
      <c r="A582" s="11" t="s">
        <v>34</v>
      </c>
      <c r="B582" s="8"/>
      <c r="D582">
        <f t="shared" si="5"/>
        <v>0</v>
      </c>
      <c r="E582">
        <v>1972.727272727273</v>
      </c>
    </row>
    <row r="583" spans="1:5" x14ac:dyDescent="0.3">
      <c r="A583" s="12" t="s">
        <v>34</v>
      </c>
      <c r="B583" s="8"/>
      <c r="D583">
        <f t="shared" si="5"/>
        <v>0</v>
      </c>
      <c r="E583">
        <v>1979.7979797979799</v>
      </c>
    </row>
    <row r="584" spans="1:5" x14ac:dyDescent="0.3">
      <c r="A584" s="11" t="s">
        <v>34</v>
      </c>
      <c r="B584" s="8"/>
      <c r="D584">
        <f t="shared" si="5"/>
        <v>0</v>
      </c>
      <c r="E584">
        <v>1986.8686868686871</v>
      </c>
    </row>
    <row r="585" spans="1:5" x14ac:dyDescent="0.3">
      <c r="A585" s="12" t="s">
        <v>34</v>
      </c>
      <c r="B585" s="8"/>
      <c r="D585">
        <f t="shared" si="5"/>
        <v>0</v>
      </c>
      <c r="E585">
        <v>1993.939393939394</v>
      </c>
    </row>
    <row r="586" spans="1:5" x14ac:dyDescent="0.3">
      <c r="A586" s="11" t="s">
        <v>34</v>
      </c>
      <c r="B586" s="8"/>
      <c r="D586">
        <f t="shared" si="5"/>
        <v>0</v>
      </c>
      <c r="E586">
        <v>2001.0101010101009</v>
      </c>
    </row>
    <row r="587" spans="1:5" x14ac:dyDescent="0.3">
      <c r="A587" s="12" t="s">
        <v>34</v>
      </c>
      <c r="B587" s="8"/>
      <c r="D587">
        <f t="shared" si="5"/>
        <v>0</v>
      </c>
      <c r="E587">
        <v>2008.0808080808081</v>
      </c>
    </row>
    <row r="588" spans="1:5" x14ac:dyDescent="0.3">
      <c r="A588" s="11" t="s">
        <v>34</v>
      </c>
      <c r="B588" s="8"/>
      <c r="D588">
        <f t="shared" si="5"/>
        <v>0</v>
      </c>
      <c r="E588">
        <v>2015.151515151515</v>
      </c>
    </row>
    <row r="589" spans="1:5" x14ac:dyDescent="0.3">
      <c r="A589" s="12" t="s">
        <v>34</v>
      </c>
      <c r="B589" s="8"/>
      <c r="D589">
        <f t="shared" si="5"/>
        <v>0</v>
      </c>
      <c r="E589">
        <v>2022.2222222222219</v>
      </c>
    </row>
    <row r="590" spans="1:5" x14ac:dyDescent="0.3">
      <c r="A590" s="11" t="s">
        <v>34</v>
      </c>
      <c r="B590" s="8"/>
      <c r="D590">
        <f t="shared" si="5"/>
        <v>0</v>
      </c>
      <c r="E590">
        <v>2029.2929292929291</v>
      </c>
    </row>
    <row r="591" spans="1:5" x14ac:dyDescent="0.3">
      <c r="A591" s="12" t="s">
        <v>34</v>
      </c>
      <c r="B591" s="8"/>
      <c r="D591">
        <f t="shared" si="5"/>
        <v>0</v>
      </c>
      <c r="E591">
        <v>2036.363636363636</v>
      </c>
    </row>
    <row r="592" spans="1:5" x14ac:dyDescent="0.3">
      <c r="A592" s="11" t="s">
        <v>34</v>
      </c>
      <c r="B592" s="8"/>
      <c r="D592">
        <f t="shared" si="5"/>
        <v>0</v>
      </c>
      <c r="E592">
        <v>2043.434343434343</v>
      </c>
    </row>
    <row r="593" spans="1:5" x14ac:dyDescent="0.3">
      <c r="A593" s="12" t="s">
        <v>34</v>
      </c>
      <c r="B593" s="8"/>
      <c r="D593">
        <f t="shared" si="5"/>
        <v>0</v>
      </c>
      <c r="E593">
        <v>2050.5050505050499</v>
      </c>
    </row>
    <row r="594" spans="1:5" x14ac:dyDescent="0.3">
      <c r="A594" s="11" t="s">
        <v>34</v>
      </c>
      <c r="B594" s="8"/>
      <c r="D594">
        <f t="shared" si="5"/>
        <v>0</v>
      </c>
      <c r="E594">
        <v>2057.575757575758</v>
      </c>
    </row>
    <row r="595" spans="1:5" x14ac:dyDescent="0.3">
      <c r="A595" s="12" t="s">
        <v>34</v>
      </c>
      <c r="B595" s="8"/>
      <c r="D595">
        <f t="shared" si="5"/>
        <v>0</v>
      </c>
      <c r="E595">
        <v>2064.6464646464651</v>
      </c>
    </row>
    <row r="596" spans="1:5" x14ac:dyDescent="0.3">
      <c r="A596" s="11" t="s">
        <v>34</v>
      </c>
      <c r="B596" s="8"/>
      <c r="D596">
        <f t="shared" si="5"/>
        <v>0</v>
      </c>
      <c r="E596">
        <v>2071.7171717171718</v>
      </c>
    </row>
    <row r="597" spans="1:5" x14ac:dyDescent="0.3">
      <c r="A597" s="12" t="s">
        <v>34</v>
      </c>
      <c r="B597" s="8"/>
      <c r="D597">
        <f t="shared" si="5"/>
        <v>0</v>
      </c>
      <c r="E597">
        <v>2078.787878787879</v>
      </c>
    </row>
    <row r="598" spans="1:5" x14ac:dyDescent="0.3">
      <c r="A598" s="11" t="s">
        <v>34</v>
      </c>
      <c r="B598" s="8"/>
      <c r="D598">
        <f t="shared" si="5"/>
        <v>0</v>
      </c>
      <c r="E598">
        <v>2085.8585858585861</v>
      </c>
    </row>
    <row r="599" spans="1:5" x14ac:dyDescent="0.3">
      <c r="A599" s="12" t="s">
        <v>34</v>
      </c>
      <c r="B599" s="8"/>
      <c r="D599">
        <f t="shared" si="5"/>
        <v>0</v>
      </c>
      <c r="E599">
        <v>2092.9292929292928</v>
      </c>
    </row>
    <row r="600" spans="1:5" x14ac:dyDescent="0.3">
      <c r="A600" s="11"/>
      <c r="B600" s="8"/>
    </row>
    <row r="601" spans="1:5" x14ac:dyDescent="0.3">
      <c r="A601" s="12" t="s">
        <v>35</v>
      </c>
      <c r="B601" s="9">
        <v>42317.681689854908</v>
      </c>
      <c r="D601">
        <f t="shared" si="5"/>
        <v>0</v>
      </c>
      <c r="E601">
        <v>1117.0416</v>
      </c>
    </row>
    <row r="602" spans="1:5" x14ac:dyDescent="0.3">
      <c r="A602" s="11" t="s">
        <v>35</v>
      </c>
      <c r="B602" s="8">
        <v>42210.591003911941</v>
      </c>
      <c r="D602">
        <f t="shared" si="5"/>
        <v>0</v>
      </c>
      <c r="E602">
        <v>1118.7401535353531</v>
      </c>
    </row>
    <row r="603" spans="1:5" x14ac:dyDescent="0.3">
      <c r="A603" s="12" t="s">
        <v>35</v>
      </c>
      <c r="B603" s="9">
        <v>42117.98858407564</v>
      </c>
      <c r="D603">
        <f t="shared" si="5"/>
        <v>0</v>
      </c>
      <c r="E603">
        <v>1120.4387070707071</v>
      </c>
    </row>
    <row r="604" spans="1:5" x14ac:dyDescent="0.3">
      <c r="A604" s="11" t="s">
        <v>35</v>
      </c>
      <c r="B604" s="8">
        <v>42036.76321237356</v>
      </c>
      <c r="D604">
        <f t="shared" si="5"/>
        <v>0</v>
      </c>
      <c r="E604">
        <v>1122.13726060606</v>
      </c>
    </row>
    <row r="605" spans="1:5" x14ac:dyDescent="0.3">
      <c r="A605" s="12" t="s">
        <v>35</v>
      </c>
      <c r="B605" s="9">
        <v>41956.30353086441</v>
      </c>
      <c r="D605">
        <f t="shared" si="5"/>
        <v>0</v>
      </c>
      <c r="E605">
        <v>1123.8358141414139</v>
      </c>
    </row>
    <row r="606" spans="1:5" x14ac:dyDescent="0.3">
      <c r="A606" s="11" t="s">
        <v>35</v>
      </c>
      <c r="B606" s="8">
        <v>41862.2098150948</v>
      </c>
      <c r="D606">
        <f t="shared" si="5"/>
        <v>0</v>
      </c>
      <c r="E606">
        <v>1125.534367676767</v>
      </c>
    </row>
    <row r="607" spans="1:5" x14ac:dyDescent="0.3">
      <c r="A607" s="12" t="s">
        <v>35</v>
      </c>
      <c r="B607" s="9">
        <v>41767.891860156422</v>
      </c>
      <c r="D607">
        <f t="shared" si="5"/>
        <v>0</v>
      </c>
      <c r="E607">
        <v>1127.232921212121</v>
      </c>
    </row>
    <row r="608" spans="1:5" x14ac:dyDescent="0.3">
      <c r="A608" s="11" t="s">
        <v>35</v>
      </c>
      <c r="B608" s="8">
        <v>41673.352268029397</v>
      </c>
      <c r="D608">
        <f t="shared" si="5"/>
        <v>0</v>
      </c>
      <c r="E608">
        <v>1128.931474747475</v>
      </c>
    </row>
    <row r="609" spans="1:14" x14ac:dyDescent="0.3">
      <c r="A609" s="12" t="s">
        <v>35</v>
      </c>
      <c r="B609" s="9">
        <v>41580.110710889887</v>
      </c>
      <c r="D609">
        <f t="shared" si="5"/>
        <v>0</v>
      </c>
      <c r="E609">
        <v>1130.6300282828281</v>
      </c>
    </row>
    <row r="610" spans="1:14" x14ac:dyDescent="0.3">
      <c r="A610" s="11" t="s">
        <v>35</v>
      </c>
      <c r="B610" s="8">
        <v>41486.434815605287</v>
      </c>
      <c r="D610">
        <f t="shared" si="5"/>
        <v>0</v>
      </c>
      <c r="E610">
        <v>1132.3285818181821</v>
      </c>
    </row>
    <row r="611" spans="1:14" x14ac:dyDescent="0.3">
      <c r="A611" s="12" t="s">
        <v>35</v>
      </c>
      <c r="B611" s="9">
        <v>41391.598645962353</v>
      </c>
      <c r="D611">
        <f t="shared" si="5"/>
        <v>0</v>
      </c>
      <c r="E611">
        <v>1134.027135353535</v>
      </c>
      <c r="H611" t="s">
        <v>98</v>
      </c>
      <c r="I611" t="s">
        <v>94</v>
      </c>
      <c r="J611" t="s">
        <v>93</v>
      </c>
      <c r="K611" t="s">
        <v>96</v>
      </c>
      <c r="M611" t="s">
        <v>99</v>
      </c>
    </row>
    <row r="612" spans="1:14" x14ac:dyDescent="0.3">
      <c r="A612" s="11" t="s">
        <v>35</v>
      </c>
      <c r="B612" s="8">
        <v>41323.997297211339</v>
      </c>
      <c r="D612">
        <f t="shared" si="5"/>
        <v>0</v>
      </c>
      <c r="E612">
        <v>1135.725688888889</v>
      </c>
      <c r="H612" t="s">
        <v>95</v>
      </c>
      <c r="I612">
        <f>MAX(Laufende_Kosten!A4:A103)</f>
        <v>2</v>
      </c>
      <c r="J612">
        <f>MIN(Laufende_Kosten!A4:A103)</f>
        <v>2</v>
      </c>
      <c r="K612">
        <v>39000</v>
      </c>
      <c r="M612" t="e">
        <f>MIN(I611:J616)</f>
        <v>#REF!</v>
      </c>
      <c r="N612" t="e">
        <f>VLOOKUP(M612,Tabelle25678910[#All],4)</f>
        <v>#REF!</v>
      </c>
    </row>
    <row r="613" spans="1:14" x14ac:dyDescent="0.3">
      <c r="A613" s="12" t="s">
        <v>35</v>
      </c>
      <c r="B613" s="9">
        <v>41216.480761014391</v>
      </c>
      <c r="D613">
        <f t="shared" si="5"/>
        <v>0</v>
      </c>
      <c r="E613">
        <v>1137.424242424242</v>
      </c>
      <c r="H613" t="s">
        <v>47</v>
      </c>
      <c r="I613">
        <f>MAX(Degradation!A2:A101)</f>
        <v>2</v>
      </c>
      <c r="J613">
        <f>MIN(Degradation!A2:A101)</f>
        <v>2</v>
      </c>
      <c r="M613" t="e">
        <f>M612+1</f>
        <v>#REF!</v>
      </c>
    </row>
    <row r="614" spans="1:14" x14ac:dyDescent="0.3">
      <c r="A614" s="11" t="s">
        <v>35</v>
      </c>
      <c r="B614" s="8">
        <v>41108.925417394639</v>
      </c>
      <c r="D614">
        <f t="shared" si="5"/>
        <v>0</v>
      </c>
      <c r="E614">
        <v>1139.122795959596</v>
      </c>
      <c r="H614" t="s">
        <v>43</v>
      </c>
      <c r="I614" t="e">
        <f>MAX(Anschaffung!#REF!)</f>
        <v>#REF!</v>
      </c>
      <c r="J614" t="e">
        <f>MIN(Anschaffung!#REF!)</f>
        <v>#REF!</v>
      </c>
      <c r="M614" t="e">
        <f t="shared" ref="M614:M624" si="6">M613+1</f>
        <v>#REF!</v>
      </c>
    </row>
    <row r="615" spans="1:14" x14ac:dyDescent="0.3">
      <c r="A615" s="12" t="s">
        <v>35</v>
      </c>
      <c r="B615" s="9">
        <v>41040.788724500868</v>
      </c>
      <c r="D615">
        <f t="shared" ref="D615:D678" si="7">IF(IFERROR(FIND("1",A615,1),ERROR.TYPE(#VALUE!))=ERROR.TYPE(#VALUE!),$M$2,$M$1)</f>
        <v>0</v>
      </c>
      <c r="E615">
        <v>1140.8213494949489</v>
      </c>
      <c r="H615" t="s">
        <v>50</v>
      </c>
      <c r="I615">
        <f>MAX(Inflation!A6:A105)</f>
        <v>2</v>
      </c>
      <c r="J615">
        <f>MIN(Habenzins!A6:A105)</f>
        <v>2</v>
      </c>
      <c r="M615" t="e">
        <f t="shared" si="6"/>
        <v>#REF!</v>
      </c>
    </row>
    <row r="616" spans="1:14" x14ac:dyDescent="0.3">
      <c r="A616" s="11" t="s">
        <v>35</v>
      </c>
      <c r="B616" s="8">
        <v>40945.938860612958</v>
      </c>
      <c r="D616">
        <f t="shared" si="7"/>
        <v>0</v>
      </c>
      <c r="E616">
        <v>1142.5199030303031</v>
      </c>
      <c r="H616" t="s">
        <v>49</v>
      </c>
      <c r="I616">
        <f>MAX(Habenzins!A5:A104)</f>
        <v>2</v>
      </c>
      <c r="J616">
        <f>MIN(Habenzins!A5:A104)</f>
        <v>2</v>
      </c>
      <c r="M616" t="e">
        <f t="shared" si="6"/>
        <v>#REF!</v>
      </c>
    </row>
    <row r="617" spans="1:14" x14ac:dyDescent="0.3">
      <c r="A617" s="12" t="s">
        <v>35</v>
      </c>
      <c r="B617" s="9">
        <v>40838.267000784093</v>
      </c>
      <c r="D617">
        <f t="shared" si="7"/>
        <v>0</v>
      </c>
      <c r="E617">
        <v>1144.218456565656</v>
      </c>
      <c r="H617" t="s">
        <v>91</v>
      </c>
      <c r="M617" t="e">
        <f t="shared" si="6"/>
        <v>#REF!</v>
      </c>
    </row>
    <row r="618" spans="1:14" x14ac:dyDescent="0.3">
      <c r="A618" s="11" t="s">
        <v>35</v>
      </c>
      <c r="B618" s="8">
        <v>40755.584069529119</v>
      </c>
      <c r="D618">
        <f t="shared" si="7"/>
        <v>0</v>
      </c>
      <c r="E618">
        <v>1145.91701010101</v>
      </c>
      <c r="M618" t="e">
        <f t="shared" si="6"/>
        <v>#REF!</v>
      </c>
    </row>
    <row r="619" spans="1:14" x14ac:dyDescent="0.3">
      <c r="A619" s="12" t="s">
        <v>35</v>
      </c>
      <c r="B619" s="9">
        <v>40663.430912587377</v>
      </c>
      <c r="D619">
        <f t="shared" si="7"/>
        <v>0</v>
      </c>
      <c r="E619">
        <v>1147.615563636364</v>
      </c>
      <c r="M619" t="e">
        <f t="shared" si="6"/>
        <v>#REF!</v>
      </c>
    </row>
    <row r="620" spans="1:14" x14ac:dyDescent="0.3">
      <c r="A620" s="11" t="s">
        <v>35</v>
      </c>
      <c r="B620" s="8">
        <v>40571.018821406084</v>
      </c>
      <c r="D620">
        <f t="shared" si="7"/>
        <v>0</v>
      </c>
      <c r="E620">
        <v>1149.314117171717</v>
      </c>
      <c r="M620" t="e">
        <f t="shared" si="6"/>
        <v>#REF!</v>
      </c>
    </row>
    <row r="621" spans="1:14" x14ac:dyDescent="0.3">
      <c r="A621" s="12" t="s">
        <v>35</v>
      </c>
      <c r="B621" s="9">
        <v>40463.19138721504</v>
      </c>
      <c r="D621">
        <f t="shared" si="7"/>
        <v>0</v>
      </c>
      <c r="E621">
        <v>1151.012670707071</v>
      </c>
      <c r="M621" t="e">
        <f t="shared" si="6"/>
        <v>#REF!</v>
      </c>
    </row>
    <row r="622" spans="1:14" x14ac:dyDescent="0.3">
      <c r="A622" s="11" t="s">
        <v>35</v>
      </c>
      <c r="B622" s="8">
        <v>40355.325020211152</v>
      </c>
      <c r="D622">
        <f t="shared" si="7"/>
        <v>0</v>
      </c>
      <c r="E622">
        <v>1152.7112242424239</v>
      </c>
      <c r="M622" t="e">
        <f t="shared" si="6"/>
        <v>#REF!</v>
      </c>
    </row>
    <row r="623" spans="1:14" x14ac:dyDescent="0.3">
      <c r="A623" s="12" t="s">
        <v>35</v>
      </c>
      <c r="B623" s="9">
        <v>40276.96365732533</v>
      </c>
      <c r="D623">
        <f t="shared" si="7"/>
        <v>0</v>
      </c>
      <c r="E623">
        <v>1154.4097777777779</v>
      </c>
      <c r="I623" t="s">
        <v>94</v>
      </c>
      <c r="J623" t="s">
        <v>93</v>
      </c>
      <c r="K623" t="s">
        <v>97</v>
      </c>
      <c r="M623" t="e">
        <f t="shared" si="6"/>
        <v>#REF!</v>
      </c>
    </row>
    <row r="624" spans="1:14" x14ac:dyDescent="0.3">
      <c r="A624" s="11" t="s">
        <v>35</v>
      </c>
      <c r="B624" s="8">
        <v>40208.299275919962</v>
      </c>
      <c r="D624">
        <f t="shared" si="7"/>
        <v>0</v>
      </c>
      <c r="E624">
        <v>1156.108331313131</v>
      </c>
      <c r="H624" t="s">
        <v>47</v>
      </c>
      <c r="I624">
        <f>MAX(Degradation!A107:A200)</f>
        <v>0</v>
      </c>
      <c r="J624">
        <f>MIN(Degradation!A107:A200)</f>
        <v>0</v>
      </c>
      <c r="K624">
        <v>25000</v>
      </c>
      <c r="M624" t="e">
        <f t="shared" si="6"/>
        <v>#REF!</v>
      </c>
    </row>
    <row r="625" spans="1:10" x14ac:dyDescent="0.3">
      <c r="A625" s="12" t="s">
        <v>35</v>
      </c>
      <c r="B625" s="9">
        <v>40210.99708610525</v>
      </c>
      <c r="D625">
        <f t="shared" si="7"/>
        <v>0</v>
      </c>
      <c r="E625">
        <v>1157.806884848485</v>
      </c>
      <c r="H625" t="s">
        <v>43</v>
      </c>
      <c r="I625" t="e">
        <f>MAX(Anschaffung!#REF!)</f>
        <v>#REF!</v>
      </c>
      <c r="J625" t="e">
        <f>MAX(Anschaffung!#REF!)</f>
        <v>#REF!</v>
      </c>
    </row>
    <row r="626" spans="1:10" x14ac:dyDescent="0.3">
      <c r="A626" s="11" t="s">
        <v>35</v>
      </c>
      <c r="B626" s="8">
        <v>40131.621638304743</v>
      </c>
      <c r="D626">
        <f t="shared" si="7"/>
        <v>0</v>
      </c>
      <c r="E626">
        <v>1159.5054383838381</v>
      </c>
      <c r="H626" t="s">
        <v>95</v>
      </c>
      <c r="I626">
        <f>MAX(Laufende_Kosten!A106:A200)</f>
        <v>2</v>
      </c>
      <c r="J626">
        <f>MAX(Laufende_Kosten!A106:A201)</f>
        <v>2</v>
      </c>
    </row>
    <row r="627" spans="1:10" x14ac:dyDescent="0.3">
      <c r="A627" s="12" t="s">
        <v>35</v>
      </c>
      <c r="B627" s="9">
        <v>40037.481075598043</v>
      </c>
      <c r="D627">
        <f t="shared" si="7"/>
        <v>0</v>
      </c>
      <c r="E627">
        <v>1161.203991919192</v>
      </c>
      <c r="H627" t="s">
        <v>45</v>
      </c>
      <c r="I627">
        <f>MAX(Batteriepreissenkung!A1:A115)</f>
        <v>2</v>
      </c>
      <c r="J627">
        <f>MIN(Batteriepreissenkung!A5:A104)</f>
        <v>2</v>
      </c>
    </row>
    <row r="628" spans="1:10" x14ac:dyDescent="0.3">
      <c r="A628" s="11" t="s">
        <v>35</v>
      </c>
      <c r="B628" s="8">
        <v>39929.380781804037</v>
      </c>
      <c r="D628">
        <f t="shared" si="7"/>
        <v>0</v>
      </c>
      <c r="E628">
        <v>1162.9025454545449</v>
      </c>
      <c r="H628" t="s">
        <v>49</v>
      </c>
      <c r="I628">
        <f>MAX(Habenzins!A106:A250)</f>
        <v>2</v>
      </c>
      <c r="J628">
        <f>MIN(Habenzins!A106:A250)</f>
        <v>2</v>
      </c>
    </row>
    <row r="629" spans="1:10" x14ac:dyDescent="0.3">
      <c r="A629" s="12" t="s">
        <v>35</v>
      </c>
      <c r="B629" s="9">
        <v>39821.24144516969</v>
      </c>
      <c r="D629">
        <f t="shared" si="7"/>
        <v>0</v>
      </c>
      <c r="E629">
        <v>1164.6010989898989</v>
      </c>
      <c r="H629" t="s">
        <v>50</v>
      </c>
      <c r="I629">
        <f>MAX(Inflation!A107:A250)</f>
        <v>0</v>
      </c>
      <c r="J629">
        <f>MIN(Inflation!A107:A200)</f>
        <v>0</v>
      </c>
    </row>
    <row r="630" spans="1:10" x14ac:dyDescent="0.3">
      <c r="A630" s="11" t="s">
        <v>35</v>
      </c>
      <c r="B630" s="8">
        <v>39713.063049952951</v>
      </c>
      <c r="D630">
        <f t="shared" si="7"/>
        <v>0</v>
      </c>
      <c r="E630">
        <v>1166.299652525252</v>
      </c>
      <c r="H630" t="s">
        <v>46</v>
      </c>
      <c r="I630">
        <f>MAX(Batteriepreis!A1:A101)</f>
        <v>2</v>
      </c>
      <c r="J630">
        <f>MIN(Batteriepreis!A1:A101)</f>
        <v>2</v>
      </c>
    </row>
    <row r="631" spans="1:10" x14ac:dyDescent="0.3">
      <c r="A631" s="12" t="s">
        <v>35</v>
      </c>
      <c r="B631" s="9">
        <v>39617.27058040569</v>
      </c>
      <c r="D631">
        <f t="shared" si="7"/>
        <v>0</v>
      </c>
      <c r="E631">
        <v>1167.998206060606</v>
      </c>
      <c r="H631" t="s">
        <v>91</v>
      </c>
    </row>
    <row r="632" spans="1:10" x14ac:dyDescent="0.3">
      <c r="A632" s="11" t="s">
        <v>35</v>
      </c>
      <c r="B632" s="8">
        <v>39534.399960959228</v>
      </c>
      <c r="D632">
        <f t="shared" si="7"/>
        <v>0</v>
      </c>
      <c r="E632">
        <v>1169.69675959596</v>
      </c>
    </row>
    <row r="633" spans="1:10" x14ac:dyDescent="0.3">
      <c r="A633" s="12" t="s">
        <v>35</v>
      </c>
      <c r="B633" s="9">
        <v>39439.070360583857</v>
      </c>
      <c r="D633">
        <f t="shared" si="7"/>
        <v>0</v>
      </c>
      <c r="E633">
        <v>1171.3953131313131</v>
      </c>
    </row>
    <row r="634" spans="1:10" x14ac:dyDescent="0.3">
      <c r="A634" s="11" t="s">
        <v>35</v>
      </c>
      <c r="B634" s="8">
        <v>39343.887179748519</v>
      </c>
      <c r="D634">
        <f t="shared" si="7"/>
        <v>0</v>
      </c>
      <c r="E634">
        <v>1173.0938666666671</v>
      </c>
    </row>
    <row r="635" spans="1:10" x14ac:dyDescent="0.3">
      <c r="A635" s="12" t="s">
        <v>35</v>
      </c>
      <c r="B635" s="9">
        <v>39235.513255278362</v>
      </c>
      <c r="D635">
        <f t="shared" si="7"/>
        <v>0</v>
      </c>
      <c r="E635">
        <v>1174.7924202020199</v>
      </c>
    </row>
    <row r="636" spans="1:10" x14ac:dyDescent="0.3">
      <c r="A636" s="11" t="s">
        <v>35</v>
      </c>
      <c r="B636" s="8">
        <v>39167.694984285692</v>
      </c>
      <c r="D636">
        <f t="shared" si="7"/>
        <v>0</v>
      </c>
      <c r="E636">
        <v>1176.4909737373739</v>
      </c>
    </row>
    <row r="637" spans="1:10" x14ac:dyDescent="0.3">
      <c r="A637" s="12" t="s">
        <v>35</v>
      </c>
      <c r="B637" s="9">
        <v>39059.242737709726</v>
      </c>
      <c r="D637">
        <f t="shared" si="7"/>
        <v>0</v>
      </c>
      <c r="E637">
        <v>1178.189527272727</v>
      </c>
    </row>
    <row r="638" spans="1:10" x14ac:dyDescent="0.3">
      <c r="A638" s="11" t="s">
        <v>35</v>
      </c>
      <c r="B638" s="8">
        <v>38963.176306398927</v>
      </c>
      <c r="D638">
        <f t="shared" si="7"/>
        <v>0</v>
      </c>
      <c r="E638">
        <v>1179.888080808081</v>
      </c>
    </row>
    <row r="639" spans="1:10" x14ac:dyDescent="0.3">
      <c r="A639" s="12" t="s">
        <v>35</v>
      </c>
      <c r="B639" s="9">
        <v>38880.0316147427</v>
      </c>
      <c r="D639">
        <f t="shared" si="7"/>
        <v>0</v>
      </c>
      <c r="E639">
        <v>1181.5866343434341</v>
      </c>
    </row>
    <row r="640" spans="1:10" x14ac:dyDescent="0.3">
      <c r="A640" s="11" t="s">
        <v>35</v>
      </c>
      <c r="B640" s="8">
        <v>38771.461766568413</v>
      </c>
      <c r="D640">
        <f t="shared" si="7"/>
        <v>0</v>
      </c>
      <c r="E640">
        <v>1183.2851878787881</v>
      </c>
    </row>
    <row r="641" spans="1:5" x14ac:dyDescent="0.3">
      <c r="A641" s="12" t="s">
        <v>35</v>
      </c>
      <c r="B641" s="9">
        <v>38675.818751354513</v>
      </c>
      <c r="D641">
        <f t="shared" si="7"/>
        <v>0</v>
      </c>
      <c r="E641">
        <v>1184.9837414141409</v>
      </c>
    </row>
    <row r="642" spans="1:5" x14ac:dyDescent="0.3">
      <c r="A642" s="11" t="s">
        <v>35</v>
      </c>
      <c r="B642" s="8">
        <v>38581.091127067833</v>
      </c>
      <c r="D642">
        <f t="shared" si="7"/>
        <v>0</v>
      </c>
      <c r="E642">
        <v>1186.6822949494949</v>
      </c>
    </row>
    <row r="643" spans="1:5" x14ac:dyDescent="0.3">
      <c r="A643" s="12" t="s">
        <v>35</v>
      </c>
      <c r="B643" s="9">
        <v>38499.675047051838</v>
      </c>
      <c r="D643">
        <f t="shared" si="7"/>
        <v>0</v>
      </c>
      <c r="E643">
        <v>1188.380848484848</v>
      </c>
    </row>
    <row r="644" spans="1:5" x14ac:dyDescent="0.3">
      <c r="A644" s="11" t="s">
        <v>35</v>
      </c>
      <c r="B644" s="8">
        <v>38417.695133505396</v>
      </c>
      <c r="D644">
        <f t="shared" si="7"/>
        <v>0</v>
      </c>
      <c r="E644">
        <v>1190.079402020202</v>
      </c>
    </row>
    <row r="645" spans="1:5" x14ac:dyDescent="0.3">
      <c r="A645" s="12" t="s">
        <v>35</v>
      </c>
      <c r="B645" s="9">
        <v>38308.928966427702</v>
      </c>
      <c r="D645">
        <f t="shared" si="7"/>
        <v>0</v>
      </c>
      <c r="E645">
        <v>1191.777955555556</v>
      </c>
    </row>
    <row r="646" spans="1:5" x14ac:dyDescent="0.3">
      <c r="A646" s="11" t="s">
        <v>35</v>
      </c>
      <c r="B646" s="8">
        <v>38226.06608917204</v>
      </c>
      <c r="D646">
        <f t="shared" si="7"/>
        <v>0</v>
      </c>
      <c r="E646">
        <v>1193.4765090909091</v>
      </c>
    </row>
    <row r="647" spans="1:5" x14ac:dyDescent="0.3">
      <c r="A647" s="12" t="s">
        <v>35</v>
      </c>
      <c r="B647" s="9">
        <v>38143.535116938619</v>
      </c>
      <c r="D647">
        <f t="shared" si="7"/>
        <v>0</v>
      </c>
      <c r="E647">
        <v>1195.1750626262631</v>
      </c>
    </row>
    <row r="648" spans="1:5" x14ac:dyDescent="0.3">
      <c r="A648" s="11" t="s">
        <v>35</v>
      </c>
      <c r="B648" s="8">
        <v>38049.17787024987</v>
      </c>
      <c r="D648">
        <f t="shared" si="7"/>
        <v>0</v>
      </c>
      <c r="E648">
        <v>1196.8736161616159</v>
      </c>
    </row>
    <row r="649" spans="1:5" x14ac:dyDescent="0.3">
      <c r="A649" s="12" t="s">
        <v>35</v>
      </c>
      <c r="B649" s="9">
        <v>37953.978675504331</v>
      </c>
      <c r="D649">
        <f t="shared" si="7"/>
        <v>0</v>
      </c>
      <c r="E649">
        <v>1198.572169696969</v>
      </c>
    </row>
    <row r="650" spans="1:5" x14ac:dyDescent="0.3">
      <c r="A650" s="11" t="s">
        <v>35</v>
      </c>
      <c r="B650" s="8">
        <v>37857.981858675092</v>
      </c>
      <c r="D650">
        <f t="shared" si="7"/>
        <v>0</v>
      </c>
      <c r="E650">
        <v>1200.270723232323</v>
      </c>
    </row>
    <row r="651" spans="1:5" x14ac:dyDescent="0.3">
      <c r="A651" s="12" t="s">
        <v>35</v>
      </c>
      <c r="B651" s="9">
        <v>37776.139364264847</v>
      </c>
      <c r="D651">
        <f t="shared" si="7"/>
        <v>0</v>
      </c>
      <c r="E651">
        <v>1201.969276767677</v>
      </c>
    </row>
    <row r="652" spans="1:5" x14ac:dyDescent="0.3">
      <c r="A652" s="11" t="s">
        <v>35</v>
      </c>
      <c r="B652" s="8">
        <v>37667.097685359149</v>
      </c>
      <c r="D652">
        <f t="shared" si="7"/>
        <v>0</v>
      </c>
      <c r="E652">
        <v>1203.6678303030301</v>
      </c>
    </row>
    <row r="653" spans="1:5" x14ac:dyDescent="0.3">
      <c r="A653" s="12" t="s">
        <v>35</v>
      </c>
      <c r="B653" s="9">
        <v>37583.770989043951</v>
      </c>
      <c r="D653">
        <f t="shared" si="7"/>
        <v>0</v>
      </c>
      <c r="E653">
        <v>1205.3663838383841</v>
      </c>
    </row>
    <row r="654" spans="1:5" x14ac:dyDescent="0.3">
      <c r="A654" s="11" t="s">
        <v>35</v>
      </c>
      <c r="B654" s="8">
        <v>37474.650449642679</v>
      </c>
      <c r="D654">
        <f t="shared" si="7"/>
        <v>0</v>
      </c>
      <c r="E654">
        <v>1207.0649373737369</v>
      </c>
    </row>
    <row r="655" spans="1:5" x14ac:dyDescent="0.3">
      <c r="A655" s="12" t="s">
        <v>35</v>
      </c>
      <c r="B655" s="9">
        <v>37378.273597700158</v>
      </c>
      <c r="D655">
        <f t="shared" si="7"/>
        <v>0</v>
      </c>
      <c r="E655">
        <v>1208.7634909090909</v>
      </c>
    </row>
    <row r="656" spans="1:5" x14ac:dyDescent="0.3">
      <c r="A656" s="11" t="s">
        <v>35</v>
      </c>
      <c r="B656" s="8">
        <v>37282.413936683872</v>
      </c>
      <c r="D656">
        <f t="shared" si="7"/>
        <v>0</v>
      </c>
      <c r="E656">
        <v>1210.462044444444</v>
      </c>
    </row>
    <row r="657" spans="1:5" x14ac:dyDescent="0.3">
      <c r="A657" s="12" t="s">
        <v>35</v>
      </c>
      <c r="B657" s="9">
        <v>37199.520691316568</v>
      </c>
      <c r="D657">
        <f t="shared" si="7"/>
        <v>0</v>
      </c>
      <c r="E657">
        <v>1212.160597979798</v>
      </c>
    </row>
    <row r="658" spans="1:5" x14ac:dyDescent="0.3">
      <c r="A658" s="11" t="s">
        <v>35</v>
      </c>
      <c r="B658" s="8">
        <v>37118.153934333292</v>
      </c>
      <c r="D658">
        <f t="shared" si="7"/>
        <v>0</v>
      </c>
      <c r="E658">
        <v>1213.8591515151511</v>
      </c>
    </row>
    <row r="659" spans="1:5" x14ac:dyDescent="0.3">
      <c r="A659" s="12" t="s">
        <v>35</v>
      </c>
      <c r="B659" s="9">
        <v>37022.366657162609</v>
      </c>
      <c r="D659">
        <f t="shared" si="7"/>
        <v>0</v>
      </c>
      <c r="E659">
        <v>1215.5577050505051</v>
      </c>
    </row>
    <row r="660" spans="1:5" x14ac:dyDescent="0.3">
      <c r="A660" s="11" t="s">
        <v>35</v>
      </c>
      <c r="B660" s="8">
        <v>36939.731859091713</v>
      </c>
      <c r="D660">
        <f t="shared" si="7"/>
        <v>0</v>
      </c>
      <c r="E660">
        <v>1217.2562585858579</v>
      </c>
    </row>
    <row r="661" spans="1:5" x14ac:dyDescent="0.3">
      <c r="A661" s="12" t="s">
        <v>35</v>
      </c>
      <c r="B661" s="9">
        <v>36830.334807038409</v>
      </c>
      <c r="D661">
        <f t="shared" si="7"/>
        <v>0</v>
      </c>
      <c r="E661">
        <v>1218.9548121212119</v>
      </c>
    </row>
    <row r="662" spans="1:5" x14ac:dyDescent="0.3">
      <c r="A662" s="11" t="s">
        <v>35</v>
      </c>
      <c r="B662" s="8">
        <v>36760.557249782949</v>
      </c>
      <c r="D662">
        <f t="shared" si="7"/>
        <v>0</v>
      </c>
      <c r="E662">
        <v>1220.653365656565</v>
      </c>
    </row>
    <row r="663" spans="1:5" x14ac:dyDescent="0.3">
      <c r="A663" s="12" t="s">
        <v>35</v>
      </c>
      <c r="B663" s="9">
        <v>36677.82800889371</v>
      </c>
      <c r="D663">
        <f t="shared" si="7"/>
        <v>0</v>
      </c>
      <c r="E663">
        <v>1222.351919191919</v>
      </c>
    </row>
    <row r="664" spans="1:5" x14ac:dyDescent="0.3">
      <c r="A664" s="11" t="s">
        <v>35</v>
      </c>
      <c r="B664" s="8">
        <v>36568.312212521938</v>
      </c>
      <c r="D664">
        <f t="shared" si="7"/>
        <v>0</v>
      </c>
      <c r="E664">
        <v>1224.050472727273</v>
      </c>
    </row>
    <row r="665" spans="1:5" x14ac:dyDescent="0.3">
      <c r="A665" s="12" t="s">
        <v>35</v>
      </c>
      <c r="B665" s="9">
        <v>36473.916300090859</v>
      </c>
      <c r="D665">
        <f t="shared" si="7"/>
        <v>0</v>
      </c>
      <c r="E665">
        <v>1225.7490262626261</v>
      </c>
    </row>
    <row r="666" spans="1:5" x14ac:dyDescent="0.3">
      <c r="A666" s="11" t="s">
        <v>35</v>
      </c>
      <c r="B666" s="8">
        <v>36377.287326189587</v>
      </c>
      <c r="D666">
        <f t="shared" si="7"/>
        <v>0</v>
      </c>
      <c r="E666">
        <v>1227.4475797979801</v>
      </c>
    </row>
    <row r="667" spans="1:5" x14ac:dyDescent="0.3">
      <c r="A667" s="12" t="s">
        <v>35</v>
      </c>
      <c r="B667" s="9">
        <v>36293.595243020492</v>
      </c>
      <c r="D667">
        <f t="shared" si="7"/>
        <v>0</v>
      </c>
      <c r="E667">
        <v>1229.146133333333</v>
      </c>
    </row>
    <row r="668" spans="1:5" x14ac:dyDescent="0.3">
      <c r="A668" s="11" t="s">
        <v>35</v>
      </c>
      <c r="B668" s="8">
        <v>36183.920897528478</v>
      </c>
      <c r="D668">
        <f t="shared" si="7"/>
        <v>0</v>
      </c>
      <c r="E668">
        <v>1230.8446868686869</v>
      </c>
    </row>
    <row r="669" spans="1:5" x14ac:dyDescent="0.3">
      <c r="A669" s="12" t="s">
        <v>35</v>
      </c>
      <c r="B669" s="9">
        <v>36086.631874829633</v>
      </c>
      <c r="D669">
        <f t="shared" si="7"/>
        <v>0</v>
      </c>
      <c r="E669">
        <v>1232.54324040404</v>
      </c>
    </row>
    <row r="670" spans="1:5" x14ac:dyDescent="0.3">
      <c r="A670" s="11" t="s">
        <v>35</v>
      </c>
      <c r="B670" s="8">
        <v>36003.191992170017</v>
      </c>
      <c r="D670">
        <f t="shared" si="7"/>
        <v>0</v>
      </c>
      <c r="E670">
        <v>1234.241793939394</v>
      </c>
    </row>
    <row r="671" spans="1:5" x14ac:dyDescent="0.3">
      <c r="A671" s="12" t="s">
        <v>35</v>
      </c>
      <c r="B671" s="9">
        <v>35934.99777907622</v>
      </c>
      <c r="D671">
        <f t="shared" si="7"/>
        <v>0</v>
      </c>
      <c r="E671">
        <v>1235.9403474747469</v>
      </c>
    </row>
    <row r="672" spans="1:5" x14ac:dyDescent="0.3">
      <c r="A672" s="11" t="s">
        <v>35</v>
      </c>
      <c r="B672" s="8">
        <v>35825.164628836057</v>
      </c>
      <c r="D672">
        <f t="shared" si="7"/>
        <v>0</v>
      </c>
      <c r="E672">
        <v>1237.6389010101011</v>
      </c>
    </row>
    <row r="673" spans="1:5" x14ac:dyDescent="0.3">
      <c r="A673" s="12" t="s">
        <v>35</v>
      </c>
      <c r="B673" s="9">
        <v>35730.668163314163</v>
      </c>
      <c r="D673">
        <f t="shared" si="7"/>
        <v>0</v>
      </c>
      <c r="E673">
        <v>1239.337454545454</v>
      </c>
    </row>
    <row r="674" spans="1:5" x14ac:dyDescent="0.3">
      <c r="A674" s="11" t="s">
        <v>35</v>
      </c>
      <c r="B674" s="8">
        <v>35633.358313362442</v>
      </c>
      <c r="D674">
        <f t="shared" si="7"/>
        <v>0</v>
      </c>
      <c r="E674">
        <v>1241.036008080808</v>
      </c>
    </row>
    <row r="675" spans="1:5" x14ac:dyDescent="0.3">
      <c r="A675" s="12" t="s">
        <v>35</v>
      </c>
      <c r="B675" s="9">
        <v>35550.096269175338</v>
      </c>
      <c r="D675">
        <f t="shared" si="7"/>
        <v>0</v>
      </c>
      <c r="E675">
        <v>1242.734561616161</v>
      </c>
    </row>
    <row r="676" spans="1:5" x14ac:dyDescent="0.3">
      <c r="A676" s="11" t="s">
        <v>35</v>
      </c>
      <c r="B676" s="8">
        <v>35466.648963947613</v>
      </c>
      <c r="D676">
        <f t="shared" si="7"/>
        <v>0</v>
      </c>
      <c r="E676">
        <v>1244.433115151515</v>
      </c>
    </row>
    <row r="677" spans="1:5" x14ac:dyDescent="0.3">
      <c r="A677" s="12" t="s">
        <v>35</v>
      </c>
      <c r="B677" s="9">
        <v>35369.956750152531</v>
      </c>
      <c r="D677">
        <f t="shared" si="7"/>
        <v>0</v>
      </c>
      <c r="E677">
        <v>1246.131668686869</v>
      </c>
    </row>
    <row r="678" spans="1:5" x14ac:dyDescent="0.3">
      <c r="A678" s="11" t="s">
        <v>35</v>
      </c>
      <c r="B678" s="8">
        <v>35287.402832250358</v>
      </c>
      <c r="D678">
        <f t="shared" si="7"/>
        <v>0</v>
      </c>
      <c r="E678">
        <v>1247.8302222222219</v>
      </c>
    </row>
    <row r="679" spans="1:5" x14ac:dyDescent="0.3">
      <c r="A679" s="12" t="s">
        <v>35</v>
      </c>
      <c r="B679" s="9">
        <v>35177.291157427702</v>
      </c>
      <c r="D679">
        <f t="shared" ref="D679:D742" si="8">IF(IFERROR(FIND("1",A679,1),ERROR.TYPE(#VALUE!))=ERROR.TYPE(#VALUE!),$M$2,$M$1)</f>
        <v>0</v>
      </c>
      <c r="E679">
        <v>1249.5287757575761</v>
      </c>
    </row>
    <row r="680" spans="1:5" x14ac:dyDescent="0.3">
      <c r="A680" s="11" t="s">
        <v>35</v>
      </c>
      <c r="B680" s="8">
        <v>35067.139629253317</v>
      </c>
      <c r="D680">
        <f t="shared" si="8"/>
        <v>0</v>
      </c>
      <c r="E680">
        <v>1251.227329292929</v>
      </c>
    </row>
    <row r="681" spans="1:5" x14ac:dyDescent="0.3">
      <c r="A681" s="12" t="s">
        <v>35</v>
      </c>
      <c r="B681" s="9">
        <v>34982.702636572707</v>
      </c>
      <c r="D681">
        <f t="shared" si="8"/>
        <v>0</v>
      </c>
      <c r="E681">
        <v>1252.925882828283</v>
      </c>
    </row>
    <row r="682" spans="1:5" x14ac:dyDescent="0.3">
      <c r="A682" s="11" t="s">
        <v>35</v>
      </c>
      <c r="B682" s="8">
        <v>34898.42704522721</v>
      </c>
      <c r="D682">
        <f t="shared" si="8"/>
        <v>0</v>
      </c>
      <c r="E682">
        <v>1254.6244363636361</v>
      </c>
    </row>
    <row r="683" spans="1:5" x14ac:dyDescent="0.3">
      <c r="A683" s="12" t="s">
        <v>35</v>
      </c>
      <c r="B683" s="9">
        <v>34815.443883875698</v>
      </c>
      <c r="D683">
        <f t="shared" si="8"/>
        <v>0</v>
      </c>
      <c r="E683">
        <v>1256.32298989899</v>
      </c>
    </row>
    <row r="684" spans="1:5" x14ac:dyDescent="0.3">
      <c r="A684" s="11" t="s">
        <v>35</v>
      </c>
      <c r="B684" s="8">
        <v>34705.132781737397</v>
      </c>
      <c r="D684">
        <f t="shared" si="8"/>
        <v>0</v>
      </c>
      <c r="E684">
        <v>1258.0215434343429</v>
      </c>
    </row>
    <row r="685" spans="1:5" x14ac:dyDescent="0.3">
      <c r="A685" s="12" t="s">
        <v>35</v>
      </c>
      <c r="B685" s="9">
        <v>34607.564887480054</v>
      </c>
      <c r="D685">
        <f t="shared" si="8"/>
        <v>0</v>
      </c>
      <c r="E685">
        <v>1259.7200969696969</v>
      </c>
    </row>
    <row r="686" spans="1:5" x14ac:dyDescent="0.3">
      <c r="A686" s="11" t="s">
        <v>35</v>
      </c>
      <c r="B686" s="8">
        <v>34511.094605923106</v>
      </c>
      <c r="D686">
        <f t="shared" si="8"/>
        <v>0</v>
      </c>
      <c r="E686">
        <v>1261.41865050505</v>
      </c>
    </row>
    <row r="687" spans="1:5" x14ac:dyDescent="0.3">
      <c r="A687" s="12" t="s">
        <v>35</v>
      </c>
      <c r="B687" s="9">
        <v>34414.00345700563</v>
      </c>
      <c r="D687">
        <f t="shared" si="8"/>
        <v>0</v>
      </c>
      <c r="E687">
        <v>1263.117204040404</v>
      </c>
    </row>
    <row r="688" spans="1:5" x14ac:dyDescent="0.3">
      <c r="A688" s="11" t="s">
        <v>35</v>
      </c>
      <c r="B688" s="8">
        <v>34342.284634865107</v>
      </c>
      <c r="D688">
        <f t="shared" si="8"/>
        <v>0</v>
      </c>
      <c r="E688">
        <v>1264.815757575758</v>
      </c>
    </row>
    <row r="689" spans="1:5" x14ac:dyDescent="0.3">
      <c r="A689" s="12" t="s">
        <v>35</v>
      </c>
      <c r="B689" s="9">
        <v>34231.773703560393</v>
      </c>
      <c r="D689">
        <f t="shared" si="8"/>
        <v>0</v>
      </c>
      <c r="E689">
        <v>1266.5143111111111</v>
      </c>
    </row>
    <row r="690" spans="1:5" x14ac:dyDescent="0.3">
      <c r="A690" s="11" t="s">
        <v>35</v>
      </c>
      <c r="B690" s="8">
        <v>34149.319993445999</v>
      </c>
      <c r="D690">
        <f t="shared" si="8"/>
        <v>0</v>
      </c>
      <c r="E690">
        <v>1268.2128646464651</v>
      </c>
    </row>
    <row r="691" spans="1:5" x14ac:dyDescent="0.3">
      <c r="A691" s="12" t="s">
        <v>35</v>
      </c>
      <c r="B691" s="9">
        <v>34067.291541590334</v>
      </c>
      <c r="D691">
        <f t="shared" si="8"/>
        <v>0</v>
      </c>
      <c r="E691">
        <v>1269.9114181818179</v>
      </c>
    </row>
    <row r="692" spans="1:5" x14ac:dyDescent="0.3">
      <c r="A692" s="11" t="s">
        <v>35</v>
      </c>
      <c r="B692" s="8">
        <v>33956.660519580037</v>
      </c>
      <c r="D692">
        <f t="shared" si="8"/>
        <v>0</v>
      </c>
      <c r="E692">
        <v>1271.6099717171719</v>
      </c>
    </row>
    <row r="693" spans="1:5" x14ac:dyDescent="0.3">
      <c r="A693" s="12" t="s">
        <v>35</v>
      </c>
      <c r="B693" s="9">
        <v>33900.950075841371</v>
      </c>
      <c r="D693">
        <f t="shared" si="8"/>
        <v>0</v>
      </c>
      <c r="E693">
        <v>1273.308525252525</v>
      </c>
    </row>
    <row r="694" spans="1:5" x14ac:dyDescent="0.3">
      <c r="A694" s="11" t="s">
        <v>35</v>
      </c>
      <c r="B694" s="8">
        <v>33802.841711400302</v>
      </c>
      <c r="D694">
        <f t="shared" si="8"/>
        <v>0</v>
      </c>
      <c r="E694">
        <v>1275.007078787879</v>
      </c>
    </row>
    <row r="695" spans="1:5" x14ac:dyDescent="0.3">
      <c r="A695" s="12" t="s">
        <v>35</v>
      </c>
      <c r="B695" s="9">
        <v>33704.515453578417</v>
      </c>
      <c r="D695">
        <f t="shared" si="8"/>
        <v>0</v>
      </c>
      <c r="E695">
        <v>1276.7056323232321</v>
      </c>
    </row>
    <row r="696" spans="1:5" x14ac:dyDescent="0.3">
      <c r="A696" s="11" t="s">
        <v>35</v>
      </c>
      <c r="B696" s="8">
        <v>33593.724084878217</v>
      </c>
      <c r="D696">
        <f t="shared" si="8"/>
        <v>0</v>
      </c>
      <c r="E696">
        <v>1278.4041858585861</v>
      </c>
    </row>
    <row r="697" spans="1:5" x14ac:dyDescent="0.3">
      <c r="A697" s="12" t="s">
        <v>35</v>
      </c>
      <c r="B697" s="9">
        <v>33496.232391601377</v>
      </c>
      <c r="D697">
        <f t="shared" si="8"/>
        <v>0</v>
      </c>
      <c r="E697">
        <v>1280.1027393939389</v>
      </c>
    </row>
    <row r="698" spans="1:5" x14ac:dyDescent="0.3">
      <c r="A698" s="11" t="s">
        <v>35</v>
      </c>
      <c r="B698" s="8">
        <v>33385.360752696572</v>
      </c>
      <c r="D698">
        <f t="shared" si="8"/>
        <v>0</v>
      </c>
      <c r="E698">
        <v>1281.8012929292929</v>
      </c>
    </row>
    <row r="699" spans="1:5" x14ac:dyDescent="0.3">
      <c r="A699" s="12" t="s">
        <v>35</v>
      </c>
      <c r="B699" s="9">
        <v>33287.600560704239</v>
      </c>
      <c r="D699">
        <f t="shared" si="8"/>
        <v>0</v>
      </c>
      <c r="E699">
        <v>1283.499846464646</v>
      </c>
    </row>
    <row r="700" spans="1:5" x14ac:dyDescent="0.3">
      <c r="A700" s="11" t="s">
        <v>35</v>
      </c>
      <c r="B700" s="8">
        <v>33216.318497582928</v>
      </c>
      <c r="D700">
        <f t="shared" si="8"/>
        <v>0</v>
      </c>
      <c r="E700">
        <v>1285.1984</v>
      </c>
    </row>
    <row r="701" spans="1:5" x14ac:dyDescent="0.3">
      <c r="A701" s="12" t="s">
        <v>36</v>
      </c>
      <c r="B701" s="9">
        <v>28723.707876243428</v>
      </c>
      <c r="D701">
        <f t="shared" si="8"/>
        <v>0</v>
      </c>
      <c r="E701">
        <v>1117.0416</v>
      </c>
    </row>
    <row r="702" spans="1:5" x14ac:dyDescent="0.3">
      <c r="A702" s="11" t="s">
        <v>36</v>
      </c>
      <c r="B702" s="8">
        <v>28616.185571727281</v>
      </c>
      <c r="D702">
        <f t="shared" si="8"/>
        <v>0</v>
      </c>
      <c r="E702">
        <v>1118.7401535353531</v>
      </c>
    </row>
    <row r="703" spans="1:5" x14ac:dyDescent="0.3">
      <c r="A703" s="12" t="s">
        <v>36</v>
      </c>
      <c r="B703" s="9">
        <v>28547.739836330871</v>
      </c>
      <c r="D703">
        <f t="shared" si="8"/>
        <v>0</v>
      </c>
      <c r="E703">
        <v>1120.4387070707071</v>
      </c>
    </row>
    <row r="704" spans="1:5" x14ac:dyDescent="0.3">
      <c r="A704" s="11" t="s">
        <v>36</v>
      </c>
      <c r="B704" s="8">
        <v>28454.060603179008</v>
      </c>
      <c r="D704">
        <f t="shared" si="8"/>
        <v>0</v>
      </c>
      <c r="E704">
        <v>1122.13726060606</v>
      </c>
    </row>
    <row r="705" spans="1:5" x14ac:dyDescent="0.3">
      <c r="A705" s="12" t="s">
        <v>36</v>
      </c>
      <c r="B705" s="9">
        <v>28359.204967794041</v>
      </c>
      <c r="D705">
        <f t="shared" si="8"/>
        <v>0</v>
      </c>
      <c r="E705">
        <v>1123.8358141414139</v>
      </c>
    </row>
    <row r="706" spans="1:5" x14ac:dyDescent="0.3">
      <c r="A706" s="11" t="s">
        <v>36</v>
      </c>
      <c r="B706" s="8">
        <v>28265.058027100142</v>
      </c>
      <c r="D706">
        <f t="shared" si="8"/>
        <v>0</v>
      </c>
      <c r="E706">
        <v>1125.534367676767</v>
      </c>
    </row>
    <row r="707" spans="1:5" x14ac:dyDescent="0.3">
      <c r="A707" s="12" t="s">
        <v>36</v>
      </c>
      <c r="B707" s="9">
        <v>28157.341523596409</v>
      </c>
      <c r="D707">
        <f t="shared" si="8"/>
        <v>0</v>
      </c>
      <c r="E707">
        <v>1127.232921212121</v>
      </c>
    </row>
    <row r="708" spans="1:5" x14ac:dyDescent="0.3">
      <c r="A708" s="11" t="s">
        <v>36</v>
      </c>
      <c r="B708" s="8">
        <v>28062.188931940011</v>
      </c>
      <c r="D708">
        <f t="shared" si="8"/>
        <v>0</v>
      </c>
      <c r="E708">
        <v>1128.931474747475</v>
      </c>
    </row>
    <row r="709" spans="1:5" x14ac:dyDescent="0.3">
      <c r="A709" s="12" t="s">
        <v>36</v>
      </c>
      <c r="B709" s="9">
        <v>27954.39463916139</v>
      </c>
      <c r="D709">
        <f t="shared" si="8"/>
        <v>0</v>
      </c>
      <c r="E709">
        <v>1130.6300282828281</v>
      </c>
    </row>
    <row r="710" spans="1:5" x14ac:dyDescent="0.3">
      <c r="A710" s="11" t="s">
        <v>36</v>
      </c>
      <c r="B710" s="8">
        <v>27872.326230667451</v>
      </c>
      <c r="D710">
        <f t="shared" si="8"/>
        <v>0</v>
      </c>
      <c r="E710">
        <v>1132.3285818181821</v>
      </c>
    </row>
    <row r="711" spans="1:5" x14ac:dyDescent="0.3">
      <c r="A711" s="12" t="s">
        <v>36</v>
      </c>
      <c r="B711" s="9">
        <v>27792.765189396308</v>
      </c>
      <c r="D711">
        <f t="shared" si="8"/>
        <v>0</v>
      </c>
      <c r="E711">
        <v>1134.027135353535</v>
      </c>
    </row>
    <row r="712" spans="1:5" x14ac:dyDescent="0.3">
      <c r="A712" s="11" t="s">
        <v>36</v>
      </c>
      <c r="B712" s="8">
        <v>27697.820160143368</v>
      </c>
      <c r="D712">
        <f t="shared" si="8"/>
        <v>0</v>
      </c>
      <c r="E712">
        <v>1135.725688888889</v>
      </c>
    </row>
    <row r="713" spans="1:5" x14ac:dyDescent="0.3">
      <c r="A713" s="12" t="s">
        <v>36</v>
      </c>
      <c r="B713" s="9">
        <v>27602.65324207181</v>
      </c>
      <c r="D713">
        <f t="shared" si="8"/>
        <v>0</v>
      </c>
      <c r="E713">
        <v>1137.424242424242</v>
      </c>
    </row>
    <row r="714" spans="1:5" x14ac:dyDescent="0.3">
      <c r="A714" s="11" t="s">
        <v>36</v>
      </c>
      <c r="B714" s="8">
        <v>27494.664201489119</v>
      </c>
      <c r="D714">
        <f t="shared" si="8"/>
        <v>0</v>
      </c>
      <c r="E714">
        <v>1139.122795959596</v>
      </c>
    </row>
    <row r="715" spans="1:5" x14ac:dyDescent="0.3">
      <c r="A715" s="12" t="s">
        <v>36</v>
      </c>
      <c r="B715" s="9">
        <v>27428.506550024918</v>
      </c>
      <c r="D715">
        <f t="shared" si="8"/>
        <v>0</v>
      </c>
      <c r="E715">
        <v>1140.8213494949489</v>
      </c>
    </row>
    <row r="716" spans="1:5" x14ac:dyDescent="0.3">
      <c r="A716" s="11" t="s">
        <v>36</v>
      </c>
      <c r="B716" s="8">
        <v>27360.70871862871</v>
      </c>
      <c r="D716">
        <f t="shared" si="8"/>
        <v>0</v>
      </c>
      <c r="E716">
        <v>1142.5199030303031</v>
      </c>
    </row>
    <row r="717" spans="1:5" x14ac:dyDescent="0.3">
      <c r="A717" s="12" t="s">
        <v>36</v>
      </c>
      <c r="B717" s="9">
        <v>27283.383434111729</v>
      </c>
      <c r="D717">
        <f t="shared" si="8"/>
        <v>0</v>
      </c>
      <c r="E717">
        <v>1144.218456565656</v>
      </c>
    </row>
    <row r="718" spans="1:5" x14ac:dyDescent="0.3">
      <c r="A718" s="11" t="s">
        <v>36</v>
      </c>
      <c r="B718" s="8">
        <v>27188.769004117519</v>
      </c>
      <c r="D718">
        <f t="shared" si="8"/>
        <v>0</v>
      </c>
      <c r="E718">
        <v>1145.91701010101</v>
      </c>
    </row>
    <row r="719" spans="1:5" x14ac:dyDescent="0.3">
      <c r="A719" s="12" t="s">
        <v>36</v>
      </c>
      <c r="B719" s="9">
        <v>27109.032428548209</v>
      </c>
      <c r="D719">
        <f t="shared" si="8"/>
        <v>0</v>
      </c>
      <c r="E719">
        <v>1147.615563636364</v>
      </c>
    </row>
    <row r="720" spans="1:5" x14ac:dyDescent="0.3">
      <c r="A720" s="11" t="s">
        <v>36</v>
      </c>
      <c r="B720" s="8">
        <v>27040.266645702832</v>
      </c>
      <c r="D720">
        <f t="shared" si="8"/>
        <v>0</v>
      </c>
      <c r="E720">
        <v>1149.314117171717</v>
      </c>
    </row>
    <row r="721" spans="1:5" x14ac:dyDescent="0.3">
      <c r="A721" s="12" t="s">
        <v>36</v>
      </c>
      <c r="B721" s="9">
        <v>26944.78743949045</v>
      </c>
      <c r="D721">
        <f t="shared" si="8"/>
        <v>0</v>
      </c>
      <c r="E721">
        <v>1151.012670707071</v>
      </c>
    </row>
    <row r="722" spans="1:5" x14ac:dyDescent="0.3">
      <c r="A722" s="11" t="s">
        <v>36</v>
      </c>
      <c r="B722" s="8">
        <v>26849.088783513482</v>
      </c>
      <c r="D722">
        <f t="shared" si="8"/>
        <v>0</v>
      </c>
      <c r="E722">
        <v>1152.7112242424239</v>
      </c>
    </row>
    <row r="723" spans="1:5" x14ac:dyDescent="0.3">
      <c r="A723" s="12" t="s">
        <v>36</v>
      </c>
      <c r="B723" s="9">
        <v>26753.173206262869</v>
      </c>
      <c r="D723">
        <f t="shared" si="8"/>
        <v>0</v>
      </c>
      <c r="E723">
        <v>1154.4097777777779</v>
      </c>
    </row>
    <row r="724" spans="1:5" x14ac:dyDescent="0.3">
      <c r="A724" s="11" t="s">
        <v>36</v>
      </c>
      <c r="B724" s="8">
        <v>26644.793490612781</v>
      </c>
      <c r="D724">
        <f t="shared" si="8"/>
        <v>0</v>
      </c>
      <c r="E724">
        <v>1156.108331313131</v>
      </c>
    </row>
    <row r="725" spans="1:5" x14ac:dyDescent="0.3">
      <c r="A725" s="12" t="s">
        <v>36</v>
      </c>
      <c r="B725" s="9">
        <v>26536.374620786981</v>
      </c>
      <c r="D725">
        <f t="shared" si="8"/>
        <v>0</v>
      </c>
      <c r="E725">
        <v>1157.806884848485</v>
      </c>
    </row>
    <row r="726" spans="1:5" x14ac:dyDescent="0.3">
      <c r="A726" s="11" t="s">
        <v>36</v>
      </c>
      <c r="B726" s="8">
        <v>26427.916581003599</v>
      </c>
      <c r="D726">
        <f t="shared" si="8"/>
        <v>0</v>
      </c>
      <c r="E726">
        <v>1159.5054383838381</v>
      </c>
    </row>
    <row r="727" spans="1:5" x14ac:dyDescent="0.3">
      <c r="A727" s="12" t="s">
        <v>36</v>
      </c>
      <c r="B727" s="9">
        <v>26319.4193554749</v>
      </c>
      <c r="D727">
        <f t="shared" si="8"/>
        <v>0</v>
      </c>
      <c r="E727">
        <v>1161.203991919192</v>
      </c>
    </row>
    <row r="728" spans="1:5" x14ac:dyDescent="0.3">
      <c r="A728" s="11" t="s">
        <v>36</v>
      </c>
      <c r="B728" s="8">
        <v>26223.666069948729</v>
      </c>
      <c r="D728">
        <f t="shared" si="8"/>
        <v>0</v>
      </c>
      <c r="E728">
        <v>1162.9025454545449</v>
      </c>
    </row>
    <row r="729" spans="1:5" x14ac:dyDescent="0.3">
      <c r="A729" s="12" t="s">
        <v>36</v>
      </c>
      <c r="B729" s="9">
        <v>26180.33929347606</v>
      </c>
      <c r="D729">
        <f t="shared" si="8"/>
        <v>0</v>
      </c>
      <c r="E729">
        <v>1164.6010989898989</v>
      </c>
    </row>
    <row r="730" spans="1:5" x14ac:dyDescent="0.3">
      <c r="A730" s="11" t="s">
        <v>36</v>
      </c>
      <c r="B730" s="8">
        <v>26084.876022175511</v>
      </c>
      <c r="D730">
        <f t="shared" si="8"/>
        <v>0</v>
      </c>
      <c r="E730">
        <v>1166.299652525252</v>
      </c>
    </row>
    <row r="731" spans="1:5" x14ac:dyDescent="0.3">
      <c r="A731" s="12" t="s">
        <v>36</v>
      </c>
      <c r="B731" s="9">
        <v>25989.561698115729</v>
      </c>
      <c r="D731">
        <f t="shared" si="8"/>
        <v>0</v>
      </c>
      <c r="E731">
        <v>1167.998206060606</v>
      </c>
    </row>
    <row r="732" spans="1:5" x14ac:dyDescent="0.3">
      <c r="A732" s="11" t="s">
        <v>36</v>
      </c>
      <c r="B732" s="8">
        <v>25880.86830683213</v>
      </c>
      <c r="D732">
        <f t="shared" si="8"/>
        <v>0</v>
      </c>
      <c r="E732">
        <v>1169.69675959596</v>
      </c>
    </row>
    <row r="733" spans="1:5" x14ac:dyDescent="0.3">
      <c r="A733" s="12" t="s">
        <v>36</v>
      </c>
      <c r="B733" s="9">
        <v>25800.176244710401</v>
      </c>
      <c r="D733">
        <f t="shared" si="8"/>
        <v>0</v>
      </c>
      <c r="E733">
        <v>1171.3953131313131</v>
      </c>
    </row>
    <row r="734" spans="1:5" x14ac:dyDescent="0.3">
      <c r="A734" s="11" t="s">
        <v>36</v>
      </c>
      <c r="B734" s="8">
        <v>25691.404276400801</v>
      </c>
      <c r="D734">
        <f t="shared" si="8"/>
        <v>0</v>
      </c>
      <c r="E734">
        <v>1173.0938666666671</v>
      </c>
    </row>
    <row r="735" spans="1:5" x14ac:dyDescent="0.3">
      <c r="A735" s="12" t="s">
        <v>36</v>
      </c>
      <c r="B735" s="9">
        <v>25609.339953924911</v>
      </c>
      <c r="D735">
        <f t="shared" si="8"/>
        <v>0</v>
      </c>
      <c r="E735">
        <v>1174.7924202020199</v>
      </c>
    </row>
    <row r="736" spans="1:5" x14ac:dyDescent="0.3">
      <c r="A736" s="11" t="s">
        <v>36</v>
      </c>
      <c r="B736" s="8">
        <v>25525.87528542944</v>
      </c>
      <c r="D736">
        <f t="shared" si="8"/>
        <v>0</v>
      </c>
      <c r="E736">
        <v>1176.4909737373739</v>
      </c>
    </row>
    <row r="737" spans="1:5" x14ac:dyDescent="0.3">
      <c r="A737" s="12" t="s">
        <v>36</v>
      </c>
      <c r="B737" s="9">
        <v>25429.951397896031</v>
      </c>
      <c r="D737">
        <f t="shared" si="8"/>
        <v>0</v>
      </c>
      <c r="E737">
        <v>1178.189527272727</v>
      </c>
    </row>
    <row r="738" spans="1:5" x14ac:dyDescent="0.3">
      <c r="A738" s="11" t="s">
        <v>36</v>
      </c>
      <c r="B738" s="8">
        <v>25321.022085453311</v>
      </c>
      <c r="D738">
        <f t="shared" si="8"/>
        <v>0</v>
      </c>
      <c r="E738">
        <v>1179.888080808081</v>
      </c>
    </row>
    <row r="739" spans="1:5" x14ac:dyDescent="0.3">
      <c r="A739" s="12" t="s">
        <v>36</v>
      </c>
      <c r="B739" s="9">
        <v>25225.20500359423</v>
      </c>
      <c r="D739">
        <f t="shared" si="8"/>
        <v>0</v>
      </c>
      <c r="E739">
        <v>1181.5866343434341</v>
      </c>
    </row>
    <row r="740" spans="1:5" x14ac:dyDescent="0.3">
      <c r="A740" s="11" t="s">
        <v>36</v>
      </c>
      <c r="B740" s="8">
        <v>25116.19692394997</v>
      </c>
      <c r="D740">
        <f t="shared" si="8"/>
        <v>0</v>
      </c>
      <c r="E740">
        <v>1183.2851878787881</v>
      </c>
    </row>
    <row r="741" spans="1:5" x14ac:dyDescent="0.3">
      <c r="A741" s="12" t="s">
        <v>36</v>
      </c>
      <c r="B741" s="9">
        <v>25034.019931035898</v>
      </c>
      <c r="D741">
        <f t="shared" si="8"/>
        <v>0</v>
      </c>
      <c r="E741">
        <v>1184.9837414141409</v>
      </c>
    </row>
    <row r="742" spans="1:5" x14ac:dyDescent="0.3">
      <c r="A742" s="11" t="s">
        <v>36</v>
      </c>
      <c r="B742" s="8">
        <v>24965.60923494336</v>
      </c>
      <c r="D742">
        <f t="shared" si="8"/>
        <v>0</v>
      </c>
      <c r="E742">
        <v>1186.6822949494949</v>
      </c>
    </row>
    <row r="743" spans="1:5" x14ac:dyDescent="0.3">
      <c r="A743" s="12" t="s">
        <v>36</v>
      </c>
      <c r="B743" s="9">
        <v>24883.820462156731</v>
      </c>
      <c r="D743">
        <f t="shared" ref="D743:D800" si="9">IF(IFERROR(FIND("1",A743,1),ERROR.TYPE(#VALUE!))=ERROR.TYPE(#VALUE!),$M$2,$M$1)</f>
        <v>0</v>
      </c>
      <c r="E743">
        <v>1188.380848484848</v>
      </c>
    </row>
    <row r="744" spans="1:5" x14ac:dyDescent="0.3">
      <c r="A744" s="11" t="s">
        <v>36</v>
      </c>
      <c r="B744" s="8">
        <v>24787.437799139301</v>
      </c>
      <c r="D744">
        <f t="shared" si="9"/>
        <v>0</v>
      </c>
      <c r="E744">
        <v>1190.079402020202</v>
      </c>
    </row>
    <row r="745" spans="1:5" x14ac:dyDescent="0.3">
      <c r="A745" s="12" t="s">
        <v>36</v>
      </c>
      <c r="B745" s="9">
        <v>24678.23252362635</v>
      </c>
      <c r="D745">
        <f t="shared" si="9"/>
        <v>0</v>
      </c>
      <c r="E745">
        <v>1191.777955555556</v>
      </c>
    </row>
    <row r="746" spans="1:5" x14ac:dyDescent="0.3">
      <c r="A746" s="11" t="s">
        <v>36</v>
      </c>
      <c r="B746" s="8">
        <v>24581.953826359131</v>
      </c>
      <c r="D746">
        <f t="shared" si="9"/>
        <v>0</v>
      </c>
      <c r="E746">
        <v>1193.4765090909091</v>
      </c>
    </row>
    <row r="747" spans="1:5" x14ac:dyDescent="0.3">
      <c r="A747" s="12" t="s">
        <v>36</v>
      </c>
      <c r="B747" s="9">
        <v>24487.61519028851</v>
      </c>
      <c r="D747">
        <f t="shared" si="9"/>
        <v>0</v>
      </c>
      <c r="E747">
        <v>1195.1750626262631</v>
      </c>
    </row>
    <row r="748" spans="1:5" x14ac:dyDescent="0.3">
      <c r="A748" s="11" t="s">
        <v>36</v>
      </c>
      <c r="B748" s="8">
        <v>24417.788716712381</v>
      </c>
      <c r="D748">
        <f t="shared" si="9"/>
        <v>0</v>
      </c>
      <c r="E748">
        <v>1196.8736161616159</v>
      </c>
    </row>
    <row r="749" spans="1:5" x14ac:dyDescent="0.3">
      <c r="A749" s="12" t="s">
        <v>36</v>
      </c>
      <c r="B749" s="9">
        <v>24308.42539830309</v>
      </c>
      <c r="D749">
        <f t="shared" si="9"/>
        <v>0</v>
      </c>
      <c r="E749">
        <v>1198.572169696969</v>
      </c>
    </row>
    <row r="750" spans="1:5" x14ac:dyDescent="0.3">
      <c r="A750" s="11" t="s">
        <v>36</v>
      </c>
      <c r="B750" s="8">
        <v>24225.745233790221</v>
      </c>
      <c r="D750">
        <f t="shared" si="9"/>
        <v>0</v>
      </c>
      <c r="E750">
        <v>1200.270723232323</v>
      </c>
    </row>
    <row r="751" spans="1:5" x14ac:dyDescent="0.3">
      <c r="A751" s="12" t="s">
        <v>36</v>
      </c>
      <c r="B751" s="9">
        <v>24157.585239667049</v>
      </c>
      <c r="D751">
        <f t="shared" si="9"/>
        <v>0</v>
      </c>
      <c r="E751">
        <v>1201.969276767677</v>
      </c>
    </row>
    <row r="752" spans="1:5" x14ac:dyDescent="0.3">
      <c r="A752" s="11" t="s">
        <v>36</v>
      </c>
      <c r="B752" s="8">
        <v>24063.479647774049</v>
      </c>
      <c r="D752">
        <f t="shared" si="9"/>
        <v>0</v>
      </c>
      <c r="E752">
        <v>1203.6678303030301</v>
      </c>
    </row>
    <row r="753" spans="1:5" x14ac:dyDescent="0.3">
      <c r="A753" s="12" t="s">
        <v>36</v>
      </c>
      <c r="B753" s="9">
        <v>23967.48872333558</v>
      </c>
      <c r="D753">
        <f t="shared" si="9"/>
        <v>0</v>
      </c>
      <c r="E753">
        <v>1205.3663838383841</v>
      </c>
    </row>
    <row r="754" spans="1:5" x14ac:dyDescent="0.3">
      <c r="A754" s="11" t="s">
        <v>36</v>
      </c>
      <c r="B754" s="8">
        <v>23897.640516120071</v>
      </c>
      <c r="D754">
        <f t="shared" si="9"/>
        <v>0</v>
      </c>
      <c r="E754">
        <v>1207.0649373737369</v>
      </c>
    </row>
    <row r="755" spans="1:5" x14ac:dyDescent="0.3">
      <c r="A755" s="12" t="s">
        <v>36</v>
      </c>
      <c r="B755" s="9">
        <v>23801.763967960502</v>
      </c>
      <c r="D755">
        <f t="shared" si="9"/>
        <v>0</v>
      </c>
      <c r="E755">
        <v>1208.7634909090909</v>
      </c>
    </row>
    <row r="756" spans="1:5" x14ac:dyDescent="0.3">
      <c r="A756" s="11" t="s">
        <v>36</v>
      </c>
      <c r="B756" s="8">
        <v>23692.123461089479</v>
      </c>
      <c r="D756">
        <f t="shared" si="9"/>
        <v>0</v>
      </c>
      <c r="E756">
        <v>1210.462044444444</v>
      </c>
    </row>
    <row r="757" spans="1:5" x14ac:dyDescent="0.3">
      <c r="A757" s="12" t="s">
        <v>36</v>
      </c>
      <c r="B757" s="9">
        <v>23595.0460906845</v>
      </c>
      <c r="D757">
        <f t="shared" si="9"/>
        <v>0</v>
      </c>
      <c r="E757">
        <v>1212.160597979798</v>
      </c>
    </row>
    <row r="758" spans="1:5" x14ac:dyDescent="0.3">
      <c r="A758" s="11" t="s">
        <v>36</v>
      </c>
      <c r="B758" s="8">
        <v>23498.477849734802</v>
      </c>
      <c r="D758">
        <f t="shared" si="9"/>
        <v>0</v>
      </c>
      <c r="E758">
        <v>1213.8591515151511</v>
      </c>
    </row>
    <row r="759" spans="1:5" x14ac:dyDescent="0.3">
      <c r="A759" s="12" t="s">
        <v>36</v>
      </c>
      <c r="B759" s="9">
        <v>23401.50144994225</v>
      </c>
      <c r="D759">
        <f t="shared" si="9"/>
        <v>0</v>
      </c>
      <c r="E759">
        <v>1215.5577050505051</v>
      </c>
    </row>
    <row r="760" spans="1:5" x14ac:dyDescent="0.3">
      <c r="A760" s="11" t="s">
        <v>36</v>
      </c>
      <c r="B760" s="8">
        <v>23307.29865719155</v>
      </c>
      <c r="D760">
        <f t="shared" si="9"/>
        <v>0</v>
      </c>
      <c r="E760">
        <v>1217.2562585858579</v>
      </c>
    </row>
    <row r="761" spans="1:5" x14ac:dyDescent="0.3">
      <c r="A761" s="12" t="s">
        <v>36</v>
      </c>
      <c r="B761" s="9">
        <v>23209.884679625651</v>
      </c>
      <c r="D761">
        <f t="shared" si="9"/>
        <v>0</v>
      </c>
      <c r="E761">
        <v>1218.9548121212119</v>
      </c>
    </row>
    <row r="762" spans="1:5" x14ac:dyDescent="0.3">
      <c r="A762" s="11" t="s">
        <v>36</v>
      </c>
      <c r="B762" s="8">
        <v>23126.311827497571</v>
      </c>
      <c r="D762">
        <f t="shared" si="9"/>
        <v>0</v>
      </c>
      <c r="E762">
        <v>1220.653365656565</v>
      </c>
    </row>
    <row r="763" spans="1:5" x14ac:dyDescent="0.3">
      <c r="A763" s="12" t="s">
        <v>36</v>
      </c>
      <c r="B763" s="9">
        <v>23030.314053685819</v>
      </c>
      <c r="D763">
        <f t="shared" si="9"/>
        <v>0</v>
      </c>
      <c r="E763">
        <v>1222.351919191919</v>
      </c>
    </row>
    <row r="764" spans="1:5" x14ac:dyDescent="0.3">
      <c r="A764" s="11" t="s">
        <v>36</v>
      </c>
      <c r="B764" s="8">
        <v>22961.01619383266</v>
      </c>
      <c r="D764">
        <f t="shared" si="9"/>
        <v>0</v>
      </c>
      <c r="E764">
        <v>1224.050472727273</v>
      </c>
    </row>
    <row r="765" spans="1:5" x14ac:dyDescent="0.3">
      <c r="A765" s="12" t="s">
        <v>36</v>
      </c>
      <c r="B765" s="9">
        <v>22851.018151765071</v>
      </c>
      <c r="D765">
        <f t="shared" si="9"/>
        <v>0</v>
      </c>
      <c r="E765">
        <v>1225.7490262626261</v>
      </c>
    </row>
    <row r="766" spans="1:5" x14ac:dyDescent="0.3">
      <c r="A766" s="11" t="s">
        <v>36</v>
      </c>
      <c r="B766" s="8">
        <v>22755.10020930642</v>
      </c>
      <c r="D766">
        <f t="shared" si="9"/>
        <v>0</v>
      </c>
      <c r="E766">
        <v>1227.4475797979801</v>
      </c>
    </row>
    <row r="767" spans="1:5" x14ac:dyDescent="0.3">
      <c r="A767" s="12" t="s">
        <v>36</v>
      </c>
      <c r="B767" s="9">
        <v>22683.382286666369</v>
      </c>
      <c r="D767">
        <f t="shared" si="9"/>
        <v>0</v>
      </c>
      <c r="E767">
        <v>1229.146133333333</v>
      </c>
    </row>
    <row r="768" spans="1:5" x14ac:dyDescent="0.3">
      <c r="A768" s="11" t="s">
        <v>36</v>
      </c>
      <c r="B768" s="8">
        <v>22586.98909050279</v>
      </c>
      <c r="D768">
        <f t="shared" si="9"/>
        <v>0</v>
      </c>
      <c r="E768">
        <v>1230.8446868686869</v>
      </c>
    </row>
    <row r="769" spans="1:5" x14ac:dyDescent="0.3">
      <c r="A769" s="12" t="s">
        <v>36</v>
      </c>
      <c r="B769" s="9">
        <v>22476.831727562621</v>
      </c>
      <c r="D769">
        <f t="shared" si="9"/>
        <v>0</v>
      </c>
      <c r="E769">
        <v>1232.54324040404</v>
      </c>
    </row>
    <row r="770" spans="1:5" x14ac:dyDescent="0.3">
      <c r="A770" s="11" t="s">
        <v>36</v>
      </c>
      <c r="B770" s="8">
        <v>22381.369272371321</v>
      </c>
      <c r="D770">
        <f t="shared" si="9"/>
        <v>0</v>
      </c>
      <c r="E770">
        <v>1234.241793939394</v>
      </c>
    </row>
    <row r="771" spans="1:5" x14ac:dyDescent="0.3">
      <c r="A771" s="12" t="s">
        <v>36</v>
      </c>
      <c r="B771" s="9">
        <v>22296.701016478619</v>
      </c>
      <c r="D771">
        <f t="shared" si="9"/>
        <v>0</v>
      </c>
      <c r="E771">
        <v>1235.9403474747469</v>
      </c>
    </row>
    <row r="772" spans="1:5" x14ac:dyDescent="0.3">
      <c r="A772" s="11" t="s">
        <v>36</v>
      </c>
      <c r="B772" s="8">
        <v>22199.76379685455</v>
      </c>
      <c r="D772">
        <f t="shared" si="9"/>
        <v>0</v>
      </c>
      <c r="E772">
        <v>1237.6389010101011</v>
      </c>
    </row>
    <row r="773" spans="1:5" x14ac:dyDescent="0.3">
      <c r="A773" s="12" t="s">
        <v>36</v>
      </c>
      <c r="B773" s="9">
        <v>22116.19381437917</v>
      </c>
      <c r="D773">
        <f t="shared" si="9"/>
        <v>0</v>
      </c>
      <c r="E773">
        <v>1239.337454545454</v>
      </c>
    </row>
    <row r="774" spans="1:5" x14ac:dyDescent="0.3">
      <c r="A774" s="11" t="s">
        <v>36</v>
      </c>
      <c r="B774" s="8">
        <v>22018.62008077429</v>
      </c>
      <c r="D774">
        <f t="shared" si="9"/>
        <v>0</v>
      </c>
      <c r="E774">
        <v>1241.036008080808</v>
      </c>
    </row>
    <row r="775" spans="1:5" x14ac:dyDescent="0.3">
      <c r="A775" s="12" t="s">
        <v>36</v>
      </c>
      <c r="B775" s="9">
        <v>21908.223254975659</v>
      </c>
      <c r="D775">
        <f t="shared" si="9"/>
        <v>0</v>
      </c>
      <c r="E775">
        <v>1242.734561616161</v>
      </c>
    </row>
    <row r="776" spans="1:5" x14ac:dyDescent="0.3">
      <c r="A776" s="11" t="s">
        <v>36</v>
      </c>
      <c r="B776" s="8">
        <v>21824.468760380249</v>
      </c>
      <c r="D776">
        <f t="shared" si="9"/>
        <v>0</v>
      </c>
      <c r="E776">
        <v>1244.433115151515</v>
      </c>
    </row>
    <row r="777" spans="1:5" x14ac:dyDescent="0.3">
      <c r="A777" s="12" t="s">
        <v>36</v>
      </c>
      <c r="B777" s="9">
        <v>21727.912689004072</v>
      </c>
      <c r="D777">
        <f t="shared" si="9"/>
        <v>0</v>
      </c>
      <c r="E777">
        <v>1246.131668686869</v>
      </c>
    </row>
    <row r="778" spans="1:5" x14ac:dyDescent="0.3">
      <c r="A778" s="11" t="s">
        <v>36</v>
      </c>
      <c r="B778" s="8">
        <v>21629.998713366502</v>
      </c>
      <c r="D778">
        <f t="shared" si="9"/>
        <v>0</v>
      </c>
      <c r="E778">
        <v>1247.8302222222219</v>
      </c>
    </row>
    <row r="779" spans="1:5" x14ac:dyDescent="0.3">
      <c r="A779" s="12" t="s">
        <v>36</v>
      </c>
      <c r="B779" s="9">
        <v>21559.778618222979</v>
      </c>
      <c r="D779">
        <f t="shared" si="9"/>
        <v>0</v>
      </c>
      <c r="E779">
        <v>1249.5287757575761</v>
      </c>
    </row>
    <row r="780" spans="1:5" x14ac:dyDescent="0.3">
      <c r="A780" s="11" t="s">
        <v>36</v>
      </c>
      <c r="B780" s="8">
        <v>21449.181797784109</v>
      </c>
      <c r="D780">
        <f t="shared" si="9"/>
        <v>0</v>
      </c>
      <c r="E780">
        <v>1251.227329292929</v>
      </c>
    </row>
    <row r="781" spans="1:5" x14ac:dyDescent="0.3">
      <c r="A781" s="12" t="s">
        <v>36</v>
      </c>
      <c r="B781" s="9">
        <v>21352.26924259961</v>
      </c>
      <c r="D781">
        <f t="shared" si="9"/>
        <v>0</v>
      </c>
      <c r="E781">
        <v>1252.925882828283</v>
      </c>
    </row>
    <row r="782" spans="1:5" x14ac:dyDescent="0.3">
      <c r="A782" s="11" t="s">
        <v>36</v>
      </c>
      <c r="B782" s="8">
        <v>21267.715255534731</v>
      </c>
      <c r="D782">
        <f t="shared" si="9"/>
        <v>0</v>
      </c>
      <c r="E782">
        <v>1254.6244363636361</v>
      </c>
    </row>
    <row r="783" spans="1:5" x14ac:dyDescent="0.3">
      <c r="A783" s="12" t="s">
        <v>36</v>
      </c>
      <c r="B783" s="9">
        <v>21171.11815076078</v>
      </c>
      <c r="D783">
        <f t="shared" si="9"/>
        <v>0</v>
      </c>
      <c r="E783">
        <v>1256.32298989899</v>
      </c>
    </row>
    <row r="784" spans="1:5" x14ac:dyDescent="0.3">
      <c r="A784" s="11" t="s">
        <v>36</v>
      </c>
      <c r="B784" s="8">
        <v>21060.361044581161</v>
      </c>
      <c r="D784">
        <f t="shared" si="9"/>
        <v>0</v>
      </c>
      <c r="E784">
        <v>1258.0215434343429</v>
      </c>
    </row>
    <row r="785" spans="1:5" x14ac:dyDescent="0.3">
      <c r="A785" s="12" t="s">
        <v>36</v>
      </c>
      <c r="B785" s="9">
        <v>20975.318231528719</v>
      </c>
      <c r="D785">
        <f t="shared" si="9"/>
        <v>0</v>
      </c>
      <c r="E785">
        <v>1259.7200969696969</v>
      </c>
    </row>
    <row r="786" spans="1:5" x14ac:dyDescent="0.3">
      <c r="A786" s="11" t="s">
        <v>36</v>
      </c>
      <c r="B786" s="8">
        <v>20876.905885667951</v>
      </c>
      <c r="D786">
        <f t="shared" si="9"/>
        <v>0</v>
      </c>
      <c r="E786">
        <v>1261.41865050505</v>
      </c>
    </row>
    <row r="787" spans="1:5" x14ac:dyDescent="0.3">
      <c r="A787" s="12" t="s">
        <v>36</v>
      </c>
      <c r="B787" s="9">
        <v>20822.871694398698</v>
      </c>
      <c r="D787">
        <f t="shared" si="9"/>
        <v>0</v>
      </c>
      <c r="E787">
        <v>1263.117204040404</v>
      </c>
    </row>
    <row r="788" spans="1:5" x14ac:dyDescent="0.3">
      <c r="A788" s="11" t="s">
        <v>36</v>
      </c>
      <c r="B788" s="8">
        <v>20711.95404425099</v>
      </c>
      <c r="D788">
        <f t="shared" si="9"/>
        <v>0</v>
      </c>
      <c r="E788">
        <v>1264.815757575758</v>
      </c>
    </row>
    <row r="789" spans="1:5" x14ac:dyDescent="0.3">
      <c r="A789" s="12" t="s">
        <v>36</v>
      </c>
      <c r="B789" s="9">
        <v>20613.779359259101</v>
      </c>
      <c r="D789">
        <f t="shared" si="9"/>
        <v>0</v>
      </c>
      <c r="E789">
        <v>1266.5143111111111</v>
      </c>
    </row>
    <row r="790" spans="1:5" x14ac:dyDescent="0.3">
      <c r="A790" s="11" t="s">
        <v>36</v>
      </c>
      <c r="B790" s="8">
        <v>20502.781340169891</v>
      </c>
      <c r="D790">
        <f t="shared" si="9"/>
        <v>0</v>
      </c>
      <c r="E790">
        <v>1268.2128646464651</v>
      </c>
    </row>
    <row r="791" spans="1:5" x14ac:dyDescent="0.3">
      <c r="A791" s="12" t="s">
        <v>36</v>
      </c>
      <c r="B791" s="9">
        <v>20419.505408269099</v>
      </c>
      <c r="D791">
        <f t="shared" si="9"/>
        <v>0</v>
      </c>
      <c r="E791">
        <v>1269.9114181818179</v>
      </c>
    </row>
    <row r="792" spans="1:5" x14ac:dyDescent="0.3">
      <c r="A792" s="11" t="s">
        <v>36</v>
      </c>
      <c r="B792" s="8">
        <v>20362.43442006507</v>
      </c>
      <c r="D792">
        <f t="shared" si="9"/>
        <v>0</v>
      </c>
      <c r="E792">
        <v>1271.6099717171719</v>
      </c>
    </row>
    <row r="793" spans="1:5" x14ac:dyDescent="0.3">
      <c r="A793" s="12" t="s">
        <v>36</v>
      </c>
      <c r="B793" s="9">
        <v>20251.31572622756</v>
      </c>
      <c r="D793">
        <f t="shared" si="9"/>
        <v>0</v>
      </c>
      <c r="E793">
        <v>1273.308525252525</v>
      </c>
    </row>
    <row r="794" spans="1:5" x14ac:dyDescent="0.3">
      <c r="A794" s="11" t="s">
        <v>36</v>
      </c>
      <c r="B794" s="8">
        <v>20167.032693847312</v>
      </c>
      <c r="D794">
        <f t="shared" si="9"/>
        <v>0</v>
      </c>
      <c r="E794">
        <v>1275.007078787879</v>
      </c>
    </row>
    <row r="795" spans="1:5" x14ac:dyDescent="0.3">
      <c r="A795" s="12" t="s">
        <v>36</v>
      </c>
      <c r="B795" s="9">
        <v>20055.833469215941</v>
      </c>
      <c r="D795">
        <f t="shared" si="9"/>
        <v>0</v>
      </c>
      <c r="E795">
        <v>1276.7056323232321</v>
      </c>
    </row>
    <row r="796" spans="1:5" x14ac:dyDescent="0.3">
      <c r="A796" s="11" t="s">
        <v>36</v>
      </c>
      <c r="B796" s="8">
        <v>19972.29479805271</v>
      </c>
      <c r="D796">
        <f t="shared" si="9"/>
        <v>0</v>
      </c>
      <c r="E796">
        <v>1278.4041858585861</v>
      </c>
    </row>
    <row r="797" spans="1:5" x14ac:dyDescent="0.3">
      <c r="A797" s="12" t="s">
        <v>36</v>
      </c>
      <c r="B797" s="9">
        <v>19873.798119342198</v>
      </c>
      <c r="D797">
        <f t="shared" si="9"/>
        <v>0</v>
      </c>
      <c r="E797">
        <v>1280.1027393939389</v>
      </c>
    </row>
    <row r="798" spans="1:5" x14ac:dyDescent="0.3">
      <c r="A798" s="11" t="s">
        <v>36</v>
      </c>
      <c r="B798" s="8">
        <v>19801.036467285001</v>
      </c>
      <c r="D798">
        <f t="shared" si="9"/>
        <v>0</v>
      </c>
      <c r="E798">
        <v>1281.8012929292929</v>
      </c>
    </row>
    <row r="799" spans="1:5" x14ac:dyDescent="0.3">
      <c r="A799" s="12" t="s">
        <v>36</v>
      </c>
      <c r="B799" s="9">
        <v>19703.79589231285</v>
      </c>
      <c r="D799">
        <f t="shared" si="9"/>
        <v>0</v>
      </c>
      <c r="E799">
        <v>1283.499846464646</v>
      </c>
    </row>
    <row r="800" spans="1:5" x14ac:dyDescent="0.3">
      <c r="A800" s="11" t="s">
        <v>36</v>
      </c>
      <c r="B800" s="8">
        <v>19592.395056971862</v>
      </c>
      <c r="D800">
        <f t="shared" si="9"/>
        <v>0</v>
      </c>
      <c r="E800">
        <v>1285.1984</v>
      </c>
    </row>
    <row r="801" spans="1:3" x14ac:dyDescent="0.3">
      <c r="A801" s="12"/>
      <c r="B801" s="9"/>
      <c r="C801" s="9"/>
    </row>
    <row r="802" spans="1:3" x14ac:dyDescent="0.3">
      <c r="A802" s="11"/>
      <c r="B802" s="8"/>
      <c r="C802" s="8"/>
    </row>
    <row r="803" spans="1:3" x14ac:dyDescent="0.3">
      <c r="A803" s="12"/>
      <c r="B803" s="9"/>
      <c r="C803" s="9"/>
    </row>
    <row r="804" spans="1:3" x14ac:dyDescent="0.3">
      <c r="A804" s="11"/>
      <c r="B804" s="8"/>
      <c r="C804" s="8"/>
    </row>
    <row r="805" spans="1:3" x14ac:dyDescent="0.3">
      <c r="A805" s="12"/>
      <c r="B805" s="9"/>
      <c r="C805" s="9"/>
    </row>
    <row r="806" spans="1:3" x14ac:dyDescent="0.3">
      <c r="A806" s="11"/>
      <c r="B806" s="8"/>
      <c r="C806" s="8"/>
    </row>
    <row r="807" spans="1:3" x14ac:dyDescent="0.3">
      <c r="A807" s="12"/>
      <c r="B807" s="9"/>
      <c r="C807" s="9"/>
    </row>
    <row r="808" spans="1:3" x14ac:dyDescent="0.3">
      <c r="A808" s="11"/>
      <c r="B808" s="8"/>
      <c r="C808" s="8"/>
    </row>
    <row r="809" spans="1:3" x14ac:dyDescent="0.3">
      <c r="A809" s="12"/>
      <c r="B809" s="9"/>
      <c r="C809" s="9"/>
    </row>
    <row r="810" spans="1:3" x14ac:dyDescent="0.3">
      <c r="A810" s="11"/>
      <c r="B810" s="8"/>
      <c r="C810" s="8"/>
    </row>
    <row r="811" spans="1:3" x14ac:dyDescent="0.3">
      <c r="A811" s="12"/>
      <c r="B811" s="9"/>
      <c r="C811" s="9"/>
    </row>
    <row r="812" spans="1:3" x14ac:dyDescent="0.3">
      <c r="A812" s="11"/>
      <c r="B812" s="8"/>
      <c r="C812" s="8"/>
    </row>
    <row r="813" spans="1:3" x14ac:dyDescent="0.3">
      <c r="A813" s="12"/>
      <c r="B813" s="9"/>
      <c r="C813" s="9"/>
    </row>
    <row r="814" spans="1:3" x14ac:dyDescent="0.3">
      <c r="A814" s="11"/>
      <c r="B814" s="8"/>
      <c r="C814" s="8"/>
    </row>
    <row r="815" spans="1:3" x14ac:dyDescent="0.3">
      <c r="A815" s="12"/>
      <c r="B815" s="9"/>
      <c r="C815" s="9"/>
    </row>
    <row r="816" spans="1:3" x14ac:dyDescent="0.3">
      <c r="A816" s="11"/>
      <c r="B816" s="8"/>
      <c r="C816" s="8"/>
    </row>
    <row r="817" spans="1:3" x14ac:dyDescent="0.3">
      <c r="A817" s="12"/>
      <c r="B817" s="9"/>
      <c r="C817" s="9"/>
    </row>
    <row r="818" spans="1:3" x14ac:dyDescent="0.3">
      <c r="A818" s="11"/>
      <c r="B818" s="8"/>
      <c r="C818" s="8"/>
    </row>
    <row r="819" spans="1:3" x14ac:dyDescent="0.3">
      <c r="A819" s="12"/>
      <c r="B819" s="9"/>
      <c r="C819" s="9"/>
    </row>
    <row r="820" spans="1:3" x14ac:dyDescent="0.3">
      <c r="A820" s="11"/>
      <c r="B820" s="8"/>
      <c r="C820" s="8"/>
    </row>
    <row r="821" spans="1:3" x14ac:dyDescent="0.3">
      <c r="A821" s="12"/>
      <c r="B821" s="9"/>
      <c r="C821" s="9"/>
    </row>
    <row r="822" spans="1:3" x14ac:dyDescent="0.3">
      <c r="A822" s="11"/>
      <c r="B822" s="8"/>
      <c r="C822" s="8"/>
    </row>
    <row r="823" spans="1:3" x14ac:dyDescent="0.3">
      <c r="A823" s="12"/>
      <c r="B823" s="9"/>
      <c r="C823" s="9"/>
    </row>
    <row r="824" spans="1:3" x14ac:dyDescent="0.3">
      <c r="A824" s="11"/>
      <c r="B824" s="8"/>
      <c r="C824" s="8"/>
    </row>
    <row r="825" spans="1:3" x14ac:dyDescent="0.3">
      <c r="A825" s="12"/>
      <c r="B825" s="9"/>
      <c r="C825" s="9"/>
    </row>
    <row r="826" spans="1:3" x14ac:dyDescent="0.3">
      <c r="A826" s="11"/>
      <c r="B826" s="8"/>
      <c r="C826" s="8"/>
    </row>
    <row r="827" spans="1:3" x14ac:dyDescent="0.3">
      <c r="A827" s="12"/>
      <c r="B827" s="9"/>
      <c r="C827" s="9"/>
    </row>
    <row r="828" spans="1:3" x14ac:dyDescent="0.3">
      <c r="A828" s="11"/>
      <c r="B828" s="8"/>
      <c r="C828" s="8"/>
    </row>
    <row r="829" spans="1:3" x14ac:dyDescent="0.3">
      <c r="A829" s="12"/>
      <c r="B829" s="9"/>
      <c r="C829" s="9"/>
    </row>
    <row r="830" spans="1:3" x14ac:dyDescent="0.3">
      <c r="A830" s="11"/>
      <c r="B830" s="8"/>
      <c r="C830" s="8"/>
    </row>
    <row r="831" spans="1:3" x14ac:dyDescent="0.3">
      <c r="A831" s="12"/>
      <c r="B831" s="9"/>
      <c r="C831" s="9"/>
    </row>
    <row r="832" spans="1:3" x14ac:dyDescent="0.3">
      <c r="A832" s="11"/>
      <c r="B832" s="8"/>
      <c r="C832" s="8"/>
    </row>
    <row r="833" spans="1:3" x14ac:dyDescent="0.3">
      <c r="A833" s="12"/>
      <c r="B833" s="9"/>
      <c r="C833" s="9"/>
    </row>
    <row r="834" spans="1:3" x14ac:dyDescent="0.3">
      <c r="A834" s="11"/>
      <c r="B834" s="8"/>
      <c r="C834" s="8"/>
    </row>
    <row r="835" spans="1:3" x14ac:dyDescent="0.3">
      <c r="A835" s="12"/>
      <c r="B835" s="9"/>
      <c r="C835" s="9"/>
    </row>
    <row r="836" spans="1:3" x14ac:dyDescent="0.3">
      <c r="A836" s="11"/>
      <c r="B836" s="8"/>
      <c r="C836" s="8"/>
    </row>
    <row r="837" spans="1:3" x14ac:dyDescent="0.3">
      <c r="A837" s="12"/>
      <c r="B837" s="9"/>
      <c r="C837" s="9"/>
    </row>
    <row r="838" spans="1:3" x14ac:dyDescent="0.3">
      <c r="A838" s="11"/>
      <c r="B838" s="8"/>
      <c r="C838" s="8"/>
    </row>
    <row r="839" spans="1:3" x14ac:dyDescent="0.3">
      <c r="A839" s="12"/>
      <c r="B839" s="9"/>
      <c r="C839" s="9"/>
    </row>
    <row r="840" spans="1:3" x14ac:dyDescent="0.3">
      <c r="A840" s="11"/>
      <c r="B840" s="8"/>
      <c r="C840" s="8"/>
    </row>
    <row r="841" spans="1:3" x14ac:dyDescent="0.3">
      <c r="A841" s="12"/>
      <c r="B841" s="9"/>
      <c r="C841" s="9"/>
    </row>
    <row r="842" spans="1:3" x14ac:dyDescent="0.3">
      <c r="A842" s="11"/>
      <c r="B842" s="8"/>
      <c r="C842" s="8"/>
    </row>
    <row r="843" spans="1:3" x14ac:dyDescent="0.3">
      <c r="A843" s="12"/>
      <c r="B843" s="9"/>
      <c r="C843" s="9"/>
    </row>
    <row r="844" spans="1:3" x14ac:dyDescent="0.3">
      <c r="A844" s="11"/>
      <c r="B844" s="8"/>
      <c r="C844" s="8"/>
    </row>
    <row r="845" spans="1:3" x14ac:dyDescent="0.3">
      <c r="A845" s="12"/>
      <c r="B845" s="9"/>
      <c r="C845" s="9"/>
    </row>
    <row r="846" spans="1:3" x14ac:dyDescent="0.3">
      <c r="A846" s="11"/>
      <c r="B846" s="8"/>
      <c r="C846" s="8"/>
    </row>
    <row r="847" spans="1:3" x14ac:dyDescent="0.3">
      <c r="A847" s="12"/>
      <c r="B847" s="9"/>
      <c r="C847" s="9"/>
    </row>
    <row r="848" spans="1:3" x14ac:dyDescent="0.3">
      <c r="A848" s="11"/>
      <c r="B848" s="8"/>
      <c r="C848" s="8"/>
    </row>
    <row r="849" spans="1:5" x14ac:dyDescent="0.3">
      <c r="A849" s="12"/>
      <c r="B849" s="9"/>
      <c r="C849" s="9"/>
    </row>
    <row r="850" spans="1:5" x14ac:dyDescent="0.3">
      <c r="A850" s="11"/>
      <c r="B850" s="8"/>
      <c r="C850" s="8"/>
    </row>
    <row r="851" spans="1:5" x14ac:dyDescent="0.3">
      <c r="A851" s="12" t="s">
        <v>37</v>
      </c>
      <c r="B851" s="8"/>
      <c r="D851">
        <f t="shared" ref="D851:D900" si="10">IF(IFERROR(FIND("1",A851,1),ERROR.TYPE(#VALUE!))=ERROR.TYPE(#VALUE!),$M$2,$M$1)</f>
        <v>0</v>
      </c>
      <c r="E851">
        <v>4.2158219861762408E-2</v>
      </c>
    </row>
    <row r="852" spans="1:5" x14ac:dyDescent="0.3">
      <c r="A852" s="11" t="s">
        <v>37</v>
      </c>
      <c r="B852" s="8"/>
      <c r="D852">
        <f t="shared" si="10"/>
        <v>0</v>
      </c>
      <c r="E852">
        <v>4.2984851623757751E-2</v>
      </c>
    </row>
    <row r="853" spans="1:5" x14ac:dyDescent="0.3">
      <c r="A853" s="12" t="s">
        <v>37</v>
      </c>
      <c r="B853" s="8"/>
      <c r="D853">
        <f t="shared" si="10"/>
        <v>0</v>
      </c>
      <c r="E853">
        <v>4.3811483385753087E-2</v>
      </c>
    </row>
    <row r="854" spans="1:5" x14ac:dyDescent="0.3">
      <c r="A854" s="11" t="s">
        <v>37</v>
      </c>
      <c r="B854" s="8"/>
      <c r="D854">
        <f t="shared" si="10"/>
        <v>0</v>
      </c>
      <c r="E854">
        <v>4.4638115147748431E-2</v>
      </c>
    </row>
    <row r="855" spans="1:5" x14ac:dyDescent="0.3">
      <c r="A855" s="12" t="s">
        <v>37</v>
      </c>
      <c r="B855" s="8"/>
      <c r="D855">
        <f t="shared" si="10"/>
        <v>0</v>
      </c>
      <c r="E855">
        <v>4.5464746909743767E-2</v>
      </c>
    </row>
    <row r="856" spans="1:5" x14ac:dyDescent="0.3">
      <c r="A856" s="11" t="s">
        <v>37</v>
      </c>
      <c r="B856" s="8"/>
      <c r="D856">
        <f t="shared" si="10"/>
        <v>0</v>
      </c>
      <c r="E856">
        <v>4.6291378671739117E-2</v>
      </c>
    </row>
    <row r="857" spans="1:5" x14ac:dyDescent="0.3">
      <c r="A857" s="12" t="s">
        <v>37</v>
      </c>
      <c r="B857" s="8"/>
      <c r="D857">
        <f t="shared" si="10"/>
        <v>0</v>
      </c>
      <c r="E857">
        <v>4.711801043373446E-2</v>
      </c>
    </row>
    <row r="858" spans="1:5" x14ac:dyDescent="0.3">
      <c r="A858" s="11" t="s">
        <v>37</v>
      </c>
      <c r="B858" s="8"/>
      <c r="D858">
        <f t="shared" si="10"/>
        <v>0</v>
      </c>
      <c r="E858">
        <v>4.7944642195729803E-2</v>
      </c>
    </row>
    <row r="859" spans="1:5" x14ac:dyDescent="0.3">
      <c r="A859" s="12" t="s">
        <v>37</v>
      </c>
      <c r="B859" s="8"/>
      <c r="D859">
        <f t="shared" si="10"/>
        <v>0</v>
      </c>
      <c r="E859">
        <v>4.8771273957725139E-2</v>
      </c>
    </row>
    <row r="860" spans="1:5" x14ac:dyDescent="0.3">
      <c r="A860" s="11" t="s">
        <v>37</v>
      </c>
      <c r="B860" s="8"/>
      <c r="D860">
        <f t="shared" si="10"/>
        <v>0</v>
      </c>
      <c r="E860">
        <v>4.9597905719720482E-2</v>
      </c>
    </row>
    <row r="861" spans="1:5" x14ac:dyDescent="0.3">
      <c r="A861" s="12" t="s">
        <v>37</v>
      </c>
      <c r="B861" s="8"/>
      <c r="D861">
        <f t="shared" si="10"/>
        <v>0</v>
      </c>
      <c r="E861">
        <v>5.0424537481715832E-2</v>
      </c>
    </row>
    <row r="862" spans="1:5" x14ac:dyDescent="0.3">
      <c r="A862" s="11" t="s">
        <v>37</v>
      </c>
      <c r="B862" s="8"/>
      <c r="D862">
        <f t="shared" si="10"/>
        <v>0</v>
      </c>
      <c r="E862">
        <v>5.1251169243711162E-2</v>
      </c>
    </row>
    <row r="863" spans="1:5" x14ac:dyDescent="0.3">
      <c r="A863" s="12" t="s">
        <v>37</v>
      </c>
      <c r="B863" s="8"/>
      <c r="D863">
        <f t="shared" si="10"/>
        <v>0</v>
      </c>
      <c r="E863">
        <v>5.2077801005706498E-2</v>
      </c>
    </row>
    <row r="864" spans="1:5" x14ac:dyDescent="0.3">
      <c r="A864" s="11" t="s">
        <v>37</v>
      </c>
      <c r="B864" s="8"/>
      <c r="D864">
        <f t="shared" si="10"/>
        <v>0</v>
      </c>
      <c r="E864">
        <v>5.2904432767701848E-2</v>
      </c>
    </row>
    <row r="865" spans="1:5" x14ac:dyDescent="0.3">
      <c r="A865" s="12" t="s">
        <v>37</v>
      </c>
      <c r="B865" s="8"/>
      <c r="D865">
        <f t="shared" si="10"/>
        <v>0</v>
      </c>
      <c r="E865">
        <v>5.3731064529697191E-2</v>
      </c>
    </row>
    <row r="866" spans="1:5" x14ac:dyDescent="0.3">
      <c r="A866" s="11" t="s">
        <v>37</v>
      </c>
      <c r="B866" s="8"/>
      <c r="D866">
        <f t="shared" si="10"/>
        <v>0</v>
      </c>
      <c r="E866">
        <v>5.4557696291692527E-2</v>
      </c>
    </row>
    <row r="867" spans="1:5" x14ac:dyDescent="0.3">
      <c r="A867" s="12" t="s">
        <v>37</v>
      </c>
      <c r="B867" s="8"/>
      <c r="D867">
        <f t="shared" si="10"/>
        <v>0</v>
      </c>
      <c r="E867">
        <v>5.538432805368787E-2</v>
      </c>
    </row>
    <row r="868" spans="1:5" x14ac:dyDescent="0.3">
      <c r="A868" s="11" t="s">
        <v>37</v>
      </c>
      <c r="B868" s="8"/>
      <c r="D868">
        <f t="shared" si="10"/>
        <v>0</v>
      </c>
      <c r="E868">
        <v>5.6210959815683213E-2</v>
      </c>
    </row>
    <row r="869" spans="1:5" x14ac:dyDescent="0.3">
      <c r="A869" s="12" t="s">
        <v>37</v>
      </c>
      <c r="B869" s="8"/>
      <c r="D869">
        <f t="shared" si="10"/>
        <v>0</v>
      </c>
      <c r="E869">
        <v>5.7037591577678563E-2</v>
      </c>
    </row>
    <row r="870" spans="1:5" x14ac:dyDescent="0.3">
      <c r="A870" s="11" t="s">
        <v>37</v>
      </c>
      <c r="B870" s="8"/>
      <c r="D870">
        <f t="shared" si="10"/>
        <v>0</v>
      </c>
      <c r="E870">
        <v>5.7864223339673893E-2</v>
      </c>
    </row>
    <row r="871" spans="1:5" x14ac:dyDescent="0.3">
      <c r="A871" s="12" t="s">
        <v>37</v>
      </c>
      <c r="B871" s="8"/>
      <c r="D871">
        <f t="shared" si="10"/>
        <v>0</v>
      </c>
      <c r="E871">
        <v>5.8690855101669243E-2</v>
      </c>
    </row>
    <row r="872" spans="1:5" x14ac:dyDescent="0.3">
      <c r="A872" s="11" t="s">
        <v>37</v>
      </c>
      <c r="B872" s="8"/>
      <c r="D872">
        <f t="shared" si="10"/>
        <v>0</v>
      </c>
      <c r="E872">
        <v>5.9517486863664579E-2</v>
      </c>
    </row>
    <row r="873" spans="1:5" x14ac:dyDescent="0.3">
      <c r="A873" s="12" t="s">
        <v>37</v>
      </c>
      <c r="B873" s="8"/>
      <c r="D873">
        <f t="shared" si="10"/>
        <v>0</v>
      </c>
      <c r="E873">
        <v>6.0344118625659922E-2</v>
      </c>
    </row>
    <row r="874" spans="1:5" x14ac:dyDescent="0.3">
      <c r="A874" s="11" t="s">
        <v>37</v>
      </c>
      <c r="B874" s="8"/>
      <c r="D874">
        <f t="shared" si="10"/>
        <v>0</v>
      </c>
      <c r="E874">
        <v>6.1170750387655258E-2</v>
      </c>
    </row>
    <row r="875" spans="1:5" x14ac:dyDescent="0.3">
      <c r="A875" s="12" t="s">
        <v>37</v>
      </c>
      <c r="B875" s="8"/>
      <c r="D875">
        <f t="shared" si="10"/>
        <v>0</v>
      </c>
      <c r="E875">
        <v>6.1997382149650601E-2</v>
      </c>
    </row>
    <row r="876" spans="1:5" x14ac:dyDescent="0.3">
      <c r="A876" s="11" t="s">
        <v>37</v>
      </c>
      <c r="B876" s="8"/>
      <c r="D876">
        <f t="shared" si="10"/>
        <v>0</v>
      </c>
      <c r="E876">
        <v>6.2824013911645937E-2</v>
      </c>
    </row>
    <row r="877" spans="1:5" x14ac:dyDescent="0.3">
      <c r="A877" s="12" t="s">
        <v>37</v>
      </c>
      <c r="B877" s="8"/>
      <c r="D877">
        <f t="shared" si="10"/>
        <v>0</v>
      </c>
      <c r="E877">
        <v>6.3650645673641287E-2</v>
      </c>
    </row>
    <row r="878" spans="1:5" x14ac:dyDescent="0.3">
      <c r="A878" s="11" t="s">
        <v>37</v>
      </c>
      <c r="B878" s="8"/>
      <c r="D878">
        <f t="shared" si="10"/>
        <v>0</v>
      </c>
      <c r="E878">
        <v>6.4477277435636624E-2</v>
      </c>
    </row>
    <row r="879" spans="1:5" x14ac:dyDescent="0.3">
      <c r="A879" s="12" t="s">
        <v>37</v>
      </c>
      <c r="B879" s="8"/>
      <c r="D879">
        <f t="shared" si="10"/>
        <v>0</v>
      </c>
      <c r="E879">
        <v>6.5303909197631974E-2</v>
      </c>
    </row>
    <row r="880" spans="1:5" x14ac:dyDescent="0.3">
      <c r="A880" s="11" t="s">
        <v>37</v>
      </c>
      <c r="B880" s="8"/>
      <c r="D880">
        <f t="shared" si="10"/>
        <v>0</v>
      </c>
      <c r="E880">
        <v>6.613054095962731E-2</v>
      </c>
    </row>
    <row r="881" spans="1:5" x14ac:dyDescent="0.3">
      <c r="A881" s="12" t="s">
        <v>37</v>
      </c>
      <c r="B881" s="8"/>
      <c r="D881">
        <f t="shared" si="10"/>
        <v>0</v>
      </c>
      <c r="E881">
        <v>6.6957172721622646E-2</v>
      </c>
    </row>
    <row r="882" spans="1:5" x14ac:dyDescent="0.3">
      <c r="A882" s="11" t="s">
        <v>37</v>
      </c>
      <c r="B882" s="8"/>
      <c r="D882">
        <f t="shared" si="10"/>
        <v>0</v>
      </c>
      <c r="E882">
        <v>6.7783804483617996E-2</v>
      </c>
    </row>
    <row r="883" spans="1:5" x14ac:dyDescent="0.3">
      <c r="A883" s="12" t="s">
        <v>37</v>
      </c>
      <c r="B883" s="8"/>
      <c r="D883">
        <f t="shared" si="10"/>
        <v>0</v>
      </c>
      <c r="E883">
        <v>6.8610436245613332E-2</v>
      </c>
    </row>
    <row r="884" spans="1:5" x14ac:dyDescent="0.3">
      <c r="A884" s="11" t="s">
        <v>37</v>
      </c>
      <c r="B884" s="8"/>
      <c r="D884">
        <f t="shared" si="10"/>
        <v>0</v>
      </c>
      <c r="E884">
        <v>6.9437068007608682E-2</v>
      </c>
    </row>
    <row r="885" spans="1:5" x14ac:dyDescent="0.3">
      <c r="A885" s="12" t="s">
        <v>37</v>
      </c>
      <c r="B885" s="8"/>
      <c r="D885">
        <f t="shared" si="10"/>
        <v>0</v>
      </c>
      <c r="E885">
        <v>7.0263699769604018E-2</v>
      </c>
    </row>
    <row r="886" spans="1:5" x14ac:dyDescent="0.3">
      <c r="A886" s="11" t="s">
        <v>37</v>
      </c>
      <c r="B886" s="8"/>
      <c r="D886">
        <f t="shared" si="10"/>
        <v>0</v>
      </c>
      <c r="E886">
        <v>7.1090331531599354E-2</v>
      </c>
    </row>
    <row r="887" spans="1:5" x14ac:dyDescent="0.3">
      <c r="A887" s="12" t="s">
        <v>37</v>
      </c>
      <c r="B887" s="8"/>
      <c r="D887">
        <f t="shared" si="10"/>
        <v>0</v>
      </c>
      <c r="E887">
        <v>7.1916963293594705E-2</v>
      </c>
    </row>
    <row r="888" spans="1:5" x14ac:dyDescent="0.3">
      <c r="A888" s="11" t="s">
        <v>37</v>
      </c>
      <c r="B888" s="8"/>
      <c r="D888">
        <f t="shared" si="10"/>
        <v>0</v>
      </c>
      <c r="E888">
        <v>7.2743595055590041E-2</v>
      </c>
    </row>
    <row r="889" spans="1:5" x14ac:dyDescent="0.3">
      <c r="A889" s="12" t="s">
        <v>37</v>
      </c>
      <c r="B889" s="8"/>
      <c r="D889">
        <f t="shared" si="10"/>
        <v>0</v>
      </c>
      <c r="E889">
        <v>7.3570226817585377E-2</v>
      </c>
    </row>
    <row r="890" spans="1:5" x14ac:dyDescent="0.3">
      <c r="A890" s="11" t="s">
        <v>37</v>
      </c>
      <c r="B890" s="8"/>
      <c r="D890">
        <f t="shared" si="10"/>
        <v>0</v>
      </c>
      <c r="E890">
        <v>7.4396858579580727E-2</v>
      </c>
    </row>
    <row r="891" spans="1:5" x14ac:dyDescent="0.3">
      <c r="A891" s="12" t="s">
        <v>37</v>
      </c>
      <c r="B891" s="8"/>
      <c r="D891">
        <f t="shared" si="10"/>
        <v>0</v>
      </c>
      <c r="E891">
        <v>7.5223490341576063E-2</v>
      </c>
    </row>
    <row r="892" spans="1:5" x14ac:dyDescent="0.3">
      <c r="A892" s="11" t="s">
        <v>37</v>
      </c>
      <c r="B892" s="8"/>
      <c r="D892">
        <f t="shared" si="10"/>
        <v>0</v>
      </c>
      <c r="E892">
        <v>7.6050122103571399E-2</v>
      </c>
    </row>
    <row r="893" spans="1:5" x14ac:dyDescent="0.3">
      <c r="A893" s="12" t="s">
        <v>37</v>
      </c>
      <c r="B893" s="8"/>
      <c r="D893">
        <f t="shared" si="10"/>
        <v>0</v>
      </c>
      <c r="E893">
        <v>7.6876753865566749E-2</v>
      </c>
    </row>
    <row r="894" spans="1:5" x14ac:dyDescent="0.3">
      <c r="A894" s="11" t="s">
        <v>37</v>
      </c>
      <c r="B894" s="8"/>
      <c r="D894">
        <f t="shared" si="10"/>
        <v>0</v>
      </c>
      <c r="E894">
        <v>7.7703385627562085E-2</v>
      </c>
    </row>
    <row r="895" spans="1:5" x14ac:dyDescent="0.3">
      <c r="A895" s="12" t="s">
        <v>37</v>
      </c>
      <c r="B895" s="8"/>
      <c r="D895">
        <f t="shared" si="10"/>
        <v>0</v>
      </c>
      <c r="E895">
        <v>7.8530017389557435E-2</v>
      </c>
    </row>
    <row r="896" spans="1:5" x14ac:dyDescent="0.3">
      <c r="A896" s="11" t="s">
        <v>37</v>
      </c>
      <c r="B896" s="8"/>
      <c r="D896">
        <f t="shared" si="10"/>
        <v>0</v>
      </c>
      <c r="E896">
        <v>7.9356649151552772E-2</v>
      </c>
    </row>
    <row r="897" spans="1:5" x14ac:dyDescent="0.3">
      <c r="A897" s="12" t="s">
        <v>37</v>
      </c>
      <c r="B897" s="8"/>
      <c r="D897">
        <f t="shared" si="10"/>
        <v>0</v>
      </c>
      <c r="E897">
        <v>8.0183280913548108E-2</v>
      </c>
    </row>
    <row r="898" spans="1:5" x14ac:dyDescent="0.3">
      <c r="A898" s="11" t="s">
        <v>37</v>
      </c>
      <c r="B898" s="8"/>
      <c r="D898">
        <f t="shared" si="10"/>
        <v>0</v>
      </c>
      <c r="E898">
        <v>8.1009912675543458E-2</v>
      </c>
    </row>
    <row r="899" spans="1:5" x14ac:dyDescent="0.3">
      <c r="A899" s="12" t="s">
        <v>37</v>
      </c>
      <c r="B899" s="8"/>
      <c r="D899">
        <f t="shared" si="10"/>
        <v>0</v>
      </c>
      <c r="E899">
        <v>8.1836544437538794E-2</v>
      </c>
    </row>
    <row r="900" spans="1:5" x14ac:dyDescent="0.3">
      <c r="A900" s="11" t="s">
        <v>37</v>
      </c>
      <c r="B900" s="8"/>
      <c r="D900">
        <f t="shared" si="10"/>
        <v>0</v>
      </c>
      <c r="E900">
        <v>8.2663176199534137E-4</v>
      </c>
    </row>
    <row r="901" spans="1:5" x14ac:dyDescent="0.3">
      <c r="A901" s="12"/>
      <c r="B901" s="9"/>
      <c r="C901" s="9"/>
    </row>
    <row r="902" spans="1:5" x14ac:dyDescent="0.3">
      <c r="A902" s="11"/>
      <c r="B902" s="8"/>
      <c r="C902" s="8"/>
    </row>
    <row r="903" spans="1:5" x14ac:dyDescent="0.3">
      <c r="A903" s="12"/>
      <c r="B903" s="9"/>
      <c r="C903" s="9"/>
    </row>
    <row r="904" spans="1:5" x14ac:dyDescent="0.3">
      <c r="A904" s="11"/>
      <c r="B904" s="8"/>
      <c r="C904" s="8"/>
    </row>
    <row r="905" spans="1:5" x14ac:dyDescent="0.3">
      <c r="A905" s="12"/>
      <c r="B905" s="9"/>
      <c r="C905" s="9"/>
    </row>
    <row r="906" spans="1:5" x14ac:dyDescent="0.3">
      <c r="A906" s="11"/>
      <c r="B906" s="8"/>
      <c r="C906" s="8"/>
    </row>
    <row r="907" spans="1:5" x14ac:dyDescent="0.3">
      <c r="A907" s="12"/>
      <c r="B907" s="9"/>
      <c r="C907" s="9"/>
    </row>
    <row r="908" spans="1:5" x14ac:dyDescent="0.3">
      <c r="A908" s="11"/>
      <c r="B908" s="8"/>
      <c r="C908" s="8"/>
    </row>
    <row r="909" spans="1:5" x14ac:dyDescent="0.3">
      <c r="A909" s="12"/>
      <c r="B909" s="9"/>
      <c r="C909" s="9"/>
    </row>
    <row r="910" spans="1:5" x14ac:dyDescent="0.3">
      <c r="A910" s="11"/>
      <c r="B910" s="8"/>
      <c r="C910" s="8"/>
    </row>
    <row r="911" spans="1:5" x14ac:dyDescent="0.3">
      <c r="A911" s="12"/>
      <c r="B911" s="9"/>
      <c r="C911" s="9"/>
    </row>
    <row r="912" spans="1:5" x14ac:dyDescent="0.3">
      <c r="A912" s="11"/>
      <c r="B912" s="8"/>
      <c r="C912" s="8"/>
    </row>
    <row r="913" spans="1:3" x14ac:dyDescent="0.3">
      <c r="A913" s="12"/>
      <c r="B913" s="9"/>
      <c r="C913" s="9"/>
    </row>
    <row r="914" spans="1:3" x14ac:dyDescent="0.3">
      <c r="A914" s="11"/>
      <c r="B914" s="8"/>
      <c r="C914" s="8"/>
    </row>
    <row r="915" spans="1:3" x14ac:dyDescent="0.3">
      <c r="A915" s="12"/>
      <c r="B915" s="9"/>
      <c r="C915" s="9"/>
    </row>
    <row r="916" spans="1:3" x14ac:dyDescent="0.3">
      <c r="A916" s="11"/>
      <c r="B916" s="8"/>
      <c r="C916" s="8"/>
    </row>
    <row r="917" spans="1:3" x14ac:dyDescent="0.3">
      <c r="A917" s="12"/>
      <c r="B917" s="9"/>
      <c r="C917" s="9"/>
    </row>
    <row r="918" spans="1:3" x14ac:dyDescent="0.3">
      <c r="A918" s="11"/>
      <c r="B918" s="8"/>
      <c r="C918" s="8"/>
    </row>
    <row r="919" spans="1:3" x14ac:dyDescent="0.3">
      <c r="A919" s="12"/>
      <c r="B919" s="9"/>
      <c r="C919" s="9"/>
    </row>
    <row r="920" spans="1:3" x14ac:dyDescent="0.3">
      <c r="A920" s="11"/>
      <c r="B920" s="8"/>
      <c r="C920" s="8"/>
    </row>
    <row r="921" spans="1:3" x14ac:dyDescent="0.3">
      <c r="A921" s="12"/>
      <c r="B921" s="9"/>
      <c r="C921" s="9"/>
    </row>
    <row r="922" spans="1:3" x14ac:dyDescent="0.3">
      <c r="A922" s="11"/>
      <c r="B922" s="8"/>
      <c r="C922" s="8"/>
    </row>
    <row r="923" spans="1:3" x14ac:dyDescent="0.3">
      <c r="A923" s="12"/>
      <c r="B923" s="9"/>
      <c r="C923" s="9"/>
    </row>
    <row r="924" spans="1:3" x14ac:dyDescent="0.3">
      <c r="A924" s="11"/>
      <c r="B924" s="8"/>
      <c r="C924" s="8"/>
    </row>
    <row r="925" spans="1:3" x14ac:dyDescent="0.3">
      <c r="A925" s="12"/>
      <c r="B925" s="9"/>
      <c r="C925" s="9"/>
    </row>
    <row r="926" spans="1:3" x14ac:dyDescent="0.3">
      <c r="A926" s="11"/>
      <c r="B926" s="8"/>
      <c r="C926" s="8"/>
    </row>
    <row r="927" spans="1:3" x14ac:dyDescent="0.3">
      <c r="A927" s="12"/>
      <c r="B927" s="9"/>
      <c r="C927" s="9"/>
    </row>
    <row r="928" spans="1:3" x14ac:dyDescent="0.3">
      <c r="A928" s="11"/>
      <c r="B928" s="8"/>
      <c r="C928" s="8"/>
    </row>
    <row r="929" spans="1:3" x14ac:dyDescent="0.3">
      <c r="A929" s="12"/>
      <c r="B929" s="9"/>
      <c r="C929" s="9"/>
    </row>
    <row r="930" spans="1:3" x14ac:dyDescent="0.3">
      <c r="A930" s="11"/>
      <c r="B930" s="8"/>
      <c r="C930" s="8"/>
    </row>
    <row r="931" spans="1:3" x14ac:dyDescent="0.3">
      <c r="A931" s="12"/>
      <c r="B931" s="9"/>
      <c r="C931" s="9"/>
    </row>
    <row r="932" spans="1:3" x14ac:dyDescent="0.3">
      <c r="A932" s="11"/>
      <c r="B932" s="8"/>
      <c r="C932" s="8"/>
    </row>
    <row r="933" spans="1:3" x14ac:dyDescent="0.3">
      <c r="A933" s="12"/>
      <c r="B933" s="9"/>
      <c r="C933" s="9"/>
    </row>
    <row r="934" spans="1:3" x14ac:dyDescent="0.3">
      <c r="A934" s="11"/>
      <c r="B934" s="8"/>
      <c r="C934" s="8"/>
    </row>
    <row r="935" spans="1:3" x14ac:dyDescent="0.3">
      <c r="A935" s="12"/>
      <c r="B935" s="9"/>
      <c r="C935" s="9"/>
    </row>
    <row r="936" spans="1:3" x14ac:dyDescent="0.3">
      <c r="A936" s="11"/>
      <c r="B936" s="8"/>
      <c r="C936" s="8"/>
    </row>
    <row r="937" spans="1:3" x14ac:dyDescent="0.3">
      <c r="A937" s="12"/>
      <c r="B937" s="9"/>
      <c r="C937" s="9"/>
    </row>
    <row r="938" spans="1:3" x14ac:dyDescent="0.3">
      <c r="A938" s="11"/>
      <c r="B938" s="8"/>
      <c r="C938" s="8"/>
    </row>
    <row r="939" spans="1:3" x14ac:dyDescent="0.3">
      <c r="A939" s="12"/>
      <c r="B939" s="9"/>
      <c r="C939" s="9"/>
    </row>
    <row r="940" spans="1:3" x14ac:dyDescent="0.3">
      <c r="A940" s="11"/>
      <c r="B940" s="8"/>
      <c r="C940" s="8"/>
    </row>
    <row r="941" spans="1:3" x14ac:dyDescent="0.3">
      <c r="A941" s="12"/>
      <c r="B941" s="9"/>
      <c r="C941" s="9"/>
    </row>
    <row r="942" spans="1:3" x14ac:dyDescent="0.3">
      <c r="A942" s="11"/>
      <c r="B942" s="8"/>
      <c r="C942" s="8"/>
    </row>
    <row r="943" spans="1:3" x14ac:dyDescent="0.3">
      <c r="A943" s="12"/>
      <c r="B943" s="9"/>
      <c r="C943" s="9"/>
    </row>
    <row r="944" spans="1:3" x14ac:dyDescent="0.3">
      <c r="A944" s="11"/>
      <c r="B944" s="8"/>
      <c r="C944" s="8"/>
    </row>
    <row r="945" spans="1:5" x14ac:dyDescent="0.3">
      <c r="A945" s="12"/>
      <c r="B945" s="9"/>
      <c r="C945" s="9"/>
    </row>
    <row r="946" spans="1:5" x14ac:dyDescent="0.3">
      <c r="A946" s="11"/>
      <c r="B946" s="8"/>
      <c r="C946" s="8"/>
    </row>
    <row r="947" spans="1:5" x14ac:dyDescent="0.3">
      <c r="A947" s="12"/>
      <c r="B947" s="9"/>
    </row>
    <row r="948" spans="1:5" x14ac:dyDescent="0.3">
      <c r="A948" s="11"/>
      <c r="B948" s="8"/>
    </row>
    <row r="949" spans="1:5" x14ac:dyDescent="0.3">
      <c r="A949" s="12"/>
      <c r="B949" s="9"/>
    </row>
    <row r="950" spans="1:5" x14ac:dyDescent="0.3">
      <c r="A950" s="11"/>
      <c r="B950" s="8"/>
    </row>
    <row r="951" spans="1:5" x14ac:dyDescent="0.3">
      <c r="A951" s="12"/>
      <c r="B951" s="9"/>
    </row>
    <row r="952" spans="1:5" x14ac:dyDescent="0.3">
      <c r="A952" s="11"/>
      <c r="B952" s="8"/>
    </row>
    <row r="953" spans="1:5" x14ac:dyDescent="0.3">
      <c r="A953" s="12"/>
      <c r="B953" s="9"/>
    </row>
    <row r="954" spans="1:5" x14ac:dyDescent="0.3">
      <c r="A954" s="11"/>
      <c r="B954" s="8"/>
    </row>
    <row r="955" spans="1:5" x14ac:dyDescent="0.3">
      <c r="A955" s="12" t="s">
        <v>38</v>
      </c>
      <c r="B955" s="8"/>
      <c r="D955">
        <f t="shared" ref="D955:D1018" si="11">IF(IFERROR(FIND("1",A955,1),ERROR.TYPE(#VALUE!))=ERROR.TYPE(#VALUE!),$M$2,$M$1)</f>
        <v>0</v>
      </c>
      <c r="E955">
        <v>4.6291378671739117E-2</v>
      </c>
    </row>
    <row r="956" spans="1:5" x14ac:dyDescent="0.3">
      <c r="A956" s="11" t="s">
        <v>38</v>
      </c>
      <c r="B956" s="8"/>
      <c r="D956">
        <f t="shared" si="11"/>
        <v>0</v>
      </c>
      <c r="E956">
        <v>4.711801043373446E-2</v>
      </c>
    </row>
    <row r="957" spans="1:5" x14ac:dyDescent="0.3">
      <c r="A957" s="12" t="s">
        <v>38</v>
      </c>
      <c r="B957" s="8"/>
      <c r="D957">
        <f t="shared" si="11"/>
        <v>0</v>
      </c>
      <c r="E957">
        <v>4.7944642195729803E-2</v>
      </c>
    </row>
    <row r="958" spans="1:5" x14ac:dyDescent="0.3">
      <c r="A958" s="11" t="s">
        <v>38</v>
      </c>
      <c r="B958" s="8"/>
      <c r="D958">
        <f t="shared" si="11"/>
        <v>0</v>
      </c>
      <c r="E958">
        <v>4.8771273957725139E-2</v>
      </c>
    </row>
    <row r="959" spans="1:5" x14ac:dyDescent="0.3">
      <c r="A959" s="12" t="s">
        <v>38</v>
      </c>
      <c r="B959" s="8"/>
      <c r="D959">
        <f t="shared" si="11"/>
        <v>0</v>
      </c>
      <c r="E959">
        <v>4.9597905719720482E-2</v>
      </c>
    </row>
    <row r="960" spans="1:5" x14ac:dyDescent="0.3">
      <c r="A960" s="11" t="s">
        <v>38</v>
      </c>
      <c r="B960" s="8"/>
      <c r="D960">
        <f t="shared" si="11"/>
        <v>0</v>
      </c>
      <c r="E960">
        <v>5.0424537481715832E-2</v>
      </c>
    </row>
    <row r="961" spans="1:5" x14ac:dyDescent="0.3">
      <c r="A961" s="12" t="s">
        <v>38</v>
      </c>
      <c r="B961" s="8"/>
      <c r="D961">
        <f t="shared" si="11"/>
        <v>0</v>
      </c>
      <c r="E961">
        <v>5.1251169243711162E-2</v>
      </c>
    </row>
    <row r="962" spans="1:5" x14ac:dyDescent="0.3">
      <c r="A962" s="11" t="s">
        <v>38</v>
      </c>
      <c r="B962" s="8"/>
      <c r="D962">
        <f t="shared" si="11"/>
        <v>0</v>
      </c>
      <c r="E962">
        <v>5.2077801005706498E-2</v>
      </c>
    </row>
    <row r="963" spans="1:5" x14ac:dyDescent="0.3">
      <c r="A963" s="12" t="s">
        <v>38</v>
      </c>
      <c r="B963" s="8"/>
      <c r="D963">
        <f t="shared" si="11"/>
        <v>0</v>
      </c>
      <c r="E963">
        <v>5.2904432767701848E-2</v>
      </c>
    </row>
    <row r="964" spans="1:5" x14ac:dyDescent="0.3">
      <c r="A964" s="11" t="s">
        <v>38</v>
      </c>
      <c r="B964" s="8"/>
      <c r="D964">
        <f t="shared" si="11"/>
        <v>0</v>
      </c>
      <c r="E964">
        <v>5.3731064529697191E-2</v>
      </c>
    </row>
    <row r="965" spans="1:5" x14ac:dyDescent="0.3">
      <c r="A965" s="12" t="s">
        <v>38</v>
      </c>
      <c r="B965" s="8"/>
      <c r="D965">
        <f t="shared" si="11"/>
        <v>0</v>
      </c>
      <c r="E965">
        <v>5.4557696291692527E-2</v>
      </c>
    </row>
    <row r="966" spans="1:5" x14ac:dyDescent="0.3">
      <c r="A966" s="11" t="s">
        <v>38</v>
      </c>
      <c r="B966" s="8"/>
      <c r="D966">
        <f t="shared" si="11"/>
        <v>0</v>
      </c>
      <c r="E966">
        <v>5.538432805368787E-2</v>
      </c>
    </row>
    <row r="967" spans="1:5" x14ac:dyDescent="0.3">
      <c r="A967" s="12" t="s">
        <v>38</v>
      </c>
      <c r="B967" s="8"/>
      <c r="D967">
        <f t="shared" si="11"/>
        <v>0</v>
      </c>
      <c r="E967">
        <v>5.6210959815683213E-2</v>
      </c>
    </row>
    <row r="968" spans="1:5" x14ac:dyDescent="0.3">
      <c r="A968" s="11" t="s">
        <v>38</v>
      </c>
      <c r="B968" s="8"/>
      <c r="D968">
        <f t="shared" si="11"/>
        <v>0</v>
      </c>
      <c r="E968">
        <v>5.7037591577678563E-2</v>
      </c>
    </row>
    <row r="969" spans="1:5" x14ac:dyDescent="0.3">
      <c r="A969" s="12" t="s">
        <v>38</v>
      </c>
      <c r="B969" s="8"/>
      <c r="D969">
        <f t="shared" si="11"/>
        <v>0</v>
      </c>
      <c r="E969">
        <v>5.7864223339673893E-2</v>
      </c>
    </row>
    <row r="970" spans="1:5" x14ac:dyDescent="0.3">
      <c r="A970" s="11" t="s">
        <v>38</v>
      </c>
      <c r="B970" s="8"/>
      <c r="D970">
        <f t="shared" si="11"/>
        <v>0</v>
      </c>
      <c r="E970">
        <v>5.8690855101669243E-2</v>
      </c>
    </row>
    <row r="971" spans="1:5" x14ac:dyDescent="0.3">
      <c r="A971" s="12" t="s">
        <v>38</v>
      </c>
      <c r="B971" s="8"/>
      <c r="D971">
        <f t="shared" si="11"/>
        <v>0</v>
      </c>
      <c r="E971">
        <v>5.9517486863664579E-2</v>
      </c>
    </row>
    <row r="972" spans="1:5" x14ac:dyDescent="0.3">
      <c r="A972" s="11" t="s">
        <v>38</v>
      </c>
      <c r="B972" s="8"/>
      <c r="D972">
        <f t="shared" si="11"/>
        <v>0</v>
      </c>
      <c r="E972">
        <v>6.0344118625659922E-2</v>
      </c>
    </row>
    <row r="973" spans="1:5" x14ac:dyDescent="0.3">
      <c r="A973" s="12" t="s">
        <v>38</v>
      </c>
      <c r="B973" s="8"/>
      <c r="D973">
        <f t="shared" si="11"/>
        <v>0</v>
      </c>
      <c r="E973">
        <v>6.1170750387655258E-2</v>
      </c>
    </row>
    <row r="974" spans="1:5" x14ac:dyDescent="0.3">
      <c r="A974" s="11" t="s">
        <v>38</v>
      </c>
      <c r="B974" s="8"/>
      <c r="D974">
        <f t="shared" si="11"/>
        <v>0</v>
      </c>
      <c r="E974">
        <v>6.1997382149650601E-2</v>
      </c>
    </row>
    <row r="975" spans="1:5" x14ac:dyDescent="0.3">
      <c r="A975" s="12" t="s">
        <v>38</v>
      </c>
      <c r="B975" s="8"/>
      <c r="D975">
        <f t="shared" si="11"/>
        <v>0</v>
      </c>
      <c r="E975">
        <v>6.2824013911645937E-2</v>
      </c>
    </row>
    <row r="976" spans="1:5" x14ac:dyDescent="0.3">
      <c r="A976" s="11" t="s">
        <v>38</v>
      </c>
      <c r="B976" s="8"/>
      <c r="D976">
        <f t="shared" si="11"/>
        <v>0</v>
      </c>
      <c r="E976">
        <v>6.3650645673641287E-2</v>
      </c>
    </row>
    <row r="977" spans="1:5" x14ac:dyDescent="0.3">
      <c r="A977" s="12" t="s">
        <v>38</v>
      </c>
      <c r="B977" s="8"/>
      <c r="D977">
        <f t="shared" si="11"/>
        <v>0</v>
      </c>
      <c r="E977">
        <v>6.4477277435636624E-2</v>
      </c>
    </row>
    <row r="978" spans="1:5" x14ac:dyDescent="0.3">
      <c r="A978" s="11" t="s">
        <v>38</v>
      </c>
      <c r="B978" s="8"/>
      <c r="D978">
        <f t="shared" si="11"/>
        <v>0</v>
      </c>
      <c r="E978">
        <v>6.5303909197631974E-2</v>
      </c>
    </row>
    <row r="979" spans="1:5" x14ac:dyDescent="0.3">
      <c r="A979" s="12" t="s">
        <v>38</v>
      </c>
      <c r="B979" s="8"/>
      <c r="D979">
        <f t="shared" si="11"/>
        <v>0</v>
      </c>
      <c r="E979">
        <v>6.613054095962731E-2</v>
      </c>
    </row>
    <row r="980" spans="1:5" x14ac:dyDescent="0.3">
      <c r="A980" s="11" t="s">
        <v>38</v>
      </c>
      <c r="B980" s="8"/>
      <c r="D980">
        <f t="shared" si="11"/>
        <v>0</v>
      </c>
      <c r="E980">
        <v>6.6957172721622646E-2</v>
      </c>
    </row>
    <row r="981" spans="1:5" x14ac:dyDescent="0.3">
      <c r="A981" s="12" t="s">
        <v>38</v>
      </c>
      <c r="B981" s="8"/>
      <c r="D981">
        <f t="shared" si="11"/>
        <v>0</v>
      </c>
      <c r="E981">
        <v>6.7783804483617996E-2</v>
      </c>
    </row>
    <row r="982" spans="1:5" x14ac:dyDescent="0.3">
      <c r="A982" s="11" t="s">
        <v>38</v>
      </c>
      <c r="B982" s="8"/>
      <c r="D982">
        <f t="shared" si="11"/>
        <v>0</v>
      </c>
      <c r="E982">
        <v>6.8610436245613332E-2</v>
      </c>
    </row>
    <row r="983" spans="1:5" x14ac:dyDescent="0.3">
      <c r="A983" s="12" t="s">
        <v>38</v>
      </c>
      <c r="B983" s="8"/>
      <c r="D983">
        <f t="shared" si="11"/>
        <v>0</v>
      </c>
      <c r="E983">
        <v>6.9437068007608682E-2</v>
      </c>
    </row>
    <row r="984" spans="1:5" x14ac:dyDescent="0.3">
      <c r="A984" s="11" t="s">
        <v>38</v>
      </c>
      <c r="B984" s="8"/>
      <c r="D984">
        <f t="shared" si="11"/>
        <v>0</v>
      </c>
      <c r="E984">
        <v>7.0263699769604018E-2</v>
      </c>
    </row>
    <row r="985" spans="1:5" x14ac:dyDescent="0.3">
      <c r="A985" s="12" t="s">
        <v>38</v>
      </c>
      <c r="B985" s="8"/>
      <c r="D985">
        <f t="shared" si="11"/>
        <v>0</v>
      </c>
      <c r="E985">
        <v>7.1090331531599354E-2</v>
      </c>
    </row>
    <row r="986" spans="1:5" x14ac:dyDescent="0.3">
      <c r="A986" s="11" t="s">
        <v>38</v>
      </c>
      <c r="B986" s="8"/>
      <c r="D986">
        <f t="shared" si="11"/>
        <v>0</v>
      </c>
      <c r="E986">
        <v>7.1916963293594705E-2</v>
      </c>
    </row>
    <row r="987" spans="1:5" x14ac:dyDescent="0.3">
      <c r="A987" s="12" t="s">
        <v>38</v>
      </c>
      <c r="B987" s="8"/>
      <c r="D987">
        <f t="shared" si="11"/>
        <v>0</v>
      </c>
      <c r="E987">
        <v>7.2743595055590041E-2</v>
      </c>
    </row>
    <row r="988" spans="1:5" x14ac:dyDescent="0.3">
      <c r="A988" s="11" t="s">
        <v>38</v>
      </c>
      <c r="B988" s="8"/>
      <c r="D988">
        <f t="shared" si="11"/>
        <v>0</v>
      </c>
      <c r="E988">
        <v>7.3570226817585377E-2</v>
      </c>
    </row>
    <row r="989" spans="1:5" x14ac:dyDescent="0.3">
      <c r="A989" s="12" t="s">
        <v>38</v>
      </c>
      <c r="B989" s="8"/>
      <c r="D989">
        <f t="shared" si="11"/>
        <v>0</v>
      </c>
      <c r="E989">
        <v>7.4396858579580727E-2</v>
      </c>
    </row>
    <row r="990" spans="1:5" x14ac:dyDescent="0.3">
      <c r="A990" s="11" t="s">
        <v>38</v>
      </c>
      <c r="B990" s="8"/>
      <c r="D990">
        <f t="shared" si="11"/>
        <v>0</v>
      </c>
      <c r="E990">
        <v>7.5223490341576063E-2</v>
      </c>
    </row>
    <row r="991" spans="1:5" x14ac:dyDescent="0.3">
      <c r="A991" s="12" t="s">
        <v>38</v>
      </c>
      <c r="B991" s="8"/>
      <c r="D991">
        <f t="shared" si="11"/>
        <v>0</v>
      </c>
      <c r="E991">
        <v>7.6050122103571399E-2</v>
      </c>
    </row>
    <row r="992" spans="1:5" x14ac:dyDescent="0.3">
      <c r="A992" s="11" t="s">
        <v>38</v>
      </c>
      <c r="B992" s="8"/>
      <c r="D992">
        <f t="shared" si="11"/>
        <v>0</v>
      </c>
      <c r="E992">
        <v>7.6876753865566749E-2</v>
      </c>
    </row>
    <row r="993" spans="1:5" x14ac:dyDescent="0.3">
      <c r="A993" s="12" t="s">
        <v>38</v>
      </c>
      <c r="B993" s="8"/>
      <c r="D993">
        <f t="shared" si="11"/>
        <v>0</v>
      </c>
      <c r="E993">
        <v>7.7703385627562085E-2</v>
      </c>
    </row>
    <row r="994" spans="1:5" x14ac:dyDescent="0.3">
      <c r="A994" s="11" t="s">
        <v>38</v>
      </c>
      <c r="B994" s="8"/>
      <c r="D994">
        <f t="shared" si="11"/>
        <v>0</v>
      </c>
      <c r="E994">
        <v>7.8530017389557435E-2</v>
      </c>
    </row>
    <row r="995" spans="1:5" x14ac:dyDescent="0.3">
      <c r="A995" s="12" t="s">
        <v>38</v>
      </c>
      <c r="B995" s="8"/>
      <c r="D995">
        <f t="shared" si="11"/>
        <v>0</v>
      </c>
      <c r="E995">
        <v>7.9356649151552772E-2</v>
      </c>
    </row>
    <row r="996" spans="1:5" x14ac:dyDescent="0.3">
      <c r="A996" s="11" t="s">
        <v>38</v>
      </c>
      <c r="B996" s="8"/>
      <c r="D996">
        <f t="shared" si="11"/>
        <v>0</v>
      </c>
      <c r="E996">
        <v>8.0183280913548108E-2</v>
      </c>
    </row>
    <row r="997" spans="1:5" x14ac:dyDescent="0.3">
      <c r="A997" s="12" t="s">
        <v>38</v>
      </c>
      <c r="B997" s="8"/>
      <c r="D997">
        <f t="shared" si="11"/>
        <v>0</v>
      </c>
      <c r="E997">
        <v>8.1009912675543458E-2</v>
      </c>
    </row>
    <row r="998" spans="1:5" x14ac:dyDescent="0.3">
      <c r="A998" s="11" t="s">
        <v>38</v>
      </c>
      <c r="B998" s="8"/>
      <c r="D998">
        <f t="shared" si="11"/>
        <v>0</v>
      </c>
      <c r="E998">
        <v>8.1836544437538794E-2</v>
      </c>
    </row>
    <row r="999" spans="1:5" x14ac:dyDescent="0.3">
      <c r="A999" s="12" t="s">
        <v>38</v>
      </c>
      <c r="B999" s="8"/>
      <c r="D999">
        <f t="shared" si="11"/>
        <v>0</v>
      </c>
    </row>
    <row r="1000" spans="1:5" x14ac:dyDescent="0.3">
      <c r="A1000" s="11" t="s">
        <v>38</v>
      </c>
      <c r="B1000" s="8"/>
      <c r="D1000">
        <f t="shared" si="11"/>
        <v>0</v>
      </c>
    </row>
    <row r="1001" spans="1:5" x14ac:dyDescent="0.3">
      <c r="A1001" s="12" t="s">
        <v>39</v>
      </c>
      <c r="B1001" s="9">
        <v>39343.887179748519</v>
      </c>
      <c r="D1001">
        <f t="shared" si="11"/>
        <v>0</v>
      </c>
    </row>
    <row r="1002" spans="1:5" x14ac:dyDescent="0.3">
      <c r="A1002" s="11" t="s">
        <v>39</v>
      </c>
      <c r="B1002" s="8">
        <v>39343.887179748519</v>
      </c>
      <c r="D1002">
        <f t="shared" si="11"/>
        <v>0</v>
      </c>
    </row>
    <row r="1003" spans="1:5" x14ac:dyDescent="0.3">
      <c r="A1003" s="12" t="s">
        <v>39</v>
      </c>
      <c r="B1003" s="9">
        <v>39343.887179748519</v>
      </c>
      <c r="D1003">
        <f t="shared" si="11"/>
        <v>0</v>
      </c>
    </row>
    <row r="1004" spans="1:5" x14ac:dyDescent="0.3">
      <c r="A1004" s="11" t="s">
        <v>39</v>
      </c>
      <c r="B1004" s="8">
        <v>39343.887179748519</v>
      </c>
      <c r="D1004">
        <f t="shared" si="11"/>
        <v>0</v>
      </c>
    </row>
    <row r="1005" spans="1:5" x14ac:dyDescent="0.3">
      <c r="A1005" s="12" t="s">
        <v>39</v>
      </c>
      <c r="B1005" s="9">
        <v>39343.887179748519</v>
      </c>
      <c r="D1005">
        <f t="shared" si="11"/>
        <v>0</v>
      </c>
    </row>
    <row r="1006" spans="1:5" x14ac:dyDescent="0.3">
      <c r="A1006" s="11" t="s">
        <v>39</v>
      </c>
      <c r="B1006" s="8">
        <v>39343.887179748519</v>
      </c>
      <c r="D1006">
        <f t="shared" si="11"/>
        <v>0</v>
      </c>
    </row>
    <row r="1007" spans="1:5" x14ac:dyDescent="0.3">
      <c r="A1007" s="12" t="s">
        <v>39</v>
      </c>
      <c r="B1007" s="9">
        <v>39343.887179748519</v>
      </c>
      <c r="D1007">
        <f t="shared" si="11"/>
        <v>0</v>
      </c>
    </row>
    <row r="1008" spans="1:5" x14ac:dyDescent="0.3">
      <c r="A1008" s="11" t="s">
        <v>39</v>
      </c>
      <c r="B1008" s="8">
        <v>39343.887179748519</v>
      </c>
      <c r="D1008">
        <f t="shared" si="11"/>
        <v>0</v>
      </c>
    </row>
    <row r="1009" spans="1:4" x14ac:dyDescent="0.3">
      <c r="A1009" s="12" t="s">
        <v>39</v>
      </c>
      <c r="B1009" s="9">
        <v>39343.887179748519</v>
      </c>
      <c r="D1009">
        <f t="shared" si="11"/>
        <v>0</v>
      </c>
    </row>
    <row r="1010" spans="1:4" x14ac:dyDescent="0.3">
      <c r="A1010" s="11" t="s">
        <v>39</v>
      </c>
      <c r="B1010" s="8">
        <v>39343.887179748519</v>
      </c>
      <c r="D1010">
        <f t="shared" si="11"/>
        <v>0</v>
      </c>
    </row>
    <row r="1011" spans="1:4" x14ac:dyDescent="0.3">
      <c r="A1011" s="12" t="s">
        <v>39</v>
      </c>
      <c r="B1011" s="9">
        <v>39343.887179748519</v>
      </c>
      <c r="D1011">
        <f t="shared" si="11"/>
        <v>0</v>
      </c>
    </row>
    <row r="1012" spans="1:4" x14ac:dyDescent="0.3">
      <c r="A1012" s="11" t="s">
        <v>39</v>
      </c>
      <c r="B1012" s="8">
        <v>39343.887179748519</v>
      </c>
      <c r="D1012">
        <f t="shared" si="11"/>
        <v>0</v>
      </c>
    </row>
    <row r="1013" spans="1:4" x14ac:dyDescent="0.3">
      <c r="A1013" s="12" t="s">
        <v>39</v>
      </c>
      <c r="B1013" s="9">
        <v>39343.887179748519</v>
      </c>
      <c r="D1013">
        <f t="shared" si="11"/>
        <v>0</v>
      </c>
    </row>
    <row r="1014" spans="1:4" x14ac:dyDescent="0.3">
      <c r="A1014" s="11" t="s">
        <v>39</v>
      </c>
      <c r="B1014" s="8">
        <v>39343.887179748519</v>
      </c>
      <c r="D1014">
        <f t="shared" si="11"/>
        <v>0</v>
      </c>
    </row>
    <row r="1015" spans="1:4" x14ac:dyDescent="0.3">
      <c r="A1015" s="12" t="s">
        <v>39</v>
      </c>
      <c r="B1015" s="9">
        <v>39343.887179748519</v>
      </c>
      <c r="D1015">
        <f t="shared" si="11"/>
        <v>0</v>
      </c>
    </row>
    <row r="1016" spans="1:4" x14ac:dyDescent="0.3">
      <c r="A1016" s="11" t="s">
        <v>39</v>
      </c>
      <c r="B1016" s="8">
        <v>39343.887179748519</v>
      </c>
      <c r="D1016">
        <f t="shared" si="11"/>
        <v>0</v>
      </c>
    </row>
    <row r="1017" spans="1:4" x14ac:dyDescent="0.3">
      <c r="A1017" s="12" t="s">
        <v>39</v>
      </c>
      <c r="B1017" s="9">
        <v>39343.887179748519</v>
      </c>
      <c r="D1017">
        <f t="shared" si="11"/>
        <v>0</v>
      </c>
    </row>
    <row r="1018" spans="1:4" x14ac:dyDescent="0.3">
      <c r="A1018" s="11" t="s">
        <v>39</v>
      </c>
      <c r="B1018" s="8">
        <v>39343.887179748519</v>
      </c>
      <c r="D1018">
        <f t="shared" si="11"/>
        <v>0</v>
      </c>
    </row>
    <row r="1019" spans="1:4" x14ac:dyDescent="0.3">
      <c r="A1019" s="12" t="s">
        <v>39</v>
      </c>
      <c r="B1019" s="9">
        <v>39343.887179748519</v>
      </c>
      <c r="D1019">
        <f t="shared" ref="D1019:D1082" si="12">IF(IFERROR(FIND("1",A1019,1),ERROR.TYPE(#VALUE!))=ERROR.TYPE(#VALUE!),$M$2,$M$1)</f>
        <v>0</v>
      </c>
    </row>
    <row r="1020" spans="1:4" x14ac:dyDescent="0.3">
      <c r="A1020" s="11" t="s">
        <v>39</v>
      </c>
      <c r="B1020" s="8">
        <v>39343.887179748519</v>
      </c>
      <c r="D1020">
        <f t="shared" si="12"/>
        <v>0</v>
      </c>
    </row>
    <row r="1021" spans="1:4" x14ac:dyDescent="0.3">
      <c r="A1021" s="12" t="s">
        <v>39</v>
      </c>
      <c r="B1021" s="9">
        <v>39343.887179748519</v>
      </c>
      <c r="D1021">
        <f t="shared" si="12"/>
        <v>0</v>
      </c>
    </row>
    <row r="1022" spans="1:4" x14ac:dyDescent="0.3">
      <c r="A1022" s="11" t="s">
        <v>39</v>
      </c>
      <c r="B1022" s="8">
        <v>39343.887179748519</v>
      </c>
      <c r="D1022">
        <f t="shared" si="12"/>
        <v>0</v>
      </c>
    </row>
    <row r="1023" spans="1:4" x14ac:dyDescent="0.3">
      <c r="A1023" s="12" t="s">
        <v>39</v>
      </c>
      <c r="B1023" s="9">
        <v>39343.887179748519</v>
      </c>
      <c r="D1023">
        <f t="shared" si="12"/>
        <v>0</v>
      </c>
    </row>
    <row r="1024" spans="1:4" x14ac:dyDescent="0.3">
      <c r="A1024" s="11" t="s">
        <v>39</v>
      </c>
      <c r="B1024" s="8">
        <v>39343.887179748519</v>
      </c>
      <c r="D1024">
        <f t="shared" si="12"/>
        <v>0</v>
      </c>
    </row>
    <row r="1025" spans="1:4" x14ac:dyDescent="0.3">
      <c r="A1025" s="12" t="s">
        <v>39</v>
      </c>
      <c r="B1025" s="9">
        <v>39343.887179748519</v>
      </c>
      <c r="D1025">
        <f t="shared" si="12"/>
        <v>0</v>
      </c>
    </row>
    <row r="1026" spans="1:4" x14ac:dyDescent="0.3">
      <c r="A1026" s="11" t="s">
        <v>39</v>
      </c>
      <c r="B1026" s="8">
        <v>39343.887179748519</v>
      </c>
      <c r="D1026">
        <f t="shared" si="12"/>
        <v>0</v>
      </c>
    </row>
    <row r="1027" spans="1:4" x14ac:dyDescent="0.3">
      <c r="A1027" s="12" t="s">
        <v>39</v>
      </c>
      <c r="B1027" s="9">
        <v>39343.887179748519</v>
      </c>
      <c r="D1027">
        <f t="shared" si="12"/>
        <v>0</v>
      </c>
    </row>
    <row r="1028" spans="1:4" x14ac:dyDescent="0.3">
      <c r="A1028" s="11" t="s">
        <v>39</v>
      </c>
      <c r="B1028" s="8">
        <v>39343.887179748519</v>
      </c>
      <c r="D1028">
        <f t="shared" si="12"/>
        <v>0</v>
      </c>
    </row>
    <row r="1029" spans="1:4" x14ac:dyDescent="0.3">
      <c r="A1029" s="12" t="s">
        <v>39</v>
      </c>
      <c r="B1029" s="9">
        <v>39343.887179748519</v>
      </c>
      <c r="D1029">
        <f t="shared" si="12"/>
        <v>0</v>
      </c>
    </row>
    <row r="1030" spans="1:4" x14ac:dyDescent="0.3">
      <c r="A1030" s="11" t="s">
        <v>39</v>
      </c>
      <c r="B1030" s="8">
        <v>39343.887179748519</v>
      </c>
      <c r="D1030">
        <f t="shared" si="12"/>
        <v>0</v>
      </c>
    </row>
    <row r="1031" spans="1:4" x14ac:dyDescent="0.3">
      <c r="A1031" s="12" t="s">
        <v>39</v>
      </c>
      <c r="B1031" s="9">
        <v>39343.887179748519</v>
      </c>
      <c r="D1031">
        <f t="shared" si="12"/>
        <v>0</v>
      </c>
    </row>
    <row r="1032" spans="1:4" x14ac:dyDescent="0.3">
      <c r="A1032" s="11" t="s">
        <v>39</v>
      </c>
      <c r="B1032" s="8">
        <v>39343.887179748519</v>
      </c>
      <c r="D1032">
        <f t="shared" si="12"/>
        <v>0</v>
      </c>
    </row>
    <row r="1033" spans="1:4" x14ac:dyDescent="0.3">
      <c r="A1033" s="12" t="s">
        <v>39</v>
      </c>
      <c r="B1033" s="9">
        <v>39343.887179748519</v>
      </c>
      <c r="D1033">
        <f t="shared" si="12"/>
        <v>0</v>
      </c>
    </row>
    <row r="1034" spans="1:4" x14ac:dyDescent="0.3">
      <c r="A1034" s="11" t="s">
        <v>39</v>
      </c>
      <c r="B1034" s="8">
        <v>39343.887179748519</v>
      </c>
      <c r="D1034">
        <f t="shared" si="12"/>
        <v>0</v>
      </c>
    </row>
    <row r="1035" spans="1:4" x14ac:dyDescent="0.3">
      <c r="A1035" s="12" t="s">
        <v>39</v>
      </c>
      <c r="B1035" s="9">
        <v>39343.887179748519</v>
      </c>
      <c r="D1035">
        <f t="shared" si="12"/>
        <v>0</v>
      </c>
    </row>
    <row r="1036" spans="1:4" x14ac:dyDescent="0.3">
      <c r="A1036" s="11" t="s">
        <v>39</v>
      </c>
      <c r="B1036" s="8">
        <v>39343.887179748519</v>
      </c>
      <c r="D1036">
        <f t="shared" si="12"/>
        <v>0</v>
      </c>
    </row>
    <row r="1037" spans="1:4" x14ac:dyDescent="0.3">
      <c r="A1037" s="12" t="s">
        <v>39</v>
      </c>
      <c r="B1037" s="9">
        <v>39343.887179748519</v>
      </c>
      <c r="D1037">
        <f t="shared" si="12"/>
        <v>0</v>
      </c>
    </row>
    <row r="1038" spans="1:4" x14ac:dyDescent="0.3">
      <c r="A1038" s="11" t="s">
        <v>39</v>
      </c>
      <c r="B1038" s="8">
        <v>39343.887179748519</v>
      </c>
      <c r="D1038">
        <f t="shared" si="12"/>
        <v>0</v>
      </c>
    </row>
    <row r="1039" spans="1:4" x14ac:dyDescent="0.3">
      <c r="A1039" s="12" t="s">
        <v>39</v>
      </c>
      <c r="B1039" s="9">
        <v>39343.887179748519</v>
      </c>
      <c r="D1039">
        <f t="shared" si="12"/>
        <v>0</v>
      </c>
    </row>
    <row r="1040" spans="1:4" x14ac:dyDescent="0.3">
      <c r="A1040" s="11" t="s">
        <v>39</v>
      </c>
      <c r="B1040" s="8">
        <v>39343.887179748519</v>
      </c>
      <c r="D1040">
        <f t="shared" si="12"/>
        <v>0</v>
      </c>
    </row>
    <row r="1041" spans="1:4" x14ac:dyDescent="0.3">
      <c r="A1041" s="12" t="s">
        <v>39</v>
      </c>
      <c r="B1041" s="9">
        <v>39343.887179748519</v>
      </c>
      <c r="D1041">
        <f t="shared" si="12"/>
        <v>0</v>
      </c>
    </row>
    <row r="1042" spans="1:4" x14ac:dyDescent="0.3">
      <c r="A1042" s="11" t="s">
        <v>39</v>
      </c>
      <c r="B1042" s="8">
        <v>39343.887179748519</v>
      </c>
      <c r="D1042">
        <f t="shared" si="12"/>
        <v>0</v>
      </c>
    </row>
    <row r="1043" spans="1:4" x14ac:dyDescent="0.3">
      <c r="A1043" s="12" t="s">
        <v>39</v>
      </c>
      <c r="B1043" s="9">
        <v>39343.887179748519</v>
      </c>
      <c r="D1043">
        <f t="shared" si="12"/>
        <v>0</v>
      </c>
    </row>
    <row r="1044" spans="1:4" x14ac:dyDescent="0.3">
      <c r="A1044" s="11" t="s">
        <v>39</v>
      </c>
      <c r="B1044" s="8">
        <v>39343.887179748519</v>
      </c>
      <c r="D1044">
        <f t="shared" si="12"/>
        <v>0</v>
      </c>
    </row>
    <row r="1045" spans="1:4" x14ac:dyDescent="0.3">
      <c r="A1045" s="12" t="s">
        <v>39</v>
      </c>
      <c r="B1045" s="9">
        <v>39343.887179748519</v>
      </c>
      <c r="D1045">
        <f t="shared" si="12"/>
        <v>0</v>
      </c>
    </row>
    <row r="1046" spans="1:4" x14ac:dyDescent="0.3">
      <c r="A1046" s="11" t="s">
        <v>39</v>
      </c>
      <c r="B1046" s="8">
        <v>39343.887179748519</v>
      </c>
      <c r="D1046">
        <f t="shared" si="12"/>
        <v>0</v>
      </c>
    </row>
    <row r="1047" spans="1:4" x14ac:dyDescent="0.3">
      <c r="A1047" s="12" t="s">
        <v>39</v>
      </c>
      <c r="B1047" s="9">
        <v>39343.887179748519</v>
      </c>
      <c r="D1047">
        <f t="shared" si="12"/>
        <v>0</v>
      </c>
    </row>
    <row r="1048" spans="1:4" x14ac:dyDescent="0.3">
      <c r="A1048" s="11" t="s">
        <v>39</v>
      </c>
      <c r="B1048" s="8">
        <v>39343.887179748519</v>
      </c>
      <c r="D1048">
        <f t="shared" si="12"/>
        <v>0</v>
      </c>
    </row>
    <row r="1049" spans="1:4" x14ac:dyDescent="0.3">
      <c r="A1049" s="12" t="s">
        <v>39</v>
      </c>
      <c r="B1049" s="9">
        <v>39343.887179748519</v>
      </c>
      <c r="D1049">
        <f t="shared" si="12"/>
        <v>0</v>
      </c>
    </row>
    <row r="1050" spans="1:4" x14ac:dyDescent="0.3">
      <c r="A1050" s="11" t="s">
        <v>39</v>
      </c>
      <c r="B1050" s="8">
        <v>39343.887179748519</v>
      </c>
      <c r="D1050">
        <f t="shared" si="12"/>
        <v>0</v>
      </c>
    </row>
    <row r="1051" spans="1:4" x14ac:dyDescent="0.3">
      <c r="A1051" s="12" t="s">
        <v>39</v>
      </c>
      <c r="B1051" s="9">
        <v>39343.887179748519</v>
      </c>
      <c r="D1051">
        <f t="shared" si="12"/>
        <v>0</v>
      </c>
    </row>
    <row r="1052" spans="1:4" x14ac:dyDescent="0.3">
      <c r="A1052" s="11" t="s">
        <v>39</v>
      </c>
      <c r="B1052" s="8">
        <v>39343.887179748519</v>
      </c>
      <c r="D1052">
        <f t="shared" si="12"/>
        <v>0</v>
      </c>
    </row>
    <row r="1053" spans="1:4" x14ac:dyDescent="0.3">
      <c r="A1053" s="12" t="s">
        <v>39</v>
      </c>
      <c r="B1053" s="9">
        <v>39343.887179748519</v>
      </c>
      <c r="D1053">
        <f t="shared" si="12"/>
        <v>0</v>
      </c>
    </row>
    <row r="1054" spans="1:4" x14ac:dyDescent="0.3">
      <c r="A1054" s="11" t="s">
        <v>39</v>
      </c>
      <c r="B1054" s="8">
        <v>39343.887179748519</v>
      </c>
      <c r="D1054">
        <f t="shared" si="12"/>
        <v>0</v>
      </c>
    </row>
    <row r="1055" spans="1:4" x14ac:dyDescent="0.3">
      <c r="A1055" s="12" t="s">
        <v>39</v>
      </c>
      <c r="B1055" s="9">
        <v>39343.887179748519</v>
      </c>
      <c r="D1055">
        <f t="shared" si="12"/>
        <v>0</v>
      </c>
    </row>
    <row r="1056" spans="1:4" x14ac:dyDescent="0.3">
      <c r="A1056" s="11" t="s">
        <v>39</v>
      </c>
      <c r="B1056" s="8">
        <v>39343.887179748519</v>
      </c>
      <c r="D1056">
        <f t="shared" si="12"/>
        <v>0</v>
      </c>
    </row>
    <row r="1057" spans="1:4" x14ac:dyDescent="0.3">
      <c r="A1057" s="12" t="s">
        <v>39</v>
      </c>
      <c r="B1057" s="9">
        <v>39343.887179748519</v>
      </c>
      <c r="D1057">
        <f t="shared" si="12"/>
        <v>0</v>
      </c>
    </row>
    <row r="1058" spans="1:4" x14ac:dyDescent="0.3">
      <c r="A1058" s="11" t="s">
        <v>39</v>
      </c>
      <c r="B1058" s="8">
        <v>39343.887179748519</v>
      </c>
      <c r="D1058">
        <f t="shared" si="12"/>
        <v>0</v>
      </c>
    </row>
    <row r="1059" spans="1:4" x14ac:dyDescent="0.3">
      <c r="A1059" s="12" t="s">
        <v>39</v>
      </c>
      <c r="B1059" s="9">
        <v>39343.887179748519</v>
      </c>
      <c r="D1059">
        <f t="shared" si="12"/>
        <v>0</v>
      </c>
    </row>
    <row r="1060" spans="1:4" x14ac:dyDescent="0.3">
      <c r="A1060" s="11" t="s">
        <v>39</v>
      </c>
      <c r="B1060" s="8">
        <v>39343.887179748519</v>
      </c>
      <c r="D1060">
        <f t="shared" si="12"/>
        <v>0</v>
      </c>
    </row>
    <row r="1061" spans="1:4" x14ac:dyDescent="0.3">
      <c r="A1061" s="12" t="s">
        <v>39</v>
      </c>
      <c r="B1061" s="9">
        <v>39343.887179748519</v>
      </c>
      <c r="D1061">
        <f t="shared" si="12"/>
        <v>0</v>
      </c>
    </row>
    <row r="1062" spans="1:4" x14ac:dyDescent="0.3">
      <c r="A1062" s="11" t="s">
        <v>39</v>
      </c>
      <c r="B1062" s="8">
        <v>39343.887179748519</v>
      </c>
      <c r="D1062">
        <f t="shared" si="12"/>
        <v>0</v>
      </c>
    </row>
    <row r="1063" spans="1:4" x14ac:dyDescent="0.3">
      <c r="A1063" s="12" t="s">
        <v>39</v>
      </c>
      <c r="B1063" s="9">
        <v>39343.887179748519</v>
      </c>
      <c r="D1063">
        <f t="shared" si="12"/>
        <v>0</v>
      </c>
    </row>
    <row r="1064" spans="1:4" x14ac:dyDescent="0.3">
      <c r="A1064" s="11" t="s">
        <v>39</v>
      </c>
      <c r="B1064" s="8">
        <v>39343.887179748519</v>
      </c>
      <c r="D1064">
        <f t="shared" si="12"/>
        <v>0</v>
      </c>
    </row>
    <row r="1065" spans="1:4" x14ac:dyDescent="0.3">
      <c r="A1065" s="12" t="s">
        <v>39</v>
      </c>
      <c r="B1065" s="9">
        <v>39343.887179748519</v>
      </c>
      <c r="D1065">
        <f t="shared" si="12"/>
        <v>0</v>
      </c>
    </row>
    <row r="1066" spans="1:4" x14ac:dyDescent="0.3">
      <c r="A1066" s="11" t="s">
        <v>39</v>
      </c>
      <c r="B1066" s="8">
        <v>39343.887179748519</v>
      </c>
      <c r="D1066">
        <f t="shared" si="12"/>
        <v>0</v>
      </c>
    </row>
    <row r="1067" spans="1:4" x14ac:dyDescent="0.3">
      <c r="A1067" s="12" t="s">
        <v>39</v>
      </c>
      <c r="B1067" s="9">
        <v>39343.887179748519</v>
      </c>
      <c r="D1067">
        <f t="shared" si="12"/>
        <v>0</v>
      </c>
    </row>
    <row r="1068" spans="1:4" x14ac:dyDescent="0.3">
      <c r="A1068" s="11" t="s">
        <v>39</v>
      </c>
      <c r="B1068" s="8">
        <v>39343.887179748519</v>
      </c>
      <c r="D1068">
        <f t="shared" si="12"/>
        <v>0</v>
      </c>
    </row>
    <row r="1069" spans="1:4" x14ac:dyDescent="0.3">
      <c r="A1069" s="12" t="s">
        <v>39</v>
      </c>
      <c r="B1069" s="9">
        <v>39343.887179748519</v>
      </c>
      <c r="D1069">
        <f t="shared" si="12"/>
        <v>0</v>
      </c>
    </row>
    <row r="1070" spans="1:4" x14ac:dyDescent="0.3">
      <c r="A1070" s="11" t="s">
        <v>39</v>
      </c>
      <c r="B1070" s="8">
        <v>39343.887179748519</v>
      </c>
      <c r="D1070">
        <f t="shared" si="12"/>
        <v>0</v>
      </c>
    </row>
    <row r="1071" spans="1:4" x14ac:dyDescent="0.3">
      <c r="A1071" s="12" t="s">
        <v>39</v>
      </c>
      <c r="B1071" s="9">
        <v>39343.887179748519</v>
      </c>
      <c r="D1071">
        <f t="shared" si="12"/>
        <v>0</v>
      </c>
    </row>
    <row r="1072" spans="1:4" x14ac:dyDescent="0.3">
      <c r="A1072" s="11" t="s">
        <v>39</v>
      </c>
      <c r="B1072" s="8">
        <v>39343.887179748519</v>
      </c>
      <c r="D1072">
        <f t="shared" si="12"/>
        <v>0</v>
      </c>
    </row>
    <row r="1073" spans="1:4" x14ac:dyDescent="0.3">
      <c r="A1073" s="12" t="s">
        <v>39</v>
      </c>
      <c r="B1073" s="9">
        <v>39343.887179748519</v>
      </c>
      <c r="D1073">
        <f t="shared" si="12"/>
        <v>0</v>
      </c>
    </row>
    <row r="1074" spans="1:4" x14ac:dyDescent="0.3">
      <c r="A1074" s="11" t="s">
        <v>39</v>
      </c>
      <c r="B1074" s="8">
        <v>39343.887179748519</v>
      </c>
      <c r="D1074">
        <f t="shared" si="12"/>
        <v>0</v>
      </c>
    </row>
    <row r="1075" spans="1:4" x14ac:dyDescent="0.3">
      <c r="A1075" s="12" t="s">
        <v>39</v>
      </c>
      <c r="B1075" s="9">
        <v>39343.887179748519</v>
      </c>
      <c r="D1075">
        <f t="shared" si="12"/>
        <v>0</v>
      </c>
    </row>
    <row r="1076" spans="1:4" x14ac:dyDescent="0.3">
      <c r="A1076" s="11" t="s">
        <v>39</v>
      </c>
      <c r="B1076" s="8">
        <v>39343.887179748519</v>
      </c>
      <c r="D1076">
        <f t="shared" si="12"/>
        <v>0</v>
      </c>
    </row>
    <row r="1077" spans="1:4" x14ac:dyDescent="0.3">
      <c r="A1077" s="12" t="s">
        <v>39</v>
      </c>
      <c r="B1077" s="9">
        <v>39343.887179748519</v>
      </c>
      <c r="D1077">
        <f t="shared" si="12"/>
        <v>0</v>
      </c>
    </row>
    <row r="1078" spans="1:4" x14ac:dyDescent="0.3">
      <c r="A1078" s="11" t="s">
        <v>39</v>
      </c>
      <c r="B1078" s="8">
        <v>39343.887179748519</v>
      </c>
      <c r="D1078">
        <f t="shared" si="12"/>
        <v>0</v>
      </c>
    </row>
    <row r="1079" spans="1:4" x14ac:dyDescent="0.3">
      <c r="A1079" s="12" t="s">
        <v>39</v>
      </c>
      <c r="B1079" s="9">
        <v>39343.887179748519</v>
      </c>
      <c r="D1079">
        <f t="shared" si="12"/>
        <v>0</v>
      </c>
    </row>
    <row r="1080" spans="1:4" x14ac:dyDescent="0.3">
      <c r="A1080" s="11" t="s">
        <v>39</v>
      </c>
      <c r="B1080" s="8">
        <v>39343.887179748519</v>
      </c>
      <c r="D1080">
        <f t="shared" si="12"/>
        <v>0</v>
      </c>
    </row>
    <row r="1081" spans="1:4" x14ac:dyDescent="0.3">
      <c r="A1081" s="12" t="s">
        <v>39</v>
      </c>
      <c r="B1081" s="9">
        <v>39343.887179748519</v>
      </c>
      <c r="D1081">
        <f t="shared" si="12"/>
        <v>0</v>
      </c>
    </row>
    <row r="1082" spans="1:4" x14ac:dyDescent="0.3">
      <c r="A1082" s="11" t="s">
        <v>39</v>
      </c>
      <c r="B1082" s="8">
        <v>39343.887179748519</v>
      </c>
      <c r="D1082">
        <f t="shared" si="12"/>
        <v>0</v>
      </c>
    </row>
    <row r="1083" spans="1:4" x14ac:dyDescent="0.3">
      <c r="A1083" s="12" t="s">
        <v>39</v>
      </c>
      <c r="B1083" s="9">
        <v>39343.887179748519</v>
      </c>
      <c r="D1083">
        <f t="shared" ref="D1083:D1146" si="13">IF(IFERROR(FIND("1",A1083,1),ERROR.TYPE(#VALUE!))=ERROR.TYPE(#VALUE!),$M$2,$M$1)</f>
        <v>0</v>
      </c>
    </row>
    <row r="1084" spans="1:4" x14ac:dyDescent="0.3">
      <c r="A1084" s="11" t="s">
        <v>39</v>
      </c>
      <c r="B1084" s="8">
        <v>39343.887179748519</v>
      </c>
      <c r="D1084">
        <f t="shared" si="13"/>
        <v>0</v>
      </c>
    </row>
    <row r="1085" spans="1:4" x14ac:dyDescent="0.3">
      <c r="A1085" s="12" t="s">
        <v>39</v>
      </c>
      <c r="B1085" s="9">
        <v>39343.887179748519</v>
      </c>
      <c r="D1085">
        <f t="shared" si="13"/>
        <v>0</v>
      </c>
    </row>
    <row r="1086" spans="1:4" x14ac:dyDescent="0.3">
      <c r="A1086" s="11" t="s">
        <v>39</v>
      </c>
      <c r="B1086" s="8">
        <v>39343.887179748519</v>
      </c>
      <c r="D1086">
        <f t="shared" si="13"/>
        <v>0</v>
      </c>
    </row>
    <row r="1087" spans="1:4" x14ac:dyDescent="0.3">
      <c r="A1087" s="12" t="s">
        <v>39</v>
      </c>
      <c r="B1087" s="9">
        <v>39343.887179748519</v>
      </c>
      <c r="D1087">
        <f t="shared" si="13"/>
        <v>0</v>
      </c>
    </row>
    <row r="1088" spans="1:4" x14ac:dyDescent="0.3">
      <c r="A1088" s="11" t="s">
        <v>39</v>
      </c>
      <c r="B1088" s="8">
        <v>39343.887179748519</v>
      </c>
      <c r="D1088">
        <f t="shared" si="13"/>
        <v>0</v>
      </c>
    </row>
    <row r="1089" spans="1:4" x14ac:dyDescent="0.3">
      <c r="A1089" s="12" t="s">
        <v>39</v>
      </c>
      <c r="B1089" s="9">
        <v>39343.887179748519</v>
      </c>
      <c r="D1089">
        <f t="shared" si="13"/>
        <v>0</v>
      </c>
    </row>
    <row r="1090" spans="1:4" x14ac:dyDescent="0.3">
      <c r="A1090" s="11" t="s">
        <v>39</v>
      </c>
      <c r="B1090" s="8">
        <v>39343.887179748519</v>
      </c>
      <c r="D1090">
        <f t="shared" si="13"/>
        <v>0</v>
      </c>
    </row>
    <row r="1091" spans="1:4" x14ac:dyDescent="0.3">
      <c r="A1091" s="12" t="s">
        <v>39</v>
      </c>
      <c r="B1091" s="9">
        <v>39343.887179748519</v>
      </c>
      <c r="D1091">
        <f t="shared" si="13"/>
        <v>0</v>
      </c>
    </row>
    <row r="1092" spans="1:4" x14ac:dyDescent="0.3">
      <c r="A1092" s="11" t="s">
        <v>39</v>
      </c>
      <c r="B1092" s="8">
        <v>39343.887179748519</v>
      </c>
      <c r="D1092">
        <f t="shared" si="13"/>
        <v>0</v>
      </c>
    </row>
    <row r="1093" spans="1:4" x14ac:dyDescent="0.3">
      <c r="A1093" s="12" t="s">
        <v>39</v>
      </c>
      <c r="B1093" s="9">
        <v>39343.887179748519</v>
      </c>
      <c r="D1093">
        <f t="shared" si="13"/>
        <v>0</v>
      </c>
    </row>
    <row r="1094" spans="1:4" x14ac:dyDescent="0.3">
      <c r="A1094" s="11" t="s">
        <v>39</v>
      </c>
      <c r="B1094" s="8">
        <v>39343.887179748519</v>
      </c>
      <c r="D1094">
        <f t="shared" si="13"/>
        <v>0</v>
      </c>
    </row>
    <row r="1095" spans="1:4" x14ac:dyDescent="0.3">
      <c r="A1095" s="12" t="s">
        <v>39</v>
      </c>
      <c r="B1095" s="9">
        <v>39343.887179748519</v>
      </c>
      <c r="D1095">
        <f t="shared" si="13"/>
        <v>0</v>
      </c>
    </row>
    <row r="1096" spans="1:4" x14ac:dyDescent="0.3">
      <c r="A1096" s="11" t="s">
        <v>39</v>
      </c>
      <c r="B1096" s="8">
        <v>39343.887179748519</v>
      </c>
      <c r="D1096">
        <f t="shared" si="13"/>
        <v>0</v>
      </c>
    </row>
    <row r="1097" spans="1:4" x14ac:dyDescent="0.3">
      <c r="A1097" s="12" t="s">
        <v>39</v>
      </c>
      <c r="B1097" s="9">
        <v>39343.887179748519</v>
      </c>
      <c r="D1097">
        <f t="shared" si="13"/>
        <v>0</v>
      </c>
    </row>
    <row r="1098" spans="1:4" x14ac:dyDescent="0.3">
      <c r="A1098" s="11" t="s">
        <v>39</v>
      </c>
      <c r="B1098" s="8">
        <v>39343.887179748519</v>
      </c>
      <c r="D1098">
        <f t="shared" si="13"/>
        <v>0</v>
      </c>
    </row>
    <row r="1099" spans="1:4" x14ac:dyDescent="0.3">
      <c r="A1099" s="12" t="s">
        <v>39</v>
      </c>
      <c r="B1099" s="9">
        <v>39343.887179748519</v>
      </c>
      <c r="D1099">
        <f t="shared" si="13"/>
        <v>0</v>
      </c>
    </row>
    <row r="1100" spans="1:4" x14ac:dyDescent="0.3">
      <c r="A1100" s="11" t="s">
        <v>39</v>
      </c>
      <c r="B1100" s="8">
        <v>39343.887179748519</v>
      </c>
      <c r="D1100">
        <f t="shared" si="13"/>
        <v>0</v>
      </c>
    </row>
    <row r="1101" spans="1:4" x14ac:dyDescent="0.3">
      <c r="A1101" s="12" t="s">
        <v>40</v>
      </c>
      <c r="B1101" s="9">
        <v>22802.146518862519</v>
      </c>
      <c r="D1101">
        <f t="shared" si="13"/>
        <v>0</v>
      </c>
    </row>
    <row r="1102" spans="1:4" x14ac:dyDescent="0.3">
      <c r="A1102" s="11" t="s">
        <v>40</v>
      </c>
      <c r="B1102" s="8">
        <v>22870.682296517269</v>
      </c>
      <c r="D1102">
        <f t="shared" si="13"/>
        <v>0</v>
      </c>
    </row>
    <row r="1103" spans="1:4" x14ac:dyDescent="0.3">
      <c r="A1103" s="12" t="s">
        <v>40</v>
      </c>
      <c r="B1103" s="9">
        <v>22952.076802820189</v>
      </c>
      <c r="D1103">
        <f t="shared" si="13"/>
        <v>0</v>
      </c>
    </row>
    <row r="1104" spans="1:4" x14ac:dyDescent="0.3">
      <c r="A1104" s="11" t="s">
        <v>40</v>
      </c>
      <c r="B1104" s="8">
        <v>23034.035404236249</v>
      </c>
      <c r="D1104">
        <f t="shared" si="13"/>
        <v>0</v>
      </c>
    </row>
    <row r="1105" spans="1:4" x14ac:dyDescent="0.3">
      <c r="A1105" s="12" t="s">
        <v>40</v>
      </c>
      <c r="B1105" s="9">
        <v>23116.391315079589</v>
      </c>
      <c r="D1105">
        <f t="shared" si="13"/>
        <v>0</v>
      </c>
    </row>
    <row r="1106" spans="1:4" x14ac:dyDescent="0.3">
      <c r="A1106" s="11" t="s">
        <v>40</v>
      </c>
      <c r="B1106" s="8">
        <v>23174.093852674781</v>
      </c>
      <c r="D1106">
        <f t="shared" si="13"/>
        <v>0</v>
      </c>
    </row>
    <row r="1107" spans="1:4" x14ac:dyDescent="0.3">
      <c r="A1107" s="12" t="s">
        <v>40</v>
      </c>
      <c r="B1107" s="9">
        <v>23270.0071634901</v>
      </c>
      <c r="D1107">
        <f t="shared" si="13"/>
        <v>0</v>
      </c>
    </row>
    <row r="1108" spans="1:4" x14ac:dyDescent="0.3">
      <c r="A1108" s="11" t="s">
        <v>40</v>
      </c>
      <c r="B1108" s="8">
        <v>23366.476282538639</v>
      </c>
      <c r="D1108">
        <f t="shared" si="13"/>
        <v>0</v>
      </c>
    </row>
    <row r="1109" spans="1:4" x14ac:dyDescent="0.3">
      <c r="A1109" s="12" t="s">
        <v>40</v>
      </c>
      <c r="B1109" s="9">
        <v>23463.5046190346</v>
      </c>
      <c r="D1109">
        <f t="shared" si="13"/>
        <v>0</v>
      </c>
    </row>
    <row r="1110" spans="1:4" x14ac:dyDescent="0.3">
      <c r="A1110" s="11" t="s">
        <v>40</v>
      </c>
      <c r="B1110" s="8">
        <v>23535.66296633604</v>
      </c>
      <c r="D1110">
        <f t="shared" si="13"/>
        <v>0</v>
      </c>
    </row>
    <row r="1111" spans="1:4" x14ac:dyDescent="0.3">
      <c r="A1111" s="12" t="s">
        <v>40</v>
      </c>
      <c r="B1111" s="9">
        <v>23608.370144174922</v>
      </c>
      <c r="D1111">
        <f t="shared" si="13"/>
        <v>0</v>
      </c>
    </row>
    <row r="1112" spans="1:4" x14ac:dyDescent="0.3">
      <c r="A1112" s="11" t="s">
        <v>40</v>
      </c>
      <c r="B1112" s="8">
        <v>23693.89695783857</v>
      </c>
      <c r="D1112">
        <f t="shared" si="13"/>
        <v>0</v>
      </c>
    </row>
    <row r="1113" spans="1:4" x14ac:dyDescent="0.3">
      <c r="A1113" s="12" t="s">
        <v>40</v>
      </c>
      <c r="B1113" s="9">
        <v>23780.204502981691</v>
      </c>
      <c r="D1113">
        <f t="shared" si="13"/>
        <v>0</v>
      </c>
    </row>
    <row r="1114" spans="1:4" x14ac:dyDescent="0.3">
      <c r="A1114" s="11" t="s">
        <v>40</v>
      </c>
      <c r="B1114" s="8">
        <v>23853.657449353261</v>
      </c>
      <c r="D1114">
        <f t="shared" si="13"/>
        <v>0</v>
      </c>
    </row>
    <row r="1115" spans="1:4" x14ac:dyDescent="0.3">
      <c r="A1115" s="12" t="s">
        <v>40</v>
      </c>
      <c r="B1115" s="9">
        <v>23940.989684893539</v>
      </c>
      <c r="D1115">
        <f t="shared" si="13"/>
        <v>0</v>
      </c>
    </row>
    <row r="1116" spans="1:4" x14ac:dyDescent="0.3">
      <c r="A1116" s="11" t="s">
        <v>40</v>
      </c>
      <c r="B1116" s="8">
        <v>24029.172035679811</v>
      </c>
      <c r="D1116">
        <f t="shared" si="13"/>
        <v>0</v>
      </c>
    </row>
    <row r="1117" spans="1:4" x14ac:dyDescent="0.3">
      <c r="A1117" s="12" t="s">
        <v>40</v>
      </c>
      <c r="B1117" s="9">
        <v>24130.43909610152</v>
      </c>
      <c r="D1117">
        <f t="shared" si="13"/>
        <v>0</v>
      </c>
    </row>
    <row r="1118" spans="1:4" x14ac:dyDescent="0.3">
      <c r="A1118" s="11" t="s">
        <v>40</v>
      </c>
      <c r="B1118" s="8">
        <v>24219.87050631507</v>
      </c>
      <c r="D1118">
        <f t="shared" si="13"/>
        <v>0</v>
      </c>
    </row>
    <row r="1119" spans="1:4" x14ac:dyDescent="0.3">
      <c r="A1119" s="12" t="s">
        <v>40</v>
      </c>
      <c r="B1119" s="9">
        <v>24296.10096014294</v>
      </c>
      <c r="D1119">
        <f t="shared" si="13"/>
        <v>0</v>
      </c>
    </row>
    <row r="1120" spans="1:4" x14ac:dyDescent="0.3">
      <c r="A1120" s="11" t="s">
        <v>40</v>
      </c>
      <c r="B1120" s="8">
        <v>24385.710621162001</v>
      </c>
      <c r="D1120">
        <f t="shared" si="13"/>
        <v>0</v>
      </c>
    </row>
    <row r="1121" spans="1:4" x14ac:dyDescent="0.3">
      <c r="A1121" s="12" t="s">
        <v>40</v>
      </c>
      <c r="B1121" s="9">
        <v>24475.931767454731</v>
      </c>
      <c r="D1121">
        <f t="shared" si="13"/>
        <v>0</v>
      </c>
    </row>
    <row r="1122" spans="1:4" x14ac:dyDescent="0.3">
      <c r="A1122" s="11" t="s">
        <v>40</v>
      </c>
      <c r="B1122" s="8">
        <v>24567.246500438789</v>
      </c>
      <c r="D1122">
        <f t="shared" si="13"/>
        <v>0</v>
      </c>
    </row>
    <row r="1123" spans="1:4" x14ac:dyDescent="0.3">
      <c r="A1123" s="12" t="s">
        <v>40</v>
      </c>
      <c r="B1123" s="9">
        <v>24671.912934257311</v>
      </c>
      <c r="D1123">
        <f t="shared" si="13"/>
        <v>0</v>
      </c>
    </row>
    <row r="1124" spans="1:4" x14ac:dyDescent="0.3">
      <c r="A1124" s="11" t="s">
        <v>40</v>
      </c>
      <c r="B1124" s="8">
        <v>24764.52098639723</v>
      </c>
      <c r="D1124">
        <f t="shared" si="13"/>
        <v>0</v>
      </c>
    </row>
    <row r="1125" spans="1:4" x14ac:dyDescent="0.3">
      <c r="A1125" s="12" t="s">
        <v>40</v>
      </c>
      <c r="B1125" s="9">
        <v>24843.234074637399</v>
      </c>
      <c r="D1125">
        <f t="shared" si="13"/>
        <v>0</v>
      </c>
    </row>
    <row r="1126" spans="1:4" x14ac:dyDescent="0.3">
      <c r="A1126" s="11" t="s">
        <v>40</v>
      </c>
      <c r="B1126" s="8">
        <v>24935.222358489758</v>
      </c>
      <c r="D1126">
        <f t="shared" si="13"/>
        <v>0</v>
      </c>
    </row>
    <row r="1127" spans="1:4" x14ac:dyDescent="0.3">
      <c r="A1127" s="12" t="s">
        <v>40</v>
      </c>
      <c r="B1127" s="9">
        <v>24987.32419966098</v>
      </c>
      <c r="D1127">
        <f t="shared" si="13"/>
        <v>0</v>
      </c>
    </row>
    <row r="1128" spans="1:4" x14ac:dyDescent="0.3">
      <c r="A1128" s="11" t="s">
        <v>40</v>
      </c>
      <c r="B1128" s="8">
        <v>25068.209640643028</v>
      </c>
      <c r="D1128">
        <f t="shared" si="13"/>
        <v>0</v>
      </c>
    </row>
    <row r="1129" spans="1:4" x14ac:dyDescent="0.3">
      <c r="A1129" s="12" t="s">
        <v>40</v>
      </c>
      <c r="B1129" s="9">
        <v>25161.800955886611</v>
      </c>
      <c r="D1129">
        <f t="shared" si="13"/>
        <v>0</v>
      </c>
    </row>
    <row r="1130" spans="1:4" x14ac:dyDescent="0.3">
      <c r="A1130" s="11" t="s">
        <v>40</v>
      </c>
      <c r="B1130" s="8">
        <v>25243.00497181683</v>
      </c>
      <c r="D1130">
        <f t="shared" si="13"/>
        <v>0</v>
      </c>
    </row>
    <row r="1131" spans="1:4" x14ac:dyDescent="0.3">
      <c r="A1131" s="12" t="s">
        <v>40</v>
      </c>
      <c r="B1131" s="9">
        <v>25352.0230608376</v>
      </c>
      <c r="D1131">
        <f t="shared" si="13"/>
        <v>0</v>
      </c>
    </row>
    <row r="1132" spans="1:4" x14ac:dyDescent="0.3">
      <c r="A1132" s="11" t="s">
        <v>40</v>
      </c>
      <c r="B1132" s="8">
        <v>25448.756824026121</v>
      </c>
      <c r="D1132">
        <f t="shared" si="13"/>
        <v>0</v>
      </c>
    </row>
    <row r="1133" spans="1:4" x14ac:dyDescent="0.3">
      <c r="A1133" s="12" t="s">
        <v>40</v>
      </c>
      <c r="B1133" s="9">
        <v>25533.680001945741</v>
      </c>
      <c r="D1133">
        <f t="shared" si="13"/>
        <v>0</v>
      </c>
    </row>
    <row r="1134" spans="1:4" x14ac:dyDescent="0.3">
      <c r="A1134" s="11" t="s">
        <v>40</v>
      </c>
      <c r="B1134" s="8">
        <v>25632.167830737209</v>
      </c>
      <c r="D1134">
        <f t="shared" si="13"/>
        <v>0</v>
      </c>
    </row>
    <row r="1135" spans="1:4" x14ac:dyDescent="0.3">
      <c r="A1135" s="12" t="s">
        <v>40</v>
      </c>
      <c r="B1135" s="9">
        <v>25729.388486175299</v>
      </c>
      <c r="D1135">
        <f t="shared" si="13"/>
        <v>0</v>
      </c>
    </row>
    <row r="1136" spans="1:4" x14ac:dyDescent="0.3">
      <c r="A1136" s="11" t="s">
        <v>40</v>
      </c>
      <c r="B1136" s="8">
        <v>25827.56211973352</v>
      </c>
      <c r="D1136">
        <f t="shared" si="13"/>
        <v>0</v>
      </c>
    </row>
    <row r="1137" spans="1:4" x14ac:dyDescent="0.3">
      <c r="A1137" s="12" t="s">
        <v>40</v>
      </c>
      <c r="B1137" s="9">
        <v>25926.085135146681</v>
      </c>
      <c r="D1137">
        <f t="shared" si="13"/>
        <v>0</v>
      </c>
    </row>
    <row r="1138" spans="1:4" x14ac:dyDescent="0.3">
      <c r="A1138" s="11" t="s">
        <v>40</v>
      </c>
      <c r="B1138" s="8">
        <v>26039.4612674624</v>
      </c>
      <c r="D1138">
        <f t="shared" si="13"/>
        <v>0</v>
      </c>
    </row>
    <row r="1139" spans="1:4" x14ac:dyDescent="0.3">
      <c r="A1139" s="12" t="s">
        <v>40</v>
      </c>
      <c r="B1139" s="9">
        <v>26153.503130686491</v>
      </c>
      <c r="D1139">
        <f t="shared" si="13"/>
        <v>0</v>
      </c>
    </row>
    <row r="1140" spans="1:4" x14ac:dyDescent="0.3">
      <c r="A1140" s="11" t="s">
        <v>40</v>
      </c>
      <c r="B1140" s="8">
        <v>26254.725046736519</v>
      </c>
      <c r="D1140">
        <f t="shared" si="13"/>
        <v>0</v>
      </c>
    </row>
    <row r="1141" spans="1:4" x14ac:dyDescent="0.3">
      <c r="A1141" s="12" t="s">
        <v>40</v>
      </c>
      <c r="B1141" s="9">
        <v>26316.42465267325</v>
      </c>
      <c r="D1141">
        <f t="shared" si="13"/>
        <v>0</v>
      </c>
    </row>
    <row r="1142" spans="1:4" x14ac:dyDescent="0.3">
      <c r="A1142" s="11" t="s">
        <v>40</v>
      </c>
      <c r="B1142" s="8">
        <v>26377.0257810847</v>
      </c>
      <c r="D1142">
        <f t="shared" si="13"/>
        <v>0</v>
      </c>
    </row>
    <row r="1143" spans="1:4" x14ac:dyDescent="0.3">
      <c r="A1143" s="12" t="s">
        <v>40</v>
      </c>
      <c r="B1143" s="9">
        <v>26493.484884314788</v>
      </c>
      <c r="D1143">
        <f t="shared" si="13"/>
        <v>0</v>
      </c>
    </row>
    <row r="1144" spans="1:4" x14ac:dyDescent="0.3">
      <c r="A1144" s="11" t="s">
        <v>40</v>
      </c>
      <c r="B1144" s="8">
        <v>26610.629163576661</v>
      </c>
      <c r="D1144">
        <f t="shared" si="13"/>
        <v>0</v>
      </c>
    </row>
    <row r="1145" spans="1:4" x14ac:dyDescent="0.3">
      <c r="A1145" s="12" t="s">
        <v>40</v>
      </c>
      <c r="B1145" s="9">
        <v>26728.46281162135</v>
      </c>
      <c r="D1145">
        <f t="shared" si="13"/>
        <v>0</v>
      </c>
    </row>
    <row r="1146" spans="1:4" x14ac:dyDescent="0.3">
      <c r="A1146" s="11" t="s">
        <v>40</v>
      </c>
      <c r="B1146" s="8">
        <v>26831.685338466559</v>
      </c>
      <c r="D1146">
        <f t="shared" si="13"/>
        <v>0</v>
      </c>
    </row>
    <row r="1147" spans="1:4" x14ac:dyDescent="0.3">
      <c r="A1147" s="12" t="s">
        <v>40</v>
      </c>
      <c r="B1147" s="9">
        <v>26935.16427468507</v>
      </c>
      <c r="D1147">
        <f t="shared" ref="D1147:D1200" si="14">IF(IFERROR(FIND("1",A1147,1),ERROR.TYPE(#VALUE!))=ERROR.TYPE(#VALUE!),$M$2,$M$1)</f>
        <v>0</v>
      </c>
    </row>
    <row r="1148" spans="1:4" x14ac:dyDescent="0.3">
      <c r="A1148" s="11" t="s">
        <v>40</v>
      </c>
      <c r="B1148" s="8">
        <v>27010.057760686748</v>
      </c>
      <c r="D1148">
        <f t="shared" si="14"/>
        <v>0</v>
      </c>
    </row>
    <row r="1149" spans="1:4" x14ac:dyDescent="0.3">
      <c r="A1149" s="12" t="s">
        <v>40</v>
      </c>
      <c r="B1149" s="9">
        <v>27117.67964085444</v>
      </c>
      <c r="D1149">
        <f t="shared" si="14"/>
        <v>0</v>
      </c>
    </row>
    <row r="1150" spans="1:4" x14ac:dyDescent="0.3">
      <c r="A1150" s="11" t="s">
        <v>40</v>
      </c>
      <c r="B1150" s="8">
        <v>27195.81290454356</v>
      </c>
      <c r="D1150">
        <f t="shared" si="14"/>
        <v>0</v>
      </c>
    </row>
    <row r="1151" spans="1:4" x14ac:dyDescent="0.3">
      <c r="A1151" s="12" t="s">
        <v>40</v>
      </c>
      <c r="B1151" s="9">
        <v>27276.854396405932</v>
      </c>
      <c r="D1151">
        <f t="shared" si="14"/>
        <v>0</v>
      </c>
    </row>
    <row r="1152" spans="1:4" x14ac:dyDescent="0.3">
      <c r="A1152" s="11" t="s">
        <v>40</v>
      </c>
      <c r="B1152" s="8">
        <v>27366.88677398465</v>
      </c>
      <c r="D1152">
        <f t="shared" si="14"/>
        <v>0</v>
      </c>
    </row>
    <row r="1153" spans="1:4" x14ac:dyDescent="0.3">
      <c r="A1153" s="12" t="s">
        <v>40</v>
      </c>
      <c r="B1153" s="9">
        <v>27475.52167418009</v>
      </c>
      <c r="D1153">
        <f t="shared" si="14"/>
        <v>0</v>
      </c>
    </row>
    <row r="1154" spans="1:4" x14ac:dyDescent="0.3">
      <c r="A1154" s="11" t="s">
        <v>40</v>
      </c>
      <c r="B1154" s="8">
        <v>27581.266348158741</v>
      </c>
      <c r="D1154">
        <f t="shared" si="14"/>
        <v>0</v>
      </c>
    </row>
    <row r="1155" spans="1:4" x14ac:dyDescent="0.3">
      <c r="A1155" s="12" t="s">
        <v>40</v>
      </c>
      <c r="B1155" s="9">
        <v>27678.37969625448</v>
      </c>
      <c r="D1155">
        <f t="shared" si="14"/>
        <v>0</v>
      </c>
    </row>
    <row r="1156" spans="1:4" x14ac:dyDescent="0.3">
      <c r="A1156" s="11" t="s">
        <v>40</v>
      </c>
      <c r="B1156" s="8">
        <v>27790.45805563821</v>
      </c>
      <c r="D1156">
        <f t="shared" si="14"/>
        <v>0</v>
      </c>
    </row>
    <row r="1157" spans="1:4" x14ac:dyDescent="0.3">
      <c r="A1157" s="12" t="s">
        <v>40</v>
      </c>
      <c r="B1157" s="9">
        <v>27915.984422547259</v>
      </c>
      <c r="D1157">
        <f t="shared" si="14"/>
        <v>0</v>
      </c>
    </row>
    <row r="1158" spans="1:4" x14ac:dyDescent="0.3">
      <c r="A1158" s="11" t="s">
        <v>40</v>
      </c>
      <c r="B1158" s="8">
        <v>28029.218603870471</v>
      </c>
      <c r="D1158">
        <f t="shared" si="14"/>
        <v>0</v>
      </c>
    </row>
    <row r="1159" spans="1:4" x14ac:dyDescent="0.3">
      <c r="A1159" s="12" t="s">
        <v>40</v>
      </c>
      <c r="B1159" s="9">
        <v>28124.057354241631</v>
      </c>
      <c r="D1159">
        <f t="shared" si="14"/>
        <v>0</v>
      </c>
    </row>
    <row r="1160" spans="1:4" x14ac:dyDescent="0.3">
      <c r="A1160" s="11" t="s">
        <v>40</v>
      </c>
      <c r="B1160" s="8">
        <v>28237.94440957288</v>
      </c>
      <c r="D1160">
        <f t="shared" si="14"/>
        <v>0</v>
      </c>
    </row>
    <row r="1161" spans="1:4" x14ac:dyDescent="0.3">
      <c r="A1161" s="12" t="s">
        <v>40</v>
      </c>
      <c r="B1161" s="9">
        <v>28352.190464293679</v>
      </c>
      <c r="D1161">
        <f t="shared" si="14"/>
        <v>0</v>
      </c>
    </row>
    <row r="1162" spans="1:4" x14ac:dyDescent="0.3">
      <c r="A1162" s="11" t="s">
        <v>40</v>
      </c>
      <c r="B1162" s="8">
        <v>28452.367927677289</v>
      </c>
      <c r="D1162">
        <f t="shared" si="14"/>
        <v>0</v>
      </c>
    </row>
    <row r="1163" spans="1:4" x14ac:dyDescent="0.3">
      <c r="A1163" s="12" t="s">
        <v>40</v>
      </c>
      <c r="B1163" s="9">
        <v>28554.07369832031</v>
      </c>
      <c r="D1163">
        <f t="shared" si="14"/>
        <v>0</v>
      </c>
    </row>
    <row r="1164" spans="1:4" x14ac:dyDescent="0.3">
      <c r="A1164" s="11" t="s">
        <v>40</v>
      </c>
      <c r="B1164" s="8">
        <v>28653.800232988429</v>
      </c>
      <c r="D1164">
        <f t="shared" si="14"/>
        <v>0</v>
      </c>
    </row>
    <row r="1165" spans="1:4" x14ac:dyDescent="0.3">
      <c r="A1165" s="12" t="s">
        <v>40</v>
      </c>
      <c r="B1165" s="9">
        <v>28767.793333806931</v>
      </c>
      <c r="D1165">
        <f t="shared" si="14"/>
        <v>0</v>
      </c>
    </row>
    <row r="1166" spans="1:4" x14ac:dyDescent="0.3">
      <c r="A1166" s="11" t="s">
        <v>40</v>
      </c>
      <c r="B1166" s="8">
        <v>28886.504830128211</v>
      </c>
      <c r="D1166">
        <f t="shared" si="14"/>
        <v>0</v>
      </c>
    </row>
    <row r="1167" spans="1:4" x14ac:dyDescent="0.3">
      <c r="A1167" s="12" t="s">
        <v>40</v>
      </c>
      <c r="B1167" s="9">
        <v>28970.284663873219</v>
      </c>
      <c r="D1167">
        <f t="shared" si="14"/>
        <v>0</v>
      </c>
    </row>
    <row r="1168" spans="1:4" x14ac:dyDescent="0.3">
      <c r="A1168" s="11" t="s">
        <v>40</v>
      </c>
      <c r="B1168" s="8">
        <v>29077.533747353071</v>
      </c>
      <c r="D1168">
        <f t="shared" si="14"/>
        <v>0</v>
      </c>
    </row>
    <row r="1169" spans="1:4" x14ac:dyDescent="0.3">
      <c r="A1169" s="12" t="s">
        <v>40</v>
      </c>
      <c r="B1169" s="9">
        <v>29197.573751045671</v>
      </c>
      <c r="D1169">
        <f t="shared" si="14"/>
        <v>0</v>
      </c>
    </row>
    <row r="1170" spans="1:4" x14ac:dyDescent="0.3">
      <c r="A1170" s="11" t="s">
        <v>40</v>
      </c>
      <c r="B1170" s="8">
        <v>29300.897609688149</v>
      </c>
      <c r="D1170">
        <f t="shared" si="14"/>
        <v>0</v>
      </c>
    </row>
    <row r="1171" spans="1:4" x14ac:dyDescent="0.3">
      <c r="A1171" s="12" t="s">
        <v>40</v>
      </c>
      <c r="B1171" s="9">
        <v>29421.935344352529</v>
      </c>
      <c r="D1171">
        <f t="shared" si="14"/>
        <v>0</v>
      </c>
    </row>
    <row r="1172" spans="1:4" x14ac:dyDescent="0.3">
      <c r="A1172" s="11" t="s">
        <v>40</v>
      </c>
      <c r="B1172" s="8">
        <v>29558.135143437179</v>
      </c>
      <c r="D1172">
        <f t="shared" si="14"/>
        <v>0</v>
      </c>
    </row>
    <row r="1173" spans="1:4" x14ac:dyDescent="0.3">
      <c r="A1173" s="12" t="s">
        <v>40</v>
      </c>
      <c r="B1173" s="9">
        <v>29669.52219126817</v>
      </c>
      <c r="D1173">
        <f t="shared" si="14"/>
        <v>0</v>
      </c>
    </row>
    <row r="1174" spans="1:4" x14ac:dyDescent="0.3">
      <c r="A1174" s="11" t="s">
        <v>40</v>
      </c>
      <c r="B1174" s="8">
        <v>29807.335094828799</v>
      </c>
      <c r="D1174">
        <f t="shared" si="14"/>
        <v>0</v>
      </c>
    </row>
    <row r="1175" spans="1:4" x14ac:dyDescent="0.3">
      <c r="A1175" s="12" t="s">
        <v>40</v>
      </c>
      <c r="B1175" s="9">
        <v>29917.369840508589</v>
      </c>
      <c r="D1175">
        <f t="shared" si="14"/>
        <v>0</v>
      </c>
    </row>
    <row r="1176" spans="1:4" x14ac:dyDescent="0.3">
      <c r="A1176" s="11" t="s">
        <v>40</v>
      </c>
      <c r="B1176" s="8">
        <v>30008.08422068397</v>
      </c>
      <c r="D1176">
        <f t="shared" si="14"/>
        <v>0</v>
      </c>
    </row>
    <row r="1177" spans="1:4" x14ac:dyDescent="0.3">
      <c r="A1177" s="12" t="s">
        <v>40</v>
      </c>
      <c r="B1177" s="9">
        <v>30113.4306531619</v>
      </c>
      <c r="D1177">
        <f t="shared" si="14"/>
        <v>0</v>
      </c>
    </row>
    <row r="1178" spans="1:4" x14ac:dyDescent="0.3">
      <c r="A1178" s="11" t="s">
        <v>40</v>
      </c>
      <c r="B1178" s="8">
        <v>30240.031135741741</v>
      </c>
      <c r="D1178">
        <f t="shared" si="14"/>
        <v>0</v>
      </c>
    </row>
    <row r="1179" spans="1:4" x14ac:dyDescent="0.3">
      <c r="A1179" s="12" t="s">
        <v>40</v>
      </c>
      <c r="B1179" s="9">
        <v>30353.542581388971</v>
      </c>
      <c r="D1179">
        <f t="shared" si="14"/>
        <v>0</v>
      </c>
    </row>
    <row r="1180" spans="1:4" x14ac:dyDescent="0.3">
      <c r="A1180" s="11" t="s">
        <v>40</v>
      </c>
      <c r="B1180" s="8">
        <v>30467.959531498851</v>
      </c>
      <c r="D1180">
        <f t="shared" si="14"/>
        <v>0</v>
      </c>
    </row>
    <row r="1181" spans="1:4" x14ac:dyDescent="0.3">
      <c r="A1181" s="12" t="s">
        <v>40</v>
      </c>
      <c r="B1181" s="9">
        <v>30594.3247923942</v>
      </c>
      <c r="D1181">
        <f t="shared" si="14"/>
        <v>0</v>
      </c>
    </row>
    <row r="1182" spans="1:4" x14ac:dyDescent="0.3">
      <c r="A1182" s="11" t="s">
        <v>40</v>
      </c>
      <c r="B1182" s="8">
        <v>30685.40717229135</v>
      </c>
      <c r="D1182">
        <f t="shared" si="14"/>
        <v>0</v>
      </c>
    </row>
    <row r="1183" spans="1:4" x14ac:dyDescent="0.3">
      <c r="A1183" s="12" t="s">
        <v>40</v>
      </c>
      <c r="B1183" s="9">
        <v>30816.20202184295</v>
      </c>
      <c r="D1183">
        <f t="shared" si="14"/>
        <v>0</v>
      </c>
    </row>
    <row r="1184" spans="1:4" x14ac:dyDescent="0.3">
      <c r="A1184" s="11" t="s">
        <v>40</v>
      </c>
      <c r="B1184" s="8">
        <v>30949.187394053679</v>
      </c>
      <c r="D1184">
        <f t="shared" si="14"/>
        <v>0</v>
      </c>
    </row>
    <row r="1185" spans="1:4" x14ac:dyDescent="0.3">
      <c r="A1185" s="12" t="s">
        <v>40</v>
      </c>
      <c r="B1185" s="9">
        <v>31080.12874397562</v>
      </c>
      <c r="D1185">
        <f t="shared" si="14"/>
        <v>0</v>
      </c>
    </row>
    <row r="1186" spans="1:4" x14ac:dyDescent="0.3">
      <c r="A1186" s="11" t="s">
        <v>40</v>
      </c>
      <c r="B1186" s="8">
        <v>31179.870553490669</v>
      </c>
      <c r="D1186">
        <f t="shared" si="14"/>
        <v>0</v>
      </c>
    </row>
    <row r="1187" spans="1:4" x14ac:dyDescent="0.3">
      <c r="A1187" s="12" t="s">
        <v>40</v>
      </c>
      <c r="B1187" s="9">
        <v>31327.721584280222</v>
      </c>
      <c r="D1187">
        <f t="shared" si="14"/>
        <v>0</v>
      </c>
    </row>
    <row r="1188" spans="1:4" x14ac:dyDescent="0.3">
      <c r="A1188" s="11" t="s">
        <v>40</v>
      </c>
      <c r="B1188" s="8">
        <v>31446.95669849465</v>
      </c>
      <c r="D1188">
        <f t="shared" si="14"/>
        <v>0</v>
      </c>
    </row>
    <row r="1189" spans="1:4" x14ac:dyDescent="0.3">
      <c r="A1189" s="12" t="s">
        <v>40</v>
      </c>
      <c r="B1189" s="9">
        <v>31581.589241695379</v>
      </c>
      <c r="D1189">
        <f t="shared" si="14"/>
        <v>0</v>
      </c>
    </row>
    <row r="1190" spans="1:4" x14ac:dyDescent="0.3">
      <c r="A1190" s="11" t="s">
        <v>40</v>
      </c>
      <c r="B1190" s="8">
        <v>31671.573204324159</v>
      </c>
      <c r="D1190">
        <f t="shared" si="14"/>
        <v>0</v>
      </c>
    </row>
    <row r="1191" spans="1:4" x14ac:dyDescent="0.3">
      <c r="A1191" s="12" t="s">
        <v>40</v>
      </c>
      <c r="B1191" s="9">
        <v>31801.74197622501</v>
      </c>
      <c r="D1191">
        <f t="shared" si="14"/>
        <v>0</v>
      </c>
    </row>
    <row r="1192" spans="1:4" x14ac:dyDescent="0.3">
      <c r="A1192" s="11" t="s">
        <v>40</v>
      </c>
      <c r="B1192" s="8">
        <v>31921.443225443531</v>
      </c>
      <c r="D1192">
        <f t="shared" si="14"/>
        <v>0</v>
      </c>
    </row>
    <row r="1193" spans="1:4" x14ac:dyDescent="0.3">
      <c r="A1193" s="12" t="s">
        <v>40</v>
      </c>
      <c r="B1193" s="9">
        <v>32046.82896237561</v>
      </c>
      <c r="D1193">
        <f t="shared" si="14"/>
        <v>0</v>
      </c>
    </row>
    <row r="1194" spans="1:4" x14ac:dyDescent="0.3">
      <c r="A1194" s="11" t="s">
        <v>40</v>
      </c>
      <c r="B1194" s="8">
        <v>32182.882668503829</v>
      </c>
      <c r="D1194">
        <f t="shared" si="14"/>
        <v>0</v>
      </c>
    </row>
    <row r="1195" spans="1:4" x14ac:dyDescent="0.3">
      <c r="A1195" s="12" t="s">
        <v>40</v>
      </c>
      <c r="B1195" s="9">
        <v>32309.261725058281</v>
      </c>
      <c r="D1195">
        <f t="shared" si="14"/>
        <v>0</v>
      </c>
    </row>
    <row r="1196" spans="1:4" x14ac:dyDescent="0.3">
      <c r="A1196" s="11" t="s">
        <v>40</v>
      </c>
      <c r="B1196" s="8">
        <v>32450.678205194239</v>
      </c>
      <c r="D1196">
        <f t="shared" si="14"/>
        <v>0</v>
      </c>
    </row>
    <row r="1197" spans="1:4" x14ac:dyDescent="0.3">
      <c r="A1197" s="12" t="s">
        <v>40</v>
      </c>
      <c r="B1197" s="9">
        <v>32591.824025876791</v>
      </c>
      <c r="D1197">
        <f t="shared" si="14"/>
        <v>0</v>
      </c>
    </row>
    <row r="1198" spans="1:4" x14ac:dyDescent="0.3">
      <c r="A1198" s="11" t="s">
        <v>40</v>
      </c>
      <c r="B1198" s="8">
        <v>32715.40143890103</v>
      </c>
      <c r="D1198">
        <f t="shared" si="14"/>
        <v>0</v>
      </c>
    </row>
    <row r="1199" spans="1:4" x14ac:dyDescent="0.3">
      <c r="A1199" s="12" t="s">
        <v>40</v>
      </c>
      <c r="B1199" s="9">
        <v>32843.294314335581</v>
      </c>
      <c r="D1199">
        <f t="shared" si="14"/>
        <v>0</v>
      </c>
    </row>
    <row r="1200" spans="1:4" x14ac:dyDescent="0.3">
      <c r="A1200" s="11" t="s">
        <v>40</v>
      </c>
      <c r="B1200" s="8">
        <v>32966.753462632943</v>
      </c>
      <c r="D1200">
        <f t="shared" si="14"/>
        <v>0</v>
      </c>
    </row>
    <row r="1201" spans="1:3" x14ac:dyDescent="0.3">
      <c r="A1201" s="12"/>
      <c r="B1201" s="9"/>
      <c r="C1201" s="9"/>
    </row>
    <row r="1202" spans="1:3" x14ac:dyDescent="0.3">
      <c r="A1202" s="11"/>
      <c r="B1202" s="8"/>
      <c r="C1202" s="8"/>
    </row>
    <row r="1203" spans="1:3" x14ac:dyDescent="0.3">
      <c r="A1203" s="12"/>
      <c r="B1203" s="9"/>
      <c r="C1203" s="9"/>
    </row>
    <row r="1204" spans="1:3" x14ac:dyDescent="0.3">
      <c r="A1204" s="11"/>
      <c r="B1204" s="8"/>
      <c r="C1204" s="8"/>
    </row>
    <row r="1205" spans="1:3" x14ac:dyDescent="0.3">
      <c r="A1205" s="12"/>
      <c r="B1205" s="9"/>
      <c r="C1205" s="9"/>
    </row>
    <row r="1206" spans="1:3" x14ac:dyDescent="0.3">
      <c r="A1206" s="11"/>
      <c r="B1206" s="8"/>
      <c r="C1206" s="8"/>
    </row>
    <row r="1207" spans="1:3" x14ac:dyDescent="0.3">
      <c r="A1207" s="12"/>
      <c r="B1207" s="9"/>
      <c r="C1207" s="9"/>
    </row>
    <row r="1208" spans="1:3" x14ac:dyDescent="0.3">
      <c r="A1208" s="11"/>
      <c r="B1208" s="8"/>
      <c r="C1208" s="8"/>
    </row>
    <row r="1209" spans="1:3" x14ac:dyDescent="0.3">
      <c r="A1209" s="12"/>
      <c r="B1209" s="9"/>
      <c r="C1209" s="9"/>
    </row>
    <row r="1210" spans="1:3" x14ac:dyDescent="0.3">
      <c r="A1210" s="11"/>
      <c r="B1210" s="8"/>
      <c r="C1210" s="8"/>
    </row>
    <row r="1211" spans="1:3" x14ac:dyDescent="0.3">
      <c r="A1211" s="12"/>
      <c r="B1211" s="9"/>
      <c r="C1211" s="9"/>
    </row>
    <row r="1212" spans="1:3" x14ac:dyDescent="0.3">
      <c r="A1212" s="11"/>
      <c r="B1212" s="8"/>
      <c r="C1212" s="8"/>
    </row>
    <row r="1213" spans="1:3" x14ac:dyDescent="0.3">
      <c r="A1213" s="12"/>
      <c r="B1213" s="9"/>
      <c r="C1213" s="9"/>
    </row>
    <row r="1214" spans="1:3" x14ac:dyDescent="0.3">
      <c r="A1214" s="11"/>
      <c r="B1214" s="8"/>
      <c r="C1214" s="8"/>
    </row>
    <row r="1215" spans="1:3" x14ac:dyDescent="0.3">
      <c r="A1215" s="12"/>
      <c r="B1215" s="9"/>
      <c r="C1215" s="9"/>
    </row>
    <row r="1216" spans="1:3" x14ac:dyDescent="0.3">
      <c r="A1216" s="11"/>
      <c r="B1216" s="8"/>
      <c r="C1216" s="8"/>
    </row>
    <row r="1217" spans="1:3" x14ac:dyDescent="0.3">
      <c r="A1217" s="12"/>
      <c r="B1217" s="9"/>
      <c r="C1217" s="9"/>
    </row>
    <row r="1218" spans="1:3" x14ac:dyDescent="0.3">
      <c r="A1218" s="11"/>
      <c r="B1218" s="8"/>
      <c r="C1218" s="8"/>
    </row>
    <row r="1219" spans="1:3" x14ac:dyDescent="0.3">
      <c r="A1219" s="12"/>
      <c r="B1219" s="9"/>
      <c r="C1219" s="9"/>
    </row>
    <row r="1220" spans="1:3" x14ac:dyDescent="0.3">
      <c r="A1220" s="11"/>
      <c r="B1220" s="8"/>
      <c r="C1220" s="8"/>
    </row>
    <row r="1221" spans="1:3" x14ac:dyDescent="0.3">
      <c r="A1221" s="12"/>
      <c r="B1221" s="9"/>
      <c r="C1221" s="9"/>
    </row>
    <row r="1222" spans="1:3" x14ac:dyDescent="0.3">
      <c r="A1222" s="11"/>
      <c r="B1222" s="8"/>
      <c r="C1222" s="8"/>
    </row>
    <row r="1223" spans="1:3" x14ac:dyDescent="0.3">
      <c r="A1223" s="12"/>
      <c r="B1223" s="9"/>
      <c r="C1223" s="9"/>
    </row>
    <row r="1224" spans="1:3" x14ac:dyDescent="0.3">
      <c r="A1224" s="11"/>
      <c r="B1224" s="8"/>
      <c r="C1224" s="8"/>
    </row>
    <row r="1225" spans="1:3" x14ac:dyDescent="0.3">
      <c r="A1225" s="12"/>
      <c r="B1225" s="9"/>
      <c r="C1225" s="9"/>
    </row>
    <row r="1226" spans="1:3" x14ac:dyDescent="0.3">
      <c r="A1226" s="11"/>
      <c r="B1226" s="8"/>
      <c r="C1226" s="8"/>
    </row>
    <row r="1227" spans="1:3" x14ac:dyDescent="0.3">
      <c r="A1227" s="12"/>
      <c r="B1227" s="9"/>
      <c r="C1227" s="9"/>
    </row>
    <row r="1228" spans="1:3" x14ac:dyDescent="0.3">
      <c r="A1228" s="11"/>
      <c r="B1228" s="8"/>
      <c r="C1228" s="8"/>
    </row>
    <row r="1229" spans="1:3" x14ac:dyDescent="0.3">
      <c r="A1229" s="12"/>
      <c r="B1229" s="9"/>
      <c r="C1229" s="9"/>
    </row>
    <row r="1230" spans="1:3" x14ac:dyDescent="0.3">
      <c r="A1230" s="11"/>
      <c r="B1230" s="8"/>
      <c r="C1230" s="8"/>
    </row>
    <row r="1231" spans="1:3" x14ac:dyDescent="0.3">
      <c r="A1231" s="12"/>
      <c r="B1231" s="9"/>
      <c r="C1231" s="9"/>
    </row>
    <row r="1232" spans="1:3" x14ac:dyDescent="0.3">
      <c r="A1232" s="11"/>
      <c r="B1232" s="8"/>
      <c r="C1232" s="8"/>
    </row>
    <row r="1233" spans="1:3" x14ac:dyDescent="0.3">
      <c r="A1233" s="12"/>
      <c r="B1233" s="9"/>
      <c r="C1233" s="9"/>
    </row>
    <row r="1234" spans="1:3" x14ac:dyDescent="0.3">
      <c r="A1234" s="11"/>
      <c r="B1234" s="8"/>
      <c r="C1234" s="8"/>
    </row>
    <row r="1235" spans="1:3" x14ac:dyDescent="0.3">
      <c r="A1235" s="12"/>
      <c r="B1235" s="9"/>
      <c r="C1235" s="9"/>
    </row>
    <row r="1236" spans="1:3" x14ac:dyDescent="0.3">
      <c r="A1236" s="11"/>
      <c r="B1236" s="8"/>
      <c r="C1236" s="8"/>
    </row>
    <row r="1237" spans="1:3" x14ac:dyDescent="0.3">
      <c r="A1237" s="12"/>
      <c r="B1237" s="9"/>
      <c r="C1237" s="9"/>
    </row>
    <row r="1238" spans="1:3" x14ac:dyDescent="0.3">
      <c r="A1238" s="11"/>
      <c r="B1238" s="8"/>
      <c r="C1238" s="8"/>
    </row>
    <row r="1239" spans="1:3" x14ac:dyDescent="0.3">
      <c r="A1239" s="12"/>
      <c r="B1239" s="9"/>
      <c r="C1239" s="9"/>
    </row>
    <row r="1240" spans="1:3" x14ac:dyDescent="0.3">
      <c r="A1240" s="11"/>
      <c r="B1240" s="8"/>
      <c r="C1240" s="8"/>
    </row>
    <row r="1241" spans="1:3" x14ac:dyDescent="0.3">
      <c r="A1241" s="12"/>
      <c r="B1241" s="9"/>
      <c r="C1241" s="9"/>
    </row>
    <row r="1242" spans="1:3" x14ac:dyDescent="0.3">
      <c r="A1242" s="11"/>
      <c r="B1242" s="8"/>
      <c r="C1242" s="8"/>
    </row>
    <row r="1243" spans="1:3" x14ac:dyDescent="0.3">
      <c r="A1243" s="12"/>
      <c r="B1243" s="9"/>
      <c r="C1243" s="9"/>
    </row>
    <row r="1244" spans="1:3" x14ac:dyDescent="0.3">
      <c r="A1244" s="11"/>
      <c r="B1244" s="8"/>
      <c r="C1244" s="8"/>
    </row>
    <row r="1245" spans="1:3" x14ac:dyDescent="0.3">
      <c r="A1245" s="12"/>
      <c r="B1245" s="9"/>
      <c r="C1245" s="9"/>
    </row>
    <row r="1246" spans="1:3" x14ac:dyDescent="0.3">
      <c r="A1246" s="11"/>
      <c r="B1246" s="8"/>
      <c r="C1246" s="8"/>
    </row>
    <row r="1247" spans="1:3" x14ac:dyDescent="0.3">
      <c r="A1247" s="12"/>
      <c r="B1247" s="9"/>
      <c r="C1247" s="9"/>
    </row>
    <row r="1248" spans="1:3" x14ac:dyDescent="0.3">
      <c r="A1248" s="11"/>
      <c r="B1248" s="8"/>
      <c r="C1248" s="8"/>
    </row>
    <row r="1249" spans="1:6" x14ac:dyDescent="0.3">
      <c r="A1249" s="12"/>
      <c r="B1249" s="9"/>
      <c r="C1249" s="9"/>
    </row>
    <row r="1250" spans="1:6" x14ac:dyDescent="0.3">
      <c r="A1250" s="11"/>
      <c r="B1250" s="8"/>
      <c r="C1250" s="8"/>
    </row>
    <row r="1251" spans="1:6" x14ac:dyDescent="0.3">
      <c r="A1251" s="12" t="s">
        <v>2</v>
      </c>
      <c r="B1251" s="8"/>
      <c r="D1251">
        <f t="shared" ref="D1251:D1300" si="15">IF(IFERROR(FIND("1",A1251,1),ERROR.TYPE(#VALUE!))=ERROR.TYPE(#VALUE!),$M$2,$M$1)</f>
        <v>0</v>
      </c>
      <c r="E1251">
        <v>2.5252525252525249E-2</v>
      </c>
      <c r="F1251">
        <f>Tabelle1318[[#This Row],[Variation]]</f>
        <v>2.5252525252525249E-2</v>
      </c>
    </row>
    <row r="1252" spans="1:6" x14ac:dyDescent="0.3">
      <c r="A1252" s="11" t="s">
        <v>2</v>
      </c>
      <c r="B1252" s="8"/>
      <c r="D1252">
        <f t="shared" si="15"/>
        <v>0</v>
      </c>
      <c r="E1252">
        <v>2.575757575757576E-2</v>
      </c>
    </row>
    <row r="1253" spans="1:6" x14ac:dyDescent="0.3">
      <c r="A1253" s="12" t="s">
        <v>2</v>
      </c>
      <c r="B1253" s="8"/>
      <c r="D1253">
        <f t="shared" si="15"/>
        <v>0</v>
      </c>
      <c r="E1253">
        <v>2.6262626262626258E-2</v>
      </c>
    </row>
    <row r="1254" spans="1:6" x14ac:dyDescent="0.3">
      <c r="A1254" s="11" t="s">
        <v>2</v>
      </c>
      <c r="B1254" s="8"/>
      <c r="D1254">
        <f t="shared" si="15"/>
        <v>0</v>
      </c>
      <c r="E1254">
        <v>2.676767676767677E-2</v>
      </c>
    </row>
    <row r="1255" spans="1:6" x14ac:dyDescent="0.3">
      <c r="A1255" s="12" t="s">
        <v>2</v>
      </c>
      <c r="B1255" s="8"/>
      <c r="D1255">
        <f t="shared" si="15"/>
        <v>0</v>
      </c>
      <c r="E1255">
        <v>2.7272727272727271E-2</v>
      </c>
    </row>
    <row r="1256" spans="1:6" x14ac:dyDescent="0.3">
      <c r="A1256" s="11" t="s">
        <v>2</v>
      </c>
      <c r="B1256" s="8"/>
      <c r="D1256">
        <f t="shared" si="15"/>
        <v>0</v>
      </c>
      <c r="E1256">
        <v>2.777777777777778E-2</v>
      </c>
    </row>
    <row r="1257" spans="1:6" x14ac:dyDescent="0.3">
      <c r="A1257" s="12" t="s">
        <v>2</v>
      </c>
      <c r="B1257" s="8"/>
      <c r="D1257">
        <f t="shared" si="15"/>
        <v>0</v>
      </c>
      <c r="E1257">
        <v>2.8282828282828281E-2</v>
      </c>
    </row>
    <row r="1258" spans="1:6" x14ac:dyDescent="0.3">
      <c r="A1258" s="11" t="s">
        <v>2</v>
      </c>
      <c r="B1258" s="8"/>
      <c r="D1258">
        <f t="shared" si="15"/>
        <v>0</v>
      </c>
      <c r="E1258">
        <v>2.8787878787878789E-2</v>
      </c>
    </row>
    <row r="1259" spans="1:6" x14ac:dyDescent="0.3">
      <c r="A1259" s="12" t="s">
        <v>2</v>
      </c>
      <c r="B1259" s="8"/>
      <c r="D1259">
        <f t="shared" si="15"/>
        <v>0</v>
      </c>
      <c r="E1259">
        <v>2.9292929292929291E-2</v>
      </c>
    </row>
    <row r="1260" spans="1:6" x14ac:dyDescent="0.3">
      <c r="A1260" s="11" t="s">
        <v>2</v>
      </c>
      <c r="B1260" s="8"/>
      <c r="D1260">
        <f t="shared" si="15"/>
        <v>0</v>
      </c>
      <c r="E1260">
        <v>2.9797979797979799E-2</v>
      </c>
    </row>
    <row r="1261" spans="1:6" x14ac:dyDescent="0.3">
      <c r="A1261" s="12" t="s">
        <v>2</v>
      </c>
      <c r="B1261" s="8"/>
      <c r="D1261">
        <f t="shared" si="15"/>
        <v>0</v>
      </c>
      <c r="E1261">
        <v>3.03030303030303E-2</v>
      </c>
    </row>
    <row r="1262" spans="1:6" x14ac:dyDescent="0.3">
      <c r="A1262" s="11" t="s">
        <v>2</v>
      </c>
      <c r="B1262" s="8"/>
      <c r="D1262">
        <f t="shared" si="15"/>
        <v>0</v>
      </c>
      <c r="E1262">
        <v>3.0808080808080809E-2</v>
      </c>
    </row>
    <row r="1263" spans="1:6" x14ac:dyDescent="0.3">
      <c r="A1263" s="12" t="s">
        <v>2</v>
      </c>
      <c r="B1263" s="8"/>
      <c r="D1263">
        <f t="shared" si="15"/>
        <v>0</v>
      </c>
      <c r="E1263">
        <v>3.1313131313131307E-2</v>
      </c>
    </row>
    <row r="1264" spans="1:6" x14ac:dyDescent="0.3">
      <c r="A1264" s="11" t="s">
        <v>2</v>
      </c>
      <c r="B1264" s="8"/>
      <c r="D1264">
        <f t="shared" si="15"/>
        <v>0</v>
      </c>
      <c r="E1264">
        <v>3.1818181818181808E-2</v>
      </c>
    </row>
    <row r="1265" spans="1:5" x14ac:dyDescent="0.3">
      <c r="A1265" s="12" t="s">
        <v>2</v>
      </c>
      <c r="B1265" s="8"/>
      <c r="D1265">
        <f t="shared" si="15"/>
        <v>0</v>
      </c>
      <c r="E1265">
        <v>3.2323232323232323E-2</v>
      </c>
    </row>
    <row r="1266" spans="1:5" x14ac:dyDescent="0.3">
      <c r="A1266" s="11" t="s">
        <v>2</v>
      </c>
      <c r="B1266" s="8"/>
      <c r="D1266">
        <f t="shared" si="15"/>
        <v>0</v>
      </c>
      <c r="E1266">
        <v>3.2828282828282832E-2</v>
      </c>
    </row>
    <row r="1267" spans="1:5" x14ac:dyDescent="0.3">
      <c r="A1267" s="12" t="s">
        <v>2</v>
      </c>
      <c r="B1267" s="8"/>
      <c r="D1267">
        <f t="shared" si="15"/>
        <v>0</v>
      </c>
      <c r="E1267">
        <v>3.3333333333333333E-2</v>
      </c>
    </row>
    <row r="1268" spans="1:5" x14ac:dyDescent="0.3">
      <c r="A1268" s="11" t="s">
        <v>2</v>
      </c>
      <c r="B1268" s="8"/>
      <c r="D1268">
        <f t="shared" si="15"/>
        <v>0</v>
      </c>
      <c r="E1268">
        <v>3.3838383838383841E-2</v>
      </c>
    </row>
    <row r="1269" spans="1:5" x14ac:dyDescent="0.3">
      <c r="A1269" s="12" t="s">
        <v>2</v>
      </c>
      <c r="B1269" s="8"/>
      <c r="D1269">
        <f t="shared" si="15"/>
        <v>0</v>
      </c>
      <c r="E1269">
        <v>3.4343434343434343E-2</v>
      </c>
    </row>
    <row r="1270" spans="1:5" x14ac:dyDescent="0.3">
      <c r="A1270" s="11" t="s">
        <v>2</v>
      </c>
      <c r="B1270" s="8"/>
      <c r="D1270">
        <f t="shared" si="15"/>
        <v>0</v>
      </c>
      <c r="E1270">
        <v>3.4848484848484851E-2</v>
      </c>
    </row>
    <row r="1271" spans="1:5" x14ac:dyDescent="0.3">
      <c r="A1271" s="12" t="s">
        <v>2</v>
      </c>
      <c r="B1271" s="8"/>
      <c r="D1271">
        <f t="shared" si="15"/>
        <v>0</v>
      </c>
      <c r="E1271">
        <v>3.5353535353535352E-2</v>
      </c>
    </row>
    <row r="1272" spans="1:5" x14ac:dyDescent="0.3">
      <c r="A1272" s="11" t="s">
        <v>2</v>
      </c>
      <c r="B1272" s="8"/>
      <c r="D1272">
        <f t="shared" si="15"/>
        <v>0</v>
      </c>
      <c r="E1272">
        <v>3.5858585858585861E-2</v>
      </c>
    </row>
    <row r="1273" spans="1:5" x14ac:dyDescent="0.3">
      <c r="A1273" s="12" t="s">
        <v>2</v>
      </c>
      <c r="B1273" s="8"/>
      <c r="D1273">
        <f t="shared" si="15"/>
        <v>0</v>
      </c>
      <c r="E1273">
        <v>3.6363636363636362E-2</v>
      </c>
    </row>
    <row r="1274" spans="1:5" x14ac:dyDescent="0.3">
      <c r="A1274" s="11" t="s">
        <v>2</v>
      </c>
      <c r="B1274" s="8"/>
      <c r="D1274">
        <f t="shared" si="15"/>
        <v>0</v>
      </c>
      <c r="E1274">
        <v>3.686868686868687E-2</v>
      </c>
    </row>
    <row r="1275" spans="1:5" x14ac:dyDescent="0.3">
      <c r="A1275" s="12" t="s">
        <v>2</v>
      </c>
      <c r="B1275" s="8"/>
      <c r="D1275">
        <f t="shared" si="15"/>
        <v>0</v>
      </c>
      <c r="E1275">
        <v>3.7373737373737372E-2</v>
      </c>
    </row>
    <row r="1276" spans="1:5" x14ac:dyDescent="0.3">
      <c r="A1276" s="11" t="s">
        <v>2</v>
      </c>
      <c r="B1276" s="8"/>
      <c r="D1276">
        <f t="shared" si="15"/>
        <v>0</v>
      </c>
      <c r="E1276">
        <v>3.787878787878788E-2</v>
      </c>
    </row>
    <row r="1277" spans="1:5" x14ac:dyDescent="0.3">
      <c r="A1277" s="12" t="s">
        <v>2</v>
      </c>
      <c r="B1277" s="8"/>
      <c r="D1277">
        <f t="shared" si="15"/>
        <v>0</v>
      </c>
      <c r="E1277">
        <v>3.8383838383838381E-2</v>
      </c>
    </row>
    <row r="1278" spans="1:5" x14ac:dyDescent="0.3">
      <c r="A1278" s="11" t="s">
        <v>2</v>
      </c>
      <c r="B1278" s="8"/>
      <c r="D1278">
        <f t="shared" si="15"/>
        <v>0</v>
      </c>
      <c r="E1278">
        <v>3.888888888888889E-2</v>
      </c>
    </row>
    <row r="1279" spans="1:5" x14ac:dyDescent="0.3">
      <c r="A1279" s="12" t="s">
        <v>2</v>
      </c>
      <c r="B1279" s="8"/>
      <c r="D1279">
        <f t="shared" si="15"/>
        <v>0</v>
      </c>
      <c r="E1279">
        <v>3.9393939393939391E-2</v>
      </c>
    </row>
    <row r="1280" spans="1:5" x14ac:dyDescent="0.3">
      <c r="A1280" s="11" t="s">
        <v>2</v>
      </c>
      <c r="B1280" s="8"/>
      <c r="D1280">
        <f t="shared" si="15"/>
        <v>0</v>
      </c>
      <c r="E1280">
        <v>3.9898989898989899E-2</v>
      </c>
    </row>
    <row r="1281" spans="1:5" x14ac:dyDescent="0.3">
      <c r="A1281" s="12" t="s">
        <v>2</v>
      </c>
      <c r="B1281" s="8"/>
      <c r="D1281">
        <f t="shared" si="15"/>
        <v>0</v>
      </c>
      <c r="E1281">
        <v>4.0404040404040401E-2</v>
      </c>
    </row>
    <row r="1282" spans="1:5" x14ac:dyDescent="0.3">
      <c r="A1282" s="11" t="s">
        <v>2</v>
      </c>
      <c r="B1282" s="8"/>
      <c r="D1282">
        <f t="shared" si="15"/>
        <v>0</v>
      </c>
      <c r="E1282">
        <v>4.0909090909090909E-2</v>
      </c>
    </row>
    <row r="1283" spans="1:5" x14ac:dyDescent="0.3">
      <c r="A1283" s="12" t="s">
        <v>2</v>
      </c>
      <c r="B1283" s="8"/>
      <c r="D1283">
        <f t="shared" si="15"/>
        <v>0</v>
      </c>
      <c r="E1283">
        <v>4.1414141414141417E-2</v>
      </c>
    </row>
    <row r="1284" spans="1:5" x14ac:dyDescent="0.3">
      <c r="A1284" s="11" t="s">
        <v>2</v>
      </c>
      <c r="B1284" s="8"/>
      <c r="D1284">
        <f t="shared" si="15"/>
        <v>0</v>
      </c>
      <c r="E1284">
        <v>4.1919191919191919E-2</v>
      </c>
    </row>
    <row r="1285" spans="1:5" x14ac:dyDescent="0.3">
      <c r="A1285" s="12" t="s">
        <v>2</v>
      </c>
      <c r="B1285" s="8"/>
      <c r="D1285">
        <f t="shared" si="15"/>
        <v>0</v>
      </c>
      <c r="E1285">
        <v>4.2424242424242427E-2</v>
      </c>
    </row>
    <row r="1286" spans="1:5" x14ac:dyDescent="0.3">
      <c r="A1286" s="11" t="s">
        <v>2</v>
      </c>
      <c r="B1286" s="8"/>
      <c r="D1286">
        <f t="shared" si="15"/>
        <v>0</v>
      </c>
      <c r="E1286">
        <v>4.2929292929292928E-2</v>
      </c>
    </row>
    <row r="1287" spans="1:5" x14ac:dyDescent="0.3">
      <c r="A1287" s="12" t="s">
        <v>2</v>
      </c>
      <c r="B1287" s="8"/>
      <c r="D1287">
        <f t="shared" si="15"/>
        <v>0</v>
      </c>
      <c r="E1287">
        <v>4.3434343434343443E-2</v>
      </c>
    </row>
    <row r="1288" spans="1:5" x14ac:dyDescent="0.3">
      <c r="A1288" s="11" t="s">
        <v>2</v>
      </c>
      <c r="B1288" s="8"/>
      <c r="D1288">
        <f t="shared" si="15"/>
        <v>0</v>
      </c>
      <c r="E1288">
        <v>4.3939393939393938E-2</v>
      </c>
    </row>
    <row r="1289" spans="1:5" x14ac:dyDescent="0.3">
      <c r="A1289" s="12" t="s">
        <v>2</v>
      </c>
      <c r="B1289" s="8"/>
      <c r="D1289">
        <f t="shared" si="15"/>
        <v>0</v>
      </c>
      <c r="E1289">
        <v>4.4444444444444453E-2</v>
      </c>
    </row>
    <row r="1290" spans="1:5" x14ac:dyDescent="0.3">
      <c r="A1290" s="11" t="s">
        <v>2</v>
      </c>
      <c r="B1290" s="8"/>
      <c r="D1290">
        <f t="shared" si="15"/>
        <v>0</v>
      </c>
      <c r="E1290">
        <v>4.4949494949494948E-2</v>
      </c>
    </row>
    <row r="1291" spans="1:5" x14ac:dyDescent="0.3">
      <c r="A1291" s="12" t="s">
        <v>2</v>
      </c>
      <c r="B1291" s="8"/>
      <c r="D1291">
        <f t="shared" si="15"/>
        <v>0</v>
      </c>
      <c r="E1291">
        <v>4.5454545454545463E-2</v>
      </c>
    </row>
    <row r="1292" spans="1:5" x14ac:dyDescent="0.3">
      <c r="A1292" s="11" t="s">
        <v>2</v>
      </c>
      <c r="B1292" s="8"/>
      <c r="D1292">
        <f t="shared" si="15"/>
        <v>0</v>
      </c>
      <c r="E1292">
        <v>4.5959595959595957E-2</v>
      </c>
    </row>
    <row r="1293" spans="1:5" x14ac:dyDescent="0.3">
      <c r="A1293" s="12" t="s">
        <v>2</v>
      </c>
      <c r="B1293" s="8"/>
      <c r="D1293">
        <f t="shared" si="15"/>
        <v>0</v>
      </c>
      <c r="E1293">
        <v>4.6464646464646472E-2</v>
      </c>
    </row>
    <row r="1294" spans="1:5" x14ac:dyDescent="0.3">
      <c r="A1294" s="11" t="s">
        <v>2</v>
      </c>
      <c r="B1294" s="8"/>
      <c r="D1294">
        <f t="shared" si="15"/>
        <v>0</v>
      </c>
      <c r="E1294">
        <v>4.6969696969696967E-2</v>
      </c>
    </row>
    <row r="1295" spans="1:5" x14ac:dyDescent="0.3">
      <c r="A1295" s="12" t="s">
        <v>2</v>
      </c>
      <c r="B1295" s="8"/>
      <c r="D1295">
        <f t="shared" si="15"/>
        <v>0</v>
      </c>
      <c r="E1295">
        <v>4.7474747474747482E-2</v>
      </c>
    </row>
    <row r="1296" spans="1:5" x14ac:dyDescent="0.3">
      <c r="A1296" s="11" t="s">
        <v>2</v>
      </c>
      <c r="B1296" s="8"/>
      <c r="D1296">
        <f t="shared" si="15"/>
        <v>0</v>
      </c>
      <c r="E1296">
        <v>4.7979797979797983E-2</v>
      </c>
    </row>
    <row r="1297" spans="1:5" x14ac:dyDescent="0.3">
      <c r="A1297" s="12" t="s">
        <v>2</v>
      </c>
      <c r="B1297" s="8"/>
      <c r="D1297">
        <f t="shared" si="15"/>
        <v>0</v>
      </c>
      <c r="E1297">
        <v>4.8484848484848478E-2</v>
      </c>
    </row>
    <row r="1298" spans="1:5" x14ac:dyDescent="0.3">
      <c r="A1298" s="11" t="s">
        <v>2</v>
      </c>
      <c r="B1298" s="8"/>
      <c r="D1298">
        <f t="shared" si="15"/>
        <v>0</v>
      </c>
      <c r="E1298">
        <v>4.8989898989898993E-2</v>
      </c>
    </row>
    <row r="1299" spans="1:5" x14ac:dyDescent="0.3">
      <c r="A1299" s="12" t="s">
        <v>2</v>
      </c>
      <c r="B1299" s="8"/>
      <c r="D1299">
        <f t="shared" si="15"/>
        <v>0</v>
      </c>
      <c r="E1299">
        <v>4.9494949494949488E-2</v>
      </c>
    </row>
    <row r="1300" spans="1:5" x14ac:dyDescent="0.3">
      <c r="A1300" s="11" t="s">
        <v>2</v>
      </c>
      <c r="B1300" s="8"/>
      <c r="D1300">
        <f t="shared" si="15"/>
        <v>0</v>
      </c>
      <c r="E1300">
        <v>0.05</v>
      </c>
    </row>
    <row r="1301" spans="1:5" x14ac:dyDescent="0.3">
      <c r="A1301" s="12"/>
      <c r="B1301" s="9"/>
      <c r="C1301" s="9"/>
    </row>
    <row r="1302" spans="1:5" x14ac:dyDescent="0.3">
      <c r="A1302" s="11"/>
      <c r="B1302" s="8"/>
      <c r="C1302" s="8"/>
    </row>
    <row r="1303" spans="1:5" x14ac:dyDescent="0.3">
      <c r="A1303" s="12"/>
      <c r="B1303" s="9"/>
      <c r="C1303" s="9"/>
    </row>
    <row r="1304" spans="1:5" x14ac:dyDescent="0.3">
      <c r="A1304" s="11"/>
      <c r="B1304" s="8"/>
      <c r="C1304" s="8"/>
    </row>
    <row r="1305" spans="1:5" x14ac:dyDescent="0.3">
      <c r="A1305" s="12"/>
      <c r="B1305" s="9"/>
      <c r="C1305" s="9"/>
    </row>
    <row r="1306" spans="1:5" x14ac:dyDescent="0.3">
      <c r="A1306" s="11"/>
      <c r="B1306" s="8"/>
      <c r="C1306" s="8"/>
    </row>
    <row r="1307" spans="1:5" x14ac:dyDescent="0.3">
      <c r="A1307" s="12"/>
      <c r="B1307" s="9"/>
      <c r="C1307" s="9"/>
    </row>
    <row r="1308" spans="1:5" x14ac:dyDescent="0.3">
      <c r="A1308" s="11"/>
      <c r="B1308" s="8"/>
      <c r="C1308" s="8"/>
    </row>
    <row r="1309" spans="1:5" x14ac:dyDescent="0.3">
      <c r="A1309" s="12"/>
      <c r="B1309" s="9"/>
      <c r="C1309" s="9"/>
    </row>
    <row r="1310" spans="1:5" x14ac:dyDescent="0.3">
      <c r="A1310" s="11"/>
      <c r="B1310" s="8"/>
      <c r="C1310" s="8"/>
    </row>
    <row r="1311" spans="1:5" x14ac:dyDescent="0.3">
      <c r="A1311" s="12"/>
      <c r="B1311" s="9"/>
      <c r="C1311" s="9"/>
    </row>
    <row r="1312" spans="1:5" x14ac:dyDescent="0.3">
      <c r="A1312" s="11"/>
      <c r="B1312" s="8"/>
      <c r="C1312" s="8"/>
    </row>
    <row r="1313" spans="1:3" x14ac:dyDescent="0.3">
      <c r="A1313" s="12"/>
      <c r="B1313" s="9"/>
      <c r="C1313" s="9"/>
    </row>
    <row r="1314" spans="1:3" x14ac:dyDescent="0.3">
      <c r="A1314" s="11"/>
      <c r="B1314" s="8"/>
      <c r="C1314" s="8"/>
    </row>
    <row r="1315" spans="1:3" x14ac:dyDescent="0.3">
      <c r="A1315" s="12"/>
      <c r="B1315" s="9"/>
      <c r="C1315" s="9"/>
    </row>
    <row r="1316" spans="1:3" x14ac:dyDescent="0.3">
      <c r="A1316" s="11"/>
      <c r="B1316" s="8"/>
      <c r="C1316" s="8"/>
    </row>
    <row r="1317" spans="1:3" x14ac:dyDescent="0.3">
      <c r="A1317" s="12"/>
      <c r="B1317" s="9"/>
      <c r="C1317" s="9"/>
    </row>
    <row r="1318" spans="1:3" x14ac:dyDescent="0.3">
      <c r="A1318" s="11"/>
      <c r="B1318" s="8"/>
      <c r="C1318" s="8"/>
    </row>
    <row r="1319" spans="1:3" x14ac:dyDescent="0.3">
      <c r="A1319" s="12"/>
      <c r="B1319" s="9"/>
      <c r="C1319" s="9"/>
    </row>
    <row r="1320" spans="1:3" x14ac:dyDescent="0.3">
      <c r="A1320" s="11"/>
      <c r="B1320" s="8"/>
      <c r="C1320" s="8"/>
    </row>
    <row r="1321" spans="1:3" x14ac:dyDescent="0.3">
      <c r="A1321" s="12"/>
      <c r="B1321" s="9"/>
      <c r="C1321" s="9"/>
    </row>
    <row r="1322" spans="1:3" x14ac:dyDescent="0.3">
      <c r="A1322" s="11"/>
      <c r="B1322" s="8"/>
      <c r="C1322" s="8"/>
    </row>
    <row r="1323" spans="1:3" x14ac:dyDescent="0.3">
      <c r="A1323" s="12"/>
      <c r="B1323" s="9"/>
      <c r="C1323" s="9"/>
    </row>
    <row r="1324" spans="1:3" x14ac:dyDescent="0.3">
      <c r="A1324" s="11"/>
      <c r="B1324" s="8"/>
      <c r="C1324" s="8"/>
    </row>
    <row r="1325" spans="1:3" x14ac:dyDescent="0.3">
      <c r="A1325" s="12"/>
      <c r="B1325" s="9"/>
      <c r="C1325" s="9"/>
    </row>
    <row r="1326" spans="1:3" x14ac:dyDescent="0.3">
      <c r="A1326" s="11"/>
      <c r="B1326" s="8"/>
      <c r="C1326" s="8"/>
    </row>
    <row r="1327" spans="1:3" x14ac:dyDescent="0.3">
      <c r="A1327" s="12"/>
      <c r="B1327" s="9"/>
      <c r="C1327" s="9"/>
    </row>
    <row r="1328" spans="1:3" x14ac:dyDescent="0.3">
      <c r="A1328" s="11"/>
      <c r="B1328" s="8"/>
      <c r="C1328" s="8"/>
    </row>
    <row r="1329" spans="1:3" x14ac:dyDescent="0.3">
      <c r="A1329" s="12"/>
      <c r="B1329" s="9"/>
      <c r="C1329" s="9"/>
    </row>
    <row r="1330" spans="1:3" x14ac:dyDescent="0.3">
      <c r="A1330" s="11"/>
      <c r="B1330" s="8"/>
      <c r="C1330" s="8"/>
    </row>
    <row r="1331" spans="1:3" x14ac:dyDescent="0.3">
      <c r="A1331" s="12"/>
      <c r="B1331" s="9"/>
      <c r="C1331" s="9"/>
    </row>
    <row r="1332" spans="1:3" x14ac:dyDescent="0.3">
      <c r="A1332" s="11"/>
      <c r="B1332" s="8"/>
      <c r="C1332" s="8"/>
    </row>
    <row r="1333" spans="1:3" x14ac:dyDescent="0.3">
      <c r="A1333" s="12"/>
      <c r="B1333" s="9"/>
      <c r="C1333" s="9"/>
    </row>
    <row r="1334" spans="1:3" x14ac:dyDescent="0.3">
      <c r="A1334" s="11"/>
      <c r="B1334" s="8"/>
      <c r="C1334" s="8"/>
    </row>
    <row r="1335" spans="1:3" x14ac:dyDescent="0.3">
      <c r="A1335" s="12"/>
      <c r="B1335" s="9"/>
      <c r="C1335" s="9"/>
    </row>
    <row r="1336" spans="1:3" x14ac:dyDescent="0.3">
      <c r="A1336" s="11"/>
      <c r="B1336" s="8"/>
      <c r="C1336" s="8"/>
    </row>
    <row r="1337" spans="1:3" x14ac:dyDescent="0.3">
      <c r="A1337" s="12"/>
      <c r="B1337" s="9"/>
      <c r="C1337" s="9"/>
    </row>
    <row r="1338" spans="1:3" x14ac:dyDescent="0.3">
      <c r="A1338" s="11"/>
      <c r="B1338" s="8"/>
      <c r="C1338" s="8"/>
    </row>
    <row r="1339" spans="1:3" x14ac:dyDescent="0.3">
      <c r="A1339" s="12"/>
      <c r="B1339" s="9"/>
      <c r="C1339" s="9"/>
    </row>
    <row r="1340" spans="1:3" x14ac:dyDescent="0.3">
      <c r="A1340" s="11"/>
      <c r="B1340" s="8"/>
      <c r="C1340" s="8"/>
    </row>
    <row r="1341" spans="1:3" x14ac:dyDescent="0.3">
      <c r="A1341" s="12"/>
      <c r="B1341" s="9"/>
      <c r="C1341" s="9"/>
    </row>
    <row r="1342" spans="1:3" x14ac:dyDescent="0.3">
      <c r="A1342" s="11"/>
      <c r="B1342" s="8"/>
      <c r="C1342" s="8"/>
    </row>
    <row r="1343" spans="1:3" x14ac:dyDescent="0.3">
      <c r="A1343" s="12"/>
      <c r="B1343" s="9"/>
      <c r="C1343" s="9"/>
    </row>
    <row r="1344" spans="1:3" x14ac:dyDescent="0.3">
      <c r="A1344" s="11"/>
      <c r="B1344" s="8"/>
      <c r="C1344" s="8"/>
    </row>
    <row r="1345" spans="1:5" x14ac:dyDescent="0.3">
      <c r="A1345" s="12"/>
      <c r="B1345" s="9"/>
      <c r="C1345" s="9"/>
    </row>
    <row r="1346" spans="1:5" x14ac:dyDescent="0.3">
      <c r="A1346" s="11"/>
      <c r="B1346" s="8"/>
      <c r="C1346" s="8"/>
    </row>
    <row r="1347" spans="1:5" x14ac:dyDescent="0.3">
      <c r="A1347" s="12"/>
      <c r="B1347" s="9"/>
      <c r="C1347" s="9"/>
    </row>
    <row r="1348" spans="1:5" x14ac:dyDescent="0.3">
      <c r="A1348" s="11"/>
      <c r="B1348" s="8"/>
      <c r="C1348" s="8"/>
    </row>
    <row r="1349" spans="1:5" x14ac:dyDescent="0.3">
      <c r="A1349" s="12"/>
      <c r="B1349" s="9"/>
      <c r="C1349" s="9"/>
    </row>
    <row r="1350" spans="1:5" x14ac:dyDescent="0.3">
      <c r="A1350" s="11"/>
      <c r="B1350" s="8"/>
      <c r="C1350" s="8"/>
    </row>
    <row r="1351" spans="1:5" x14ac:dyDescent="0.3">
      <c r="A1351" s="12" t="s">
        <v>3</v>
      </c>
      <c r="B1351" s="8"/>
      <c r="D1351">
        <f t="shared" ref="D1351:D1400" si="16">IF(IFERROR(FIND("1",A1351,1),ERROR.TYPE(#VALUE!))=ERROR.TYPE(#VALUE!),$M$2,$M$1)</f>
        <v>0</v>
      </c>
      <c r="E1351">
        <v>2.5252525252525249E-2</v>
      </c>
    </row>
    <row r="1352" spans="1:5" x14ac:dyDescent="0.3">
      <c r="A1352" s="11" t="s">
        <v>3</v>
      </c>
      <c r="B1352" s="8"/>
      <c r="D1352">
        <f t="shared" si="16"/>
        <v>0</v>
      </c>
      <c r="E1352">
        <v>2.575757575757576E-2</v>
      </c>
    </row>
    <row r="1353" spans="1:5" x14ac:dyDescent="0.3">
      <c r="A1353" s="12" t="s">
        <v>3</v>
      </c>
      <c r="B1353" s="8"/>
      <c r="D1353">
        <f t="shared" si="16"/>
        <v>0</v>
      </c>
      <c r="E1353">
        <v>2.6262626262626258E-2</v>
      </c>
    </row>
    <row r="1354" spans="1:5" x14ac:dyDescent="0.3">
      <c r="A1354" s="11" t="s">
        <v>3</v>
      </c>
      <c r="B1354" s="8"/>
      <c r="D1354">
        <f t="shared" si="16"/>
        <v>0</v>
      </c>
      <c r="E1354">
        <v>2.676767676767677E-2</v>
      </c>
    </row>
    <row r="1355" spans="1:5" x14ac:dyDescent="0.3">
      <c r="A1355" s="12" t="s">
        <v>3</v>
      </c>
      <c r="B1355" s="8"/>
      <c r="D1355">
        <f t="shared" si="16"/>
        <v>0</v>
      </c>
      <c r="E1355">
        <v>2.7272727272727271E-2</v>
      </c>
    </row>
    <row r="1356" spans="1:5" x14ac:dyDescent="0.3">
      <c r="A1356" s="11" t="s">
        <v>3</v>
      </c>
      <c r="B1356" s="8"/>
      <c r="D1356">
        <f t="shared" si="16"/>
        <v>0</v>
      </c>
      <c r="E1356">
        <v>2.777777777777778E-2</v>
      </c>
    </row>
    <row r="1357" spans="1:5" x14ac:dyDescent="0.3">
      <c r="A1357" s="12" t="s">
        <v>3</v>
      </c>
      <c r="B1357" s="8"/>
      <c r="D1357">
        <f t="shared" si="16"/>
        <v>0</v>
      </c>
      <c r="E1357">
        <v>2.8282828282828281E-2</v>
      </c>
    </row>
    <row r="1358" spans="1:5" x14ac:dyDescent="0.3">
      <c r="A1358" s="11" t="s">
        <v>3</v>
      </c>
      <c r="B1358" s="8"/>
      <c r="D1358">
        <f t="shared" si="16"/>
        <v>0</v>
      </c>
      <c r="E1358">
        <v>2.8787878787878789E-2</v>
      </c>
    </row>
    <row r="1359" spans="1:5" x14ac:dyDescent="0.3">
      <c r="A1359" s="12" t="s">
        <v>3</v>
      </c>
      <c r="B1359" s="8"/>
      <c r="D1359">
        <f t="shared" si="16"/>
        <v>0</v>
      </c>
      <c r="E1359">
        <v>2.9292929292929291E-2</v>
      </c>
    </row>
    <row r="1360" spans="1:5" x14ac:dyDescent="0.3">
      <c r="A1360" s="11" t="s">
        <v>3</v>
      </c>
      <c r="B1360" s="8"/>
      <c r="D1360">
        <f t="shared" si="16"/>
        <v>0</v>
      </c>
      <c r="E1360">
        <v>2.9797979797979799E-2</v>
      </c>
    </row>
    <row r="1361" spans="1:5" x14ac:dyDescent="0.3">
      <c r="A1361" s="12" t="s">
        <v>3</v>
      </c>
      <c r="B1361" s="8"/>
      <c r="D1361">
        <f t="shared" si="16"/>
        <v>0</v>
      </c>
      <c r="E1361">
        <v>3.03030303030303E-2</v>
      </c>
    </row>
    <row r="1362" spans="1:5" x14ac:dyDescent="0.3">
      <c r="A1362" s="11" t="s">
        <v>3</v>
      </c>
      <c r="B1362" s="8"/>
      <c r="D1362">
        <f t="shared" si="16"/>
        <v>0</v>
      </c>
      <c r="E1362">
        <v>3.0808080808080809E-2</v>
      </c>
    </row>
    <row r="1363" spans="1:5" x14ac:dyDescent="0.3">
      <c r="A1363" s="12" t="s">
        <v>3</v>
      </c>
      <c r="B1363" s="8"/>
      <c r="D1363">
        <f t="shared" si="16"/>
        <v>0</v>
      </c>
      <c r="E1363">
        <v>3.1313131313131307E-2</v>
      </c>
    </row>
    <row r="1364" spans="1:5" x14ac:dyDescent="0.3">
      <c r="A1364" s="11" t="s">
        <v>3</v>
      </c>
      <c r="B1364" s="8"/>
      <c r="D1364">
        <f t="shared" si="16"/>
        <v>0</v>
      </c>
      <c r="E1364">
        <v>3.1818181818181808E-2</v>
      </c>
    </row>
    <row r="1365" spans="1:5" x14ac:dyDescent="0.3">
      <c r="A1365" s="12" t="s">
        <v>3</v>
      </c>
      <c r="B1365" s="8"/>
      <c r="D1365">
        <f t="shared" si="16"/>
        <v>0</v>
      </c>
      <c r="E1365">
        <v>3.2323232323232323E-2</v>
      </c>
    </row>
    <row r="1366" spans="1:5" x14ac:dyDescent="0.3">
      <c r="A1366" s="11" t="s">
        <v>3</v>
      </c>
      <c r="B1366" s="8"/>
      <c r="D1366">
        <f t="shared" si="16"/>
        <v>0</v>
      </c>
      <c r="E1366">
        <v>3.2828282828282832E-2</v>
      </c>
    </row>
    <row r="1367" spans="1:5" x14ac:dyDescent="0.3">
      <c r="A1367" s="12" t="s">
        <v>3</v>
      </c>
      <c r="B1367" s="8"/>
      <c r="D1367">
        <f t="shared" si="16"/>
        <v>0</v>
      </c>
      <c r="E1367">
        <v>3.3333333333333333E-2</v>
      </c>
    </row>
    <row r="1368" spans="1:5" x14ac:dyDescent="0.3">
      <c r="A1368" s="11" t="s">
        <v>3</v>
      </c>
      <c r="B1368" s="8"/>
      <c r="D1368">
        <f t="shared" si="16"/>
        <v>0</v>
      </c>
      <c r="E1368">
        <v>3.3838383838383841E-2</v>
      </c>
    </row>
    <row r="1369" spans="1:5" x14ac:dyDescent="0.3">
      <c r="A1369" s="12" t="s">
        <v>3</v>
      </c>
      <c r="B1369" s="8"/>
      <c r="D1369">
        <f t="shared" si="16"/>
        <v>0</v>
      </c>
      <c r="E1369">
        <v>3.4343434343434343E-2</v>
      </c>
    </row>
    <row r="1370" spans="1:5" x14ac:dyDescent="0.3">
      <c r="A1370" s="11" t="s">
        <v>3</v>
      </c>
      <c r="B1370" s="8"/>
      <c r="D1370">
        <f t="shared" si="16"/>
        <v>0</v>
      </c>
      <c r="E1370">
        <v>3.4848484848484851E-2</v>
      </c>
    </row>
    <row r="1371" spans="1:5" x14ac:dyDescent="0.3">
      <c r="A1371" s="12" t="s">
        <v>3</v>
      </c>
      <c r="B1371" s="8"/>
      <c r="D1371">
        <f t="shared" si="16"/>
        <v>0</v>
      </c>
      <c r="E1371">
        <v>3.5353535353535352E-2</v>
      </c>
    </row>
    <row r="1372" spans="1:5" x14ac:dyDescent="0.3">
      <c r="A1372" s="11" t="s">
        <v>3</v>
      </c>
      <c r="B1372" s="8"/>
      <c r="D1372">
        <f t="shared" si="16"/>
        <v>0</v>
      </c>
      <c r="E1372">
        <v>3.5858585858585861E-2</v>
      </c>
    </row>
    <row r="1373" spans="1:5" x14ac:dyDescent="0.3">
      <c r="A1373" s="12" t="s">
        <v>3</v>
      </c>
      <c r="B1373" s="8"/>
      <c r="D1373">
        <f t="shared" si="16"/>
        <v>0</v>
      </c>
      <c r="E1373">
        <v>3.6363636363636362E-2</v>
      </c>
    </row>
    <row r="1374" spans="1:5" x14ac:dyDescent="0.3">
      <c r="A1374" s="11" t="s">
        <v>3</v>
      </c>
      <c r="B1374" s="8"/>
      <c r="D1374">
        <f t="shared" si="16"/>
        <v>0</v>
      </c>
      <c r="E1374">
        <v>3.686868686868687E-2</v>
      </c>
    </row>
    <row r="1375" spans="1:5" x14ac:dyDescent="0.3">
      <c r="A1375" s="12" t="s">
        <v>3</v>
      </c>
      <c r="B1375" s="8"/>
      <c r="D1375">
        <f t="shared" si="16"/>
        <v>0</v>
      </c>
      <c r="E1375">
        <v>3.7373737373737372E-2</v>
      </c>
    </row>
    <row r="1376" spans="1:5" x14ac:dyDescent="0.3">
      <c r="A1376" s="11" t="s">
        <v>3</v>
      </c>
      <c r="B1376" s="8"/>
      <c r="D1376">
        <f t="shared" si="16"/>
        <v>0</v>
      </c>
      <c r="E1376">
        <v>3.787878787878788E-2</v>
      </c>
    </row>
    <row r="1377" spans="1:5" x14ac:dyDescent="0.3">
      <c r="A1377" s="12" t="s">
        <v>3</v>
      </c>
      <c r="B1377" s="8"/>
      <c r="D1377">
        <f t="shared" si="16"/>
        <v>0</v>
      </c>
      <c r="E1377">
        <v>3.8383838383838381E-2</v>
      </c>
    </row>
    <row r="1378" spans="1:5" x14ac:dyDescent="0.3">
      <c r="A1378" s="11" t="s">
        <v>3</v>
      </c>
      <c r="B1378" s="8"/>
      <c r="D1378">
        <f t="shared" si="16"/>
        <v>0</v>
      </c>
      <c r="E1378">
        <v>3.888888888888889E-2</v>
      </c>
    </row>
    <row r="1379" spans="1:5" x14ac:dyDescent="0.3">
      <c r="A1379" s="12" t="s">
        <v>3</v>
      </c>
      <c r="B1379" s="8"/>
      <c r="D1379">
        <f t="shared" si="16"/>
        <v>0</v>
      </c>
      <c r="E1379">
        <v>3.9393939393939391E-2</v>
      </c>
    </row>
    <row r="1380" spans="1:5" x14ac:dyDescent="0.3">
      <c r="A1380" s="11" t="s">
        <v>3</v>
      </c>
      <c r="B1380" s="8"/>
      <c r="D1380">
        <f t="shared" si="16"/>
        <v>0</v>
      </c>
      <c r="E1380">
        <v>3.9898989898989899E-2</v>
      </c>
    </row>
    <row r="1381" spans="1:5" x14ac:dyDescent="0.3">
      <c r="A1381" s="12" t="s">
        <v>3</v>
      </c>
      <c r="B1381" s="8"/>
      <c r="D1381">
        <f t="shared" si="16"/>
        <v>0</v>
      </c>
      <c r="E1381">
        <v>4.0404040404040401E-2</v>
      </c>
    </row>
    <row r="1382" spans="1:5" x14ac:dyDescent="0.3">
      <c r="A1382" s="11" t="s">
        <v>3</v>
      </c>
      <c r="B1382" s="8"/>
      <c r="D1382">
        <f t="shared" si="16"/>
        <v>0</v>
      </c>
      <c r="E1382">
        <v>4.0909090909090909E-2</v>
      </c>
    </row>
    <row r="1383" spans="1:5" x14ac:dyDescent="0.3">
      <c r="A1383" s="12" t="s">
        <v>3</v>
      </c>
      <c r="B1383" s="8"/>
      <c r="D1383">
        <f t="shared" si="16"/>
        <v>0</v>
      </c>
      <c r="E1383">
        <v>4.1414141414141417E-2</v>
      </c>
    </row>
    <row r="1384" spans="1:5" x14ac:dyDescent="0.3">
      <c r="A1384" s="11" t="s">
        <v>3</v>
      </c>
      <c r="B1384" s="8"/>
      <c r="D1384">
        <f t="shared" si="16"/>
        <v>0</v>
      </c>
      <c r="E1384">
        <v>4.1919191919191919E-2</v>
      </c>
    </row>
    <row r="1385" spans="1:5" x14ac:dyDescent="0.3">
      <c r="A1385" s="12" t="s">
        <v>3</v>
      </c>
      <c r="B1385" s="8"/>
      <c r="D1385">
        <f t="shared" si="16"/>
        <v>0</v>
      </c>
      <c r="E1385">
        <v>4.2424242424242427E-2</v>
      </c>
    </row>
    <row r="1386" spans="1:5" x14ac:dyDescent="0.3">
      <c r="A1386" s="11" t="s">
        <v>3</v>
      </c>
      <c r="B1386" s="8"/>
      <c r="D1386">
        <f t="shared" si="16"/>
        <v>0</v>
      </c>
      <c r="E1386">
        <v>4.2929292929292928E-2</v>
      </c>
    </row>
    <row r="1387" spans="1:5" x14ac:dyDescent="0.3">
      <c r="A1387" s="12" t="s">
        <v>3</v>
      </c>
      <c r="B1387" s="8"/>
      <c r="D1387">
        <f t="shared" si="16"/>
        <v>0</v>
      </c>
      <c r="E1387">
        <v>4.3434343434343443E-2</v>
      </c>
    </row>
    <row r="1388" spans="1:5" x14ac:dyDescent="0.3">
      <c r="A1388" s="11" t="s">
        <v>3</v>
      </c>
      <c r="B1388" s="8"/>
      <c r="D1388">
        <f t="shared" si="16"/>
        <v>0</v>
      </c>
      <c r="E1388">
        <v>4.3939393939393938E-2</v>
      </c>
    </row>
    <row r="1389" spans="1:5" x14ac:dyDescent="0.3">
      <c r="A1389" s="12" t="s">
        <v>3</v>
      </c>
      <c r="B1389" s="8"/>
      <c r="D1389">
        <f t="shared" si="16"/>
        <v>0</v>
      </c>
      <c r="E1389">
        <v>4.4444444444444453E-2</v>
      </c>
    </row>
    <row r="1390" spans="1:5" x14ac:dyDescent="0.3">
      <c r="A1390" s="11" t="s">
        <v>3</v>
      </c>
      <c r="B1390" s="8"/>
      <c r="D1390">
        <f t="shared" si="16"/>
        <v>0</v>
      </c>
      <c r="E1390">
        <v>4.4949494949494948E-2</v>
      </c>
    </row>
    <row r="1391" spans="1:5" x14ac:dyDescent="0.3">
      <c r="A1391" s="12" t="s">
        <v>3</v>
      </c>
      <c r="B1391" s="8"/>
      <c r="D1391">
        <f t="shared" si="16"/>
        <v>0</v>
      </c>
      <c r="E1391">
        <v>4.5454545454545463E-2</v>
      </c>
    </row>
    <row r="1392" spans="1:5" x14ac:dyDescent="0.3">
      <c r="A1392" s="11" t="s">
        <v>3</v>
      </c>
      <c r="B1392" s="8"/>
      <c r="D1392">
        <f t="shared" si="16"/>
        <v>0</v>
      </c>
      <c r="E1392">
        <v>4.5959595959595957E-2</v>
      </c>
    </row>
    <row r="1393" spans="1:5" x14ac:dyDescent="0.3">
      <c r="A1393" s="12" t="s">
        <v>3</v>
      </c>
      <c r="B1393" s="8"/>
      <c r="D1393">
        <f t="shared" si="16"/>
        <v>0</v>
      </c>
      <c r="E1393">
        <v>4.6464646464646472E-2</v>
      </c>
    </row>
    <row r="1394" spans="1:5" x14ac:dyDescent="0.3">
      <c r="A1394" s="11" t="s">
        <v>3</v>
      </c>
      <c r="B1394" s="8"/>
      <c r="D1394">
        <f t="shared" si="16"/>
        <v>0</v>
      </c>
      <c r="E1394">
        <v>4.6969696969696967E-2</v>
      </c>
    </row>
    <row r="1395" spans="1:5" x14ac:dyDescent="0.3">
      <c r="A1395" s="12" t="s">
        <v>3</v>
      </c>
      <c r="B1395" s="8"/>
      <c r="D1395">
        <f t="shared" si="16"/>
        <v>0</v>
      </c>
      <c r="E1395">
        <v>4.7474747474747482E-2</v>
      </c>
    </row>
    <row r="1396" spans="1:5" x14ac:dyDescent="0.3">
      <c r="A1396" s="11" t="s">
        <v>3</v>
      </c>
      <c r="B1396" s="8"/>
      <c r="D1396">
        <f t="shared" si="16"/>
        <v>0</v>
      </c>
      <c r="E1396">
        <v>4.7979797979797983E-2</v>
      </c>
    </row>
    <row r="1397" spans="1:5" x14ac:dyDescent="0.3">
      <c r="A1397" s="12" t="s">
        <v>3</v>
      </c>
      <c r="B1397" s="8"/>
      <c r="D1397">
        <f t="shared" si="16"/>
        <v>0</v>
      </c>
      <c r="E1397">
        <v>4.8484848484848478E-2</v>
      </c>
    </row>
    <row r="1398" spans="1:5" x14ac:dyDescent="0.3">
      <c r="A1398" s="11" t="s">
        <v>3</v>
      </c>
      <c r="B1398" s="8"/>
      <c r="D1398">
        <f t="shared" si="16"/>
        <v>0</v>
      </c>
      <c r="E1398">
        <v>4.8989898989898993E-2</v>
      </c>
    </row>
    <row r="1399" spans="1:5" x14ac:dyDescent="0.3">
      <c r="A1399" s="12" t="s">
        <v>3</v>
      </c>
      <c r="B1399" s="8"/>
      <c r="D1399">
        <f t="shared" si="16"/>
        <v>0</v>
      </c>
      <c r="E1399">
        <v>4.9494949494949488E-2</v>
      </c>
    </row>
    <row r="1400" spans="1:5" x14ac:dyDescent="0.3">
      <c r="A1400" s="11" t="s">
        <v>3</v>
      </c>
      <c r="B1400" s="8"/>
      <c r="D1400">
        <f t="shared" si="16"/>
        <v>0</v>
      </c>
      <c r="E1400">
        <v>0.05</v>
      </c>
    </row>
    <row r="1401" spans="1:5" x14ac:dyDescent="0.3">
      <c r="A1401" s="12"/>
      <c r="B1401" s="9"/>
      <c r="C1401" s="9"/>
    </row>
    <row r="1402" spans="1:5" x14ac:dyDescent="0.3">
      <c r="A1402" s="11"/>
      <c r="B1402" s="8"/>
      <c r="C1402" s="8"/>
    </row>
    <row r="1403" spans="1:5" x14ac:dyDescent="0.3">
      <c r="A1403" s="12"/>
      <c r="B1403" s="9"/>
      <c r="C1403" s="9"/>
    </row>
    <row r="1404" spans="1:5" x14ac:dyDescent="0.3">
      <c r="A1404" s="11"/>
      <c r="B1404" s="8"/>
      <c r="C1404" s="8"/>
    </row>
    <row r="1405" spans="1:5" x14ac:dyDescent="0.3">
      <c r="A1405" s="12"/>
      <c r="B1405" s="9"/>
      <c r="C1405" s="9"/>
    </row>
    <row r="1406" spans="1:5" x14ac:dyDescent="0.3">
      <c r="A1406" s="11"/>
      <c r="B1406" s="8"/>
      <c r="C1406" s="8"/>
    </row>
    <row r="1407" spans="1:5" x14ac:dyDescent="0.3">
      <c r="A1407" s="12"/>
      <c r="B1407" s="9"/>
      <c r="C1407" s="9"/>
    </row>
    <row r="1408" spans="1:5" x14ac:dyDescent="0.3">
      <c r="A1408" s="11"/>
      <c r="B1408" s="8"/>
      <c r="C1408" s="8"/>
    </row>
    <row r="1409" spans="1:3" x14ac:dyDescent="0.3">
      <c r="A1409" s="12"/>
      <c r="B1409" s="9"/>
      <c r="C1409" s="9"/>
    </row>
    <row r="1410" spans="1:3" x14ac:dyDescent="0.3">
      <c r="A1410" s="11"/>
      <c r="B1410" s="8"/>
      <c r="C1410" s="8"/>
    </row>
    <row r="1411" spans="1:3" x14ac:dyDescent="0.3">
      <c r="A1411" s="12"/>
      <c r="B1411" s="9"/>
      <c r="C1411" s="9"/>
    </row>
    <row r="1412" spans="1:3" x14ac:dyDescent="0.3">
      <c r="A1412" s="11"/>
      <c r="B1412" s="8"/>
      <c r="C1412" s="8"/>
    </row>
    <row r="1413" spans="1:3" x14ac:dyDescent="0.3">
      <c r="A1413" s="12"/>
      <c r="B1413" s="9"/>
      <c r="C1413" s="9"/>
    </row>
    <row r="1414" spans="1:3" x14ac:dyDescent="0.3">
      <c r="A1414" s="11"/>
      <c r="B1414" s="8"/>
      <c r="C1414" s="8"/>
    </row>
    <row r="1415" spans="1:3" x14ac:dyDescent="0.3">
      <c r="A1415" s="12"/>
      <c r="B1415" s="9"/>
      <c r="C1415" s="9"/>
    </row>
    <row r="1416" spans="1:3" x14ac:dyDescent="0.3">
      <c r="A1416" s="11"/>
      <c r="B1416" s="8"/>
      <c r="C1416" s="8"/>
    </row>
    <row r="1417" spans="1:3" x14ac:dyDescent="0.3">
      <c r="A1417" s="12"/>
      <c r="B1417" s="9"/>
      <c r="C1417" s="9"/>
    </row>
    <row r="1418" spans="1:3" x14ac:dyDescent="0.3">
      <c r="A1418" s="11"/>
      <c r="B1418" s="8"/>
      <c r="C1418" s="8"/>
    </row>
    <row r="1419" spans="1:3" x14ac:dyDescent="0.3">
      <c r="A1419" s="12"/>
      <c r="B1419" s="9"/>
      <c r="C1419" s="9"/>
    </row>
    <row r="1420" spans="1:3" x14ac:dyDescent="0.3">
      <c r="A1420" s="11"/>
      <c r="B1420" s="8"/>
      <c r="C1420" s="8"/>
    </row>
    <row r="1421" spans="1:3" x14ac:dyDescent="0.3">
      <c r="A1421" s="12"/>
      <c r="B1421" s="9"/>
      <c r="C1421" s="9"/>
    </row>
    <row r="1422" spans="1:3" x14ac:dyDescent="0.3">
      <c r="A1422" s="11"/>
      <c r="B1422" s="8"/>
      <c r="C1422" s="8"/>
    </row>
    <row r="1423" spans="1:3" x14ac:dyDescent="0.3">
      <c r="A1423" s="12"/>
      <c r="B1423" s="9"/>
      <c r="C1423" s="9"/>
    </row>
    <row r="1424" spans="1:3" x14ac:dyDescent="0.3">
      <c r="A1424" s="11"/>
      <c r="B1424" s="8"/>
      <c r="C1424" s="8"/>
    </row>
    <row r="1425" spans="1:3" x14ac:dyDescent="0.3">
      <c r="A1425" s="12"/>
      <c r="B1425" s="9"/>
      <c r="C1425" s="9"/>
    </row>
    <row r="1426" spans="1:3" x14ac:dyDescent="0.3">
      <c r="A1426" s="11"/>
      <c r="B1426" s="8"/>
      <c r="C1426" s="8"/>
    </row>
    <row r="1427" spans="1:3" x14ac:dyDescent="0.3">
      <c r="A1427" s="12"/>
      <c r="B1427" s="9"/>
      <c r="C1427" s="9"/>
    </row>
    <row r="1428" spans="1:3" x14ac:dyDescent="0.3">
      <c r="A1428" s="11"/>
      <c r="B1428" s="8"/>
      <c r="C1428" s="8"/>
    </row>
    <row r="1429" spans="1:3" x14ac:dyDescent="0.3">
      <c r="A1429" s="12"/>
      <c r="B1429" s="9"/>
      <c r="C1429" s="9"/>
    </row>
    <row r="1430" spans="1:3" x14ac:dyDescent="0.3">
      <c r="A1430" s="11"/>
      <c r="B1430" s="8"/>
      <c r="C1430" s="8"/>
    </row>
    <row r="1431" spans="1:3" x14ac:dyDescent="0.3">
      <c r="A1431" s="12"/>
      <c r="B1431" s="9"/>
      <c r="C1431" s="9"/>
    </row>
    <row r="1432" spans="1:3" x14ac:dyDescent="0.3">
      <c r="A1432" s="11"/>
      <c r="B1432" s="8"/>
      <c r="C1432" s="8"/>
    </row>
    <row r="1433" spans="1:3" x14ac:dyDescent="0.3">
      <c r="A1433" s="12"/>
      <c r="B1433" s="9"/>
      <c r="C1433" s="9"/>
    </row>
    <row r="1434" spans="1:3" x14ac:dyDescent="0.3">
      <c r="A1434" s="11"/>
      <c r="B1434" s="8"/>
      <c r="C1434" s="8"/>
    </row>
    <row r="1435" spans="1:3" x14ac:dyDescent="0.3">
      <c r="A1435" s="12"/>
      <c r="B1435" s="9"/>
      <c r="C1435" s="9"/>
    </row>
    <row r="1436" spans="1:3" x14ac:dyDescent="0.3">
      <c r="A1436" s="11"/>
      <c r="B1436" s="8"/>
      <c r="C1436" s="8"/>
    </row>
    <row r="1437" spans="1:3" x14ac:dyDescent="0.3">
      <c r="A1437" s="12"/>
      <c r="B1437" s="9"/>
      <c r="C1437" s="9"/>
    </row>
    <row r="1438" spans="1:3" x14ac:dyDescent="0.3">
      <c r="A1438" s="11"/>
      <c r="B1438" s="8"/>
      <c r="C1438" s="8"/>
    </row>
    <row r="1439" spans="1:3" x14ac:dyDescent="0.3">
      <c r="A1439" s="12"/>
      <c r="B1439" s="9"/>
      <c r="C1439" s="9"/>
    </row>
    <row r="1440" spans="1:3" x14ac:dyDescent="0.3">
      <c r="A1440" s="11"/>
      <c r="B1440" s="8"/>
      <c r="C1440" s="8"/>
    </row>
    <row r="1441" spans="1:5" x14ac:dyDescent="0.3">
      <c r="A1441" s="12"/>
      <c r="B1441" s="9"/>
      <c r="C1441" s="9"/>
    </row>
    <row r="1442" spans="1:5" x14ac:dyDescent="0.3">
      <c r="A1442" s="11"/>
      <c r="B1442" s="8"/>
      <c r="C1442" s="8"/>
    </row>
    <row r="1443" spans="1:5" x14ac:dyDescent="0.3">
      <c r="A1443" s="12"/>
      <c r="B1443" s="9"/>
      <c r="C1443" s="9"/>
    </row>
    <row r="1444" spans="1:5" x14ac:dyDescent="0.3">
      <c r="A1444" s="11"/>
      <c r="B1444" s="8"/>
      <c r="C1444" s="8"/>
    </row>
    <row r="1445" spans="1:5" x14ac:dyDescent="0.3">
      <c r="A1445" s="12"/>
      <c r="B1445" s="9"/>
      <c r="C1445" s="9"/>
    </row>
    <row r="1446" spans="1:5" x14ac:dyDescent="0.3">
      <c r="A1446" s="11"/>
      <c r="B1446" s="8"/>
      <c r="C1446" s="8"/>
    </row>
    <row r="1447" spans="1:5" x14ac:dyDescent="0.3">
      <c r="A1447" s="12"/>
      <c r="B1447" s="9"/>
      <c r="C1447" s="9"/>
    </row>
    <row r="1448" spans="1:5" x14ac:dyDescent="0.3">
      <c r="A1448" s="11"/>
      <c r="B1448" s="8"/>
      <c r="C1448" s="8"/>
    </row>
    <row r="1449" spans="1:5" x14ac:dyDescent="0.3">
      <c r="A1449" s="12"/>
      <c r="B1449" s="9"/>
      <c r="C1449" s="9"/>
    </row>
    <row r="1450" spans="1:5" x14ac:dyDescent="0.3">
      <c r="A1450" s="11"/>
      <c r="B1450" s="8"/>
      <c r="C1450" s="8"/>
    </row>
    <row r="1451" spans="1:5" x14ac:dyDescent="0.3">
      <c r="A1451" s="12" t="s">
        <v>4</v>
      </c>
      <c r="B1451" s="8"/>
      <c r="D1451">
        <f t="shared" ref="D1451:D1500" si="17">IF(IFERROR(FIND("1",A1451,1),ERROR.TYPE(#VALUE!))=ERROR.TYPE(#VALUE!),$M$2,$M$1)</f>
        <v>0</v>
      </c>
      <c r="E1451">
        <v>5.0505050505050497E-2</v>
      </c>
    </row>
    <row r="1452" spans="1:5" x14ac:dyDescent="0.3">
      <c r="A1452" s="11" t="s">
        <v>4</v>
      </c>
      <c r="B1452" s="8"/>
      <c r="D1452">
        <f t="shared" si="17"/>
        <v>0</v>
      </c>
      <c r="E1452">
        <v>5.1515151515151507E-2</v>
      </c>
    </row>
    <row r="1453" spans="1:5" x14ac:dyDescent="0.3">
      <c r="A1453" s="12" t="s">
        <v>4</v>
      </c>
      <c r="B1453" s="8"/>
      <c r="D1453">
        <f t="shared" si="17"/>
        <v>0</v>
      </c>
      <c r="E1453">
        <v>5.2525252525252517E-2</v>
      </c>
    </row>
    <row r="1454" spans="1:5" x14ac:dyDescent="0.3">
      <c r="A1454" s="11" t="s">
        <v>4</v>
      </c>
      <c r="B1454" s="8"/>
      <c r="D1454">
        <f t="shared" si="17"/>
        <v>0</v>
      </c>
      <c r="E1454">
        <v>5.3535353535353533E-2</v>
      </c>
    </row>
    <row r="1455" spans="1:5" x14ac:dyDescent="0.3">
      <c r="A1455" s="12" t="s">
        <v>4</v>
      </c>
      <c r="B1455" s="8"/>
      <c r="D1455">
        <f t="shared" si="17"/>
        <v>0</v>
      </c>
      <c r="E1455">
        <v>5.4545454545454543E-2</v>
      </c>
    </row>
    <row r="1456" spans="1:5" x14ac:dyDescent="0.3">
      <c r="A1456" s="11" t="s">
        <v>4</v>
      </c>
      <c r="B1456" s="8"/>
      <c r="D1456">
        <f t="shared" si="17"/>
        <v>0</v>
      </c>
      <c r="E1456">
        <v>5.5555555555555552E-2</v>
      </c>
    </row>
    <row r="1457" spans="1:5" x14ac:dyDescent="0.3">
      <c r="A1457" s="12" t="s">
        <v>4</v>
      </c>
      <c r="B1457" s="8"/>
      <c r="D1457">
        <f t="shared" si="17"/>
        <v>0</v>
      </c>
      <c r="E1457">
        <v>5.6565656565656569E-2</v>
      </c>
    </row>
    <row r="1458" spans="1:5" x14ac:dyDescent="0.3">
      <c r="A1458" s="11" t="s">
        <v>4</v>
      </c>
      <c r="B1458" s="8"/>
      <c r="D1458">
        <f t="shared" si="17"/>
        <v>0</v>
      </c>
      <c r="E1458">
        <v>5.7575757575757579E-2</v>
      </c>
    </row>
    <row r="1459" spans="1:5" x14ac:dyDescent="0.3">
      <c r="A1459" s="12" t="s">
        <v>4</v>
      </c>
      <c r="B1459" s="8"/>
      <c r="D1459">
        <f t="shared" si="17"/>
        <v>0</v>
      </c>
      <c r="E1459">
        <v>5.8585858585858588E-2</v>
      </c>
    </row>
    <row r="1460" spans="1:5" x14ac:dyDescent="0.3">
      <c r="A1460" s="11" t="s">
        <v>4</v>
      </c>
      <c r="B1460" s="8"/>
      <c r="D1460">
        <f t="shared" si="17"/>
        <v>0</v>
      </c>
      <c r="E1460">
        <v>5.9595959595959598E-2</v>
      </c>
    </row>
    <row r="1461" spans="1:5" x14ac:dyDescent="0.3">
      <c r="A1461" s="12" t="s">
        <v>4</v>
      </c>
      <c r="B1461" s="8"/>
      <c r="D1461">
        <f t="shared" si="17"/>
        <v>0</v>
      </c>
      <c r="E1461">
        <v>6.0606060606060608E-2</v>
      </c>
    </row>
    <row r="1462" spans="1:5" x14ac:dyDescent="0.3">
      <c r="A1462" s="11" t="s">
        <v>4</v>
      </c>
      <c r="B1462" s="8"/>
      <c r="D1462">
        <f t="shared" si="17"/>
        <v>0</v>
      </c>
      <c r="E1462">
        <v>6.1616161616161617E-2</v>
      </c>
    </row>
    <row r="1463" spans="1:5" x14ac:dyDescent="0.3">
      <c r="A1463" s="12" t="s">
        <v>4</v>
      </c>
      <c r="B1463" s="8"/>
      <c r="D1463">
        <f t="shared" si="17"/>
        <v>0</v>
      </c>
      <c r="E1463">
        <v>6.2626262626262627E-2</v>
      </c>
    </row>
    <row r="1464" spans="1:5" x14ac:dyDescent="0.3">
      <c r="A1464" s="11" t="s">
        <v>4</v>
      </c>
      <c r="B1464" s="8"/>
      <c r="D1464">
        <f t="shared" si="17"/>
        <v>0</v>
      </c>
      <c r="E1464">
        <v>6.363636363636363E-2</v>
      </c>
    </row>
    <row r="1465" spans="1:5" x14ac:dyDescent="0.3">
      <c r="A1465" s="12" t="s">
        <v>4</v>
      </c>
      <c r="B1465" s="8"/>
      <c r="D1465">
        <f t="shared" si="17"/>
        <v>0</v>
      </c>
      <c r="E1465">
        <v>6.4646464646464646E-2</v>
      </c>
    </row>
    <row r="1466" spans="1:5" x14ac:dyDescent="0.3">
      <c r="A1466" s="11" t="s">
        <v>4</v>
      </c>
      <c r="B1466" s="8"/>
      <c r="D1466">
        <f t="shared" si="17"/>
        <v>0</v>
      </c>
      <c r="E1466">
        <v>6.5656565656565663E-2</v>
      </c>
    </row>
    <row r="1467" spans="1:5" x14ac:dyDescent="0.3">
      <c r="A1467" s="12" t="s">
        <v>4</v>
      </c>
      <c r="B1467" s="8"/>
      <c r="D1467">
        <f t="shared" si="17"/>
        <v>0</v>
      </c>
      <c r="E1467">
        <v>6.6666666666666666E-2</v>
      </c>
    </row>
    <row r="1468" spans="1:5" x14ac:dyDescent="0.3">
      <c r="A1468" s="11" t="s">
        <v>4</v>
      </c>
      <c r="B1468" s="8"/>
      <c r="D1468">
        <f t="shared" si="17"/>
        <v>0</v>
      </c>
      <c r="E1468">
        <v>6.7676767676767682E-2</v>
      </c>
    </row>
    <row r="1469" spans="1:5" x14ac:dyDescent="0.3">
      <c r="A1469" s="12" t="s">
        <v>4</v>
      </c>
      <c r="B1469" s="8"/>
      <c r="D1469">
        <f t="shared" si="17"/>
        <v>0</v>
      </c>
      <c r="E1469">
        <v>6.8686868686868685E-2</v>
      </c>
    </row>
    <row r="1470" spans="1:5" x14ac:dyDescent="0.3">
      <c r="A1470" s="11" t="s">
        <v>4</v>
      </c>
      <c r="B1470" s="8"/>
      <c r="D1470">
        <f t="shared" si="17"/>
        <v>0</v>
      </c>
      <c r="E1470">
        <v>6.9696969696969702E-2</v>
      </c>
    </row>
    <row r="1471" spans="1:5" x14ac:dyDescent="0.3">
      <c r="A1471" s="12" t="s">
        <v>4</v>
      </c>
      <c r="B1471" s="8"/>
      <c r="D1471">
        <f t="shared" si="17"/>
        <v>0</v>
      </c>
      <c r="E1471">
        <v>7.0707070707070704E-2</v>
      </c>
    </row>
    <row r="1472" spans="1:5" x14ac:dyDescent="0.3">
      <c r="A1472" s="11" t="s">
        <v>4</v>
      </c>
      <c r="B1472" s="8"/>
      <c r="D1472">
        <f t="shared" si="17"/>
        <v>0</v>
      </c>
      <c r="E1472">
        <v>7.1717171717171721E-2</v>
      </c>
    </row>
    <row r="1473" spans="1:5" x14ac:dyDescent="0.3">
      <c r="A1473" s="12" t="s">
        <v>4</v>
      </c>
      <c r="B1473" s="8"/>
      <c r="D1473">
        <f t="shared" si="17"/>
        <v>0</v>
      </c>
      <c r="E1473">
        <v>7.2727272727272724E-2</v>
      </c>
    </row>
    <row r="1474" spans="1:5" x14ac:dyDescent="0.3">
      <c r="A1474" s="11" t="s">
        <v>4</v>
      </c>
      <c r="B1474" s="8"/>
      <c r="D1474">
        <f t="shared" si="17"/>
        <v>0</v>
      </c>
      <c r="E1474">
        <v>7.373737373737374E-2</v>
      </c>
    </row>
    <row r="1475" spans="1:5" x14ac:dyDescent="0.3">
      <c r="A1475" s="12" t="s">
        <v>4</v>
      </c>
      <c r="B1475" s="8"/>
      <c r="D1475">
        <f t="shared" si="17"/>
        <v>0</v>
      </c>
      <c r="E1475">
        <v>7.4747474747474743E-2</v>
      </c>
    </row>
    <row r="1476" spans="1:5" x14ac:dyDescent="0.3">
      <c r="A1476" s="11" t="s">
        <v>4</v>
      </c>
      <c r="B1476" s="8"/>
      <c r="D1476">
        <f t="shared" si="17"/>
        <v>0</v>
      </c>
      <c r="E1476">
        <v>7.575757575757576E-2</v>
      </c>
    </row>
    <row r="1477" spans="1:5" x14ac:dyDescent="0.3">
      <c r="A1477" s="12" t="s">
        <v>4</v>
      </c>
      <c r="B1477" s="8"/>
      <c r="D1477">
        <f t="shared" si="17"/>
        <v>0</v>
      </c>
      <c r="E1477">
        <v>7.6767676767676762E-2</v>
      </c>
    </row>
    <row r="1478" spans="1:5" x14ac:dyDescent="0.3">
      <c r="A1478" s="11" t="s">
        <v>4</v>
      </c>
      <c r="B1478" s="8"/>
      <c r="D1478">
        <f t="shared" si="17"/>
        <v>0</v>
      </c>
      <c r="E1478">
        <v>7.7777777777777779E-2</v>
      </c>
    </row>
    <row r="1479" spans="1:5" x14ac:dyDescent="0.3">
      <c r="A1479" s="12" t="s">
        <v>4</v>
      </c>
      <c r="B1479" s="8"/>
      <c r="D1479">
        <f t="shared" si="17"/>
        <v>0</v>
      </c>
      <c r="E1479">
        <v>7.8787878787878782E-2</v>
      </c>
    </row>
    <row r="1480" spans="1:5" x14ac:dyDescent="0.3">
      <c r="A1480" s="11" t="s">
        <v>4</v>
      </c>
      <c r="B1480" s="8"/>
      <c r="D1480">
        <f t="shared" si="17"/>
        <v>0</v>
      </c>
      <c r="E1480">
        <v>7.9797979797979798E-2</v>
      </c>
    </row>
    <row r="1481" spans="1:5" x14ac:dyDescent="0.3">
      <c r="A1481" s="12" t="s">
        <v>4</v>
      </c>
      <c r="B1481" s="8"/>
      <c r="D1481">
        <f t="shared" si="17"/>
        <v>0</v>
      </c>
      <c r="E1481">
        <v>8.0808080808080801E-2</v>
      </c>
    </row>
    <row r="1482" spans="1:5" x14ac:dyDescent="0.3">
      <c r="A1482" s="11" t="s">
        <v>4</v>
      </c>
      <c r="B1482" s="8"/>
      <c r="D1482">
        <f t="shared" si="17"/>
        <v>0</v>
      </c>
      <c r="E1482">
        <v>8.1818181818181818E-2</v>
      </c>
    </row>
    <row r="1483" spans="1:5" x14ac:dyDescent="0.3">
      <c r="A1483" s="12" t="s">
        <v>4</v>
      </c>
      <c r="B1483" s="8"/>
      <c r="D1483">
        <f t="shared" si="17"/>
        <v>0</v>
      </c>
      <c r="E1483">
        <v>8.2828282828282834E-2</v>
      </c>
    </row>
    <row r="1484" spans="1:5" x14ac:dyDescent="0.3">
      <c r="A1484" s="11" t="s">
        <v>4</v>
      </c>
      <c r="B1484" s="8"/>
      <c r="D1484">
        <f t="shared" si="17"/>
        <v>0</v>
      </c>
      <c r="E1484">
        <v>8.3838383838383837E-2</v>
      </c>
    </row>
    <row r="1485" spans="1:5" x14ac:dyDescent="0.3">
      <c r="A1485" s="12" t="s">
        <v>4</v>
      </c>
      <c r="B1485" s="8"/>
      <c r="D1485">
        <f t="shared" si="17"/>
        <v>0</v>
      </c>
      <c r="E1485">
        <v>8.4848484848484854E-2</v>
      </c>
    </row>
    <row r="1486" spans="1:5" x14ac:dyDescent="0.3">
      <c r="A1486" s="11" t="s">
        <v>4</v>
      </c>
      <c r="B1486" s="8"/>
      <c r="D1486">
        <f t="shared" si="17"/>
        <v>0</v>
      </c>
      <c r="E1486">
        <v>8.5858585858585856E-2</v>
      </c>
    </row>
    <row r="1487" spans="1:5" x14ac:dyDescent="0.3">
      <c r="A1487" s="12" t="s">
        <v>4</v>
      </c>
      <c r="B1487" s="8"/>
      <c r="D1487">
        <f t="shared" si="17"/>
        <v>0</v>
      </c>
      <c r="E1487">
        <v>8.6868686868686873E-2</v>
      </c>
    </row>
    <row r="1488" spans="1:5" x14ac:dyDescent="0.3">
      <c r="A1488" s="11" t="s">
        <v>4</v>
      </c>
      <c r="B1488" s="8"/>
      <c r="D1488">
        <f t="shared" si="17"/>
        <v>0</v>
      </c>
      <c r="E1488">
        <v>8.7878787878787876E-2</v>
      </c>
    </row>
    <row r="1489" spans="1:5" x14ac:dyDescent="0.3">
      <c r="A1489" s="12" t="s">
        <v>4</v>
      </c>
      <c r="B1489" s="8"/>
      <c r="D1489">
        <f t="shared" si="17"/>
        <v>0</v>
      </c>
      <c r="E1489">
        <v>8.8888888888888892E-2</v>
      </c>
    </row>
    <row r="1490" spans="1:5" x14ac:dyDescent="0.3">
      <c r="A1490" s="11" t="s">
        <v>4</v>
      </c>
      <c r="B1490" s="8"/>
      <c r="D1490">
        <f t="shared" si="17"/>
        <v>0</v>
      </c>
      <c r="E1490">
        <v>8.9898989898989895E-2</v>
      </c>
    </row>
    <row r="1491" spans="1:5" x14ac:dyDescent="0.3">
      <c r="A1491" s="12" t="s">
        <v>4</v>
      </c>
      <c r="B1491" s="8"/>
      <c r="D1491">
        <f t="shared" si="17"/>
        <v>0</v>
      </c>
      <c r="E1491">
        <v>9.0909090909090912E-2</v>
      </c>
    </row>
    <row r="1492" spans="1:5" x14ac:dyDescent="0.3">
      <c r="A1492" s="11" t="s">
        <v>4</v>
      </c>
      <c r="B1492" s="8"/>
      <c r="D1492">
        <f t="shared" si="17"/>
        <v>0</v>
      </c>
      <c r="E1492">
        <v>9.1919191919191914E-2</v>
      </c>
    </row>
    <row r="1493" spans="1:5" x14ac:dyDescent="0.3">
      <c r="A1493" s="12" t="s">
        <v>4</v>
      </c>
      <c r="B1493" s="8"/>
      <c r="D1493">
        <f t="shared" si="17"/>
        <v>0</v>
      </c>
      <c r="E1493">
        <v>9.2929292929292931E-2</v>
      </c>
    </row>
    <row r="1494" spans="1:5" x14ac:dyDescent="0.3">
      <c r="A1494" s="11" t="s">
        <v>4</v>
      </c>
      <c r="B1494" s="8"/>
      <c r="D1494">
        <f t="shared" si="17"/>
        <v>0</v>
      </c>
      <c r="E1494">
        <v>9.3939393939393934E-2</v>
      </c>
    </row>
    <row r="1495" spans="1:5" x14ac:dyDescent="0.3">
      <c r="A1495" s="12" t="s">
        <v>4</v>
      </c>
      <c r="B1495" s="8"/>
      <c r="D1495">
        <f t="shared" si="17"/>
        <v>0</v>
      </c>
      <c r="E1495">
        <v>9.494949494949495E-2</v>
      </c>
    </row>
    <row r="1496" spans="1:5" x14ac:dyDescent="0.3">
      <c r="A1496" s="11" t="s">
        <v>4</v>
      </c>
      <c r="B1496" s="8"/>
      <c r="D1496">
        <f t="shared" si="17"/>
        <v>0</v>
      </c>
      <c r="E1496">
        <v>9.5959595959595953E-2</v>
      </c>
    </row>
    <row r="1497" spans="1:5" x14ac:dyDescent="0.3">
      <c r="A1497" s="12" t="s">
        <v>4</v>
      </c>
      <c r="B1497" s="8"/>
      <c r="D1497">
        <f t="shared" si="17"/>
        <v>0</v>
      </c>
      <c r="E1497">
        <v>9.696969696969697E-2</v>
      </c>
    </row>
    <row r="1498" spans="1:5" x14ac:dyDescent="0.3">
      <c r="A1498" s="11" t="s">
        <v>4</v>
      </c>
      <c r="B1498" s="8"/>
      <c r="D1498">
        <f t="shared" si="17"/>
        <v>0</v>
      </c>
      <c r="E1498">
        <v>9.7979797979797986E-2</v>
      </c>
    </row>
    <row r="1499" spans="1:5" x14ac:dyDescent="0.3">
      <c r="A1499" s="12" t="s">
        <v>4</v>
      </c>
      <c r="B1499" s="8"/>
      <c r="D1499">
        <f t="shared" si="17"/>
        <v>0</v>
      </c>
      <c r="E1499">
        <v>9.8989898989898989E-2</v>
      </c>
    </row>
    <row r="1500" spans="1:5" x14ac:dyDescent="0.3">
      <c r="A1500" s="11" t="s">
        <v>4</v>
      </c>
      <c r="B1500" s="8"/>
      <c r="D1500">
        <f t="shared" si="17"/>
        <v>0</v>
      </c>
      <c r="E1500">
        <v>0.1</v>
      </c>
    </row>
    <row r="1501" spans="1:5" x14ac:dyDescent="0.3">
      <c r="A1501" s="12"/>
      <c r="B1501" s="9"/>
      <c r="C1501" s="9"/>
    </row>
    <row r="1502" spans="1:5" x14ac:dyDescent="0.3">
      <c r="A1502" s="11"/>
      <c r="B1502" s="8"/>
      <c r="C1502" s="8"/>
    </row>
    <row r="1503" spans="1:5" x14ac:dyDescent="0.3">
      <c r="A1503" s="12"/>
      <c r="B1503" s="9"/>
      <c r="C1503" s="9"/>
    </row>
    <row r="1504" spans="1:5" x14ac:dyDescent="0.3">
      <c r="A1504" s="11"/>
      <c r="B1504" s="8"/>
      <c r="C1504" s="8"/>
    </row>
    <row r="1505" spans="1:3" x14ac:dyDescent="0.3">
      <c r="A1505" s="12"/>
      <c r="B1505" s="9"/>
      <c r="C1505" s="9"/>
    </row>
    <row r="1506" spans="1:3" x14ac:dyDescent="0.3">
      <c r="A1506" s="11"/>
      <c r="B1506" s="8"/>
      <c r="C1506" s="8"/>
    </row>
    <row r="1507" spans="1:3" x14ac:dyDescent="0.3">
      <c r="A1507" s="12"/>
      <c r="B1507" s="9"/>
      <c r="C1507" s="9"/>
    </row>
    <row r="1508" spans="1:3" x14ac:dyDescent="0.3">
      <c r="A1508" s="11"/>
      <c r="B1508" s="8"/>
      <c r="C1508" s="8"/>
    </row>
    <row r="1509" spans="1:3" x14ac:dyDescent="0.3">
      <c r="A1509" s="12"/>
      <c r="B1509" s="9"/>
      <c r="C1509" s="9"/>
    </row>
    <row r="1510" spans="1:3" x14ac:dyDescent="0.3">
      <c r="A1510" s="11"/>
      <c r="B1510" s="8"/>
      <c r="C1510" s="8"/>
    </row>
    <row r="1511" spans="1:3" x14ac:dyDescent="0.3">
      <c r="A1511" s="12"/>
      <c r="B1511" s="9"/>
      <c r="C1511" s="9"/>
    </row>
    <row r="1512" spans="1:3" x14ac:dyDescent="0.3">
      <c r="A1512" s="11"/>
      <c r="B1512" s="8"/>
      <c r="C1512" s="8"/>
    </row>
    <row r="1513" spans="1:3" x14ac:dyDescent="0.3">
      <c r="A1513" s="12"/>
      <c r="B1513" s="9"/>
      <c r="C1513" s="9"/>
    </row>
    <row r="1514" spans="1:3" x14ac:dyDescent="0.3">
      <c r="A1514" s="11"/>
      <c r="B1514" s="8"/>
      <c r="C1514" s="8"/>
    </row>
    <row r="1515" spans="1:3" x14ac:dyDescent="0.3">
      <c r="A1515" s="12"/>
      <c r="B1515" s="9"/>
      <c r="C1515" s="9"/>
    </row>
    <row r="1516" spans="1:3" x14ac:dyDescent="0.3">
      <c r="A1516" s="11"/>
      <c r="B1516" s="8"/>
      <c r="C1516" s="8"/>
    </row>
    <row r="1517" spans="1:3" x14ac:dyDescent="0.3">
      <c r="A1517" s="12"/>
      <c r="B1517" s="9"/>
      <c r="C1517" s="9"/>
    </row>
    <row r="1518" spans="1:3" x14ac:dyDescent="0.3">
      <c r="A1518" s="11"/>
      <c r="B1518" s="8"/>
      <c r="C1518" s="8"/>
    </row>
    <row r="1519" spans="1:3" x14ac:dyDescent="0.3">
      <c r="A1519" s="12"/>
      <c r="B1519" s="9"/>
      <c r="C1519" s="9"/>
    </row>
    <row r="1520" spans="1:3" x14ac:dyDescent="0.3">
      <c r="A1520" s="11"/>
      <c r="B1520" s="8"/>
      <c r="C1520" s="8"/>
    </row>
    <row r="1521" spans="1:3" x14ac:dyDescent="0.3">
      <c r="A1521" s="12"/>
      <c r="B1521" s="9"/>
      <c r="C1521" s="9"/>
    </row>
    <row r="1522" spans="1:3" x14ac:dyDescent="0.3">
      <c r="A1522" s="11"/>
      <c r="B1522" s="8"/>
      <c r="C1522" s="8"/>
    </row>
    <row r="1523" spans="1:3" x14ac:dyDescent="0.3">
      <c r="A1523" s="12"/>
      <c r="B1523" s="9"/>
      <c r="C1523" s="9"/>
    </row>
    <row r="1524" spans="1:3" x14ac:dyDescent="0.3">
      <c r="A1524" s="11"/>
      <c r="B1524" s="8"/>
      <c r="C1524" s="8"/>
    </row>
    <row r="1525" spans="1:3" x14ac:dyDescent="0.3">
      <c r="A1525" s="12"/>
      <c r="B1525" s="9"/>
      <c r="C1525" s="9"/>
    </row>
    <row r="1526" spans="1:3" x14ac:dyDescent="0.3">
      <c r="A1526" s="11"/>
      <c r="B1526" s="8"/>
      <c r="C1526" s="8"/>
    </row>
    <row r="1527" spans="1:3" x14ac:dyDescent="0.3">
      <c r="A1527" s="12"/>
      <c r="B1527" s="9"/>
      <c r="C1527" s="9"/>
    </row>
    <row r="1528" spans="1:3" x14ac:dyDescent="0.3">
      <c r="A1528" s="11"/>
      <c r="B1528" s="8"/>
      <c r="C1528" s="8"/>
    </row>
    <row r="1529" spans="1:3" x14ac:dyDescent="0.3">
      <c r="A1529" s="12"/>
      <c r="B1529" s="9"/>
      <c r="C1529" s="9"/>
    </row>
    <row r="1530" spans="1:3" x14ac:dyDescent="0.3">
      <c r="A1530" s="11"/>
      <c r="B1530" s="8"/>
      <c r="C1530" s="8"/>
    </row>
    <row r="1531" spans="1:3" x14ac:dyDescent="0.3">
      <c r="A1531" s="12"/>
      <c r="B1531" s="9"/>
      <c r="C1531" s="9"/>
    </row>
    <row r="1532" spans="1:3" x14ac:dyDescent="0.3">
      <c r="A1532" s="11"/>
      <c r="B1532" s="8"/>
      <c r="C1532" s="8"/>
    </row>
    <row r="1533" spans="1:3" x14ac:dyDescent="0.3">
      <c r="A1533" s="12"/>
      <c r="B1533" s="9"/>
      <c r="C1533" s="9"/>
    </row>
    <row r="1534" spans="1:3" x14ac:dyDescent="0.3">
      <c r="A1534" s="11"/>
      <c r="B1534" s="8"/>
      <c r="C1534" s="8"/>
    </row>
    <row r="1535" spans="1:3" x14ac:dyDescent="0.3">
      <c r="A1535" s="12"/>
      <c r="B1535" s="9"/>
      <c r="C1535" s="9"/>
    </row>
    <row r="1536" spans="1:3" x14ac:dyDescent="0.3">
      <c r="A1536" s="11"/>
      <c r="B1536" s="8"/>
      <c r="C1536" s="8"/>
    </row>
    <row r="1537" spans="1:5" x14ac:dyDescent="0.3">
      <c r="A1537" s="12"/>
      <c r="B1537" s="9"/>
      <c r="C1537" s="9"/>
    </row>
    <row r="1538" spans="1:5" x14ac:dyDescent="0.3">
      <c r="A1538" s="11"/>
      <c r="B1538" s="8"/>
      <c r="C1538" s="8"/>
    </row>
    <row r="1539" spans="1:5" x14ac:dyDescent="0.3">
      <c r="A1539" s="12"/>
      <c r="B1539" s="9"/>
      <c r="C1539" s="9"/>
    </row>
    <row r="1540" spans="1:5" x14ac:dyDescent="0.3">
      <c r="A1540" s="11"/>
      <c r="B1540" s="8"/>
      <c r="C1540" s="8"/>
    </row>
    <row r="1541" spans="1:5" x14ac:dyDescent="0.3">
      <c r="A1541" s="12"/>
      <c r="B1541" s="9"/>
      <c r="C1541" s="9"/>
    </row>
    <row r="1542" spans="1:5" x14ac:dyDescent="0.3">
      <c r="A1542" s="11"/>
      <c r="B1542" s="8"/>
      <c r="C1542" s="8"/>
    </row>
    <row r="1543" spans="1:5" x14ac:dyDescent="0.3">
      <c r="A1543" s="12"/>
      <c r="B1543" s="9"/>
      <c r="C1543" s="9"/>
    </row>
    <row r="1544" spans="1:5" x14ac:dyDescent="0.3">
      <c r="A1544" s="11"/>
      <c r="B1544" s="8"/>
      <c r="C1544" s="8"/>
    </row>
    <row r="1545" spans="1:5" x14ac:dyDescent="0.3">
      <c r="A1545" s="12"/>
      <c r="B1545" s="9"/>
      <c r="C1545" s="9"/>
    </row>
    <row r="1546" spans="1:5" x14ac:dyDescent="0.3">
      <c r="A1546" s="11"/>
      <c r="B1546" s="8"/>
      <c r="C1546" s="8"/>
    </row>
    <row r="1547" spans="1:5" x14ac:dyDescent="0.3">
      <c r="A1547" s="12"/>
      <c r="B1547" s="9"/>
      <c r="C1547" s="9"/>
    </row>
    <row r="1548" spans="1:5" x14ac:dyDescent="0.3">
      <c r="A1548" s="11"/>
      <c r="B1548" s="8"/>
      <c r="C1548" s="8"/>
    </row>
    <row r="1549" spans="1:5" x14ac:dyDescent="0.3">
      <c r="A1549" s="12"/>
      <c r="B1549" s="9"/>
      <c r="C1549" s="9"/>
    </row>
    <row r="1550" spans="1:5" x14ac:dyDescent="0.3">
      <c r="A1550" s="11"/>
      <c r="B1550" s="8"/>
      <c r="C1550" s="8"/>
    </row>
    <row r="1551" spans="1:5" x14ac:dyDescent="0.3">
      <c r="A1551" s="12" t="s">
        <v>5</v>
      </c>
      <c r="B1551" s="8"/>
      <c r="D1551">
        <f t="shared" ref="D1551:D1600" si="18">IF(IFERROR(FIND("1",A1551,1),ERROR.TYPE(#VALUE!))=ERROR.TYPE(#VALUE!),$M$2,$M$1)</f>
        <v>0</v>
      </c>
      <c r="E1551">
        <v>5.0505050505050497E-2</v>
      </c>
    </row>
    <row r="1552" spans="1:5" x14ac:dyDescent="0.3">
      <c r="A1552" s="11" t="s">
        <v>5</v>
      </c>
      <c r="B1552" s="8"/>
      <c r="D1552">
        <f t="shared" si="18"/>
        <v>0</v>
      </c>
      <c r="E1552">
        <v>5.1515151515151507E-2</v>
      </c>
    </row>
    <row r="1553" spans="1:5" x14ac:dyDescent="0.3">
      <c r="A1553" s="12" t="s">
        <v>5</v>
      </c>
      <c r="B1553" s="8"/>
      <c r="D1553">
        <f t="shared" si="18"/>
        <v>0</v>
      </c>
      <c r="E1553">
        <v>5.2525252525252517E-2</v>
      </c>
    </row>
    <row r="1554" spans="1:5" x14ac:dyDescent="0.3">
      <c r="A1554" s="11" t="s">
        <v>5</v>
      </c>
      <c r="B1554" s="8"/>
      <c r="D1554">
        <f t="shared" si="18"/>
        <v>0</v>
      </c>
      <c r="E1554">
        <v>5.3535353535353533E-2</v>
      </c>
    </row>
    <row r="1555" spans="1:5" x14ac:dyDescent="0.3">
      <c r="A1555" s="12" t="s">
        <v>5</v>
      </c>
      <c r="B1555" s="8"/>
      <c r="D1555">
        <f t="shared" si="18"/>
        <v>0</v>
      </c>
      <c r="E1555">
        <v>5.4545454545454543E-2</v>
      </c>
    </row>
    <row r="1556" spans="1:5" x14ac:dyDescent="0.3">
      <c r="A1556" s="11" t="s">
        <v>5</v>
      </c>
      <c r="B1556" s="8"/>
      <c r="D1556">
        <f t="shared" si="18"/>
        <v>0</v>
      </c>
      <c r="E1556">
        <v>5.5555555555555552E-2</v>
      </c>
    </row>
    <row r="1557" spans="1:5" x14ac:dyDescent="0.3">
      <c r="A1557" s="12" t="s">
        <v>5</v>
      </c>
      <c r="B1557" s="8"/>
      <c r="D1557">
        <f t="shared" si="18"/>
        <v>0</v>
      </c>
      <c r="E1557">
        <v>5.6565656565656569E-2</v>
      </c>
    </row>
    <row r="1558" spans="1:5" x14ac:dyDescent="0.3">
      <c r="A1558" s="11" t="s">
        <v>5</v>
      </c>
      <c r="B1558" s="8"/>
      <c r="D1558">
        <f t="shared" si="18"/>
        <v>0</v>
      </c>
      <c r="E1558">
        <v>5.7575757575757579E-2</v>
      </c>
    </row>
    <row r="1559" spans="1:5" x14ac:dyDescent="0.3">
      <c r="A1559" s="12" t="s">
        <v>5</v>
      </c>
      <c r="B1559" s="8"/>
      <c r="D1559">
        <f t="shared" si="18"/>
        <v>0</v>
      </c>
      <c r="E1559">
        <v>5.8585858585858588E-2</v>
      </c>
    </row>
    <row r="1560" spans="1:5" x14ac:dyDescent="0.3">
      <c r="A1560" s="11" t="s">
        <v>5</v>
      </c>
      <c r="B1560" s="8"/>
      <c r="D1560">
        <f t="shared" si="18"/>
        <v>0</v>
      </c>
      <c r="E1560">
        <v>5.9595959595959598E-2</v>
      </c>
    </row>
    <row r="1561" spans="1:5" x14ac:dyDescent="0.3">
      <c r="A1561" s="12" t="s">
        <v>5</v>
      </c>
      <c r="B1561" s="8"/>
      <c r="D1561">
        <f t="shared" si="18"/>
        <v>0</v>
      </c>
      <c r="E1561">
        <v>6.0606060606060608E-2</v>
      </c>
    </row>
    <row r="1562" spans="1:5" x14ac:dyDescent="0.3">
      <c r="A1562" s="11" t="s">
        <v>5</v>
      </c>
      <c r="B1562" s="8"/>
      <c r="D1562">
        <f t="shared" si="18"/>
        <v>0</v>
      </c>
      <c r="E1562">
        <v>6.1616161616161617E-2</v>
      </c>
    </row>
    <row r="1563" spans="1:5" x14ac:dyDescent="0.3">
      <c r="A1563" s="12" t="s">
        <v>5</v>
      </c>
      <c r="B1563" s="8"/>
      <c r="D1563">
        <f t="shared" si="18"/>
        <v>0</v>
      </c>
      <c r="E1563">
        <v>6.2626262626262627E-2</v>
      </c>
    </row>
    <row r="1564" spans="1:5" x14ac:dyDescent="0.3">
      <c r="A1564" s="11" t="s">
        <v>5</v>
      </c>
      <c r="B1564" s="8"/>
      <c r="D1564">
        <f t="shared" si="18"/>
        <v>0</v>
      </c>
      <c r="E1564">
        <v>6.363636363636363E-2</v>
      </c>
    </row>
    <row r="1565" spans="1:5" x14ac:dyDescent="0.3">
      <c r="A1565" s="12" t="s">
        <v>5</v>
      </c>
      <c r="B1565" s="8"/>
      <c r="D1565">
        <f t="shared" si="18"/>
        <v>0</v>
      </c>
      <c r="E1565">
        <v>6.4646464646464646E-2</v>
      </c>
    </row>
    <row r="1566" spans="1:5" x14ac:dyDescent="0.3">
      <c r="A1566" s="11" t="s">
        <v>5</v>
      </c>
      <c r="B1566" s="8"/>
      <c r="D1566">
        <f t="shared" si="18"/>
        <v>0</v>
      </c>
      <c r="E1566">
        <v>6.5656565656565663E-2</v>
      </c>
    </row>
    <row r="1567" spans="1:5" x14ac:dyDescent="0.3">
      <c r="A1567" s="12" t="s">
        <v>5</v>
      </c>
      <c r="B1567" s="8"/>
      <c r="D1567">
        <f t="shared" si="18"/>
        <v>0</v>
      </c>
      <c r="E1567">
        <v>6.6666666666666666E-2</v>
      </c>
    </row>
    <row r="1568" spans="1:5" x14ac:dyDescent="0.3">
      <c r="A1568" s="11" t="s">
        <v>5</v>
      </c>
      <c r="B1568" s="8"/>
      <c r="D1568">
        <f t="shared" si="18"/>
        <v>0</v>
      </c>
      <c r="E1568">
        <v>6.7676767676767682E-2</v>
      </c>
    </row>
    <row r="1569" spans="1:5" x14ac:dyDescent="0.3">
      <c r="A1569" s="12" t="s">
        <v>5</v>
      </c>
      <c r="B1569" s="8"/>
      <c r="D1569">
        <f t="shared" si="18"/>
        <v>0</v>
      </c>
      <c r="E1569">
        <v>6.8686868686868685E-2</v>
      </c>
    </row>
    <row r="1570" spans="1:5" x14ac:dyDescent="0.3">
      <c r="A1570" s="11" t="s">
        <v>5</v>
      </c>
      <c r="B1570" s="8"/>
      <c r="D1570">
        <f t="shared" si="18"/>
        <v>0</v>
      </c>
      <c r="E1570">
        <v>6.9696969696969702E-2</v>
      </c>
    </row>
    <row r="1571" spans="1:5" x14ac:dyDescent="0.3">
      <c r="A1571" s="12" t="s">
        <v>5</v>
      </c>
      <c r="B1571" s="8"/>
      <c r="D1571">
        <f t="shared" si="18"/>
        <v>0</v>
      </c>
      <c r="E1571">
        <v>7.0707070707070704E-2</v>
      </c>
    </row>
    <row r="1572" spans="1:5" x14ac:dyDescent="0.3">
      <c r="A1572" s="11" t="s">
        <v>5</v>
      </c>
      <c r="B1572" s="8"/>
      <c r="D1572">
        <f t="shared" si="18"/>
        <v>0</v>
      </c>
      <c r="E1572">
        <v>7.1717171717171721E-2</v>
      </c>
    </row>
    <row r="1573" spans="1:5" x14ac:dyDescent="0.3">
      <c r="A1573" s="12" t="s">
        <v>5</v>
      </c>
      <c r="B1573" s="8"/>
      <c r="D1573">
        <f t="shared" si="18"/>
        <v>0</v>
      </c>
      <c r="E1573">
        <v>7.2727272727272724E-2</v>
      </c>
    </row>
    <row r="1574" spans="1:5" x14ac:dyDescent="0.3">
      <c r="A1574" s="11" t="s">
        <v>5</v>
      </c>
      <c r="B1574" s="8"/>
      <c r="D1574">
        <f t="shared" si="18"/>
        <v>0</v>
      </c>
      <c r="E1574">
        <v>7.373737373737374E-2</v>
      </c>
    </row>
    <row r="1575" spans="1:5" x14ac:dyDescent="0.3">
      <c r="A1575" s="12" t="s">
        <v>5</v>
      </c>
      <c r="B1575" s="8"/>
      <c r="D1575">
        <f t="shared" si="18"/>
        <v>0</v>
      </c>
      <c r="E1575">
        <v>7.4747474747474743E-2</v>
      </c>
    </row>
    <row r="1576" spans="1:5" x14ac:dyDescent="0.3">
      <c r="A1576" s="11" t="s">
        <v>5</v>
      </c>
      <c r="B1576" s="8"/>
      <c r="D1576">
        <f t="shared" si="18"/>
        <v>0</v>
      </c>
      <c r="E1576">
        <v>7.575757575757576E-2</v>
      </c>
    </row>
    <row r="1577" spans="1:5" x14ac:dyDescent="0.3">
      <c r="A1577" s="12" t="s">
        <v>5</v>
      </c>
      <c r="B1577" s="8"/>
      <c r="D1577">
        <f t="shared" si="18"/>
        <v>0</v>
      </c>
      <c r="E1577">
        <v>7.6767676767676762E-2</v>
      </c>
    </row>
    <row r="1578" spans="1:5" x14ac:dyDescent="0.3">
      <c r="A1578" s="11" t="s">
        <v>5</v>
      </c>
      <c r="B1578" s="8"/>
      <c r="D1578">
        <f t="shared" si="18"/>
        <v>0</v>
      </c>
      <c r="E1578">
        <v>7.7777777777777779E-2</v>
      </c>
    </row>
    <row r="1579" spans="1:5" x14ac:dyDescent="0.3">
      <c r="A1579" s="12" t="s">
        <v>5</v>
      </c>
      <c r="B1579" s="8"/>
      <c r="D1579">
        <f t="shared" si="18"/>
        <v>0</v>
      </c>
      <c r="E1579">
        <v>7.8787878787878782E-2</v>
      </c>
    </row>
    <row r="1580" spans="1:5" x14ac:dyDescent="0.3">
      <c r="A1580" s="11" t="s">
        <v>5</v>
      </c>
      <c r="B1580" s="8"/>
      <c r="D1580">
        <f t="shared" si="18"/>
        <v>0</v>
      </c>
      <c r="E1580">
        <v>7.9797979797979798E-2</v>
      </c>
    </row>
    <row r="1581" spans="1:5" x14ac:dyDescent="0.3">
      <c r="A1581" s="12" t="s">
        <v>5</v>
      </c>
      <c r="B1581" s="8"/>
      <c r="D1581">
        <f t="shared" si="18"/>
        <v>0</v>
      </c>
      <c r="E1581">
        <v>8.0808080808080801E-2</v>
      </c>
    </row>
    <row r="1582" spans="1:5" x14ac:dyDescent="0.3">
      <c r="A1582" s="11" t="s">
        <v>5</v>
      </c>
      <c r="B1582" s="8"/>
      <c r="D1582">
        <f t="shared" si="18"/>
        <v>0</v>
      </c>
      <c r="E1582">
        <v>8.1818181818181818E-2</v>
      </c>
    </row>
    <row r="1583" spans="1:5" x14ac:dyDescent="0.3">
      <c r="A1583" s="12" t="s">
        <v>5</v>
      </c>
      <c r="B1583" s="8"/>
      <c r="D1583">
        <f t="shared" si="18"/>
        <v>0</v>
      </c>
      <c r="E1583">
        <v>8.2828282828282834E-2</v>
      </c>
    </row>
    <row r="1584" spans="1:5" x14ac:dyDescent="0.3">
      <c r="A1584" s="11" t="s">
        <v>5</v>
      </c>
      <c r="B1584" s="8"/>
      <c r="D1584">
        <f t="shared" si="18"/>
        <v>0</v>
      </c>
      <c r="E1584">
        <v>8.3838383838383837E-2</v>
      </c>
    </row>
    <row r="1585" spans="1:5" x14ac:dyDescent="0.3">
      <c r="A1585" s="12" t="s">
        <v>5</v>
      </c>
      <c r="B1585" s="8"/>
      <c r="D1585">
        <f t="shared" si="18"/>
        <v>0</v>
      </c>
      <c r="E1585">
        <v>8.4848484848484854E-2</v>
      </c>
    </row>
    <row r="1586" spans="1:5" x14ac:dyDescent="0.3">
      <c r="A1586" s="11" t="s">
        <v>5</v>
      </c>
      <c r="B1586" s="8"/>
      <c r="D1586">
        <f t="shared" si="18"/>
        <v>0</v>
      </c>
      <c r="E1586">
        <v>8.5858585858585856E-2</v>
      </c>
    </row>
    <row r="1587" spans="1:5" x14ac:dyDescent="0.3">
      <c r="A1587" s="12" t="s">
        <v>5</v>
      </c>
      <c r="B1587" s="8"/>
      <c r="D1587">
        <f t="shared" si="18"/>
        <v>0</v>
      </c>
      <c r="E1587">
        <v>8.6868686868686873E-2</v>
      </c>
    </row>
    <row r="1588" spans="1:5" x14ac:dyDescent="0.3">
      <c r="A1588" s="11" t="s">
        <v>5</v>
      </c>
      <c r="B1588" s="8"/>
      <c r="D1588">
        <f t="shared" si="18"/>
        <v>0</v>
      </c>
      <c r="E1588">
        <v>8.7878787878787876E-2</v>
      </c>
    </row>
    <row r="1589" spans="1:5" x14ac:dyDescent="0.3">
      <c r="A1589" s="12" t="s">
        <v>5</v>
      </c>
      <c r="B1589" s="8"/>
      <c r="D1589">
        <f t="shared" si="18"/>
        <v>0</v>
      </c>
      <c r="E1589">
        <v>8.8888888888888892E-2</v>
      </c>
    </row>
    <row r="1590" spans="1:5" x14ac:dyDescent="0.3">
      <c r="A1590" s="11" t="s">
        <v>5</v>
      </c>
      <c r="B1590" s="8"/>
      <c r="D1590">
        <f t="shared" si="18"/>
        <v>0</v>
      </c>
      <c r="E1590">
        <v>8.9898989898989895E-2</v>
      </c>
    </row>
    <row r="1591" spans="1:5" x14ac:dyDescent="0.3">
      <c r="A1591" s="12" t="s">
        <v>5</v>
      </c>
      <c r="B1591" s="8"/>
      <c r="D1591">
        <f t="shared" si="18"/>
        <v>0</v>
      </c>
      <c r="E1591">
        <v>9.0909090909090912E-2</v>
      </c>
    </row>
    <row r="1592" spans="1:5" x14ac:dyDescent="0.3">
      <c r="A1592" s="11" t="s">
        <v>5</v>
      </c>
      <c r="B1592" s="8"/>
      <c r="D1592">
        <f t="shared" si="18"/>
        <v>0</v>
      </c>
      <c r="E1592">
        <v>9.1919191919191914E-2</v>
      </c>
    </row>
    <row r="1593" spans="1:5" x14ac:dyDescent="0.3">
      <c r="A1593" s="12" t="s">
        <v>5</v>
      </c>
      <c r="B1593" s="8"/>
      <c r="D1593">
        <f t="shared" si="18"/>
        <v>0</v>
      </c>
      <c r="E1593">
        <v>9.2929292929292931E-2</v>
      </c>
    </row>
    <row r="1594" spans="1:5" x14ac:dyDescent="0.3">
      <c r="A1594" s="11" t="s">
        <v>5</v>
      </c>
      <c r="B1594" s="8"/>
      <c r="D1594">
        <f t="shared" si="18"/>
        <v>0</v>
      </c>
      <c r="E1594">
        <v>9.3939393939393934E-2</v>
      </c>
    </row>
    <row r="1595" spans="1:5" x14ac:dyDescent="0.3">
      <c r="A1595" s="12" t="s">
        <v>5</v>
      </c>
      <c r="B1595" s="8"/>
      <c r="D1595">
        <f t="shared" si="18"/>
        <v>0</v>
      </c>
      <c r="E1595">
        <v>9.494949494949495E-2</v>
      </c>
    </row>
    <row r="1596" spans="1:5" x14ac:dyDescent="0.3">
      <c r="A1596" s="11" t="s">
        <v>5</v>
      </c>
      <c r="B1596" s="8"/>
      <c r="D1596">
        <f t="shared" si="18"/>
        <v>0</v>
      </c>
      <c r="E1596">
        <v>9.5959595959595953E-2</v>
      </c>
    </row>
    <row r="1597" spans="1:5" x14ac:dyDescent="0.3">
      <c r="A1597" s="12" t="s">
        <v>5</v>
      </c>
      <c r="B1597" s="8"/>
      <c r="D1597">
        <f t="shared" si="18"/>
        <v>0</v>
      </c>
      <c r="E1597">
        <v>9.696969696969697E-2</v>
      </c>
    </row>
    <row r="1598" spans="1:5" x14ac:dyDescent="0.3">
      <c r="A1598" s="11" t="s">
        <v>5</v>
      </c>
      <c r="B1598" s="8"/>
      <c r="D1598">
        <f t="shared" si="18"/>
        <v>0</v>
      </c>
      <c r="E1598">
        <v>9.7979797979797986E-2</v>
      </c>
    </row>
    <row r="1599" spans="1:5" x14ac:dyDescent="0.3">
      <c r="A1599" s="12" t="s">
        <v>5</v>
      </c>
      <c r="B1599" s="8"/>
      <c r="D1599">
        <f t="shared" si="18"/>
        <v>0</v>
      </c>
      <c r="E1599">
        <v>9.8989898989898989E-2</v>
      </c>
    </row>
    <row r="1600" spans="1:5" x14ac:dyDescent="0.3">
      <c r="A1600" s="11" t="s">
        <v>5</v>
      </c>
      <c r="B1600" s="8"/>
      <c r="D1600">
        <f t="shared" si="18"/>
        <v>0</v>
      </c>
      <c r="E1600">
        <v>0.1</v>
      </c>
    </row>
    <row r="1601" spans="1:3" x14ac:dyDescent="0.3">
      <c r="A1601" s="12"/>
      <c r="B1601" s="9"/>
      <c r="C1601" s="9"/>
    </row>
    <row r="1602" spans="1:3" x14ac:dyDescent="0.3">
      <c r="A1602" s="11"/>
      <c r="B1602" s="8"/>
      <c r="C1602" s="8"/>
    </row>
    <row r="1603" spans="1:3" x14ac:dyDescent="0.3">
      <c r="A1603" s="12"/>
      <c r="B1603" s="9"/>
      <c r="C1603" s="9"/>
    </row>
    <row r="1604" spans="1:3" x14ac:dyDescent="0.3">
      <c r="A1604" s="11"/>
      <c r="B1604" s="8"/>
      <c r="C1604" s="8"/>
    </row>
    <row r="1605" spans="1:3" x14ac:dyDescent="0.3">
      <c r="A1605" s="12"/>
      <c r="B1605" s="9"/>
      <c r="C1605" s="9"/>
    </row>
    <row r="1606" spans="1:3" x14ac:dyDescent="0.3">
      <c r="A1606" s="11"/>
      <c r="B1606" s="8"/>
      <c r="C1606" s="8"/>
    </row>
    <row r="1607" spans="1:3" x14ac:dyDescent="0.3">
      <c r="A1607" s="12"/>
      <c r="B1607" s="9"/>
      <c r="C1607" s="9"/>
    </row>
    <row r="1608" spans="1:3" x14ac:dyDescent="0.3">
      <c r="A1608" s="11"/>
      <c r="B1608" s="8"/>
      <c r="C1608" s="8"/>
    </row>
    <row r="1609" spans="1:3" x14ac:dyDescent="0.3">
      <c r="A1609" s="12"/>
      <c r="B1609" s="9"/>
      <c r="C1609" s="9"/>
    </row>
    <row r="1610" spans="1:3" x14ac:dyDescent="0.3">
      <c r="A1610" s="11"/>
      <c r="B1610" s="8"/>
      <c r="C1610" s="8"/>
    </row>
    <row r="1611" spans="1:3" x14ac:dyDescent="0.3">
      <c r="A1611" s="12"/>
      <c r="B1611" s="9"/>
      <c r="C1611" s="9"/>
    </row>
    <row r="1612" spans="1:3" x14ac:dyDescent="0.3">
      <c r="A1612" s="11"/>
      <c r="B1612" s="8"/>
      <c r="C1612" s="8"/>
    </row>
    <row r="1613" spans="1:3" x14ac:dyDescent="0.3">
      <c r="A1613" s="12"/>
      <c r="B1613" s="9"/>
      <c r="C1613" s="9"/>
    </row>
    <row r="1614" spans="1:3" x14ac:dyDescent="0.3">
      <c r="A1614" s="11"/>
      <c r="B1614" s="8"/>
      <c r="C1614" s="8"/>
    </row>
    <row r="1615" spans="1:3" x14ac:dyDescent="0.3">
      <c r="A1615" s="12"/>
      <c r="B1615" s="9"/>
      <c r="C1615" s="9"/>
    </row>
    <row r="1616" spans="1:3" x14ac:dyDescent="0.3">
      <c r="A1616" s="11"/>
      <c r="B1616" s="8"/>
      <c r="C1616" s="8"/>
    </row>
    <row r="1617" spans="1:3" x14ac:dyDescent="0.3">
      <c r="A1617" s="12"/>
      <c r="B1617" s="9"/>
      <c r="C1617" s="9"/>
    </row>
    <row r="1618" spans="1:3" x14ac:dyDescent="0.3">
      <c r="A1618" s="11"/>
      <c r="B1618" s="8"/>
      <c r="C1618" s="8"/>
    </row>
    <row r="1619" spans="1:3" x14ac:dyDescent="0.3">
      <c r="A1619" s="12"/>
      <c r="B1619" s="9"/>
      <c r="C1619" s="9"/>
    </row>
    <row r="1620" spans="1:3" x14ac:dyDescent="0.3">
      <c r="A1620" s="11"/>
      <c r="B1620" s="8"/>
      <c r="C1620" s="8"/>
    </row>
    <row r="1621" spans="1:3" x14ac:dyDescent="0.3">
      <c r="A1621" s="12"/>
      <c r="B1621" s="9"/>
      <c r="C1621" s="9"/>
    </row>
    <row r="1622" spans="1:3" x14ac:dyDescent="0.3">
      <c r="A1622" s="11"/>
      <c r="B1622" s="8"/>
      <c r="C1622" s="8"/>
    </row>
    <row r="1623" spans="1:3" x14ac:dyDescent="0.3">
      <c r="A1623" s="12"/>
      <c r="B1623" s="9"/>
      <c r="C1623" s="9"/>
    </row>
    <row r="1624" spans="1:3" x14ac:dyDescent="0.3">
      <c r="A1624" s="11"/>
      <c r="B1624" s="8"/>
      <c r="C1624" s="8"/>
    </row>
    <row r="1625" spans="1:3" x14ac:dyDescent="0.3">
      <c r="A1625" s="12"/>
      <c r="B1625" s="9"/>
      <c r="C1625" s="9"/>
    </row>
    <row r="1626" spans="1:3" x14ac:dyDescent="0.3">
      <c r="A1626" s="11"/>
      <c r="B1626" s="8"/>
      <c r="C1626" s="8"/>
    </row>
    <row r="1627" spans="1:3" x14ac:dyDescent="0.3">
      <c r="A1627" s="12"/>
      <c r="B1627" s="9"/>
      <c r="C1627" s="9"/>
    </row>
    <row r="1628" spans="1:3" x14ac:dyDescent="0.3">
      <c r="A1628" s="11"/>
      <c r="B1628" s="8"/>
      <c r="C1628" s="8"/>
    </row>
    <row r="1629" spans="1:3" x14ac:dyDescent="0.3">
      <c r="A1629" s="12"/>
      <c r="B1629" s="9"/>
      <c r="C1629" s="9"/>
    </row>
    <row r="1630" spans="1:3" x14ac:dyDescent="0.3">
      <c r="A1630" s="11"/>
      <c r="B1630" s="8"/>
      <c r="C1630" s="8"/>
    </row>
    <row r="1631" spans="1:3" x14ac:dyDescent="0.3">
      <c r="A1631" s="12"/>
      <c r="B1631" s="9"/>
      <c r="C1631" s="9"/>
    </row>
    <row r="1632" spans="1:3" x14ac:dyDescent="0.3">
      <c r="A1632" s="11"/>
      <c r="B1632" s="8"/>
      <c r="C1632" s="8"/>
    </row>
    <row r="1633" spans="1:3" x14ac:dyDescent="0.3">
      <c r="A1633" s="12"/>
      <c r="B1633" s="9"/>
      <c r="C1633" s="9"/>
    </row>
    <row r="1634" spans="1:3" x14ac:dyDescent="0.3">
      <c r="A1634" s="11"/>
      <c r="B1634" s="8"/>
      <c r="C1634" s="8"/>
    </row>
    <row r="1635" spans="1:3" x14ac:dyDescent="0.3">
      <c r="A1635" s="12"/>
      <c r="B1635" s="9"/>
      <c r="C1635" s="9"/>
    </row>
    <row r="1636" spans="1:3" x14ac:dyDescent="0.3">
      <c r="A1636" s="11"/>
      <c r="B1636" s="8"/>
      <c r="C1636" s="8"/>
    </row>
    <row r="1637" spans="1:3" x14ac:dyDescent="0.3">
      <c r="A1637" s="12"/>
      <c r="B1637" s="9"/>
      <c r="C1637" s="9"/>
    </row>
    <row r="1638" spans="1:3" x14ac:dyDescent="0.3">
      <c r="A1638" s="11"/>
      <c r="B1638" s="8"/>
      <c r="C1638" s="8"/>
    </row>
    <row r="1639" spans="1:3" x14ac:dyDescent="0.3">
      <c r="A1639" s="12"/>
      <c r="B1639" s="9"/>
      <c r="C1639" s="9"/>
    </row>
    <row r="1640" spans="1:3" x14ac:dyDescent="0.3">
      <c r="A1640" s="11"/>
      <c r="B1640" s="8"/>
      <c r="C1640" s="8"/>
    </row>
    <row r="1641" spans="1:3" x14ac:dyDescent="0.3">
      <c r="A1641" s="12"/>
      <c r="B1641" s="9"/>
      <c r="C1641" s="9"/>
    </row>
    <row r="1642" spans="1:3" x14ac:dyDescent="0.3">
      <c r="A1642" s="11"/>
      <c r="B1642" s="8"/>
      <c r="C1642" s="8"/>
    </row>
    <row r="1643" spans="1:3" x14ac:dyDescent="0.3">
      <c r="A1643" s="12"/>
      <c r="B1643" s="9"/>
      <c r="C1643" s="9"/>
    </row>
    <row r="1644" spans="1:3" x14ac:dyDescent="0.3">
      <c r="A1644" s="11"/>
      <c r="B1644" s="8"/>
      <c r="C1644" s="8"/>
    </row>
    <row r="1645" spans="1:3" x14ac:dyDescent="0.3">
      <c r="A1645" s="12"/>
      <c r="B1645" s="9"/>
      <c r="C1645" s="9"/>
    </row>
    <row r="1646" spans="1:3" x14ac:dyDescent="0.3">
      <c r="A1646" s="11"/>
      <c r="B1646" s="8"/>
      <c r="C1646" s="8"/>
    </row>
    <row r="1647" spans="1:3" x14ac:dyDescent="0.3">
      <c r="A1647" s="12"/>
      <c r="B1647" s="9"/>
      <c r="C1647" s="9"/>
    </row>
    <row r="1648" spans="1:3" x14ac:dyDescent="0.3">
      <c r="A1648" s="11"/>
      <c r="B1648" s="8"/>
      <c r="C1648" s="8"/>
    </row>
    <row r="1649" spans="1:5" x14ac:dyDescent="0.3">
      <c r="A1649" s="12"/>
      <c r="B1649" s="9"/>
      <c r="C1649" s="9"/>
    </row>
    <row r="1650" spans="1:5" x14ac:dyDescent="0.3">
      <c r="A1650" s="11"/>
      <c r="B1650" s="8"/>
      <c r="C1650" s="8"/>
    </row>
    <row r="1651" spans="1:5" x14ac:dyDescent="0.3">
      <c r="A1651" s="12" t="s">
        <v>6</v>
      </c>
      <c r="B1651" s="8"/>
      <c r="D1651">
        <f t="shared" ref="D1651:D1700" si="19">IF(IFERROR(FIND("1",A1651,1),ERROR.TYPE(#VALUE!))=ERROR.TYPE(#VALUE!),$M$2,$M$1)</f>
        <v>0</v>
      </c>
      <c r="E1651">
        <v>8.0742424242424242</v>
      </c>
    </row>
    <row r="1652" spans="1:5" x14ac:dyDescent="0.3">
      <c r="A1652" s="11" t="s">
        <v>6</v>
      </c>
      <c r="B1652" s="8"/>
      <c r="D1652">
        <f t="shared" si="19"/>
        <v>0</v>
      </c>
      <c r="E1652">
        <v>8.1427272727272726</v>
      </c>
    </row>
    <row r="1653" spans="1:5" x14ac:dyDescent="0.3">
      <c r="A1653" s="12" t="s">
        <v>6</v>
      </c>
      <c r="B1653" s="8"/>
      <c r="D1653">
        <f t="shared" si="19"/>
        <v>0</v>
      </c>
      <c r="E1653">
        <v>8.211212121212121</v>
      </c>
    </row>
    <row r="1654" spans="1:5" x14ac:dyDescent="0.3">
      <c r="A1654" s="11" t="s">
        <v>6</v>
      </c>
      <c r="B1654" s="8"/>
      <c r="D1654">
        <f t="shared" si="19"/>
        <v>0</v>
      </c>
      <c r="E1654">
        <v>8.2796969696969693</v>
      </c>
    </row>
    <row r="1655" spans="1:5" x14ac:dyDescent="0.3">
      <c r="A1655" s="12" t="s">
        <v>6</v>
      </c>
      <c r="B1655" s="8"/>
      <c r="D1655">
        <f t="shared" si="19"/>
        <v>0</v>
      </c>
      <c r="E1655">
        <v>8.3481818181818177</v>
      </c>
    </row>
    <row r="1656" spans="1:5" x14ac:dyDescent="0.3">
      <c r="A1656" s="11" t="s">
        <v>6</v>
      </c>
      <c r="B1656" s="8"/>
      <c r="D1656">
        <f t="shared" si="19"/>
        <v>0</v>
      </c>
      <c r="E1656">
        <v>8.4166666666666679</v>
      </c>
    </row>
    <row r="1657" spans="1:5" x14ac:dyDescent="0.3">
      <c r="A1657" s="12" t="s">
        <v>6</v>
      </c>
      <c r="B1657" s="8"/>
      <c r="D1657">
        <f t="shared" si="19"/>
        <v>0</v>
      </c>
      <c r="E1657">
        <v>8.4851515151515144</v>
      </c>
    </row>
    <row r="1658" spans="1:5" x14ac:dyDescent="0.3">
      <c r="A1658" s="11" t="s">
        <v>6</v>
      </c>
      <c r="B1658" s="8"/>
      <c r="D1658">
        <f t="shared" si="19"/>
        <v>0</v>
      </c>
      <c r="E1658">
        <v>8.5536363636363646</v>
      </c>
    </row>
    <row r="1659" spans="1:5" x14ac:dyDescent="0.3">
      <c r="A1659" s="12" t="s">
        <v>6</v>
      </c>
      <c r="B1659" s="8"/>
      <c r="D1659">
        <f t="shared" si="19"/>
        <v>0</v>
      </c>
      <c r="E1659">
        <v>8.6221212121212112</v>
      </c>
    </row>
    <row r="1660" spans="1:5" x14ac:dyDescent="0.3">
      <c r="A1660" s="11" t="s">
        <v>6</v>
      </c>
      <c r="B1660" s="8"/>
      <c r="D1660">
        <f t="shared" si="19"/>
        <v>0</v>
      </c>
      <c r="E1660">
        <v>8.6906060606060613</v>
      </c>
    </row>
    <row r="1661" spans="1:5" x14ac:dyDescent="0.3">
      <c r="A1661" s="12" t="s">
        <v>6</v>
      </c>
      <c r="B1661" s="8"/>
      <c r="D1661">
        <f t="shared" si="19"/>
        <v>0</v>
      </c>
      <c r="E1661">
        <v>8.7590909090909097</v>
      </c>
    </row>
    <row r="1662" spans="1:5" x14ac:dyDescent="0.3">
      <c r="A1662" s="11" t="s">
        <v>6</v>
      </c>
      <c r="B1662" s="8"/>
      <c r="D1662">
        <f t="shared" si="19"/>
        <v>0</v>
      </c>
      <c r="E1662">
        <v>8.8275757575757581</v>
      </c>
    </row>
    <row r="1663" spans="1:5" x14ac:dyDescent="0.3">
      <c r="A1663" s="12" t="s">
        <v>6</v>
      </c>
      <c r="B1663" s="8"/>
      <c r="D1663">
        <f t="shared" si="19"/>
        <v>0</v>
      </c>
      <c r="E1663">
        <v>8.8960606060606064</v>
      </c>
    </row>
    <row r="1664" spans="1:5" x14ac:dyDescent="0.3">
      <c r="A1664" s="11" t="s">
        <v>6</v>
      </c>
      <c r="B1664" s="8"/>
      <c r="D1664">
        <f t="shared" si="19"/>
        <v>0</v>
      </c>
      <c r="E1664">
        <v>8.9645454545454548</v>
      </c>
    </row>
    <row r="1665" spans="1:5" x14ac:dyDescent="0.3">
      <c r="A1665" s="12" t="s">
        <v>6</v>
      </c>
      <c r="B1665" s="8"/>
      <c r="D1665">
        <f t="shared" si="19"/>
        <v>0</v>
      </c>
      <c r="E1665">
        <v>9.0330303030303032</v>
      </c>
    </row>
    <row r="1666" spans="1:5" x14ac:dyDescent="0.3">
      <c r="A1666" s="11" t="s">
        <v>6</v>
      </c>
      <c r="B1666" s="8"/>
      <c r="D1666">
        <f t="shared" si="19"/>
        <v>0</v>
      </c>
      <c r="E1666">
        <v>9.1015151515151516</v>
      </c>
    </row>
    <row r="1667" spans="1:5" x14ac:dyDescent="0.3">
      <c r="A1667" s="12" t="s">
        <v>6</v>
      </c>
      <c r="B1667" s="8"/>
      <c r="D1667">
        <f t="shared" si="19"/>
        <v>0</v>
      </c>
      <c r="E1667">
        <v>9.17</v>
      </c>
    </row>
    <row r="1668" spans="1:5" x14ac:dyDescent="0.3">
      <c r="A1668" s="11" t="s">
        <v>6</v>
      </c>
      <c r="B1668" s="8"/>
      <c r="D1668">
        <f t="shared" si="19"/>
        <v>0</v>
      </c>
      <c r="E1668">
        <v>9.2384848484848483</v>
      </c>
    </row>
    <row r="1669" spans="1:5" x14ac:dyDescent="0.3">
      <c r="A1669" s="12" t="s">
        <v>6</v>
      </c>
      <c r="B1669" s="8"/>
      <c r="D1669">
        <f t="shared" si="19"/>
        <v>0</v>
      </c>
      <c r="E1669">
        <v>9.3069696969696967</v>
      </c>
    </row>
    <row r="1670" spans="1:5" x14ac:dyDescent="0.3">
      <c r="A1670" s="11" t="s">
        <v>6</v>
      </c>
      <c r="B1670" s="8"/>
      <c r="D1670">
        <f t="shared" si="19"/>
        <v>0</v>
      </c>
      <c r="E1670">
        <v>9.375454545454545</v>
      </c>
    </row>
    <row r="1671" spans="1:5" x14ac:dyDescent="0.3">
      <c r="A1671" s="12" t="s">
        <v>6</v>
      </c>
      <c r="B1671" s="8"/>
      <c r="D1671">
        <f t="shared" si="19"/>
        <v>0</v>
      </c>
      <c r="E1671">
        <v>9.4439393939393952</v>
      </c>
    </row>
    <row r="1672" spans="1:5" x14ac:dyDescent="0.3">
      <c r="A1672" s="11" t="s">
        <v>6</v>
      </c>
      <c r="B1672" s="8"/>
      <c r="D1672">
        <f t="shared" si="19"/>
        <v>0</v>
      </c>
      <c r="E1672">
        <v>9.5124242424242418</v>
      </c>
    </row>
    <row r="1673" spans="1:5" x14ac:dyDescent="0.3">
      <c r="A1673" s="12" t="s">
        <v>6</v>
      </c>
      <c r="B1673" s="8"/>
      <c r="D1673">
        <f t="shared" si="19"/>
        <v>0</v>
      </c>
      <c r="E1673">
        <v>9.5809090909090919</v>
      </c>
    </row>
    <row r="1674" spans="1:5" x14ac:dyDescent="0.3">
      <c r="A1674" s="11" t="s">
        <v>6</v>
      </c>
      <c r="B1674" s="8"/>
      <c r="D1674">
        <f t="shared" si="19"/>
        <v>0</v>
      </c>
      <c r="E1674">
        <v>9.6493939393939385</v>
      </c>
    </row>
    <row r="1675" spans="1:5" x14ac:dyDescent="0.3">
      <c r="A1675" s="12" t="s">
        <v>6</v>
      </c>
      <c r="B1675" s="8"/>
      <c r="D1675">
        <f t="shared" si="19"/>
        <v>0</v>
      </c>
      <c r="E1675">
        <v>9.7178787878787887</v>
      </c>
    </row>
    <row r="1676" spans="1:5" x14ac:dyDescent="0.3">
      <c r="A1676" s="11" t="s">
        <v>6</v>
      </c>
      <c r="B1676" s="8"/>
      <c r="D1676">
        <f t="shared" si="19"/>
        <v>0</v>
      </c>
      <c r="E1676">
        <v>9.7863636363636353</v>
      </c>
    </row>
    <row r="1677" spans="1:5" x14ac:dyDescent="0.3">
      <c r="A1677" s="12" t="s">
        <v>6</v>
      </c>
      <c r="B1677" s="8"/>
      <c r="D1677">
        <f t="shared" si="19"/>
        <v>0</v>
      </c>
      <c r="E1677">
        <v>9.8548484848484854</v>
      </c>
    </row>
    <row r="1678" spans="1:5" x14ac:dyDescent="0.3">
      <c r="A1678" s="11" t="s">
        <v>6</v>
      </c>
      <c r="B1678" s="8"/>
      <c r="D1678">
        <f t="shared" si="19"/>
        <v>0</v>
      </c>
      <c r="E1678">
        <v>9.9233333333333338</v>
      </c>
    </row>
    <row r="1679" spans="1:5" x14ac:dyDescent="0.3">
      <c r="A1679" s="12" t="s">
        <v>6</v>
      </c>
      <c r="B1679" s="8"/>
      <c r="D1679">
        <f t="shared" si="19"/>
        <v>0</v>
      </c>
      <c r="E1679">
        <v>9.9918181818181822</v>
      </c>
    </row>
    <row r="1680" spans="1:5" x14ac:dyDescent="0.3">
      <c r="A1680" s="11" t="s">
        <v>6</v>
      </c>
      <c r="B1680" s="8"/>
      <c r="D1680">
        <f t="shared" si="19"/>
        <v>0</v>
      </c>
      <c r="E1680">
        <v>10.060303030303031</v>
      </c>
    </row>
    <row r="1681" spans="1:5" x14ac:dyDescent="0.3">
      <c r="A1681" s="12" t="s">
        <v>6</v>
      </c>
      <c r="B1681" s="8"/>
      <c r="D1681">
        <f t="shared" si="19"/>
        <v>0</v>
      </c>
      <c r="E1681">
        <v>10.128787878787881</v>
      </c>
    </row>
    <row r="1682" spans="1:5" x14ac:dyDescent="0.3">
      <c r="A1682" s="11" t="s">
        <v>6</v>
      </c>
      <c r="B1682" s="8"/>
      <c r="D1682">
        <f t="shared" si="19"/>
        <v>0</v>
      </c>
      <c r="E1682">
        <v>10.197272727272731</v>
      </c>
    </row>
    <row r="1683" spans="1:5" x14ac:dyDescent="0.3">
      <c r="A1683" s="12" t="s">
        <v>6</v>
      </c>
      <c r="B1683" s="8"/>
      <c r="D1683">
        <f t="shared" si="19"/>
        <v>0</v>
      </c>
      <c r="E1683">
        <v>10.265757575757579</v>
      </c>
    </row>
    <row r="1684" spans="1:5" x14ac:dyDescent="0.3">
      <c r="A1684" s="11" t="s">
        <v>6</v>
      </c>
      <c r="B1684" s="8"/>
      <c r="D1684">
        <f t="shared" si="19"/>
        <v>0</v>
      </c>
      <c r="E1684">
        <v>10.33424242424242</v>
      </c>
    </row>
    <row r="1685" spans="1:5" x14ac:dyDescent="0.3">
      <c r="A1685" s="12" t="s">
        <v>6</v>
      </c>
      <c r="B1685" s="8"/>
      <c r="D1685">
        <f t="shared" si="19"/>
        <v>0</v>
      </c>
      <c r="E1685">
        <v>10.402727272727271</v>
      </c>
    </row>
    <row r="1686" spans="1:5" x14ac:dyDescent="0.3">
      <c r="A1686" s="11" t="s">
        <v>6</v>
      </c>
      <c r="B1686" s="8"/>
      <c r="D1686">
        <f t="shared" si="19"/>
        <v>0</v>
      </c>
      <c r="E1686">
        <v>10.471212121212121</v>
      </c>
    </row>
    <row r="1687" spans="1:5" x14ac:dyDescent="0.3">
      <c r="A1687" s="12" t="s">
        <v>6</v>
      </c>
      <c r="B1687" s="8"/>
      <c r="D1687">
        <f t="shared" si="19"/>
        <v>0</v>
      </c>
      <c r="E1687">
        <v>10.539696969696969</v>
      </c>
    </row>
    <row r="1688" spans="1:5" x14ac:dyDescent="0.3">
      <c r="A1688" s="11" t="s">
        <v>6</v>
      </c>
      <c r="B1688" s="8"/>
      <c r="D1688">
        <f t="shared" si="19"/>
        <v>0</v>
      </c>
      <c r="E1688">
        <v>10.608181818181819</v>
      </c>
    </row>
    <row r="1689" spans="1:5" x14ac:dyDescent="0.3">
      <c r="A1689" s="12" t="s">
        <v>6</v>
      </c>
      <c r="B1689" s="8"/>
      <c r="D1689">
        <f t="shared" si="19"/>
        <v>0</v>
      </c>
      <c r="E1689">
        <v>10.676666666666669</v>
      </c>
    </row>
    <row r="1690" spans="1:5" x14ac:dyDescent="0.3">
      <c r="A1690" s="11" t="s">
        <v>6</v>
      </c>
      <c r="B1690" s="8"/>
      <c r="D1690">
        <f t="shared" si="19"/>
        <v>0</v>
      </c>
      <c r="E1690">
        <v>10.74515151515152</v>
      </c>
    </row>
    <row r="1691" spans="1:5" x14ac:dyDescent="0.3">
      <c r="A1691" s="12" t="s">
        <v>6</v>
      </c>
      <c r="B1691" s="8"/>
      <c r="D1691">
        <f t="shared" si="19"/>
        <v>0</v>
      </c>
      <c r="E1691">
        <v>10.813636363636361</v>
      </c>
    </row>
    <row r="1692" spans="1:5" x14ac:dyDescent="0.3">
      <c r="A1692" s="11" t="s">
        <v>6</v>
      </c>
      <c r="B1692" s="8"/>
      <c r="D1692">
        <f t="shared" si="19"/>
        <v>0</v>
      </c>
      <c r="E1692">
        <v>10.882121212121209</v>
      </c>
    </row>
    <row r="1693" spans="1:5" x14ac:dyDescent="0.3">
      <c r="A1693" s="12" t="s">
        <v>6</v>
      </c>
      <c r="B1693" s="8"/>
      <c r="D1693">
        <f t="shared" si="19"/>
        <v>0</v>
      </c>
      <c r="E1693">
        <v>10.950606060606059</v>
      </c>
    </row>
    <row r="1694" spans="1:5" x14ac:dyDescent="0.3">
      <c r="A1694" s="11" t="s">
        <v>6</v>
      </c>
      <c r="B1694" s="8"/>
      <c r="D1694">
        <f t="shared" si="19"/>
        <v>0</v>
      </c>
      <c r="E1694">
        <v>11.019090909090909</v>
      </c>
    </row>
    <row r="1695" spans="1:5" x14ac:dyDescent="0.3">
      <c r="A1695" s="12" t="s">
        <v>6</v>
      </c>
      <c r="B1695" s="8"/>
      <c r="D1695">
        <f t="shared" si="19"/>
        <v>0</v>
      </c>
      <c r="E1695">
        <v>11.08757575757576</v>
      </c>
    </row>
    <row r="1696" spans="1:5" x14ac:dyDescent="0.3">
      <c r="A1696" s="11" t="s">
        <v>6</v>
      </c>
      <c r="B1696" s="8"/>
      <c r="D1696">
        <f t="shared" si="19"/>
        <v>0</v>
      </c>
      <c r="E1696">
        <v>11.15606060606061</v>
      </c>
    </row>
    <row r="1697" spans="1:5" x14ac:dyDescent="0.3">
      <c r="A1697" s="12" t="s">
        <v>6</v>
      </c>
      <c r="B1697" s="8"/>
      <c r="D1697">
        <f t="shared" si="19"/>
        <v>0</v>
      </c>
      <c r="E1697">
        <v>11.224545454545449</v>
      </c>
    </row>
    <row r="1698" spans="1:5" x14ac:dyDescent="0.3">
      <c r="A1698" s="11" t="s">
        <v>6</v>
      </c>
      <c r="B1698" s="8"/>
      <c r="D1698">
        <f t="shared" si="19"/>
        <v>0</v>
      </c>
      <c r="E1698">
        <v>11.293030303030299</v>
      </c>
    </row>
    <row r="1699" spans="1:5" x14ac:dyDescent="0.3">
      <c r="A1699" s="12" t="s">
        <v>6</v>
      </c>
      <c r="B1699" s="8"/>
      <c r="D1699">
        <f t="shared" si="19"/>
        <v>0</v>
      </c>
      <c r="E1699">
        <v>11.36151515151515</v>
      </c>
    </row>
    <row r="1700" spans="1:5" x14ac:dyDescent="0.3">
      <c r="A1700" s="11" t="s">
        <v>6</v>
      </c>
      <c r="B1700" s="8"/>
      <c r="D1700">
        <f t="shared" si="19"/>
        <v>0</v>
      </c>
      <c r="E1700">
        <v>11.43</v>
      </c>
    </row>
    <row r="1701" spans="1:5" x14ac:dyDescent="0.3">
      <c r="A1701" s="12"/>
      <c r="B1701" s="9"/>
      <c r="C1701" s="9"/>
    </row>
    <row r="1702" spans="1:5" x14ac:dyDescent="0.3">
      <c r="A1702" s="11"/>
      <c r="B1702" s="8"/>
      <c r="C1702" s="8"/>
    </row>
    <row r="1703" spans="1:5" x14ac:dyDescent="0.3">
      <c r="A1703" s="12"/>
      <c r="B1703" s="9"/>
      <c r="C1703" s="9"/>
    </row>
    <row r="1704" spans="1:5" x14ac:dyDescent="0.3">
      <c r="A1704" s="11"/>
      <c r="B1704" s="8"/>
      <c r="C1704" s="8"/>
    </row>
    <row r="1705" spans="1:5" x14ac:dyDescent="0.3">
      <c r="A1705" s="12"/>
      <c r="B1705" s="9"/>
      <c r="C1705" s="9"/>
    </row>
    <row r="1706" spans="1:5" x14ac:dyDescent="0.3">
      <c r="A1706" s="11"/>
      <c r="B1706" s="8"/>
      <c r="C1706" s="8"/>
    </row>
    <row r="1707" spans="1:5" x14ac:dyDescent="0.3">
      <c r="A1707" s="12"/>
      <c r="B1707" s="9"/>
      <c r="C1707" s="9"/>
    </row>
    <row r="1708" spans="1:5" x14ac:dyDescent="0.3">
      <c r="A1708" s="11"/>
      <c r="B1708" s="8"/>
      <c r="C1708" s="8"/>
    </row>
    <row r="1709" spans="1:5" x14ac:dyDescent="0.3">
      <c r="A1709" s="12"/>
      <c r="B1709" s="9"/>
      <c r="C1709" s="9"/>
    </row>
    <row r="1710" spans="1:5" x14ac:dyDescent="0.3">
      <c r="A1710" s="11"/>
      <c r="B1710" s="8"/>
      <c r="C1710" s="8"/>
    </row>
    <row r="1711" spans="1:5" x14ac:dyDescent="0.3">
      <c r="A1711" s="12"/>
      <c r="B1711" s="9"/>
      <c r="C1711" s="9"/>
    </row>
    <row r="1712" spans="1:5" x14ac:dyDescent="0.3">
      <c r="A1712" s="11"/>
      <c r="B1712" s="8"/>
      <c r="C1712" s="8"/>
    </row>
    <row r="1713" spans="1:3" x14ac:dyDescent="0.3">
      <c r="A1713" s="12"/>
      <c r="B1713" s="9"/>
      <c r="C1713" s="9"/>
    </row>
    <row r="1714" spans="1:3" x14ac:dyDescent="0.3">
      <c r="A1714" s="11"/>
      <c r="B1714" s="8"/>
      <c r="C1714" s="8"/>
    </row>
    <row r="1715" spans="1:3" x14ac:dyDescent="0.3">
      <c r="A1715" s="12"/>
      <c r="B1715" s="9"/>
      <c r="C1715" s="9"/>
    </row>
    <row r="1716" spans="1:3" x14ac:dyDescent="0.3">
      <c r="A1716" s="11"/>
      <c r="B1716" s="8"/>
      <c r="C1716" s="8"/>
    </row>
    <row r="1717" spans="1:3" x14ac:dyDescent="0.3">
      <c r="A1717" s="12"/>
      <c r="B1717" s="9"/>
      <c r="C1717" s="9"/>
    </row>
    <row r="1718" spans="1:3" x14ac:dyDescent="0.3">
      <c r="A1718" s="11"/>
      <c r="B1718" s="8"/>
      <c r="C1718" s="8"/>
    </row>
    <row r="1719" spans="1:3" x14ac:dyDescent="0.3">
      <c r="A1719" s="12"/>
      <c r="B1719" s="9"/>
      <c r="C1719" s="9"/>
    </row>
    <row r="1720" spans="1:3" x14ac:dyDescent="0.3">
      <c r="A1720" s="11"/>
      <c r="B1720" s="8"/>
      <c r="C1720" s="8"/>
    </row>
    <row r="1721" spans="1:3" x14ac:dyDescent="0.3">
      <c r="A1721" s="12"/>
      <c r="B1721" s="9"/>
      <c r="C1721" s="9"/>
    </row>
    <row r="1722" spans="1:3" x14ac:dyDescent="0.3">
      <c r="A1722" s="11"/>
      <c r="B1722" s="8"/>
      <c r="C1722" s="8"/>
    </row>
    <row r="1723" spans="1:3" x14ac:dyDescent="0.3">
      <c r="A1723" s="12"/>
      <c r="B1723" s="9"/>
      <c r="C1723" s="9"/>
    </row>
    <row r="1724" spans="1:3" x14ac:dyDescent="0.3">
      <c r="A1724" s="11"/>
      <c r="B1724" s="8"/>
      <c r="C1724" s="8"/>
    </row>
    <row r="1725" spans="1:3" x14ac:dyDescent="0.3">
      <c r="A1725" s="12"/>
      <c r="B1725" s="9"/>
      <c r="C1725" s="9"/>
    </row>
    <row r="1726" spans="1:3" x14ac:dyDescent="0.3">
      <c r="A1726" s="11"/>
      <c r="B1726" s="8"/>
      <c r="C1726" s="8"/>
    </row>
    <row r="1727" spans="1:3" x14ac:dyDescent="0.3">
      <c r="A1727" s="12"/>
      <c r="B1727" s="9"/>
      <c r="C1727" s="9"/>
    </row>
    <row r="1728" spans="1:3" x14ac:dyDescent="0.3">
      <c r="A1728" s="11"/>
      <c r="B1728" s="8"/>
      <c r="C1728" s="8"/>
    </row>
    <row r="1729" spans="1:3" x14ac:dyDescent="0.3">
      <c r="A1729" s="12"/>
      <c r="B1729" s="9"/>
      <c r="C1729" s="9"/>
    </row>
    <row r="1730" spans="1:3" x14ac:dyDescent="0.3">
      <c r="A1730" s="11"/>
      <c r="B1730" s="8"/>
      <c r="C1730" s="8"/>
    </row>
    <row r="1731" spans="1:3" x14ac:dyDescent="0.3">
      <c r="A1731" s="12"/>
      <c r="B1731" s="9"/>
      <c r="C1731" s="9"/>
    </row>
    <row r="1732" spans="1:3" x14ac:dyDescent="0.3">
      <c r="A1732" s="11"/>
      <c r="B1732" s="8"/>
      <c r="C1732" s="8"/>
    </row>
    <row r="1733" spans="1:3" x14ac:dyDescent="0.3">
      <c r="A1733" s="12"/>
      <c r="B1733" s="9"/>
      <c r="C1733" s="9"/>
    </row>
    <row r="1734" spans="1:3" x14ac:dyDescent="0.3">
      <c r="A1734" s="11"/>
      <c r="B1734" s="8"/>
      <c r="C1734" s="8"/>
    </row>
    <row r="1735" spans="1:3" x14ac:dyDescent="0.3">
      <c r="A1735" s="12"/>
      <c r="B1735" s="9"/>
      <c r="C1735" s="9"/>
    </row>
    <row r="1736" spans="1:3" x14ac:dyDescent="0.3">
      <c r="A1736" s="11"/>
      <c r="B1736" s="8"/>
      <c r="C1736" s="8"/>
    </row>
    <row r="1737" spans="1:3" x14ac:dyDescent="0.3">
      <c r="A1737" s="12"/>
      <c r="B1737" s="9"/>
      <c r="C1737" s="9"/>
    </row>
    <row r="1738" spans="1:3" x14ac:dyDescent="0.3">
      <c r="A1738" s="11"/>
      <c r="B1738" s="8"/>
      <c r="C1738" s="8"/>
    </row>
    <row r="1739" spans="1:3" x14ac:dyDescent="0.3">
      <c r="A1739" s="12"/>
      <c r="B1739" s="9"/>
      <c r="C1739" s="9"/>
    </row>
    <row r="1740" spans="1:3" x14ac:dyDescent="0.3">
      <c r="A1740" s="11"/>
      <c r="B1740" s="8"/>
      <c r="C1740" s="8"/>
    </row>
    <row r="1741" spans="1:3" x14ac:dyDescent="0.3">
      <c r="A1741" s="12"/>
      <c r="B1741" s="9"/>
      <c r="C1741" s="9"/>
    </row>
    <row r="1742" spans="1:3" x14ac:dyDescent="0.3">
      <c r="A1742" s="11"/>
      <c r="B1742" s="8"/>
      <c r="C1742" s="8"/>
    </row>
    <row r="1743" spans="1:3" x14ac:dyDescent="0.3">
      <c r="A1743" s="12"/>
      <c r="B1743" s="9"/>
      <c r="C1743" s="9"/>
    </row>
    <row r="1744" spans="1:3" x14ac:dyDescent="0.3">
      <c r="A1744" s="11"/>
      <c r="B1744" s="8"/>
      <c r="C1744" s="8"/>
    </row>
    <row r="1745" spans="1:5" x14ac:dyDescent="0.3">
      <c r="A1745" s="12"/>
      <c r="B1745" s="9"/>
      <c r="C1745" s="9"/>
    </row>
    <row r="1746" spans="1:5" x14ac:dyDescent="0.3">
      <c r="A1746" s="11"/>
      <c r="B1746" s="8"/>
      <c r="C1746" s="8"/>
    </row>
    <row r="1747" spans="1:5" x14ac:dyDescent="0.3">
      <c r="A1747" s="12"/>
      <c r="B1747" s="9"/>
      <c r="C1747" s="9"/>
    </row>
    <row r="1748" spans="1:5" x14ac:dyDescent="0.3">
      <c r="A1748" s="11"/>
      <c r="B1748" s="8"/>
      <c r="C1748" s="8"/>
    </row>
    <row r="1749" spans="1:5" x14ac:dyDescent="0.3">
      <c r="A1749" s="12"/>
      <c r="B1749" s="9"/>
      <c r="C1749" s="9"/>
    </row>
    <row r="1750" spans="1:5" x14ac:dyDescent="0.3">
      <c r="A1750" s="11"/>
      <c r="B1750" s="8"/>
      <c r="C1750" s="8"/>
    </row>
    <row r="1751" spans="1:5" x14ac:dyDescent="0.3">
      <c r="A1751" s="12" t="s">
        <v>7</v>
      </c>
      <c r="B1751" s="8"/>
      <c r="D1751">
        <f t="shared" ref="D1751:D1814" si="20">IF(IFERROR(FIND("1",A1751,1),ERROR.TYPE(#VALUE!))=ERROR.TYPE(#VALUE!),$M$2,$M$1)</f>
        <v>0</v>
      </c>
      <c r="E1751">
        <v>8.0742424242424242</v>
      </c>
    </row>
    <row r="1752" spans="1:5" x14ac:dyDescent="0.3">
      <c r="A1752" s="11" t="s">
        <v>7</v>
      </c>
      <c r="B1752" s="8"/>
      <c r="D1752">
        <f t="shared" si="20"/>
        <v>0</v>
      </c>
      <c r="E1752">
        <v>8.1427272727272726</v>
      </c>
    </row>
    <row r="1753" spans="1:5" x14ac:dyDescent="0.3">
      <c r="A1753" s="12" t="s">
        <v>7</v>
      </c>
      <c r="B1753" s="8"/>
      <c r="D1753">
        <f t="shared" si="20"/>
        <v>0</v>
      </c>
      <c r="E1753">
        <v>8.211212121212121</v>
      </c>
    </row>
    <row r="1754" spans="1:5" x14ac:dyDescent="0.3">
      <c r="A1754" s="11" t="s">
        <v>7</v>
      </c>
      <c r="B1754" s="8"/>
      <c r="D1754">
        <f t="shared" si="20"/>
        <v>0</v>
      </c>
      <c r="E1754">
        <v>8.2796969696969693</v>
      </c>
    </row>
    <row r="1755" spans="1:5" x14ac:dyDescent="0.3">
      <c r="A1755" s="12" t="s">
        <v>7</v>
      </c>
      <c r="B1755" s="8"/>
      <c r="D1755">
        <f t="shared" si="20"/>
        <v>0</v>
      </c>
      <c r="E1755">
        <v>8.3481818181818177</v>
      </c>
    </row>
    <row r="1756" spans="1:5" x14ac:dyDescent="0.3">
      <c r="A1756" s="11" t="s">
        <v>7</v>
      </c>
      <c r="B1756" s="8"/>
      <c r="D1756">
        <f t="shared" si="20"/>
        <v>0</v>
      </c>
      <c r="E1756">
        <v>8.4166666666666679</v>
      </c>
    </row>
    <row r="1757" spans="1:5" x14ac:dyDescent="0.3">
      <c r="A1757" s="12" t="s">
        <v>7</v>
      </c>
      <c r="B1757" s="8"/>
      <c r="D1757">
        <f t="shared" si="20"/>
        <v>0</v>
      </c>
      <c r="E1757">
        <v>8.4851515151515144</v>
      </c>
    </row>
    <row r="1758" spans="1:5" x14ac:dyDescent="0.3">
      <c r="A1758" s="11" t="s">
        <v>7</v>
      </c>
      <c r="B1758" s="8"/>
      <c r="D1758">
        <f t="shared" si="20"/>
        <v>0</v>
      </c>
      <c r="E1758">
        <v>8.5536363636363646</v>
      </c>
    </row>
    <row r="1759" spans="1:5" x14ac:dyDescent="0.3">
      <c r="A1759" s="12" t="s">
        <v>7</v>
      </c>
      <c r="B1759" s="8"/>
      <c r="D1759">
        <f t="shared" si="20"/>
        <v>0</v>
      </c>
      <c r="E1759">
        <v>8.6221212121212112</v>
      </c>
    </row>
    <row r="1760" spans="1:5" x14ac:dyDescent="0.3">
      <c r="A1760" s="11" t="s">
        <v>7</v>
      </c>
      <c r="B1760" s="8"/>
      <c r="D1760">
        <f t="shared" si="20"/>
        <v>0</v>
      </c>
      <c r="E1760">
        <v>8.6906060606060613</v>
      </c>
    </row>
    <row r="1761" spans="1:5" x14ac:dyDescent="0.3">
      <c r="A1761" s="12" t="s">
        <v>7</v>
      </c>
      <c r="B1761" s="8"/>
      <c r="D1761">
        <f t="shared" si="20"/>
        <v>0</v>
      </c>
      <c r="E1761">
        <v>8.7590909090909097</v>
      </c>
    </row>
    <row r="1762" spans="1:5" x14ac:dyDescent="0.3">
      <c r="A1762" s="11" t="s">
        <v>7</v>
      </c>
      <c r="B1762" s="8"/>
      <c r="D1762">
        <f t="shared" si="20"/>
        <v>0</v>
      </c>
      <c r="E1762">
        <v>8.8275757575757581</v>
      </c>
    </row>
    <row r="1763" spans="1:5" x14ac:dyDescent="0.3">
      <c r="A1763" s="12" t="s">
        <v>7</v>
      </c>
      <c r="B1763" s="8"/>
      <c r="D1763">
        <f t="shared" si="20"/>
        <v>0</v>
      </c>
      <c r="E1763">
        <v>8.8960606060606064</v>
      </c>
    </row>
    <row r="1764" spans="1:5" x14ac:dyDescent="0.3">
      <c r="A1764" s="11" t="s">
        <v>7</v>
      </c>
      <c r="B1764" s="8"/>
      <c r="D1764">
        <f t="shared" si="20"/>
        <v>0</v>
      </c>
      <c r="E1764">
        <v>8.9645454545454548</v>
      </c>
    </row>
    <row r="1765" spans="1:5" x14ac:dyDescent="0.3">
      <c r="A1765" s="12" t="s">
        <v>7</v>
      </c>
      <c r="B1765" s="8"/>
      <c r="D1765">
        <f t="shared" si="20"/>
        <v>0</v>
      </c>
      <c r="E1765">
        <v>9.0330303030303032</v>
      </c>
    </row>
    <row r="1766" spans="1:5" x14ac:dyDescent="0.3">
      <c r="A1766" s="11" t="s">
        <v>7</v>
      </c>
      <c r="B1766" s="8"/>
      <c r="D1766">
        <f t="shared" si="20"/>
        <v>0</v>
      </c>
      <c r="E1766">
        <v>9.1015151515151516</v>
      </c>
    </row>
    <row r="1767" spans="1:5" x14ac:dyDescent="0.3">
      <c r="A1767" s="12" t="s">
        <v>7</v>
      </c>
      <c r="B1767" s="8"/>
      <c r="D1767">
        <f t="shared" si="20"/>
        <v>0</v>
      </c>
      <c r="E1767">
        <v>9.17</v>
      </c>
    </row>
    <row r="1768" spans="1:5" x14ac:dyDescent="0.3">
      <c r="A1768" s="11" t="s">
        <v>7</v>
      </c>
      <c r="B1768" s="8"/>
      <c r="D1768">
        <f t="shared" si="20"/>
        <v>0</v>
      </c>
      <c r="E1768">
        <v>9.2384848484848483</v>
      </c>
    </row>
    <row r="1769" spans="1:5" x14ac:dyDescent="0.3">
      <c r="A1769" s="12" t="s">
        <v>7</v>
      </c>
      <c r="B1769" s="8"/>
      <c r="D1769">
        <f t="shared" si="20"/>
        <v>0</v>
      </c>
      <c r="E1769">
        <v>9.3069696969696967</v>
      </c>
    </row>
    <row r="1770" spans="1:5" x14ac:dyDescent="0.3">
      <c r="A1770" s="11" t="s">
        <v>7</v>
      </c>
      <c r="B1770" s="8"/>
      <c r="D1770">
        <f t="shared" si="20"/>
        <v>0</v>
      </c>
      <c r="E1770">
        <v>9.375454545454545</v>
      </c>
    </row>
    <row r="1771" spans="1:5" x14ac:dyDescent="0.3">
      <c r="A1771" s="12" t="s">
        <v>7</v>
      </c>
      <c r="B1771" s="8"/>
      <c r="D1771">
        <f t="shared" si="20"/>
        <v>0</v>
      </c>
      <c r="E1771">
        <v>9.4439393939393952</v>
      </c>
    </row>
    <row r="1772" spans="1:5" x14ac:dyDescent="0.3">
      <c r="A1772" s="11" t="s">
        <v>7</v>
      </c>
      <c r="B1772" s="8"/>
      <c r="D1772">
        <f t="shared" si="20"/>
        <v>0</v>
      </c>
      <c r="E1772">
        <v>9.5124242424242418</v>
      </c>
    </row>
    <row r="1773" spans="1:5" x14ac:dyDescent="0.3">
      <c r="A1773" s="12" t="s">
        <v>7</v>
      </c>
      <c r="B1773" s="8"/>
      <c r="D1773">
        <f t="shared" si="20"/>
        <v>0</v>
      </c>
      <c r="E1773">
        <v>9.5809090909090919</v>
      </c>
    </row>
    <row r="1774" spans="1:5" x14ac:dyDescent="0.3">
      <c r="A1774" s="11" t="s">
        <v>7</v>
      </c>
      <c r="B1774" s="8"/>
      <c r="D1774">
        <f t="shared" si="20"/>
        <v>0</v>
      </c>
      <c r="E1774">
        <v>9.6493939393939385</v>
      </c>
    </row>
    <row r="1775" spans="1:5" x14ac:dyDescent="0.3">
      <c r="A1775" s="12" t="s">
        <v>7</v>
      </c>
      <c r="B1775" s="8"/>
      <c r="D1775">
        <f t="shared" si="20"/>
        <v>0</v>
      </c>
      <c r="E1775">
        <v>9.7178787878787887</v>
      </c>
    </row>
    <row r="1776" spans="1:5" x14ac:dyDescent="0.3">
      <c r="A1776" s="11" t="s">
        <v>7</v>
      </c>
      <c r="B1776" s="8"/>
      <c r="D1776">
        <f t="shared" si="20"/>
        <v>0</v>
      </c>
      <c r="E1776">
        <v>9.7863636363636353</v>
      </c>
    </row>
    <row r="1777" spans="1:5" x14ac:dyDescent="0.3">
      <c r="A1777" s="12" t="s">
        <v>7</v>
      </c>
      <c r="B1777" s="8"/>
      <c r="D1777">
        <f t="shared" si="20"/>
        <v>0</v>
      </c>
      <c r="E1777">
        <v>9.8548484848484854</v>
      </c>
    </row>
    <row r="1778" spans="1:5" x14ac:dyDescent="0.3">
      <c r="A1778" s="11" t="s">
        <v>7</v>
      </c>
      <c r="B1778" s="8"/>
      <c r="D1778">
        <f t="shared" si="20"/>
        <v>0</v>
      </c>
      <c r="E1778">
        <v>9.9233333333333338</v>
      </c>
    </row>
    <row r="1779" spans="1:5" x14ac:dyDescent="0.3">
      <c r="A1779" s="12" t="s">
        <v>7</v>
      </c>
      <c r="B1779" s="8"/>
      <c r="D1779">
        <f t="shared" si="20"/>
        <v>0</v>
      </c>
      <c r="E1779">
        <v>9.9918181818181822</v>
      </c>
    </row>
    <row r="1780" spans="1:5" x14ac:dyDescent="0.3">
      <c r="A1780" s="11" t="s">
        <v>7</v>
      </c>
      <c r="B1780" s="8"/>
      <c r="D1780">
        <f t="shared" si="20"/>
        <v>0</v>
      </c>
      <c r="E1780">
        <v>10.060303030303031</v>
      </c>
    </row>
    <row r="1781" spans="1:5" x14ac:dyDescent="0.3">
      <c r="A1781" s="12" t="s">
        <v>7</v>
      </c>
      <c r="B1781" s="8"/>
      <c r="D1781">
        <f t="shared" si="20"/>
        <v>0</v>
      </c>
      <c r="E1781">
        <v>10.128787878787881</v>
      </c>
    </row>
    <row r="1782" spans="1:5" x14ac:dyDescent="0.3">
      <c r="A1782" s="11" t="s">
        <v>7</v>
      </c>
      <c r="B1782" s="8"/>
      <c r="D1782">
        <f t="shared" si="20"/>
        <v>0</v>
      </c>
      <c r="E1782">
        <v>10.197272727272731</v>
      </c>
    </row>
    <row r="1783" spans="1:5" x14ac:dyDescent="0.3">
      <c r="A1783" s="12" t="s">
        <v>7</v>
      </c>
      <c r="B1783" s="8"/>
      <c r="D1783">
        <f t="shared" si="20"/>
        <v>0</v>
      </c>
      <c r="E1783">
        <v>10.265757575757579</v>
      </c>
    </row>
    <row r="1784" spans="1:5" x14ac:dyDescent="0.3">
      <c r="A1784" s="11" t="s">
        <v>7</v>
      </c>
      <c r="B1784" s="8"/>
      <c r="D1784">
        <f t="shared" si="20"/>
        <v>0</v>
      </c>
      <c r="E1784">
        <v>10.33424242424242</v>
      </c>
    </row>
    <row r="1785" spans="1:5" x14ac:dyDescent="0.3">
      <c r="A1785" s="12" t="s">
        <v>7</v>
      </c>
      <c r="B1785" s="8"/>
      <c r="D1785">
        <f t="shared" si="20"/>
        <v>0</v>
      </c>
      <c r="E1785">
        <v>10.402727272727271</v>
      </c>
    </row>
    <row r="1786" spans="1:5" x14ac:dyDescent="0.3">
      <c r="A1786" s="11" t="s">
        <v>7</v>
      </c>
      <c r="B1786" s="8"/>
      <c r="D1786">
        <f t="shared" si="20"/>
        <v>0</v>
      </c>
      <c r="E1786">
        <v>10.471212121212121</v>
      </c>
    </row>
    <row r="1787" spans="1:5" x14ac:dyDescent="0.3">
      <c r="A1787" s="12" t="s">
        <v>7</v>
      </c>
      <c r="B1787" s="8"/>
      <c r="D1787">
        <f t="shared" si="20"/>
        <v>0</v>
      </c>
      <c r="E1787">
        <v>10.539696969696969</v>
      </c>
    </row>
    <row r="1788" spans="1:5" x14ac:dyDescent="0.3">
      <c r="A1788" s="11" t="s">
        <v>7</v>
      </c>
      <c r="B1788" s="8"/>
      <c r="D1788">
        <f t="shared" si="20"/>
        <v>0</v>
      </c>
      <c r="E1788">
        <v>10.608181818181819</v>
      </c>
    </row>
    <row r="1789" spans="1:5" x14ac:dyDescent="0.3">
      <c r="A1789" s="12" t="s">
        <v>7</v>
      </c>
      <c r="B1789" s="8"/>
      <c r="D1789">
        <f t="shared" si="20"/>
        <v>0</v>
      </c>
      <c r="E1789">
        <v>10.676666666666669</v>
      </c>
    </row>
    <row r="1790" spans="1:5" x14ac:dyDescent="0.3">
      <c r="A1790" s="11" t="s">
        <v>7</v>
      </c>
      <c r="B1790" s="8"/>
      <c r="D1790">
        <f t="shared" si="20"/>
        <v>0</v>
      </c>
      <c r="E1790">
        <v>10.74515151515152</v>
      </c>
    </row>
    <row r="1791" spans="1:5" x14ac:dyDescent="0.3">
      <c r="A1791" s="12" t="s">
        <v>7</v>
      </c>
      <c r="B1791" s="8"/>
      <c r="D1791">
        <f t="shared" si="20"/>
        <v>0</v>
      </c>
      <c r="E1791">
        <v>10.813636363636361</v>
      </c>
    </row>
    <row r="1792" spans="1:5" x14ac:dyDescent="0.3">
      <c r="A1792" s="11" t="s">
        <v>7</v>
      </c>
      <c r="B1792" s="8"/>
      <c r="D1792">
        <f t="shared" si="20"/>
        <v>0</v>
      </c>
      <c r="E1792">
        <v>10.882121212121209</v>
      </c>
    </row>
    <row r="1793" spans="1:5" x14ac:dyDescent="0.3">
      <c r="A1793" s="12" t="s">
        <v>7</v>
      </c>
      <c r="B1793" s="8"/>
      <c r="D1793">
        <f t="shared" si="20"/>
        <v>0</v>
      </c>
      <c r="E1793">
        <v>10.950606060606059</v>
      </c>
    </row>
    <row r="1794" spans="1:5" x14ac:dyDescent="0.3">
      <c r="A1794" s="11" t="s">
        <v>7</v>
      </c>
      <c r="B1794" s="8"/>
      <c r="D1794">
        <f t="shared" si="20"/>
        <v>0</v>
      </c>
      <c r="E1794">
        <v>11.019090909090909</v>
      </c>
    </row>
    <row r="1795" spans="1:5" x14ac:dyDescent="0.3">
      <c r="A1795" s="12" t="s">
        <v>7</v>
      </c>
      <c r="B1795" s="8"/>
      <c r="D1795">
        <f t="shared" si="20"/>
        <v>0</v>
      </c>
      <c r="E1795">
        <v>11.08757575757576</v>
      </c>
    </row>
    <row r="1796" spans="1:5" x14ac:dyDescent="0.3">
      <c r="A1796" s="11" t="s">
        <v>7</v>
      </c>
      <c r="B1796" s="8"/>
      <c r="D1796">
        <f t="shared" si="20"/>
        <v>0</v>
      </c>
      <c r="E1796">
        <v>11.15606060606061</v>
      </c>
    </row>
    <row r="1797" spans="1:5" x14ac:dyDescent="0.3">
      <c r="A1797" s="12" t="s">
        <v>7</v>
      </c>
      <c r="B1797" s="8"/>
      <c r="D1797">
        <f t="shared" si="20"/>
        <v>0</v>
      </c>
      <c r="E1797">
        <v>11.224545454545449</v>
      </c>
    </row>
    <row r="1798" spans="1:5" x14ac:dyDescent="0.3">
      <c r="A1798" s="11" t="s">
        <v>7</v>
      </c>
      <c r="B1798" s="8"/>
      <c r="D1798">
        <f t="shared" si="20"/>
        <v>0</v>
      </c>
      <c r="E1798">
        <v>11.293030303030299</v>
      </c>
    </row>
    <row r="1799" spans="1:5" x14ac:dyDescent="0.3">
      <c r="A1799" s="12" t="s">
        <v>7</v>
      </c>
      <c r="B1799" s="8"/>
      <c r="D1799">
        <f t="shared" si="20"/>
        <v>0</v>
      </c>
      <c r="E1799">
        <v>11.36151515151515</v>
      </c>
    </row>
    <row r="1800" spans="1:5" x14ac:dyDescent="0.3">
      <c r="A1800" s="11" t="s">
        <v>7</v>
      </c>
      <c r="B1800" s="8"/>
      <c r="D1800">
        <f t="shared" si="20"/>
        <v>0</v>
      </c>
      <c r="E1800">
        <v>11.43</v>
      </c>
    </row>
    <row r="1801" spans="1:5" x14ac:dyDescent="0.3">
      <c r="A1801" s="12"/>
      <c r="B1801" s="9"/>
      <c r="C1801" s="9"/>
    </row>
    <row r="1802" spans="1:5" x14ac:dyDescent="0.3">
      <c r="A1802" s="11"/>
      <c r="B1802" s="8"/>
      <c r="C1802" s="8"/>
    </row>
    <row r="1803" spans="1:5" x14ac:dyDescent="0.3">
      <c r="A1803" s="12"/>
      <c r="B1803" s="9"/>
      <c r="C1803" s="9"/>
    </row>
    <row r="1804" spans="1:5" x14ac:dyDescent="0.3">
      <c r="A1804" s="11"/>
      <c r="B1804" s="8"/>
      <c r="C1804" s="8"/>
    </row>
    <row r="1805" spans="1:5" x14ac:dyDescent="0.3">
      <c r="A1805" s="12"/>
      <c r="B1805" s="9"/>
      <c r="C1805" s="9"/>
    </row>
    <row r="1806" spans="1:5" x14ac:dyDescent="0.3">
      <c r="A1806" s="11"/>
      <c r="B1806" s="8"/>
      <c r="C1806" s="8"/>
    </row>
    <row r="1807" spans="1:5" x14ac:dyDescent="0.3">
      <c r="A1807" s="12"/>
      <c r="B1807" s="9"/>
      <c r="C1807" s="9"/>
    </row>
    <row r="1808" spans="1:5" x14ac:dyDescent="0.3">
      <c r="A1808" s="11"/>
      <c r="B1808" s="8"/>
      <c r="C1808" s="8"/>
    </row>
    <row r="1809" spans="1:5" x14ac:dyDescent="0.3">
      <c r="A1809" s="12"/>
      <c r="B1809" s="9"/>
      <c r="C1809" s="9"/>
    </row>
    <row r="1810" spans="1:5" x14ac:dyDescent="0.3">
      <c r="A1810" s="11"/>
      <c r="B1810" s="8"/>
      <c r="C1810" s="8"/>
    </row>
    <row r="1811" spans="1:5" x14ac:dyDescent="0.3">
      <c r="A1811" s="12" t="s">
        <v>8</v>
      </c>
      <c r="B1811" s="8"/>
      <c r="D1811">
        <f t="shared" si="20"/>
        <v>0</v>
      </c>
      <c r="E1811">
        <v>0.13761682795655</v>
      </c>
    </row>
    <row r="1812" spans="1:5" x14ac:dyDescent="0.3">
      <c r="A1812" s="11" t="s">
        <v>8</v>
      </c>
      <c r="B1812" s="8"/>
      <c r="D1812">
        <f t="shared" si="20"/>
        <v>0</v>
      </c>
      <c r="E1812">
        <v>0.13234291743907589</v>
      </c>
    </row>
    <row r="1813" spans="1:5" x14ac:dyDescent="0.3">
      <c r="A1813" s="12" t="s">
        <v>8</v>
      </c>
      <c r="B1813" s="8"/>
      <c r="D1813">
        <f t="shared" si="20"/>
        <v>0</v>
      </c>
      <c r="E1813">
        <v>0.1285443509820528</v>
      </c>
    </row>
    <row r="1814" spans="1:5" x14ac:dyDescent="0.3">
      <c r="A1814" s="11" t="s">
        <v>8</v>
      </c>
      <c r="B1814" s="8"/>
      <c r="D1814">
        <f t="shared" si="20"/>
        <v>0</v>
      </c>
      <c r="E1814">
        <v>0.1248772848003874</v>
      </c>
    </row>
    <row r="1815" spans="1:5" x14ac:dyDescent="0.3">
      <c r="A1815" s="12" t="s">
        <v>8</v>
      </c>
      <c r="B1815" s="8"/>
      <c r="D1815">
        <f t="shared" ref="D1815:D1878" si="21">IF(IFERROR(FIND("1",A1815,1),ERROR.TYPE(#VALUE!))=ERROR.TYPE(#VALUE!),$M$2,$M$1)</f>
        <v>0</v>
      </c>
      <c r="E1815">
        <v>0.1208500277380572</v>
      </c>
    </row>
    <row r="1816" spans="1:5" x14ac:dyDescent="0.3">
      <c r="A1816" s="11" t="s">
        <v>8</v>
      </c>
      <c r="B1816" s="8"/>
      <c r="D1816">
        <f t="shared" si="21"/>
        <v>0</v>
      </c>
      <c r="E1816">
        <v>0.1169351444122791</v>
      </c>
    </row>
    <row r="1817" spans="1:5" x14ac:dyDescent="0.3">
      <c r="A1817" s="12" t="s">
        <v>8</v>
      </c>
      <c r="B1817" s="8"/>
      <c r="D1817">
        <f t="shared" si="21"/>
        <v>0</v>
      </c>
      <c r="E1817">
        <v>0.1138780022680716</v>
      </c>
    </row>
    <row r="1818" spans="1:5" x14ac:dyDescent="0.3">
      <c r="A1818" s="11" t="s">
        <v>8</v>
      </c>
      <c r="B1818" s="8"/>
      <c r="D1818">
        <f t="shared" si="21"/>
        <v>0</v>
      </c>
      <c r="E1818">
        <v>0.1099202593317036</v>
      </c>
    </row>
    <row r="1819" spans="1:5" x14ac:dyDescent="0.3">
      <c r="A1819" s="12" t="s">
        <v>8</v>
      </c>
      <c r="B1819" s="8"/>
      <c r="D1819">
        <f t="shared" si="21"/>
        <v>0</v>
      </c>
      <c r="E1819">
        <v>0.10722814827522439</v>
      </c>
    </row>
    <row r="1820" spans="1:5" x14ac:dyDescent="0.3">
      <c r="A1820" s="11" t="s">
        <v>8</v>
      </c>
      <c r="B1820" s="8"/>
      <c r="D1820">
        <f t="shared" si="21"/>
        <v>0</v>
      </c>
      <c r="E1820">
        <v>0.1031768325422337</v>
      </c>
    </row>
    <row r="1821" spans="1:5" x14ac:dyDescent="0.3">
      <c r="A1821" s="12"/>
      <c r="B1821" s="9"/>
      <c r="C1821" s="9"/>
    </row>
    <row r="1822" spans="1:5" x14ac:dyDescent="0.3">
      <c r="A1822" s="11"/>
      <c r="B1822" s="8"/>
      <c r="C1822" s="8"/>
    </row>
    <row r="1823" spans="1:5" x14ac:dyDescent="0.3">
      <c r="A1823" s="12"/>
      <c r="B1823" s="9"/>
      <c r="C1823" s="9"/>
    </row>
    <row r="1824" spans="1:5" x14ac:dyDescent="0.3">
      <c r="A1824" s="11"/>
      <c r="B1824" s="8"/>
      <c r="C1824" s="8"/>
    </row>
    <row r="1825" spans="1:5" x14ac:dyDescent="0.3">
      <c r="A1825" s="12"/>
      <c r="B1825" s="9"/>
      <c r="C1825" s="9"/>
    </row>
    <row r="1826" spans="1:5" x14ac:dyDescent="0.3">
      <c r="A1826" s="11"/>
      <c r="B1826" s="8"/>
      <c r="C1826" s="8"/>
    </row>
    <row r="1827" spans="1:5" x14ac:dyDescent="0.3">
      <c r="A1827" s="12"/>
      <c r="B1827" s="9"/>
      <c r="C1827" s="9"/>
    </row>
    <row r="1828" spans="1:5" x14ac:dyDescent="0.3">
      <c r="A1828" s="11"/>
      <c r="B1828" s="8"/>
      <c r="C1828" s="8"/>
    </row>
    <row r="1829" spans="1:5" x14ac:dyDescent="0.3">
      <c r="A1829" s="12"/>
      <c r="B1829" s="9"/>
      <c r="C1829" s="9"/>
    </row>
    <row r="1830" spans="1:5" x14ac:dyDescent="0.3">
      <c r="A1830" s="11"/>
      <c r="B1830" s="8"/>
      <c r="C1830" s="8"/>
    </row>
    <row r="1831" spans="1:5" x14ac:dyDescent="0.3">
      <c r="A1831" s="12" t="s">
        <v>9</v>
      </c>
      <c r="B1831" s="8"/>
      <c r="D1831">
        <f t="shared" si="21"/>
        <v>0</v>
      </c>
      <c r="E1831">
        <v>0.13761682795655</v>
      </c>
    </row>
    <row r="1832" spans="1:5" x14ac:dyDescent="0.3">
      <c r="A1832" s="11" t="s">
        <v>9</v>
      </c>
      <c r="B1832" s="8"/>
      <c r="D1832">
        <f t="shared" si="21"/>
        <v>0</v>
      </c>
      <c r="E1832">
        <v>0.13234291743907589</v>
      </c>
    </row>
    <row r="1833" spans="1:5" x14ac:dyDescent="0.3">
      <c r="A1833" s="12" t="s">
        <v>9</v>
      </c>
      <c r="B1833" s="8"/>
      <c r="D1833">
        <f t="shared" si="21"/>
        <v>0</v>
      </c>
      <c r="E1833">
        <v>0.1285443509820528</v>
      </c>
    </row>
    <row r="1834" spans="1:5" x14ac:dyDescent="0.3">
      <c r="A1834" s="11" t="s">
        <v>9</v>
      </c>
      <c r="B1834" s="8"/>
      <c r="D1834">
        <f t="shared" si="21"/>
        <v>0</v>
      </c>
      <c r="E1834">
        <v>0.1248772848003874</v>
      </c>
    </row>
    <row r="1835" spans="1:5" x14ac:dyDescent="0.3">
      <c r="A1835" s="12" t="s">
        <v>9</v>
      </c>
      <c r="B1835" s="8"/>
      <c r="D1835">
        <f t="shared" si="21"/>
        <v>0</v>
      </c>
      <c r="E1835">
        <v>0.1208500277380572</v>
      </c>
    </row>
    <row r="1836" spans="1:5" x14ac:dyDescent="0.3">
      <c r="A1836" s="11" t="s">
        <v>9</v>
      </c>
      <c r="B1836" s="8"/>
      <c r="D1836">
        <f t="shared" si="21"/>
        <v>0</v>
      </c>
      <c r="E1836">
        <v>0.1169351444122791</v>
      </c>
    </row>
    <row r="1837" spans="1:5" x14ac:dyDescent="0.3">
      <c r="A1837" s="12" t="s">
        <v>9</v>
      </c>
      <c r="B1837" s="8"/>
      <c r="D1837">
        <f t="shared" si="21"/>
        <v>0</v>
      </c>
      <c r="E1837">
        <v>0.1138780022680716</v>
      </c>
    </row>
    <row r="1838" spans="1:5" x14ac:dyDescent="0.3">
      <c r="A1838" s="11" t="s">
        <v>9</v>
      </c>
      <c r="B1838" s="8"/>
      <c r="D1838">
        <f t="shared" si="21"/>
        <v>0</v>
      </c>
      <c r="E1838">
        <v>0.1099202593317036</v>
      </c>
    </row>
    <row r="1839" spans="1:5" x14ac:dyDescent="0.3">
      <c r="A1839" s="12" t="s">
        <v>9</v>
      </c>
      <c r="B1839" s="8"/>
      <c r="D1839">
        <f t="shared" si="21"/>
        <v>0</v>
      </c>
      <c r="E1839">
        <v>0.10722814827522439</v>
      </c>
    </row>
    <row r="1840" spans="1:5" x14ac:dyDescent="0.3">
      <c r="A1840" s="11" t="s">
        <v>9</v>
      </c>
      <c r="B1840" s="8"/>
      <c r="D1840">
        <f t="shared" si="21"/>
        <v>0</v>
      </c>
      <c r="E1840">
        <v>0.1031768325422337</v>
      </c>
    </row>
    <row r="1841" spans="1:5" x14ac:dyDescent="0.3">
      <c r="A1841" s="12"/>
      <c r="B1841" s="9"/>
      <c r="C1841" s="9"/>
    </row>
    <row r="1842" spans="1:5" x14ac:dyDescent="0.3">
      <c r="A1842" s="11"/>
      <c r="B1842" s="8"/>
      <c r="C1842" s="8"/>
    </row>
    <row r="1843" spans="1:5" x14ac:dyDescent="0.3">
      <c r="A1843" s="12"/>
      <c r="B1843" s="9"/>
      <c r="C1843" s="9"/>
    </row>
    <row r="1844" spans="1:5" x14ac:dyDescent="0.3">
      <c r="A1844" s="11"/>
      <c r="B1844" s="8"/>
      <c r="C1844" s="8"/>
    </row>
    <row r="1845" spans="1:5" x14ac:dyDescent="0.3">
      <c r="A1845" s="12"/>
      <c r="B1845" s="9"/>
      <c r="C1845" s="9"/>
    </row>
    <row r="1846" spans="1:5" x14ac:dyDescent="0.3">
      <c r="A1846" s="11"/>
      <c r="B1846" s="8"/>
      <c r="C1846" s="8"/>
    </row>
    <row r="1847" spans="1:5" x14ac:dyDescent="0.3">
      <c r="A1847" s="12"/>
      <c r="B1847" s="9"/>
      <c r="C1847" s="9"/>
    </row>
    <row r="1848" spans="1:5" x14ac:dyDescent="0.3">
      <c r="A1848" s="11"/>
      <c r="B1848" s="8"/>
      <c r="C1848" s="8"/>
    </row>
    <row r="1849" spans="1:5" x14ac:dyDescent="0.3">
      <c r="A1849" s="12"/>
      <c r="B1849" s="9"/>
      <c r="C1849" s="9"/>
    </row>
    <row r="1850" spans="1:5" x14ac:dyDescent="0.3">
      <c r="A1850" s="11"/>
      <c r="B1850" s="8"/>
      <c r="C1850" s="8"/>
    </row>
    <row r="1851" spans="1:5" x14ac:dyDescent="0.3">
      <c r="A1851" s="12" t="s">
        <v>10</v>
      </c>
      <c r="B1851" s="8"/>
      <c r="D1851">
        <f t="shared" si="21"/>
        <v>0</v>
      </c>
      <c r="E1851">
        <v>1.402720394258796</v>
      </c>
    </row>
    <row r="1852" spans="1:5" x14ac:dyDescent="0.3">
      <c r="A1852" s="11" t="s">
        <v>10</v>
      </c>
      <c r="B1852" s="8"/>
      <c r="D1852">
        <f t="shared" si="21"/>
        <v>0</v>
      </c>
      <c r="E1852">
        <v>1.4750303203269921</v>
      </c>
    </row>
    <row r="1853" spans="1:5" x14ac:dyDescent="0.3">
      <c r="A1853" s="12" t="s">
        <v>10</v>
      </c>
      <c r="B1853" s="8"/>
      <c r="D1853">
        <f t="shared" si="21"/>
        <v>0</v>
      </c>
      <c r="E1853">
        <v>1.5827034177106101</v>
      </c>
    </row>
    <row r="1854" spans="1:5" x14ac:dyDescent="0.3">
      <c r="A1854" s="11" t="s">
        <v>10</v>
      </c>
      <c r="B1854" s="8"/>
      <c r="D1854">
        <f t="shared" si="21"/>
        <v>0</v>
      </c>
      <c r="E1854">
        <v>1.6558355995337639</v>
      </c>
    </row>
    <row r="1855" spans="1:5" x14ac:dyDescent="0.3">
      <c r="A1855" s="12" t="s">
        <v>10</v>
      </c>
      <c r="B1855" s="8"/>
      <c r="D1855">
        <f t="shared" si="21"/>
        <v>0</v>
      </c>
      <c r="E1855">
        <v>1.769433979140496</v>
      </c>
    </row>
    <row r="1856" spans="1:5" x14ac:dyDescent="0.3">
      <c r="A1856" s="11" t="s">
        <v>10</v>
      </c>
      <c r="B1856" s="8"/>
      <c r="D1856">
        <f t="shared" si="21"/>
        <v>0</v>
      </c>
      <c r="E1856">
        <v>1.8670248928457021</v>
      </c>
    </row>
    <row r="1857" spans="1:5" x14ac:dyDescent="0.3">
      <c r="A1857" s="12" t="s">
        <v>10</v>
      </c>
      <c r="B1857" s="8"/>
      <c r="D1857">
        <f t="shared" si="21"/>
        <v>0</v>
      </c>
      <c r="E1857">
        <v>1.959667273476529</v>
      </c>
    </row>
    <row r="1858" spans="1:5" x14ac:dyDescent="0.3">
      <c r="A1858" s="11" t="s">
        <v>10</v>
      </c>
      <c r="B1858" s="8"/>
      <c r="D1858">
        <f t="shared" si="21"/>
        <v>0</v>
      </c>
      <c r="E1858">
        <v>2.063126929572523</v>
      </c>
    </row>
    <row r="1859" spans="1:5" x14ac:dyDescent="0.3">
      <c r="A1859" s="12" t="s">
        <v>10</v>
      </c>
      <c r="B1859" s="8"/>
      <c r="D1859">
        <f t="shared" si="21"/>
        <v>0</v>
      </c>
      <c r="E1859">
        <v>2.2237125044528301</v>
      </c>
    </row>
    <row r="1860" spans="1:5" x14ac:dyDescent="0.3">
      <c r="A1860" s="11" t="s">
        <v>10</v>
      </c>
      <c r="B1860" s="8"/>
      <c r="D1860">
        <f t="shared" si="21"/>
        <v>0</v>
      </c>
      <c r="E1860">
        <v>2.306262677379324</v>
      </c>
    </row>
    <row r="1861" spans="1:5" x14ac:dyDescent="0.3">
      <c r="A1861" s="12"/>
      <c r="B1861" s="9"/>
      <c r="C1861" s="9"/>
    </row>
    <row r="1862" spans="1:5" x14ac:dyDescent="0.3">
      <c r="A1862" s="11"/>
      <c r="B1862" s="8"/>
      <c r="C1862" s="8"/>
    </row>
    <row r="1863" spans="1:5" x14ac:dyDescent="0.3">
      <c r="A1863" s="12"/>
      <c r="B1863" s="9"/>
      <c r="C1863" s="9"/>
    </row>
    <row r="1864" spans="1:5" x14ac:dyDescent="0.3">
      <c r="A1864" s="11"/>
      <c r="B1864" s="8"/>
      <c r="C1864" s="8"/>
    </row>
    <row r="1865" spans="1:5" x14ac:dyDescent="0.3">
      <c r="A1865" s="12"/>
      <c r="B1865" s="9"/>
      <c r="C1865" s="9"/>
    </row>
    <row r="1866" spans="1:5" x14ac:dyDescent="0.3">
      <c r="A1866" s="11"/>
      <c r="B1866" s="8"/>
      <c r="C1866" s="8"/>
    </row>
    <row r="1867" spans="1:5" x14ac:dyDescent="0.3">
      <c r="A1867" s="12"/>
      <c r="B1867" s="9"/>
      <c r="C1867" s="9"/>
    </row>
    <row r="1868" spans="1:5" x14ac:dyDescent="0.3">
      <c r="A1868" s="11"/>
      <c r="B1868" s="8"/>
      <c r="C1868" s="8"/>
    </row>
    <row r="1869" spans="1:5" x14ac:dyDescent="0.3">
      <c r="A1869" s="12"/>
      <c r="B1869" s="9"/>
      <c r="C1869" s="9"/>
    </row>
    <row r="1870" spans="1:5" x14ac:dyDescent="0.3">
      <c r="A1870" s="11"/>
      <c r="B1870" s="8"/>
      <c r="C1870" s="10"/>
    </row>
    <row r="1871" spans="1:5" x14ac:dyDescent="0.3">
      <c r="A1871" s="12" t="s">
        <v>11</v>
      </c>
      <c r="B1871" s="8"/>
      <c r="D1871">
        <f t="shared" si="21"/>
        <v>0</v>
      </c>
      <c r="E1871">
        <v>1.402720394258796</v>
      </c>
    </row>
    <row r="1872" spans="1:5" x14ac:dyDescent="0.3">
      <c r="A1872" s="11" t="s">
        <v>11</v>
      </c>
      <c r="B1872" s="8"/>
      <c r="D1872">
        <f t="shared" si="21"/>
        <v>0</v>
      </c>
      <c r="E1872">
        <v>1.4750303203269921</v>
      </c>
    </row>
    <row r="1873" spans="1:5" x14ac:dyDescent="0.3">
      <c r="A1873" s="12" t="s">
        <v>11</v>
      </c>
      <c r="B1873" s="8"/>
      <c r="D1873">
        <f t="shared" si="21"/>
        <v>0</v>
      </c>
      <c r="E1873">
        <v>1.5827034177106101</v>
      </c>
    </row>
    <row r="1874" spans="1:5" x14ac:dyDescent="0.3">
      <c r="A1874" s="11" t="s">
        <v>11</v>
      </c>
      <c r="B1874" s="8"/>
      <c r="D1874">
        <f t="shared" si="21"/>
        <v>0</v>
      </c>
      <c r="E1874">
        <v>1.6558355995337639</v>
      </c>
    </row>
    <row r="1875" spans="1:5" x14ac:dyDescent="0.3">
      <c r="A1875" s="12" t="s">
        <v>11</v>
      </c>
      <c r="B1875" s="8"/>
      <c r="D1875">
        <f t="shared" si="21"/>
        <v>0</v>
      </c>
      <c r="E1875">
        <v>1.769433979140496</v>
      </c>
    </row>
    <row r="1876" spans="1:5" x14ac:dyDescent="0.3">
      <c r="A1876" s="11" t="s">
        <v>11</v>
      </c>
      <c r="B1876" s="8"/>
      <c r="D1876">
        <f t="shared" si="21"/>
        <v>0</v>
      </c>
      <c r="E1876">
        <v>1.8670248928457021</v>
      </c>
    </row>
    <row r="1877" spans="1:5" x14ac:dyDescent="0.3">
      <c r="A1877" s="12" t="s">
        <v>11</v>
      </c>
      <c r="B1877" s="8"/>
      <c r="D1877">
        <f t="shared" si="21"/>
        <v>0</v>
      </c>
      <c r="E1877">
        <v>1.959667273476529</v>
      </c>
    </row>
    <row r="1878" spans="1:5" x14ac:dyDescent="0.3">
      <c r="A1878" s="11" t="s">
        <v>11</v>
      </c>
      <c r="B1878" s="8"/>
      <c r="D1878">
        <f t="shared" si="21"/>
        <v>0</v>
      </c>
      <c r="E1878">
        <v>2.063126929572523</v>
      </c>
    </row>
    <row r="1879" spans="1:5" x14ac:dyDescent="0.3">
      <c r="A1879" s="12" t="s">
        <v>11</v>
      </c>
      <c r="B1879" s="8"/>
      <c r="D1879">
        <f t="shared" ref="D1879:D1880" si="22">IF(IFERROR(FIND("1",A1879,1),ERROR.TYPE(#VALUE!))=ERROR.TYPE(#VALUE!),$M$2,$M$1)</f>
        <v>0</v>
      </c>
      <c r="E1879">
        <v>2.2237125044528301</v>
      </c>
    </row>
    <row r="1880" spans="1:5" x14ac:dyDescent="0.3">
      <c r="A1880" s="13" t="s">
        <v>11</v>
      </c>
      <c r="B1880" s="10"/>
      <c r="D1880">
        <f t="shared" si="22"/>
        <v>0</v>
      </c>
      <c r="E1880">
        <v>2.306262677379324</v>
      </c>
    </row>
  </sheetData>
  <pageMargins left="0.7" right="0.7" top="0.78740157499999996" bottom="0.78740157499999996" header="0.3" footer="0.3"/>
  <tableParts count="2">
    <tablePart r:id="rId1"/>
    <tablePart r:id="rId2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1473020-8021-45A3-AC99-27452892E19F}">
  <sheetPr codeName="Tabelle14"/>
  <dimension ref="C1:S1860"/>
  <sheetViews>
    <sheetView topLeftCell="B653" zoomScale="115" zoomScaleNormal="115" workbookViewId="0">
      <selection activeCell="D654" sqref="D654"/>
    </sheetView>
  </sheetViews>
  <sheetFormatPr baseColWidth="10" defaultRowHeight="14.4" x14ac:dyDescent="0.3"/>
  <cols>
    <col min="3" max="3" width="59.44140625" bestFit="1" customWidth="1"/>
    <col min="4" max="4" width="26.5546875" customWidth="1"/>
    <col min="6" max="6" width="28.88671875" customWidth="1"/>
    <col min="8" max="8" width="12" bestFit="1" customWidth="1"/>
    <col min="9" max="9" width="12.88671875" customWidth="1"/>
    <col min="10" max="10" width="26.88671875" bestFit="1" customWidth="1"/>
    <col min="11" max="11" width="17.109375" bestFit="1" customWidth="1"/>
    <col min="12" max="12" width="13" bestFit="1" customWidth="1"/>
    <col min="13" max="13" width="17.109375" bestFit="1" customWidth="1"/>
    <col min="14" max="14" width="13" bestFit="1" customWidth="1"/>
    <col min="15" max="15" width="39.6640625" customWidth="1"/>
    <col min="16" max="17" width="38" customWidth="1"/>
    <col min="18" max="18" width="20.109375" bestFit="1" customWidth="1"/>
    <col min="19" max="19" width="27.6640625" bestFit="1" customWidth="1"/>
    <col min="21" max="21" width="11.5546875" customWidth="1"/>
  </cols>
  <sheetData>
    <row r="1" spans="3:9" x14ac:dyDescent="0.3">
      <c r="C1" t="s">
        <v>55</v>
      </c>
      <c r="D1" t="s">
        <v>59</v>
      </c>
      <c r="E1" t="s">
        <v>58</v>
      </c>
      <c r="F1" t="s">
        <v>56</v>
      </c>
      <c r="G1" t="s">
        <v>28</v>
      </c>
      <c r="H1" t="s">
        <v>57</v>
      </c>
    </row>
    <row r="2" spans="3:9" hidden="1" x14ac:dyDescent="0.3">
      <c r="C2" s="11"/>
      <c r="D2" s="8"/>
      <c r="E2" s="8"/>
      <c r="G2" s="14"/>
    </row>
    <row r="3" spans="3:9" hidden="1" x14ac:dyDescent="0.3">
      <c r="C3" s="12"/>
      <c r="D3" s="9"/>
      <c r="E3" s="9"/>
      <c r="G3" s="14"/>
    </row>
    <row r="4" spans="3:9" hidden="1" x14ac:dyDescent="0.3">
      <c r="C4" s="11"/>
      <c r="D4" s="8"/>
      <c r="E4" s="8"/>
      <c r="G4" s="14"/>
    </row>
    <row r="5" spans="3:9" hidden="1" x14ac:dyDescent="0.3">
      <c r="C5" s="12"/>
      <c r="D5" s="9"/>
      <c r="E5" s="9"/>
      <c r="G5" s="14"/>
      <c r="I5" s="3"/>
    </row>
    <row r="6" spans="3:9" hidden="1" x14ac:dyDescent="0.3">
      <c r="C6" s="11"/>
      <c r="D6" s="8"/>
      <c r="E6" s="8"/>
      <c r="G6" s="14"/>
      <c r="I6" s="3"/>
    </row>
    <row r="7" spans="3:9" hidden="1" x14ac:dyDescent="0.3">
      <c r="C7" s="12"/>
      <c r="D7" s="9"/>
      <c r="E7" s="9"/>
      <c r="G7" s="14"/>
    </row>
    <row r="8" spans="3:9" hidden="1" x14ac:dyDescent="0.3">
      <c r="C8" s="11"/>
      <c r="D8" s="8"/>
      <c r="E8" s="8"/>
      <c r="G8" s="14"/>
    </row>
    <row r="9" spans="3:9" hidden="1" x14ac:dyDescent="0.3">
      <c r="C9" s="12"/>
      <c r="D9" s="9"/>
      <c r="E9" s="9"/>
      <c r="G9" s="14"/>
    </row>
    <row r="10" spans="3:9" hidden="1" x14ac:dyDescent="0.3">
      <c r="C10" s="11"/>
      <c r="D10" s="8"/>
      <c r="E10" s="8"/>
      <c r="F10" t="s">
        <v>92</v>
      </c>
      <c r="G10" s="14"/>
    </row>
    <row r="11" spans="3:9" hidden="1" x14ac:dyDescent="0.3">
      <c r="C11" s="12"/>
      <c r="D11" s="9"/>
      <c r="E11" s="9"/>
      <c r="G11" s="14"/>
    </row>
    <row r="12" spans="3:9" hidden="1" x14ac:dyDescent="0.3">
      <c r="C12" s="11"/>
      <c r="D12" s="8"/>
      <c r="E12" s="8"/>
      <c r="G12" s="14"/>
    </row>
    <row r="13" spans="3:9" hidden="1" x14ac:dyDescent="0.3">
      <c r="C13" s="12"/>
      <c r="D13" s="9"/>
      <c r="E13" s="9"/>
      <c r="G13" s="14"/>
    </row>
    <row r="14" spans="3:9" hidden="1" x14ac:dyDescent="0.3">
      <c r="C14" s="11"/>
      <c r="D14" s="8"/>
      <c r="E14" s="8"/>
      <c r="G14" s="14"/>
    </row>
    <row r="15" spans="3:9" hidden="1" x14ac:dyDescent="0.3">
      <c r="C15" s="12"/>
      <c r="D15" s="9"/>
      <c r="E15" s="9"/>
      <c r="G15" s="14"/>
    </row>
    <row r="16" spans="3:9" hidden="1" x14ac:dyDescent="0.3">
      <c r="C16" s="11"/>
      <c r="D16" s="8"/>
      <c r="E16" s="8"/>
      <c r="G16" s="14"/>
    </row>
    <row r="17" spans="3:7" hidden="1" x14ac:dyDescent="0.3">
      <c r="C17" s="12"/>
      <c r="D17" s="9"/>
      <c r="E17" s="9"/>
      <c r="G17" s="14"/>
    </row>
    <row r="18" spans="3:7" hidden="1" x14ac:dyDescent="0.3">
      <c r="C18" s="11"/>
      <c r="D18" s="8"/>
      <c r="E18" s="8"/>
      <c r="G18" s="14"/>
    </row>
    <row r="19" spans="3:7" hidden="1" x14ac:dyDescent="0.3">
      <c r="C19" s="12"/>
      <c r="D19" s="9"/>
      <c r="E19" s="9"/>
      <c r="G19" s="14"/>
    </row>
    <row r="20" spans="3:7" hidden="1" x14ac:dyDescent="0.3">
      <c r="C20" s="11"/>
      <c r="D20" s="8"/>
      <c r="E20" s="8"/>
      <c r="G20" s="14"/>
    </row>
    <row r="21" spans="3:7" hidden="1" x14ac:dyDescent="0.3">
      <c r="C21" s="12"/>
      <c r="D21" s="9"/>
      <c r="E21" s="9"/>
      <c r="G21" s="14"/>
    </row>
    <row r="22" spans="3:7" hidden="1" x14ac:dyDescent="0.3">
      <c r="C22" s="11"/>
      <c r="D22" s="8"/>
      <c r="E22" s="8"/>
      <c r="G22" s="14"/>
    </row>
    <row r="23" spans="3:7" hidden="1" x14ac:dyDescent="0.3">
      <c r="C23" s="12"/>
      <c r="D23" s="9"/>
      <c r="E23" s="9"/>
      <c r="G23" s="14"/>
    </row>
    <row r="24" spans="3:7" hidden="1" x14ac:dyDescent="0.3">
      <c r="C24" s="11"/>
      <c r="D24" s="8"/>
      <c r="E24" s="8"/>
      <c r="G24" s="14"/>
    </row>
    <row r="25" spans="3:7" hidden="1" x14ac:dyDescent="0.3">
      <c r="C25" s="12"/>
      <c r="D25" s="9"/>
      <c r="E25" s="9"/>
      <c r="G25" s="14"/>
    </row>
    <row r="26" spans="3:7" hidden="1" x14ac:dyDescent="0.3">
      <c r="C26" s="11"/>
      <c r="D26" s="8"/>
      <c r="E26" s="8"/>
      <c r="G26" s="14"/>
    </row>
    <row r="27" spans="3:7" hidden="1" x14ac:dyDescent="0.3">
      <c r="C27" s="12"/>
      <c r="D27" s="9"/>
      <c r="E27" s="9"/>
      <c r="G27" s="14"/>
    </row>
    <row r="28" spans="3:7" hidden="1" x14ac:dyDescent="0.3">
      <c r="C28" s="11"/>
      <c r="D28" s="8"/>
      <c r="E28" s="8"/>
      <c r="G28" s="14"/>
    </row>
    <row r="29" spans="3:7" hidden="1" x14ac:dyDescent="0.3">
      <c r="C29" s="12"/>
      <c r="D29" s="9"/>
      <c r="E29" s="9"/>
      <c r="G29" s="14"/>
    </row>
    <row r="30" spans="3:7" hidden="1" x14ac:dyDescent="0.3">
      <c r="C30" s="11"/>
      <c r="D30" s="8"/>
      <c r="E30" s="8"/>
      <c r="G30" s="14"/>
    </row>
    <row r="31" spans="3:7" hidden="1" x14ac:dyDescent="0.3">
      <c r="C31" s="12"/>
      <c r="D31" s="9"/>
      <c r="E31" s="9"/>
      <c r="G31" s="14"/>
    </row>
    <row r="32" spans="3:7" hidden="1" x14ac:dyDescent="0.3">
      <c r="C32" s="11"/>
      <c r="D32" s="8"/>
      <c r="E32" s="8"/>
      <c r="G32" s="14"/>
    </row>
    <row r="33" spans="3:7" hidden="1" x14ac:dyDescent="0.3">
      <c r="C33" s="12"/>
      <c r="D33" s="9"/>
      <c r="E33" s="9"/>
      <c r="G33" s="14"/>
    </row>
    <row r="34" spans="3:7" hidden="1" x14ac:dyDescent="0.3">
      <c r="C34" s="11"/>
      <c r="D34" s="8"/>
      <c r="E34" s="8"/>
      <c r="G34" s="14"/>
    </row>
    <row r="35" spans="3:7" hidden="1" x14ac:dyDescent="0.3">
      <c r="C35" s="12"/>
      <c r="D35" s="9"/>
      <c r="E35" s="9"/>
      <c r="G35" s="14"/>
    </row>
    <row r="36" spans="3:7" hidden="1" x14ac:dyDescent="0.3">
      <c r="C36" s="11"/>
      <c r="D36" s="8"/>
      <c r="E36" s="8"/>
      <c r="G36" s="14"/>
    </row>
    <row r="37" spans="3:7" hidden="1" x14ac:dyDescent="0.3">
      <c r="C37" s="12"/>
      <c r="D37" s="9"/>
      <c r="E37" s="9"/>
      <c r="G37" s="14"/>
    </row>
    <row r="38" spans="3:7" hidden="1" x14ac:dyDescent="0.3">
      <c r="C38" s="11"/>
      <c r="D38" s="8"/>
      <c r="E38" s="8"/>
      <c r="G38" s="14"/>
    </row>
    <row r="39" spans="3:7" hidden="1" x14ac:dyDescent="0.3">
      <c r="C39" s="12"/>
      <c r="D39" s="9"/>
      <c r="E39" s="9"/>
      <c r="G39" s="14"/>
    </row>
    <row r="40" spans="3:7" hidden="1" x14ac:dyDescent="0.3">
      <c r="C40" s="11"/>
      <c r="D40" s="8"/>
      <c r="E40" s="8"/>
      <c r="G40" s="14"/>
    </row>
    <row r="41" spans="3:7" hidden="1" x14ac:dyDescent="0.3">
      <c r="C41" s="12"/>
      <c r="D41" s="9"/>
      <c r="E41" s="9"/>
      <c r="G41" s="14"/>
    </row>
    <row r="42" spans="3:7" hidden="1" x14ac:dyDescent="0.3">
      <c r="C42" s="11"/>
      <c r="D42" s="8"/>
      <c r="E42" s="8"/>
      <c r="G42" s="14"/>
    </row>
    <row r="43" spans="3:7" hidden="1" x14ac:dyDescent="0.3">
      <c r="C43" s="12"/>
      <c r="D43" s="9"/>
      <c r="E43" s="9"/>
      <c r="G43" s="14"/>
    </row>
    <row r="44" spans="3:7" hidden="1" x14ac:dyDescent="0.3">
      <c r="C44" s="11"/>
      <c r="D44" s="8"/>
      <c r="E44" s="8"/>
      <c r="G44" s="14"/>
    </row>
    <row r="45" spans="3:7" hidden="1" x14ac:dyDescent="0.3">
      <c r="C45" s="12"/>
      <c r="D45" s="9"/>
      <c r="E45" s="9"/>
      <c r="G45" s="14"/>
    </row>
    <row r="46" spans="3:7" hidden="1" x14ac:dyDescent="0.3">
      <c r="C46" s="11"/>
      <c r="D46" s="8"/>
      <c r="E46" s="8"/>
      <c r="G46" s="14"/>
    </row>
    <row r="47" spans="3:7" hidden="1" x14ac:dyDescent="0.3">
      <c r="C47" s="12"/>
      <c r="D47" s="9"/>
      <c r="E47" s="9"/>
      <c r="G47" s="14"/>
    </row>
    <row r="48" spans="3:7" hidden="1" x14ac:dyDescent="0.3">
      <c r="C48" s="11"/>
      <c r="D48" s="8"/>
      <c r="E48" s="8"/>
      <c r="G48" s="14"/>
    </row>
    <row r="49" spans="3:8" hidden="1" x14ac:dyDescent="0.3">
      <c r="C49" s="12"/>
      <c r="D49" s="9"/>
      <c r="E49" s="9"/>
      <c r="G49" s="14"/>
    </row>
    <row r="50" spans="3:8" hidden="1" x14ac:dyDescent="0.3">
      <c r="C50" s="11"/>
      <c r="D50" s="8"/>
      <c r="E50" s="8"/>
      <c r="G50" s="14"/>
    </row>
    <row r="51" spans="3:8" hidden="1" x14ac:dyDescent="0.3">
      <c r="C51" s="12"/>
      <c r="D51" s="9"/>
      <c r="G51" s="14"/>
    </row>
    <row r="52" spans="3:8" hidden="1" x14ac:dyDescent="0.3">
      <c r="C52" s="11" t="s">
        <v>31</v>
      </c>
      <c r="D52" s="8"/>
      <c r="F52">
        <f t="shared" ref="F52:F65" si="0">IF(IFERROR(FIND("1",C52,1),ERROR.TYPE(#VALUE!))=ERROR.TYPE(#VALUE!),$M$2,$M$1)</f>
        <v>0</v>
      </c>
      <c r="G52" s="14">
        <v>1201.969276767677</v>
      </c>
      <c r="H52">
        <f>Tabelle13[[#This Row],[Variation]]</f>
        <v>1201.969276767677</v>
      </c>
    </row>
    <row r="53" spans="3:8" hidden="1" x14ac:dyDescent="0.3">
      <c r="C53" s="12" t="s">
        <v>31</v>
      </c>
      <c r="D53" s="9"/>
      <c r="F53">
        <f t="shared" si="0"/>
        <v>0</v>
      </c>
      <c r="G53" s="14">
        <v>1203.6678303030301</v>
      </c>
    </row>
    <row r="54" spans="3:8" hidden="1" x14ac:dyDescent="0.3">
      <c r="C54" s="11" t="s">
        <v>31</v>
      </c>
      <c r="D54" s="8"/>
      <c r="F54">
        <f t="shared" si="0"/>
        <v>0</v>
      </c>
      <c r="G54" s="14">
        <v>1205.3663838383841</v>
      </c>
    </row>
    <row r="55" spans="3:8" hidden="1" x14ac:dyDescent="0.3">
      <c r="C55" s="12" t="s">
        <v>31</v>
      </c>
      <c r="D55" s="9"/>
      <c r="F55">
        <f t="shared" si="0"/>
        <v>0</v>
      </c>
      <c r="G55" s="14">
        <v>1207.0649373737369</v>
      </c>
    </row>
    <row r="56" spans="3:8" hidden="1" x14ac:dyDescent="0.3">
      <c r="C56" s="11" t="s">
        <v>31</v>
      </c>
      <c r="D56" s="8"/>
      <c r="F56">
        <f t="shared" si="0"/>
        <v>0</v>
      </c>
      <c r="G56" s="14">
        <v>1208.7634909090909</v>
      </c>
    </row>
    <row r="57" spans="3:8" hidden="1" x14ac:dyDescent="0.3">
      <c r="C57" s="12" t="s">
        <v>31</v>
      </c>
      <c r="D57" s="9"/>
      <c r="F57">
        <f t="shared" si="0"/>
        <v>0</v>
      </c>
      <c r="G57" s="14">
        <v>1210.462044444444</v>
      </c>
    </row>
    <row r="58" spans="3:8" hidden="1" x14ac:dyDescent="0.3">
      <c r="C58" s="11" t="s">
        <v>31</v>
      </c>
      <c r="D58" s="8"/>
      <c r="F58">
        <f t="shared" si="0"/>
        <v>0</v>
      </c>
      <c r="G58" s="14">
        <v>1212.160597979798</v>
      </c>
    </row>
    <row r="59" spans="3:8" hidden="1" x14ac:dyDescent="0.3">
      <c r="C59" s="12" t="s">
        <v>31</v>
      </c>
      <c r="D59" s="9"/>
      <c r="F59">
        <f t="shared" si="0"/>
        <v>0</v>
      </c>
      <c r="G59" s="14">
        <v>1213.8591515151511</v>
      </c>
    </row>
    <row r="60" spans="3:8" hidden="1" x14ac:dyDescent="0.3">
      <c r="C60" s="11" t="s">
        <v>31</v>
      </c>
      <c r="D60" s="8"/>
      <c r="F60">
        <f t="shared" si="0"/>
        <v>0</v>
      </c>
      <c r="G60" s="14">
        <v>1215.5577050505051</v>
      </c>
    </row>
    <row r="61" spans="3:8" hidden="1" x14ac:dyDescent="0.3">
      <c r="C61" s="12" t="s">
        <v>31</v>
      </c>
      <c r="D61" s="9"/>
      <c r="F61">
        <f t="shared" si="0"/>
        <v>0</v>
      </c>
      <c r="G61" s="14">
        <v>1217.2562585858579</v>
      </c>
    </row>
    <row r="62" spans="3:8" hidden="1" x14ac:dyDescent="0.3">
      <c r="C62" s="11" t="s">
        <v>31</v>
      </c>
      <c r="D62" s="8"/>
      <c r="F62">
        <f t="shared" si="0"/>
        <v>0</v>
      </c>
      <c r="G62" s="14">
        <v>1218.9548121212119</v>
      </c>
    </row>
    <row r="63" spans="3:8" hidden="1" x14ac:dyDescent="0.3">
      <c r="C63" s="12" t="s">
        <v>31</v>
      </c>
      <c r="D63" s="9"/>
      <c r="F63">
        <f t="shared" si="0"/>
        <v>0</v>
      </c>
      <c r="G63" s="14">
        <v>1220.653365656565</v>
      </c>
    </row>
    <row r="64" spans="3:8" hidden="1" x14ac:dyDescent="0.3">
      <c r="C64" s="11" t="s">
        <v>31</v>
      </c>
      <c r="D64" s="8"/>
      <c r="F64">
        <f t="shared" si="0"/>
        <v>0</v>
      </c>
      <c r="G64" s="14">
        <v>1222.351919191919</v>
      </c>
    </row>
    <row r="65" spans="3:7" hidden="1" x14ac:dyDescent="0.3">
      <c r="C65" s="12" t="s">
        <v>31</v>
      </c>
      <c r="D65" s="9"/>
      <c r="F65">
        <f t="shared" si="0"/>
        <v>0</v>
      </c>
      <c r="G65" s="14">
        <v>1224.050472727273</v>
      </c>
    </row>
    <row r="66" spans="3:7" hidden="1" x14ac:dyDescent="0.3">
      <c r="C66" s="11" t="s">
        <v>31</v>
      </c>
      <c r="D66" s="8"/>
      <c r="F66">
        <f t="shared" ref="F66:F100" si="1">IF(IFERROR(FIND("1",C66,1),ERROR.TYPE(#VALUE!))=ERROR.TYPE(#VALUE!),$M$2,$M$1)</f>
        <v>0</v>
      </c>
      <c r="G66" s="14">
        <v>1225.7490262626261</v>
      </c>
    </row>
    <row r="67" spans="3:7" hidden="1" x14ac:dyDescent="0.3">
      <c r="C67" s="12" t="s">
        <v>31</v>
      </c>
      <c r="D67" s="9"/>
      <c r="F67">
        <f t="shared" si="1"/>
        <v>0</v>
      </c>
      <c r="G67" s="14">
        <v>1227.4475797979801</v>
      </c>
    </row>
    <row r="68" spans="3:7" hidden="1" x14ac:dyDescent="0.3">
      <c r="C68" s="11" t="s">
        <v>31</v>
      </c>
      <c r="D68" s="8"/>
      <c r="F68">
        <f t="shared" si="1"/>
        <v>0</v>
      </c>
      <c r="G68" s="14">
        <v>1229.146133333333</v>
      </c>
    </row>
    <row r="69" spans="3:7" hidden="1" x14ac:dyDescent="0.3">
      <c r="C69" s="12" t="s">
        <v>31</v>
      </c>
      <c r="D69" s="9"/>
      <c r="F69">
        <f t="shared" si="1"/>
        <v>0</v>
      </c>
      <c r="G69" s="14">
        <v>1230.8446868686869</v>
      </c>
    </row>
    <row r="70" spans="3:7" hidden="1" x14ac:dyDescent="0.3">
      <c r="C70" s="11" t="s">
        <v>31</v>
      </c>
      <c r="D70" s="8"/>
      <c r="F70">
        <f t="shared" si="1"/>
        <v>0</v>
      </c>
      <c r="G70" s="14">
        <v>1232.54324040404</v>
      </c>
    </row>
    <row r="71" spans="3:7" hidden="1" x14ac:dyDescent="0.3">
      <c r="C71" s="12" t="s">
        <v>31</v>
      </c>
      <c r="D71" s="9"/>
      <c r="F71">
        <f t="shared" si="1"/>
        <v>0</v>
      </c>
      <c r="G71" s="14">
        <v>1234.241793939394</v>
      </c>
    </row>
    <row r="72" spans="3:7" hidden="1" x14ac:dyDescent="0.3">
      <c r="C72" s="11" t="s">
        <v>31</v>
      </c>
      <c r="D72" s="8"/>
      <c r="F72">
        <f t="shared" si="1"/>
        <v>0</v>
      </c>
      <c r="G72" s="14">
        <v>1235.9403474747469</v>
      </c>
    </row>
    <row r="73" spans="3:7" hidden="1" x14ac:dyDescent="0.3">
      <c r="C73" s="12" t="s">
        <v>31</v>
      </c>
      <c r="D73" s="9"/>
      <c r="F73">
        <f t="shared" si="1"/>
        <v>0</v>
      </c>
      <c r="G73" s="14">
        <v>1237.6389010101011</v>
      </c>
    </row>
    <row r="74" spans="3:7" hidden="1" x14ac:dyDescent="0.3">
      <c r="C74" s="11" t="s">
        <v>31</v>
      </c>
      <c r="D74" s="8"/>
      <c r="F74">
        <f t="shared" si="1"/>
        <v>0</v>
      </c>
      <c r="G74" s="14">
        <v>1239.337454545454</v>
      </c>
    </row>
    <row r="75" spans="3:7" hidden="1" x14ac:dyDescent="0.3">
      <c r="C75" s="12" t="s">
        <v>31</v>
      </c>
      <c r="D75" s="9"/>
      <c r="F75">
        <f t="shared" si="1"/>
        <v>0</v>
      </c>
      <c r="G75" s="14">
        <v>1241.036008080808</v>
      </c>
    </row>
    <row r="76" spans="3:7" hidden="1" x14ac:dyDescent="0.3">
      <c r="C76" s="11" t="s">
        <v>31</v>
      </c>
      <c r="D76" s="8"/>
      <c r="F76">
        <f t="shared" si="1"/>
        <v>0</v>
      </c>
      <c r="G76" s="14">
        <v>1242.734561616161</v>
      </c>
    </row>
    <row r="77" spans="3:7" hidden="1" x14ac:dyDescent="0.3">
      <c r="C77" s="12" t="s">
        <v>31</v>
      </c>
      <c r="D77" s="9"/>
      <c r="F77">
        <f t="shared" si="1"/>
        <v>0</v>
      </c>
      <c r="G77" s="14">
        <v>1244.433115151515</v>
      </c>
    </row>
    <row r="78" spans="3:7" hidden="1" x14ac:dyDescent="0.3">
      <c r="C78" s="11" t="s">
        <v>31</v>
      </c>
      <c r="D78" s="8"/>
      <c r="F78">
        <f t="shared" si="1"/>
        <v>0</v>
      </c>
      <c r="G78" s="14">
        <v>1246.131668686869</v>
      </c>
    </row>
    <row r="79" spans="3:7" hidden="1" x14ac:dyDescent="0.3">
      <c r="C79" s="12" t="s">
        <v>31</v>
      </c>
      <c r="D79" s="9"/>
      <c r="F79">
        <f t="shared" si="1"/>
        <v>0</v>
      </c>
      <c r="G79" s="14">
        <v>1247.8302222222219</v>
      </c>
    </row>
    <row r="80" spans="3:7" hidden="1" x14ac:dyDescent="0.3">
      <c r="C80" s="11" t="s">
        <v>31</v>
      </c>
      <c r="D80" s="8"/>
      <c r="F80">
        <f t="shared" si="1"/>
        <v>0</v>
      </c>
      <c r="G80" s="14">
        <v>1249.5287757575761</v>
      </c>
    </row>
    <row r="81" spans="3:7" hidden="1" x14ac:dyDescent="0.3">
      <c r="C81" s="12" t="s">
        <v>31</v>
      </c>
      <c r="D81" s="9"/>
      <c r="F81">
        <f t="shared" si="1"/>
        <v>0</v>
      </c>
      <c r="G81" s="14">
        <v>1251.227329292929</v>
      </c>
    </row>
    <row r="82" spans="3:7" hidden="1" x14ac:dyDescent="0.3">
      <c r="C82" s="11" t="s">
        <v>31</v>
      </c>
      <c r="D82" s="8"/>
      <c r="F82">
        <f t="shared" si="1"/>
        <v>0</v>
      </c>
      <c r="G82" s="14">
        <v>1252.925882828283</v>
      </c>
    </row>
    <row r="83" spans="3:7" hidden="1" x14ac:dyDescent="0.3">
      <c r="C83" s="12" t="s">
        <v>31</v>
      </c>
      <c r="D83" s="9"/>
      <c r="F83">
        <f t="shared" si="1"/>
        <v>0</v>
      </c>
      <c r="G83" s="14">
        <v>1254.6244363636361</v>
      </c>
    </row>
    <row r="84" spans="3:7" hidden="1" x14ac:dyDescent="0.3">
      <c r="C84" s="11" t="s">
        <v>31</v>
      </c>
      <c r="D84" s="8"/>
      <c r="F84">
        <f t="shared" si="1"/>
        <v>0</v>
      </c>
      <c r="G84" s="14">
        <v>1256.32298989899</v>
      </c>
    </row>
    <row r="85" spans="3:7" hidden="1" x14ac:dyDescent="0.3">
      <c r="C85" s="12" t="s">
        <v>31</v>
      </c>
      <c r="D85" s="9"/>
      <c r="F85">
        <f t="shared" si="1"/>
        <v>0</v>
      </c>
      <c r="G85" s="14">
        <v>1258.0215434343429</v>
      </c>
    </row>
    <row r="86" spans="3:7" hidden="1" x14ac:dyDescent="0.3">
      <c r="C86" s="11" t="s">
        <v>31</v>
      </c>
      <c r="D86" s="8"/>
      <c r="F86">
        <f t="shared" si="1"/>
        <v>0</v>
      </c>
      <c r="G86" s="14">
        <v>1259.7200969696969</v>
      </c>
    </row>
    <row r="87" spans="3:7" hidden="1" x14ac:dyDescent="0.3">
      <c r="C87" s="12" t="s">
        <v>31</v>
      </c>
      <c r="D87" s="9"/>
      <c r="F87">
        <f t="shared" si="1"/>
        <v>0</v>
      </c>
      <c r="G87" s="14">
        <v>1261.41865050505</v>
      </c>
    </row>
    <row r="88" spans="3:7" hidden="1" x14ac:dyDescent="0.3">
      <c r="C88" s="11" t="s">
        <v>31</v>
      </c>
      <c r="D88" s="8"/>
      <c r="F88">
        <f t="shared" si="1"/>
        <v>0</v>
      </c>
      <c r="G88" s="14">
        <v>1263.117204040404</v>
      </c>
    </row>
    <row r="89" spans="3:7" hidden="1" x14ac:dyDescent="0.3">
      <c r="C89" s="12" t="s">
        <v>31</v>
      </c>
      <c r="D89" s="9"/>
      <c r="F89">
        <f t="shared" si="1"/>
        <v>0</v>
      </c>
      <c r="G89" s="14">
        <v>1264.815757575758</v>
      </c>
    </row>
    <row r="90" spans="3:7" hidden="1" x14ac:dyDescent="0.3">
      <c r="C90" s="11" t="s">
        <v>31</v>
      </c>
      <c r="D90" s="8"/>
      <c r="F90">
        <f t="shared" si="1"/>
        <v>0</v>
      </c>
      <c r="G90" s="14">
        <v>1266.5143111111111</v>
      </c>
    </row>
    <row r="91" spans="3:7" hidden="1" x14ac:dyDescent="0.3">
      <c r="C91" s="12" t="s">
        <v>31</v>
      </c>
      <c r="D91" s="9"/>
      <c r="F91">
        <f t="shared" si="1"/>
        <v>0</v>
      </c>
      <c r="G91" s="14">
        <v>1268.2128646464651</v>
      </c>
    </row>
    <row r="92" spans="3:7" hidden="1" x14ac:dyDescent="0.3">
      <c r="C92" s="11" t="s">
        <v>31</v>
      </c>
      <c r="D92" s="8"/>
      <c r="F92">
        <f t="shared" si="1"/>
        <v>0</v>
      </c>
      <c r="G92" s="14">
        <v>1269.9114181818179</v>
      </c>
    </row>
    <row r="93" spans="3:7" hidden="1" x14ac:dyDescent="0.3">
      <c r="C93" s="12" t="s">
        <v>31</v>
      </c>
      <c r="D93" s="9"/>
      <c r="F93">
        <f t="shared" si="1"/>
        <v>0</v>
      </c>
      <c r="G93" s="14">
        <v>1271.6099717171719</v>
      </c>
    </row>
    <row r="94" spans="3:7" hidden="1" x14ac:dyDescent="0.3">
      <c r="C94" s="11" t="s">
        <v>31</v>
      </c>
      <c r="D94" s="8"/>
      <c r="F94">
        <f t="shared" si="1"/>
        <v>0</v>
      </c>
      <c r="G94" s="14">
        <v>1273.308525252525</v>
      </c>
    </row>
    <row r="95" spans="3:7" hidden="1" x14ac:dyDescent="0.3">
      <c r="C95" s="12" t="s">
        <v>31</v>
      </c>
      <c r="D95" s="9"/>
      <c r="F95">
        <f t="shared" si="1"/>
        <v>0</v>
      </c>
      <c r="G95" s="14">
        <v>1275.007078787879</v>
      </c>
    </row>
    <row r="96" spans="3:7" hidden="1" x14ac:dyDescent="0.3">
      <c r="C96" s="11" t="s">
        <v>31</v>
      </c>
      <c r="D96" s="8"/>
      <c r="F96">
        <f t="shared" si="1"/>
        <v>0</v>
      </c>
      <c r="G96" s="14">
        <v>1276.7056323232321</v>
      </c>
    </row>
    <row r="97" spans="3:7" hidden="1" x14ac:dyDescent="0.3">
      <c r="C97" s="12" t="s">
        <v>31</v>
      </c>
      <c r="D97" s="9"/>
      <c r="F97">
        <f t="shared" si="1"/>
        <v>0</v>
      </c>
      <c r="G97" s="14">
        <v>1278.4041858585861</v>
      </c>
    </row>
    <row r="98" spans="3:7" hidden="1" x14ac:dyDescent="0.3">
      <c r="C98" s="11" t="s">
        <v>31</v>
      </c>
      <c r="D98" s="8"/>
      <c r="F98">
        <f t="shared" si="1"/>
        <v>0</v>
      </c>
      <c r="G98" s="14">
        <v>1280.1027393939389</v>
      </c>
    </row>
    <row r="99" spans="3:7" hidden="1" x14ac:dyDescent="0.3">
      <c r="C99" s="12" t="s">
        <v>31</v>
      </c>
      <c r="D99" s="9"/>
      <c r="F99">
        <f t="shared" si="1"/>
        <v>0</v>
      </c>
      <c r="G99" s="14">
        <v>1281.8012929292929</v>
      </c>
    </row>
    <row r="100" spans="3:7" hidden="1" x14ac:dyDescent="0.3">
      <c r="C100" s="11" t="s">
        <v>31</v>
      </c>
      <c r="D100" s="8"/>
      <c r="F100">
        <f t="shared" si="1"/>
        <v>0</v>
      </c>
      <c r="G100" s="14">
        <v>1283.499846464646</v>
      </c>
    </row>
    <row r="101" spans="3:7" hidden="1" x14ac:dyDescent="0.3">
      <c r="C101" s="12"/>
      <c r="D101" s="9"/>
      <c r="E101" s="9"/>
      <c r="G101" s="15"/>
    </row>
    <row r="102" spans="3:7" hidden="1" x14ac:dyDescent="0.3">
      <c r="C102" s="11"/>
      <c r="D102" s="8"/>
      <c r="E102" s="8"/>
      <c r="G102" s="15"/>
    </row>
    <row r="103" spans="3:7" hidden="1" x14ac:dyDescent="0.3">
      <c r="C103" s="12"/>
      <c r="D103" s="9"/>
      <c r="E103" s="9"/>
      <c r="G103" s="15"/>
    </row>
    <row r="104" spans="3:7" hidden="1" x14ac:dyDescent="0.3">
      <c r="C104" s="11"/>
      <c r="D104" s="8"/>
      <c r="E104" s="8"/>
      <c r="G104" s="15"/>
    </row>
    <row r="105" spans="3:7" hidden="1" x14ac:dyDescent="0.3">
      <c r="C105" s="12"/>
      <c r="D105" s="9"/>
      <c r="E105" s="9"/>
      <c r="G105" s="15"/>
    </row>
    <row r="106" spans="3:7" hidden="1" x14ac:dyDescent="0.3">
      <c r="C106" s="11"/>
      <c r="D106" s="8"/>
      <c r="E106" s="8"/>
      <c r="G106" s="15"/>
    </row>
    <row r="107" spans="3:7" hidden="1" x14ac:dyDescent="0.3">
      <c r="C107" s="12"/>
      <c r="D107" s="9"/>
      <c r="E107" s="9"/>
      <c r="G107" s="15"/>
    </row>
    <row r="108" spans="3:7" hidden="1" x14ac:dyDescent="0.3">
      <c r="C108" s="11"/>
      <c r="D108" s="8"/>
      <c r="E108" s="8"/>
      <c r="G108" s="15"/>
    </row>
    <row r="109" spans="3:7" hidden="1" x14ac:dyDescent="0.3">
      <c r="C109" s="12"/>
      <c r="D109" s="9"/>
      <c r="E109" s="9"/>
      <c r="G109" s="15"/>
    </row>
    <row r="110" spans="3:7" hidden="1" x14ac:dyDescent="0.3">
      <c r="C110" s="11"/>
      <c r="D110" s="8"/>
      <c r="E110" s="8"/>
      <c r="G110" s="15"/>
    </row>
    <row r="111" spans="3:7" hidden="1" x14ac:dyDescent="0.3">
      <c r="C111" s="12"/>
      <c r="D111" s="9"/>
      <c r="E111" s="9"/>
      <c r="G111" s="15"/>
    </row>
    <row r="112" spans="3:7" hidden="1" x14ac:dyDescent="0.3">
      <c r="C112" s="11"/>
      <c r="D112" s="8"/>
      <c r="E112" s="8"/>
      <c r="G112" s="15"/>
    </row>
    <row r="113" spans="3:7" hidden="1" x14ac:dyDescent="0.3">
      <c r="C113" s="12"/>
      <c r="D113" s="9"/>
      <c r="E113" s="9"/>
      <c r="G113" s="15"/>
    </row>
    <row r="114" spans="3:7" hidden="1" x14ac:dyDescent="0.3">
      <c r="C114" s="11"/>
      <c r="D114" s="8"/>
      <c r="E114" s="8"/>
      <c r="G114" s="15"/>
    </row>
    <row r="115" spans="3:7" hidden="1" x14ac:dyDescent="0.3">
      <c r="C115" s="12"/>
      <c r="D115" s="9"/>
      <c r="E115" s="9"/>
      <c r="G115" s="15"/>
    </row>
    <row r="116" spans="3:7" hidden="1" x14ac:dyDescent="0.3">
      <c r="C116" s="11"/>
      <c r="D116" s="8"/>
      <c r="E116" s="8"/>
      <c r="G116" s="15"/>
    </row>
    <row r="117" spans="3:7" hidden="1" x14ac:dyDescent="0.3">
      <c r="C117" s="12"/>
      <c r="D117" s="9"/>
      <c r="E117" s="9"/>
      <c r="G117" s="15"/>
    </row>
    <row r="118" spans="3:7" hidden="1" x14ac:dyDescent="0.3">
      <c r="C118" s="11"/>
      <c r="D118" s="8"/>
      <c r="E118" s="8"/>
      <c r="G118" s="15"/>
    </row>
    <row r="119" spans="3:7" hidden="1" x14ac:dyDescent="0.3">
      <c r="C119" s="12"/>
      <c r="D119" s="9"/>
      <c r="E119" s="9"/>
      <c r="G119" s="15"/>
    </row>
    <row r="120" spans="3:7" hidden="1" x14ac:dyDescent="0.3">
      <c r="C120" s="11"/>
      <c r="D120" s="8"/>
      <c r="E120" s="8"/>
      <c r="G120" s="15"/>
    </row>
    <row r="121" spans="3:7" hidden="1" x14ac:dyDescent="0.3">
      <c r="C121" s="12"/>
      <c r="D121" s="9"/>
      <c r="E121" s="9"/>
      <c r="G121" s="15"/>
    </row>
    <row r="122" spans="3:7" hidden="1" x14ac:dyDescent="0.3">
      <c r="C122" s="11"/>
      <c r="D122" s="8"/>
      <c r="E122" s="8"/>
      <c r="G122" s="15"/>
    </row>
    <row r="123" spans="3:7" hidden="1" x14ac:dyDescent="0.3">
      <c r="C123" s="12"/>
      <c r="D123" s="9"/>
      <c r="E123" s="9"/>
      <c r="G123" s="15"/>
    </row>
    <row r="124" spans="3:7" hidden="1" x14ac:dyDescent="0.3">
      <c r="C124" s="11"/>
      <c r="D124" s="8"/>
      <c r="E124" s="8"/>
      <c r="G124" s="15"/>
    </row>
    <row r="125" spans="3:7" hidden="1" x14ac:dyDescent="0.3">
      <c r="C125" s="12"/>
      <c r="D125" s="9"/>
      <c r="E125" s="9"/>
      <c r="G125" s="15"/>
    </row>
    <row r="126" spans="3:7" hidden="1" x14ac:dyDescent="0.3">
      <c r="C126" s="11"/>
      <c r="D126" s="8"/>
      <c r="E126" s="8"/>
      <c r="G126" s="15"/>
    </row>
    <row r="127" spans="3:7" hidden="1" x14ac:dyDescent="0.3">
      <c r="C127" s="12"/>
      <c r="D127" s="9"/>
      <c r="E127" s="9"/>
      <c r="G127" s="15"/>
    </row>
    <row r="128" spans="3:7" hidden="1" x14ac:dyDescent="0.3">
      <c r="C128" s="11"/>
      <c r="D128" s="8"/>
      <c r="E128" s="8"/>
      <c r="G128" s="15"/>
    </row>
    <row r="129" spans="3:7" hidden="1" x14ac:dyDescent="0.3">
      <c r="C129" s="12"/>
      <c r="D129" s="9"/>
      <c r="E129" s="9"/>
      <c r="G129" s="15"/>
    </row>
    <row r="130" spans="3:7" hidden="1" x14ac:dyDescent="0.3">
      <c r="C130" s="11"/>
      <c r="D130" s="8"/>
      <c r="E130" s="8"/>
      <c r="G130" s="15"/>
    </row>
    <row r="131" spans="3:7" hidden="1" x14ac:dyDescent="0.3">
      <c r="C131" s="12"/>
      <c r="D131" s="9"/>
      <c r="E131" s="9"/>
      <c r="G131" s="15"/>
    </row>
    <row r="132" spans="3:7" hidden="1" x14ac:dyDescent="0.3">
      <c r="C132" s="11"/>
      <c r="D132" s="8"/>
      <c r="E132" s="8"/>
      <c r="G132" s="15"/>
    </row>
    <row r="133" spans="3:7" hidden="1" x14ac:dyDescent="0.3">
      <c r="C133" s="12"/>
      <c r="D133" s="9"/>
      <c r="E133" s="9"/>
      <c r="G133" s="15"/>
    </row>
    <row r="134" spans="3:7" hidden="1" x14ac:dyDescent="0.3">
      <c r="C134" s="11"/>
      <c r="D134" s="8"/>
      <c r="E134" s="8"/>
      <c r="G134" s="15"/>
    </row>
    <row r="135" spans="3:7" hidden="1" x14ac:dyDescent="0.3">
      <c r="C135" s="12"/>
      <c r="D135" s="9"/>
      <c r="E135" s="9"/>
      <c r="G135" s="15"/>
    </row>
    <row r="136" spans="3:7" hidden="1" x14ac:dyDescent="0.3">
      <c r="C136" s="11"/>
      <c r="D136" s="8"/>
      <c r="E136" s="8"/>
      <c r="G136" s="15"/>
    </row>
    <row r="137" spans="3:7" hidden="1" x14ac:dyDescent="0.3">
      <c r="C137" s="12"/>
      <c r="D137" s="9"/>
      <c r="E137" s="9"/>
      <c r="G137" s="15"/>
    </row>
    <row r="138" spans="3:7" hidden="1" x14ac:dyDescent="0.3">
      <c r="C138" s="11"/>
      <c r="D138" s="8"/>
      <c r="E138" s="8"/>
      <c r="G138" s="15"/>
    </row>
    <row r="139" spans="3:7" hidden="1" x14ac:dyDescent="0.3">
      <c r="C139" s="12"/>
      <c r="D139" s="9"/>
      <c r="E139" s="9"/>
      <c r="G139" s="15"/>
    </row>
    <row r="140" spans="3:7" hidden="1" x14ac:dyDescent="0.3">
      <c r="C140" s="11"/>
      <c r="D140" s="8"/>
      <c r="E140" s="8"/>
      <c r="G140" s="15"/>
    </row>
    <row r="141" spans="3:7" hidden="1" x14ac:dyDescent="0.3">
      <c r="C141" s="12"/>
      <c r="D141" s="9"/>
      <c r="E141" s="9"/>
      <c r="G141" s="15"/>
    </row>
    <row r="142" spans="3:7" hidden="1" x14ac:dyDescent="0.3">
      <c r="C142" s="11"/>
      <c r="D142" s="8"/>
      <c r="E142" s="8"/>
      <c r="G142" s="15"/>
    </row>
    <row r="143" spans="3:7" hidden="1" x14ac:dyDescent="0.3">
      <c r="C143" s="12"/>
      <c r="D143" s="9"/>
      <c r="E143" s="9"/>
      <c r="G143" s="15"/>
    </row>
    <row r="144" spans="3:7" hidden="1" x14ac:dyDescent="0.3">
      <c r="C144" s="11"/>
      <c r="D144" s="8"/>
      <c r="E144" s="8"/>
      <c r="G144" s="15"/>
    </row>
    <row r="145" spans="3:8" hidden="1" x14ac:dyDescent="0.3">
      <c r="C145" s="12"/>
      <c r="D145" s="9"/>
      <c r="E145" s="9"/>
      <c r="G145" s="15"/>
    </row>
    <row r="146" spans="3:8" hidden="1" x14ac:dyDescent="0.3">
      <c r="C146" s="11"/>
      <c r="D146" s="8"/>
      <c r="E146" s="8"/>
      <c r="G146" s="15"/>
    </row>
    <row r="147" spans="3:8" hidden="1" x14ac:dyDescent="0.3">
      <c r="C147" s="12"/>
      <c r="D147" s="9"/>
      <c r="E147" s="9"/>
      <c r="G147" s="15"/>
    </row>
    <row r="148" spans="3:8" hidden="1" x14ac:dyDescent="0.3">
      <c r="C148" s="11"/>
      <c r="D148" s="8"/>
      <c r="E148" s="8"/>
      <c r="G148" s="15"/>
    </row>
    <row r="149" spans="3:8" hidden="1" x14ac:dyDescent="0.3">
      <c r="C149" s="12"/>
      <c r="D149" s="9"/>
      <c r="E149" s="9"/>
      <c r="G149" s="15"/>
    </row>
    <row r="150" spans="3:8" hidden="1" x14ac:dyDescent="0.3">
      <c r="C150" s="11"/>
      <c r="D150" s="8"/>
      <c r="E150" s="8"/>
      <c r="G150" s="15"/>
    </row>
    <row r="151" spans="3:8" hidden="1" x14ac:dyDescent="0.3">
      <c r="C151" s="12" t="s">
        <v>0</v>
      </c>
      <c r="D151" s="8"/>
      <c r="F151">
        <f t="shared" ref="F151:F193" si="2">IF(IFERROR(FIND("1",C151,1),ERROR.TYPE(#VALUE!))=ERROR.TYPE(#VALUE!),$M$2,$M$1)</f>
        <v>0</v>
      </c>
      <c r="G151" s="15">
        <v>1201.969276767677</v>
      </c>
      <c r="H151">
        <f>Tabelle13[[#This Row],[Variation]]</f>
        <v>1201.969276767677</v>
      </c>
    </row>
    <row r="152" spans="3:8" hidden="1" x14ac:dyDescent="0.3">
      <c r="C152" s="11" t="s">
        <v>0</v>
      </c>
      <c r="D152" s="8"/>
      <c r="F152">
        <f t="shared" si="2"/>
        <v>0</v>
      </c>
      <c r="G152" s="15">
        <v>1203.6678303030301</v>
      </c>
    </row>
    <row r="153" spans="3:8" hidden="1" x14ac:dyDescent="0.3">
      <c r="C153" s="12" t="s">
        <v>0</v>
      </c>
      <c r="D153" s="8"/>
      <c r="F153">
        <f t="shared" si="2"/>
        <v>0</v>
      </c>
      <c r="G153" s="15">
        <v>1205.3663838383841</v>
      </c>
    </row>
    <row r="154" spans="3:8" hidden="1" x14ac:dyDescent="0.3">
      <c r="C154" s="11" t="s">
        <v>0</v>
      </c>
      <c r="D154" s="8"/>
      <c r="F154">
        <f t="shared" si="2"/>
        <v>0</v>
      </c>
      <c r="G154" s="15">
        <v>1207.0649373737369</v>
      </c>
    </row>
    <row r="155" spans="3:8" hidden="1" x14ac:dyDescent="0.3">
      <c r="C155" s="12" t="s">
        <v>0</v>
      </c>
      <c r="D155" s="8"/>
      <c r="F155">
        <f t="shared" si="2"/>
        <v>0</v>
      </c>
      <c r="G155" s="15">
        <v>1208.7634909090909</v>
      </c>
    </row>
    <row r="156" spans="3:8" hidden="1" x14ac:dyDescent="0.3">
      <c r="C156" s="11" t="s">
        <v>0</v>
      </c>
      <c r="D156" s="8"/>
      <c r="F156">
        <f t="shared" si="2"/>
        <v>0</v>
      </c>
      <c r="G156" s="15">
        <v>1210.462044444444</v>
      </c>
    </row>
    <row r="157" spans="3:8" hidden="1" x14ac:dyDescent="0.3">
      <c r="C157" s="12" t="s">
        <v>0</v>
      </c>
      <c r="D157" s="8"/>
      <c r="F157">
        <f t="shared" si="2"/>
        <v>0</v>
      </c>
      <c r="G157" s="15">
        <v>1212.160597979798</v>
      </c>
    </row>
    <row r="158" spans="3:8" hidden="1" x14ac:dyDescent="0.3">
      <c r="C158" s="11" t="s">
        <v>0</v>
      </c>
      <c r="D158" s="8"/>
      <c r="F158">
        <f t="shared" si="2"/>
        <v>0</v>
      </c>
      <c r="G158" s="15">
        <v>1213.8591515151511</v>
      </c>
    </row>
    <row r="159" spans="3:8" hidden="1" x14ac:dyDescent="0.3">
      <c r="C159" s="12" t="s">
        <v>0</v>
      </c>
      <c r="D159" s="8"/>
      <c r="F159">
        <f t="shared" si="2"/>
        <v>0</v>
      </c>
      <c r="G159" s="15">
        <v>1215.5577050505051</v>
      </c>
    </row>
    <row r="160" spans="3:8" hidden="1" x14ac:dyDescent="0.3">
      <c r="C160" s="11" t="s">
        <v>0</v>
      </c>
      <c r="D160" s="8"/>
      <c r="F160">
        <f t="shared" si="2"/>
        <v>0</v>
      </c>
      <c r="G160" s="15">
        <v>1217.2562585858579</v>
      </c>
    </row>
    <row r="161" spans="3:7" hidden="1" x14ac:dyDescent="0.3">
      <c r="C161" s="12" t="s">
        <v>0</v>
      </c>
      <c r="D161" s="8"/>
      <c r="F161">
        <f t="shared" si="2"/>
        <v>0</v>
      </c>
      <c r="G161" s="15">
        <v>1218.9548121212119</v>
      </c>
    </row>
    <row r="162" spans="3:7" hidden="1" x14ac:dyDescent="0.3">
      <c r="C162" s="11" t="s">
        <v>0</v>
      </c>
      <c r="D162" s="8"/>
      <c r="F162">
        <f t="shared" si="2"/>
        <v>0</v>
      </c>
      <c r="G162" s="15">
        <v>1220.653365656565</v>
      </c>
    </row>
    <row r="163" spans="3:7" hidden="1" x14ac:dyDescent="0.3">
      <c r="C163" s="12" t="s">
        <v>0</v>
      </c>
      <c r="D163" s="8"/>
      <c r="F163">
        <f t="shared" si="2"/>
        <v>0</v>
      </c>
      <c r="G163" s="15">
        <v>1222.351919191919</v>
      </c>
    </row>
    <row r="164" spans="3:7" hidden="1" x14ac:dyDescent="0.3">
      <c r="C164" s="11" t="s">
        <v>0</v>
      </c>
      <c r="D164" s="8"/>
      <c r="F164">
        <f t="shared" si="2"/>
        <v>0</v>
      </c>
      <c r="G164" s="15">
        <v>1224.050472727273</v>
      </c>
    </row>
    <row r="165" spans="3:7" hidden="1" x14ac:dyDescent="0.3">
      <c r="C165" s="12" t="s">
        <v>0</v>
      </c>
      <c r="D165" s="8"/>
      <c r="F165">
        <f t="shared" si="2"/>
        <v>0</v>
      </c>
      <c r="G165" s="15">
        <v>1225.7490262626261</v>
      </c>
    </row>
    <row r="166" spans="3:7" hidden="1" x14ac:dyDescent="0.3">
      <c r="C166" s="11" t="s">
        <v>0</v>
      </c>
      <c r="D166" s="8"/>
      <c r="F166">
        <f t="shared" si="2"/>
        <v>0</v>
      </c>
      <c r="G166" s="15">
        <v>1227.4475797979801</v>
      </c>
    </row>
    <row r="167" spans="3:7" hidden="1" x14ac:dyDescent="0.3">
      <c r="C167" s="12" t="s">
        <v>0</v>
      </c>
      <c r="D167" s="8"/>
      <c r="F167">
        <f t="shared" si="2"/>
        <v>0</v>
      </c>
      <c r="G167" s="15">
        <v>1229.146133333333</v>
      </c>
    </row>
    <row r="168" spans="3:7" hidden="1" x14ac:dyDescent="0.3">
      <c r="C168" s="11" t="s">
        <v>0</v>
      </c>
      <c r="D168" s="8"/>
      <c r="F168">
        <f t="shared" si="2"/>
        <v>0</v>
      </c>
      <c r="G168" s="15">
        <v>1230.8446868686869</v>
      </c>
    </row>
    <row r="169" spans="3:7" hidden="1" x14ac:dyDescent="0.3">
      <c r="C169" s="12" t="s">
        <v>0</v>
      </c>
      <c r="D169" s="8"/>
      <c r="F169">
        <f t="shared" si="2"/>
        <v>0</v>
      </c>
      <c r="G169" s="15">
        <v>1232.54324040404</v>
      </c>
    </row>
    <row r="170" spans="3:7" hidden="1" x14ac:dyDescent="0.3">
      <c r="C170" s="11" t="s">
        <v>0</v>
      </c>
      <c r="D170" s="8"/>
      <c r="F170">
        <f t="shared" si="2"/>
        <v>0</v>
      </c>
      <c r="G170" s="15">
        <v>1234.241793939394</v>
      </c>
    </row>
    <row r="171" spans="3:7" hidden="1" x14ac:dyDescent="0.3">
      <c r="C171" s="12" t="s">
        <v>0</v>
      </c>
      <c r="D171" s="8"/>
      <c r="F171">
        <f t="shared" si="2"/>
        <v>0</v>
      </c>
      <c r="G171" s="15">
        <v>1235.9403474747469</v>
      </c>
    </row>
    <row r="172" spans="3:7" hidden="1" x14ac:dyDescent="0.3">
      <c r="C172" s="11" t="s">
        <v>0</v>
      </c>
      <c r="D172" s="8"/>
      <c r="F172">
        <f t="shared" si="2"/>
        <v>0</v>
      </c>
      <c r="G172" s="15">
        <v>1237.6389010101011</v>
      </c>
    </row>
    <row r="173" spans="3:7" hidden="1" x14ac:dyDescent="0.3">
      <c r="C173" s="12" t="s">
        <v>0</v>
      </c>
      <c r="D173" s="8"/>
      <c r="F173">
        <f t="shared" si="2"/>
        <v>0</v>
      </c>
      <c r="G173" s="15">
        <v>1239.337454545454</v>
      </c>
    </row>
    <row r="174" spans="3:7" hidden="1" x14ac:dyDescent="0.3">
      <c r="C174" s="11" t="s">
        <v>0</v>
      </c>
      <c r="D174" s="8"/>
      <c r="F174">
        <f t="shared" si="2"/>
        <v>0</v>
      </c>
      <c r="G174" s="15">
        <v>1241.036008080808</v>
      </c>
    </row>
    <row r="175" spans="3:7" hidden="1" x14ac:dyDescent="0.3">
      <c r="C175" s="12" t="s">
        <v>0</v>
      </c>
      <c r="D175" s="8"/>
      <c r="F175">
        <f t="shared" si="2"/>
        <v>0</v>
      </c>
      <c r="G175" s="15">
        <v>1242.734561616161</v>
      </c>
    </row>
    <row r="176" spans="3:7" hidden="1" x14ac:dyDescent="0.3">
      <c r="C176" s="11" t="s">
        <v>0</v>
      </c>
      <c r="D176" s="8"/>
      <c r="F176">
        <f t="shared" si="2"/>
        <v>0</v>
      </c>
      <c r="G176" s="15">
        <v>1244.433115151515</v>
      </c>
    </row>
    <row r="177" spans="3:7" hidden="1" x14ac:dyDescent="0.3">
      <c r="C177" s="12" t="s">
        <v>0</v>
      </c>
      <c r="D177" s="8"/>
      <c r="F177">
        <f t="shared" si="2"/>
        <v>0</v>
      </c>
      <c r="G177" s="15">
        <v>1246.131668686869</v>
      </c>
    </row>
    <row r="178" spans="3:7" hidden="1" x14ac:dyDescent="0.3">
      <c r="C178" s="11" t="s">
        <v>0</v>
      </c>
      <c r="D178" s="8"/>
      <c r="F178">
        <f t="shared" si="2"/>
        <v>0</v>
      </c>
      <c r="G178" s="15">
        <v>1247.8302222222219</v>
      </c>
    </row>
    <row r="179" spans="3:7" hidden="1" x14ac:dyDescent="0.3">
      <c r="C179" s="12" t="s">
        <v>0</v>
      </c>
      <c r="D179" s="8"/>
      <c r="F179">
        <f t="shared" si="2"/>
        <v>0</v>
      </c>
      <c r="G179" s="15">
        <v>1249.5287757575761</v>
      </c>
    </row>
    <row r="180" spans="3:7" hidden="1" x14ac:dyDescent="0.3">
      <c r="C180" s="11" t="s">
        <v>0</v>
      </c>
      <c r="D180" s="8"/>
      <c r="F180">
        <f t="shared" si="2"/>
        <v>0</v>
      </c>
      <c r="G180" s="15">
        <v>1251.227329292929</v>
      </c>
    </row>
    <row r="181" spans="3:7" hidden="1" x14ac:dyDescent="0.3">
      <c r="C181" s="12" t="s">
        <v>0</v>
      </c>
      <c r="D181" s="8"/>
      <c r="F181">
        <f t="shared" si="2"/>
        <v>0</v>
      </c>
      <c r="G181" s="15">
        <v>1252.925882828283</v>
      </c>
    </row>
    <row r="182" spans="3:7" hidden="1" x14ac:dyDescent="0.3">
      <c r="C182" s="11" t="s">
        <v>0</v>
      </c>
      <c r="D182" s="8"/>
      <c r="F182">
        <f t="shared" si="2"/>
        <v>0</v>
      </c>
      <c r="G182" s="15">
        <v>1254.6244363636361</v>
      </c>
    </row>
    <row r="183" spans="3:7" hidden="1" x14ac:dyDescent="0.3">
      <c r="C183" s="12" t="s">
        <v>0</v>
      </c>
      <c r="D183" s="8"/>
      <c r="F183">
        <f t="shared" si="2"/>
        <v>0</v>
      </c>
      <c r="G183" s="15">
        <v>1256.32298989899</v>
      </c>
    </row>
    <row r="184" spans="3:7" hidden="1" x14ac:dyDescent="0.3">
      <c r="C184" s="11" t="s">
        <v>0</v>
      </c>
      <c r="D184" s="8"/>
      <c r="F184">
        <f t="shared" si="2"/>
        <v>0</v>
      </c>
      <c r="G184" s="15">
        <v>1258.0215434343429</v>
      </c>
    </row>
    <row r="185" spans="3:7" hidden="1" x14ac:dyDescent="0.3">
      <c r="C185" s="12" t="s">
        <v>0</v>
      </c>
      <c r="D185" s="8"/>
      <c r="F185">
        <f t="shared" si="2"/>
        <v>0</v>
      </c>
      <c r="G185" s="15">
        <v>1259.7200969696969</v>
      </c>
    </row>
    <row r="186" spans="3:7" hidden="1" x14ac:dyDescent="0.3">
      <c r="C186" s="11" t="s">
        <v>0</v>
      </c>
      <c r="D186" s="8"/>
      <c r="F186">
        <f t="shared" si="2"/>
        <v>0</v>
      </c>
      <c r="G186" s="15">
        <v>1261.41865050505</v>
      </c>
    </row>
    <row r="187" spans="3:7" hidden="1" x14ac:dyDescent="0.3">
      <c r="C187" s="12" t="s">
        <v>0</v>
      </c>
      <c r="D187" s="8"/>
      <c r="F187">
        <f t="shared" si="2"/>
        <v>0</v>
      </c>
      <c r="G187" s="15">
        <v>1263.117204040404</v>
      </c>
    </row>
    <row r="188" spans="3:7" hidden="1" x14ac:dyDescent="0.3">
      <c r="C188" s="11" t="s">
        <v>0</v>
      </c>
      <c r="D188" s="8"/>
      <c r="F188">
        <f t="shared" si="2"/>
        <v>0</v>
      </c>
      <c r="G188" s="15">
        <v>1264.815757575758</v>
      </c>
    </row>
    <row r="189" spans="3:7" hidden="1" x14ac:dyDescent="0.3">
      <c r="C189" s="12" t="s">
        <v>0</v>
      </c>
      <c r="D189" s="8"/>
      <c r="F189">
        <f t="shared" si="2"/>
        <v>0</v>
      </c>
      <c r="G189" s="15">
        <v>1266.5143111111111</v>
      </c>
    </row>
    <row r="190" spans="3:7" hidden="1" x14ac:dyDescent="0.3">
      <c r="C190" s="11" t="s">
        <v>0</v>
      </c>
      <c r="D190" s="8"/>
      <c r="F190">
        <f t="shared" si="2"/>
        <v>0</v>
      </c>
      <c r="G190" s="15">
        <v>1268.2128646464651</v>
      </c>
    </row>
    <row r="191" spans="3:7" hidden="1" x14ac:dyDescent="0.3">
      <c r="C191" s="12" t="s">
        <v>0</v>
      </c>
      <c r="D191" s="8"/>
      <c r="F191">
        <f t="shared" si="2"/>
        <v>0</v>
      </c>
      <c r="G191" s="15">
        <v>1269.9114181818179</v>
      </c>
    </row>
    <row r="192" spans="3:7" hidden="1" x14ac:dyDescent="0.3">
      <c r="C192" s="11" t="s">
        <v>0</v>
      </c>
      <c r="D192" s="8"/>
      <c r="F192">
        <f t="shared" si="2"/>
        <v>0</v>
      </c>
      <c r="G192" s="15">
        <v>1271.6099717171719</v>
      </c>
    </row>
    <row r="193" spans="3:7" hidden="1" x14ac:dyDescent="0.3">
      <c r="C193" s="12" t="s">
        <v>0</v>
      </c>
      <c r="D193" s="8"/>
      <c r="F193">
        <f t="shared" si="2"/>
        <v>0</v>
      </c>
      <c r="G193" s="15">
        <v>1273.308525252525</v>
      </c>
    </row>
    <row r="194" spans="3:7" hidden="1" x14ac:dyDescent="0.3">
      <c r="C194" s="11" t="s">
        <v>0</v>
      </c>
      <c r="D194" s="8"/>
      <c r="F194">
        <f t="shared" ref="F194:F257" si="3">IF(IFERROR(FIND("1",C194,1),ERROR.TYPE(#VALUE!))=ERROR.TYPE(#VALUE!),$M$2,$M$1)</f>
        <v>0</v>
      </c>
      <c r="G194" s="15">
        <v>1275.007078787879</v>
      </c>
    </row>
    <row r="195" spans="3:7" hidden="1" x14ac:dyDescent="0.3">
      <c r="C195" s="12" t="s">
        <v>0</v>
      </c>
      <c r="D195" s="8"/>
      <c r="F195">
        <f t="shared" si="3"/>
        <v>0</v>
      </c>
      <c r="G195" s="15">
        <v>1276.7056323232321</v>
      </c>
    </row>
    <row r="196" spans="3:7" hidden="1" x14ac:dyDescent="0.3">
      <c r="C196" s="11" t="s">
        <v>0</v>
      </c>
      <c r="D196" s="8"/>
      <c r="F196">
        <f t="shared" si="3"/>
        <v>0</v>
      </c>
      <c r="G196" s="15">
        <v>1278.4041858585861</v>
      </c>
    </row>
    <row r="197" spans="3:7" hidden="1" x14ac:dyDescent="0.3">
      <c r="C197" s="12" t="s">
        <v>0</v>
      </c>
      <c r="D197" s="8"/>
      <c r="F197">
        <f t="shared" si="3"/>
        <v>0</v>
      </c>
      <c r="G197" s="15">
        <v>1280.1027393939389</v>
      </c>
    </row>
    <row r="198" spans="3:7" hidden="1" x14ac:dyDescent="0.3">
      <c r="C198" s="11" t="s">
        <v>0</v>
      </c>
      <c r="D198" s="8"/>
      <c r="F198">
        <f t="shared" si="3"/>
        <v>0</v>
      </c>
      <c r="G198" s="15">
        <v>1281.8012929292929</v>
      </c>
    </row>
    <row r="199" spans="3:7" hidden="1" x14ac:dyDescent="0.3">
      <c r="C199" s="12" t="s">
        <v>0</v>
      </c>
      <c r="D199" s="8"/>
      <c r="F199">
        <f t="shared" si="3"/>
        <v>0</v>
      </c>
      <c r="G199" s="15">
        <v>1283.499846464646</v>
      </c>
    </row>
    <row r="200" spans="3:7" hidden="1" x14ac:dyDescent="0.3">
      <c r="C200" s="11" t="s">
        <v>0</v>
      </c>
      <c r="D200" s="8"/>
      <c r="F200">
        <f t="shared" si="3"/>
        <v>0</v>
      </c>
      <c r="G200" s="15">
        <v>1285.1984</v>
      </c>
    </row>
    <row r="201" spans="3:7" hidden="1" x14ac:dyDescent="0.3">
      <c r="C201" s="12"/>
      <c r="D201" s="9"/>
      <c r="E201" s="8"/>
      <c r="G201" s="16"/>
    </row>
    <row r="202" spans="3:7" hidden="1" x14ac:dyDescent="0.3">
      <c r="C202" s="11"/>
      <c r="D202" s="8"/>
      <c r="E202" s="9"/>
      <c r="G202" s="16"/>
    </row>
    <row r="203" spans="3:7" hidden="1" x14ac:dyDescent="0.3">
      <c r="C203" s="12"/>
      <c r="D203" s="9"/>
      <c r="E203" s="8"/>
      <c r="G203" s="16"/>
    </row>
    <row r="204" spans="3:7" hidden="1" x14ac:dyDescent="0.3">
      <c r="C204" s="11"/>
      <c r="D204" s="8"/>
      <c r="E204" s="9"/>
      <c r="G204" s="16"/>
    </row>
    <row r="205" spans="3:7" hidden="1" x14ac:dyDescent="0.3">
      <c r="C205" s="12"/>
      <c r="D205" s="9"/>
      <c r="E205" s="8"/>
      <c r="G205" s="16"/>
    </row>
    <row r="206" spans="3:7" hidden="1" x14ac:dyDescent="0.3">
      <c r="C206" s="11"/>
      <c r="D206" s="8"/>
      <c r="E206" s="9"/>
      <c r="G206" s="16"/>
    </row>
    <row r="207" spans="3:7" hidden="1" x14ac:dyDescent="0.3">
      <c r="C207" s="12"/>
      <c r="D207" s="9"/>
      <c r="E207" s="8"/>
      <c r="G207" s="16"/>
    </row>
    <row r="208" spans="3:7" hidden="1" x14ac:dyDescent="0.3">
      <c r="C208" s="11"/>
      <c r="D208" s="8"/>
      <c r="E208" s="9"/>
      <c r="G208" s="16"/>
    </row>
    <row r="209" spans="3:7" hidden="1" x14ac:dyDescent="0.3">
      <c r="C209" s="12"/>
      <c r="D209" s="9"/>
      <c r="E209" s="8"/>
      <c r="G209" s="16"/>
    </row>
    <row r="210" spans="3:7" hidden="1" x14ac:dyDescent="0.3">
      <c r="C210" s="11"/>
      <c r="D210" s="8"/>
      <c r="E210" s="9"/>
      <c r="G210" s="16"/>
    </row>
    <row r="211" spans="3:7" hidden="1" x14ac:dyDescent="0.3">
      <c r="C211" s="12"/>
      <c r="D211" s="9"/>
      <c r="E211" s="8"/>
      <c r="G211" s="16"/>
    </row>
    <row r="212" spans="3:7" hidden="1" x14ac:dyDescent="0.3">
      <c r="C212" s="11"/>
      <c r="D212" s="8"/>
      <c r="E212" s="9"/>
      <c r="G212" s="16"/>
    </row>
    <row r="213" spans="3:7" hidden="1" x14ac:dyDescent="0.3">
      <c r="C213" s="12"/>
      <c r="D213" s="9"/>
      <c r="E213" s="8"/>
      <c r="G213" s="16"/>
    </row>
    <row r="214" spans="3:7" hidden="1" x14ac:dyDescent="0.3">
      <c r="C214" s="11"/>
      <c r="D214" s="8"/>
      <c r="E214" s="9"/>
      <c r="G214" s="16"/>
    </row>
    <row r="215" spans="3:7" hidden="1" x14ac:dyDescent="0.3">
      <c r="C215" s="12"/>
      <c r="D215" s="9"/>
      <c r="E215" s="8"/>
      <c r="G215" s="16"/>
    </row>
    <row r="216" spans="3:7" hidden="1" x14ac:dyDescent="0.3">
      <c r="C216" s="11"/>
      <c r="D216" s="8"/>
      <c r="E216" s="9"/>
      <c r="G216" s="16"/>
    </row>
    <row r="217" spans="3:7" hidden="1" x14ac:dyDescent="0.3">
      <c r="C217" s="12"/>
      <c r="D217" s="9"/>
      <c r="E217" s="8"/>
      <c r="G217" s="16"/>
    </row>
    <row r="218" spans="3:7" hidden="1" x14ac:dyDescent="0.3">
      <c r="C218" s="11"/>
      <c r="D218" s="8"/>
      <c r="E218" s="9"/>
      <c r="G218" s="16"/>
    </row>
    <row r="219" spans="3:7" hidden="1" x14ac:dyDescent="0.3">
      <c r="C219" s="12"/>
      <c r="D219" s="9"/>
      <c r="E219" s="8"/>
      <c r="G219" s="16"/>
    </row>
    <row r="220" spans="3:7" hidden="1" x14ac:dyDescent="0.3">
      <c r="C220" s="11"/>
      <c r="D220" s="8"/>
      <c r="E220" s="9"/>
      <c r="G220" s="16"/>
    </row>
    <row r="221" spans="3:7" hidden="1" x14ac:dyDescent="0.3">
      <c r="C221" s="12"/>
      <c r="D221" s="9"/>
      <c r="E221" s="8"/>
      <c r="G221" s="16"/>
    </row>
    <row r="222" spans="3:7" hidden="1" x14ac:dyDescent="0.3">
      <c r="C222" s="11"/>
      <c r="D222" s="8"/>
      <c r="E222" s="9"/>
      <c r="G222" s="16"/>
    </row>
    <row r="223" spans="3:7" hidden="1" x14ac:dyDescent="0.3">
      <c r="C223" s="12"/>
      <c r="D223" s="9"/>
      <c r="E223" s="8"/>
      <c r="G223" s="16"/>
    </row>
    <row r="224" spans="3:7" hidden="1" x14ac:dyDescent="0.3">
      <c r="C224" s="11"/>
      <c r="D224" s="8"/>
      <c r="E224" s="9"/>
      <c r="G224" s="16"/>
    </row>
    <row r="225" spans="3:7" hidden="1" x14ac:dyDescent="0.3">
      <c r="C225" s="12"/>
      <c r="D225" s="9"/>
      <c r="E225" s="8"/>
      <c r="G225" s="16"/>
    </row>
    <row r="226" spans="3:7" hidden="1" x14ac:dyDescent="0.3">
      <c r="C226" s="11"/>
      <c r="D226" s="8"/>
      <c r="E226" s="9"/>
      <c r="G226" s="16"/>
    </row>
    <row r="227" spans="3:7" hidden="1" x14ac:dyDescent="0.3">
      <c r="C227" s="12"/>
      <c r="D227" s="9"/>
      <c r="E227" s="8"/>
      <c r="G227" s="16"/>
    </row>
    <row r="228" spans="3:7" hidden="1" x14ac:dyDescent="0.3">
      <c r="C228" s="11"/>
      <c r="D228" s="8"/>
      <c r="E228" s="9"/>
      <c r="G228" s="16"/>
    </row>
    <row r="229" spans="3:7" hidden="1" x14ac:dyDescent="0.3">
      <c r="C229" s="12"/>
      <c r="D229" s="9"/>
      <c r="E229" s="8"/>
      <c r="G229" s="16"/>
    </row>
    <row r="230" spans="3:7" hidden="1" x14ac:dyDescent="0.3">
      <c r="C230" s="11"/>
      <c r="D230" s="8"/>
      <c r="E230" s="9"/>
      <c r="G230" s="16"/>
    </row>
    <row r="231" spans="3:7" hidden="1" x14ac:dyDescent="0.3">
      <c r="C231" s="12"/>
      <c r="D231" s="9"/>
      <c r="E231" s="8"/>
      <c r="G231" s="16"/>
    </row>
    <row r="232" spans="3:7" hidden="1" x14ac:dyDescent="0.3">
      <c r="C232" s="11"/>
      <c r="D232" s="8"/>
      <c r="E232" s="9"/>
      <c r="G232" s="16"/>
    </row>
    <row r="233" spans="3:7" hidden="1" x14ac:dyDescent="0.3">
      <c r="C233" s="12"/>
      <c r="D233" s="9"/>
      <c r="E233" s="8"/>
      <c r="G233" s="16"/>
    </row>
    <row r="234" spans="3:7" hidden="1" x14ac:dyDescent="0.3">
      <c r="C234" s="11"/>
      <c r="D234" s="8"/>
      <c r="E234" s="9"/>
      <c r="G234" s="16"/>
    </row>
    <row r="235" spans="3:7" hidden="1" x14ac:dyDescent="0.3">
      <c r="C235" s="12"/>
      <c r="D235" s="9"/>
      <c r="E235" s="8"/>
      <c r="G235" s="16"/>
    </row>
    <row r="236" spans="3:7" hidden="1" x14ac:dyDescent="0.3">
      <c r="C236" s="11"/>
      <c r="D236" s="8"/>
      <c r="E236" s="9"/>
      <c r="G236" s="16"/>
    </row>
    <row r="237" spans="3:7" hidden="1" x14ac:dyDescent="0.3">
      <c r="C237" s="12"/>
      <c r="D237" s="9"/>
      <c r="E237" s="8"/>
      <c r="G237" s="16"/>
    </row>
    <row r="238" spans="3:7" hidden="1" x14ac:dyDescent="0.3">
      <c r="C238" s="11"/>
      <c r="D238" s="8"/>
      <c r="E238" s="9"/>
      <c r="G238" s="16"/>
    </row>
    <row r="239" spans="3:7" hidden="1" x14ac:dyDescent="0.3">
      <c r="C239" s="12"/>
      <c r="D239" s="9"/>
      <c r="E239" s="8"/>
      <c r="G239" s="16"/>
    </row>
    <row r="240" spans="3:7" hidden="1" x14ac:dyDescent="0.3">
      <c r="C240" s="11"/>
      <c r="D240" s="8"/>
      <c r="E240" s="9"/>
      <c r="G240" s="16"/>
    </row>
    <row r="241" spans="3:7" hidden="1" x14ac:dyDescent="0.3">
      <c r="C241" s="12"/>
      <c r="D241" s="9"/>
      <c r="E241" s="8"/>
      <c r="G241" s="16"/>
    </row>
    <row r="242" spans="3:7" hidden="1" x14ac:dyDescent="0.3">
      <c r="C242" s="11"/>
      <c r="D242" s="8"/>
      <c r="E242" s="9"/>
      <c r="G242" s="16"/>
    </row>
    <row r="243" spans="3:7" hidden="1" x14ac:dyDescent="0.3">
      <c r="C243" s="12"/>
      <c r="D243" s="9"/>
      <c r="E243" s="8"/>
      <c r="G243" s="16"/>
    </row>
    <row r="244" spans="3:7" hidden="1" x14ac:dyDescent="0.3">
      <c r="C244" s="11"/>
      <c r="D244" s="8"/>
      <c r="E244" s="9"/>
      <c r="G244" s="16"/>
    </row>
    <row r="245" spans="3:7" hidden="1" x14ac:dyDescent="0.3">
      <c r="C245" s="12"/>
      <c r="D245" s="9"/>
      <c r="E245" s="8"/>
      <c r="G245" s="16"/>
    </row>
    <row r="246" spans="3:7" hidden="1" x14ac:dyDescent="0.3">
      <c r="C246" s="11"/>
      <c r="D246" s="8"/>
      <c r="E246" s="9"/>
      <c r="G246" s="16"/>
    </row>
    <row r="247" spans="3:7" hidden="1" x14ac:dyDescent="0.3">
      <c r="C247" s="12"/>
      <c r="D247" s="9"/>
      <c r="E247" s="8"/>
      <c r="G247" s="16"/>
    </row>
    <row r="248" spans="3:7" hidden="1" x14ac:dyDescent="0.3">
      <c r="C248" s="11"/>
      <c r="D248" s="8"/>
      <c r="E248" s="9"/>
      <c r="G248" s="16"/>
    </row>
    <row r="249" spans="3:7" hidden="1" x14ac:dyDescent="0.3">
      <c r="C249" s="12"/>
      <c r="D249" s="9"/>
      <c r="E249" s="8"/>
      <c r="G249" s="16"/>
    </row>
    <row r="250" spans="3:7" hidden="1" x14ac:dyDescent="0.3">
      <c r="C250" s="11"/>
      <c r="D250" s="8"/>
      <c r="G250" s="16"/>
    </row>
    <row r="251" spans="3:7" hidden="1" x14ac:dyDescent="0.3">
      <c r="C251" s="12"/>
      <c r="D251" s="9"/>
      <c r="G251" s="16"/>
    </row>
    <row r="252" spans="3:7" hidden="1" x14ac:dyDescent="0.3">
      <c r="C252" s="11" t="s">
        <v>32</v>
      </c>
      <c r="D252" s="8"/>
      <c r="F252">
        <f t="shared" si="3"/>
        <v>0</v>
      </c>
      <c r="G252" s="16">
        <v>30.282424242424241</v>
      </c>
    </row>
    <row r="253" spans="3:7" hidden="1" x14ac:dyDescent="0.3">
      <c r="C253" s="12" t="s">
        <v>32</v>
      </c>
      <c r="D253" s="8"/>
      <c r="F253">
        <f t="shared" si="3"/>
        <v>0</v>
      </c>
      <c r="G253" s="16">
        <v>30.404040404040401</v>
      </c>
    </row>
    <row r="254" spans="3:7" hidden="1" x14ac:dyDescent="0.3">
      <c r="C254" s="11" t="s">
        <v>32</v>
      </c>
      <c r="D254" s="8"/>
      <c r="F254">
        <f t="shared" si="3"/>
        <v>0</v>
      </c>
      <c r="G254" s="16">
        <v>30.525656565656561</v>
      </c>
    </row>
    <row r="255" spans="3:7" hidden="1" x14ac:dyDescent="0.3">
      <c r="C255" s="12" t="s">
        <v>32</v>
      </c>
      <c r="D255" s="8"/>
      <c r="F255">
        <f t="shared" si="3"/>
        <v>0</v>
      </c>
      <c r="G255" s="16">
        <v>30.647272727272728</v>
      </c>
    </row>
    <row r="256" spans="3:7" hidden="1" x14ac:dyDescent="0.3">
      <c r="C256" s="11" t="s">
        <v>32</v>
      </c>
      <c r="D256" s="8"/>
      <c r="F256">
        <f t="shared" si="3"/>
        <v>0</v>
      </c>
      <c r="G256" s="16">
        <v>30.768888888888888</v>
      </c>
    </row>
    <row r="257" spans="3:7" hidden="1" x14ac:dyDescent="0.3">
      <c r="C257" s="12" t="s">
        <v>32</v>
      </c>
      <c r="D257" s="8"/>
      <c r="F257">
        <f t="shared" si="3"/>
        <v>0</v>
      </c>
      <c r="G257" s="16">
        <v>30.890505050505048</v>
      </c>
    </row>
    <row r="258" spans="3:7" hidden="1" x14ac:dyDescent="0.3">
      <c r="C258" s="11" t="s">
        <v>32</v>
      </c>
      <c r="D258" s="8"/>
      <c r="F258">
        <f t="shared" ref="F258:F300" si="4">IF(IFERROR(FIND("1",C258,1),ERROR.TYPE(#VALUE!))=ERROR.TYPE(#VALUE!),$M$2,$M$1)</f>
        <v>0</v>
      </c>
      <c r="G258" s="16">
        <v>31.012121212121212</v>
      </c>
    </row>
    <row r="259" spans="3:7" hidden="1" x14ac:dyDescent="0.3">
      <c r="C259" s="12" t="s">
        <v>32</v>
      </c>
      <c r="D259" s="8"/>
      <c r="F259">
        <f t="shared" si="4"/>
        <v>0</v>
      </c>
      <c r="G259" s="16">
        <v>31.133737373737372</v>
      </c>
    </row>
    <row r="260" spans="3:7" hidden="1" x14ac:dyDescent="0.3">
      <c r="C260" s="11" t="s">
        <v>32</v>
      </c>
      <c r="D260" s="8"/>
      <c r="F260">
        <f t="shared" si="4"/>
        <v>0</v>
      </c>
      <c r="G260" s="16">
        <v>31.255353535353539</v>
      </c>
    </row>
    <row r="261" spans="3:7" hidden="1" x14ac:dyDescent="0.3">
      <c r="C261" s="12" t="s">
        <v>32</v>
      </c>
      <c r="D261" s="8"/>
      <c r="F261">
        <f t="shared" si="4"/>
        <v>0</v>
      </c>
      <c r="G261" s="16">
        <v>31.376969696969699</v>
      </c>
    </row>
    <row r="262" spans="3:7" hidden="1" x14ac:dyDescent="0.3">
      <c r="C262" s="11" t="s">
        <v>32</v>
      </c>
      <c r="D262" s="8"/>
      <c r="F262">
        <f t="shared" si="4"/>
        <v>0</v>
      </c>
      <c r="G262" s="16">
        <v>31.498585858585859</v>
      </c>
    </row>
    <row r="263" spans="3:7" hidden="1" x14ac:dyDescent="0.3">
      <c r="C263" s="12" t="s">
        <v>32</v>
      </c>
      <c r="D263" s="8"/>
      <c r="F263">
        <f t="shared" si="4"/>
        <v>0</v>
      </c>
      <c r="G263" s="16">
        <v>31.620202020202019</v>
      </c>
    </row>
    <row r="264" spans="3:7" hidden="1" x14ac:dyDescent="0.3">
      <c r="C264" s="11" t="s">
        <v>32</v>
      </c>
      <c r="D264" s="8"/>
      <c r="F264">
        <f t="shared" si="4"/>
        <v>0</v>
      </c>
      <c r="G264" s="16">
        <v>31.741818181818179</v>
      </c>
    </row>
    <row r="265" spans="3:7" hidden="1" x14ac:dyDescent="0.3">
      <c r="C265" s="12" t="s">
        <v>32</v>
      </c>
      <c r="D265" s="8"/>
      <c r="F265">
        <f t="shared" si="4"/>
        <v>0</v>
      </c>
      <c r="G265" s="16">
        <v>31.863434343434339</v>
      </c>
    </row>
    <row r="266" spans="3:7" hidden="1" x14ac:dyDescent="0.3">
      <c r="C266" s="11" t="s">
        <v>32</v>
      </c>
      <c r="D266" s="8"/>
      <c r="F266">
        <f t="shared" si="4"/>
        <v>0</v>
      </c>
      <c r="G266" s="16">
        <v>31.985050505050499</v>
      </c>
    </row>
    <row r="267" spans="3:7" hidden="1" x14ac:dyDescent="0.3">
      <c r="C267" s="12" t="s">
        <v>32</v>
      </c>
      <c r="D267" s="8"/>
      <c r="F267">
        <f t="shared" si="4"/>
        <v>0</v>
      </c>
      <c r="G267" s="16">
        <v>32.106666666666669</v>
      </c>
    </row>
    <row r="268" spans="3:7" hidden="1" x14ac:dyDescent="0.3">
      <c r="C268" s="11" t="s">
        <v>32</v>
      </c>
      <c r="D268" s="8"/>
      <c r="F268">
        <f t="shared" si="4"/>
        <v>0</v>
      </c>
      <c r="G268" s="16">
        <v>32.228282828282829</v>
      </c>
    </row>
    <row r="269" spans="3:7" hidden="1" x14ac:dyDescent="0.3">
      <c r="C269" s="12" t="s">
        <v>32</v>
      </c>
      <c r="D269" s="8"/>
      <c r="F269">
        <f t="shared" si="4"/>
        <v>0</v>
      </c>
      <c r="G269" s="16">
        <v>32.349898989898989</v>
      </c>
    </row>
    <row r="270" spans="3:7" hidden="1" x14ac:dyDescent="0.3">
      <c r="C270" s="11" t="s">
        <v>32</v>
      </c>
      <c r="D270" s="8"/>
      <c r="F270">
        <f t="shared" si="4"/>
        <v>0</v>
      </c>
      <c r="G270" s="16">
        <v>32.471515151515149</v>
      </c>
    </row>
    <row r="271" spans="3:7" hidden="1" x14ac:dyDescent="0.3">
      <c r="C271" s="12" t="s">
        <v>32</v>
      </c>
      <c r="D271" s="8"/>
      <c r="F271">
        <f t="shared" si="4"/>
        <v>0</v>
      </c>
      <c r="G271" s="16">
        <v>32.593131313131309</v>
      </c>
    </row>
    <row r="272" spans="3:7" hidden="1" x14ac:dyDescent="0.3">
      <c r="C272" s="11" t="s">
        <v>32</v>
      </c>
      <c r="D272" s="8"/>
      <c r="F272">
        <f t="shared" si="4"/>
        <v>0</v>
      </c>
      <c r="G272" s="16">
        <v>32.714747474747469</v>
      </c>
    </row>
    <row r="273" spans="3:7" hidden="1" x14ac:dyDescent="0.3">
      <c r="C273" s="12" t="s">
        <v>32</v>
      </c>
      <c r="D273" s="8"/>
      <c r="F273">
        <f t="shared" si="4"/>
        <v>0</v>
      </c>
      <c r="G273" s="16">
        <v>32.836363636363643</v>
      </c>
    </row>
    <row r="274" spans="3:7" hidden="1" x14ac:dyDescent="0.3">
      <c r="C274" s="11" t="s">
        <v>32</v>
      </c>
      <c r="D274" s="8"/>
      <c r="F274">
        <f t="shared" si="4"/>
        <v>0</v>
      </c>
      <c r="G274" s="16">
        <v>32.957979797979803</v>
      </c>
    </row>
    <row r="275" spans="3:7" hidden="1" x14ac:dyDescent="0.3">
      <c r="C275" s="12" t="s">
        <v>32</v>
      </c>
      <c r="D275" s="8"/>
      <c r="F275">
        <f t="shared" si="4"/>
        <v>0</v>
      </c>
      <c r="G275" s="16">
        <v>33.079595959595963</v>
      </c>
    </row>
    <row r="276" spans="3:7" hidden="1" x14ac:dyDescent="0.3">
      <c r="C276" s="11" t="s">
        <v>32</v>
      </c>
      <c r="D276" s="8"/>
      <c r="F276">
        <f t="shared" si="4"/>
        <v>0</v>
      </c>
      <c r="G276" s="16">
        <v>33.201212121212123</v>
      </c>
    </row>
    <row r="277" spans="3:7" hidden="1" x14ac:dyDescent="0.3">
      <c r="C277" s="12" t="s">
        <v>32</v>
      </c>
      <c r="D277" s="8"/>
      <c r="F277">
        <f t="shared" si="4"/>
        <v>0</v>
      </c>
      <c r="G277" s="16">
        <v>33.322828282828283</v>
      </c>
    </row>
    <row r="278" spans="3:7" hidden="1" x14ac:dyDescent="0.3">
      <c r="C278" s="11" t="s">
        <v>32</v>
      </c>
      <c r="D278" s="8"/>
      <c r="F278">
        <f t="shared" si="4"/>
        <v>0</v>
      </c>
      <c r="G278" s="16">
        <v>33.444444444444443</v>
      </c>
    </row>
    <row r="279" spans="3:7" hidden="1" x14ac:dyDescent="0.3">
      <c r="C279" s="12" t="s">
        <v>32</v>
      </c>
      <c r="D279" s="8"/>
      <c r="F279">
        <f t="shared" si="4"/>
        <v>0</v>
      </c>
      <c r="G279" s="16">
        <v>33.566060606060603</v>
      </c>
    </row>
    <row r="280" spans="3:7" hidden="1" x14ac:dyDescent="0.3">
      <c r="C280" s="11" t="s">
        <v>32</v>
      </c>
      <c r="D280" s="8"/>
      <c r="F280">
        <f t="shared" si="4"/>
        <v>0</v>
      </c>
      <c r="G280" s="16">
        <v>33.687676767676763</v>
      </c>
    </row>
    <row r="281" spans="3:7" hidden="1" x14ac:dyDescent="0.3">
      <c r="C281" s="12" t="s">
        <v>32</v>
      </c>
      <c r="D281" s="8"/>
      <c r="F281">
        <f t="shared" si="4"/>
        <v>0</v>
      </c>
      <c r="G281" s="16">
        <v>33.809292929292923</v>
      </c>
    </row>
    <row r="282" spans="3:7" hidden="1" x14ac:dyDescent="0.3">
      <c r="C282" s="11" t="s">
        <v>32</v>
      </c>
      <c r="D282" s="8"/>
      <c r="F282">
        <f t="shared" si="4"/>
        <v>0</v>
      </c>
      <c r="G282" s="16">
        <v>33.93090909090909</v>
      </c>
    </row>
    <row r="283" spans="3:7" hidden="1" x14ac:dyDescent="0.3">
      <c r="C283" s="12" t="s">
        <v>32</v>
      </c>
      <c r="D283" s="8"/>
      <c r="F283">
        <f t="shared" si="4"/>
        <v>0</v>
      </c>
      <c r="G283" s="16">
        <v>34.05252525252525</v>
      </c>
    </row>
    <row r="284" spans="3:7" hidden="1" x14ac:dyDescent="0.3">
      <c r="C284" s="11" t="s">
        <v>32</v>
      </c>
      <c r="D284" s="8"/>
      <c r="F284">
        <f t="shared" si="4"/>
        <v>0</v>
      </c>
      <c r="G284" s="16">
        <v>34.17414141414141</v>
      </c>
    </row>
    <row r="285" spans="3:7" hidden="1" x14ac:dyDescent="0.3">
      <c r="C285" s="12" t="s">
        <v>32</v>
      </c>
      <c r="D285" s="8"/>
      <c r="F285">
        <f t="shared" si="4"/>
        <v>0</v>
      </c>
      <c r="G285" s="16">
        <v>34.295757575757577</v>
      </c>
    </row>
    <row r="286" spans="3:7" hidden="1" x14ac:dyDescent="0.3">
      <c r="C286" s="11" t="s">
        <v>32</v>
      </c>
      <c r="D286" s="8"/>
      <c r="F286">
        <f t="shared" si="4"/>
        <v>0</v>
      </c>
      <c r="G286" s="16">
        <v>34.417373737373737</v>
      </c>
    </row>
    <row r="287" spans="3:7" hidden="1" x14ac:dyDescent="0.3">
      <c r="C287" s="12" t="s">
        <v>32</v>
      </c>
      <c r="D287" s="8"/>
      <c r="F287">
        <f t="shared" si="4"/>
        <v>0</v>
      </c>
      <c r="G287" s="16">
        <v>34.538989898989897</v>
      </c>
    </row>
    <row r="288" spans="3:7" hidden="1" x14ac:dyDescent="0.3">
      <c r="C288" s="11" t="s">
        <v>32</v>
      </c>
      <c r="D288" s="8"/>
      <c r="F288">
        <f t="shared" si="4"/>
        <v>0</v>
      </c>
      <c r="G288" s="16">
        <v>34.660606060606057</v>
      </c>
    </row>
    <row r="289" spans="3:7" hidden="1" x14ac:dyDescent="0.3">
      <c r="C289" s="12" t="s">
        <v>32</v>
      </c>
      <c r="D289" s="8"/>
      <c r="F289">
        <f t="shared" si="4"/>
        <v>0</v>
      </c>
      <c r="G289" s="16">
        <v>34.782222222222217</v>
      </c>
    </row>
    <row r="290" spans="3:7" hidden="1" x14ac:dyDescent="0.3">
      <c r="C290" s="11" t="s">
        <v>32</v>
      </c>
      <c r="D290" s="8"/>
      <c r="F290">
        <f t="shared" si="4"/>
        <v>0</v>
      </c>
      <c r="G290" s="16">
        <v>34.903838383838377</v>
      </c>
    </row>
    <row r="291" spans="3:7" hidden="1" x14ac:dyDescent="0.3">
      <c r="C291" s="12" t="s">
        <v>32</v>
      </c>
      <c r="D291" s="8"/>
      <c r="F291">
        <f t="shared" si="4"/>
        <v>0</v>
      </c>
      <c r="G291" s="16">
        <v>35.025454545454537</v>
      </c>
    </row>
    <row r="292" spans="3:7" hidden="1" x14ac:dyDescent="0.3">
      <c r="C292" s="11" t="s">
        <v>32</v>
      </c>
      <c r="D292" s="8"/>
      <c r="F292">
        <f t="shared" si="4"/>
        <v>0</v>
      </c>
      <c r="G292" s="16">
        <v>35.147070707070696</v>
      </c>
    </row>
    <row r="293" spans="3:7" hidden="1" x14ac:dyDescent="0.3">
      <c r="C293" s="12" t="s">
        <v>32</v>
      </c>
      <c r="D293" s="8"/>
      <c r="F293">
        <f t="shared" si="4"/>
        <v>0</v>
      </c>
      <c r="G293" s="16">
        <v>35.268686868686864</v>
      </c>
    </row>
    <row r="294" spans="3:7" hidden="1" x14ac:dyDescent="0.3">
      <c r="C294" s="11" t="s">
        <v>32</v>
      </c>
      <c r="D294" s="8"/>
      <c r="F294">
        <f t="shared" si="4"/>
        <v>0</v>
      </c>
      <c r="G294" s="16">
        <v>35.390303030303031</v>
      </c>
    </row>
    <row r="295" spans="3:7" hidden="1" x14ac:dyDescent="0.3">
      <c r="C295" s="12" t="s">
        <v>32</v>
      </c>
      <c r="D295" s="8"/>
      <c r="F295">
        <f t="shared" si="4"/>
        <v>0</v>
      </c>
      <c r="G295" s="16">
        <v>35.511919191919191</v>
      </c>
    </row>
    <row r="296" spans="3:7" hidden="1" x14ac:dyDescent="0.3">
      <c r="C296" s="11" t="s">
        <v>32</v>
      </c>
      <c r="D296" s="8"/>
      <c r="F296">
        <f t="shared" si="4"/>
        <v>0</v>
      </c>
      <c r="G296" s="16">
        <v>35.633535353535351</v>
      </c>
    </row>
    <row r="297" spans="3:7" hidden="1" x14ac:dyDescent="0.3">
      <c r="C297" s="12" t="s">
        <v>32</v>
      </c>
      <c r="D297" s="8"/>
      <c r="F297">
        <f t="shared" si="4"/>
        <v>0</v>
      </c>
      <c r="G297" s="16">
        <v>35.75515151515151</v>
      </c>
    </row>
    <row r="298" spans="3:7" hidden="1" x14ac:dyDescent="0.3">
      <c r="C298" s="11" t="s">
        <v>32</v>
      </c>
      <c r="D298" s="8"/>
      <c r="F298">
        <f t="shared" si="4"/>
        <v>0</v>
      </c>
      <c r="G298" s="16">
        <v>35.87676767676767</v>
      </c>
    </row>
    <row r="299" spans="3:7" hidden="1" x14ac:dyDescent="0.3">
      <c r="C299" s="12" t="s">
        <v>32</v>
      </c>
      <c r="D299" s="8"/>
      <c r="F299">
        <f t="shared" si="4"/>
        <v>0</v>
      </c>
      <c r="G299" s="16">
        <v>35.998383838383837</v>
      </c>
    </row>
    <row r="300" spans="3:7" hidden="1" x14ac:dyDescent="0.3">
      <c r="C300" s="11" t="s">
        <v>32</v>
      </c>
      <c r="D300" s="8"/>
      <c r="F300">
        <f t="shared" si="4"/>
        <v>0</v>
      </c>
      <c r="G300" s="16">
        <v>36.119999999999997</v>
      </c>
    </row>
    <row r="301" spans="3:7" hidden="1" x14ac:dyDescent="0.3">
      <c r="C301" s="12"/>
      <c r="D301" s="9"/>
      <c r="E301" s="8"/>
      <c r="G301" s="5"/>
    </row>
    <row r="302" spans="3:7" hidden="1" x14ac:dyDescent="0.3">
      <c r="C302" s="11"/>
      <c r="D302" s="8"/>
      <c r="E302" s="9"/>
      <c r="G302" s="5"/>
    </row>
    <row r="303" spans="3:7" hidden="1" x14ac:dyDescent="0.3">
      <c r="C303" s="12"/>
      <c r="D303" s="9"/>
      <c r="E303" s="8"/>
      <c r="G303" s="5"/>
    </row>
    <row r="304" spans="3:7" hidden="1" x14ac:dyDescent="0.3">
      <c r="C304" s="11"/>
      <c r="D304" s="8"/>
      <c r="E304" s="9"/>
      <c r="G304" s="5"/>
    </row>
    <row r="305" spans="3:7" hidden="1" x14ac:dyDescent="0.3">
      <c r="C305" s="12"/>
      <c r="D305" s="9"/>
      <c r="E305" s="8"/>
      <c r="G305" s="5"/>
    </row>
    <row r="306" spans="3:7" hidden="1" x14ac:dyDescent="0.3">
      <c r="C306" s="11"/>
      <c r="D306" s="8"/>
      <c r="E306" s="9"/>
      <c r="G306" s="5"/>
    </row>
    <row r="307" spans="3:7" hidden="1" x14ac:dyDescent="0.3">
      <c r="C307" s="12"/>
      <c r="D307" s="9"/>
      <c r="E307" s="8"/>
      <c r="G307" s="5"/>
    </row>
    <row r="308" spans="3:7" hidden="1" x14ac:dyDescent="0.3">
      <c r="C308" s="11"/>
      <c r="D308" s="8"/>
      <c r="E308" s="9"/>
      <c r="G308" s="5"/>
    </row>
    <row r="309" spans="3:7" hidden="1" x14ac:dyDescent="0.3">
      <c r="C309" s="12"/>
      <c r="D309" s="9"/>
      <c r="E309" s="8"/>
      <c r="G309" s="5"/>
    </row>
    <row r="310" spans="3:7" hidden="1" x14ac:dyDescent="0.3">
      <c r="C310" s="11"/>
      <c r="D310" s="8"/>
      <c r="E310" s="9"/>
      <c r="G310" s="5"/>
    </row>
    <row r="311" spans="3:7" hidden="1" x14ac:dyDescent="0.3">
      <c r="C311" s="12"/>
      <c r="D311" s="9"/>
      <c r="E311" s="8"/>
      <c r="G311" s="5"/>
    </row>
    <row r="312" spans="3:7" hidden="1" x14ac:dyDescent="0.3">
      <c r="C312" s="11"/>
      <c r="D312" s="8"/>
      <c r="E312" s="9"/>
      <c r="G312" s="5"/>
    </row>
    <row r="313" spans="3:7" hidden="1" x14ac:dyDescent="0.3">
      <c r="C313" s="12"/>
      <c r="D313" s="9"/>
      <c r="E313" s="8"/>
      <c r="G313" s="5"/>
    </row>
    <row r="314" spans="3:7" hidden="1" x14ac:dyDescent="0.3">
      <c r="C314" s="11"/>
      <c r="D314" s="8"/>
      <c r="E314" s="9"/>
      <c r="G314" s="5"/>
    </row>
    <row r="315" spans="3:7" hidden="1" x14ac:dyDescent="0.3">
      <c r="C315" s="12"/>
      <c r="D315" s="9"/>
      <c r="E315" s="8"/>
      <c r="G315" s="5"/>
    </row>
    <row r="316" spans="3:7" hidden="1" x14ac:dyDescent="0.3">
      <c r="C316" s="11"/>
      <c r="D316" s="8"/>
      <c r="E316" s="9"/>
      <c r="G316" s="5"/>
    </row>
    <row r="317" spans="3:7" hidden="1" x14ac:dyDescent="0.3">
      <c r="C317" s="12"/>
      <c r="D317" s="9"/>
      <c r="E317" s="8"/>
      <c r="G317" s="5"/>
    </row>
    <row r="318" spans="3:7" hidden="1" x14ac:dyDescent="0.3">
      <c r="C318" s="11"/>
      <c r="D318" s="8"/>
      <c r="E318" s="9"/>
      <c r="G318" s="5"/>
    </row>
    <row r="319" spans="3:7" hidden="1" x14ac:dyDescent="0.3">
      <c r="C319" s="12"/>
      <c r="D319" s="9"/>
      <c r="E319" s="8"/>
      <c r="G319" s="5"/>
    </row>
    <row r="320" spans="3:7" hidden="1" x14ac:dyDescent="0.3">
      <c r="C320" s="11"/>
      <c r="D320" s="8"/>
      <c r="E320" s="9"/>
      <c r="G320" s="5"/>
    </row>
    <row r="321" spans="3:7" hidden="1" x14ac:dyDescent="0.3">
      <c r="C321" s="12"/>
      <c r="D321" s="9"/>
      <c r="E321" s="8"/>
      <c r="G321" s="5"/>
    </row>
    <row r="322" spans="3:7" hidden="1" x14ac:dyDescent="0.3">
      <c r="C322" s="11"/>
      <c r="D322" s="8"/>
      <c r="E322" s="9"/>
      <c r="G322" s="5"/>
    </row>
    <row r="323" spans="3:7" hidden="1" x14ac:dyDescent="0.3">
      <c r="C323" s="12"/>
      <c r="D323" s="9"/>
      <c r="E323" s="8"/>
      <c r="G323" s="5"/>
    </row>
    <row r="324" spans="3:7" hidden="1" x14ac:dyDescent="0.3">
      <c r="C324" s="11"/>
      <c r="D324" s="8"/>
      <c r="E324" s="9"/>
      <c r="G324" s="5"/>
    </row>
    <row r="325" spans="3:7" hidden="1" x14ac:dyDescent="0.3">
      <c r="C325" s="12"/>
      <c r="D325" s="9"/>
      <c r="E325" s="8"/>
      <c r="G325" s="5"/>
    </row>
    <row r="326" spans="3:7" hidden="1" x14ac:dyDescent="0.3">
      <c r="C326" s="11"/>
      <c r="D326" s="8"/>
      <c r="E326" s="9"/>
      <c r="G326" s="5"/>
    </row>
    <row r="327" spans="3:7" hidden="1" x14ac:dyDescent="0.3">
      <c r="C327" s="12"/>
      <c r="D327" s="9"/>
      <c r="E327" s="8"/>
      <c r="G327" s="5"/>
    </row>
    <row r="328" spans="3:7" hidden="1" x14ac:dyDescent="0.3">
      <c r="C328" s="11"/>
      <c r="D328" s="8"/>
      <c r="E328" s="9"/>
      <c r="G328" s="5"/>
    </row>
    <row r="329" spans="3:7" hidden="1" x14ac:dyDescent="0.3">
      <c r="C329" s="12"/>
      <c r="D329" s="9"/>
      <c r="E329" s="8"/>
      <c r="G329" s="5"/>
    </row>
    <row r="330" spans="3:7" hidden="1" x14ac:dyDescent="0.3">
      <c r="C330" s="11"/>
      <c r="D330" s="8"/>
      <c r="E330" s="9"/>
      <c r="G330" s="5"/>
    </row>
    <row r="331" spans="3:7" hidden="1" x14ac:dyDescent="0.3">
      <c r="C331" s="12"/>
      <c r="D331" s="9"/>
      <c r="E331" s="8"/>
      <c r="G331" s="5"/>
    </row>
    <row r="332" spans="3:7" hidden="1" x14ac:dyDescent="0.3">
      <c r="C332" s="11"/>
      <c r="D332" s="8"/>
      <c r="E332" s="9"/>
      <c r="G332" s="5"/>
    </row>
    <row r="333" spans="3:7" hidden="1" x14ac:dyDescent="0.3">
      <c r="C333" s="12"/>
      <c r="D333" s="9"/>
      <c r="E333" s="8"/>
      <c r="G333" s="5"/>
    </row>
    <row r="334" spans="3:7" hidden="1" x14ac:dyDescent="0.3">
      <c r="C334" s="11"/>
      <c r="D334" s="8"/>
      <c r="E334" s="9"/>
      <c r="G334" s="5"/>
    </row>
    <row r="335" spans="3:7" hidden="1" x14ac:dyDescent="0.3">
      <c r="C335" s="12"/>
      <c r="D335" s="9"/>
      <c r="E335" s="8"/>
      <c r="G335" s="5"/>
    </row>
    <row r="336" spans="3:7" hidden="1" x14ac:dyDescent="0.3">
      <c r="C336" s="11"/>
      <c r="D336" s="8"/>
      <c r="E336" s="9"/>
      <c r="G336" s="5"/>
    </row>
    <row r="337" spans="3:8" hidden="1" x14ac:dyDescent="0.3">
      <c r="C337" s="12"/>
      <c r="D337" s="9"/>
      <c r="E337" s="8"/>
      <c r="G337" s="5"/>
    </row>
    <row r="338" spans="3:8" hidden="1" x14ac:dyDescent="0.3">
      <c r="C338" s="11"/>
      <c r="D338" s="8"/>
      <c r="E338" s="9"/>
      <c r="G338" s="5"/>
    </row>
    <row r="339" spans="3:8" hidden="1" x14ac:dyDescent="0.3">
      <c r="C339" s="12"/>
      <c r="D339" s="9"/>
      <c r="E339" s="8"/>
      <c r="G339" s="5"/>
    </row>
    <row r="340" spans="3:8" hidden="1" x14ac:dyDescent="0.3">
      <c r="C340" s="11"/>
      <c r="D340" s="8"/>
      <c r="E340" s="9"/>
      <c r="G340" s="5"/>
    </row>
    <row r="341" spans="3:8" hidden="1" x14ac:dyDescent="0.3">
      <c r="C341" s="12"/>
      <c r="D341" s="9"/>
      <c r="E341" s="8"/>
      <c r="G341" s="5"/>
    </row>
    <row r="342" spans="3:8" hidden="1" x14ac:dyDescent="0.3">
      <c r="C342" s="11"/>
      <c r="D342" s="8"/>
      <c r="E342" s="9"/>
      <c r="G342" s="5"/>
    </row>
    <row r="343" spans="3:8" hidden="1" x14ac:dyDescent="0.3">
      <c r="C343" s="12"/>
      <c r="D343" s="9"/>
      <c r="E343" s="8"/>
      <c r="G343" s="5"/>
    </row>
    <row r="344" spans="3:8" hidden="1" x14ac:dyDescent="0.3">
      <c r="C344" s="11"/>
      <c r="D344" s="8"/>
      <c r="E344" s="9"/>
      <c r="G344" s="5"/>
    </row>
    <row r="345" spans="3:8" hidden="1" x14ac:dyDescent="0.3">
      <c r="C345" s="12"/>
      <c r="D345" s="9"/>
      <c r="E345" s="8"/>
      <c r="G345" s="5"/>
    </row>
    <row r="346" spans="3:8" hidden="1" x14ac:dyDescent="0.3">
      <c r="C346" s="11"/>
      <c r="D346" s="8"/>
      <c r="E346" s="9"/>
      <c r="G346" s="5"/>
    </row>
    <row r="347" spans="3:8" hidden="1" x14ac:dyDescent="0.3">
      <c r="C347" s="12"/>
      <c r="D347" s="9"/>
      <c r="E347" s="8"/>
      <c r="G347" s="5"/>
    </row>
    <row r="348" spans="3:8" hidden="1" x14ac:dyDescent="0.3">
      <c r="C348" s="11"/>
      <c r="D348" s="8"/>
      <c r="E348" s="9"/>
      <c r="G348" s="5"/>
    </row>
    <row r="349" spans="3:8" hidden="1" x14ac:dyDescent="0.3">
      <c r="C349" s="12"/>
      <c r="D349" s="9"/>
      <c r="E349" s="8"/>
      <c r="G349" s="5"/>
    </row>
    <row r="350" spans="3:8" hidden="1" x14ac:dyDescent="0.3">
      <c r="C350" s="11"/>
      <c r="D350" s="8"/>
      <c r="E350" s="9"/>
      <c r="G350" s="5"/>
    </row>
    <row r="351" spans="3:8" hidden="1" x14ac:dyDescent="0.3">
      <c r="C351" s="12" t="s">
        <v>33</v>
      </c>
      <c r="D351" s="8"/>
      <c r="F351">
        <f t="shared" ref="F351:F385" si="5">IF(IFERROR(FIND("1",C351,1),ERROR.TYPE(#VALUE!))=ERROR.TYPE(#VALUE!),$M$2,$M$1)</f>
        <v>0</v>
      </c>
      <c r="G351" s="5">
        <v>30.160808080808081</v>
      </c>
      <c r="H351">
        <f>Tabelle13[[#This Row],[Variation]]</f>
        <v>30.160808080808081</v>
      </c>
    </row>
    <row r="352" spans="3:8" hidden="1" x14ac:dyDescent="0.3">
      <c r="C352" s="11" t="s">
        <v>33</v>
      </c>
      <c r="D352" s="8"/>
      <c r="F352">
        <f t="shared" si="5"/>
        <v>0</v>
      </c>
      <c r="G352" s="5">
        <v>30.282424242424241</v>
      </c>
    </row>
    <row r="353" spans="3:7" hidden="1" x14ac:dyDescent="0.3">
      <c r="C353" s="12" t="s">
        <v>33</v>
      </c>
      <c r="D353" s="8"/>
      <c r="F353">
        <f t="shared" si="5"/>
        <v>0</v>
      </c>
      <c r="G353" s="5">
        <v>30.404040404040401</v>
      </c>
    </row>
    <row r="354" spans="3:7" hidden="1" x14ac:dyDescent="0.3">
      <c r="C354" s="11" t="s">
        <v>33</v>
      </c>
      <c r="D354" s="8"/>
      <c r="F354">
        <f t="shared" si="5"/>
        <v>0</v>
      </c>
      <c r="G354" s="5">
        <v>30.525656565656561</v>
      </c>
    </row>
    <row r="355" spans="3:7" hidden="1" x14ac:dyDescent="0.3">
      <c r="C355" s="12" t="s">
        <v>33</v>
      </c>
      <c r="D355" s="8"/>
      <c r="F355">
        <f t="shared" si="5"/>
        <v>0</v>
      </c>
      <c r="G355" s="5">
        <v>30.647272727272728</v>
      </c>
    </row>
    <row r="356" spans="3:7" hidden="1" x14ac:dyDescent="0.3">
      <c r="C356" s="11" t="s">
        <v>33</v>
      </c>
      <c r="D356" s="8"/>
      <c r="F356">
        <f t="shared" si="5"/>
        <v>0</v>
      </c>
      <c r="G356" s="5">
        <v>30.768888888888888</v>
      </c>
    </row>
    <row r="357" spans="3:7" hidden="1" x14ac:dyDescent="0.3">
      <c r="C357" s="12" t="s">
        <v>33</v>
      </c>
      <c r="D357" s="8"/>
      <c r="F357">
        <f t="shared" si="5"/>
        <v>0</v>
      </c>
      <c r="G357" s="5">
        <v>30.890505050505048</v>
      </c>
    </row>
    <row r="358" spans="3:7" hidden="1" x14ac:dyDescent="0.3">
      <c r="C358" s="11" t="s">
        <v>33</v>
      </c>
      <c r="D358" s="8"/>
      <c r="F358">
        <f t="shared" si="5"/>
        <v>0</v>
      </c>
      <c r="G358" s="5">
        <v>31.012121212121212</v>
      </c>
    </row>
    <row r="359" spans="3:7" hidden="1" x14ac:dyDescent="0.3">
      <c r="C359" s="12" t="s">
        <v>33</v>
      </c>
      <c r="D359" s="8"/>
      <c r="F359">
        <f t="shared" si="5"/>
        <v>0</v>
      </c>
      <c r="G359" s="5">
        <v>31.133737373737372</v>
      </c>
    </row>
    <row r="360" spans="3:7" hidden="1" x14ac:dyDescent="0.3">
      <c r="C360" s="11" t="s">
        <v>33</v>
      </c>
      <c r="D360" s="8"/>
      <c r="F360">
        <f t="shared" si="5"/>
        <v>0</v>
      </c>
      <c r="G360" s="5">
        <v>31.255353535353539</v>
      </c>
    </row>
    <row r="361" spans="3:7" hidden="1" x14ac:dyDescent="0.3">
      <c r="C361" s="12" t="s">
        <v>33</v>
      </c>
      <c r="D361" s="8"/>
      <c r="F361">
        <f t="shared" si="5"/>
        <v>0</v>
      </c>
      <c r="G361" s="5">
        <v>31.376969696969699</v>
      </c>
    </row>
    <row r="362" spans="3:7" hidden="1" x14ac:dyDescent="0.3">
      <c r="C362" s="11" t="s">
        <v>33</v>
      </c>
      <c r="D362" s="8"/>
      <c r="F362">
        <f t="shared" si="5"/>
        <v>0</v>
      </c>
      <c r="G362" s="5">
        <v>31.498585858585859</v>
      </c>
    </row>
    <row r="363" spans="3:7" hidden="1" x14ac:dyDescent="0.3">
      <c r="C363" s="12" t="s">
        <v>33</v>
      </c>
      <c r="D363" s="8"/>
      <c r="F363">
        <f t="shared" si="5"/>
        <v>0</v>
      </c>
      <c r="G363" s="5">
        <v>31.620202020202019</v>
      </c>
    </row>
    <row r="364" spans="3:7" hidden="1" x14ac:dyDescent="0.3">
      <c r="C364" s="11" t="s">
        <v>33</v>
      </c>
      <c r="D364" s="8"/>
      <c r="F364">
        <f t="shared" si="5"/>
        <v>0</v>
      </c>
      <c r="G364" s="5">
        <v>31.741818181818179</v>
      </c>
    </row>
    <row r="365" spans="3:7" hidden="1" x14ac:dyDescent="0.3">
      <c r="C365" s="12" t="s">
        <v>33</v>
      </c>
      <c r="D365" s="8"/>
      <c r="F365">
        <f t="shared" si="5"/>
        <v>0</v>
      </c>
      <c r="G365" s="5">
        <v>31.863434343434339</v>
      </c>
    </row>
    <row r="366" spans="3:7" hidden="1" x14ac:dyDescent="0.3">
      <c r="C366" s="11" t="s">
        <v>33</v>
      </c>
      <c r="D366" s="8"/>
      <c r="F366">
        <f t="shared" si="5"/>
        <v>0</v>
      </c>
      <c r="G366" s="5">
        <v>31.985050505050499</v>
      </c>
    </row>
    <row r="367" spans="3:7" hidden="1" x14ac:dyDescent="0.3">
      <c r="C367" s="12" t="s">
        <v>33</v>
      </c>
      <c r="D367" s="8"/>
      <c r="F367">
        <f t="shared" si="5"/>
        <v>0</v>
      </c>
      <c r="G367" s="5">
        <v>32.106666666666669</v>
      </c>
    </row>
    <row r="368" spans="3:7" hidden="1" x14ac:dyDescent="0.3">
      <c r="C368" s="11" t="s">
        <v>33</v>
      </c>
      <c r="D368" s="8"/>
      <c r="F368">
        <f t="shared" si="5"/>
        <v>0</v>
      </c>
      <c r="G368" s="5">
        <v>32.228282828282829</v>
      </c>
    </row>
    <row r="369" spans="3:7" hidden="1" x14ac:dyDescent="0.3">
      <c r="C369" s="12" t="s">
        <v>33</v>
      </c>
      <c r="D369" s="8"/>
      <c r="F369">
        <f t="shared" si="5"/>
        <v>0</v>
      </c>
      <c r="G369" s="5">
        <v>32.349898989898989</v>
      </c>
    </row>
    <row r="370" spans="3:7" hidden="1" x14ac:dyDescent="0.3">
      <c r="C370" s="11" t="s">
        <v>33</v>
      </c>
      <c r="D370" s="8"/>
      <c r="F370">
        <f t="shared" si="5"/>
        <v>0</v>
      </c>
      <c r="G370" s="5">
        <v>32.471515151515149</v>
      </c>
    </row>
    <row r="371" spans="3:7" hidden="1" x14ac:dyDescent="0.3">
      <c r="C371" s="12" t="s">
        <v>33</v>
      </c>
      <c r="D371" s="8"/>
      <c r="F371">
        <f t="shared" si="5"/>
        <v>0</v>
      </c>
      <c r="G371" s="5">
        <v>32.593131313131309</v>
      </c>
    </row>
    <row r="372" spans="3:7" hidden="1" x14ac:dyDescent="0.3">
      <c r="C372" s="11" t="s">
        <v>33</v>
      </c>
      <c r="D372" s="8"/>
      <c r="F372">
        <f t="shared" si="5"/>
        <v>0</v>
      </c>
      <c r="G372" s="5">
        <v>32.714747474747469</v>
      </c>
    </row>
    <row r="373" spans="3:7" hidden="1" x14ac:dyDescent="0.3">
      <c r="C373" s="12" t="s">
        <v>33</v>
      </c>
      <c r="D373" s="8"/>
      <c r="F373">
        <f t="shared" si="5"/>
        <v>0</v>
      </c>
      <c r="G373" s="5">
        <v>32.836363636363643</v>
      </c>
    </row>
    <row r="374" spans="3:7" hidden="1" x14ac:dyDescent="0.3">
      <c r="C374" s="11" t="s">
        <v>33</v>
      </c>
      <c r="D374" s="8"/>
      <c r="F374">
        <f t="shared" si="5"/>
        <v>0</v>
      </c>
      <c r="G374" s="5">
        <v>32.957979797979803</v>
      </c>
    </row>
    <row r="375" spans="3:7" hidden="1" x14ac:dyDescent="0.3">
      <c r="C375" s="12" t="s">
        <v>33</v>
      </c>
      <c r="D375" s="8"/>
      <c r="F375">
        <f t="shared" si="5"/>
        <v>0</v>
      </c>
      <c r="G375" s="5">
        <v>33.079595959595963</v>
      </c>
    </row>
    <row r="376" spans="3:7" hidden="1" x14ac:dyDescent="0.3">
      <c r="C376" s="11" t="s">
        <v>33</v>
      </c>
      <c r="D376" s="8"/>
      <c r="F376">
        <f t="shared" si="5"/>
        <v>0</v>
      </c>
      <c r="G376" s="5">
        <v>33.201212121212123</v>
      </c>
    </row>
    <row r="377" spans="3:7" hidden="1" x14ac:dyDescent="0.3">
      <c r="C377" s="12" t="s">
        <v>33</v>
      </c>
      <c r="D377" s="8"/>
      <c r="F377">
        <f t="shared" si="5"/>
        <v>0</v>
      </c>
      <c r="G377" s="5">
        <v>33.322828282828283</v>
      </c>
    </row>
    <row r="378" spans="3:7" hidden="1" x14ac:dyDescent="0.3">
      <c r="C378" s="11" t="s">
        <v>33</v>
      </c>
      <c r="D378" s="8"/>
      <c r="F378">
        <f t="shared" si="5"/>
        <v>0</v>
      </c>
      <c r="G378" s="5">
        <v>33.444444444444443</v>
      </c>
    </row>
    <row r="379" spans="3:7" hidden="1" x14ac:dyDescent="0.3">
      <c r="C379" s="12" t="s">
        <v>33</v>
      </c>
      <c r="D379" s="8"/>
      <c r="F379">
        <f t="shared" si="5"/>
        <v>0</v>
      </c>
      <c r="G379" s="5">
        <v>33.566060606060603</v>
      </c>
    </row>
    <row r="380" spans="3:7" hidden="1" x14ac:dyDescent="0.3">
      <c r="C380" s="11" t="s">
        <v>33</v>
      </c>
      <c r="D380" s="8"/>
      <c r="F380">
        <f t="shared" si="5"/>
        <v>0</v>
      </c>
      <c r="G380" s="5">
        <v>33.687676767676763</v>
      </c>
    </row>
    <row r="381" spans="3:7" hidden="1" x14ac:dyDescent="0.3">
      <c r="C381" s="12" t="s">
        <v>33</v>
      </c>
      <c r="D381" s="8"/>
      <c r="F381">
        <f t="shared" si="5"/>
        <v>0</v>
      </c>
      <c r="G381" s="5">
        <v>33.809292929292923</v>
      </c>
    </row>
    <row r="382" spans="3:7" hidden="1" x14ac:dyDescent="0.3">
      <c r="C382" s="11" t="s">
        <v>33</v>
      </c>
      <c r="D382" s="8"/>
      <c r="F382">
        <f t="shared" si="5"/>
        <v>0</v>
      </c>
      <c r="G382" s="5">
        <v>33.93090909090909</v>
      </c>
    </row>
    <row r="383" spans="3:7" hidden="1" x14ac:dyDescent="0.3">
      <c r="C383" s="12" t="s">
        <v>33</v>
      </c>
      <c r="D383" s="8"/>
      <c r="F383">
        <f t="shared" si="5"/>
        <v>0</v>
      </c>
      <c r="G383" s="5">
        <v>34.05252525252525</v>
      </c>
    </row>
    <row r="384" spans="3:7" hidden="1" x14ac:dyDescent="0.3">
      <c r="C384" s="11" t="s">
        <v>33</v>
      </c>
      <c r="D384" s="8"/>
      <c r="F384">
        <f t="shared" si="5"/>
        <v>0</v>
      </c>
      <c r="G384" s="5">
        <v>34.17414141414141</v>
      </c>
    </row>
    <row r="385" spans="3:7" hidden="1" x14ac:dyDescent="0.3">
      <c r="C385" s="12" t="s">
        <v>33</v>
      </c>
      <c r="D385" s="8"/>
      <c r="F385">
        <f t="shared" si="5"/>
        <v>0</v>
      </c>
      <c r="G385" s="5">
        <v>34.295757575757577</v>
      </c>
    </row>
    <row r="386" spans="3:7" hidden="1" x14ac:dyDescent="0.3">
      <c r="C386" s="11" t="s">
        <v>33</v>
      </c>
      <c r="D386" s="8"/>
      <c r="F386">
        <f t="shared" ref="F386:F400" si="6">IF(IFERROR(FIND("1",C386,1),ERROR.TYPE(#VALUE!))=ERROR.TYPE(#VALUE!),$M$2,$M$1)</f>
        <v>0</v>
      </c>
      <c r="G386" s="5">
        <v>34.417373737373737</v>
      </c>
    </row>
    <row r="387" spans="3:7" hidden="1" x14ac:dyDescent="0.3">
      <c r="C387" s="12" t="s">
        <v>33</v>
      </c>
      <c r="D387" s="8"/>
      <c r="F387">
        <f t="shared" si="6"/>
        <v>0</v>
      </c>
      <c r="G387" s="5">
        <v>34.538989898989897</v>
      </c>
    </row>
    <row r="388" spans="3:7" hidden="1" x14ac:dyDescent="0.3">
      <c r="C388" s="11" t="s">
        <v>33</v>
      </c>
      <c r="D388" s="8"/>
      <c r="F388">
        <f t="shared" si="6"/>
        <v>0</v>
      </c>
      <c r="G388" s="5">
        <v>34.660606060606057</v>
      </c>
    </row>
    <row r="389" spans="3:7" hidden="1" x14ac:dyDescent="0.3">
      <c r="C389" s="12" t="s">
        <v>33</v>
      </c>
      <c r="D389" s="8"/>
      <c r="F389">
        <f t="shared" si="6"/>
        <v>0</v>
      </c>
      <c r="G389" s="5">
        <v>34.782222222222217</v>
      </c>
    </row>
    <row r="390" spans="3:7" hidden="1" x14ac:dyDescent="0.3">
      <c r="C390" s="11" t="s">
        <v>33</v>
      </c>
      <c r="D390" s="8"/>
      <c r="F390">
        <f t="shared" si="6"/>
        <v>0</v>
      </c>
      <c r="G390" s="5">
        <v>34.903838383838377</v>
      </c>
    </row>
    <row r="391" spans="3:7" hidden="1" x14ac:dyDescent="0.3">
      <c r="C391" s="12" t="s">
        <v>33</v>
      </c>
      <c r="D391" s="8"/>
      <c r="F391">
        <f t="shared" si="6"/>
        <v>0</v>
      </c>
      <c r="G391" s="5">
        <v>35.025454545454537</v>
      </c>
    </row>
    <row r="392" spans="3:7" hidden="1" x14ac:dyDescent="0.3">
      <c r="C392" s="11" t="s">
        <v>33</v>
      </c>
      <c r="D392" s="8"/>
      <c r="F392">
        <f t="shared" si="6"/>
        <v>0</v>
      </c>
      <c r="G392" s="5">
        <v>35.147070707070696</v>
      </c>
    </row>
    <row r="393" spans="3:7" hidden="1" x14ac:dyDescent="0.3">
      <c r="C393" s="12" t="s">
        <v>33</v>
      </c>
      <c r="D393" s="8"/>
      <c r="F393">
        <f t="shared" si="6"/>
        <v>0</v>
      </c>
      <c r="G393" s="5">
        <v>35.268686868686864</v>
      </c>
    </row>
    <row r="394" spans="3:7" hidden="1" x14ac:dyDescent="0.3">
      <c r="C394" s="11" t="s">
        <v>33</v>
      </c>
      <c r="D394" s="8"/>
      <c r="F394">
        <f t="shared" si="6"/>
        <v>0</v>
      </c>
      <c r="G394" s="5">
        <v>35.390303030303031</v>
      </c>
    </row>
    <row r="395" spans="3:7" hidden="1" x14ac:dyDescent="0.3">
      <c r="C395" s="12" t="s">
        <v>33</v>
      </c>
      <c r="D395" s="8"/>
      <c r="F395">
        <f t="shared" si="6"/>
        <v>0</v>
      </c>
      <c r="G395" s="5">
        <v>35.511919191919191</v>
      </c>
    </row>
    <row r="396" spans="3:7" hidden="1" x14ac:dyDescent="0.3">
      <c r="C396" s="11" t="s">
        <v>33</v>
      </c>
      <c r="D396" s="8"/>
      <c r="F396">
        <f t="shared" si="6"/>
        <v>0</v>
      </c>
      <c r="G396" s="5">
        <v>35.633535353535351</v>
      </c>
    </row>
    <row r="397" spans="3:7" hidden="1" x14ac:dyDescent="0.3">
      <c r="C397" s="12" t="s">
        <v>33</v>
      </c>
      <c r="D397" s="8"/>
      <c r="F397">
        <f t="shared" si="6"/>
        <v>0</v>
      </c>
      <c r="G397" s="5">
        <v>35.75515151515151</v>
      </c>
    </row>
    <row r="398" spans="3:7" hidden="1" x14ac:dyDescent="0.3">
      <c r="C398" s="11" t="s">
        <v>33</v>
      </c>
      <c r="D398" s="8"/>
      <c r="F398">
        <f t="shared" si="6"/>
        <v>0</v>
      </c>
      <c r="G398" s="5">
        <v>35.87676767676767</v>
      </c>
    </row>
    <row r="399" spans="3:7" hidden="1" x14ac:dyDescent="0.3">
      <c r="C399" s="12" t="s">
        <v>33</v>
      </c>
      <c r="D399" s="8"/>
      <c r="F399">
        <f t="shared" si="6"/>
        <v>0</v>
      </c>
      <c r="G399" s="5">
        <v>35.998383838383837</v>
      </c>
    </row>
    <row r="400" spans="3:7" hidden="1" x14ac:dyDescent="0.3">
      <c r="C400" s="11" t="s">
        <v>33</v>
      </c>
      <c r="D400" s="8"/>
      <c r="F400">
        <f t="shared" si="6"/>
        <v>0</v>
      </c>
      <c r="G400" s="5">
        <v>36.119999999999997</v>
      </c>
    </row>
    <row r="401" spans="3:5" hidden="1" x14ac:dyDescent="0.3">
      <c r="C401" s="12"/>
      <c r="D401" s="9"/>
      <c r="E401" s="9"/>
    </row>
    <row r="402" spans="3:5" hidden="1" x14ac:dyDescent="0.3">
      <c r="C402" s="11"/>
      <c r="D402" s="8"/>
      <c r="E402" s="8"/>
    </row>
    <row r="403" spans="3:5" hidden="1" x14ac:dyDescent="0.3">
      <c r="C403" s="12"/>
      <c r="D403" s="9"/>
      <c r="E403" s="9"/>
    </row>
    <row r="404" spans="3:5" hidden="1" x14ac:dyDescent="0.3">
      <c r="C404" s="11"/>
      <c r="D404" s="8"/>
      <c r="E404" s="8"/>
    </row>
    <row r="405" spans="3:5" hidden="1" x14ac:dyDescent="0.3">
      <c r="C405" s="12"/>
      <c r="D405" s="9"/>
      <c r="E405" s="9"/>
    </row>
    <row r="406" spans="3:5" hidden="1" x14ac:dyDescent="0.3">
      <c r="C406" s="11"/>
      <c r="D406" s="8"/>
      <c r="E406" s="8"/>
    </row>
    <row r="407" spans="3:5" hidden="1" x14ac:dyDescent="0.3">
      <c r="C407" s="12"/>
      <c r="D407" s="9"/>
      <c r="E407" s="9"/>
    </row>
    <row r="408" spans="3:5" hidden="1" x14ac:dyDescent="0.3">
      <c r="C408" s="11"/>
      <c r="D408" s="8"/>
      <c r="E408" s="8"/>
    </row>
    <row r="409" spans="3:5" hidden="1" x14ac:dyDescent="0.3">
      <c r="C409" s="12"/>
      <c r="D409" s="9"/>
      <c r="E409" s="9"/>
    </row>
    <row r="410" spans="3:5" hidden="1" x14ac:dyDescent="0.3">
      <c r="C410" s="11"/>
      <c r="D410" s="8"/>
      <c r="E410" s="8"/>
    </row>
    <row r="411" spans="3:5" hidden="1" x14ac:dyDescent="0.3">
      <c r="C411" s="12"/>
      <c r="D411" s="9"/>
      <c r="E411" s="9"/>
    </row>
    <row r="412" spans="3:5" hidden="1" x14ac:dyDescent="0.3">
      <c r="C412" s="11"/>
      <c r="D412" s="8"/>
      <c r="E412" s="8"/>
    </row>
    <row r="413" spans="3:5" hidden="1" x14ac:dyDescent="0.3">
      <c r="C413" s="12"/>
      <c r="D413" s="9"/>
      <c r="E413" s="9"/>
    </row>
    <row r="414" spans="3:5" hidden="1" x14ac:dyDescent="0.3">
      <c r="C414" s="11"/>
      <c r="D414" s="8"/>
      <c r="E414" s="8"/>
    </row>
    <row r="415" spans="3:5" hidden="1" x14ac:dyDescent="0.3">
      <c r="C415" s="12"/>
      <c r="D415" s="9"/>
      <c r="E415" s="9"/>
    </row>
    <row r="416" spans="3:5" hidden="1" x14ac:dyDescent="0.3">
      <c r="C416" s="11"/>
      <c r="D416" s="8"/>
      <c r="E416" s="8"/>
    </row>
    <row r="417" spans="3:5" hidden="1" x14ac:dyDescent="0.3">
      <c r="C417" s="12"/>
      <c r="D417" s="9"/>
      <c r="E417" s="9"/>
    </row>
    <row r="418" spans="3:5" hidden="1" x14ac:dyDescent="0.3">
      <c r="C418" s="11"/>
      <c r="D418" s="8"/>
      <c r="E418" s="8"/>
    </row>
    <row r="419" spans="3:5" hidden="1" x14ac:dyDescent="0.3">
      <c r="C419" s="12"/>
      <c r="D419" s="9"/>
      <c r="E419" s="9"/>
    </row>
    <row r="420" spans="3:5" hidden="1" x14ac:dyDescent="0.3">
      <c r="C420" s="11"/>
      <c r="D420" s="8"/>
      <c r="E420" s="8"/>
    </row>
    <row r="421" spans="3:5" hidden="1" x14ac:dyDescent="0.3">
      <c r="C421" s="12"/>
      <c r="D421" s="9"/>
      <c r="E421" s="9"/>
    </row>
    <row r="422" spans="3:5" hidden="1" x14ac:dyDescent="0.3">
      <c r="C422" s="11"/>
      <c r="D422" s="8"/>
      <c r="E422" s="8"/>
    </row>
    <row r="423" spans="3:5" hidden="1" x14ac:dyDescent="0.3">
      <c r="C423" s="12"/>
      <c r="D423" s="9"/>
      <c r="E423" s="9"/>
    </row>
    <row r="424" spans="3:5" hidden="1" x14ac:dyDescent="0.3">
      <c r="C424" s="11"/>
      <c r="D424" s="8"/>
      <c r="E424" s="8"/>
    </row>
    <row r="425" spans="3:5" hidden="1" x14ac:dyDescent="0.3">
      <c r="C425" s="12"/>
      <c r="D425" s="9"/>
      <c r="E425" s="9"/>
    </row>
    <row r="426" spans="3:5" hidden="1" x14ac:dyDescent="0.3">
      <c r="C426" s="11"/>
      <c r="D426" s="8"/>
      <c r="E426" s="8"/>
    </row>
    <row r="427" spans="3:5" hidden="1" x14ac:dyDescent="0.3">
      <c r="C427" s="12"/>
      <c r="D427" s="9"/>
      <c r="E427" s="9"/>
    </row>
    <row r="428" spans="3:5" hidden="1" x14ac:dyDescent="0.3">
      <c r="C428" s="11"/>
      <c r="D428" s="8"/>
      <c r="E428" s="8"/>
    </row>
    <row r="429" spans="3:5" hidden="1" x14ac:dyDescent="0.3">
      <c r="C429" s="12"/>
      <c r="D429" s="9"/>
      <c r="E429" s="9"/>
    </row>
    <row r="430" spans="3:5" hidden="1" x14ac:dyDescent="0.3">
      <c r="C430" s="11"/>
      <c r="D430" s="8"/>
      <c r="E430" s="8"/>
    </row>
    <row r="431" spans="3:5" hidden="1" x14ac:dyDescent="0.3">
      <c r="C431" s="12"/>
      <c r="D431" s="9"/>
      <c r="E431" s="9"/>
    </row>
    <row r="432" spans="3:5" hidden="1" x14ac:dyDescent="0.3">
      <c r="C432" s="11"/>
      <c r="D432" s="8"/>
      <c r="E432" s="8"/>
    </row>
    <row r="433" spans="3:5" hidden="1" x14ac:dyDescent="0.3">
      <c r="C433" s="12"/>
      <c r="D433" s="9"/>
      <c r="E433" s="9"/>
    </row>
    <row r="434" spans="3:5" hidden="1" x14ac:dyDescent="0.3">
      <c r="C434" s="11"/>
      <c r="D434" s="8"/>
      <c r="E434" s="8"/>
    </row>
    <row r="435" spans="3:5" hidden="1" x14ac:dyDescent="0.3">
      <c r="C435" s="12"/>
      <c r="D435" s="9"/>
      <c r="E435" s="9"/>
    </row>
    <row r="436" spans="3:5" hidden="1" x14ac:dyDescent="0.3">
      <c r="C436" s="11"/>
      <c r="D436" s="8"/>
      <c r="E436" s="8"/>
    </row>
    <row r="437" spans="3:5" hidden="1" x14ac:dyDescent="0.3">
      <c r="C437" s="12"/>
      <c r="D437" s="9"/>
      <c r="E437" s="9"/>
    </row>
    <row r="438" spans="3:5" hidden="1" x14ac:dyDescent="0.3">
      <c r="C438" s="11"/>
      <c r="D438" s="8"/>
      <c r="E438" s="8"/>
    </row>
    <row r="439" spans="3:5" hidden="1" x14ac:dyDescent="0.3">
      <c r="C439" s="12"/>
      <c r="D439" s="9"/>
      <c r="E439" s="9"/>
    </row>
    <row r="440" spans="3:5" hidden="1" x14ac:dyDescent="0.3">
      <c r="C440" s="11"/>
      <c r="D440" s="8"/>
      <c r="E440" s="8"/>
    </row>
    <row r="441" spans="3:5" hidden="1" x14ac:dyDescent="0.3">
      <c r="C441" s="12"/>
      <c r="D441" s="9"/>
      <c r="E441" s="9"/>
    </row>
    <row r="442" spans="3:5" hidden="1" x14ac:dyDescent="0.3">
      <c r="C442" s="11"/>
      <c r="D442" s="8"/>
      <c r="E442" s="8"/>
    </row>
    <row r="443" spans="3:5" hidden="1" x14ac:dyDescent="0.3">
      <c r="C443" s="12"/>
      <c r="D443" s="9"/>
      <c r="E443" s="9"/>
    </row>
    <row r="444" spans="3:5" hidden="1" x14ac:dyDescent="0.3">
      <c r="C444" s="11"/>
      <c r="D444" s="8"/>
      <c r="E444" s="8"/>
    </row>
    <row r="445" spans="3:5" hidden="1" x14ac:dyDescent="0.3">
      <c r="C445" s="12"/>
      <c r="D445" s="9"/>
      <c r="E445" s="9"/>
    </row>
    <row r="446" spans="3:5" hidden="1" x14ac:dyDescent="0.3">
      <c r="C446" s="11"/>
      <c r="D446" s="8"/>
      <c r="E446" s="8"/>
    </row>
    <row r="447" spans="3:5" hidden="1" x14ac:dyDescent="0.3">
      <c r="C447" s="12"/>
      <c r="D447" s="9"/>
      <c r="E447" s="9"/>
    </row>
    <row r="448" spans="3:5" hidden="1" x14ac:dyDescent="0.3">
      <c r="C448" s="11"/>
      <c r="D448" s="8"/>
      <c r="E448" s="8"/>
    </row>
    <row r="449" spans="3:8" hidden="1" x14ac:dyDescent="0.3">
      <c r="C449" s="12"/>
      <c r="D449" s="9"/>
      <c r="E449" s="9"/>
    </row>
    <row r="450" spans="3:8" hidden="1" x14ac:dyDescent="0.3">
      <c r="C450" s="11"/>
      <c r="D450" s="8"/>
      <c r="E450" s="8"/>
    </row>
    <row r="451" spans="3:8" hidden="1" x14ac:dyDescent="0.3">
      <c r="C451" s="12" t="s">
        <v>1</v>
      </c>
      <c r="D451" s="8"/>
      <c r="F451">
        <f t="shared" ref="F451:F500" si="7">IF(IFERROR(FIND("1",C451,1),ERROR.TYPE(#VALUE!))=ERROR.TYPE(#VALUE!),$M$2,$M$1)</f>
        <v>0</v>
      </c>
      <c r="G451">
        <v>0.45050505050505052</v>
      </c>
      <c r="H451">
        <f>Tabelle13[[#This Row],[Variation]]</f>
        <v>0.45050505050505052</v>
      </c>
    </row>
    <row r="452" spans="3:8" hidden="1" x14ac:dyDescent="0.3">
      <c r="C452" s="11" t="s">
        <v>1</v>
      </c>
      <c r="D452" s="8"/>
      <c r="F452">
        <f t="shared" si="7"/>
        <v>0</v>
      </c>
      <c r="G452">
        <v>0.45151515151515148</v>
      </c>
    </row>
    <row r="453" spans="3:8" hidden="1" x14ac:dyDescent="0.3">
      <c r="C453" s="12" t="s">
        <v>1</v>
      </c>
      <c r="D453" s="8"/>
      <c r="F453">
        <f t="shared" si="7"/>
        <v>0</v>
      </c>
      <c r="G453">
        <v>0.45252525252525261</v>
      </c>
    </row>
    <row r="454" spans="3:8" hidden="1" x14ac:dyDescent="0.3">
      <c r="C454" s="11" t="s">
        <v>1</v>
      </c>
      <c r="D454" s="8"/>
      <c r="F454">
        <f t="shared" si="7"/>
        <v>0</v>
      </c>
      <c r="G454">
        <v>0.45353535353535362</v>
      </c>
    </row>
    <row r="455" spans="3:8" hidden="1" x14ac:dyDescent="0.3">
      <c r="C455" s="12" t="s">
        <v>1</v>
      </c>
      <c r="D455" s="8"/>
      <c r="F455">
        <f t="shared" si="7"/>
        <v>0</v>
      </c>
      <c r="G455">
        <v>0.45454545454545459</v>
      </c>
    </row>
    <row r="456" spans="3:8" hidden="1" x14ac:dyDescent="0.3">
      <c r="C456" s="11" t="s">
        <v>1</v>
      </c>
      <c r="D456" s="8"/>
      <c r="F456">
        <f t="shared" si="7"/>
        <v>0</v>
      </c>
      <c r="G456">
        <v>0.45555555555555549</v>
      </c>
    </row>
    <row r="457" spans="3:8" hidden="1" x14ac:dyDescent="0.3">
      <c r="C457" s="12" t="s">
        <v>1</v>
      </c>
      <c r="D457" s="8"/>
      <c r="F457">
        <f t="shared" si="7"/>
        <v>0</v>
      </c>
      <c r="G457">
        <v>0.45656565656565662</v>
      </c>
    </row>
    <row r="458" spans="3:8" hidden="1" x14ac:dyDescent="0.3">
      <c r="C458" s="11" t="s">
        <v>1</v>
      </c>
      <c r="D458" s="8"/>
      <c r="F458">
        <f t="shared" si="7"/>
        <v>0</v>
      </c>
      <c r="G458">
        <v>0.45757575757575758</v>
      </c>
    </row>
    <row r="459" spans="3:8" hidden="1" x14ac:dyDescent="0.3">
      <c r="C459" s="12" t="s">
        <v>1</v>
      </c>
      <c r="D459" s="8"/>
      <c r="F459">
        <f t="shared" si="7"/>
        <v>0</v>
      </c>
      <c r="G459">
        <v>0.4585858585858586</v>
      </c>
    </row>
    <row r="460" spans="3:8" hidden="1" x14ac:dyDescent="0.3">
      <c r="C460" s="11" t="s">
        <v>1</v>
      </c>
      <c r="D460" s="8"/>
      <c r="F460">
        <f t="shared" si="7"/>
        <v>0</v>
      </c>
      <c r="G460">
        <v>0.45959595959595961</v>
      </c>
    </row>
    <row r="461" spans="3:8" hidden="1" x14ac:dyDescent="0.3">
      <c r="C461" s="12" t="s">
        <v>1</v>
      </c>
      <c r="D461" s="8"/>
      <c r="F461">
        <f t="shared" si="7"/>
        <v>0</v>
      </c>
      <c r="G461">
        <v>0.46060606060606057</v>
      </c>
    </row>
    <row r="462" spans="3:8" hidden="1" x14ac:dyDescent="0.3">
      <c r="C462" s="11" t="s">
        <v>1</v>
      </c>
      <c r="D462" s="8"/>
      <c r="F462">
        <f t="shared" si="7"/>
        <v>0</v>
      </c>
      <c r="G462">
        <v>0.46161616161616159</v>
      </c>
    </row>
    <row r="463" spans="3:8" hidden="1" x14ac:dyDescent="0.3">
      <c r="C463" s="12" t="s">
        <v>1</v>
      </c>
      <c r="D463" s="8"/>
      <c r="F463">
        <f t="shared" si="7"/>
        <v>0</v>
      </c>
      <c r="G463">
        <v>0.46262626262626261</v>
      </c>
    </row>
    <row r="464" spans="3:8" hidden="1" x14ac:dyDescent="0.3">
      <c r="C464" s="11" t="s">
        <v>1</v>
      </c>
      <c r="D464" s="8"/>
      <c r="F464">
        <f t="shared" si="7"/>
        <v>0</v>
      </c>
      <c r="G464">
        <v>0.46363636363636362</v>
      </c>
    </row>
    <row r="465" spans="3:7" hidden="1" x14ac:dyDescent="0.3">
      <c r="C465" s="12" t="s">
        <v>1</v>
      </c>
      <c r="D465" s="8"/>
      <c r="F465">
        <f t="shared" si="7"/>
        <v>0</v>
      </c>
      <c r="G465">
        <v>0.46464646464646459</v>
      </c>
    </row>
    <row r="466" spans="3:7" hidden="1" x14ac:dyDescent="0.3">
      <c r="C466" s="11" t="s">
        <v>1</v>
      </c>
      <c r="D466" s="8"/>
      <c r="F466">
        <f t="shared" si="7"/>
        <v>0</v>
      </c>
      <c r="G466">
        <v>0.46565656565656571</v>
      </c>
    </row>
    <row r="467" spans="3:7" hidden="1" x14ac:dyDescent="0.3">
      <c r="C467" s="12" t="s">
        <v>1</v>
      </c>
      <c r="D467" s="8"/>
      <c r="F467">
        <f t="shared" si="7"/>
        <v>0</v>
      </c>
      <c r="G467">
        <v>0.46666666666666667</v>
      </c>
    </row>
    <row r="468" spans="3:7" hidden="1" x14ac:dyDescent="0.3">
      <c r="C468" s="11" t="s">
        <v>1</v>
      </c>
      <c r="D468" s="8"/>
      <c r="F468">
        <f t="shared" si="7"/>
        <v>0</v>
      </c>
      <c r="G468">
        <v>0.46767676767676769</v>
      </c>
    </row>
    <row r="469" spans="3:7" hidden="1" x14ac:dyDescent="0.3">
      <c r="C469" s="12" t="s">
        <v>1</v>
      </c>
      <c r="D469" s="8"/>
      <c r="F469">
        <f t="shared" si="7"/>
        <v>0</v>
      </c>
      <c r="G469">
        <v>0.46868686868686871</v>
      </c>
    </row>
    <row r="470" spans="3:7" hidden="1" x14ac:dyDescent="0.3">
      <c r="C470" s="11" t="s">
        <v>1</v>
      </c>
      <c r="D470" s="8"/>
      <c r="F470">
        <f t="shared" si="7"/>
        <v>0</v>
      </c>
      <c r="G470">
        <v>0.46969696969696972</v>
      </c>
    </row>
    <row r="471" spans="3:7" hidden="1" x14ac:dyDescent="0.3">
      <c r="C471" s="12" t="s">
        <v>1</v>
      </c>
      <c r="D471" s="8"/>
      <c r="F471">
        <f t="shared" si="7"/>
        <v>0</v>
      </c>
      <c r="G471">
        <v>0.47070707070707068</v>
      </c>
    </row>
    <row r="472" spans="3:7" hidden="1" x14ac:dyDescent="0.3">
      <c r="C472" s="11" t="s">
        <v>1</v>
      </c>
      <c r="D472" s="8"/>
      <c r="F472">
        <f t="shared" si="7"/>
        <v>0</v>
      </c>
      <c r="G472">
        <v>0.47171717171717181</v>
      </c>
    </row>
    <row r="473" spans="3:7" hidden="1" x14ac:dyDescent="0.3">
      <c r="C473" s="12" t="s">
        <v>1</v>
      </c>
      <c r="D473" s="8"/>
      <c r="F473">
        <f t="shared" si="7"/>
        <v>0</v>
      </c>
      <c r="G473">
        <v>0.47272727272727272</v>
      </c>
    </row>
    <row r="474" spans="3:7" hidden="1" x14ac:dyDescent="0.3">
      <c r="C474" s="11" t="s">
        <v>1</v>
      </c>
      <c r="D474" s="8"/>
      <c r="F474">
        <f t="shared" si="7"/>
        <v>0</v>
      </c>
      <c r="G474">
        <v>0.47373737373737368</v>
      </c>
    </row>
    <row r="475" spans="3:7" hidden="1" x14ac:dyDescent="0.3">
      <c r="C475" s="12" t="s">
        <v>1</v>
      </c>
      <c r="D475" s="8"/>
      <c r="F475">
        <f t="shared" si="7"/>
        <v>0</v>
      </c>
      <c r="G475">
        <v>0.47474747474747481</v>
      </c>
    </row>
    <row r="476" spans="3:7" hidden="1" x14ac:dyDescent="0.3">
      <c r="C476" s="11" t="s">
        <v>1</v>
      </c>
      <c r="D476" s="8"/>
      <c r="F476">
        <f t="shared" si="7"/>
        <v>0</v>
      </c>
      <c r="G476">
        <v>0.47575757575757582</v>
      </c>
    </row>
    <row r="477" spans="3:7" hidden="1" x14ac:dyDescent="0.3">
      <c r="C477" s="12" t="s">
        <v>1</v>
      </c>
      <c r="D477" s="8"/>
      <c r="F477">
        <f t="shared" si="7"/>
        <v>0</v>
      </c>
      <c r="G477">
        <v>0.47676767676767678</v>
      </c>
    </row>
    <row r="478" spans="3:7" hidden="1" x14ac:dyDescent="0.3">
      <c r="C478" s="11" t="s">
        <v>1</v>
      </c>
      <c r="D478" s="8"/>
      <c r="F478">
        <f t="shared" si="7"/>
        <v>0</v>
      </c>
      <c r="G478">
        <v>0.4777777777777778</v>
      </c>
    </row>
    <row r="479" spans="3:7" hidden="1" x14ac:dyDescent="0.3">
      <c r="C479" s="12" t="s">
        <v>1</v>
      </c>
      <c r="D479" s="8"/>
      <c r="F479">
        <f t="shared" si="7"/>
        <v>0</v>
      </c>
      <c r="G479">
        <v>0.47878787878787882</v>
      </c>
    </row>
    <row r="480" spans="3:7" hidden="1" x14ac:dyDescent="0.3">
      <c r="C480" s="11" t="s">
        <v>1</v>
      </c>
      <c r="D480" s="8"/>
      <c r="F480">
        <f t="shared" si="7"/>
        <v>0</v>
      </c>
      <c r="G480">
        <v>0.47979797979797978</v>
      </c>
    </row>
    <row r="481" spans="3:7" hidden="1" x14ac:dyDescent="0.3">
      <c r="C481" s="12" t="s">
        <v>1</v>
      </c>
      <c r="D481" s="8"/>
      <c r="F481">
        <f t="shared" si="7"/>
        <v>0</v>
      </c>
      <c r="G481">
        <v>0.4808080808080808</v>
      </c>
    </row>
    <row r="482" spans="3:7" hidden="1" x14ac:dyDescent="0.3">
      <c r="C482" s="11" t="s">
        <v>1</v>
      </c>
      <c r="D482" s="8"/>
      <c r="F482">
        <f t="shared" si="7"/>
        <v>0</v>
      </c>
      <c r="G482">
        <v>0.48181818181818181</v>
      </c>
    </row>
    <row r="483" spans="3:7" hidden="1" x14ac:dyDescent="0.3">
      <c r="C483" s="12" t="s">
        <v>1</v>
      </c>
      <c r="D483" s="8"/>
      <c r="F483">
        <f t="shared" si="7"/>
        <v>0</v>
      </c>
      <c r="G483">
        <v>0.48282828282828277</v>
      </c>
    </row>
    <row r="484" spans="3:7" hidden="1" x14ac:dyDescent="0.3">
      <c r="C484" s="11" t="s">
        <v>1</v>
      </c>
      <c r="D484" s="8"/>
      <c r="F484">
        <f t="shared" si="7"/>
        <v>0</v>
      </c>
      <c r="G484">
        <v>0.48383838383838379</v>
      </c>
    </row>
    <row r="485" spans="3:7" hidden="1" x14ac:dyDescent="0.3">
      <c r="C485" s="12" t="s">
        <v>1</v>
      </c>
      <c r="D485" s="8"/>
      <c r="F485">
        <f t="shared" si="7"/>
        <v>0</v>
      </c>
      <c r="G485">
        <v>0.48484848484848492</v>
      </c>
    </row>
    <row r="486" spans="3:7" hidden="1" x14ac:dyDescent="0.3">
      <c r="C486" s="11" t="s">
        <v>1</v>
      </c>
      <c r="D486" s="8"/>
      <c r="F486">
        <f t="shared" si="7"/>
        <v>0</v>
      </c>
      <c r="G486">
        <v>0.48585858585858588</v>
      </c>
    </row>
    <row r="487" spans="3:7" hidden="1" x14ac:dyDescent="0.3">
      <c r="C487" s="12" t="s">
        <v>1</v>
      </c>
      <c r="D487" s="8"/>
      <c r="F487">
        <f t="shared" si="7"/>
        <v>0</v>
      </c>
      <c r="G487">
        <v>0.4868686868686869</v>
      </c>
    </row>
    <row r="488" spans="3:7" hidden="1" x14ac:dyDescent="0.3">
      <c r="C488" s="11" t="s">
        <v>1</v>
      </c>
      <c r="D488" s="8"/>
      <c r="F488">
        <f t="shared" si="7"/>
        <v>0</v>
      </c>
      <c r="G488">
        <v>0.48787878787878791</v>
      </c>
    </row>
    <row r="489" spans="3:7" hidden="1" x14ac:dyDescent="0.3">
      <c r="C489" s="12" t="s">
        <v>1</v>
      </c>
      <c r="D489" s="8"/>
      <c r="F489">
        <f t="shared" si="7"/>
        <v>0</v>
      </c>
      <c r="G489">
        <v>0.48888888888888887</v>
      </c>
    </row>
    <row r="490" spans="3:7" hidden="1" x14ac:dyDescent="0.3">
      <c r="C490" s="11" t="s">
        <v>1</v>
      </c>
      <c r="D490" s="8"/>
      <c r="F490">
        <f t="shared" si="7"/>
        <v>0</v>
      </c>
      <c r="G490">
        <v>0.48989898989898989</v>
      </c>
    </row>
    <row r="491" spans="3:7" hidden="1" x14ac:dyDescent="0.3">
      <c r="C491" s="12" t="s">
        <v>1</v>
      </c>
      <c r="D491" s="8"/>
      <c r="F491">
        <f t="shared" si="7"/>
        <v>0</v>
      </c>
      <c r="G491">
        <v>0.49090909090909091</v>
      </c>
    </row>
    <row r="492" spans="3:7" hidden="1" x14ac:dyDescent="0.3">
      <c r="C492" s="11" t="s">
        <v>1</v>
      </c>
      <c r="D492" s="8"/>
      <c r="F492">
        <f t="shared" si="7"/>
        <v>0</v>
      </c>
      <c r="G492">
        <v>0.49191919191919192</v>
      </c>
    </row>
    <row r="493" spans="3:7" hidden="1" x14ac:dyDescent="0.3">
      <c r="C493" s="12" t="s">
        <v>1</v>
      </c>
      <c r="D493" s="8"/>
      <c r="F493">
        <f t="shared" si="7"/>
        <v>0</v>
      </c>
      <c r="G493">
        <v>0.49292929292929288</v>
      </c>
    </row>
    <row r="494" spans="3:7" hidden="1" x14ac:dyDescent="0.3">
      <c r="C494" s="11" t="s">
        <v>1</v>
      </c>
      <c r="D494" s="8"/>
      <c r="F494">
        <f t="shared" si="7"/>
        <v>0</v>
      </c>
      <c r="G494">
        <v>0.49393939393939401</v>
      </c>
    </row>
    <row r="495" spans="3:7" hidden="1" x14ac:dyDescent="0.3">
      <c r="C495" s="12" t="s">
        <v>1</v>
      </c>
      <c r="D495" s="8"/>
      <c r="F495">
        <f t="shared" si="7"/>
        <v>0</v>
      </c>
      <c r="G495">
        <v>0.49494949494949492</v>
      </c>
    </row>
    <row r="496" spans="3:7" hidden="1" x14ac:dyDescent="0.3">
      <c r="C496" s="11" t="s">
        <v>1</v>
      </c>
      <c r="D496" s="8"/>
      <c r="F496">
        <f t="shared" si="7"/>
        <v>0</v>
      </c>
      <c r="G496">
        <v>0.49595959595959588</v>
      </c>
    </row>
    <row r="497" spans="3:7" hidden="1" x14ac:dyDescent="0.3">
      <c r="C497" s="12" t="s">
        <v>1</v>
      </c>
      <c r="D497" s="8"/>
      <c r="F497">
        <f t="shared" si="7"/>
        <v>0</v>
      </c>
      <c r="G497">
        <v>0.49696969696969701</v>
      </c>
    </row>
    <row r="498" spans="3:7" hidden="1" x14ac:dyDescent="0.3">
      <c r="C498" s="11" t="s">
        <v>1</v>
      </c>
      <c r="D498" s="8"/>
      <c r="F498">
        <f t="shared" si="7"/>
        <v>0</v>
      </c>
      <c r="G498">
        <v>0.49797979797979802</v>
      </c>
    </row>
    <row r="499" spans="3:7" hidden="1" x14ac:dyDescent="0.3">
      <c r="C499" s="12" t="s">
        <v>1</v>
      </c>
      <c r="D499" s="8"/>
      <c r="F499">
        <f t="shared" si="7"/>
        <v>0</v>
      </c>
      <c r="G499">
        <v>0.49898989898989898</v>
      </c>
    </row>
    <row r="500" spans="3:7" hidden="1" x14ac:dyDescent="0.3">
      <c r="C500" s="11" t="s">
        <v>1</v>
      </c>
      <c r="D500" s="8"/>
      <c r="F500">
        <f t="shared" si="7"/>
        <v>0</v>
      </c>
      <c r="G500">
        <v>0.5</v>
      </c>
    </row>
    <row r="501" spans="3:7" hidden="1" x14ac:dyDescent="0.3">
      <c r="C501" s="12"/>
      <c r="D501" s="9"/>
      <c r="E501" s="9"/>
    </row>
    <row r="502" spans="3:7" hidden="1" x14ac:dyDescent="0.3">
      <c r="C502" s="11"/>
      <c r="D502" s="8"/>
      <c r="E502" s="8"/>
    </row>
    <row r="503" spans="3:7" hidden="1" x14ac:dyDescent="0.3">
      <c r="C503" s="12"/>
      <c r="D503" s="9"/>
      <c r="E503" s="9"/>
    </row>
    <row r="504" spans="3:7" hidden="1" x14ac:dyDescent="0.3">
      <c r="C504" s="11"/>
      <c r="D504" s="8"/>
      <c r="E504" s="8"/>
    </row>
    <row r="505" spans="3:7" hidden="1" x14ac:dyDescent="0.3">
      <c r="C505" s="12"/>
      <c r="D505" s="9"/>
      <c r="E505" s="9"/>
    </row>
    <row r="506" spans="3:7" hidden="1" x14ac:dyDescent="0.3">
      <c r="C506" s="11"/>
      <c r="D506" s="8"/>
      <c r="E506" s="8"/>
    </row>
    <row r="507" spans="3:7" hidden="1" x14ac:dyDescent="0.3">
      <c r="C507" s="12"/>
      <c r="D507" s="9"/>
      <c r="E507" s="9"/>
    </row>
    <row r="508" spans="3:7" hidden="1" x14ac:dyDescent="0.3">
      <c r="C508" s="11"/>
      <c r="D508" s="8"/>
      <c r="E508" s="8"/>
    </row>
    <row r="509" spans="3:7" hidden="1" x14ac:dyDescent="0.3">
      <c r="C509" s="12"/>
      <c r="D509" s="9"/>
      <c r="E509" s="9"/>
    </row>
    <row r="510" spans="3:7" hidden="1" x14ac:dyDescent="0.3">
      <c r="C510" s="11"/>
      <c r="D510" s="8"/>
      <c r="E510" s="8"/>
    </row>
    <row r="511" spans="3:7" hidden="1" x14ac:dyDescent="0.3">
      <c r="C511" s="12"/>
      <c r="D511" s="9"/>
      <c r="E511" s="9"/>
    </row>
    <row r="512" spans="3:7" hidden="1" x14ac:dyDescent="0.3">
      <c r="C512" s="11"/>
      <c r="D512" s="8"/>
      <c r="E512" s="8"/>
    </row>
    <row r="513" spans="3:5" hidden="1" x14ac:dyDescent="0.3">
      <c r="C513" s="12"/>
      <c r="D513" s="9"/>
      <c r="E513" s="9"/>
    </row>
    <row r="514" spans="3:5" hidden="1" x14ac:dyDescent="0.3">
      <c r="C514" s="11"/>
      <c r="D514" s="8"/>
      <c r="E514" s="8"/>
    </row>
    <row r="515" spans="3:5" hidden="1" x14ac:dyDescent="0.3">
      <c r="C515" s="12"/>
      <c r="D515" s="9"/>
      <c r="E515" s="9"/>
    </row>
    <row r="516" spans="3:5" hidden="1" x14ac:dyDescent="0.3">
      <c r="C516" s="11"/>
      <c r="D516" s="8"/>
      <c r="E516" s="8"/>
    </row>
    <row r="517" spans="3:5" hidden="1" x14ac:dyDescent="0.3">
      <c r="C517" s="12"/>
      <c r="D517" s="9"/>
      <c r="E517" s="9"/>
    </row>
    <row r="518" spans="3:5" hidden="1" x14ac:dyDescent="0.3">
      <c r="C518" s="11"/>
      <c r="D518" s="8"/>
      <c r="E518" s="8"/>
    </row>
    <row r="519" spans="3:5" hidden="1" x14ac:dyDescent="0.3">
      <c r="C519" s="12"/>
      <c r="D519" s="9"/>
      <c r="E519" s="9"/>
    </row>
    <row r="520" spans="3:5" hidden="1" x14ac:dyDescent="0.3">
      <c r="C520" s="11"/>
      <c r="D520" s="8"/>
      <c r="E520" s="8"/>
    </row>
    <row r="521" spans="3:5" hidden="1" x14ac:dyDescent="0.3">
      <c r="C521" s="12"/>
      <c r="D521" s="9"/>
      <c r="E521" s="9"/>
    </row>
    <row r="522" spans="3:5" hidden="1" x14ac:dyDescent="0.3">
      <c r="C522" s="11"/>
      <c r="D522" s="8"/>
      <c r="E522" s="8"/>
    </row>
    <row r="523" spans="3:5" hidden="1" x14ac:dyDescent="0.3">
      <c r="C523" s="12"/>
      <c r="D523" s="9"/>
      <c r="E523" s="9"/>
    </row>
    <row r="524" spans="3:5" hidden="1" x14ac:dyDescent="0.3">
      <c r="C524" s="11"/>
      <c r="D524" s="8"/>
      <c r="E524" s="8"/>
    </row>
    <row r="525" spans="3:5" hidden="1" x14ac:dyDescent="0.3">
      <c r="C525" s="12"/>
      <c r="D525" s="9"/>
      <c r="E525" s="9"/>
    </row>
    <row r="526" spans="3:5" hidden="1" x14ac:dyDescent="0.3">
      <c r="C526" s="11"/>
      <c r="D526" s="8"/>
      <c r="E526" s="8"/>
    </row>
    <row r="527" spans="3:5" hidden="1" x14ac:dyDescent="0.3">
      <c r="C527" s="12"/>
      <c r="D527" s="9"/>
      <c r="E527" s="9"/>
    </row>
    <row r="528" spans="3:5" hidden="1" x14ac:dyDescent="0.3">
      <c r="C528" s="11"/>
      <c r="D528" s="8"/>
      <c r="E528" s="8"/>
    </row>
    <row r="529" spans="3:5" hidden="1" x14ac:dyDescent="0.3">
      <c r="C529" s="12"/>
      <c r="D529" s="9"/>
      <c r="E529" s="9"/>
    </row>
    <row r="530" spans="3:5" hidden="1" x14ac:dyDescent="0.3">
      <c r="C530" s="11"/>
      <c r="D530" s="8"/>
      <c r="E530" s="8"/>
    </row>
    <row r="531" spans="3:5" hidden="1" x14ac:dyDescent="0.3">
      <c r="C531" s="12"/>
      <c r="D531" s="9"/>
      <c r="E531" s="9"/>
    </row>
    <row r="532" spans="3:5" hidden="1" x14ac:dyDescent="0.3">
      <c r="C532" s="11"/>
      <c r="D532" s="8"/>
      <c r="E532" s="8"/>
    </row>
    <row r="533" spans="3:5" hidden="1" x14ac:dyDescent="0.3">
      <c r="C533" s="12"/>
      <c r="D533" s="9"/>
      <c r="E533" s="9"/>
    </row>
    <row r="534" spans="3:5" hidden="1" x14ac:dyDescent="0.3">
      <c r="C534" s="11"/>
      <c r="D534" s="8"/>
      <c r="E534" s="8"/>
    </row>
    <row r="535" spans="3:5" hidden="1" x14ac:dyDescent="0.3">
      <c r="C535" s="12"/>
      <c r="D535" s="9"/>
      <c r="E535" s="9"/>
    </row>
    <row r="536" spans="3:5" hidden="1" x14ac:dyDescent="0.3">
      <c r="C536" s="11"/>
      <c r="D536" s="8"/>
      <c r="E536" s="8"/>
    </row>
    <row r="537" spans="3:5" hidden="1" x14ac:dyDescent="0.3">
      <c r="C537" s="12"/>
      <c r="D537" s="9"/>
      <c r="E537" s="9"/>
    </row>
    <row r="538" spans="3:5" hidden="1" x14ac:dyDescent="0.3">
      <c r="C538" s="11"/>
      <c r="D538" s="8"/>
      <c r="E538" s="8"/>
    </row>
    <row r="539" spans="3:5" hidden="1" x14ac:dyDescent="0.3">
      <c r="C539" s="12"/>
      <c r="D539" s="9"/>
      <c r="E539" s="9"/>
    </row>
    <row r="540" spans="3:5" hidden="1" x14ac:dyDescent="0.3">
      <c r="C540" s="11"/>
      <c r="D540" s="8"/>
      <c r="E540" s="8"/>
    </row>
    <row r="541" spans="3:5" hidden="1" x14ac:dyDescent="0.3">
      <c r="C541" s="12"/>
      <c r="D541" s="9"/>
      <c r="E541" s="9"/>
    </row>
    <row r="542" spans="3:5" hidden="1" x14ac:dyDescent="0.3">
      <c r="C542" s="11"/>
      <c r="D542" s="8"/>
      <c r="E542" s="8"/>
    </row>
    <row r="543" spans="3:5" hidden="1" x14ac:dyDescent="0.3">
      <c r="C543" s="12"/>
      <c r="D543" s="9"/>
      <c r="E543" s="9"/>
    </row>
    <row r="544" spans="3:5" hidden="1" x14ac:dyDescent="0.3">
      <c r="C544" s="11"/>
      <c r="D544" s="8"/>
      <c r="E544" s="8"/>
    </row>
    <row r="545" spans="3:8" hidden="1" x14ac:dyDescent="0.3">
      <c r="C545" s="12"/>
      <c r="D545" s="9"/>
      <c r="E545" s="9"/>
    </row>
    <row r="546" spans="3:8" hidden="1" x14ac:dyDescent="0.3">
      <c r="C546" s="11"/>
      <c r="D546" s="8"/>
      <c r="E546" s="8"/>
    </row>
    <row r="547" spans="3:8" hidden="1" x14ac:dyDescent="0.3">
      <c r="C547" s="12"/>
      <c r="D547" s="9"/>
      <c r="E547" s="9"/>
    </row>
    <row r="548" spans="3:8" hidden="1" x14ac:dyDescent="0.3">
      <c r="C548" s="11"/>
      <c r="D548" s="8"/>
      <c r="E548" s="8"/>
    </row>
    <row r="549" spans="3:8" hidden="1" x14ac:dyDescent="0.3">
      <c r="C549" s="12"/>
      <c r="D549" s="9"/>
      <c r="E549" s="9"/>
    </row>
    <row r="550" spans="3:8" hidden="1" x14ac:dyDescent="0.3">
      <c r="C550" s="11"/>
      <c r="D550" s="8"/>
    </row>
    <row r="551" spans="3:8" hidden="1" x14ac:dyDescent="0.3">
      <c r="C551" s="12" t="s">
        <v>34</v>
      </c>
      <c r="D551" s="8"/>
      <c r="F551">
        <f t="shared" ref="F551:F577" si="8">IF(IFERROR(FIND("1",C551,1),ERROR.TYPE(#VALUE!))=ERROR.TYPE(#VALUE!),$M$2,$M$1)</f>
        <v>0</v>
      </c>
      <c r="G551">
        <v>1753.535353535354</v>
      </c>
      <c r="H551">
        <f>Tabelle13[[#This Row],[Variation]]</f>
        <v>1753.535353535354</v>
      </c>
    </row>
    <row r="552" spans="3:8" hidden="1" x14ac:dyDescent="0.3">
      <c r="C552" s="11" t="s">
        <v>34</v>
      </c>
      <c r="D552" s="8"/>
      <c r="F552">
        <f t="shared" si="8"/>
        <v>0</v>
      </c>
      <c r="G552">
        <v>1760.606060606061</v>
      </c>
    </row>
    <row r="553" spans="3:8" hidden="1" x14ac:dyDescent="0.3">
      <c r="C553" s="12" t="s">
        <v>34</v>
      </c>
      <c r="D553" s="8"/>
      <c r="F553">
        <f t="shared" si="8"/>
        <v>0</v>
      </c>
      <c r="G553">
        <v>1767.6767676767679</v>
      </c>
    </row>
    <row r="554" spans="3:8" hidden="1" x14ac:dyDescent="0.3">
      <c r="C554" s="11" t="s">
        <v>34</v>
      </c>
      <c r="D554" s="8"/>
      <c r="F554">
        <f t="shared" si="8"/>
        <v>0</v>
      </c>
      <c r="G554">
        <v>1774.7474747474751</v>
      </c>
    </row>
    <row r="555" spans="3:8" hidden="1" x14ac:dyDescent="0.3">
      <c r="C555" s="12" t="s">
        <v>34</v>
      </c>
      <c r="D555" s="8"/>
      <c r="F555">
        <f t="shared" si="8"/>
        <v>0</v>
      </c>
      <c r="G555">
        <v>1781.818181818182</v>
      </c>
    </row>
    <row r="556" spans="3:8" hidden="1" x14ac:dyDescent="0.3">
      <c r="C556" s="11" t="s">
        <v>34</v>
      </c>
      <c r="D556" s="8"/>
      <c r="F556">
        <f t="shared" si="8"/>
        <v>0</v>
      </c>
      <c r="G556">
        <v>1788.8888888888889</v>
      </c>
    </row>
    <row r="557" spans="3:8" hidden="1" x14ac:dyDescent="0.3">
      <c r="C557" s="12" t="s">
        <v>34</v>
      </c>
      <c r="D557" s="8"/>
      <c r="F557">
        <f t="shared" si="8"/>
        <v>0</v>
      </c>
      <c r="G557">
        <v>1795.9595959595961</v>
      </c>
    </row>
    <row r="558" spans="3:8" hidden="1" x14ac:dyDescent="0.3">
      <c r="C558" s="11" t="s">
        <v>34</v>
      </c>
      <c r="D558" s="8"/>
      <c r="F558">
        <f t="shared" si="8"/>
        <v>0</v>
      </c>
      <c r="G558">
        <v>1803.030303030303</v>
      </c>
    </row>
    <row r="559" spans="3:8" hidden="1" x14ac:dyDescent="0.3">
      <c r="C559" s="12" t="s">
        <v>34</v>
      </c>
      <c r="D559" s="8"/>
      <c r="F559">
        <f t="shared" si="8"/>
        <v>0</v>
      </c>
      <c r="G559">
        <v>1810.1010101010099</v>
      </c>
    </row>
    <row r="560" spans="3:8" hidden="1" x14ac:dyDescent="0.3">
      <c r="C560" s="11" t="s">
        <v>34</v>
      </c>
      <c r="D560" s="8"/>
      <c r="F560">
        <f t="shared" si="8"/>
        <v>0</v>
      </c>
      <c r="G560">
        <v>1817.1717171717171</v>
      </c>
    </row>
    <row r="561" spans="3:7" hidden="1" x14ac:dyDescent="0.3">
      <c r="C561" s="12" t="s">
        <v>34</v>
      </c>
      <c r="D561" s="8"/>
      <c r="F561">
        <f t="shared" si="8"/>
        <v>0</v>
      </c>
      <c r="G561">
        <v>1824.242424242424</v>
      </c>
    </row>
    <row r="562" spans="3:7" hidden="1" x14ac:dyDescent="0.3">
      <c r="C562" s="11" t="s">
        <v>34</v>
      </c>
      <c r="D562" s="8"/>
      <c r="F562">
        <f t="shared" si="8"/>
        <v>0</v>
      </c>
      <c r="G562">
        <v>1831.313131313131</v>
      </c>
    </row>
    <row r="563" spans="3:7" hidden="1" x14ac:dyDescent="0.3">
      <c r="C563" s="12" t="s">
        <v>34</v>
      </c>
      <c r="D563" s="8"/>
      <c r="F563">
        <f t="shared" si="8"/>
        <v>0</v>
      </c>
      <c r="G563">
        <v>1838.3838383838381</v>
      </c>
    </row>
    <row r="564" spans="3:7" hidden="1" x14ac:dyDescent="0.3">
      <c r="C564" s="11" t="s">
        <v>34</v>
      </c>
      <c r="D564" s="8"/>
      <c r="F564">
        <f t="shared" si="8"/>
        <v>0</v>
      </c>
      <c r="G564">
        <v>1845.454545454545</v>
      </c>
    </row>
    <row r="565" spans="3:7" hidden="1" x14ac:dyDescent="0.3">
      <c r="C565" s="12" t="s">
        <v>34</v>
      </c>
      <c r="D565" s="8"/>
      <c r="F565">
        <f t="shared" si="8"/>
        <v>0</v>
      </c>
      <c r="G565">
        <v>1852.5252525252531</v>
      </c>
    </row>
    <row r="566" spans="3:7" hidden="1" x14ac:dyDescent="0.3">
      <c r="C566" s="11" t="s">
        <v>34</v>
      </c>
      <c r="D566" s="8"/>
      <c r="F566">
        <f t="shared" si="8"/>
        <v>0</v>
      </c>
      <c r="G566">
        <v>1859.59595959596</v>
      </c>
    </row>
    <row r="567" spans="3:7" hidden="1" x14ac:dyDescent="0.3">
      <c r="C567" s="12" t="s">
        <v>34</v>
      </c>
      <c r="D567" s="8"/>
      <c r="F567">
        <f t="shared" si="8"/>
        <v>0</v>
      </c>
      <c r="G567">
        <v>1866.666666666667</v>
      </c>
    </row>
    <row r="568" spans="3:7" hidden="1" x14ac:dyDescent="0.3">
      <c r="C568" s="11" t="s">
        <v>34</v>
      </c>
      <c r="D568" s="8"/>
      <c r="F568">
        <f t="shared" si="8"/>
        <v>0</v>
      </c>
      <c r="G568">
        <v>1873.7373737373739</v>
      </c>
    </row>
    <row r="569" spans="3:7" hidden="1" x14ac:dyDescent="0.3">
      <c r="C569" s="12" t="s">
        <v>34</v>
      </c>
      <c r="D569" s="8"/>
      <c r="F569">
        <f t="shared" si="8"/>
        <v>0</v>
      </c>
      <c r="G569">
        <v>1880.8080808080811</v>
      </c>
    </row>
    <row r="570" spans="3:7" hidden="1" x14ac:dyDescent="0.3">
      <c r="C570" s="11" t="s">
        <v>34</v>
      </c>
      <c r="D570" s="8"/>
      <c r="F570">
        <f t="shared" si="8"/>
        <v>0</v>
      </c>
      <c r="G570">
        <v>1887.878787878788</v>
      </c>
    </row>
    <row r="571" spans="3:7" hidden="1" x14ac:dyDescent="0.3">
      <c r="C571" s="12" t="s">
        <v>34</v>
      </c>
      <c r="D571" s="8"/>
      <c r="F571">
        <f t="shared" si="8"/>
        <v>0</v>
      </c>
      <c r="G571">
        <v>1894.9494949494949</v>
      </c>
    </row>
    <row r="572" spans="3:7" hidden="1" x14ac:dyDescent="0.3">
      <c r="C572" s="11" t="s">
        <v>34</v>
      </c>
      <c r="D572" s="8"/>
      <c r="F572">
        <f t="shared" si="8"/>
        <v>0</v>
      </c>
      <c r="G572">
        <v>1902.0202020202021</v>
      </c>
    </row>
    <row r="573" spans="3:7" hidden="1" x14ac:dyDescent="0.3">
      <c r="C573" s="12" t="s">
        <v>34</v>
      </c>
      <c r="D573" s="8"/>
      <c r="F573">
        <f t="shared" si="8"/>
        <v>0</v>
      </c>
      <c r="G573">
        <v>1909.090909090909</v>
      </c>
    </row>
    <row r="574" spans="3:7" hidden="1" x14ac:dyDescent="0.3">
      <c r="C574" s="11" t="s">
        <v>34</v>
      </c>
      <c r="D574" s="8"/>
      <c r="F574">
        <f t="shared" si="8"/>
        <v>0</v>
      </c>
      <c r="G574">
        <v>1916.1616161616159</v>
      </c>
    </row>
    <row r="575" spans="3:7" hidden="1" x14ac:dyDescent="0.3">
      <c r="C575" s="12" t="s">
        <v>34</v>
      </c>
      <c r="D575" s="8"/>
      <c r="F575">
        <f t="shared" si="8"/>
        <v>0</v>
      </c>
      <c r="G575">
        <v>1923.2323232323231</v>
      </c>
    </row>
    <row r="576" spans="3:7" hidden="1" x14ac:dyDescent="0.3">
      <c r="C576" s="11" t="s">
        <v>34</v>
      </c>
      <c r="D576" s="8"/>
      <c r="F576">
        <f t="shared" si="8"/>
        <v>0</v>
      </c>
      <c r="G576">
        <v>1930.30303030303</v>
      </c>
    </row>
    <row r="577" spans="3:7" hidden="1" x14ac:dyDescent="0.3">
      <c r="C577" s="12" t="s">
        <v>34</v>
      </c>
      <c r="D577" s="8"/>
      <c r="F577">
        <f t="shared" si="8"/>
        <v>0</v>
      </c>
      <c r="G577">
        <v>1937.373737373737</v>
      </c>
    </row>
    <row r="578" spans="3:7" hidden="1" x14ac:dyDescent="0.3">
      <c r="C578" s="11" t="s">
        <v>34</v>
      </c>
      <c r="D578" s="8"/>
      <c r="F578">
        <f t="shared" ref="F578:F641" si="9">IF(IFERROR(FIND("1",C578,1),ERROR.TYPE(#VALUE!))=ERROR.TYPE(#VALUE!),$M$2,$M$1)</f>
        <v>0</v>
      </c>
      <c r="G578">
        <v>1944.4444444444439</v>
      </c>
    </row>
    <row r="579" spans="3:7" hidden="1" x14ac:dyDescent="0.3">
      <c r="C579" s="12" t="s">
        <v>34</v>
      </c>
      <c r="D579" s="8"/>
      <c r="F579">
        <f t="shared" si="9"/>
        <v>0</v>
      </c>
      <c r="G579">
        <v>1951.515151515152</v>
      </c>
    </row>
    <row r="580" spans="3:7" hidden="1" x14ac:dyDescent="0.3">
      <c r="C580" s="11" t="s">
        <v>34</v>
      </c>
      <c r="D580" s="8"/>
      <c r="F580">
        <f t="shared" si="9"/>
        <v>0</v>
      </c>
      <c r="G580">
        <v>1958.5858585858589</v>
      </c>
    </row>
    <row r="581" spans="3:7" hidden="1" x14ac:dyDescent="0.3">
      <c r="C581" s="12" t="s">
        <v>34</v>
      </c>
      <c r="D581" s="8"/>
      <c r="F581">
        <f t="shared" si="9"/>
        <v>0</v>
      </c>
      <c r="G581">
        <v>1965.656565656566</v>
      </c>
    </row>
    <row r="582" spans="3:7" hidden="1" x14ac:dyDescent="0.3">
      <c r="C582" s="11" t="s">
        <v>34</v>
      </c>
      <c r="D582" s="8"/>
      <c r="F582">
        <f t="shared" si="9"/>
        <v>0</v>
      </c>
      <c r="G582">
        <v>1972.727272727273</v>
      </c>
    </row>
    <row r="583" spans="3:7" hidden="1" x14ac:dyDescent="0.3">
      <c r="C583" s="12" t="s">
        <v>34</v>
      </c>
      <c r="D583" s="8"/>
      <c r="F583">
        <f t="shared" si="9"/>
        <v>0</v>
      </c>
      <c r="G583">
        <v>1979.7979797979799</v>
      </c>
    </row>
    <row r="584" spans="3:7" hidden="1" x14ac:dyDescent="0.3">
      <c r="C584" s="11" t="s">
        <v>34</v>
      </c>
      <c r="D584" s="8"/>
      <c r="F584">
        <f t="shared" si="9"/>
        <v>0</v>
      </c>
      <c r="G584">
        <v>1986.8686868686871</v>
      </c>
    </row>
    <row r="585" spans="3:7" hidden="1" x14ac:dyDescent="0.3">
      <c r="C585" s="12" t="s">
        <v>34</v>
      </c>
      <c r="D585" s="8"/>
      <c r="F585">
        <f t="shared" si="9"/>
        <v>0</v>
      </c>
      <c r="G585">
        <v>1993.939393939394</v>
      </c>
    </row>
    <row r="586" spans="3:7" hidden="1" x14ac:dyDescent="0.3">
      <c r="C586" s="11" t="s">
        <v>34</v>
      </c>
      <c r="D586" s="8"/>
      <c r="F586">
        <f t="shared" si="9"/>
        <v>0</v>
      </c>
      <c r="G586">
        <v>2001.0101010101009</v>
      </c>
    </row>
    <row r="587" spans="3:7" hidden="1" x14ac:dyDescent="0.3">
      <c r="C587" s="12" t="s">
        <v>34</v>
      </c>
      <c r="D587" s="8"/>
      <c r="F587">
        <f t="shared" si="9"/>
        <v>0</v>
      </c>
      <c r="G587">
        <v>2008.0808080808081</v>
      </c>
    </row>
    <row r="588" spans="3:7" hidden="1" x14ac:dyDescent="0.3">
      <c r="C588" s="11" t="s">
        <v>34</v>
      </c>
      <c r="D588" s="8"/>
      <c r="F588">
        <f t="shared" si="9"/>
        <v>0</v>
      </c>
      <c r="G588">
        <v>2015.151515151515</v>
      </c>
    </row>
    <row r="589" spans="3:7" hidden="1" x14ac:dyDescent="0.3">
      <c r="C589" s="12" t="s">
        <v>34</v>
      </c>
      <c r="D589" s="8"/>
      <c r="F589">
        <f t="shared" si="9"/>
        <v>0</v>
      </c>
      <c r="G589">
        <v>2022.2222222222219</v>
      </c>
    </row>
    <row r="590" spans="3:7" hidden="1" x14ac:dyDescent="0.3">
      <c r="C590" s="11" t="s">
        <v>34</v>
      </c>
      <c r="D590" s="8"/>
      <c r="F590">
        <f t="shared" si="9"/>
        <v>0</v>
      </c>
      <c r="G590">
        <v>2029.2929292929291</v>
      </c>
    </row>
    <row r="591" spans="3:7" hidden="1" x14ac:dyDescent="0.3">
      <c r="C591" s="12" t="s">
        <v>34</v>
      </c>
      <c r="D591" s="8"/>
      <c r="F591">
        <f t="shared" si="9"/>
        <v>0</v>
      </c>
      <c r="G591">
        <v>2036.363636363636</v>
      </c>
    </row>
    <row r="592" spans="3:7" hidden="1" x14ac:dyDescent="0.3">
      <c r="C592" s="11" t="s">
        <v>34</v>
      </c>
      <c r="D592" s="8"/>
      <c r="F592">
        <f t="shared" si="9"/>
        <v>0</v>
      </c>
      <c r="G592">
        <v>2043.434343434343</v>
      </c>
    </row>
    <row r="593" spans="3:13" hidden="1" x14ac:dyDescent="0.3">
      <c r="C593" s="12" t="s">
        <v>34</v>
      </c>
      <c r="D593" s="8"/>
      <c r="F593">
        <f t="shared" si="9"/>
        <v>0</v>
      </c>
      <c r="G593">
        <v>2050.5050505050499</v>
      </c>
    </row>
    <row r="594" spans="3:13" hidden="1" x14ac:dyDescent="0.3">
      <c r="C594" s="11" t="s">
        <v>34</v>
      </c>
      <c r="D594" s="8"/>
      <c r="F594">
        <f t="shared" si="9"/>
        <v>0</v>
      </c>
      <c r="G594">
        <v>2057.575757575758</v>
      </c>
    </row>
    <row r="595" spans="3:13" hidden="1" x14ac:dyDescent="0.3">
      <c r="C595" s="12" t="s">
        <v>34</v>
      </c>
      <c r="D595" s="8"/>
      <c r="F595">
        <f t="shared" si="9"/>
        <v>0</v>
      </c>
      <c r="G595">
        <v>2064.6464646464651</v>
      </c>
    </row>
    <row r="596" spans="3:13" hidden="1" x14ac:dyDescent="0.3">
      <c r="C596" s="11" t="s">
        <v>34</v>
      </c>
      <c r="D596" s="8"/>
      <c r="F596">
        <f t="shared" si="9"/>
        <v>0</v>
      </c>
      <c r="G596">
        <v>2071.7171717171718</v>
      </c>
    </row>
    <row r="597" spans="3:13" hidden="1" x14ac:dyDescent="0.3">
      <c r="C597" s="12" t="s">
        <v>34</v>
      </c>
      <c r="D597" s="8"/>
      <c r="F597">
        <f t="shared" si="9"/>
        <v>0</v>
      </c>
      <c r="G597">
        <v>2078.787878787879</v>
      </c>
    </row>
    <row r="598" spans="3:13" hidden="1" x14ac:dyDescent="0.3">
      <c r="C598" s="11" t="s">
        <v>34</v>
      </c>
      <c r="D598" s="8"/>
      <c r="F598">
        <f t="shared" si="9"/>
        <v>0</v>
      </c>
      <c r="G598">
        <v>2085.8585858585861</v>
      </c>
    </row>
    <row r="599" spans="3:13" hidden="1" x14ac:dyDescent="0.3">
      <c r="C599" s="12" t="s">
        <v>34</v>
      </c>
      <c r="D599" s="8"/>
      <c r="F599">
        <f t="shared" si="9"/>
        <v>0</v>
      </c>
      <c r="G599">
        <v>2092.9292929292928</v>
      </c>
    </row>
    <row r="600" spans="3:13" hidden="1" x14ac:dyDescent="0.3">
      <c r="C600" s="11"/>
      <c r="D600" s="8"/>
    </row>
    <row r="601" spans="3:13" x14ac:dyDescent="0.3">
      <c r="C601" s="12" t="s">
        <v>35</v>
      </c>
      <c r="D601" s="9">
        <v>42317.681689854908</v>
      </c>
      <c r="F601">
        <f t="shared" si="9"/>
        <v>0</v>
      </c>
      <c r="G601">
        <v>1117.0416</v>
      </c>
    </row>
    <row r="602" spans="3:13" x14ac:dyDescent="0.3">
      <c r="C602" s="11" t="s">
        <v>35</v>
      </c>
      <c r="D602" s="8">
        <v>42210.591003911941</v>
      </c>
      <c r="F602">
        <f t="shared" si="9"/>
        <v>0</v>
      </c>
      <c r="G602">
        <v>1118.7401535353531</v>
      </c>
    </row>
    <row r="603" spans="3:13" x14ac:dyDescent="0.3">
      <c r="C603" s="12" t="s">
        <v>35</v>
      </c>
      <c r="D603" s="9">
        <v>42117.98858407564</v>
      </c>
      <c r="F603">
        <f t="shared" si="9"/>
        <v>0</v>
      </c>
      <c r="G603">
        <v>1120.4387070707071</v>
      </c>
    </row>
    <row r="604" spans="3:13" x14ac:dyDescent="0.3">
      <c r="C604" s="11" t="s">
        <v>35</v>
      </c>
      <c r="D604" s="8">
        <v>42036.76321237356</v>
      </c>
      <c r="F604">
        <f t="shared" si="9"/>
        <v>0</v>
      </c>
      <c r="G604">
        <v>1122.13726060606</v>
      </c>
    </row>
    <row r="605" spans="3:13" x14ac:dyDescent="0.3">
      <c r="C605" s="12" t="s">
        <v>35</v>
      </c>
      <c r="D605" s="9">
        <v>41956.30353086441</v>
      </c>
      <c r="F605">
        <f t="shared" si="9"/>
        <v>0</v>
      </c>
      <c r="G605">
        <v>1123.8358141414139</v>
      </c>
    </row>
    <row r="606" spans="3:13" x14ac:dyDescent="0.3">
      <c r="C606" s="11" t="s">
        <v>35</v>
      </c>
      <c r="D606" s="8">
        <v>41862.2098150948</v>
      </c>
      <c r="F606">
        <f t="shared" si="9"/>
        <v>0</v>
      </c>
      <c r="G606">
        <v>1125.534367676767</v>
      </c>
    </row>
    <row r="607" spans="3:13" x14ac:dyDescent="0.3">
      <c r="C607" s="12" t="s">
        <v>35</v>
      </c>
      <c r="D607" s="9">
        <v>41767.891860156422</v>
      </c>
      <c r="F607">
        <f t="shared" si="9"/>
        <v>0</v>
      </c>
      <c r="G607">
        <v>1127.232921212121</v>
      </c>
    </row>
    <row r="608" spans="3:13" x14ac:dyDescent="0.3">
      <c r="C608" s="11" t="s">
        <v>35</v>
      </c>
      <c r="D608" s="8">
        <v>41673.352268029397</v>
      </c>
      <c r="F608">
        <f t="shared" si="9"/>
        <v>0</v>
      </c>
      <c r="G608">
        <v>1128.931474747475</v>
      </c>
      <c r="M608" t="s">
        <v>96</v>
      </c>
    </row>
    <row r="609" spans="3:14" x14ac:dyDescent="0.3">
      <c r="C609" s="12" t="s">
        <v>35</v>
      </c>
      <c r="D609" s="9">
        <v>41580.110710889887</v>
      </c>
      <c r="F609">
        <f t="shared" si="9"/>
        <v>0</v>
      </c>
      <c r="G609">
        <v>1130.6300282828281</v>
      </c>
      <c r="M609">
        <v>23742.415173267203</v>
      </c>
    </row>
    <row r="610" spans="3:14" x14ac:dyDescent="0.3">
      <c r="C610" s="11" t="s">
        <v>35</v>
      </c>
      <c r="D610" s="8">
        <v>41486.434815605287</v>
      </c>
      <c r="F610">
        <f t="shared" si="9"/>
        <v>0</v>
      </c>
      <c r="G610">
        <v>1132.3285818181821</v>
      </c>
    </row>
    <row r="611" spans="3:14" x14ac:dyDescent="0.3">
      <c r="C611" s="12" t="s">
        <v>35</v>
      </c>
      <c r="D611" s="9">
        <v>41391.598645962353</v>
      </c>
      <c r="F611">
        <f t="shared" si="9"/>
        <v>0</v>
      </c>
      <c r="G611">
        <v>1134.027135353535</v>
      </c>
      <c r="J611" t="s">
        <v>98</v>
      </c>
      <c r="K611" t="s">
        <v>94</v>
      </c>
      <c r="L611" t="s">
        <v>93</v>
      </c>
      <c r="M611" t="s">
        <v>122</v>
      </c>
      <c r="N611" t="s">
        <v>123</v>
      </c>
    </row>
    <row r="612" spans="3:14" x14ac:dyDescent="0.3">
      <c r="C612" s="11" t="s">
        <v>35</v>
      </c>
      <c r="D612" s="8">
        <v>41323.997297211339</v>
      </c>
      <c r="F612">
        <f t="shared" si="9"/>
        <v>0</v>
      </c>
      <c r="G612">
        <v>1135.725688888889</v>
      </c>
      <c r="J612" t="s">
        <v>91</v>
      </c>
      <c r="K612" s="37">
        <v>38765.638007506575</v>
      </c>
      <c r="L612">
        <v>23742.415173267203</v>
      </c>
    </row>
    <row r="613" spans="3:14" x14ac:dyDescent="0.3">
      <c r="C613" s="12" t="s">
        <v>35</v>
      </c>
      <c r="D613" s="9">
        <v>41216.480761014391</v>
      </c>
      <c r="F613">
        <f t="shared" si="9"/>
        <v>0</v>
      </c>
      <c r="G613">
        <v>1137.424242424242</v>
      </c>
      <c r="J613" t="s">
        <v>52</v>
      </c>
      <c r="K613">
        <v>29189.413206649671</v>
      </c>
      <c r="L613">
        <v>22.645035123845449</v>
      </c>
    </row>
    <row r="614" spans="3:14" x14ac:dyDescent="0.3">
      <c r="C614" s="11" t="s">
        <v>35</v>
      </c>
      <c r="D614" s="8">
        <v>41108.925417394639</v>
      </c>
      <c r="F614">
        <f t="shared" si="9"/>
        <v>0</v>
      </c>
      <c r="G614">
        <v>1139.122795959596</v>
      </c>
      <c r="J614" t="s">
        <v>116</v>
      </c>
      <c r="K614">
        <f>Laufende_Kosten!G5</f>
        <v>27625.335914464809</v>
      </c>
      <c r="L614">
        <v>23742.415173267203</v>
      </c>
    </row>
    <row r="615" spans="3:14" x14ac:dyDescent="0.3">
      <c r="C615" s="12" t="s">
        <v>35</v>
      </c>
      <c r="D615" s="9">
        <v>41040.788724500868</v>
      </c>
      <c r="F615">
        <f t="shared" si="9"/>
        <v>0</v>
      </c>
      <c r="G615">
        <v>1140.8213494949489</v>
      </c>
      <c r="J615" t="s">
        <v>47</v>
      </c>
      <c r="K615">
        <f>Degradation!G5</f>
        <v>26601.550869983239</v>
      </c>
      <c r="L615">
        <f>Degradation!F5</f>
        <v>17927.484572164471</v>
      </c>
    </row>
    <row r="616" spans="3:14" x14ac:dyDescent="0.3">
      <c r="C616" s="11" t="s">
        <v>35</v>
      </c>
      <c r="D616" s="8">
        <v>40945.938860612958</v>
      </c>
      <c r="F616">
        <f t="shared" si="9"/>
        <v>0</v>
      </c>
      <c r="G616">
        <v>1142.5199030303031</v>
      </c>
      <c r="J616" t="s">
        <v>43</v>
      </c>
      <c r="K616" s="39">
        <f>Anschaffung!G5</f>
        <v>25671.126817098509</v>
      </c>
      <c r="L616" s="39">
        <f>Anschaffung!F5</f>
        <v>12250.639072325759</v>
      </c>
    </row>
    <row r="617" spans="3:14" x14ac:dyDescent="0.3">
      <c r="C617" s="12" t="s">
        <v>35</v>
      </c>
      <c r="D617" s="9">
        <v>40838.267000784093</v>
      </c>
      <c r="F617">
        <f t="shared" si="9"/>
        <v>0</v>
      </c>
      <c r="G617">
        <v>1144.218456565656</v>
      </c>
      <c r="J617" t="s">
        <v>117</v>
      </c>
      <c r="K617" s="39">
        <f>Sollzins_KfW!G9</f>
        <v>25174.90285761992</v>
      </c>
      <c r="L617" s="39">
        <f>Sollzins_KfW!F9</f>
        <v>11866.14304260367</v>
      </c>
    </row>
    <row r="618" spans="3:14" x14ac:dyDescent="0.3">
      <c r="C618" s="11" t="s">
        <v>35</v>
      </c>
      <c r="D618" s="8">
        <v>40755.584069529119</v>
      </c>
      <c r="F618">
        <f t="shared" si="9"/>
        <v>0</v>
      </c>
      <c r="G618">
        <v>1145.91701010101</v>
      </c>
      <c r="J618" t="s">
        <v>49</v>
      </c>
      <c r="K618">
        <f>Habenzins!G5</f>
        <v>24978.678628939131</v>
      </c>
      <c r="L618">
        <f>Habenzins!F5</f>
        <v>20948.91809882304</v>
      </c>
    </row>
    <row r="619" spans="3:14" x14ac:dyDescent="0.3">
      <c r="C619" s="12" t="s">
        <v>35</v>
      </c>
      <c r="D619" s="9">
        <v>40663.430912587377</v>
      </c>
      <c r="F619">
        <f t="shared" si="9"/>
        <v>0</v>
      </c>
      <c r="G619">
        <v>1147.615563636364</v>
      </c>
      <c r="J619" t="s">
        <v>50</v>
      </c>
      <c r="K619" s="41">
        <f>Inflation!G5</f>
        <v>24342.383923228281</v>
      </c>
      <c r="L619">
        <f>Inflation!F5</f>
        <v>14404.120093318619</v>
      </c>
    </row>
    <row r="620" spans="3:14" x14ac:dyDescent="0.3">
      <c r="C620" s="11" t="s">
        <v>35</v>
      </c>
      <c r="D620" s="8">
        <v>40571.018821406084</v>
      </c>
      <c r="F620">
        <f t="shared" si="9"/>
        <v>0</v>
      </c>
      <c r="G620">
        <v>1149.314117171717</v>
      </c>
    </row>
    <row r="621" spans="3:14" x14ac:dyDescent="0.3">
      <c r="C621" s="12" t="s">
        <v>35</v>
      </c>
      <c r="D621" s="9">
        <v>40463.19138721504</v>
      </c>
      <c r="F621">
        <f t="shared" si="9"/>
        <v>0</v>
      </c>
      <c r="G621">
        <v>1151.012670707071</v>
      </c>
      <c r="M621" t="s">
        <v>97</v>
      </c>
    </row>
    <row r="622" spans="3:14" x14ac:dyDescent="0.3">
      <c r="C622" s="11" t="s">
        <v>35</v>
      </c>
      <c r="D622" s="8">
        <v>40355.325020211152</v>
      </c>
      <c r="F622">
        <f t="shared" si="9"/>
        <v>0</v>
      </c>
      <c r="G622">
        <v>1152.7112242424239</v>
      </c>
      <c r="M622">
        <v>10289.163871678786</v>
      </c>
    </row>
    <row r="623" spans="3:14" x14ac:dyDescent="0.3">
      <c r="C623" s="12" t="s">
        <v>35</v>
      </c>
      <c r="D623" s="9">
        <v>40276.96365732533</v>
      </c>
      <c r="F623">
        <f t="shared" si="9"/>
        <v>0</v>
      </c>
      <c r="G623">
        <v>1154.4097777777779</v>
      </c>
      <c r="J623" t="s">
        <v>115</v>
      </c>
      <c r="K623" t="s">
        <v>94</v>
      </c>
      <c r="L623" t="s">
        <v>93</v>
      </c>
      <c r="M623" t="s">
        <v>122</v>
      </c>
      <c r="N623" t="s">
        <v>123</v>
      </c>
    </row>
    <row r="624" spans="3:14" x14ac:dyDescent="0.3">
      <c r="C624" s="11" t="s">
        <v>35</v>
      </c>
      <c r="D624" s="8">
        <v>40208.299275919962</v>
      </c>
      <c r="F624">
        <f t="shared" si="9"/>
        <v>0</v>
      </c>
      <c r="G624">
        <v>1156.108331313131</v>
      </c>
      <c r="J624" s="39" t="s">
        <v>91</v>
      </c>
      <c r="K624" s="52">
        <v>20587.517496833745</v>
      </c>
      <c r="L624">
        <v>10289.163871678786</v>
      </c>
    </row>
    <row r="625" spans="3:14" x14ac:dyDescent="0.3">
      <c r="C625" s="12" t="s">
        <v>35</v>
      </c>
      <c r="D625" s="9">
        <v>40210.99708610525</v>
      </c>
      <c r="F625">
        <f t="shared" si="9"/>
        <v>0</v>
      </c>
      <c r="G625">
        <v>1157.806884848485</v>
      </c>
      <c r="J625" s="39" t="s">
        <v>52</v>
      </c>
      <c r="K625" s="39">
        <v>14616.02341643098</v>
      </c>
      <c r="L625" s="39">
        <v>-20262.375437144659</v>
      </c>
    </row>
    <row r="626" spans="3:14" x14ac:dyDescent="0.3">
      <c r="C626" s="11" t="s">
        <v>35</v>
      </c>
      <c r="D626" s="8">
        <v>40131.621638304743</v>
      </c>
      <c r="F626">
        <f t="shared" si="9"/>
        <v>0</v>
      </c>
      <c r="G626">
        <v>1159.5054383838381</v>
      </c>
      <c r="J626" s="53" t="s">
        <v>46</v>
      </c>
      <c r="K626" s="39">
        <f>Batteriepreis!G5</f>
        <v>14147.71619508207</v>
      </c>
      <c r="L626">
        <f>Batteriepreis!F5</f>
        <v>7126.2858375512969</v>
      </c>
    </row>
    <row r="627" spans="3:14" x14ac:dyDescent="0.3">
      <c r="C627" s="12" t="s">
        <v>35</v>
      </c>
      <c r="D627" s="9">
        <v>40037.481075598043</v>
      </c>
      <c r="F627">
        <f t="shared" si="9"/>
        <v>0</v>
      </c>
      <c r="G627">
        <v>1161.203991919192</v>
      </c>
      <c r="J627" s="39" t="s">
        <v>116</v>
      </c>
      <c r="K627">
        <v>14115.5470194232</v>
      </c>
      <c r="L627">
        <v>10289.163871678786</v>
      </c>
    </row>
    <row r="628" spans="3:14" x14ac:dyDescent="0.3">
      <c r="C628" s="11" t="s">
        <v>35</v>
      </c>
      <c r="D628" s="8">
        <v>39929.380781804037</v>
      </c>
      <c r="F628">
        <f t="shared" si="9"/>
        <v>0</v>
      </c>
      <c r="G628">
        <v>1162.9025454545449</v>
      </c>
      <c r="J628" t="s">
        <v>47</v>
      </c>
      <c r="K628" s="39">
        <f>Degradation!G9</f>
        <v>13123.42140417006</v>
      </c>
      <c r="L628" s="39">
        <f>Degradation!F9</f>
        <v>4498.6615195094801</v>
      </c>
    </row>
    <row r="629" spans="3:14" x14ac:dyDescent="0.3">
      <c r="C629" s="12" t="s">
        <v>35</v>
      </c>
      <c r="D629" s="9">
        <v>39821.24144516969</v>
      </c>
      <c r="F629">
        <f t="shared" si="9"/>
        <v>0</v>
      </c>
      <c r="G629">
        <v>1164.6010989898989</v>
      </c>
      <c r="J629" t="s">
        <v>117</v>
      </c>
      <c r="K629" s="37">
        <f>Sollzins_KfW!G5</f>
        <v>12226.653546413319</v>
      </c>
      <c r="L629" s="37">
        <f>Sollzins_KfW!F5</f>
        <v>-11270.26503451572</v>
      </c>
    </row>
    <row r="630" spans="3:14" x14ac:dyDescent="0.3">
      <c r="C630" s="11" t="s">
        <v>35</v>
      </c>
      <c r="D630" s="8">
        <v>39713.063049952951</v>
      </c>
      <c r="F630">
        <f t="shared" si="9"/>
        <v>0</v>
      </c>
      <c r="G630">
        <v>1166.299652525252</v>
      </c>
      <c r="J630" t="s">
        <v>43</v>
      </c>
      <c r="K630" s="39">
        <f>Anschaffung!G9</f>
        <v>12207.79834805652</v>
      </c>
      <c r="L630" s="39">
        <f>Anschaffung!F9</f>
        <v>1118.7401535353531</v>
      </c>
    </row>
    <row r="631" spans="3:14" x14ac:dyDescent="0.3">
      <c r="C631" s="12" t="s">
        <v>35</v>
      </c>
      <c r="D631" s="9">
        <v>39617.27058040569</v>
      </c>
      <c r="F631">
        <f t="shared" si="9"/>
        <v>0</v>
      </c>
      <c r="G631">
        <v>1167.998206060606</v>
      </c>
      <c r="J631" t="s">
        <v>50</v>
      </c>
      <c r="K631" s="39">
        <f>Inflation!G9</f>
        <v>10889.489485220951</v>
      </c>
      <c r="L631" s="39">
        <f>Inflation!F9</f>
        <v>817.18718558069861</v>
      </c>
    </row>
    <row r="632" spans="3:14" x14ac:dyDescent="0.3">
      <c r="C632" s="11" t="s">
        <v>35</v>
      </c>
      <c r="D632" s="8">
        <v>39534.399960959228</v>
      </c>
      <c r="F632">
        <f t="shared" si="9"/>
        <v>0</v>
      </c>
      <c r="G632">
        <v>1169.69675959596</v>
      </c>
      <c r="J632" s="40" t="s">
        <v>49</v>
      </c>
      <c r="K632" s="38">
        <f>Habenzins!G9</f>
        <v>10871.11396175687</v>
      </c>
      <c r="L632" s="39">
        <f>Habenzins!F9</f>
        <v>9006.244289521801</v>
      </c>
    </row>
    <row r="633" spans="3:14" x14ac:dyDescent="0.3">
      <c r="C633" s="12" t="s">
        <v>35</v>
      </c>
      <c r="D633" s="9">
        <v>39439.070360583857</v>
      </c>
      <c r="F633">
        <f t="shared" si="9"/>
        <v>0</v>
      </c>
      <c r="G633">
        <v>1171.3953131313131</v>
      </c>
      <c r="J633" s="51" t="s">
        <v>118</v>
      </c>
      <c r="K633" s="39">
        <f>Batteriepreissenkung!G5</f>
        <v>10557.88399604589</v>
      </c>
      <c r="L633" s="39">
        <f>Batteriepreissenkung!F5</f>
        <v>10006.1214829934</v>
      </c>
    </row>
    <row r="634" spans="3:14" x14ac:dyDescent="0.3">
      <c r="C634" s="11" t="s">
        <v>35</v>
      </c>
      <c r="D634" s="8">
        <v>39343.887179748519</v>
      </c>
      <c r="F634">
        <f t="shared" si="9"/>
        <v>0</v>
      </c>
      <c r="G634">
        <v>1173.0938666666671</v>
      </c>
    </row>
    <row r="635" spans="3:14" x14ac:dyDescent="0.3">
      <c r="C635" s="12" t="s">
        <v>35</v>
      </c>
      <c r="D635" s="9">
        <v>39235.513255278362</v>
      </c>
      <c r="F635">
        <f t="shared" si="9"/>
        <v>0</v>
      </c>
      <c r="G635">
        <v>1174.7924202020199</v>
      </c>
    </row>
    <row r="636" spans="3:14" x14ac:dyDescent="0.3">
      <c r="C636" s="11" t="s">
        <v>35</v>
      </c>
      <c r="D636" s="8">
        <v>39167.694984285692</v>
      </c>
      <c r="F636">
        <f t="shared" si="9"/>
        <v>0</v>
      </c>
      <c r="G636">
        <v>1176.4909737373739</v>
      </c>
    </row>
    <row r="637" spans="3:14" x14ac:dyDescent="0.3">
      <c r="C637" s="12" t="s">
        <v>35</v>
      </c>
      <c r="D637" s="9">
        <v>39059.242737709726</v>
      </c>
      <c r="F637">
        <f t="shared" si="9"/>
        <v>0</v>
      </c>
      <c r="G637">
        <v>1178.189527272727</v>
      </c>
    </row>
    <row r="638" spans="3:14" x14ac:dyDescent="0.3">
      <c r="C638" s="11" t="s">
        <v>35</v>
      </c>
      <c r="D638" s="8">
        <v>38963.176306398927</v>
      </c>
      <c r="F638">
        <f t="shared" si="9"/>
        <v>0</v>
      </c>
      <c r="G638">
        <v>1179.888080808081</v>
      </c>
    </row>
    <row r="639" spans="3:14" x14ac:dyDescent="0.3">
      <c r="C639" s="12" t="s">
        <v>35</v>
      </c>
      <c r="D639" s="9">
        <v>38880.0316147427</v>
      </c>
      <c r="F639">
        <f t="shared" si="9"/>
        <v>0</v>
      </c>
      <c r="G639">
        <v>1181.5866343434341</v>
      </c>
    </row>
    <row r="640" spans="3:14" x14ac:dyDescent="0.3">
      <c r="C640" s="11" t="s">
        <v>35</v>
      </c>
      <c r="D640" s="8">
        <v>38771.461766568413</v>
      </c>
      <c r="F640">
        <f t="shared" si="9"/>
        <v>0</v>
      </c>
      <c r="G640">
        <v>1183.2851878787881</v>
      </c>
      <c r="N640" t="s">
        <v>52</v>
      </c>
    </row>
    <row r="641" spans="3:19" x14ac:dyDescent="0.3">
      <c r="C641" s="12" t="s">
        <v>35</v>
      </c>
      <c r="D641" s="9">
        <v>38675.818751354513</v>
      </c>
      <c r="F641">
        <f t="shared" si="9"/>
        <v>0</v>
      </c>
      <c r="G641">
        <v>1184.9837414141409</v>
      </c>
    </row>
    <row r="642" spans="3:19" x14ac:dyDescent="0.3">
      <c r="C642" s="11" t="s">
        <v>35</v>
      </c>
      <c r="D642" s="8">
        <v>38581.091127067833</v>
      </c>
      <c r="F642">
        <f t="shared" ref="F642:F685" si="10">IF(IFERROR(FIND("1",C642,1),ERROR.TYPE(#VALUE!))=ERROR.TYPE(#VALUE!),$M$2,$M$1)</f>
        <v>0</v>
      </c>
      <c r="G642">
        <v>1186.6822949494949</v>
      </c>
    </row>
    <row r="643" spans="3:19" x14ac:dyDescent="0.3">
      <c r="C643" s="12" t="s">
        <v>35</v>
      </c>
      <c r="D643" s="9">
        <v>38499.675047051838</v>
      </c>
      <c r="F643">
        <f t="shared" si="10"/>
        <v>0</v>
      </c>
      <c r="G643">
        <v>1188.380848484848</v>
      </c>
      <c r="N643" s="35"/>
      <c r="O643" s="35"/>
      <c r="P643" s="35"/>
      <c r="Q643" s="35"/>
      <c r="R643" s="36"/>
      <c r="S643" s="36"/>
    </row>
    <row r="644" spans="3:19" x14ac:dyDescent="0.3">
      <c r="C644" s="11" t="s">
        <v>35</v>
      </c>
      <c r="D644" s="8">
        <v>36568.312212521938</v>
      </c>
      <c r="F644">
        <f t="shared" si="10"/>
        <v>0</v>
      </c>
      <c r="G644">
        <v>1224.050472727273</v>
      </c>
      <c r="M644" s="35"/>
    </row>
    <row r="645" spans="3:19" x14ac:dyDescent="0.3">
      <c r="C645" s="12" t="s">
        <v>35</v>
      </c>
      <c r="D645" s="9">
        <v>36473.916300090859</v>
      </c>
      <c r="F645">
        <f t="shared" si="10"/>
        <v>0</v>
      </c>
      <c r="G645">
        <v>1225.7490262626261</v>
      </c>
    </row>
    <row r="646" spans="3:19" x14ac:dyDescent="0.3">
      <c r="C646" s="11" t="s">
        <v>35</v>
      </c>
      <c r="D646" s="8">
        <v>36377.287326189587</v>
      </c>
      <c r="F646">
        <f t="shared" si="10"/>
        <v>0</v>
      </c>
      <c r="G646">
        <v>1227.4475797979801</v>
      </c>
    </row>
    <row r="647" spans="3:19" x14ac:dyDescent="0.3">
      <c r="C647" s="12" t="s">
        <v>35</v>
      </c>
      <c r="D647" s="9">
        <v>36293.595243020492</v>
      </c>
      <c r="F647">
        <f t="shared" si="10"/>
        <v>0</v>
      </c>
      <c r="G647">
        <v>1229.146133333333</v>
      </c>
      <c r="K647" t="s">
        <v>96</v>
      </c>
      <c r="L647">
        <v>23742.415173267203</v>
      </c>
      <c r="M647" t="s">
        <v>97</v>
      </c>
      <c r="N647">
        <v>10289.163871678786</v>
      </c>
    </row>
    <row r="648" spans="3:19" ht="17.399999999999999" x14ac:dyDescent="0.3">
      <c r="C648" s="11" t="s">
        <v>35</v>
      </c>
      <c r="D648" s="8">
        <v>36183.920897528478</v>
      </c>
      <c r="F648">
        <f t="shared" si="10"/>
        <v>0</v>
      </c>
      <c r="G648">
        <v>1230.8446868686869</v>
      </c>
      <c r="O648" s="54" t="s">
        <v>124</v>
      </c>
      <c r="P648" s="54"/>
      <c r="Q648" s="54" t="s">
        <v>124</v>
      </c>
      <c r="R648" s="54"/>
      <c r="S648" s="54"/>
    </row>
    <row r="649" spans="3:19" ht="15.6" x14ac:dyDescent="0.3">
      <c r="C649" s="12" t="s">
        <v>35</v>
      </c>
      <c r="D649" s="9">
        <v>36086.631874829633</v>
      </c>
      <c r="F649">
        <f t="shared" si="10"/>
        <v>0</v>
      </c>
      <c r="G649">
        <v>1232.54324040404</v>
      </c>
      <c r="J649" t="s">
        <v>115</v>
      </c>
      <c r="K649" t="s">
        <v>94</v>
      </c>
      <c r="L649" t="s">
        <v>93</v>
      </c>
      <c r="M649" t="s">
        <v>94</v>
      </c>
      <c r="N649" t="s">
        <v>93</v>
      </c>
      <c r="O649" s="44" t="s">
        <v>94</v>
      </c>
      <c r="P649" s="44" t="s">
        <v>93</v>
      </c>
      <c r="Q649" s="44" t="s">
        <v>120</v>
      </c>
      <c r="R649" s="44" t="s">
        <v>121</v>
      </c>
      <c r="S649" s="44" t="s">
        <v>115</v>
      </c>
    </row>
    <row r="650" spans="3:19" ht="15.6" x14ac:dyDescent="0.3">
      <c r="C650" s="11" t="s">
        <v>35</v>
      </c>
      <c r="D650" s="8">
        <v>36003.191992170017</v>
      </c>
      <c r="F650">
        <f t="shared" si="10"/>
        <v>0</v>
      </c>
      <c r="G650">
        <v>1234.241793939394</v>
      </c>
      <c r="J650" s="50" t="s">
        <v>91</v>
      </c>
      <c r="K650" s="42">
        <v>38765.638007506575</v>
      </c>
      <c r="L650">
        <v>23742.415173267203</v>
      </c>
      <c r="M650" s="42">
        <v>20587.517496833745</v>
      </c>
      <c r="N650">
        <v>10289.163871678786</v>
      </c>
      <c r="O650" s="45">
        <f>K650/$L$647-1</f>
        <v>0.63275882948735496</v>
      </c>
      <c r="P650" s="45"/>
      <c r="Q650" s="45">
        <f>M650/$N$647-1</f>
        <v>1.0008931487136161</v>
      </c>
      <c r="R650" s="45"/>
      <c r="S650" s="44" t="s">
        <v>91</v>
      </c>
    </row>
    <row r="651" spans="3:19" ht="15.6" x14ac:dyDescent="0.3">
      <c r="C651" s="12" t="s">
        <v>35</v>
      </c>
      <c r="D651" s="9">
        <v>35934.99777907622</v>
      </c>
      <c r="F651">
        <f t="shared" si="10"/>
        <v>0</v>
      </c>
      <c r="G651">
        <v>1235.9403474747469</v>
      </c>
      <c r="J651" s="51" t="s">
        <v>52</v>
      </c>
      <c r="K651" s="42">
        <v>29189.413206649671</v>
      </c>
      <c r="L651" s="42">
        <v>22.645035123845449</v>
      </c>
      <c r="M651" s="42">
        <v>14616.023416431</v>
      </c>
      <c r="N651" s="42">
        <v>-20262.375437144659</v>
      </c>
      <c r="O651" s="45">
        <f t="shared" ref="O651:O656" si="11">K651/$L$647-1</f>
        <v>0.22942055362234259</v>
      </c>
      <c r="P651" s="45">
        <f t="shared" ref="P651:P656" si="12">L651/$L$647-1</f>
        <v>-0.99904622023671197</v>
      </c>
      <c r="Q651" s="45">
        <f>M651/$N$647-1</f>
        <v>0.4205258657277311</v>
      </c>
      <c r="R651" s="45">
        <f>N651/$N$647-1</f>
        <v>-2.9692927131734601</v>
      </c>
      <c r="S651" s="44" t="s">
        <v>52</v>
      </c>
    </row>
    <row r="652" spans="3:19" ht="15.6" x14ac:dyDescent="0.3">
      <c r="C652" s="11" t="s">
        <v>35</v>
      </c>
      <c r="D652" s="8">
        <v>35825.164628836057</v>
      </c>
      <c r="F652">
        <f t="shared" si="10"/>
        <v>0</v>
      </c>
      <c r="G652">
        <v>1237.6389010101011</v>
      </c>
      <c r="J652" s="50" t="s">
        <v>116</v>
      </c>
      <c r="L652" s="42">
        <v>27625.335914464809</v>
      </c>
      <c r="N652" s="42">
        <v>14115.5470194232</v>
      </c>
      <c r="O652" s="45"/>
      <c r="P652" s="45">
        <f>L652/$L$647-1</f>
        <v>0.16354362910684772</v>
      </c>
      <c r="Q652" s="45"/>
      <c r="R652" s="45">
        <f>N652/$N$647-1</f>
        <v>0.37188475132334542</v>
      </c>
      <c r="S652" s="44" t="s">
        <v>116</v>
      </c>
    </row>
    <row r="653" spans="3:19" ht="15.6" x14ac:dyDescent="0.3">
      <c r="C653" s="12" t="s">
        <v>35</v>
      </c>
      <c r="D653" s="9">
        <v>35730.668163314163</v>
      </c>
      <c r="F653">
        <f t="shared" si="10"/>
        <v>0</v>
      </c>
      <c r="G653">
        <v>1239.337454545454</v>
      </c>
      <c r="J653" s="51" t="s">
        <v>47</v>
      </c>
      <c r="K653" s="42">
        <v>26601.550869983239</v>
      </c>
      <c r="L653" s="42">
        <v>17927.484572164471</v>
      </c>
      <c r="M653" s="42">
        <v>13123.42140417006</v>
      </c>
      <c r="N653" s="42">
        <v>4498.6615195094801</v>
      </c>
      <c r="O653" s="45">
        <f t="shared" si="11"/>
        <v>0.12042311937731087</v>
      </c>
      <c r="P653" s="45">
        <f t="shared" si="12"/>
        <v>-0.24491740030096265</v>
      </c>
      <c r="Q653" s="45">
        <f t="shared" ref="Q653:R659" si="13">M653/$N$647-1</f>
        <v>0.27546043272696319</v>
      </c>
      <c r="R653" s="45">
        <f t="shared" si="13"/>
        <v>-0.56277676440821667</v>
      </c>
      <c r="S653" s="44" t="s">
        <v>47</v>
      </c>
    </row>
    <row r="654" spans="3:19" ht="15.6" x14ac:dyDescent="0.3">
      <c r="C654" s="11" t="s">
        <v>35</v>
      </c>
      <c r="D654" s="8">
        <v>35633.358313362442</v>
      </c>
      <c r="F654">
        <f t="shared" si="10"/>
        <v>0</v>
      </c>
      <c r="G654">
        <v>1241.036008080808</v>
      </c>
      <c r="J654" s="50" t="s">
        <v>43</v>
      </c>
      <c r="K654" s="42">
        <v>25671.126817098509</v>
      </c>
      <c r="L654" s="42">
        <v>12250.639072325759</v>
      </c>
      <c r="M654" s="49">
        <v>12207.79834805652</v>
      </c>
      <c r="N654" s="42">
        <v>1118.7401535353531</v>
      </c>
      <c r="O654" s="45">
        <f t="shared" si="11"/>
        <v>8.1234854573806858E-2</v>
      </c>
      <c r="P654" s="45">
        <f t="shared" si="12"/>
        <v>-0.48401883368127696</v>
      </c>
      <c r="Q654" s="45">
        <f t="shared" si="13"/>
        <v>0.18647136932660091</v>
      </c>
      <c r="R654" s="45">
        <f t="shared" si="13"/>
        <v>-0.89127006164079892</v>
      </c>
      <c r="S654" s="44" t="s">
        <v>43</v>
      </c>
    </row>
    <row r="655" spans="3:19" ht="15.6" x14ac:dyDescent="0.3">
      <c r="C655" s="12" t="s">
        <v>35</v>
      </c>
      <c r="D655" s="9">
        <v>35550.096269175338</v>
      </c>
      <c r="F655">
        <f t="shared" si="10"/>
        <v>0</v>
      </c>
      <c r="G655">
        <v>1242.734561616161</v>
      </c>
      <c r="J655" s="51" t="s">
        <v>117</v>
      </c>
      <c r="K655" s="42">
        <v>25174.90285761992</v>
      </c>
      <c r="L655">
        <v>11866.14304260367</v>
      </c>
      <c r="M655" s="47">
        <v>12226.653546413319</v>
      </c>
      <c r="N655">
        <v>-11270.2650345157</v>
      </c>
      <c r="O655" s="45">
        <f t="shared" si="11"/>
        <v>6.033453942653777E-2</v>
      </c>
      <c r="P655" s="45">
        <f t="shared" si="12"/>
        <v>-0.50021331208274189</v>
      </c>
      <c r="Q655" s="45">
        <f>M655/$N$647-1</f>
        <v>0.18830389902405265</v>
      </c>
      <c r="R655" s="45">
        <f t="shared" si="13"/>
        <v>-2.0953528561769166</v>
      </c>
      <c r="S655" s="44" t="s">
        <v>117</v>
      </c>
    </row>
    <row r="656" spans="3:19" ht="15.6" x14ac:dyDescent="0.3">
      <c r="C656" s="11" t="s">
        <v>35</v>
      </c>
      <c r="D656" s="8">
        <v>35466.648963947613</v>
      </c>
      <c r="F656">
        <f t="shared" si="10"/>
        <v>0</v>
      </c>
      <c r="G656">
        <v>1244.433115151515</v>
      </c>
      <c r="J656" s="50" t="s">
        <v>49</v>
      </c>
      <c r="K656" s="42">
        <v>24978.678628939131</v>
      </c>
      <c r="L656" s="42">
        <v>20948.91809882304</v>
      </c>
      <c r="M656" s="42">
        <v>10871.11396175687</v>
      </c>
      <c r="N656" s="42">
        <v>9006.244289521801</v>
      </c>
      <c r="O656" s="45">
        <f t="shared" si="11"/>
        <v>5.2069827212182673E-2</v>
      </c>
      <c r="P656" s="45">
        <f t="shared" si="12"/>
        <v>-0.11765850500287367</v>
      </c>
      <c r="Q656" s="45">
        <f t="shared" si="13"/>
        <v>5.6559512253461008E-2</v>
      </c>
      <c r="R656" s="45">
        <f t="shared" si="13"/>
        <v>-0.12468647580667436</v>
      </c>
      <c r="S656" s="44" t="s">
        <v>49</v>
      </c>
    </row>
    <row r="657" spans="3:19" ht="15.6" x14ac:dyDescent="0.3">
      <c r="C657" s="12" t="s">
        <v>35</v>
      </c>
      <c r="D657" s="9">
        <v>35369.956750152531</v>
      </c>
      <c r="F657">
        <f t="shared" si="10"/>
        <v>0</v>
      </c>
      <c r="G657">
        <v>1246.131668686869</v>
      </c>
      <c r="J657" s="51" t="s">
        <v>50</v>
      </c>
      <c r="K657" s="47">
        <v>24342.383923228281</v>
      </c>
      <c r="L657">
        <v>14404.120093318619</v>
      </c>
      <c r="M657" s="52">
        <v>10889.489485220951</v>
      </c>
      <c r="N657" s="48">
        <v>817.18718558069861</v>
      </c>
      <c r="O657" s="45">
        <f>K657/$L$647-1</f>
        <v>2.5269912331270072E-2</v>
      </c>
      <c r="P657" s="45">
        <f t="shared" ref="P657" si="14">L657/$L$647-1</f>
        <v>-0.39331698194137588</v>
      </c>
      <c r="Q657" s="45">
        <f t="shared" si="13"/>
        <v>5.8345422526953739E-2</v>
      </c>
      <c r="R657" s="45">
        <f t="shared" si="13"/>
        <v>-0.92057788215133507</v>
      </c>
      <c r="S657" s="44" t="s">
        <v>50</v>
      </c>
    </row>
    <row r="658" spans="3:19" ht="15.6" x14ac:dyDescent="0.3">
      <c r="C658" s="11" t="s">
        <v>35</v>
      </c>
      <c r="D658" s="8">
        <v>35287.402832250358</v>
      </c>
      <c r="F658">
        <f t="shared" si="10"/>
        <v>0</v>
      </c>
      <c r="G658">
        <v>1247.8302222222219</v>
      </c>
      <c r="J658" t="s">
        <v>118</v>
      </c>
      <c r="K658" s="43" t="s">
        <v>119</v>
      </c>
      <c r="L658" s="43" t="s">
        <v>119</v>
      </c>
      <c r="M658" s="47">
        <v>10557.88399604589</v>
      </c>
      <c r="N658" s="48">
        <v>10006.1214829934</v>
      </c>
      <c r="O658" s="46"/>
      <c r="P658" s="46"/>
      <c r="Q658" s="45">
        <f t="shared" si="13"/>
        <v>2.6116808685180404E-2</v>
      </c>
      <c r="R658" s="45">
        <f t="shared" si="13"/>
        <v>-2.7508784213697735E-2</v>
      </c>
      <c r="S658" s="44" t="s">
        <v>118</v>
      </c>
    </row>
    <row r="659" spans="3:19" ht="15.6" x14ac:dyDescent="0.3">
      <c r="C659" s="12" t="s">
        <v>35</v>
      </c>
      <c r="D659" s="9">
        <v>35177.291157427702</v>
      </c>
      <c r="F659">
        <f t="shared" si="10"/>
        <v>0</v>
      </c>
      <c r="G659">
        <v>1249.5287757575761</v>
      </c>
      <c r="J659" t="s">
        <v>46</v>
      </c>
      <c r="K659" s="43" t="s">
        <v>119</v>
      </c>
      <c r="L659" s="43" t="s">
        <v>119</v>
      </c>
      <c r="M659" s="42">
        <v>14147.71619508207</v>
      </c>
      <c r="N659" s="42">
        <v>7126.2858375512969</v>
      </c>
      <c r="O659" s="46"/>
      <c r="P659" s="46"/>
      <c r="Q659" s="45">
        <f t="shared" si="13"/>
        <v>0.37501126151018527</v>
      </c>
      <c r="R659" s="45">
        <f t="shared" si="13"/>
        <v>-0.30739893674289709</v>
      </c>
      <c r="S659" s="44" t="s">
        <v>46</v>
      </c>
    </row>
    <row r="660" spans="3:19" x14ac:dyDescent="0.3">
      <c r="C660" s="11" t="s">
        <v>35</v>
      </c>
      <c r="D660" s="8">
        <v>35067.139629253317</v>
      </c>
      <c r="F660">
        <f t="shared" si="10"/>
        <v>0</v>
      </c>
      <c r="G660">
        <v>1251.227329292929</v>
      </c>
    </row>
    <row r="661" spans="3:19" x14ac:dyDescent="0.3">
      <c r="C661" s="12" t="s">
        <v>35</v>
      </c>
      <c r="D661" s="9">
        <v>34982.702636572707</v>
      </c>
      <c r="F661">
        <f t="shared" si="10"/>
        <v>0</v>
      </c>
      <c r="G661">
        <v>1252.925882828283</v>
      </c>
    </row>
    <row r="662" spans="3:19" x14ac:dyDescent="0.3">
      <c r="C662" s="11" t="s">
        <v>35</v>
      </c>
      <c r="D662" s="8">
        <v>34898.42704522721</v>
      </c>
      <c r="F662">
        <f t="shared" si="10"/>
        <v>0</v>
      </c>
      <c r="G662">
        <v>1254.6244363636361</v>
      </c>
    </row>
    <row r="663" spans="3:19" x14ac:dyDescent="0.3">
      <c r="C663" s="12" t="s">
        <v>35</v>
      </c>
      <c r="D663" s="9">
        <v>34815.443883875698</v>
      </c>
      <c r="F663">
        <f t="shared" si="10"/>
        <v>0</v>
      </c>
      <c r="G663">
        <v>1256.32298989899</v>
      </c>
    </row>
    <row r="664" spans="3:19" x14ac:dyDescent="0.3">
      <c r="C664" s="11" t="s">
        <v>35</v>
      </c>
      <c r="D664" s="8">
        <v>34705.132781737397</v>
      </c>
      <c r="F664">
        <f t="shared" si="10"/>
        <v>0</v>
      </c>
      <c r="G664">
        <v>1258.0215434343429</v>
      </c>
    </row>
    <row r="665" spans="3:19" x14ac:dyDescent="0.3">
      <c r="C665" s="12" t="s">
        <v>35</v>
      </c>
      <c r="D665" s="9">
        <v>34607.564887480054</v>
      </c>
      <c r="F665">
        <f t="shared" si="10"/>
        <v>0</v>
      </c>
      <c r="G665">
        <v>1259.7200969696969</v>
      </c>
    </row>
    <row r="666" spans="3:19" x14ac:dyDescent="0.3">
      <c r="C666" s="11" t="s">
        <v>35</v>
      </c>
      <c r="D666" s="8">
        <v>34511.094605923106</v>
      </c>
      <c r="F666">
        <f t="shared" si="10"/>
        <v>0</v>
      </c>
      <c r="G666">
        <v>1261.41865050505</v>
      </c>
    </row>
    <row r="667" spans="3:19" x14ac:dyDescent="0.3">
      <c r="C667" s="12" t="s">
        <v>35</v>
      </c>
      <c r="D667" s="9">
        <v>34414.00345700563</v>
      </c>
      <c r="F667">
        <f t="shared" si="10"/>
        <v>0</v>
      </c>
      <c r="G667">
        <v>1263.117204040404</v>
      </c>
    </row>
    <row r="668" spans="3:19" x14ac:dyDescent="0.3">
      <c r="C668" s="11" t="s">
        <v>35</v>
      </c>
      <c r="D668" s="8">
        <v>34342.284634865107</v>
      </c>
      <c r="F668">
        <f t="shared" si="10"/>
        <v>0</v>
      </c>
      <c r="G668">
        <v>1264.815757575758</v>
      </c>
    </row>
    <row r="669" spans="3:19" x14ac:dyDescent="0.3">
      <c r="C669" s="12" t="s">
        <v>35</v>
      </c>
      <c r="D669" s="9">
        <v>34231.773703560393</v>
      </c>
      <c r="F669">
        <f t="shared" si="10"/>
        <v>0</v>
      </c>
      <c r="G669">
        <v>1266.5143111111111</v>
      </c>
    </row>
    <row r="670" spans="3:19" x14ac:dyDescent="0.3">
      <c r="C670" s="11" t="s">
        <v>35</v>
      </c>
      <c r="D670" s="8">
        <v>34149.319993445999</v>
      </c>
      <c r="F670">
        <f t="shared" si="10"/>
        <v>0</v>
      </c>
      <c r="G670">
        <v>1268.2128646464651</v>
      </c>
    </row>
    <row r="671" spans="3:19" x14ac:dyDescent="0.3">
      <c r="C671" s="12" t="s">
        <v>35</v>
      </c>
      <c r="D671" s="9">
        <v>34067.291541590334</v>
      </c>
      <c r="F671">
        <f t="shared" si="10"/>
        <v>0</v>
      </c>
      <c r="G671">
        <v>1269.9114181818179</v>
      </c>
    </row>
    <row r="672" spans="3:19" x14ac:dyDescent="0.3">
      <c r="C672" s="11" t="s">
        <v>35</v>
      </c>
      <c r="D672" s="8">
        <v>33956.660519580037</v>
      </c>
      <c r="F672">
        <f t="shared" si="10"/>
        <v>0</v>
      </c>
      <c r="G672">
        <v>1271.6099717171719</v>
      </c>
    </row>
    <row r="673" spans="3:7" x14ac:dyDescent="0.3">
      <c r="C673" s="12" t="s">
        <v>35</v>
      </c>
      <c r="D673" s="9">
        <v>33900.950075841371</v>
      </c>
      <c r="F673">
        <f t="shared" si="10"/>
        <v>0</v>
      </c>
      <c r="G673">
        <v>1273.308525252525</v>
      </c>
    </row>
    <row r="674" spans="3:7" x14ac:dyDescent="0.3">
      <c r="C674" s="11" t="s">
        <v>35</v>
      </c>
      <c r="D674" s="8">
        <v>33802.841711400302</v>
      </c>
      <c r="F674">
        <f t="shared" si="10"/>
        <v>0</v>
      </c>
      <c r="G674">
        <v>1275.007078787879</v>
      </c>
    </row>
    <row r="675" spans="3:7" x14ac:dyDescent="0.3">
      <c r="C675" s="12" t="s">
        <v>35</v>
      </c>
      <c r="D675" s="9">
        <v>33704.515453578417</v>
      </c>
      <c r="F675">
        <f t="shared" si="10"/>
        <v>0</v>
      </c>
      <c r="G675">
        <v>1276.7056323232321</v>
      </c>
    </row>
    <row r="676" spans="3:7" x14ac:dyDescent="0.3">
      <c r="C676" s="11" t="s">
        <v>35</v>
      </c>
      <c r="D676" s="8">
        <v>33593.724084878217</v>
      </c>
      <c r="F676">
        <f t="shared" si="10"/>
        <v>0</v>
      </c>
      <c r="G676">
        <v>1278.4041858585861</v>
      </c>
    </row>
    <row r="677" spans="3:7" x14ac:dyDescent="0.3">
      <c r="C677" s="12" t="s">
        <v>35</v>
      </c>
      <c r="D677" s="9">
        <v>33496.232391601377</v>
      </c>
      <c r="F677">
        <f t="shared" si="10"/>
        <v>0</v>
      </c>
      <c r="G677">
        <v>1280.1027393939389</v>
      </c>
    </row>
    <row r="678" spans="3:7" x14ac:dyDescent="0.3">
      <c r="C678" s="11" t="s">
        <v>35</v>
      </c>
      <c r="D678" s="8">
        <v>33385.360752696572</v>
      </c>
      <c r="F678">
        <f t="shared" si="10"/>
        <v>0</v>
      </c>
      <c r="G678">
        <v>1281.8012929292929</v>
      </c>
    </row>
    <row r="679" spans="3:7" x14ac:dyDescent="0.3">
      <c r="C679" s="12" t="s">
        <v>35</v>
      </c>
      <c r="D679" s="9">
        <v>33287.600560704239</v>
      </c>
      <c r="F679">
        <f t="shared" si="10"/>
        <v>0</v>
      </c>
      <c r="G679">
        <v>1283.499846464646</v>
      </c>
    </row>
    <row r="680" spans="3:7" x14ac:dyDescent="0.3">
      <c r="C680" s="11" t="s">
        <v>35</v>
      </c>
      <c r="D680" s="8">
        <v>33216.318497582928</v>
      </c>
      <c r="F680">
        <f t="shared" si="10"/>
        <v>0</v>
      </c>
      <c r="G680">
        <v>1285.1984</v>
      </c>
    </row>
    <row r="681" spans="3:7" x14ac:dyDescent="0.3">
      <c r="C681" s="12" t="s">
        <v>36</v>
      </c>
      <c r="D681" s="9">
        <v>28723.707876243428</v>
      </c>
      <c r="F681">
        <f t="shared" si="10"/>
        <v>0</v>
      </c>
      <c r="G681">
        <v>1117.0416</v>
      </c>
    </row>
    <row r="682" spans="3:7" x14ac:dyDescent="0.3">
      <c r="C682" s="11" t="s">
        <v>36</v>
      </c>
      <c r="D682" s="8">
        <v>28616.185571727281</v>
      </c>
      <c r="F682">
        <f t="shared" si="10"/>
        <v>0</v>
      </c>
      <c r="G682">
        <v>1118.7401535353531</v>
      </c>
    </row>
    <row r="683" spans="3:7" x14ac:dyDescent="0.3">
      <c r="C683" s="12" t="s">
        <v>36</v>
      </c>
      <c r="D683" s="9">
        <v>28547.739836330871</v>
      </c>
      <c r="F683">
        <f t="shared" si="10"/>
        <v>0</v>
      </c>
      <c r="G683">
        <v>1120.4387070707071</v>
      </c>
    </row>
    <row r="684" spans="3:7" x14ac:dyDescent="0.3">
      <c r="C684" s="11" t="s">
        <v>36</v>
      </c>
      <c r="D684" s="8">
        <v>28454.060603179008</v>
      </c>
      <c r="F684">
        <f t="shared" si="10"/>
        <v>0</v>
      </c>
      <c r="G684">
        <v>1122.13726060606</v>
      </c>
    </row>
    <row r="685" spans="3:7" x14ac:dyDescent="0.3">
      <c r="C685" s="12" t="s">
        <v>36</v>
      </c>
      <c r="D685" s="9">
        <v>28359.204967794041</v>
      </c>
      <c r="F685">
        <f t="shared" si="10"/>
        <v>0</v>
      </c>
      <c r="G685">
        <v>1123.8358141414139</v>
      </c>
    </row>
    <row r="686" spans="3:7" x14ac:dyDescent="0.3">
      <c r="C686" s="11" t="s">
        <v>36</v>
      </c>
      <c r="D686" s="8">
        <v>28265.058027100142</v>
      </c>
      <c r="F686">
        <f t="shared" ref="F686:F749" si="15">IF(IFERROR(FIND("1",C686,1),ERROR.TYPE(#VALUE!))=ERROR.TYPE(#VALUE!),$M$2,$M$1)</f>
        <v>0</v>
      </c>
      <c r="G686">
        <v>1125.534367676767</v>
      </c>
    </row>
    <row r="687" spans="3:7" x14ac:dyDescent="0.3">
      <c r="C687" s="12" t="s">
        <v>36</v>
      </c>
      <c r="D687" s="9">
        <v>28157.341523596409</v>
      </c>
      <c r="F687">
        <f t="shared" si="15"/>
        <v>0</v>
      </c>
      <c r="G687">
        <v>1127.232921212121</v>
      </c>
    </row>
    <row r="688" spans="3:7" x14ac:dyDescent="0.3">
      <c r="C688" s="11" t="s">
        <v>36</v>
      </c>
      <c r="D688" s="8">
        <v>28062.188931940011</v>
      </c>
      <c r="F688">
        <f t="shared" si="15"/>
        <v>0</v>
      </c>
      <c r="G688">
        <v>1128.931474747475</v>
      </c>
    </row>
    <row r="689" spans="3:7" x14ac:dyDescent="0.3">
      <c r="C689" s="12" t="s">
        <v>36</v>
      </c>
      <c r="D689" s="9">
        <v>27954.39463916139</v>
      </c>
      <c r="F689">
        <f t="shared" si="15"/>
        <v>0</v>
      </c>
      <c r="G689">
        <v>1130.6300282828281</v>
      </c>
    </row>
    <row r="690" spans="3:7" x14ac:dyDescent="0.3">
      <c r="C690" s="11" t="s">
        <v>36</v>
      </c>
      <c r="D690" s="8">
        <v>27872.326230667451</v>
      </c>
      <c r="F690">
        <f t="shared" si="15"/>
        <v>0</v>
      </c>
      <c r="G690">
        <v>1132.3285818181821</v>
      </c>
    </row>
    <row r="691" spans="3:7" x14ac:dyDescent="0.3">
      <c r="C691" s="12" t="s">
        <v>36</v>
      </c>
      <c r="D691" s="9">
        <v>27792.765189396308</v>
      </c>
      <c r="F691">
        <f t="shared" si="15"/>
        <v>0</v>
      </c>
      <c r="G691">
        <v>1134.027135353535</v>
      </c>
    </row>
    <row r="692" spans="3:7" x14ac:dyDescent="0.3">
      <c r="C692" s="11" t="s">
        <v>36</v>
      </c>
      <c r="D692" s="8">
        <v>27697.820160143368</v>
      </c>
      <c r="F692">
        <f t="shared" si="15"/>
        <v>0</v>
      </c>
      <c r="G692">
        <v>1135.725688888889</v>
      </c>
    </row>
    <row r="693" spans="3:7" x14ac:dyDescent="0.3">
      <c r="C693" s="12" t="s">
        <v>36</v>
      </c>
      <c r="D693" s="9">
        <v>27602.65324207181</v>
      </c>
      <c r="F693">
        <f t="shared" si="15"/>
        <v>0</v>
      </c>
      <c r="G693">
        <v>1137.424242424242</v>
      </c>
    </row>
    <row r="694" spans="3:7" x14ac:dyDescent="0.3">
      <c r="C694" s="11" t="s">
        <v>36</v>
      </c>
      <c r="D694" s="8">
        <v>27494.664201489119</v>
      </c>
      <c r="F694">
        <f t="shared" si="15"/>
        <v>0</v>
      </c>
      <c r="G694">
        <v>1139.122795959596</v>
      </c>
    </row>
    <row r="695" spans="3:7" x14ac:dyDescent="0.3">
      <c r="C695" s="12" t="s">
        <v>36</v>
      </c>
      <c r="D695" s="9">
        <v>27428.506550024918</v>
      </c>
      <c r="F695">
        <f t="shared" si="15"/>
        <v>0</v>
      </c>
      <c r="G695">
        <v>1140.8213494949489</v>
      </c>
    </row>
    <row r="696" spans="3:7" x14ac:dyDescent="0.3">
      <c r="C696" s="11" t="s">
        <v>36</v>
      </c>
      <c r="D696" s="8">
        <v>27360.70871862871</v>
      </c>
      <c r="F696">
        <f t="shared" si="15"/>
        <v>0</v>
      </c>
      <c r="G696">
        <v>1142.5199030303031</v>
      </c>
    </row>
    <row r="697" spans="3:7" x14ac:dyDescent="0.3">
      <c r="C697" s="12" t="s">
        <v>36</v>
      </c>
      <c r="D697" s="9">
        <v>27283.383434111729</v>
      </c>
      <c r="F697">
        <f t="shared" si="15"/>
        <v>0</v>
      </c>
      <c r="G697">
        <v>1144.218456565656</v>
      </c>
    </row>
    <row r="698" spans="3:7" x14ac:dyDescent="0.3">
      <c r="C698" s="11" t="s">
        <v>36</v>
      </c>
      <c r="D698" s="8">
        <v>27188.769004117519</v>
      </c>
      <c r="F698">
        <f t="shared" si="15"/>
        <v>0</v>
      </c>
      <c r="G698">
        <v>1145.91701010101</v>
      </c>
    </row>
    <row r="699" spans="3:7" x14ac:dyDescent="0.3">
      <c r="C699" s="12" t="s">
        <v>36</v>
      </c>
      <c r="D699" s="9">
        <v>27109.032428548209</v>
      </c>
      <c r="F699">
        <f t="shared" si="15"/>
        <v>0</v>
      </c>
      <c r="G699">
        <v>1147.615563636364</v>
      </c>
    </row>
    <row r="700" spans="3:7" x14ac:dyDescent="0.3">
      <c r="C700" s="11" t="s">
        <v>36</v>
      </c>
      <c r="D700" s="8">
        <v>27040.266645702832</v>
      </c>
      <c r="F700">
        <f t="shared" si="15"/>
        <v>0</v>
      </c>
      <c r="G700">
        <v>1149.314117171717</v>
      </c>
    </row>
    <row r="701" spans="3:7" x14ac:dyDescent="0.3">
      <c r="C701" s="12" t="s">
        <v>36</v>
      </c>
      <c r="D701" s="9">
        <v>26944.78743949045</v>
      </c>
      <c r="F701">
        <f t="shared" si="15"/>
        <v>0</v>
      </c>
      <c r="G701">
        <v>1151.012670707071</v>
      </c>
    </row>
    <row r="702" spans="3:7" x14ac:dyDescent="0.3">
      <c r="C702" s="11" t="s">
        <v>36</v>
      </c>
      <c r="D702" s="8">
        <v>26849.088783513482</v>
      </c>
      <c r="F702">
        <f t="shared" si="15"/>
        <v>0</v>
      </c>
      <c r="G702">
        <v>1152.7112242424239</v>
      </c>
    </row>
    <row r="703" spans="3:7" x14ac:dyDescent="0.3">
      <c r="C703" s="12" t="s">
        <v>36</v>
      </c>
      <c r="D703" s="9">
        <v>26753.173206262869</v>
      </c>
      <c r="F703">
        <f t="shared" si="15"/>
        <v>0</v>
      </c>
      <c r="G703">
        <v>1154.4097777777779</v>
      </c>
    </row>
    <row r="704" spans="3:7" x14ac:dyDescent="0.3">
      <c r="C704" s="11" t="s">
        <v>36</v>
      </c>
      <c r="D704" s="8">
        <v>26644.793490612781</v>
      </c>
      <c r="F704">
        <f t="shared" si="15"/>
        <v>0</v>
      </c>
      <c r="G704">
        <v>1156.108331313131</v>
      </c>
    </row>
    <row r="705" spans="3:7" x14ac:dyDescent="0.3">
      <c r="C705" s="12" t="s">
        <v>36</v>
      </c>
      <c r="D705" s="9">
        <v>26536.374620786981</v>
      </c>
      <c r="F705">
        <f t="shared" si="15"/>
        <v>0</v>
      </c>
      <c r="G705">
        <v>1157.806884848485</v>
      </c>
    </row>
    <row r="706" spans="3:7" x14ac:dyDescent="0.3">
      <c r="C706" s="11" t="s">
        <v>36</v>
      </c>
      <c r="D706" s="8">
        <v>26427.916581003599</v>
      </c>
      <c r="F706">
        <f t="shared" si="15"/>
        <v>0</v>
      </c>
      <c r="G706">
        <v>1159.5054383838381</v>
      </c>
    </row>
    <row r="707" spans="3:7" x14ac:dyDescent="0.3">
      <c r="C707" s="12" t="s">
        <v>36</v>
      </c>
      <c r="D707" s="9">
        <v>26319.4193554749</v>
      </c>
      <c r="F707">
        <f t="shared" si="15"/>
        <v>0</v>
      </c>
      <c r="G707">
        <v>1161.203991919192</v>
      </c>
    </row>
    <row r="708" spans="3:7" x14ac:dyDescent="0.3">
      <c r="C708" s="11" t="s">
        <v>36</v>
      </c>
      <c r="D708" s="8">
        <v>26223.666069948729</v>
      </c>
      <c r="F708">
        <f t="shared" si="15"/>
        <v>0</v>
      </c>
      <c r="G708">
        <v>1162.9025454545449</v>
      </c>
    </row>
    <row r="709" spans="3:7" x14ac:dyDescent="0.3">
      <c r="C709" s="12" t="s">
        <v>36</v>
      </c>
      <c r="D709" s="9">
        <v>26180.33929347606</v>
      </c>
      <c r="F709">
        <f t="shared" si="15"/>
        <v>0</v>
      </c>
      <c r="G709">
        <v>1164.6010989898989</v>
      </c>
    </row>
    <row r="710" spans="3:7" x14ac:dyDescent="0.3">
      <c r="C710" s="11" t="s">
        <v>36</v>
      </c>
      <c r="D710" s="8">
        <v>26084.876022175511</v>
      </c>
      <c r="F710">
        <f t="shared" si="15"/>
        <v>0</v>
      </c>
      <c r="G710">
        <v>1166.299652525252</v>
      </c>
    </row>
    <row r="711" spans="3:7" x14ac:dyDescent="0.3">
      <c r="C711" s="12" t="s">
        <v>36</v>
      </c>
      <c r="D711" s="9">
        <v>25989.561698115729</v>
      </c>
      <c r="F711">
        <f t="shared" si="15"/>
        <v>0</v>
      </c>
      <c r="G711">
        <v>1167.998206060606</v>
      </c>
    </row>
    <row r="712" spans="3:7" x14ac:dyDescent="0.3">
      <c r="C712" s="11" t="s">
        <v>36</v>
      </c>
      <c r="D712" s="8">
        <v>25880.86830683213</v>
      </c>
      <c r="F712">
        <f t="shared" si="15"/>
        <v>0</v>
      </c>
      <c r="G712">
        <v>1169.69675959596</v>
      </c>
    </row>
    <row r="713" spans="3:7" x14ac:dyDescent="0.3">
      <c r="C713" s="12" t="s">
        <v>36</v>
      </c>
      <c r="D713" s="9">
        <v>25800.176244710401</v>
      </c>
      <c r="F713">
        <f t="shared" si="15"/>
        <v>0</v>
      </c>
      <c r="G713">
        <v>1171.3953131313131</v>
      </c>
    </row>
    <row r="714" spans="3:7" x14ac:dyDescent="0.3">
      <c r="C714" s="11" t="s">
        <v>36</v>
      </c>
      <c r="D714" s="8">
        <v>25691.404276400801</v>
      </c>
      <c r="F714">
        <f t="shared" si="15"/>
        <v>0</v>
      </c>
      <c r="G714">
        <v>1173.0938666666671</v>
      </c>
    </row>
    <row r="715" spans="3:7" x14ac:dyDescent="0.3">
      <c r="C715" s="12" t="s">
        <v>36</v>
      </c>
      <c r="D715" s="9">
        <v>25609.339953924911</v>
      </c>
      <c r="F715">
        <f t="shared" si="15"/>
        <v>0</v>
      </c>
      <c r="G715">
        <v>1174.7924202020199</v>
      </c>
    </row>
    <row r="716" spans="3:7" x14ac:dyDescent="0.3">
      <c r="C716" s="11" t="s">
        <v>36</v>
      </c>
      <c r="D716" s="8">
        <v>25525.87528542944</v>
      </c>
      <c r="F716">
        <f t="shared" si="15"/>
        <v>0</v>
      </c>
      <c r="G716">
        <v>1176.4909737373739</v>
      </c>
    </row>
    <row r="717" spans="3:7" x14ac:dyDescent="0.3">
      <c r="C717" s="12" t="s">
        <v>36</v>
      </c>
      <c r="D717" s="9">
        <v>25429.951397896031</v>
      </c>
      <c r="F717">
        <f t="shared" si="15"/>
        <v>0</v>
      </c>
      <c r="G717">
        <v>1178.189527272727</v>
      </c>
    </row>
    <row r="718" spans="3:7" x14ac:dyDescent="0.3">
      <c r="C718" s="11" t="s">
        <v>36</v>
      </c>
      <c r="D718" s="8">
        <v>25321.022085453311</v>
      </c>
      <c r="F718">
        <f t="shared" si="15"/>
        <v>0</v>
      </c>
      <c r="G718">
        <v>1179.888080808081</v>
      </c>
    </row>
    <row r="719" spans="3:7" x14ac:dyDescent="0.3">
      <c r="C719" s="12" t="s">
        <v>36</v>
      </c>
      <c r="D719" s="9">
        <v>25225.20500359423</v>
      </c>
      <c r="F719">
        <f t="shared" si="15"/>
        <v>0</v>
      </c>
      <c r="G719">
        <v>1181.5866343434341</v>
      </c>
    </row>
    <row r="720" spans="3:7" x14ac:dyDescent="0.3">
      <c r="C720" s="11" t="s">
        <v>36</v>
      </c>
      <c r="D720" s="8">
        <v>25116.19692394997</v>
      </c>
      <c r="F720">
        <f t="shared" si="15"/>
        <v>0</v>
      </c>
      <c r="G720">
        <v>1183.2851878787881</v>
      </c>
    </row>
    <row r="721" spans="3:7" x14ac:dyDescent="0.3">
      <c r="C721" s="12" t="s">
        <v>36</v>
      </c>
      <c r="D721" s="9">
        <v>25034.019931035898</v>
      </c>
      <c r="F721">
        <f t="shared" si="15"/>
        <v>0</v>
      </c>
      <c r="G721">
        <v>1184.9837414141409</v>
      </c>
    </row>
    <row r="722" spans="3:7" x14ac:dyDescent="0.3">
      <c r="C722" s="11" t="s">
        <v>36</v>
      </c>
      <c r="D722" s="8">
        <v>24965.60923494336</v>
      </c>
      <c r="F722">
        <f t="shared" si="15"/>
        <v>0</v>
      </c>
      <c r="G722">
        <v>1186.6822949494949</v>
      </c>
    </row>
    <row r="723" spans="3:7" x14ac:dyDescent="0.3">
      <c r="C723" s="12" t="s">
        <v>36</v>
      </c>
      <c r="D723" s="9">
        <v>24883.820462156731</v>
      </c>
      <c r="F723">
        <f t="shared" si="15"/>
        <v>0</v>
      </c>
      <c r="G723">
        <v>1188.380848484848</v>
      </c>
    </row>
    <row r="724" spans="3:7" x14ac:dyDescent="0.3">
      <c r="C724" s="11" t="s">
        <v>36</v>
      </c>
      <c r="D724" s="8">
        <v>24787.437799139301</v>
      </c>
      <c r="F724">
        <f t="shared" si="15"/>
        <v>0</v>
      </c>
      <c r="G724">
        <v>1190.079402020202</v>
      </c>
    </row>
    <row r="725" spans="3:7" x14ac:dyDescent="0.3">
      <c r="C725" s="12" t="s">
        <v>36</v>
      </c>
      <c r="D725" s="9">
        <v>24678.23252362635</v>
      </c>
      <c r="F725">
        <f t="shared" si="15"/>
        <v>0</v>
      </c>
      <c r="G725">
        <v>1191.777955555556</v>
      </c>
    </row>
    <row r="726" spans="3:7" x14ac:dyDescent="0.3">
      <c r="C726" s="11" t="s">
        <v>36</v>
      </c>
      <c r="D726" s="8">
        <v>24581.953826359131</v>
      </c>
      <c r="F726">
        <f t="shared" si="15"/>
        <v>0</v>
      </c>
      <c r="G726">
        <v>1193.4765090909091</v>
      </c>
    </row>
    <row r="727" spans="3:7" x14ac:dyDescent="0.3">
      <c r="C727" s="12" t="s">
        <v>36</v>
      </c>
      <c r="D727" s="9">
        <v>24487.61519028851</v>
      </c>
      <c r="F727">
        <f t="shared" si="15"/>
        <v>0</v>
      </c>
      <c r="G727">
        <v>1195.1750626262631</v>
      </c>
    </row>
    <row r="728" spans="3:7" x14ac:dyDescent="0.3">
      <c r="C728" s="11" t="s">
        <v>36</v>
      </c>
      <c r="D728" s="8">
        <v>24417.788716712381</v>
      </c>
      <c r="F728">
        <f t="shared" si="15"/>
        <v>0</v>
      </c>
      <c r="G728">
        <v>1196.8736161616159</v>
      </c>
    </row>
    <row r="729" spans="3:7" x14ac:dyDescent="0.3">
      <c r="C729" s="12" t="s">
        <v>36</v>
      </c>
      <c r="D729" s="9">
        <v>24308.42539830309</v>
      </c>
      <c r="F729">
        <f t="shared" si="15"/>
        <v>0</v>
      </c>
      <c r="G729">
        <v>1198.572169696969</v>
      </c>
    </row>
    <row r="730" spans="3:7" x14ac:dyDescent="0.3">
      <c r="C730" s="11" t="s">
        <v>36</v>
      </c>
      <c r="D730" s="8">
        <v>24225.745233790221</v>
      </c>
      <c r="F730">
        <f t="shared" si="15"/>
        <v>0</v>
      </c>
      <c r="G730">
        <v>1200.270723232323</v>
      </c>
    </row>
    <row r="731" spans="3:7" x14ac:dyDescent="0.3">
      <c r="C731" s="12" t="s">
        <v>36</v>
      </c>
      <c r="D731" s="9">
        <v>24157.585239667049</v>
      </c>
      <c r="F731">
        <f t="shared" si="15"/>
        <v>0</v>
      </c>
      <c r="G731">
        <v>1201.969276767677</v>
      </c>
    </row>
    <row r="732" spans="3:7" x14ac:dyDescent="0.3">
      <c r="C732" s="11" t="s">
        <v>36</v>
      </c>
      <c r="D732" s="8">
        <v>24063.479647774049</v>
      </c>
      <c r="F732">
        <f t="shared" si="15"/>
        <v>0</v>
      </c>
      <c r="G732">
        <v>1203.6678303030301</v>
      </c>
    </row>
    <row r="733" spans="3:7" x14ac:dyDescent="0.3">
      <c r="C733" s="12" t="s">
        <v>36</v>
      </c>
      <c r="D733" s="9">
        <v>23967.48872333558</v>
      </c>
      <c r="F733">
        <f t="shared" si="15"/>
        <v>0</v>
      </c>
      <c r="G733">
        <v>1205.3663838383841</v>
      </c>
    </row>
    <row r="734" spans="3:7" x14ac:dyDescent="0.3">
      <c r="C734" s="11" t="s">
        <v>36</v>
      </c>
      <c r="D734" s="8">
        <v>23897.640516120071</v>
      </c>
      <c r="F734">
        <f t="shared" si="15"/>
        <v>0</v>
      </c>
      <c r="G734">
        <v>1207.0649373737369</v>
      </c>
    </row>
    <row r="735" spans="3:7" x14ac:dyDescent="0.3">
      <c r="C735" s="12" t="s">
        <v>36</v>
      </c>
      <c r="D735" s="9">
        <v>23801.763967960502</v>
      </c>
      <c r="F735">
        <f t="shared" si="15"/>
        <v>0</v>
      </c>
      <c r="G735">
        <v>1208.7634909090909</v>
      </c>
    </row>
    <row r="736" spans="3:7" x14ac:dyDescent="0.3">
      <c r="C736" s="11" t="s">
        <v>36</v>
      </c>
      <c r="D736" s="8">
        <v>23692.123461089479</v>
      </c>
      <c r="F736">
        <f t="shared" si="15"/>
        <v>0</v>
      </c>
      <c r="G736">
        <v>1210.462044444444</v>
      </c>
    </row>
    <row r="737" spans="3:7" x14ac:dyDescent="0.3">
      <c r="C737" s="12" t="s">
        <v>36</v>
      </c>
      <c r="D737" s="9">
        <v>23595.0460906845</v>
      </c>
      <c r="F737">
        <f t="shared" si="15"/>
        <v>0</v>
      </c>
      <c r="G737">
        <v>1212.160597979798</v>
      </c>
    </row>
    <row r="738" spans="3:7" x14ac:dyDescent="0.3">
      <c r="C738" s="11" t="s">
        <v>36</v>
      </c>
      <c r="D738" s="8">
        <v>23498.477849734802</v>
      </c>
      <c r="F738">
        <f t="shared" si="15"/>
        <v>0</v>
      </c>
      <c r="G738">
        <v>1213.8591515151511</v>
      </c>
    </row>
    <row r="739" spans="3:7" x14ac:dyDescent="0.3">
      <c r="C739" s="12" t="s">
        <v>36</v>
      </c>
      <c r="D739" s="9">
        <v>23401.50144994225</v>
      </c>
      <c r="F739">
        <f t="shared" si="15"/>
        <v>0</v>
      </c>
      <c r="G739">
        <v>1215.5577050505051</v>
      </c>
    </row>
    <row r="740" spans="3:7" x14ac:dyDescent="0.3">
      <c r="C740" s="11" t="s">
        <v>36</v>
      </c>
      <c r="D740" s="8">
        <v>23307.29865719155</v>
      </c>
      <c r="F740">
        <f t="shared" si="15"/>
        <v>0</v>
      </c>
      <c r="G740">
        <v>1217.2562585858579</v>
      </c>
    </row>
    <row r="741" spans="3:7" x14ac:dyDescent="0.3">
      <c r="C741" s="12" t="s">
        <v>36</v>
      </c>
      <c r="D741" s="9">
        <v>23209.884679625651</v>
      </c>
      <c r="F741">
        <f t="shared" si="15"/>
        <v>0</v>
      </c>
      <c r="G741">
        <v>1218.9548121212119</v>
      </c>
    </row>
    <row r="742" spans="3:7" x14ac:dyDescent="0.3">
      <c r="C742" s="11" t="s">
        <v>36</v>
      </c>
      <c r="D742" s="8">
        <v>23126.311827497571</v>
      </c>
      <c r="F742">
        <f t="shared" si="15"/>
        <v>0</v>
      </c>
      <c r="G742">
        <v>1220.653365656565</v>
      </c>
    </row>
    <row r="743" spans="3:7" x14ac:dyDescent="0.3">
      <c r="C743" s="12" t="s">
        <v>36</v>
      </c>
      <c r="D743" s="9">
        <v>23030.314053685819</v>
      </c>
      <c r="F743">
        <f t="shared" si="15"/>
        <v>0</v>
      </c>
      <c r="G743">
        <v>1222.351919191919</v>
      </c>
    </row>
    <row r="744" spans="3:7" x14ac:dyDescent="0.3">
      <c r="C744" s="11" t="s">
        <v>36</v>
      </c>
      <c r="D744" s="8">
        <v>22961.01619383266</v>
      </c>
      <c r="F744">
        <f t="shared" si="15"/>
        <v>0</v>
      </c>
      <c r="G744">
        <v>1224.050472727273</v>
      </c>
    </row>
    <row r="745" spans="3:7" x14ac:dyDescent="0.3">
      <c r="C745" s="12" t="s">
        <v>36</v>
      </c>
      <c r="D745" s="9">
        <v>22851.018151765071</v>
      </c>
      <c r="F745">
        <f t="shared" si="15"/>
        <v>0</v>
      </c>
      <c r="G745">
        <v>1225.7490262626261</v>
      </c>
    </row>
    <row r="746" spans="3:7" x14ac:dyDescent="0.3">
      <c r="C746" s="11" t="s">
        <v>36</v>
      </c>
      <c r="D746" s="8">
        <v>22755.10020930642</v>
      </c>
      <c r="F746">
        <f t="shared" si="15"/>
        <v>0</v>
      </c>
      <c r="G746">
        <v>1227.4475797979801</v>
      </c>
    </row>
    <row r="747" spans="3:7" x14ac:dyDescent="0.3">
      <c r="C747" s="12" t="s">
        <v>36</v>
      </c>
      <c r="D747" s="9">
        <v>22683.382286666369</v>
      </c>
      <c r="F747">
        <f t="shared" si="15"/>
        <v>0</v>
      </c>
      <c r="G747">
        <v>1229.146133333333</v>
      </c>
    </row>
    <row r="748" spans="3:7" x14ac:dyDescent="0.3">
      <c r="C748" s="11" t="s">
        <v>36</v>
      </c>
      <c r="D748" s="8">
        <v>22586.98909050279</v>
      </c>
      <c r="F748">
        <f t="shared" si="15"/>
        <v>0</v>
      </c>
      <c r="G748">
        <v>1230.8446868686869</v>
      </c>
    </row>
    <row r="749" spans="3:7" x14ac:dyDescent="0.3">
      <c r="C749" s="12" t="s">
        <v>36</v>
      </c>
      <c r="D749" s="9">
        <v>22476.831727562621</v>
      </c>
      <c r="F749">
        <f t="shared" si="15"/>
        <v>0</v>
      </c>
      <c r="G749">
        <v>1232.54324040404</v>
      </c>
    </row>
    <row r="750" spans="3:7" x14ac:dyDescent="0.3">
      <c r="C750" s="11" t="s">
        <v>36</v>
      </c>
      <c r="D750" s="8">
        <v>22381.369272371321</v>
      </c>
      <c r="F750">
        <f t="shared" ref="F750:F780" si="16">IF(IFERROR(FIND("1",C750,1),ERROR.TYPE(#VALUE!))=ERROR.TYPE(#VALUE!),$M$2,$M$1)</f>
        <v>0</v>
      </c>
      <c r="G750">
        <v>1234.241793939394</v>
      </c>
    </row>
    <row r="751" spans="3:7" x14ac:dyDescent="0.3">
      <c r="C751" s="12" t="s">
        <v>36</v>
      </c>
      <c r="D751" s="9">
        <v>22296.701016478619</v>
      </c>
      <c r="F751">
        <f t="shared" si="16"/>
        <v>0</v>
      </c>
      <c r="G751">
        <v>1235.9403474747469</v>
      </c>
    </row>
    <row r="752" spans="3:7" x14ac:dyDescent="0.3">
      <c r="C752" s="11" t="s">
        <v>36</v>
      </c>
      <c r="D752" s="8">
        <v>22199.76379685455</v>
      </c>
      <c r="F752">
        <f t="shared" si="16"/>
        <v>0</v>
      </c>
      <c r="G752">
        <v>1237.6389010101011</v>
      </c>
    </row>
    <row r="753" spans="3:7" x14ac:dyDescent="0.3">
      <c r="C753" s="12" t="s">
        <v>36</v>
      </c>
      <c r="D753" s="9">
        <v>22116.19381437917</v>
      </c>
      <c r="F753">
        <f t="shared" si="16"/>
        <v>0</v>
      </c>
      <c r="G753">
        <v>1239.337454545454</v>
      </c>
    </row>
    <row r="754" spans="3:7" x14ac:dyDescent="0.3">
      <c r="C754" s="11" t="s">
        <v>36</v>
      </c>
      <c r="D754" s="8">
        <v>22018.62008077429</v>
      </c>
      <c r="F754">
        <f t="shared" si="16"/>
        <v>0</v>
      </c>
      <c r="G754">
        <v>1241.036008080808</v>
      </c>
    </row>
    <row r="755" spans="3:7" x14ac:dyDescent="0.3">
      <c r="C755" s="12" t="s">
        <v>36</v>
      </c>
      <c r="D755" s="9">
        <v>21908.223254975659</v>
      </c>
      <c r="F755">
        <f t="shared" si="16"/>
        <v>0</v>
      </c>
      <c r="G755">
        <v>1242.734561616161</v>
      </c>
    </row>
    <row r="756" spans="3:7" x14ac:dyDescent="0.3">
      <c r="C756" s="11" t="s">
        <v>36</v>
      </c>
      <c r="D756" s="8">
        <v>21824.468760380249</v>
      </c>
      <c r="F756">
        <f t="shared" si="16"/>
        <v>0</v>
      </c>
      <c r="G756">
        <v>1244.433115151515</v>
      </c>
    </row>
    <row r="757" spans="3:7" x14ac:dyDescent="0.3">
      <c r="C757" s="12" t="s">
        <v>36</v>
      </c>
      <c r="D757" s="9">
        <v>21727.912689004072</v>
      </c>
      <c r="F757">
        <f t="shared" si="16"/>
        <v>0</v>
      </c>
      <c r="G757">
        <v>1246.131668686869</v>
      </c>
    </row>
    <row r="758" spans="3:7" x14ac:dyDescent="0.3">
      <c r="C758" s="11" t="s">
        <v>36</v>
      </c>
      <c r="D758" s="8">
        <v>21629.998713366502</v>
      </c>
      <c r="F758">
        <f t="shared" si="16"/>
        <v>0</v>
      </c>
      <c r="G758">
        <v>1247.8302222222219</v>
      </c>
    </row>
    <row r="759" spans="3:7" x14ac:dyDescent="0.3">
      <c r="C759" s="12" t="s">
        <v>36</v>
      </c>
      <c r="D759" s="9">
        <v>21559.778618222979</v>
      </c>
      <c r="F759">
        <f t="shared" si="16"/>
        <v>0</v>
      </c>
      <c r="G759">
        <v>1249.5287757575761</v>
      </c>
    </row>
    <row r="760" spans="3:7" x14ac:dyDescent="0.3">
      <c r="C760" s="11" t="s">
        <v>36</v>
      </c>
      <c r="D760" s="8">
        <v>21449.181797784109</v>
      </c>
      <c r="F760">
        <f t="shared" si="16"/>
        <v>0</v>
      </c>
      <c r="G760">
        <v>1251.227329292929</v>
      </c>
    </row>
    <row r="761" spans="3:7" x14ac:dyDescent="0.3">
      <c r="C761" s="12" t="s">
        <v>36</v>
      </c>
      <c r="D761" s="9">
        <v>21352.26924259961</v>
      </c>
      <c r="F761">
        <f t="shared" si="16"/>
        <v>0</v>
      </c>
      <c r="G761">
        <v>1252.925882828283</v>
      </c>
    </row>
    <row r="762" spans="3:7" x14ac:dyDescent="0.3">
      <c r="C762" s="11" t="s">
        <v>36</v>
      </c>
      <c r="D762" s="8">
        <v>21267.715255534731</v>
      </c>
      <c r="F762">
        <f t="shared" si="16"/>
        <v>0</v>
      </c>
      <c r="G762">
        <v>1254.6244363636361</v>
      </c>
    </row>
    <row r="763" spans="3:7" x14ac:dyDescent="0.3">
      <c r="C763" s="12" t="s">
        <v>36</v>
      </c>
      <c r="D763" s="9">
        <v>21171.11815076078</v>
      </c>
      <c r="F763">
        <f t="shared" si="16"/>
        <v>0</v>
      </c>
      <c r="G763">
        <v>1256.32298989899</v>
      </c>
    </row>
    <row r="764" spans="3:7" x14ac:dyDescent="0.3">
      <c r="C764" s="11" t="s">
        <v>36</v>
      </c>
      <c r="D764" s="8">
        <v>21060.361044581161</v>
      </c>
      <c r="F764">
        <f t="shared" si="16"/>
        <v>0</v>
      </c>
      <c r="G764">
        <v>1258.0215434343429</v>
      </c>
    </row>
    <row r="765" spans="3:7" x14ac:dyDescent="0.3">
      <c r="C765" s="12" t="s">
        <v>36</v>
      </c>
      <c r="D765" s="9">
        <v>20975.318231528719</v>
      </c>
      <c r="F765">
        <f t="shared" si="16"/>
        <v>0</v>
      </c>
      <c r="G765">
        <v>1259.7200969696969</v>
      </c>
    </row>
    <row r="766" spans="3:7" x14ac:dyDescent="0.3">
      <c r="C766" s="11" t="s">
        <v>36</v>
      </c>
      <c r="D766" s="8">
        <v>20876.905885667951</v>
      </c>
      <c r="F766">
        <f t="shared" si="16"/>
        <v>0</v>
      </c>
      <c r="G766">
        <v>1261.41865050505</v>
      </c>
    </row>
    <row r="767" spans="3:7" x14ac:dyDescent="0.3">
      <c r="C767" s="12" t="s">
        <v>36</v>
      </c>
      <c r="D767" s="9">
        <v>20822.871694398698</v>
      </c>
      <c r="F767">
        <f t="shared" si="16"/>
        <v>0</v>
      </c>
      <c r="G767">
        <v>1263.117204040404</v>
      </c>
    </row>
    <row r="768" spans="3:7" x14ac:dyDescent="0.3">
      <c r="C768" s="11" t="s">
        <v>36</v>
      </c>
      <c r="D768" s="8">
        <v>20711.95404425099</v>
      </c>
      <c r="F768">
        <f t="shared" si="16"/>
        <v>0</v>
      </c>
      <c r="G768">
        <v>1264.815757575758</v>
      </c>
    </row>
    <row r="769" spans="3:7" x14ac:dyDescent="0.3">
      <c r="C769" s="12" t="s">
        <v>36</v>
      </c>
      <c r="D769" s="9">
        <v>20613.779359259101</v>
      </c>
      <c r="F769">
        <f t="shared" si="16"/>
        <v>0</v>
      </c>
      <c r="G769">
        <v>1266.5143111111111</v>
      </c>
    </row>
    <row r="770" spans="3:7" x14ac:dyDescent="0.3">
      <c r="C770" s="11" t="s">
        <v>36</v>
      </c>
      <c r="D770" s="8">
        <v>20502.781340169891</v>
      </c>
      <c r="F770">
        <f t="shared" si="16"/>
        <v>0</v>
      </c>
      <c r="G770">
        <v>1268.2128646464651</v>
      </c>
    </row>
    <row r="771" spans="3:7" x14ac:dyDescent="0.3">
      <c r="C771" s="12" t="s">
        <v>36</v>
      </c>
      <c r="D771" s="9">
        <v>20419.505408269099</v>
      </c>
      <c r="F771">
        <f t="shared" si="16"/>
        <v>0</v>
      </c>
      <c r="G771">
        <v>1269.9114181818179</v>
      </c>
    </row>
    <row r="772" spans="3:7" x14ac:dyDescent="0.3">
      <c r="C772" s="11" t="s">
        <v>36</v>
      </c>
      <c r="D772" s="8">
        <v>20362.43442006507</v>
      </c>
      <c r="F772">
        <f t="shared" si="16"/>
        <v>0</v>
      </c>
      <c r="G772">
        <v>1271.6099717171719</v>
      </c>
    </row>
    <row r="773" spans="3:7" x14ac:dyDescent="0.3">
      <c r="C773" s="12" t="s">
        <v>36</v>
      </c>
      <c r="D773" s="9">
        <v>20251.31572622756</v>
      </c>
      <c r="F773">
        <f t="shared" si="16"/>
        <v>0</v>
      </c>
      <c r="G773">
        <v>1273.308525252525</v>
      </c>
    </row>
    <row r="774" spans="3:7" x14ac:dyDescent="0.3">
      <c r="C774" s="11" t="s">
        <v>36</v>
      </c>
      <c r="D774" s="8">
        <v>20167.032693847312</v>
      </c>
      <c r="F774">
        <f t="shared" si="16"/>
        <v>0</v>
      </c>
      <c r="G774">
        <v>1275.007078787879</v>
      </c>
    </row>
    <row r="775" spans="3:7" x14ac:dyDescent="0.3">
      <c r="C775" s="12" t="s">
        <v>36</v>
      </c>
      <c r="D775" s="9">
        <v>20055.833469215941</v>
      </c>
      <c r="F775">
        <f t="shared" si="16"/>
        <v>0</v>
      </c>
      <c r="G775">
        <v>1276.7056323232321</v>
      </c>
    </row>
    <row r="776" spans="3:7" x14ac:dyDescent="0.3">
      <c r="C776" s="11" t="s">
        <v>36</v>
      </c>
      <c r="D776" s="8">
        <v>19972.29479805271</v>
      </c>
      <c r="F776">
        <f t="shared" si="16"/>
        <v>0</v>
      </c>
      <c r="G776">
        <v>1278.4041858585861</v>
      </c>
    </row>
    <row r="777" spans="3:7" x14ac:dyDescent="0.3">
      <c r="C777" s="12" t="s">
        <v>36</v>
      </c>
      <c r="D777" s="9">
        <v>19873.798119342198</v>
      </c>
      <c r="F777">
        <f t="shared" si="16"/>
        <v>0</v>
      </c>
      <c r="G777">
        <v>1280.1027393939389</v>
      </c>
    </row>
    <row r="778" spans="3:7" x14ac:dyDescent="0.3">
      <c r="C778" s="11" t="s">
        <v>36</v>
      </c>
      <c r="D778" s="8">
        <v>19801.036467285001</v>
      </c>
      <c r="F778">
        <f t="shared" si="16"/>
        <v>0</v>
      </c>
      <c r="G778">
        <v>1281.8012929292929</v>
      </c>
    </row>
    <row r="779" spans="3:7" x14ac:dyDescent="0.3">
      <c r="C779" s="12" t="s">
        <v>36</v>
      </c>
      <c r="D779" s="9">
        <v>19703.79589231285</v>
      </c>
      <c r="F779">
        <f t="shared" si="16"/>
        <v>0</v>
      </c>
      <c r="G779">
        <v>1283.499846464646</v>
      </c>
    </row>
    <row r="780" spans="3:7" x14ac:dyDescent="0.3">
      <c r="C780" s="11" t="s">
        <v>36</v>
      </c>
      <c r="D780" s="8">
        <v>19592.395056971862</v>
      </c>
      <c r="F780">
        <f t="shared" si="16"/>
        <v>0</v>
      </c>
      <c r="G780">
        <v>1285.1984</v>
      </c>
    </row>
    <row r="781" spans="3:7" hidden="1" x14ac:dyDescent="0.3">
      <c r="C781" s="12"/>
      <c r="D781" s="9"/>
      <c r="E781" s="9"/>
    </row>
    <row r="782" spans="3:7" hidden="1" x14ac:dyDescent="0.3">
      <c r="C782" s="11"/>
      <c r="D782" s="8"/>
      <c r="E782" s="8"/>
    </row>
    <row r="783" spans="3:7" hidden="1" x14ac:dyDescent="0.3">
      <c r="C783" s="12"/>
      <c r="D783" s="9"/>
      <c r="E783" s="9"/>
    </row>
    <row r="784" spans="3:7" hidden="1" x14ac:dyDescent="0.3">
      <c r="C784" s="11"/>
      <c r="D784" s="8"/>
      <c r="E784" s="8"/>
    </row>
    <row r="785" spans="3:5" hidden="1" x14ac:dyDescent="0.3">
      <c r="C785" s="12"/>
      <c r="D785" s="9"/>
      <c r="E785" s="9"/>
    </row>
    <row r="786" spans="3:5" hidden="1" x14ac:dyDescent="0.3">
      <c r="C786" s="11"/>
      <c r="D786" s="8"/>
      <c r="E786" s="8"/>
    </row>
    <row r="787" spans="3:5" hidden="1" x14ac:dyDescent="0.3">
      <c r="C787" s="12"/>
      <c r="D787" s="9"/>
      <c r="E787" s="9"/>
    </row>
    <row r="788" spans="3:5" hidden="1" x14ac:dyDescent="0.3">
      <c r="C788" s="11"/>
      <c r="D788" s="8"/>
      <c r="E788" s="8"/>
    </row>
    <row r="789" spans="3:5" hidden="1" x14ac:dyDescent="0.3">
      <c r="C789" s="12"/>
      <c r="D789" s="9"/>
      <c r="E789" s="9"/>
    </row>
    <row r="790" spans="3:5" hidden="1" x14ac:dyDescent="0.3">
      <c r="C790" s="11"/>
      <c r="D790" s="8"/>
      <c r="E790" s="8"/>
    </row>
    <row r="791" spans="3:5" hidden="1" x14ac:dyDescent="0.3">
      <c r="C791" s="12"/>
      <c r="D791" s="9"/>
      <c r="E791" s="9"/>
    </row>
    <row r="792" spans="3:5" hidden="1" x14ac:dyDescent="0.3">
      <c r="C792" s="11"/>
      <c r="D792" s="8"/>
      <c r="E792" s="8"/>
    </row>
    <row r="793" spans="3:5" hidden="1" x14ac:dyDescent="0.3">
      <c r="C793" s="12"/>
      <c r="D793" s="9"/>
      <c r="E793" s="9"/>
    </row>
    <row r="794" spans="3:5" hidden="1" x14ac:dyDescent="0.3">
      <c r="C794" s="11"/>
      <c r="D794" s="8"/>
      <c r="E794" s="8"/>
    </row>
    <row r="795" spans="3:5" hidden="1" x14ac:dyDescent="0.3">
      <c r="C795" s="12"/>
      <c r="D795" s="9"/>
      <c r="E795" s="9"/>
    </row>
    <row r="796" spans="3:5" hidden="1" x14ac:dyDescent="0.3">
      <c r="C796" s="11"/>
      <c r="D796" s="8"/>
      <c r="E796" s="8"/>
    </row>
    <row r="797" spans="3:5" hidden="1" x14ac:dyDescent="0.3">
      <c r="C797" s="12"/>
      <c r="D797" s="9"/>
      <c r="E797" s="9"/>
    </row>
    <row r="798" spans="3:5" hidden="1" x14ac:dyDescent="0.3">
      <c r="C798" s="11"/>
      <c r="D798" s="8"/>
      <c r="E798" s="8"/>
    </row>
    <row r="799" spans="3:5" hidden="1" x14ac:dyDescent="0.3">
      <c r="C799" s="12"/>
      <c r="D799" s="9"/>
      <c r="E799" s="9"/>
    </row>
    <row r="800" spans="3:5" hidden="1" x14ac:dyDescent="0.3">
      <c r="C800" s="11"/>
      <c r="D800" s="8"/>
      <c r="E800" s="8"/>
    </row>
    <row r="801" spans="3:5" hidden="1" x14ac:dyDescent="0.3">
      <c r="C801" s="12"/>
      <c r="D801" s="9"/>
      <c r="E801" s="9"/>
    </row>
    <row r="802" spans="3:5" hidden="1" x14ac:dyDescent="0.3">
      <c r="C802" s="11"/>
      <c r="D802" s="8"/>
      <c r="E802" s="8"/>
    </row>
    <row r="803" spans="3:5" hidden="1" x14ac:dyDescent="0.3">
      <c r="C803" s="12"/>
      <c r="D803" s="9"/>
      <c r="E803" s="9"/>
    </row>
    <row r="804" spans="3:5" hidden="1" x14ac:dyDescent="0.3">
      <c r="C804" s="11"/>
      <c r="D804" s="8"/>
      <c r="E804" s="8"/>
    </row>
    <row r="805" spans="3:5" hidden="1" x14ac:dyDescent="0.3">
      <c r="C805" s="12"/>
      <c r="D805" s="9"/>
      <c r="E805" s="9"/>
    </row>
    <row r="806" spans="3:5" hidden="1" x14ac:dyDescent="0.3">
      <c r="C806" s="11"/>
      <c r="D806" s="8"/>
      <c r="E806" s="8"/>
    </row>
    <row r="807" spans="3:5" hidden="1" x14ac:dyDescent="0.3">
      <c r="C807" s="12"/>
      <c r="D807" s="9"/>
      <c r="E807" s="9"/>
    </row>
    <row r="808" spans="3:5" hidden="1" x14ac:dyDescent="0.3">
      <c r="C808" s="11"/>
      <c r="D808" s="8"/>
      <c r="E808" s="8"/>
    </row>
    <row r="809" spans="3:5" hidden="1" x14ac:dyDescent="0.3">
      <c r="C809" s="12"/>
      <c r="D809" s="9"/>
      <c r="E809" s="9"/>
    </row>
    <row r="810" spans="3:5" hidden="1" x14ac:dyDescent="0.3">
      <c r="C810" s="11"/>
      <c r="D810" s="8"/>
      <c r="E810" s="8"/>
    </row>
    <row r="811" spans="3:5" hidden="1" x14ac:dyDescent="0.3">
      <c r="C811" s="12"/>
      <c r="D811" s="9"/>
      <c r="E811" s="9"/>
    </row>
    <row r="812" spans="3:5" hidden="1" x14ac:dyDescent="0.3">
      <c r="C812" s="11"/>
      <c r="D812" s="8"/>
      <c r="E812" s="8"/>
    </row>
    <row r="813" spans="3:5" hidden="1" x14ac:dyDescent="0.3">
      <c r="C813" s="12"/>
      <c r="D813" s="9"/>
      <c r="E813" s="9"/>
    </row>
    <row r="814" spans="3:5" hidden="1" x14ac:dyDescent="0.3">
      <c r="C814" s="11"/>
      <c r="D814" s="8"/>
      <c r="E814" s="8"/>
    </row>
    <row r="815" spans="3:5" hidden="1" x14ac:dyDescent="0.3">
      <c r="C815" s="12"/>
      <c r="D815" s="9"/>
      <c r="E815" s="9"/>
    </row>
    <row r="816" spans="3:5" hidden="1" x14ac:dyDescent="0.3">
      <c r="C816" s="11"/>
      <c r="D816" s="8"/>
      <c r="E816" s="8"/>
    </row>
    <row r="817" spans="3:7" hidden="1" x14ac:dyDescent="0.3">
      <c r="C817" s="12"/>
      <c r="D817" s="9"/>
      <c r="E817" s="9"/>
    </row>
    <row r="818" spans="3:7" hidden="1" x14ac:dyDescent="0.3">
      <c r="C818" s="11"/>
      <c r="D818" s="8"/>
      <c r="E818" s="8"/>
    </row>
    <row r="819" spans="3:7" hidden="1" x14ac:dyDescent="0.3">
      <c r="C819" s="12"/>
      <c r="D819" s="9"/>
      <c r="E819" s="9"/>
    </row>
    <row r="820" spans="3:7" hidden="1" x14ac:dyDescent="0.3">
      <c r="C820" s="11"/>
      <c r="D820" s="8"/>
      <c r="E820" s="8"/>
    </row>
    <row r="821" spans="3:7" hidden="1" x14ac:dyDescent="0.3">
      <c r="C821" s="12"/>
      <c r="D821" s="9"/>
      <c r="E821" s="9"/>
    </row>
    <row r="822" spans="3:7" hidden="1" x14ac:dyDescent="0.3">
      <c r="C822" s="11"/>
      <c r="D822" s="8"/>
      <c r="E822" s="8"/>
    </row>
    <row r="823" spans="3:7" hidden="1" x14ac:dyDescent="0.3">
      <c r="C823" s="12"/>
      <c r="D823" s="9"/>
      <c r="E823" s="9"/>
    </row>
    <row r="824" spans="3:7" hidden="1" x14ac:dyDescent="0.3">
      <c r="C824" s="11"/>
      <c r="D824" s="8"/>
      <c r="E824" s="8"/>
    </row>
    <row r="825" spans="3:7" hidden="1" x14ac:dyDescent="0.3">
      <c r="C825" s="12"/>
      <c r="D825" s="9"/>
      <c r="E825" s="9"/>
    </row>
    <row r="826" spans="3:7" hidden="1" x14ac:dyDescent="0.3">
      <c r="C826" s="11"/>
      <c r="D826" s="8"/>
      <c r="E826" s="8"/>
    </row>
    <row r="827" spans="3:7" hidden="1" x14ac:dyDescent="0.3">
      <c r="C827" s="12"/>
      <c r="D827" s="9"/>
      <c r="E827" s="9"/>
    </row>
    <row r="828" spans="3:7" hidden="1" x14ac:dyDescent="0.3">
      <c r="C828" s="11"/>
      <c r="D828" s="8"/>
      <c r="E828" s="8"/>
    </row>
    <row r="829" spans="3:7" hidden="1" x14ac:dyDescent="0.3">
      <c r="C829" s="12"/>
      <c r="D829" s="9"/>
      <c r="E829" s="9"/>
    </row>
    <row r="830" spans="3:7" hidden="1" x14ac:dyDescent="0.3">
      <c r="C830" s="11"/>
      <c r="D830" s="8"/>
      <c r="E830" s="8"/>
    </row>
    <row r="831" spans="3:7" hidden="1" x14ac:dyDescent="0.3">
      <c r="C831" s="12" t="s">
        <v>37</v>
      </c>
      <c r="D831" s="8"/>
      <c r="F831">
        <f t="shared" ref="F831:F877" si="17">IF(IFERROR(FIND("1",C831,1),ERROR.TYPE(#VALUE!))=ERROR.TYPE(#VALUE!),$M$2,$M$1)</f>
        <v>0</v>
      </c>
      <c r="G831">
        <v>4.2158219861762408E-2</v>
      </c>
    </row>
    <row r="832" spans="3:7" hidden="1" x14ac:dyDescent="0.3">
      <c r="C832" s="11" t="s">
        <v>37</v>
      </c>
      <c r="D832" s="8"/>
      <c r="F832">
        <f t="shared" si="17"/>
        <v>0</v>
      </c>
      <c r="G832">
        <v>4.2984851623757751E-2</v>
      </c>
    </row>
    <row r="833" spans="3:7" hidden="1" x14ac:dyDescent="0.3">
      <c r="C833" s="12" t="s">
        <v>37</v>
      </c>
      <c r="D833" s="8"/>
      <c r="F833">
        <f t="shared" si="17"/>
        <v>0</v>
      </c>
      <c r="G833">
        <v>4.3811483385753087E-2</v>
      </c>
    </row>
    <row r="834" spans="3:7" hidden="1" x14ac:dyDescent="0.3">
      <c r="C834" s="11" t="s">
        <v>37</v>
      </c>
      <c r="D834" s="8"/>
      <c r="F834">
        <f t="shared" si="17"/>
        <v>0</v>
      </c>
      <c r="G834">
        <v>4.4638115147748431E-2</v>
      </c>
    </row>
    <row r="835" spans="3:7" hidden="1" x14ac:dyDescent="0.3">
      <c r="C835" s="12" t="s">
        <v>37</v>
      </c>
      <c r="D835" s="8"/>
      <c r="F835">
        <f t="shared" si="17"/>
        <v>0</v>
      </c>
      <c r="G835">
        <v>4.5464746909743767E-2</v>
      </c>
    </row>
    <row r="836" spans="3:7" hidden="1" x14ac:dyDescent="0.3">
      <c r="C836" s="11" t="s">
        <v>37</v>
      </c>
      <c r="D836" s="8"/>
      <c r="F836">
        <f t="shared" si="17"/>
        <v>0</v>
      </c>
      <c r="G836">
        <v>4.6291378671739117E-2</v>
      </c>
    </row>
    <row r="837" spans="3:7" hidden="1" x14ac:dyDescent="0.3">
      <c r="C837" s="12" t="s">
        <v>37</v>
      </c>
      <c r="D837" s="8"/>
      <c r="F837">
        <f t="shared" si="17"/>
        <v>0</v>
      </c>
      <c r="G837">
        <v>4.711801043373446E-2</v>
      </c>
    </row>
    <row r="838" spans="3:7" hidden="1" x14ac:dyDescent="0.3">
      <c r="C838" s="11" t="s">
        <v>37</v>
      </c>
      <c r="D838" s="8"/>
      <c r="F838">
        <f t="shared" si="17"/>
        <v>0</v>
      </c>
      <c r="G838">
        <v>4.7944642195729803E-2</v>
      </c>
    </row>
    <row r="839" spans="3:7" hidden="1" x14ac:dyDescent="0.3">
      <c r="C839" s="12" t="s">
        <v>37</v>
      </c>
      <c r="D839" s="8"/>
      <c r="F839">
        <f t="shared" si="17"/>
        <v>0</v>
      </c>
      <c r="G839">
        <v>4.8771273957725139E-2</v>
      </c>
    </row>
    <row r="840" spans="3:7" hidden="1" x14ac:dyDescent="0.3">
      <c r="C840" s="11" t="s">
        <v>37</v>
      </c>
      <c r="D840" s="8"/>
      <c r="F840">
        <f t="shared" si="17"/>
        <v>0</v>
      </c>
      <c r="G840">
        <v>4.9597905719720482E-2</v>
      </c>
    </row>
    <row r="841" spans="3:7" hidden="1" x14ac:dyDescent="0.3">
      <c r="C841" s="12" t="s">
        <v>37</v>
      </c>
      <c r="D841" s="8"/>
      <c r="F841">
        <f t="shared" si="17"/>
        <v>0</v>
      </c>
      <c r="G841">
        <v>5.0424537481715832E-2</v>
      </c>
    </row>
    <row r="842" spans="3:7" hidden="1" x14ac:dyDescent="0.3">
      <c r="C842" s="11" t="s">
        <v>37</v>
      </c>
      <c r="D842" s="8"/>
      <c r="F842">
        <f t="shared" si="17"/>
        <v>0</v>
      </c>
      <c r="G842">
        <v>5.1251169243711162E-2</v>
      </c>
    </row>
    <row r="843" spans="3:7" hidden="1" x14ac:dyDescent="0.3">
      <c r="C843" s="12" t="s">
        <v>37</v>
      </c>
      <c r="D843" s="8"/>
      <c r="F843">
        <f t="shared" si="17"/>
        <v>0</v>
      </c>
      <c r="G843">
        <v>5.2077801005706498E-2</v>
      </c>
    </row>
    <row r="844" spans="3:7" hidden="1" x14ac:dyDescent="0.3">
      <c r="C844" s="11" t="s">
        <v>37</v>
      </c>
      <c r="D844" s="8"/>
      <c r="F844">
        <f t="shared" si="17"/>
        <v>0</v>
      </c>
      <c r="G844">
        <v>5.2904432767701848E-2</v>
      </c>
    </row>
    <row r="845" spans="3:7" hidden="1" x14ac:dyDescent="0.3">
      <c r="C845" s="12" t="s">
        <v>37</v>
      </c>
      <c r="D845" s="8"/>
      <c r="F845">
        <f t="shared" si="17"/>
        <v>0</v>
      </c>
      <c r="G845">
        <v>5.3731064529697191E-2</v>
      </c>
    </row>
    <row r="846" spans="3:7" hidden="1" x14ac:dyDescent="0.3">
      <c r="C846" s="11" t="s">
        <v>37</v>
      </c>
      <c r="D846" s="8"/>
      <c r="F846">
        <f t="shared" si="17"/>
        <v>0</v>
      </c>
      <c r="G846">
        <v>5.4557696291692527E-2</v>
      </c>
    </row>
    <row r="847" spans="3:7" hidden="1" x14ac:dyDescent="0.3">
      <c r="C847" s="12" t="s">
        <v>37</v>
      </c>
      <c r="D847" s="8"/>
      <c r="F847">
        <f t="shared" si="17"/>
        <v>0</v>
      </c>
      <c r="G847">
        <v>5.538432805368787E-2</v>
      </c>
    </row>
    <row r="848" spans="3:7" hidden="1" x14ac:dyDescent="0.3">
      <c r="C848" s="11" t="s">
        <v>37</v>
      </c>
      <c r="D848" s="8"/>
      <c r="F848">
        <f t="shared" si="17"/>
        <v>0</v>
      </c>
      <c r="G848">
        <v>5.6210959815683213E-2</v>
      </c>
    </row>
    <row r="849" spans="3:7" hidden="1" x14ac:dyDescent="0.3">
      <c r="C849" s="12" t="s">
        <v>37</v>
      </c>
      <c r="D849" s="8"/>
      <c r="F849">
        <f t="shared" si="17"/>
        <v>0</v>
      </c>
      <c r="G849">
        <v>5.7037591577678563E-2</v>
      </c>
    </row>
    <row r="850" spans="3:7" hidden="1" x14ac:dyDescent="0.3">
      <c r="C850" s="11" t="s">
        <v>37</v>
      </c>
      <c r="D850" s="8"/>
      <c r="F850">
        <f t="shared" si="17"/>
        <v>0</v>
      </c>
      <c r="G850">
        <v>5.7864223339673893E-2</v>
      </c>
    </row>
    <row r="851" spans="3:7" hidden="1" x14ac:dyDescent="0.3">
      <c r="C851" s="12" t="s">
        <v>37</v>
      </c>
      <c r="D851" s="8"/>
      <c r="F851">
        <f t="shared" si="17"/>
        <v>0</v>
      </c>
      <c r="G851">
        <v>5.8690855101669243E-2</v>
      </c>
    </row>
    <row r="852" spans="3:7" hidden="1" x14ac:dyDescent="0.3">
      <c r="C852" s="11" t="s">
        <v>37</v>
      </c>
      <c r="D852" s="8"/>
      <c r="F852">
        <f t="shared" si="17"/>
        <v>0</v>
      </c>
      <c r="G852">
        <v>5.9517486863664579E-2</v>
      </c>
    </row>
    <row r="853" spans="3:7" hidden="1" x14ac:dyDescent="0.3">
      <c r="C853" s="12" t="s">
        <v>37</v>
      </c>
      <c r="D853" s="8"/>
      <c r="F853">
        <f t="shared" si="17"/>
        <v>0</v>
      </c>
      <c r="G853">
        <v>6.0344118625659922E-2</v>
      </c>
    </row>
    <row r="854" spans="3:7" hidden="1" x14ac:dyDescent="0.3">
      <c r="C854" s="11" t="s">
        <v>37</v>
      </c>
      <c r="D854" s="8"/>
      <c r="F854">
        <f t="shared" si="17"/>
        <v>0</v>
      </c>
      <c r="G854">
        <v>6.1170750387655258E-2</v>
      </c>
    </row>
    <row r="855" spans="3:7" hidden="1" x14ac:dyDescent="0.3">
      <c r="C855" s="12" t="s">
        <v>37</v>
      </c>
      <c r="D855" s="8"/>
      <c r="F855">
        <f t="shared" si="17"/>
        <v>0</v>
      </c>
      <c r="G855">
        <v>6.1997382149650601E-2</v>
      </c>
    </row>
    <row r="856" spans="3:7" hidden="1" x14ac:dyDescent="0.3">
      <c r="C856" s="11" t="s">
        <v>37</v>
      </c>
      <c r="D856" s="8"/>
      <c r="F856">
        <f t="shared" si="17"/>
        <v>0</v>
      </c>
      <c r="G856">
        <v>6.2824013911645937E-2</v>
      </c>
    </row>
    <row r="857" spans="3:7" hidden="1" x14ac:dyDescent="0.3">
      <c r="C857" s="12" t="s">
        <v>37</v>
      </c>
      <c r="D857" s="8"/>
      <c r="F857">
        <f t="shared" si="17"/>
        <v>0</v>
      </c>
      <c r="G857">
        <v>6.3650645673641287E-2</v>
      </c>
    </row>
    <row r="858" spans="3:7" hidden="1" x14ac:dyDescent="0.3">
      <c r="C858" s="11" t="s">
        <v>37</v>
      </c>
      <c r="D858" s="8"/>
      <c r="F858">
        <f t="shared" si="17"/>
        <v>0</v>
      </c>
      <c r="G858">
        <v>6.4477277435636624E-2</v>
      </c>
    </row>
    <row r="859" spans="3:7" hidden="1" x14ac:dyDescent="0.3">
      <c r="C859" s="12" t="s">
        <v>37</v>
      </c>
      <c r="D859" s="8"/>
      <c r="F859">
        <f t="shared" si="17"/>
        <v>0</v>
      </c>
      <c r="G859">
        <v>6.5303909197631974E-2</v>
      </c>
    </row>
    <row r="860" spans="3:7" hidden="1" x14ac:dyDescent="0.3">
      <c r="C860" s="11" t="s">
        <v>37</v>
      </c>
      <c r="D860" s="8"/>
      <c r="F860">
        <f t="shared" si="17"/>
        <v>0</v>
      </c>
      <c r="G860">
        <v>6.613054095962731E-2</v>
      </c>
    </row>
    <row r="861" spans="3:7" hidden="1" x14ac:dyDescent="0.3">
      <c r="C861" s="12" t="s">
        <v>37</v>
      </c>
      <c r="D861" s="8"/>
      <c r="F861">
        <f t="shared" si="17"/>
        <v>0</v>
      </c>
      <c r="G861">
        <v>6.6957172721622646E-2</v>
      </c>
    </row>
    <row r="862" spans="3:7" hidden="1" x14ac:dyDescent="0.3">
      <c r="C862" s="11" t="s">
        <v>37</v>
      </c>
      <c r="D862" s="8"/>
      <c r="F862">
        <f t="shared" si="17"/>
        <v>0</v>
      </c>
      <c r="G862">
        <v>6.7783804483617996E-2</v>
      </c>
    </row>
    <row r="863" spans="3:7" hidden="1" x14ac:dyDescent="0.3">
      <c r="C863" s="12" t="s">
        <v>37</v>
      </c>
      <c r="D863" s="8"/>
      <c r="F863">
        <f t="shared" si="17"/>
        <v>0</v>
      </c>
      <c r="G863">
        <v>6.8610436245613332E-2</v>
      </c>
    </row>
    <row r="864" spans="3:7" hidden="1" x14ac:dyDescent="0.3">
      <c r="C864" s="11" t="s">
        <v>37</v>
      </c>
      <c r="D864" s="8"/>
      <c r="F864">
        <f t="shared" si="17"/>
        <v>0</v>
      </c>
      <c r="G864">
        <v>6.9437068007608682E-2</v>
      </c>
    </row>
    <row r="865" spans="3:7" hidden="1" x14ac:dyDescent="0.3">
      <c r="C865" s="12" t="s">
        <v>37</v>
      </c>
      <c r="D865" s="8"/>
      <c r="F865">
        <f t="shared" si="17"/>
        <v>0</v>
      </c>
      <c r="G865">
        <v>7.0263699769604018E-2</v>
      </c>
    </row>
    <row r="866" spans="3:7" hidden="1" x14ac:dyDescent="0.3">
      <c r="C866" s="11" t="s">
        <v>37</v>
      </c>
      <c r="D866" s="8"/>
      <c r="F866">
        <f t="shared" si="17"/>
        <v>0</v>
      </c>
      <c r="G866">
        <v>7.1090331531599354E-2</v>
      </c>
    </row>
    <row r="867" spans="3:7" hidden="1" x14ac:dyDescent="0.3">
      <c r="C867" s="12" t="s">
        <v>37</v>
      </c>
      <c r="D867" s="8"/>
      <c r="F867">
        <f t="shared" si="17"/>
        <v>0</v>
      </c>
      <c r="G867">
        <v>7.1916963293594705E-2</v>
      </c>
    </row>
    <row r="868" spans="3:7" hidden="1" x14ac:dyDescent="0.3">
      <c r="C868" s="11" t="s">
        <v>37</v>
      </c>
      <c r="D868" s="8"/>
      <c r="F868">
        <f t="shared" si="17"/>
        <v>0</v>
      </c>
      <c r="G868">
        <v>7.2743595055590041E-2</v>
      </c>
    </row>
    <row r="869" spans="3:7" hidden="1" x14ac:dyDescent="0.3">
      <c r="C869" s="12" t="s">
        <v>37</v>
      </c>
      <c r="D869" s="8"/>
      <c r="F869">
        <f t="shared" si="17"/>
        <v>0</v>
      </c>
      <c r="G869">
        <v>7.3570226817585377E-2</v>
      </c>
    </row>
    <row r="870" spans="3:7" hidden="1" x14ac:dyDescent="0.3">
      <c r="C870" s="11" t="s">
        <v>37</v>
      </c>
      <c r="D870" s="8"/>
      <c r="F870">
        <f t="shared" si="17"/>
        <v>0</v>
      </c>
      <c r="G870">
        <v>7.4396858579580727E-2</v>
      </c>
    </row>
    <row r="871" spans="3:7" hidden="1" x14ac:dyDescent="0.3">
      <c r="C871" s="12" t="s">
        <v>37</v>
      </c>
      <c r="D871" s="8"/>
      <c r="F871">
        <f t="shared" si="17"/>
        <v>0</v>
      </c>
      <c r="G871">
        <v>7.5223490341576063E-2</v>
      </c>
    </row>
    <row r="872" spans="3:7" hidden="1" x14ac:dyDescent="0.3">
      <c r="C872" s="11" t="s">
        <v>37</v>
      </c>
      <c r="D872" s="8"/>
      <c r="F872">
        <f t="shared" si="17"/>
        <v>0</v>
      </c>
      <c r="G872">
        <v>7.6050122103571399E-2</v>
      </c>
    </row>
    <row r="873" spans="3:7" hidden="1" x14ac:dyDescent="0.3">
      <c r="C873" s="12" t="s">
        <v>37</v>
      </c>
      <c r="D873" s="8"/>
      <c r="F873">
        <f t="shared" si="17"/>
        <v>0</v>
      </c>
      <c r="G873">
        <v>7.6876753865566749E-2</v>
      </c>
    </row>
    <row r="874" spans="3:7" hidden="1" x14ac:dyDescent="0.3">
      <c r="C874" s="11" t="s">
        <v>37</v>
      </c>
      <c r="D874" s="8"/>
      <c r="F874">
        <f t="shared" si="17"/>
        <v>0</v>
      </c>
      <c r="G874">
        <v>7.7703385627562085E-2</v>
      </c>
    </row>
    <row r="875" spans="3:7" hidden="1" x14ac:dyDescent="0.3">
      <c r="C875" s="12" t="s">
        <v>37</v>
      </c>
      <c r="D875" s="8"/>
      <c r="F875">
        <f t="shared" si="17"/>
        <v>0</v>
      </c>
      <c r="G875">
        <v>7.8530017389557435E-2</v>
      </c>
    </row>
    <row r="876" spans="3:7" hidden="1" x14ac:dyDescent="0.3">
      <c r="C876" s="11" t="s">
        <v>37</v>
      </c>
      <c r="D876" s="8"/>
      <c r="F876">
        <f t="shared" si="17"/>
        <v>0</v>
      </c>
      <c r="G876">
        <v>7.9356649151552772E-2</v>
      </c>
    </row>
    <row r="877" spans="3:7" hidden="1" x14ac:dyDescent="0.3">
      <c r="C877" s="12" t="s">
        <v>37</v>
      </c>
      <c r="D877" s="8"/>
      <c r="F877">
        <f t="shared" si="17"/>
        <v>0</v>
      </c>
      <c r="G877">
        <v>8.0183280913548108E-2</v>
      </c>
    </row>
    <row r="878" spans="3:7" hidden="1" x14ac:dyDescent="0.3">
      <c r="C878" s="11" t="s">
        <v>37</v>
      </c>
      <c r="D878" s="8"/>
      <c r="F878">
        <f t="shared" ref="F878:F941" si="18">IF(IFERROR(FIND("1",C878,1),ERROR.TYPE(#VALUE!))=ERROR.TYPE(#VALUE!),$M$2,$M$1)</f>
        <v>0</v>
      </c>
      <c r="G878">
        <v>8.1009912675543458E-2</v>
      </c>
    </row>
    <row r="879" spans="3:7" hidden="1" x14ac:dyDescent="0.3">
      <c r="C879" s="12" t="s">
        <v>37</v>
      </c>
      <c r="D879" s="8"/>
      <c r="F879">
        <f t="shared" si="18"/>
        <v>0</v>
      </c>
      <c r="G879">
        <v>8.1836544437538794E-2</v>
      </c>
    </row>
    <row r="880" spans="3:7" hidden="1" x14ac:dyDescent="0.3">
      <c r="C880" s="11" t="s">
        <v>37</v>
      </c>
      <c r="D880" s="8"/>
      <c r="F880">
        <f t="shared" si="18"/>
        <v>0</v>
      </c>
      <c r="G880">
        <v>8.2663176199534137E-4</v>
      </c>
    </row>
    <row r="881" spans="3:5" hidden="1" x14ac:dyDescent="0.3">
      <c r="C881" s="12"/>
      <c r="D881" s="9"/>
      <c r="E881" s="9"/>
    </row>
    <row r="882" spans="3:5" hidden="1" x14ac:dyDescent="0.3">
      <c r="C882" s="11"/>
      <c r="D882" s="8"/>
      <c r="E882" s="8"/>
    </row>
    <row r="883" spans="3:5" hidden="1" x14ac:dyDescent="0.3">
      <c r="C883" s="12"/>
      <c r="D883" s="9"/>
      <c r="E883" s="9"/>
    </row>
    <row r="884" spans="3:5" hidden="1" x14ac:dyDescent="0.3">
      <c r="C884" s="11"/>
      <c r="D884" s="8"/>
      <c r="E884" s="8"/>
    </row>
    <row r="885" spans="3:5" hidden="1" x14ac:dyDescent="0.3">
      <c r="C885" s="12"/>
      <c r="D885" s="9"/>
      <c r="E885" s="9"/>
    </row>
    <row r="886" spans="3:5" hidden="1" x14ac:dyDescent="0.3">
      <c r="C886" s="11"/>
      <c r="D886" s="8"/>
      <c r="E886" s="8"/>
    </row>
    <row r="887" spans="3:5" hidden="1" x14ac:dyDescent="0.3">
      <c r="C887" s="12"/>
      <c r="D887" s="9"/>
      <c r="E887" s="9"/>
    </row>
    <row r="888" spans="3:5" hidden="1" x14ac:dyDescent="0.3">
      <c r="C888" s="11"/>
      <c r="D888" s="8"/>
      <c r="E888" s="8"/>
    </row>
    <row r="889" spans="3:5" hidden="1" x14ac:dyDescent="0.3">
      <c r="C889" s="12"/>
      <c r="D889" s="9"/>
      <c r="E889" s="9"/>
    </row>
    <row r="890" spans="3:5" hidden="1" x14ac:dyDescent="0.3">
      <c r="C890" s="11"/>
      <c r="D890" s="8"/>
      <c r="E890" s="8"/>
    </row>
    <row r="891" spans="3:5" hidden="1" x14ac:dyDescent="0.3">
      <c r="C891" s="12"/>
      <c r="D891" s="9"/>
      <c r="E891" s="9"/>
    </row>
    <row r="892" spans="3:5" hidden="1" x14ac:dyDescent="0.3">
      <c r="C892" s="11"/>
      <c r="D892" s="8"/>
      <c r="E892" s="8"/>
    </row>
    <row r="893" spans="3:5" hidden="1" x14ac:dyDescent="0.3">
      <c r="C893" s="12"/>
      <c r="D893" s="9"/>
      <c r="E893" s="9"/>
    </row>
    <row r="894" spans="3:5" hidden="1" x14ac:dyDescent="0.3">
      <c r="C894" s="11"/>
      <c r="D894" s="8"/>
      <c r="E894" s="8"/>
    </row>
    <row r="895" spans="3:5" hidden="1" x14ac:dyDescent="0.3">
      <c r="C895" s="12"/>
      <c r="D895" s="9"/>
      <c r="E895" s="9"/>
    </row>
    <row r="896" spans="3:5" hidden="1" x14ac:dyDescent="0.3">
      <c r="C896" s="11"/>
      <c r="D896" s="8"/>
      <c r="E896" s="8"/>
    </row>
    <row r="897" spans="3:5" hidden="1" x14ac:dyDescent="0.3">
      <c r="C897" s="12"/>
      <c r="D897" s="9"/>
      <c r="E897" s="9"/>
    </row>
    <row r="898" spans="3:5" hidden="1" x14ac:dyDescent="0.3">
      <c r="C898" s="11"/>
      <c r="D898" s="8"/>
      <c r="E898" s="8"/>
    </row>
    <row r="899" spans="3:5" hidden="1" x14ac:dyDescent="0.3">
      <c r="C899" s="12"/>
      <c r="D899" s="9"/>
      <c r="E899" s="9"/>
    </row>
    <row r="900" spans="3:5" hidden="1" x14ac:dyDescent="0.3">
      <c r="C900" s="11"/>
      <c r="D900" s="8"/>
      <c r="E900" s="8"/>
    </row>
    <row r="901" spans="3:5" hidden="1" x14ac:dyDescent="0.3">
      <c r="C901" s="12"/>
      <c r="D901" s="9"/>
      <c r="E901" s="9"/>
    </row>
    <row r="902" spans="3:5" hidden="1" x14ac:dyDescent="0.3">
      <c r="C902" s="11"/>
      <c r="D902" s="8"/>
      <c r="E902" s="8"/>
    </row>
    <row r="903" spans="3:5" hidden="1" x14ac:dyDescent="0.3">
      <c r="C903" s="12"/>
      <c r="D903" s="9"/>
      <c r="E903" s="9"/>
    </row>
    <row r="904" spans="3:5" hidden="1" x14ac:dyDescent="0.3">
      <c r="C904" s="11"/>
      <c r="D904" s="8"/>
      <c r="E904" s="8"/>
    </row>
    <row r="905" spans="3:5" hidden="1" x14ac:dyDescent="0.3">
      <c r="C905" s="12"/>
      <c r="D905" s="9"/>
      <c r="E905" s="9"/>
    </row>
    <row r="906" spans="3:5" hidden="1" x14ac:dyDescent="0.3">
      <c r="C906" s="11"/>
      <c r="D906" s="8"/>
      <c r="E906" s="8"/>
    </row>
    <row r="907" spans="3:5" hidden="1" x14ac:dyDescent="0.3">
      <c r="C907" s="12"/>
      <c r="D907" s="9"/>
      <c r="E907" s="9"/>
    </row>
    <row r="908" spans="3:5" hidden="1" x14ac:dyDescent="0.3">
      <c r="C908" s="11"/>
      <c r="D908" s="8"/>
      <c r="E908" s="8"/>
    </row>
    <row r="909" spans="3:5" hidden="1" x14ac:dyDescent="0.3">
      <c r="C909" s="12"/>
      <c r="D909" s="9"/>
      <c r="E909" s="9"/>
    </row>
    <row r="910" spans="3:5" hidden="1" x14ac:dyDescent="0.3">
      <c r="C910" s="11"/>
      <c r="D910" s="8"/>
      <c r="E910" s="8"/>
    </row>
    <row r="911" spans="3:5" hidden="1" x14ac:dyDescent="0.3">
      <c r="C911" s="12"/>
      <c r="D911" s="9"/>
      <c r="E911" s="9"/>
    </row>
    <row r="912" spans="3:5" hidden="1" x14ac:dyDescent="0.3">
      <c r="C912" s="11"/>
      <c r="D912" s="8"/>
      <c r="E912" s="8"/>
    </row>
    <row r="913" spans="3:5" hidden="1" x14ac:dyDescent="0.3">
      <c r="C913" s="12"/>
      <c r="D913" s="9"/>
      <c r="E913" s="9"/>
    </row>
    <row r="914" spans="3:5" hidden="1" x14ac:dyDescent="0.3">
      <c r="C914" s="11"/>
      <c r="D914" s="8"/>
      <c r="E914" s="8"/>
    </row>
    <row r="915" spans="3:5" hidden="1" x14ac:dyDescent="0.3">
      <c r="C915" s="12"/>
      <c r="D915" s="9"/>
      <c r="E915" s="9"/>
    </row>
    <row r="916" spans="3:5" hidden="1" x14ac:dyDescent="0.3">
      <c r="C916" s="11"/>
      <c r="D916" s="8"/>
      <c r="E916" s="8"/>
    </row>
    <row r="917" spans="3:5" hidden="1" x14ac:dyDescent="0.3">
      <c r="C917" s="12"/>
      <c r="D917" s="9"/>
      <c r="E917" s="9"/>
    </row>
    <row r="918" spans="3:5" hidden="1" x14ac:dyDescent="0.3">
      <c r="C918" s="11"/>
      <c r="D918" s="8"/>
      <c r="E918" s="8"/>
    </row>
    <row r="919" spans="3:5" hidden="1" x14ac:dyDescent="0.3">
      <c r="C919" s="12"/>
      <c r="D919" s="9"/>
      <c r="E919" s="9"/>
    </row>
    <row r="920" spans="3:5" hidden="1" x14ac:dyDescent="0.3">
      <c r="C920" s="11"/>
      <c r="D920" s="8"/>
      <c r="E920" s="8"/>
    </row>
    <row r="921" spans="3:5" hidden="1" x14ac:dyDescent="0.3">
      <c r="C921" s="12"/>
      <c r="D921" s="9"/>
      <c r="E921" s="9"/>
    </row>
    <row r="922" spans="3:5" hidden="1" x14ac:dyDescent="0.3">
      <c r="C922" s="11"/>
      <c r="D922" s="8"/>
      <c r="E922" s="8"/>
    </row>
    <row r="923" spans="3:5" hidden="1" x14ac:dyDescent="0.3">
      <c r="C923" s="12"/>
      <c r="D923" s="9"/>
      <c r="E923" s="9"/>
    </row>
    <row r="924" spans="3:5" hidden="1" x14ac:dyDescent="0.3">
      <c r="C924" s="11"/>
      <c r="D924" s="8"/>
      <c r="E924" s="8"/>
    </row>
    <row r="925" spans="3:5" hidden="1" x14ac:dyDescent="0.3">
      <c r="C925" s="12"/>
      <c r="D925" s="9"/>
      <c r="E925" s="9"/>
    </row>
    <row r="926" spans="3:5" hidden="1" x14ac:dyDescent="0.3">
      <c r="C926" s="11"/>
      <c r="D926" s="8"/>
      <c r="E926" s="8"/>
    </row>
    <row r="927" spans="3:5" hidden="1" x14ac:dyDescent="0.3">
      <c r="C927" s="12"/>
      <c r="D927" s="9"/>
    </row>
    <row r="928" spans="3:5" hidden="1" x14ac:dyDescent="0.3">
      <c r="C928" s="11"/>
      <c r="D928" s="8"/>
    </row>
    <row r="929" spans="3:7" hidden="1" x14ac:dyDescent="0.3">
      <c r="C929" s="12"/>
      <c r="D929" s="9"/>
    </row>
    <row r="930" spans="3:7" hidden="1" x14ac:dyDescent="0.3">
      <c r="C930" s="11"/>
      <c r="D930" s="8"/>
    </row>
    <row r="931" spans="3:7" hidden="1" x14ac:dyDescent="0.3">
      <c r="C931" s="12"/>
      <c r="D931" s="9"/>
    </row>
    <row r="932" spans="3:7" hidden="1" x14ac:dyDescent="0.3">
      <c r="C932" s="11"/>
      <c r="D932" s="8"/>
    </row>
    <row r="933" spans="3:7" hidden="1" x14ac:dyDescent="0.3">
      <c r="C933" s="12"/>
      <c r="D933" s="9"/>
    </row>
    <row r="934" spans="3:7" hidden="1" x14ac:dyDescent="0.3">
      <c r="C934" s="11"/>
      <c r="D934" s="8"/>
    </row>
    <row r="935" spans="3:7" hidden="1" x14ac:dyDescent="0.3">
      <c r="C935" s="12" t="s">
        <v>38</v>
      </c>
      <c r="D935" s="8"/>
      <c r="F935">
        <f t="shared" si="18"/>
        <v>0</v>
      </c>
      <c r="G935">
        <v>4.6291378671739117E-2</v>
      </c>
    </row>
    <row r="936" spans="3:7" hidden="1" x14ac:dyDescent="0.3">
      <c r="C936" s="11" t="s">
        <v>38</v>
      </c>
      <c r="D936" s="8"/>
      <c r="F936">
        <f t="shared" si="18"/>
        <v>0</v>
      </c>
      <c r="G936">
        <v>4.711801043373446E-2</v>
      </c>
    </row>
    <row r="937" spans="3:7" hidden="1" x14ac:dyDescent="0.3">
      <c r="C937" s="12" t="s">
        <v>38</v>
      </c>
      <c r="D937" s="8"/>
      <c r="F937">
        <f t="shared" si="18"/>
        <v>0</v>
      </c>
      <c r="G937">
        <v>4.7944642195729803E-2</v>
      </c>
    </row>
    <row r="938" spans="3:7" hidden="1" x14ac:dyDescent="0.3">
      <c r="C938" s="11" t="s">
        <v>38</v>
      </c>
      <c r="D938" s="8"/>
      <c r="F938">
        <f t="shared" si="18"/>
        <v>0</v>
      </c>
      <c r="G938">
        <v>4.8771273957725139E-2</v>
      </c>
    </row>
    <row r="939" spans="3:7" hidden="1" x14ac:dyDescent="0.3">
      <c r="C939" s="12" t="s">
        <v>38</v>
      </c>
      <c r="D939" s="8"/>
      <c r="F939">
        <f t="shared" si="18"/>
        <v>0</v>
      </c>
      <c r="G939">
        <v>4.9597905719720482E-2</v>
      </c>
    </row>
    <row r="940" spans="3:7" hidden="1" x14ac:dyDescent="0.3">
      <c r="C940" s="11" t="s">
        <v>38</v>
      </c>
      <c r="D940" s="8"/>
      <c r="F940">
        <f t="shared" si="18"/>
        <v>0</v>
      </c>
      <c r="G940">
        <v>5.0424537481715832E-2</v>
      </c>
    </row>
    <row r="941" spans="3:7" hidden="1" x14ac:dyDescent="0.3">
      <c r="C941" s="12" t="s">
        <v>38</v>
      </c>
      <c r="D941" s="8"/>
      <c r="F941">
        <f t="shared" si="18"/>
        <v>0</v>
      </c>
      <c r="G941">
        <v>5.1251169243711162E-2</v>
      </c>
    </row>
    <row r="942" spans="3:7" hidden="1" x14ac:dyDescent="0.3">
      <c r="C942" s="11" t="s">
        <v>38</v>
      </c>
      <c r="D942" s="8"/>
      <c r="F942">
        <f t="shared" ref="F942:F1005" si="19">IF(IFERROR(FIND("1",C942,1),ERROR.TYPE(#VALUE!))=ERROR.TYPE(#VALUE!),$M$2,$M$1)</f>
        <v>0</v>
      </c>
      <c r="G942">
        <v>5.2077801005706498E-2</v>
      </c>
    </row>
    <row r="943" spans="3:7" hidden="1" x14ac:dyDescent="0.3">
      <c r="C943" s="12" t="s">
        <v>38</v>
      </c>
      <c r="D943" s="8"/>
      <c r="F943">
        <f t="shared" si="19"/>
        <v>0</v>
      </c>
      <c r="G943">
        <v>5.2904432767701848E-2</v>
      </c>
    </row>
    <row r="944" spans="3:7" hidden="1" x14ac:dyDescent="0.3">
      <c r="C944" s="11" t="s">
        <v>38</v>
      </c>
      <c r="D944" s="8"/>
      <c r="F944">
        <f t="shared" si="19"/>
        <v>0</v>
      </c>
      <c r="G944">
        <v>5.3731064529697191E-2</v>
      </c>
    </row>
    <row r="945" spans="3:7" hidden="1" x14ac:dyDescent="0.3">
      <c r="C945" s="12" t="s">
        <v>38</v>
      </c>
      <c r="D945" s="8"/>
      <c r="F945">
        <f t="shared" si="19"/>
        <v>0</v>
      </c>
      <c r="G945">
        <v>5.4557696291692527E-2</v>
      </c>
    </row>
    <row r="946" spans="3:7" hidden="1" x14ac:dyDescent="0.3">
      <c r="C946" s="11" t="s">
        <v>38</v>
      </c>
      <c r="D946" s="8"/>
      <c r="F946">
        <f t="shared" si="19"/>
        <v>0</v>
      </c>
      <c r="G946">
        <v>5.538432805368787E-2</v>
      </c>
    </row>
    <row r="947" spans="3:7" hidden="1" x14ac:dyDescent="0.3">
      <c r="C947" s="12" t="s">
        <v>38</v>
      </c>
      <c r="D947" s="8"/>
      <c r="F947">
        <f t="shared" si="19"/>
        <v>0</v>
      </c>
      <c r="G947">
        <v>5.6210959815683213E-2</v>
      </c>
    </row>
    <row r="948" spans="3:7" hidden="1" x14ac:dyDescent="0.3">
      <c r="C948" s="11" t="s">
        <v>38</v>
      </c>
      <c r="D948" s="8"/>
      <c r="F948">
        <f t="shared" si="19"/>
        <v>0</v>
      </c>
      <c r="G948">
        <v>5.7037591577678563E-2</v>
      </c>
    </row>
    <row r="949" spans="3:7" hidden="1" x14ac:dyDescent="0.3">
      <c r="C949" s="12" t="s">
        <v>38</v>
      </c>
      <c r="D949" s="8"/>
      <c r="F949">
        <f t="shared" si="19"/>
        <v>0</v>
      </c>
      <c r="G949">
        <v>5.7864223339673893E-2</v>
      </c>
    </row>
    <row r="950" spans="3:7" hidden="1" x14ac:dyDescent="0.3">
      <c r="C950" s="11" t="s">
        <v>38</v>
      </c>
      <c r="D950" s="8"/>
      <c r="F950">
        <f t="shared" si="19"/>
        <v>0</v>
      </c>
      <c r="G950">
        <v>5.8690855101669243E-2</v>
      </c>
    </row>
    <row r="951" spans="3:7" hidden="1" x14ac:dyDescent="0.3">
      <c r="C951" s="12" t="s">
        <v>38</v>
      </c>
      <c r="D951" s="8"/>
      <c r="F951">
        <f t="shared" si="19"/>
        <v>0</v>
      </c>
      <c r="G951">
        <v>5.9517486863664579E-2</v>
      </c>
    </row>
    <row r="952" spans="3:7" hidden="1" x14ac:dyDescent="0.3">
      <c r="C952" s="11" t="s">
        <v>38</v>
      </c>
      <c r="D952" s="8"/>
      <c r="F952">
        <f t="shared" si="19"/>
        <v>0</v>
      </c>
      <c r="G952">
        <v>6.0344118625659922E-2</v>
      </c>
    </row>
    <row r="953" spans="3:7" hidden="1" x14ac:dyDescent="0.3">
      <c r="C953" s="12" t="s">
        <v>38</v>
      </c>
      <c r="D953" s="8"/>
      <c r="F953">
        <f t="shared" si="19"/>
        <v>0</v>
      </c>
      <c r="G953">
        <v>6.1170750387655258E-2</v>
      </c>
    </row>
    <row r="954" spans="3:7" hidden="1" x14ac:dyDescent="0.3">
      <c r="C954" s="11" t="s">
        <v>38</v>
      </c>
      <c r="D954" s="8"/>
      <c r="F954">
        <f t="shared" si="19"/>
        <v>0</v>
      </c>
      <c r="G954">
        <v>6.1997382149650601E-2</v>
      </c>
    </row>
    <row r="955" spans="3:7" hidden="1" x14ac:dyDescent="0.3">
      <c r="C955" s="12" t="s">
        <v>38</v>
      </c>
      <c r="D955" s="8"/>
      <c r="F955">
        <f t="shared" si="19"/>
        <v>0</v>
      </c>
      <c r="G955">
        <v>6.2824013911645937E-2</v>
      </c>
    </row>
    <row r="956" spans="3:7" hidden="1" x14ac:dyDescent="0.3">
      <c r="C956" s="11" t="s">
        <v>38</v>
      </c>
      <c r="D956" s="8"/>
      <c r="F956">
        <f t="shared" si="19"/>
        <v>0</v>
      </c>
      <c r="G956">
        <v>6.3650645673641287E-2</v>
      </c>
    </row>
    <row r="957" spans="3:7" hidden="1" x14ac:dyDescent="0.3">
      <c r="C957" s="12" t="s">
        <v>38</v>
      </c>
      <c r="D957" s="8"/>
      <c r="F957">
        <f t="shared" si="19"/>
        <v>0</v>
      </c>
      <c r="G957">
        <v>6.4477277435636624E-2</v>
      </c>
    </row>
    <row r="958" spans="3:7" hidden="1" x14ac:dyDescent="0.3">
      <c r="C958" s="11" t="s">
        <v>38</v>
      </c>
      <c r="D958" s="8"/>
      <c r="F958">
        <f t="shared" si="19"/>
        <v>0</v>
      </c>
      <c r="G958">
        <v>6.5303909197631974E-2</v>
      </c>
    </row>
    <row r="959" spans="3:7" hidden="1" x14ac:dyDescent="0.3">
      <c r="C959" s="12" t="s">
        <v>38</v>
      </c>
      <c r="D959" s="8"/>
      <c r="F959">
        <f t="shared" si="19"/>
        <v>0</v>
      </c>
      <c r="G959">
        <v>6.613054095962731E-2</v>
      </c>
    </row>
    <row r="960" spans="3:7" hidden="1" x14ac:dyDescent="0.3">
      <c r="C960" s="11" t="s">
        <v>38</v>
      </c>
      <c r="D960" s="8"/>
      <c r="F960">
        <f t="shared" si="19"/>
        <v>0</v>
      </c>
      <c r="G960">
        <v>6.6957172721622646E-2</v>
      </c>
    </row>
    <row r="961" spans="3:7" hidden="1" x14ac:dyDescent="0.3">
      <c r="C961" s="12" t="s">
        <v>38</v>
      </c>
      <c r="D961" s="8"/>
      <c r="F961">
        <f t="shared" si="19"/>
        <v>0</v>
      </c>
      <c r="G961">
        <v>6.7783804483617996E-2</v>
      </c>
    </row>
    <row r="962" spans="3:7" hidden="1" x14ac:dyDescent="0.3">
      <c r="C962" s="11" t="s">
        <v>38</v>
      </c>
      <c r="D962" s="8"/>
      <c r="F962">
        <f t="shared" si="19"/>
        <v>0</v>
      </c>
      <c r="G962">
        <v>6.8610436245613332E-2</v>
      </c>
    </row>
    <row r="963" spans="3:7" hidden="1" x14ac:dyDescent="0.3">
      <c r="C963" s="12" t="s">
        <v>38</v>
      </c>
      <c r="D963" s="8"/>
      <c r="F963">
        <f t="shared" si="19"/>
        <v>0</v>
      </c>
      <c r="G963">
        <v>6.9437068007608682E-2</v>
      </c>
    </row>
    <row r="964" spans="3:7" hidden="1" x14ac:dyDescent="0.3">
      <c r="C964" s="11" t="s">
        <v>38</v>
      </c>
      <c r="D964" s="8"/>
      <c r="F964">
        <f t="shared" si="19"/>
        <v>0</v>
      </c>
      <c r="G964">
        <v>7.0263699769604018E-2</v>
      </c>
    </row>
    <row r="965" spans="3:7" hidden="1" x14ac:dyDescent="0.3">
      <c r="C965" s="12" t="s">
        <v>38</v>
      </c>
      <c r="D965" s="8"/>
      <c r="F965">
        <f t="shared" si="19"/>
        <v>0</v>
      </c>
      <c r="G965">
        <v>7.1090331531599354E-2</v>
      </c>
    </row>
    <row r="966" spans="3:7" hidden="1" x14ac:dyDescent="0.3">
      <c r="C966" s="11" t="s">
        <v>38</v>
      </c>
      <c r="D966" s="8"/>
      <c r="F966">
        <f t="shared" si="19"/>
        <v>0</v>
      </c>
      <c r="G966">
        <v>7.1916963293594705E-2</v>
      </c>
    </row>
    <row r="967" spans="3:7" hidden="1" x14ac:dyDescent="0.3">
      <c r="C967" s="12" t="s">
        <v>38</v>
      </c>
      <c r="D967" s="8"/>
      <c r="F967">
        <f t="shared" si="19"/>
        <v>0</v>
      </c>
      <c r="G967">
        <v>7.2743595055590041E-2</v>
      </c>
    </row>
    <row r="968" spans="3:7" hidden="1" x14ac:dyDescent="0.3">
      <c r="C968" s="11" t="s">
        <v>38</v>
      </c>
      <c r="D968" s="8"/>
      <c r="F968">
        <f t="shared" si="19"/>
        <v>0</v>
      </c>
      <c r="G968">
        <v>7.3570226817585377E-2</v>
      </c>
    </row>
    <row r="969" spans="3:7" hidden="1" x14ac:dyDescent="0.3">
      <c r="C969" s="12" t="s">
        <v>38</v>
      </c>
      <c r="D969" s="8"/>
      <c r="F969">
        <f t="shared" si="19"/>
        <v>0</v>
      </c>
      <c r="G969">
        <v>7.4396858579580727E-2</v>
      </c>
    </row>
    <row r="970" spans="3:7" hidden="1" x14ac:dyDescent="0.3">
      <c r="C970" s="11" t="s">
        <v>38</v>
      </c>
      <c r="D970" s="8"/>
      <c r="F970">
        <f t="shared" si="19"/>
        <v>0</v>
      </c>
      <c r="G970">
        <v>7.5223490341576063E-2</v>
      </c>
    </row>
    <row r="971" spans="3:7" hidden="1" x14ac:dyDescent="0.3">
      <c r="C971" s="12" t="s">
        <v>38</v>
      </c>
      <c r="D971" s="8"/>
      <c r="F971">
        <f t="shared" si="19"/>
        <v>0</v>
      </c>
      <c r="G971">
        <v>7.6050122103571399E-2</v>
      </c>
    </row>
    <row r="972" spans="3:7" hidden="1" x14ac:dyDescent="0.3">
      <c r="C972" s="11" t="s">
        <v>38</v>
      </c>
      <c r="D972" s="8"/>
      <c r="F972">
        <f t="shared" si="19"/>
        <v>0</v>
      </c>
      <c r="G972">
        <v>7.6876753865566749E-2</v>
      </c>
    </row>
    <row r="973" spans="3:7" hidden="1" x14ac:dyDescent="0.3">
      <c r="C973" s="12" t="s">
        <v>38</v>
      </c>
      <c r="D973" s="8"/>
      <c r="F973">
        <f t="shared" si="19"/>
        <v>0</v>
      </c>
      <c r="G973">
        <v>7.7703385627562085E-2</v>
      </c>
    </row>
    <row r="974" spans="3:7" hidden="1" x14ac:dyDescent="0.3">
      <c r="C974" s="11" t="s">
        <v>38</v>
      </c>
      <c r="D974" s="8"/>
      <c r="F974">
        <f t="shared" si="19"/>
        <v>0</v>
      </c>
      <c r="G974">
        <v>7.8530017389557435E-2</v>
      </c>
    </row>
    <row r="975" spans="3:7" hidden="1" x14ac:dyDescent="0.3">
      <c r="C975" s="12" t="s">
        <v>38</v>
      </c>
      <c r="D975" s="8"/>
      <c r="F975">
        <f t="shared" si="19"/>
        <v>0</v>
      </c>
      <c r="G975">
        <v>7.9356649151552772E-2</v>
      </c>
    </row>
    <row r="976" spans="3:7" hidden="1" x14ac:dyDescent="0.3">
      <c r="C976" s="11" t="s">
        <v>38</v>
      </c>
      <c r="D976" s="8"/>
      <c r="F976">
        <f t="shared" si="19"/>
        <v>0</v>
      </c>
      <c r="G976">
        <v>8.0183280913548108E-2</v>
      </c>
    </row>
    <row r="977" spans="3:7" hidden="1" x14ac:dyDescent="0.3">
      <c r="C977" s="12" t="s">
        <v>38</v>
      </c>
      <c r="D977" s="8"/>
      <c r="F977">
        <f t="shared" si="19"/>
        <v>0</v>
      </c>
      <c r="G977">
        <v>8.1009912675543458E-2</v>
      </c>
    </row>
    <row r="978" spans="3:7" hidden="1" x14ac:dyDescent="0.3">
      <c r="C978" s="11" t="s">
        <v>38</v>
      </c>
      <c r="D978" s="8"/>
      <c r="F978">
        <f t="shared" si="19"/>
        <v>0</v>
      </c>
      <c r="G978">
        <v>8.1836544437538794E-2</v>
      </c>
    </row>
    <row r="979" spans="3:7" hidden="1" x14ac:dyDescent="0.3">
      <c r="C979" s="12" t="s">
        <v>38</v>
      </c>
      <c r="D979" s="8"/>
      <c r="F979">
        <f t="shared" si="19"/>
        <v>0</v>
      </c>
    </row>
    <row r="980" spans="3:7" hidden="1" x14ac:dyDescent="0.3">
      <c r="C980" s="11" t="s">
        <v>38</v>
      </c>
      <c r="D980" s="8"/>
      <c r="F980">
        <f t="shared" si="19"/>
        <v>0</v>
      </c>
    </row>
    <row r="981" spans="3:7" x14ac:dyDescent="0.3">
      <c r="C981" s="12" t="s">
        <v>39</v>
      </c>
      <c r="D981" s="9">
        <v>39343.887179748519</v>
      </c>
      <c r="F981">
        <f t="shared" si="19"/>
        <v>0</v>
      </c>
    </row>
    <row r="982" spans="3:7" x14ac:dyDescent="0.3">
      <c r="C982" s="11" t="s">
        <v>39</v>
      </c>
      <c r="D982" s="8">
        <v>39343.887179748519</v>
      </c>
      <c r="F982">
        <f t="shared" si="19"/>
        <v>0</v>
      </c>
    </row>
    <row r="983" spans="3:7" x14ac:dyDescent="0.3">
      <c r="C983" s="12" t="s">
        <v>39</v>
      </c>
      <c r="D983" s="9">
        <v>39343.887179748519</v>
      </c>
      <c r="F983">
        <f t="shared" si="19"/>
        <v>0</v>
      </c>
    </row>
    <row r="984" spans="3:7" x14ac:dyDescent="0.3">
      <c r="C984" s="11" t="s">
        <v>39</v>
      </c>
      <c r="D984" s="8">
        <v>39343.887179748519</v>
      </c>
      <c r="F984">
        <f t="shared" si="19"/>
        <v>0</v>
      </c>
    </row>
    <row r="985" spans="3:7" x14ac:dyDescent="0.3">
      <c r="C985" s="12" t="s">
        <v>39</v>
      </c>
      <c r="D985" s="9">
        <v>39343.887179748519</v>
      </c>
      <c r="F985">
        <f t="shared" si="19"/>
        <v>0</v>
      </c>
    </row>
    <row r="986" spans="3:7" x14ac:dyDescent="0.3">
      <c r="C986" s="11" t="s">
        <v>39</v>
      </c>
      <c r="D986" s="8">
        <v>39343.887179748519</v>
      </c>
      <c r="F986">
        <f t="shared" si="19"/>
        <v>0</v>
      </c>
    </row>
    <row r="987" spans="3:7" x14ac:dyDescent="0.3">
      <c r="C987" s="12" t="s">
        <v>39</v>
      </c>
      <c r="D987" s="9">
        <v>39343.887179748519</v>
      </c>
      <c r="F987">
        <f t="shared" si="19"/>
        <v>0</v>
      </c>
    </row>
    <row r="988" spans="3:7" x14ac:dyDescent="0.3">
      <c r="C988" s="11" t="s">
        <v>39</v>
      </c>
      <c r="D988" s="8">
        <v>39343.887179748519</v>
      </c>
      <c r="F988">
        <f t="shared" si="19"/>
        <v>0</v>
      </c>
    </row>
    <row r="989" spans="3:7" x14ac:dyDescent="0.3">
      <c r="C989" s="12" t="s">
        <v>39</v>
      </c>
      <c r="D989" s="9">
        <v>39343.887179748519</v>
      </c>
      <c r="F989">
        <f t="shared" si="19"/>
        <v>0</v>
      </c>
    </row>
    <row r="990" spans="3:7" x14ac:dyDescent="0.3">
      <c r="C990" s="11" t="s">
        <v>39</v>
      </c>
      <c r="D990" s="8">
        <v>39343.887179748519</v>
      </c>
      <c r="F990">
        <f t="shared" si="19"/>
        <v>0</v>
      </c>
    </row>
    <row r="991" spans="3:7" x14ac:dyDescent="0.3">
      <c r="C991" s="12" t="s">
        <v>39</v>
      </c>
      <c r="D991" s="9">
        <v>39343.887179748519</v>
      </c>
      <c r="F991">
        <f t="shared" si="19"/>
        <v>0</v>
      </c>
    </row>
    <row r="992" spans="3:7" x14ac:dyDescent="0.3">
      <c r="C992" s="11" t="s">
        <v>39</v>
      </c>
      <c r="D992" s="8">
        <v>39343.887179748519</v>
      </c>
      <c r="F992">
        <f t="shared" si="19"/>
        <v>0</v>
      </c>
    </row>
    <row r="993" spans="3:6" x14ac:dyDescent="0.3">
      <c r="C993" s="12" t="s">
        <v>39</v>
      </c>
      <c r="D993" s="9">
        <v>39343.887179748519</v>
      </c>
      <c r="F993">
        <f t="shared" si="19"/>
        <v>0</v>
      </c>
    </row>
    <row r="994" spans="3:6" x14ac:dyDescent="0.3">
      <c r="C994" s="11" t="s">
        <v>39</v>
      </c>
      <c r="D994" s="8">
        <v>39343.887179748519</v>
      </c>
      <c r="F994">
        <f t="shared" si="19"/>
        <v>0</v>
      </c>
    </row>
    <row r="995" spans="3:6" x14ac:dyDescent="0.3">
      <c r="C995" s="12" t="s">
        <v>39</v>
      </c>
      <c r="D995" s="9">
        <v>39343.887179748519</v>
      </c>
      <c r="F995">
        <f t="shared" si="19"/>
        <v>0</v>
      </c>
    </row>
    <row r="996" spans="3:6" x14ac:dyDescent="0.3">
      <c r="C996" s="11" t="s">
        <v>39</v>
      </c>
      <c r="D996" s="8">
        <v>39343.887179748519</v>
      </c>
      <c r="F996">
        <f t="shared" si="19"/>
        <v>0</v>
      </c>
    </row>
    <row r="997" spans="3:6" x14ac:dyDescent="0.3">
      <c r="C997" s="12" t="s">
        <v>39</v>
      </c>
      <c r="D997" s="9">
        <v>39343.887179748519</v>
      </c>
      <c r="F997">
        <f t="shared" si="19"/>
        <v>0</v>
      </c>
    </row>
    <row r="998" spans="3:6" x14ac:dyDescent="0.3">
      <c r="C998" s="11" t="s">
        <v>39</v>
      </c>
      <c r="D998" s="8">
        <v>39343.887179748519</v>
      </c>
      <c r="F998">
        <f t="shared" si="19"/>
        <v>0</v>
      </c>
    </row>
    <row r="999" spans="3:6" x14ac:dyDescent="0.3">
      <c r="C999" s="12" t="s">
        <v>39</v>
      </c>
      <c r="D999" s="9">
        <v>39343.887179748519</v>
      </c>
      <c r="F999">
        <f t="shared" si="19"/>
        <v>0</v>
      </c>
    </row>
    <row r="1000" spans="3:6" x14ac:dyDescent="0.3">
      <c r="C1000" s="11" t="s">
        <v>39</v>
      </c>
      <c r="D1000" s="8">
        <v>39343.887179748519</v>
      </c>
      <c r="F1000">
        <f t="shared" si="19"/>
        <v>0</v>
      </c>
    </row>
    <row r="1001" spans="3:6" x14ac:dyDescent="0.3">
      <c r="C1001" s="12" t="s">
        <v>39</v>
      </c>
      <c r="D1001" s="9">
        <v>39343.887179748519</v>
      </c>
      <c r="F1001">
        <f t="shared" si="19"/>
        <v>0</v>
      </c>
    </row>
    <row r="1002" spans="3:6" x14ac:dyDescent="0.3">
      <c r="C1002" s="11" t="s">
        <v>39</v>
      </c>
      <c r="D1002" s="8">
        <v>39343.887179748519</v>
      </c>
      <c r="F1002">
        <f t="shared" si="19"/>
        <v>0</v>
      </c>
    </row>
    <row r="1003" spans="3:6" x14ac:dyDescent="0.3">
      <c r="C1003" s="12" t="s">
        <v>39</v>
      </c>
      <c r="D1003" s="9">
        <v>39343.887179748519</v>
      </c>
      <c r="F1003">
        <f t="shared" si="19"/>
        <v>0</v>
      </c>
    </row>
    <row r="1004" spans="3:6" x14ac:dyDescent="0.3">
      <c r="C1004" s="11" t="s">
        <v>39</v>
      </c>
      <c r="D1004" s="8">
        <v>39343.887179748519</v>
      </c>
      <c r="F1004">
        <f t="shared" si="19"/>
        <v>0</v>
      </c>
    </row>
    <row r="1005" spans="3:6" x14ac:dyDescent="0.3">
      <c r="C1005" s="12" t="s">
        <v>39</v>
      </c>
      <c r="D1005" s="9">
        <v>39343.887179748519</v>
      </c>
      <c r="F1005">
        <f t="shared" si="19"/>
        <v>0</v>
      </c>
    </row>
    <row r="1006" spans="3:6" x14ac:dyDescent="0.3">
      <c r="C1006" s="11" t="s">
        <v>39</v>
      </c>
      <c r="D1006" s="8">
        <v>39343.887179748519</v>
      </c>
      <c r="F1006">
        <f t="shared" ref="F1006:F1069" si="20">IF(IFERROR(FIND("1",C1006,1),ERROR.TYPE(#VALUE!))=ERROR.TYPE(#VALUE!),$M$2,$M$1)</f>
        <v>0</v>
      </c>
    </row>
    <row r="1007" spans="3:6" x14ac:dyDescent="0.3">
      <c r="C1007" s="12" t="s">
        <v>39</v>
      </c>
      <c r="D1007" s="9">
        <v>39343.887179748519</v>
      </c>
      <c r="F1007">
        <f t="shared" si="20"/>
        <v>0</v>
      </c>
    </row>
    <row r="1008" spans="3:6" x14ac:dyDescent="0.3">
      <c r="C1008" s="11" t="s">
        <v>39</v>
      </c>
      <c r="D1008" s="8">
        <v>39343.887179748519</v>
      </c>
      <c r="F1008">
        <f t="shared" si="20"/>
        <v>0</v>
      </c>
    </row>
    <row r="1009" spans="3:6" x14ac:dyDescent="0.3">
      <c r="C1009" s="12" t="s">
        <v>39</v>
      </c>
      <c r="D1009" s="9">
        <v>39343.887179748519</v>
      </c>
      <c r="F1009">
        <f t="shared" si="20"/>
        <v>0</v>
      </c>
    </row>
    <row r="1010" spans="3:6" x14ac:dyDescent="0.3">
      <c r="C1010" s="11" t="s">
        <v>39</v>
      </c>
      <c r="D1010" s="8">
        <v>39343.887179748519</v>
      </c>
      <c r="F1010">
        <f t="shared" si="20"/>
        <v>0</v>
      </c>
    </row>
    <row r="1011" spans="3:6" x14ac:dyDescent="0.3">
      <c r="C1011" s="12" t="s">
        <v>39</v>
      </c>
      <c r="D1011" s="9">
        <v>39343.887179748519</v>
      </c>
      <c r="F1011">
        <f t="shared" si="20"/>
        <v>0</v>
      </c>
    </row>
    <row r="1012" spans="3:6" x14ac:dyDescent="0.3">
      <c r="C1012" s="11" t="s">
        <v>39</v>
      </c>
      <c r="D1012" s="8">
        <v>39343.887179748519</v>
      </c>
      <c r="F1012">
        <f t="shared" si="20"/>
        <v>0</v>
      </c>
    </row>
    <row r="1013" spans="3:6" x14ac:dyDescent="0.3">
      <c r="C1013" s="12" t="s">
        <v>39</v>
      </c>
      <c r="D1013" s="9">
        <v>39343.887179748519</v>
      </c>
      <c r="F1013">
        <f t="shared" si="20"/>
        <v>0</v>
      </c>
    </row>
    <row r="1014" spans="3:6" x14ac:dyDescent="0.3">
      <c r="C1014" s="11" t="s">
        <v>39</v>
      </c>
      <c r="D1014" s="8">
        <v>39343.887179748519</v>
      </c>
      <c r="F1014">
        <f t="shared" si="20"/>
        <v>0</v>
      </c>
    </row>
    <row r="1015" spans="3:6" x14ac:dyDescent="0.3">
      <c r="C1015" s="12" t="s">
        <v>39</v>
      </c>
      <c r="D1015" s="9">
        <v>39343.887179748519</v>
      </c>
      <c r="F1015">
        <f t="shared" si="20"/>
        <v>0</v>
      </c>
    </row>
    <row r="1016" spans="3:6" x14ac:dyDescent="0.3">
      <c r="C1016" s="11" t="s">
        <v>39</v>
      </c>
      <c r="D1016" s="8">
        <v>39343.887179748519</v>
      </c>
      <c r="F1016">
        <f t="shared" si="20"/>
        <v>0</v>
      </c>
    </row>
    <row r="1017" spans="3:6" x14ac:dyDescent="0.3">
      <c r="C1017" s="12" t="s">
        <v>39</v>
      </c>
      <c r="D1017" s="9">
        <v>39343.887179748519</v>
      </c>
      <c r="F1017">
        <f t="shared" si="20"/>
        <v>0</v>
      </c>
    </row>
    <row r="1018" spans="3:6" x14ac:dyDescent="0.3">
      <c r="C1018" s="11" t="s">
        <v>39</v>
      </c>
      <c r="D1018" s="8">
        <v>39343.887179748519</v>
      </c>
      <c r="F1018">
        <f t="shared" si="20"/>
        <v>0</v>
      </c>
    </row>
    <row r="1019" spans="3:6" x14ac:dyDescent="0.3">
      <c r="C1019" s="12" t="s">
        <v>39</v>
      </c>
      <c r="D1019" s="9">
        <v>39343.887179748519</v>
      </c>
      <c r="F1019">
        <f t="shared" si="20"/>
        <v>0</v>
      </c>
    </row>
    <row r="1020" spans="3:6" x14ac:dyDescent="0.3">
      <c r="C1020" s="11" t="s">
        <v>39</v>
      </c>
      <c r="D1020" s="8">
        <v>39343.887179748519</v>
      </c>
      <c r="F1020">
        <f t="shared" si="20"/>
        <v>0</v>
      </c>
    </row>
    <row r="1021" spans="3:6" x14ac:dyDescent="0.3">
      <c r="C1021" s="12" t="s">
        <v>39</v>
      </c>
      <c r="D1021" s="9">
        <v>39343.887179748519</v>
      </c>
      <c r="F1021">
        <f t="shared" si="20"/>
        <v>0</v>
      </c>
    </row>
    <row r="1022" spans="3:6" x14ac:dyDescent="0.3">
      <c r="C1022" s="11" t="s">
        <v>39</v>
      </c>
      <c r="D1022" s="8">
        <v>39343.887179748519</v>
      </c>
      <c r="F1022">
        <f t="shared" si="20"/>
        <v>0</v>
      </c>
    </row>
    <row r="1023" spans="3:6" x14ac:dyDescent="0.3">
      <c r="C1023" s="12" t="s">
        <v>39</v>
      </c>
      <c r="D1023" s="9">
        <v>39343.887179748519</v>
      </c>
      <c r="F1023">
        <f t="shared" si="20"/>
        <v>0</v>
      </c>
    </row>
    <row r="1024" spans="3:6" x14ac:dyDescent="0.3">
      <c r="C1024" s="11" t="s">
        <v>39</v>
      </c>
      <c r="D1024" s="8">
        <v>39343.887179748519</v>
      </c>
      <c r="F1024">
        <f t="shared" si="20"/>
        <v>0</v>
      </c>
    </row>
    <row r="1025" spans="3:6" x14ac:dyDescent="0.3">
      <c r="C1025" s="12" t="s">
        <v>39</v>
      </c>
      <c r="D1025" s="9">
        <v>39343.887179748519</v>
      </c>
      <c r="F1025">
        <f t="shared" si="20"/>
        <v>0</v>
      </c>
    </row>
    <row r="1026" spans="3:6" x14ac:dyDescent="0.3">
      <c r="C1026" s="11" t="s">
        <v>39</v>
      </c>
      <c r="D1026" s="8">
        <v>39343.887179748519</v>
      </c>
      <c r="F1026">
        <f t="shared" si="20"/>
        <v>0</v>
      </c>
    </row>
    <row r="1027" spans="3:6" x14ac:dyDescent="0.3">
      <c r="C1027" s="12" t="s">
        <v>39</v>
      </c>
      <c r="D1027" s="9">
        <v>39343.887179748519</v>
      </c>
      <c r="F1027">
        <f t="shared" si="20"/>
        <v>0</v>
      </c>
    </row>
    <row r="1028" spans="3:6" x14ac:dyDescent="0.3">
      <c r="C1028" s="11" t="s">
        <v>39</v>
      </c>
      <c r="D1028" s="8">
        <v>39343.887179748519</v>
      </c>
      <c r="F1028">
        <f t="shared" si="20"/>
        <v>0</v>
      </c>
    </row>
    <row r="1029" spans="3:6" x14ac:dyDescent="0.3">
      <c r="C1029" s="12" t="s">
        <v>39</v>
      </c>
      <c r="D1029" s="9">
        <v>39343.887179748519</v>
      </c>
      <c r="F1029">
        <f t="shared" si="20"/>
        <v>0</v>
      </c>
    </row>
    <row r="1030" spans="3:6" x14ac:dyDescent="0.3">
      <c r="C1030" s="11" t="s">
        <v>39</v>
      </c>
      <c r="D1030" s="8">
        <v>39343.887179748519</v>
      </c>
      <c r="F1030">
        <f t="shared" si="20"/>
        <v>0</v>
      </c>
    </row>
    <row r="1031" spans="3:6" x14ac:dyDescent="0.3">
      <c r="C1031" s="12" t="s">
        <v>39</v>
      </c>
      <c r="D1031" s="9">
        <v>39343.887179748519</v>
      </c>
      <c r="F1031">
        <f t="shared" si="20"/>
        <v>0</v>
      </c>
    </row>
    <row r="1032" spans="3:6" x14ac:dyDescent="0.3">
      <c r="C1032" s="11" t="s">
        <v>39</v>
      </c>
      <c r="D1032" s="8">
        <v>39343.887179748519</v>
      </c>
      <c r="F1032">
        <f t="shared" si="20"/>
        <v>0</v>
      </c>
    </row>
    <row r="1033" spans="3:6" x14ac:dyDescent="0.3">
      <c r="C1033" s="12" t="s">
        <v>39</v>
      </c>
      <c r="D1033" s="9">
        <v>39343.887179748519</v>
      </c>
      <c r="F1033">
        <f t="shared" si="20"/>
        <v>0</v>
      </c>
    </row>
    <row r="1034" spans="3:6" x14ac:dyDescent="0.3">
      <c r="C1034" s="11" t="s">
        <v>39</v>
      </c>
      <c r="D1034" s="8">
        <v>39343.887179748519</v>
      </c>
      <c r="F1034">
        <f t="shared" si="20"/>
        <v>0</v>
      </c>
    </row>
    <row r="1035" spans="3:6" x14ac:dyDescent="0.3">
      <c r="C1035" s="12" t="s">
        <v>39</v>
      </c>
      <c r="D1035" s="9">
        <v>39343.887179748519</v>
      </c>
      <c r="F1035">
        <f t="shared" si="20"/>
        <v>0</v>
      </c>
    </row>
    <row r="1036" spans="3:6" x14ac:dyDescent="0.3">
      <c r="C1036" s="11" t="s">
        <v>39</v>
      </c>
      <c r="D1036" s="8">
        <v>39343.887179748519</v>
      </c>
      <c r="F1036">
        <f t="shared" si="20"/>
        <v>0</v>
      </c>
    </row>
    <row r="1037" spans="3:6" x14ac:dyDescent="0.3">
      <c r="C1037" s="12" t="s">
        <v>39</v>
      </c>
      <c r="D1037" s="9">
        <v>39343.887179748519</v>
      </c>
      <c r="F1037">
        <f t="shared" si="20"/>
        <v>0</v>
      </c>
    </row>
    <row r="1038" spans="3:6" x14ac:dyDescent="0.3">
      <c r="C1038" s="11" t="s">
        <v>39</v>
      </c>
      <c r="D1038" s="8">
        <v>39343.887179748519</v>
      </c>
      <c r="F1038">
        <f t="shared" si="20"/>
        <v>0</v>
      </c>
    </row>
    <row r="1039" spans="3:6" x14ac:dyDescent="0.3">
      <c r="C1039" s="12" t="s">
        <v>39</v>
      </c>
      <c r="D1039" s="9">
        <v>39343.887179748519</v>
      </c>
      <c r="F1039">
        <f t="shared" si="20"/>
        <v>0</v>
      </c>
    </row>
    <row r="1040" spans="3:6" x14ac:dyDescent="0.3">
      <c r="C1040" s="11" t="s">
        <v>39</v>
      </c>
      <c r="D1040" s="8">
        <v>39343.887179748519</v>
      </c>
      <c r="F1040">
        <f t="shared" si="20"/>
        <v>0</v>
      </c>
    </row>
    <row r="1041" spans="3:6" x14ac:dyDescent="0.3">
      <c r="C1041" s="12" t="s">
        <v>39</v>
      </c>
      <c r="D1041" s="9">
        <v>39343.887179748519</v>
      </c>
      <c r="F1041">
        <f t="shared" si="20"/>
        <v>0</v>
      </c>
    </row>
    <row r="1042" spans="3:6" x14ac:dyDescent="0.3">
      <c r="C1042" s="11" t="s">
        <v>39</v>
      </c>
      <c r="D1042" s="8">
        <v>39343.887179748519</v>
      </c>
      <c r="F1042">
        <f t="shared" si="20"/>
        <v>0</v>
      </c>
    </row>
    <row r="1043" spans="3:6" x14ac:dyDescent="0.3">
      <c r="C1043" s="12" t="s">
        <v>39</v>
      </c>
      <c r="D1043" s="9">
        <v>39343.887179748519</v>
      </c>
      <c r="F1043">
        <f t="shared" si="20"/>
        <v>0</v>
      </c>
    </row>
    <row r="1044" spans="3:6" x14ac:dyDescent="0.3">
      <c r="C1044" s="11" t="s">
        <v>39</v>
      </c>
      <c r="D1044" s="8">
        <v>39343.887179748519</v>
      </c>
      <c r="F1044">
        <f t="shared" si="20"/>
        <v>0</v>
      </c>
    </row>
    <row r="1045" spans="3:6" x14ac:dyDescent="0.3">
      <c r="C1045" s="12" t="s">
        <v>39</v>
      </c>
      <c r="D1045" s="9">
        <v>39343.887179748519</v>
      </c>
      <c r="F1045">
        <f t="shared" si="20"/>
        <v>0</v>
      </c>
    </row>
    <row r="1046" spans="3:6" x14ac:dyDescent="0.3">
      <c r="C1046" s="11" t="s">
        <v>39</v>
      </c>
      <c r="D1046" s="8">
        <v>39343.887179748519</v>
      </c>
      <c r="F1046">
        <f t="shared" si="20"/>
        <v>0</v>
      </c>
    </row>
    <row r="1047" spans="3:6" x14ac:dyDescent="0.3">
      <c r="C1047" s="12" t="s">
        <v>39</v>
      </c>
      <c r="D1047" s="9">
        <v>39343.887179748519</v>
      </c>
      <c r="F1047">
        <f t="shared" si="20"/>
        <v>0</v>
      </c>
    </row>
    <row r="1048" spans="3:6" x14ac:dyDescent="0.3">
      <c r="C1048" s="11" t="s">
        <v>39</v>
      </c>
      <c r="D1048" s="8">
        <v>39343.887179748519</v>
      </c>
      <c r="F1048">
        <f t="shared" si="20"/>
        <v>0</v>
      </c>
    </row>
    <row r="1049" spans="3:6" x14ac:dyDescent="0.3">
      <c r="C1049" s="12" t="s">
        <v>39</v>
      </c>
      <c r="D1049" s="9">
        <v>39343.887179748519</v>
      </c>
      <c r="F1049">
        <f t="shared" si="20"/>
        <v>0</v>
      </c>
    </row>
    <row r="1050" spans="3:6" x14ac:dyDescent="0.3">
      <c r="C1050" s="11" t="s">
        <v>39</v>
      </c>
      <c r="D1050" s="8">
        <v>39343.887179748519</v>
      </c>
      <c r="F1050">
        <f t="shared" si="20"/>
        <v>0</v>
      </c>
    </row>
    <row r="1051" spans="3:6" x14ac:dyDescent="0.3">
      <c r="C1051" s="12" t="s">
        <v>39</v>
      </c>
      <c r="D1051" s="9">
        <v>39343.887179748519</v>
      </c>
      <c r="F1051">
        <f t="shared" si="20"/>
        <v>0</v>
      </c>
    </row>
    <row r="1052" spans="3:6" x14ac:dyDescent="0.3">
      <c r="C1052" s="11" t="s">
        <v>39</v>
      </c>
      <c r="D1052" s="8">
        <v>39343.887179748519</v>
      </c>
      <c r="F1052">
        <f t="shared" si="20"/>
        <v>0</v>
      </c>
    </row>
    <row r="1053" spans="3:6" x14ac:dyDescent="0.3">
      <c r="C1053" s="12" t="s">
        <v>39</v>
      </c>
      <c r="D1053" s="9">
        <v>39343.887179748519</v>
      </c>
      <c r="F1053">
        <f t="shared" si="20"/>
        <v>0</v>
      </c>
    </row>
    <row r="1054" spans="3:6" x14ac:dyDescent="0.3">
      <c r="C1054" s="11" t="s">
        <v>39</v>
      </c>
      <c r="D1054" s="8">
        <v>39343.887179748519</v>
      </c>
      <c r="F1054">
        <f t="shared" si="20"/>
        <v>0</v>
      </c>
    </row>
    <row r="1055" spans="3:6" x14ac:dyDescent="0.3">
      <c r="C1055" s="12" t="s">
        <v>39</v>
      </c>
      <c r="D1055" s="9">
        <v>39343.887179748519</v>
      </c>
      <c r="F1055">
        <f t="shared" si="20"/>
        <v>0</v>
      </c>
    </row>
    <row r="1056" spans="3:6" x14ac:dyDescent="0.3">
      <c r="C1056" s="11" t="s">
        <v>39</v>
      </c>
      <c r="D1056" s="8">
        <v>39343.887179748519</v>
      </c>
      <c r="F1056">
        <f t="shared" si="20"/>
        <v>0</v>
      </c>
    </row>
    <row r="1057" spans="3:6" x14ac:dyDescent="0.3">
      <c r="C1057" s="12" t="s">
        <v>39</v>
      </c>
      <c r="D1057" s="9">
        <v>39343.887179748519</v>
      </c>
      <c r="F1057">
        <f t="shared" si="20"/>
        <v>0</v>
      </c>
    </row>
    <row r="1058" spans="3:6" x14ac:dyDescent="0.3">
      <c r="C1058" s="11" t="s">
        <v>39</v>
      </c>
      <c r="D1058" s="8">
        <v>39343.887179748519</v>
      </c>
      <c r="F1058">
        <f t="shared" si="20"/>
        <v>0</v>
      </c>
    </row>
    <row r="1059" spans="3:6" x14ac:dyDescent="0.3">
      <c r="C1059" s="12" t="s">
        <v>39</v>
      </c>
      <c r="D1059" s="9">
        <v>39343.887179748519</v>
      </c>
      <c r="F1059">
        <f t="shared" si="20"/>
        <v>0</v>
      </c>
    </row>
    <row r="1060" spans="3:6" x14ac:dyDescent="0.3">
      <c r="C1060" s="11" t="s">
        <v>39</v>
      </c>
      <c r="D1060" s="8">
        <v>39343.887179748519</v>
      </c>
      <c r="F1060">
        <f t="shared" si="20"/>
        <v>0</v>
      </c>
    </row>
    <row r="1061" spans="3:6" x14ac:dyDescent="0.3">
      <c r="C1061" s="12" t="s">
        <v>39</v>
      </c>
      <c r="D1061" s="9">
        <v>39343.887179748519</v>
      </c>
      <c r="F1061">
        <f t="shared" si="20"/>
        <v>0</v>
      </c>
    </row>
    <row r="1062" spans="3:6" x14ac:dyDescent="0.3">
      <c r="C1062" s="11" t="s">
        <v>39</v>
      </c>
      <c r="D1062" s="8">
        <v>39343.887179748519</v>
      </c>
      <c r="F1062">
        <f t="shared" si="20"/>
        <v>0</v>
      </c>
    </row>
    <row r="1063" spans="3:6" x14ac:dyDescent="0.3">
      <c r="C1063" s="12" t="s">
        <v>39</v>
      </c>
      <c r="D1063" s="9">
        <v>39343.887179748519</v>
      </c>
      <c r="F1063">
        <f t="shared" si="20"/>
        <v>0</v>
      </c>
    </row>
    <row r="1064" spans="3:6" x14ac:dyDescent="0.3">
      <c r="C1064" s="11" t="s">
        <v>39</v>
      </c>
      <c r="D1064" s="8">
        <v>39343.887179748519</v>
      </c>
      <c r="F1064">
        <f t="shared" si="20"/>
        <v>0</v>
      </c>
    </row>
    <row r="1065" spans="3:6" x14ac:dyDescent="0.3">
      <c r="C1065" s="12" t="s">
        <v>39</v>
      </c>
      <c r="D1065" s="9">
        <v>39343.887179748519</v>
      </c>
      <c r="F1065">
        <f t="shared" si="20"/>
        <v>0</v>
      </c>
    </row>
    <row r="1066" spans="3:6" x14ac:dyDescent="0.3">
      <c r="C1066" s="11" t="s">
        <v>39</v>
      </c>
      <c r="D1066" s="8">
        <v>39343.887179748519</v>
      </c>
      <c r="F1066">
        <f t="shared" si="20"/>
        <v>0</v>
      </c>
    </row>
    <row r="1067" spans="3:6" x14ac:dyDescent="0.3">
      <c r="C1067" s="12" t="s">
        <v>39</v>
      </c>
      <c r="D1067" s="9">
        <v>39343.887179748519</v>
      </c>
      <c r="F1067">
        <f t="shared" si="20"/>
        <v>0</v>
      </c>
    </row>
    <row r="1068" spans="3:6" x14ac:dyDescent="0.3">
      <c r="C1068" s="11" t="s">
        <v>39</v>
      </c>
      <c r="D1068" s="8">
        <v>39343.887179748519</v>
      </c>
      <c r="F1068">
        <f t="shared" si="20"/>
        <v>0</v>
      </c>
    </row>
    <row r="1069" spans="3:6" x14ac:dyDescent="0.3">
      <c r="C1069" s="12" t="s">
        <v>39</v>
      </c>
      <c r="D1069" s="9">
        <v>39343.887179748519</v>
      </c>
      <c r="F1069">
        <f t="shared" si="20"/>
        <v>0</v>
      </c>
    </row>
    <row r="1070" spans="3:6" x14ac:dyDescent="0.3">
      <c r="C1070" s="11" t="s">
        <v>39</v>
      </c>
      <c r="D1070" s="8">
        <v>39343.887179748519</v>
      </c>
      <c r="F1070">
        <f t="shared" ref="F1070:F1133" si="21">IF(IFERROR(FIND("1",C1070,1),ERROR.TYPE(#VALUE!))=ERROR.TYPE(#VALUE!),$M$2,$M$1)</f>
        <v>0</v>
      </c>
    </row>
    <row r="1071" spans="3:6" x14ac:dyDescent="0.3">
      <c r="C1071" s="12" t="s">
        <v>39</v>
      </c>
      <c r="D1071" s="9">
        <v>39343.887179748519</v>
      </c>
      <c r="F1071">
        <f t="shared" si="21"/>
        <v>0</v>
      </c>
    </row>
    <row r="1072" spans="3:6" x14ac:dyDescent="0.3">
      <c r="C1072" s="11" t="s">
        <v>39</v>
      </c>
      <c r="D1072" s="8">
        <v>39343.887179748519</v>
      </c>
      <c r="F1072">
        <f t="shared" si="21"/>
        <v>0</v>
      </c>
    </row>
    <row r="1073" spans="3:6" x14ac:dyDescent="0.3">
      <c r="C1073" s="12" t="s">
        <v>39</v>
      </c>
      <c r="D1073" s="9">
        <v>39343.887179748519</v>
      </c>
      <c r="F1073">
        <f t="shared" si="21"/>
        <v>0</v>
      </c>
    </row>
    <row r="1074" spans="3:6" x14ac:dyDescent="0.3">
      <c r="C1074" s="11" t="s">
        <v>39</v>
      </c>
      <c r="D1074" s="8">
        <v>39343.887179748519</v>
      </c>
      <c r="F1074">
        <f t="shared" si="21"/>
        <v>0</v>
      </c>
    </row>
    <row r="1075" spans="3:6" x14ac:dyDescent="0.3">
      <c r="C1075" s="12" t="s">
        <v>39</v>
      </c>
      <c r="D1075" s="9">
        <v>39343.887179748519</v>
      </c>
      <c r="F1075">
        <f t="shared" si="21"/>
        <v>0</v>
      </c>
    </row>
    <row r="1076" spans="3:6" x14ac:dyDescent="0.3">
      <c r="C1076" s="11" t="s">
        <v>39</v>
      </c>
      <c r="D1076" s="8">
        <v>39343.887179748519</v>
      </c>
      <c r="F1076">
        <f t="shared" si="21"/>
        <v>0</v>
      </c>
    </row>
    <row r="1077" spans="3:6" x14ac:dyDescent="0.3">
      <c r="C1077" s="12" t="s">
        <v>39</v>
      </c>
      <c r="D1077" s="9">
        <v>39343.887179748519</v>
      </c>
      <c r="F1077">
        <f t="shared" si="21"/>
        <v>0</v>
      </c>
    </row>
    <row r="1078" spans="3:6" x14ac:dyDescent="0.3">
      <c r="C1078" s="11" t="s">
        <v>39</v>
      </c>
      <c r="D1078" s="8">
        <v>39343.887179748519</v>
      </c>
      <c r="F1078">
        <f t="shared" si="21"/>
        <v>0</v>
      </c>
    </row>
    <row r="1079" spans="3:6" x14ac:dyDescent="0.3">
      <c r="C1079" s="12" t="s">
        <v>39</v>
      </c>
      <c r="D1079" s="9">
        <v>39343.887179748519</v>
      </c>
      <c r="F1079">
        <f t="shared" si="21"/>
        <v>0</v>
      </c>
    </row>
    <row r="1080" spans="3:6" x14ac:dyDescent="0.3">
      <c r="C1080" s="11" t="s">
        <v>39</v>
      </c>
      <c r="D1080" s="8">
        <v>39343.887179748519</v>
      </c>
      <c r="F1080">
        <f t="shared" si="21"/>
        <v>0</v>
      </c>
    </row>
    <row r="1081" spans="3:6" x14ac:dyDescent="0.3">
      <c r="C1081" s="12" t="s">
        <v>40</v>
      </c>
      <c r="D1081" s="9">
        <v>22802.146518862519</v>
      </c>
      <c r="F1081">
        <f t="shared" si="21"/>
        <v>0</v>
      </c>
    </row>
    <row r="1082" spans="3:6" x14ac:dyDescent="0.3">
      <c r="C1082" s="11" t="s">
        <v>40</v>
      </c>
      <c r="D1082" s="8">
        <v>22870.682296517269</v>
      </c>
      <c r="F1082">
        <f t="shared" si="21"/>
        <v>0</v>
      </c>
    </row>
    <row r="1083" spans="3:6" x14ac:dyDescent="0.3">
      <c r="C1083" s="12" t="s">
        <v>40</v>
      </c>
      <c r="D1083" s="9">
        <v>22952.076802820189</v>
      </c>
      <c r="F1083">
        <f t="shared" si="21"/>
        <v>0</v>
      </c>
    </row>
    <row r="1084" spans="3:6" x14ac:dyDescent="0.3">
      <c r="C1084" s="11" t="s">
        <v>40</v>
      </c>
      <c r="D1084" s="8">
        <v>23034.035404236249</v>
      </c>
      <c r="F1084">
        <f t="shared" si="21"/>
        <v>0</v>
      </c>
    </row>
    <row r="1085" spans="3:6" x14ac:dyDescent="0.3">
      <c r="C1085" s="12" t="s">
        <v>40</v>
      </c>
      <c r="D1085" s="9">
        <v>23116.391315079589</v>
      </c>
      <c r="F1085">
        <f t="shared" si="21"/>
        <v>0</v>
      </c>
    </row>
    <row r="1086" spans="3:6" x14ac:dyDescent="0.3">
      <c r="C1086" s="11" t="s">
        <v>40</v>
      </c>
      <c r="D1086" s="8">
        <v>23174.093852674781</v>
      </c>
      <c r="F1086">
        <f t="shared" si="21"/>
        <v>0</v>
      </c>
    </row>
    <row r="1087" spans="3:6" x14ac:dyDescent="0.3">
      <c r="C1087" s="12" t="s">
        <v>40</v>
      </c>
      <c r="D1087" s="9">
        <v>23270.0071634901</v>
      </c>
      <c r="F1087">
        <f t="shared" si="21"/>
        <v>0</v>
      </c>
    </row>
    <row r="1088" spans="3:6" x14ac:dyDescent="0.3">
      <c r="C1088" s="11" t="s">
        <v>40</v>
      </c>
      <c r="D1088" s="8">
        <v>23366.476282538639</v>
      </c>
      <c r="F1088">
        <f t="shared" si="21"/>
        <v>0</v>
      </c>
    </row>
    <row r="1089" spans="3:6" x14ac:dyDescent="0.3">
      <c r="C1089" s="12" t="s">
        <v>40</v>
      </c>
      <c r="D1089" s="9">
        <v>23463.5046190346</v>
      </c>
      <c r="F1089">
        <f t="shared" si="21"/>
        <v>0</v>
      </c>
    </row>
    <row r="1090" spans="3:6" x14ac:dyDescent="0.3">
      <c r="C1090" s="11" t="s">
        <v>40</v>
      </c>
      <c r="D1090" s="8">
        <v>23535.66296633604</v>
      </c>
      <c r="F1090">
        <f t="shared" si="21"/>
        <v>0</v>
      </c>
    </row>
    <row r="1091" spans="3:6" x14ac:dyDescent="0.3">
      <c r="C1091" s="12" t="s">
        <v>40</v>
      </c>
      <c r="D1091" s="9">
        <v>23608.370144174922</v>
      </c>
      <c r="F1091">
        <f t="shared" si="21"/>
        <v>0</v>
      </c>
    </row>
    <row r="1092" spans="3:6" x14ac:dyDescent="0.3">
      <c r="C1092" s="11" t="s">
        <v>40</v>
      </c>
      <c r="D1092" s="8">
        <v>23693.89695783857</v>
      </c>
      <c r="F1092">
        <f t="shared" si="21"/>
        <v>0</v>
      </c>
    </row>
    <row r="1093" spans="3:6" x14ac:dyDescent="0.3">
      <c r="C1093" s="12" t="s">
        <v>40</v>
      </c>
      <c r="D1093" s="9">
        <v>23780.204502981691</v>
      </c>
      <c r="F1093">
        <f t="shared" si="21"/>
        <v>0</v>
      </c>
    </row>
    <row r="1094" spans="3:6" x14ac:dyDescent="0.3">
      <c r="C1094" s="11" t="s">
        <v>40</v>
      </c>
      <c r="D1094" s="8">
        <v>23853.657449353261</v>
      </c>
      <c r="F1094">
        <f t="shared" si="21"/>
        <v>0</v>
      </c>
    </row>
    <row r="1095" spans="3:6" x14ac:dyDescent="0.3">
      <c r="C1095" s="12" t="s">
        <v>40</v>
      </c>
      <c r="D1095" s="9">
        <v>23940.989684893539</v>
      </c>
      <c r="F1095">
        <f t="shared" si="21"/>
        <v>0</v>
      </c>
    </row>
    <row r="1096" spans="3:6" x14ac:dyDescent="0.3">
      <c r="C1096" s="11" t="s">
        <v>40</v>
      </c>
      <c r="D1096" s="8">
        <v>24029.172035679811</v>
      </c>
      <c r="F1096">
        <f t="shared" si="21"/>
        <v>0</v>
      </c>
    </row>
    <row r="1097" spans="3:6" x14ac:dyDescent="0.3">
      <c r="C1097" s="12" t="s">
        <v>40</v>
      </c>
      <c r="D1097" s="9">
        <v>24130.43909610152</v>
      </c>
      <c r="F1097">
        <f t="shared" si="21"/>
        <v>0</v>
      </c>
    </row>
    <row r="1098" spans="3:6" x14ac:dyDescent="0.3">
      <c r="C1098" s="11" t="s">
        <v>40</v>
      </c>
      <c r="D1098" s="8">
        <v>24219.87050631507</v>
      </c>
      <c r="F1098">
        <f t="shared" si="21"/>
        <v>0</v>
      </c>
    </row>
    <row r="1099" spans="3:6" x14ac:dyDescent="0.3">
      <c r="C1099" s="12" t="s">
        <v>40</v>
      </c>
      <c r="D1099" s="9">
        <v>24296.10096014294</v>
      </c>
      <c r="F1099">
        <f t="shared" si="21"/>
        <v>0</v>
      </c>
    </row>
    <row r="1100" spans="3:6" x14ac:dyDescent="0.3">
      <c r="C1100" s="11" t="s">
        <v>40</v>
      </c>
      <c r="D1100" s="8">
        <v>24385.710621162001</v>
      </c>
      <c r="F1100">
        <f t="shared" si="21"/>
        <v>0</v>
      </c>
    </row>
    <row r="1101" spans="3:6" x14ac:dyDescent="0.3">
      <c r="C1101" s="12" t="s">
        <v>40</v>
      </c>
      <c r="D1101" s="9">
        <v>24475.931767454731</v>
      </c>
      <c r="F1101">
        <f t="shared" si="21"/>
        <v>0</v>
      </c>
    </row>
    <row r="1102" spans="3:6" x14ac:dyDescent="0.3">
      <c r="C1102" s="11" t="s">
        <v>40</v>
      </c>
      <c r="D1102" s="8">
        <v>24567.246500438789</v>
      </c>
      <c r="F1102">
        <f t="shared" si="21"/>
        <v>0</v>
      </c>
    </row>
    <row r="1103" spans="3:6" x14ac:dyDescent="0.3">
      <c r="C1103" s="12" t="s">
        <v>40</v>
      </c>
      <c r="D1103" s="9">
        <v>24671.912934257311</v>
      </c>
      <c r="F1103">
        <f t="shared" si="21"/>
        <v>0</v>
      </c>
    </row>
    <row r="1104" spans="3:6" x14ac:dyDescent="0.3">
      <c r="C1104" s="11" t="s">
        <v>40</v>
      </c>
      <c r="D1104" s="8">
        <v>24764.52098639723</v>
      </c>
      <c r="F1104">
        <f t="shared" si="21"/>
        <v>0</v>
      </c>
    </row>
    <row r="1105" spans="3:6" x14ac:dyDescent="0.3">
      <c r="C1105" s="12" t="s">
        <v>40</v>
      </c>
      <c r="D1105" s="9">
        <v>24843.234074637399</v>
      </c>
      <c r="F1105">
        <f t="shared" si="21"/>
        <v>0</v>
      </c>
    </row>
    <row r="1106" spans="3:6" x14ac:dyDescent="0.3">
      <c r="C1106" s="11" t="s">
        <v>40</v>
      </c>
      <c r="D1106" s="8">
        <v>24935.222358489758</v>
      </c>
      <c r="F1106">
        <f t="shared" si="21"/>
        <v>0</v>
      </c>
    </row>
    <row r="1107" spans="3:6" x14ac:dyDescent="0.3">
      <c r="C1107" s="12" t="s">
        <v>40</v>
      </c>
      <c r="D1107" s="9">
        <v>24987.32419966098</v>
      </c>
      <c r="F1107">
        <f t="shared" si="21"/>
        <v>0</v>
      </c>
    </row>
    <row r="1108" spans="3:6" x14ac:dyDescent="0.3">
      <c r="C1108" s="11" t="s">
        <v>40</v>
      </c>
      <c r="D1108" s="8">
        <v>25068.209640643028</v>
      </c>
      <c r="F1108">
        <f t="shared" si="21"/>
        <v>0</v>
      </c>
    </row>
    <row r="1109" spans="3:6" x14ac:dyDescent="0.3">
      <c r="C1109" s="12" t="s">
        <v>40</v>
      </c>
      <c r="D1109" s="9">
        <v>25161.800955886611</v>
      </c>
      <c r="F1109">
        <f t="shared" si="21"/>
        <v>0</v>
      </c>
    </row>
    <row r="1110" spans="3:6" x14ac:dyDescent="0.3">
      <c r="C1110" s="11" t="s">
        <v>40</v>
      </c>
      <c r="D1110" s="8">
        <v>25243.00497181683</v>
      </c>
      <c r="F1110">
        <f t="shared" si="21"/>
        <v>0</v>
      </c>
    </row>
    <row r="1111" spans="3:6" x14ac:dyDescent="0.3">
      <c r="C1111" s="12" t="s">
        <v>40</v>
      </c>
      <c r="D1111" s="9">
        <v>25352.0230608376</v>
      </c>
      <c r="F1111">
        <f t="shared" si="21"/>
        <v>0</v>
      </c>
    </row>
    <row r="1112" spans="3:6" x14ac:dyDescent="0.3">
      <c r="C1112" s="11" t="s">
        <v>40</v>
      </c>
      <c r="D1112" s="8">
        <v>25448.756824026121</v>
      </c>
      <c r="F1112">
        <f t="shared" si="21"/>
        <v>0</v>
      </c>
    </row>
    <row r="1113" spans="3:6" x14ac:dyDescent="0.3">
      <c r="C1113" s="12" t="s">
        <v>40</v>
      </c>
      <c r="D1113" s="9">
        <v>25533.680001945741</v>
      </c>
      <c r="F1113">
        <f t="shared" si="21"/>
        <v>0</v>
      </c>
    </row>
    <row r="1114" spans="3:6" x14ac:dyDescent="0.3">
      <c r="C1114" s="11" t="s">
        <v>40</v>
      </c>
      <c r="D1114" s="8">
        <v>25632.167830737209</v>
      </c>
      <c r="F1114">
        <f t="shared" si="21"/>
        <v>0</v>
      </c>
    </row>
    <row r="1115" spans="3:6" x14ac:dyDescent="0.3">
      <c r="C1115" s="12" t="s">
        <v>40</v>
      </c>
      <c r="D1115" s="9">
        <v>25729.388486175299</v>
      </c>
      <c r="F1115">
        <f t="shared" si="21"/>
        <v>0</v>
      </c>
    </row>
    <row r="1116" spans="3:6" x14ac:dyDescent="0.3">
      <c r="C1116" s="11" t="s">
        <v>40</v>
      </c>
      <c r="D1116" s="8">
        <v>25827.56211973352</v>
      </c>
      <c r="F1116">
        <f t="shared" si="21"/>
        <v>0</v>
      </c>
    </row>
    <row r="1117" spans="3:6" x14ac:dyDescent="0.3">
      <c r="C1117" s="12" t="s">
        <v>40</v>
      </c>
      <c r="D1117" s="9">
        <v>25926.085135146681</v>
      </c>
      <c r="F1117">
        <f t="shared" si="21"/>
        <v>0</v>
      </c>
    </row>
    <row r="1118" spans="3:6" x14ac:dyDescent="0.3">
      <c r="C1118" s="11" t="s">
        <v>40</v>
      </c>
      <c r="D1118" s="8">
        <v>26039.4612674624</v>
      </c>
      <c r="F1118">
        <f t="shared" si="21"/>
        <v>0</v>
      </c>
    </row>
    <row r="1119" spans="3:6" x14ac:dyDescent="0.3">
      <c r="C1119" s="12" t="s">
        <v>40</v>
      </c>
      <c r="D1119" s="9">
        <v>26153.503130686491</v>
      </c>
      <c r="F1119">
        <f t="shared" si="21"/>
        <v>0</v>
      </c>
    </row>
    <row r="1120" spans="3:6" x14ac:dyDescent="0.3">
      <c r="C1120" s="11" t="s">
        <v>40</v>
      </c>
      <c r="D1120" s="8">
        <v>26254.725046736519</v>
      </c>
      <c r="F1120">
        <f t="shared" si="21"/>
        <v>0</v>
      </c>
    </row>
    <row r="1121" spans="3:6" x14ac:dyDescent="0.3">
      <c r="C1121" s="12" t="s">
        <v>40</v>
      </c>
      <c r="D1121" s="9">
        <v>26316.42465267325</v>
      </c>
      <c r="F1121">
        <f t="shared" si="21"/>
        <v>0</v>
      </c>
    </row>
    <row r="1122" spans="3:6" x14ac:dyDescent="0.3">
      <c r="C1122" s="11" t="s">
        <v>40</v>
      </c>
      <c r="D1122" s="8">
        <v>26377.0257810847</v>
      </c>
      <c r="F1122">
        <f t="shared" si="21"/>
        <v>0</v>
      </c>
    </row>
    <row r="1123" spans="3:6" x14ac:dyDescent="0.3">
      <c r="C1123" s="12" t="s">
        <v>40</v>
      </c>
      <c r="D1123" s="9">
        <v>26493.484884314788</v>
      </c>
      <c r="F1123">
        <f t="shared" si="21"/>
        <v>0</v>
      </c>
    </row>
    <row r="1124" spans="3:6" x14ac:dyDescent="0.3">
      <c r="C1124" s="11" t="s">
        <v>40</v>
      </c>
      <c r="D1124" s="8">
        <v>26610.629163576661</v>
      </c>
      <c r="F1124">
        <f t="shared" si="21"/>
        <v>0</v>
      </c>
    </row>
    <row r="1125" spans="3:6" x14ac:dyDescent="0.3">
      <c r="C1125" s="12" t="s">
        <v>40</v>
      </c>
      <c r="D1125" s="9">
        <v>26728.46281162135</v>
      </c>
      <c r="F1125">
        <f t="shared" si="21"/>
        <v>0</v>
      </c>
    </row>
    <row r="1126" spans="3:6" x14ac:dyDescent="0.3">
      <c r="C1126" s="11" t="s">
        <v>40</v>
      </c>
      <c r="D1126" s="8">
        <v>26831.685338466559</v>
      </c>
      <c r="F1126">
        <f t="shared" si="21"/>
        <v>0</v>
      </c>
    </row>
    <row r="1127" spans="3:6" x14ac:dyDescent="0.3">
      <c r="C1127" s="12" t="s">
        <v>40</v>
      </c>
      <c r="D1127" s="9">
        <v>26935.16427468507</v>
      </c>
      <c r="F1127">
        <f t="shared" si="21"/>
        <v>0</v>
      </c>
    </row>
    <row r="1128" spans="3:6" x14ac:dyDescent="0.3">
      <c r="C1128" s="11" t="s">
        <v>40</v>
      </c>
      <c r="D1128" s="8">
        <v>27010.057760686748</v>
      </c>
      <c r="F1128">
        <f t="shared" si="21"/>
        <v>0</v>
      </c>
    </row>
    <row r="1129" spans="3:6" x14ac:dyDescent="0.3">
      <c r="C1129" s="12" t="s">
        <v>40</v>
      </c>
      <c r="D1129" s="9">
        <v>27117.67964085444</v>
      </c>
      <c r="F1129">
        <f t="shared" si="21"/>
        <v>0</v>
      </c>
    </row>
    <row r="1130" spans="3:6" x14ac:dyDescent="0.3">
      <c r="C1130" s="11" t="s">
        <v>40</v>
      </c>
      <c r="D1130" s="8">
        <v>27195.81290454356</v>
      </c>
      <c r="F1130">
        <f t="shared" si="21"/>
        <v>0</v>
      </c>
    </row>
    <row r="1131" spans="3:6" x14ac:dyDescent="0.3">
      <c r="C1131" s="12" t="s">
        <v>40</v>
      </c>
      <c r="D1131" s="9">
        <v>27276.854396405932</v>
      </c>
      <c r="F1131">
        <f t="shared" si="21"/>
        <v>0</v>
      </c>
    </row>
    <row r="1132" spans="3:6" x14ac:dyDescent="0.3">
      <c r="C1132" s="11" t="s">
        <v>40</v>
      </c>
      <c r="D1132" s="8">
        <v>27366.88677398465</v>
      </c>
      <c r="F1132">
        <f t="shared" si="21"/>
        <v>0</v>
      </c>
    </row>
    <row r="1133" spans="3:6" x14ac:dyDescent="0.3">
      <c r="C1133" s="12" t="s">
        <v>40</v>
      </c>
      <c r="D1133" s="9">
        <v>27475.52167418009</v>
      </c>
      <c r="F1133">
        <f t="shared" si="21"/>
        <v>0</v>
      </c>
    </row>
    <row r="1134" spans="3:6" x14ac:dyDescent="0.3">
      <c r="C1134" s="11" t="s">
        <v>40</v>
      </c>
      <c r="D1134" s="8">
        <v>27581.266348158741</v>
      </c>
      <c r="F1134">
        <f t="shared" ref="F1134:F1180" si="22">IF(IFERROR(FIND("1",C1134,1),ERROR.TYPE(#VALUE!))=ERROR.TYPE(#VALUE!),$M$2,$M$1)</f>
        <v>0</v>
      </c>
    </row>
    <row r="1135" spans="3:6" x14ac:dyDescent="0.3">
      <c r="C1135" s="12" t="s">
        <v>40</v>
      </c>
      <c r="D1135" s="9">
        <v>27678.37969625448</v>
      </c>
      <c r="F1135">
        <f t="shared" si="22"/>
        <v>0</v>
      </c>
    </row>
    <row r="1136" spans="3:6" x14ac:dyDescent="0.3">
      <c r="C1136" s="11" t="s">
        <v>40</v>
      </c>
      <c r="D1136" s="8">
        <v>27790.45805563821</v>
      </c>
      <c r="F1136">
        <f t="shared" si="22"/>
        <v>0</v>
      </c>
    </row>
    <row r="1137" spans="3:6" x14ac:dyDescent="0.3">
      <c r="C1137" s="12" t="s">
        <v>40</v>
      </c>
      <c r="D1137" s="9">
        <v>27915.984422547259</v>
      </c>
      <c r="F1137">
        <f t="shared" si="22"/>
        <v>0</v>
      </c>
    </row>
    <row r="1138" spans="3:6" x14ac:dyDescent="0.3">
      <c r="C1138" s="11" t="s">
        <v>40</v>
      </c>
      <c r="D1138" s="8">
        <v>28029.218603870471</v>
      </c>
      <c r="F1138">
        <f t="shared" si="22"/>
        <v>0</v>
      </c>
    </row>
    <row r="1139" spans="3:6" x14ac:dyDescent="0.3">
      <c r="C1139" s="12" t="s">
        <v>40</v>
      </c>
      <c r="D1139" s="9">
        <v>28124.057354241631</v>
      </c>
      <c r="F1139">
        <f t="shared" si="22"/>
        <v>0</v>
      </c>
    </row>
    <row r="1140" spans="3:6" x14ac:dyDescent="0.3">
      <c r="C1140" s="11" t="s">
        <v>40</v>
      </c>
      <c r="D1140" s="8">
        <v>28237.94440957288</v>
      </c>
      <c r="F1140">
        <f t="shared" si="22"/>
        <v>0</v>
      </c>
    </row>
    <row r="1141" spans="3:6" x14ac:dyDescent="0.3">
      <c r="C1141" s="12" t="s">
        <v>40</v>
      </c>
      <c r="D1141" s="9">
        <v>28352.190464293679</v>
      </c>
      <c r="F1141">
        <f t="shared" si="22"/>
        <v>0</v>
      </c>
    </row>
    <row r="1142" spans="3:6" x14ac:dyDescent="0.3">
      <c r="C1142" s="11" t="s">
        <v>40</v>
      </c>
      <c r="D1142" s="8">
        <v>28452.367927677289</v>
      </c>
      <c r="F1142">
        <f t="shared" si="22"/>
        <v>0</v>
      </c>
    </row>
    <row r="1143" spans="3:6" x14ac:dyDescent="0.3">
      <c r="C1143" s="12" t="s">
        <v>40</v>
      </c>
      <c r="D1143" s="9">
        <v>28554.07369832031</v>
      </c>
      <c r="F1143">
        <f t="shared" si="22"/>
        <v>0</v>
      </c>
    </row>
    <row r="1144" spans="3:6" x14ac:dyDescent="0.3">
      <c r="C1144" s="11" t="s">
        <v>40</v>
      </c>
      <c r="D1144" s="8">
        <v>28653.800232988429</v>
      </c>
      <c r="F1144">
        <f t="shared" si="22"/>
        <v>0</v>
      </c>
    </row>
    <row r="1145" spans="3:6" x14ac:dyDescent="0.3">
      <c r="C1145" s="12" t="s">
        <v>40</v>
      </c>
      <c r="D1145" s="9">
        <v>28767.793333806931</v>
      </c>
      <c r="F1145">
        <f t="shared" si="22"/>
        <v>0</v>
      </c>
    </row>
    <row r="1146" spans="3:6" x14ac:dyDescent="0.3">
      <c r="C1146" s="11" t="s">
        <v>40</v>
      </c>
      <c r="D1146" s="8">
        <v>28886.504830128211</v>
      </c>
      <c r="F1146">
        <f t="shared" si="22"/>
        <v>0</v>
      </c>
    </row>
    <row r="1147" spans="3:6" x14ac:dyDescent="0.3">
      <c r="C1147" s="12" t="s">
        <v>40</v>
      </c>
      <c r="D1147" s="9">
        <v>28970.284663873219</v>
      </c>
      <c r="F1147">
        <f t="shared" si="22"/>
        <v>0</v>
      </c>
    </row>
    <row r="1148" spans="3:6" x14ac:dyDescent="0.3">
      <c r="C1148" s="11" t="s">
        <v>40</v>
      </c>
      <c r="D1148" s="8">
        <v>29077.533747353071</v>
      </c>
      <c r="F1148">
        <f t="shared" si="22"/>
        <v>0</v>
      </c>
    </row>
    <row r="1149" spans="3:6" x14ac:dyDescent="0.3">
      <c r="C1149" s="12" t="s">
        <v>40</v>
      </c>
      <c r="D1149" s="9">
        <v>29197.573751045671</v>
      </c>
      <c r="F1149">
        <f t="shared" si="22"/>
        <v>0</v>
      </c>
    </row>
    <row r="1150" spans="3:6" x14ac:dyDescent="0.3">
      <c r="C1150" s="11" t="s">
        <v>40</v>
      </c>
      <c r="D1150" s="8">
        <v>29300.897609688149</v>
      </c>
      <c r="F1150">
        <f t="shared" si="22"/>
        <v>0</v>
      </c>
    </row>
    <row r="1151" spans="3:6" x14ac:dyDescent="0.3">
      <c r="C1151" s="12" t="s">
        <v>40</v>
      </c>
      <c r="D1151" s="9">
        <v>29421.935344352529</v>
      </c>
      <c r="F1151">
        <f t="shared" si="22"/>
        <v>0</v>
      </c>
    </row>
    <row r="1152" spans="3:6" x14ac:dyDescent="0.3">
      <c r="C1152" s="11" t="s">
        <v>40</v>
      </c>
      <c r="D1152" s="8">
        <v>29558.135143437179</v>
      </c>
      <c r="F1152">
        <f t="shared" si="22"/>
        <v>0</v>
      </c>
    </row>
    <row r="1153" spans="3:6" x14ac:dyDescent="0.3">
      <c r="C1153" s="12" t="s">
        <v>40</v>
      </c>
      <c r="D1153" s="9">
        <v>29669.52219126817</v>
      </c>
      <c r="F1153">
        <f t="shared" si="22"/>
        <v>0</v>
      </c>
    </row>
    <row r="1154" spans="3:6" x14ac:dyDescent="0.3">
      <c r="C1154" s="11" t="s">
        <v>40</v>
      </c>
      <c r="D1154" s="8">
        <v>29807.335094828799</v>
      </c>
      <c r="F1154">
        <f t="shared" si="22"/>
        <v>0</v>
      </c>
    </row>
    <row r="1155" spans="3:6" x14ac:dyDescent="0.3">
      <c r="C1155" s="12" t="s">
        <v>40</v>
      </c>
      <c r="D1155" s="9">
        <v>29917.369840508589</v>
      </c>
      <c r="F1155">
        <f t="shared" si="22"/>
        <v>0</v>
      </c>
    </row>
    <row r="1156" spans="3:6" x14ac:dyDescent="0.3">
      <c r="C1156" s="11" t="s">
        <v>40</v>
      </c>
      <c r="D1156" s="8">
        <v>30008.08422068397</v>
      </c>
      <c r="F1156">
        <f t="shared" si="22"/>
        <v>0</v>
      </c>
    </row>
    <row r="1157" spans="3:6" x14ac:dyDescent="0.3">
      <c r="C1157" s="12" t="s">
        <v>40</v>
      </c>
      <c r="D1157" s="9">
        <v>30113.4306531619</v>
      </c>
      <c r="F1157">
        <f t="shared" si="22"/>
        <v>0</v>
      </c>
    </row>
    <row r="1158" spans="3:6" x14ac:dyDescent="0.3">
      <c r="C1158" s="11" t="s">
        <v>40</v>
      </c>
      <c r="D1158" s="8">
        <v>30240.031135741741</v>
      </c>
      <c r="F1158">
        <f t="shared" si="22"/>
        <v>0</v>
      </c>
    </row>
    <row r="1159" spans="3:6" x14ac:dyDescent="0.3">
      <c r="C1159" s="12" t="s">
        <v>40</v>
      </c>
      <c r="D1159" s="9">
        <v>30353.542581388971</v>
      </c>
      <c r="F1159">
        <f t="shared" si="22"/>
        <v>0</v>
      </c>
    </row>
    <row r="1160" spans="3:6" x14ac:dyDescent="0.3">
      <c r="C1160" s="11" t="s">
        <v>40</v>
      </c>
      <c r="D1160" s="8">
        <v>30467.959531498851</v>
      </c>
      <c r="F1160">
        <f t="shared" si="22"/>
        <v>0</v>
      </c>
    </row>
    <row r="1161" spans="3:6" x14ac:dyDescent="0.3">
      <c r="C1161" s="12" t="s">
        <v>40</v>
      </c>
      <c r="D1161" s="9">
        <v>30594.3247923942</v>
      </c>
      <c r="F1161">
        <f t="shared" si="22"/>
        <v>0</v>
      </c>
    </row>
    <row r="1162" spans="3:6" x14ac:dyDescent="0.3">
      <c r="C1162" s="11" t="s">
        <v>40</v>
      </c>
      <c r="D1162" s="8">
        <v>30685.40717229135</v>
      </c>
      <c r="F1162">
        <f t="shared" si="22"/>
        <v>0</v>
      </c>
    </row>
    <row r="1163" spans="3:6" x14ac:dyDescent="0.3">
      <c r="C1163" s="12" t="s">
        <v>40</v>
      </c>
      <c r="D1163" s="9">
        <v>30816.20202184295</v>
      </c>
      <c r="F1163">
        <f t="shared" si="22"/>
        <v>0</v>
      </c>
    </row>
    <row r="1164" spans="3:6" x14ac:dyDescent="0.3">
      <c r="C1164" s="11" t="s">
        <v>40</v>
      </c>
      <c r="D1164" s="8">
        <v>30949.187394053679</v>
      </c>
      <c r="F1164">
        <f t="shared" si="22"/>
        <v>0</v>
      </c>
    </row>
    <row r="1165" spans="3:6" x14ac:dyDescent="0.3">
      <c r="C1165" s="12" t="s">
        <v>40</v>
      </c>
      <c r="D1165" s="9">
        <v>31080.12874397562</v>
      </c>
      <c r="F1165">
        <f t="shared" si="22"/>
        <v>0</v>
      </c>
    </row>
    <row r="1166" spans="3:6" x14ac:dyDescent="0.3">
      <c r="C1166" s="11" t="s">
        <v>40</v>
      </c>
      <c r="D1166" s="8">
        <v>31179.870553490669</v>
      </c>
      <c r="F1166">
        <f t="shared" si="22"/>
        <v>0</v>
      </c>
    </row>
    <row r="1167" spans="3:6" x14ac:dyDescent="0.3">
      <c r="C1167" s="12" t="s">
        <v>40</v>
      </c>
      <c r="D1167" s="9">
        <v>31327.721584280222</v>
      </c>
      <c r="F1167">
        <f t="shared" si="22"/>
        <v>0</v>
      </c>
    </row>
    <row r="1168" spans="3:6" x14ac:dyDescent="0.3">
      <c r="C1168" s="11" t="s">
        <v>40</v>
      </c>
      <c r="D1168" s="8">
        <v>31446.95669849465</v>
      </c>
      <c r="F1168">
        <f t="shared" si="22"/>
        <v>0</v>
      </c>
    </row>
    <row r="1169" spans="3:6" x14ac:dyDescent="0.3">
      <c r="C1169" s="12" t="s">
        <v>40</v>
      </c>
      <c r="D1169" s="9">
        <v>31581.589241695379</v>
      </c>
      <c r="F1169">
        <f t="shared" si="22"/>
        <v>0</v>
      </c>
    </row>
    <row r="1170" spans="3:6" x14ac:dyDescent="0.3">
      <c r="C1170" s="11" t="s">
        <v>40</v>
      </c>
      <c r="D1170" s="8">
        <v>31671.573204324159</v>
      </c>
      <c r="F1170">
        <f t="shared" si="22"/>
        <v>0</v>
      </c>
    </row>
    <row r="1171" spans="3:6" x14ac:dyDescent="0.3">
      <c r="C1171" s="12" t="s">
        <v>40</v>
      </c>
      <c r="D1171" s="9">
        <v>31801.74197622501</v>
      </c>
      <c r="F1171">
        <f t="shared" si="22"/>
        <v>0</v>
      </c>
    </row>
    <row r="1172" spans="3:6" x14ac:dyDescent="0.3">
      <c r="C1172" s="11" t="s">
        <v>40</v>
      </c>
      <c r="D1172" s="8">
        <v>31921.443225443531</v>
      </c>
      <c r="F1172">
        <f t="shared" si="22"/>
        <v>0</v>
      </c>
    </row>
    <row r="1173" spans="3:6" x14ac:dyDescent="0.3">
      <c r="C1173" s="12" t="s">
        <v>40</v>
      </c>
      <c r="D1173" s="9">
        <v>32046.82896237561</v>
      </c>
      <c r="F1173">
        <f t="shared" si="22"/>
        <v>0</v>
      </c>
    </row>
    <row r="1174" spans="3:6" x14ac:dyDescent="0.3">
      <c r="C1174" s="11" t="s">
        <v>40</v>
      </c>
      <c r="D1174" s="8">
        <v>32182.882668503829</v>
      </c>
      <c r="F1174">
        <f t="shared" si="22"/>
        <v>0</v>
      </c>
    </row>
    <row r="1175" spans="3:6" x14ac:dyDescent="0.3">
      <c r="C1175" s="12" t="s">
        <v>40</v>
      </c>
      <c r="D1175" s="9">
        <v>32309.261725058281</v>
      </c>
      <c r="F1175">
        <f t="shared" si="22"/>
        <v>0</v>
      </c>
    </row>
    <row r="1176" spans="3:6" x14ac:dyDescent="0.3">
      <c r="C1176" s="11" t="s">
        <v>40</v>
      </c>
      <c r="D1176" s="8">
        <v>32450.678205194239</v>
      </c>
      <c r="F1176">
        <f t="shared" si="22"/>
        <v>0</v>
      </c>
    </row>
    <row r="1177" spans="3:6" x14ac:dyDescent="0.3">
      <c r="C1177" s="12" t="s">
        <v>40</v>
      </c>
      <c r="D1177" s="9">
        <v>32591.824025876791</v>
      </c>
      <c r="F1177">
        <f t="shared" si="22"/>
        <v>0</v>
      </c>
    </row>
    <row r="1178" spans="3:6" x14ac:dyDescent="0.3">
      <c r="C1178" s="11" t="s">
        <v>40</v>
      </c>
      <c r="D1178" s="8">
        <v>32715.40143890103</v>
      </c>
      <c r="F1178">
        <f t="shared" si="22"/>
        <v>0</v>
      </c>
    </row>
    <row r="1179" spans="3:6" x14ac:dyDescent="0.3">
      <c r="C1179" s="12" t="s">
        <v>40</v>
      </c>
      <c r="D1179" s="9">
        <v>32843.294314335581</v>
      </c>
      <c r="F1179">
        <f t="shared" si="22"/>
        <v>0</v>
      </c>
    </row>
    <row r="1180" spans="3:6" x14ac:dyDescent="0.3">
      <c r="C1180" s="11" t="s">
        <v>40</v>
      </c>
      <c r="D1180" s="8">
        <v>32966.753462632943</v>
      </c>
      <c r="F1180">
        <f t="shared" si="22"/>
        <v>0</v>
      </c>
    </row>
    <row r="1181" spans="3:6" hidden="1" x14ac:dyDescent="0.3">
      <c r="C1181" s="12"/>
      <c r="D1181" s="9"/>
      <c r="E1181" s="9"/>
    </row>
    <row r="1182" spans="3:6" hidden="1" x14ac:dyDescent="0.3">
      <c r="C1182" s="11"/>
      <c r="D1182" s="8"/>
      <c r="E1182" s="8"/>
    </row>
    <row r="1183" spans="3:6" hidden="1" x14ac:dyDescent="0.3">
      <c r="C1183" s="12"/>
      <c r="D1183" s="9"/>
      <c r="E1183" s="9"/>
    </row>
    <row r="1184" spans="3:6" hidden="1" x14ac:dyDescent="0.3">
      <c r="C1184" s="11"/>
      <c r="D1184" s="8"/>
      <c r="E1184" s="8"/>
    </row>
    <row r="1185" spans="3:5" hidden="1" x14ac:dyDescent="0.3">
      <c r="C1185" s="12"/>
      <c r="D1185" s="9"/>
      <c r="E1185" s="9"/>
    </row>
    <row r="1186" spans="3:5" hidden="1" x14ac:dyDescent="0.3">
      <c r="C1186" s="11"/>
      <c r="D1186" s="8"/>
      <c r="E1186" s="8"/>
    </row>
    <row r="1187" spans="3:5" hidden="1" x14ac:dyDescent="0.3">
      <c r="C1187" s="12"/>
      <c r="D1187" s="9"/>
      <c r="E1187" s="9"/>
    </row>
    <row r="1188" spans="3:5" hidden="1" x14ac:dyDescent="0.3">
      <c r="C1188" s="11"/>
      <c r="D1188" s="8"/>
      <c r="E1188" s="8"/>
    </row>
    <row r="1189" spans="3:5" hidden="1" x14ac:dyDescent="0.3">
      <c r="C1189" s="12"/>
      <c r="D1189" s="9"/>
      <c r="E1189" s="9"/>
    </row>
    <row r="1190" spans="3:5" hidden="1" x14ac:dyDescent="0.3">
      <c r="C1190" s="11"/>
      <c r="D1190" s="8"/>
      <c r="E1190" s="8"/>
    </row>
    <row r="1191" spans="3:5" hidden="1" x14ac:dyDescent="0.3">
      <c r="C1191" s="12"/>
      <c r="D1191" s="9"/>
      <c r="E1191" s="9"/>
    </row>
    <row r="1192" spans="3:5" hidden="1" x14ac:dyDescent="0.3">
      <c r="C1192" s="11"/>
      <c r="D1192" s="8"/>
      <c r="E1192" s="8"/>
    </row>
    <row r="1193" spans="3:5" hidden="1" x14ac:dyDescent="0.3">
      <c r="C1193" s="12"/>
      <c r="D1193" s="9"/>
      <c r="E1193" s="9"/>
    </row>
    <row r="1194" spans="3:5" hidden="1" x14ac:dyDescent="0.3">
      <c r="C1194" s="11"/>
      <c r="D1194" s="8"/>
      <c r="E1194" s="8"/>
    </row>
    <row r="1195" spans="3:5" hidden="1" x14ac:dyDescent="0.3">
      <c r="C1195" s="12"/>
      <c r="D1195" s="9"/>
      <c r="E1195" s="9"/>
    </row>
    <row r="1196" spans="3:5" hidden="1" x14ac:dyDescent="0.3">
      <c r="C1196" s="11"/>
      <c r="D1196" s="8"/>
      <c r="E1196" s="8"/>
    </row>
    <row r="1197" spans="3:5" hidden="1" x14ac:dyDescent="0.3">
      <c r="C1197" s="12"/>
      <c r="D1197" s="9"/>
      <c r="E1197" s="9"/>
    </row>
    <row r="1198" spans="3:5" hidden="1" x14ac:dyDescent="0.3">
      <c r="C1198" s="11"/>
      <c r="D1198" s="8"/>
      <c r="E1198" s="8"/>
    </row>
    <row r="1199" spans="3:5" hidden="1" x14ac:dyDescent="0.3">
      <c r="C1199" s="12"/>
      <c r="D1199" s="9"/>
      <c r="E1199" s="9"/>
    </row>
    <row r="1200" spans="3:5" hidden="1" x14ac:dyDescent="0.3">
      <c r="C1200" s="11"/>
      <c r="D1200" s="8"/>
      <c r="E1200" s="8"/>
    </row>
    <row r="1201" spans="3:5" hidden="1" x14ac:dyDescent="0.3">
      <c r="C1201" s="12"/>
      <c r="D1201" s="9"/>
      <c r="E1201" s="9"/>
    </row>
    <row r="1202" spans="3:5" hidden="1" x14ac:dyDescent="0.3">
      <c r="C1202" s="11"/>
      <c r="D1202" s="8"/>
      <c r="E1202" s="8"/>
    </row>
    <row r="1203" spans="3:5" hidden="1" x14ac:dyDescent="0.3">
      <c r="C1203" s="12"/>
      <c r="D1203" s="9"/>
      <c r="E1203" s="9"/>
    </row>
    <row r="1204" spans="3:5" hidden="1" x14ac:dyDescent="0.3">
      <c r="C1204" s="11"/>
      <c r="D1204" s="8"/>
      <c r="E1204" s="8"/>
    </row>
    <row r="1205" spans="3:5" hidden="1" x14ac:dyDescent="0.3">
      <c r="C1205" s="12"/>
      <c r="D1205" s="9"/>
      <c r="E1205" s="9"/>
    </row>
    <row r="1206" spans="3:5" hidden="1" x14ac:dyDescent="0.3">
      <c r="C1206" s="11"/>
      <c r="D1206" s="8"/>
      <c r="E1206" s="8"/>
    </row>
    <row r="1207" spans="3:5" hidden="1" x14ac:dyDescent="0.3">
      <c r="C1207" s="12"/>
      <c r="D1207" s="9"/>
      <c r="E1207" s="9"/>
    </row>
    <row r="1208" spans="3:5" hidden="1" x14ac:dyDescent="0.3">
      <c r="C1208" s="11"/>
      <c r="D1208" s="8"/>
      <c r="E1208" s="8"/>
    </row>
    <row r="1209" spans="3:5" hidden="1" x14ac:dyDescent="0.3">
      <c r="C1209" s="12"/>
      <c r="D1209" s="9"/>
      <c r="E1209" s="9"/>
    </row>
    <row r="1210" spans="3:5" hidden="1" x14ac:dyDescent="0.3">
      <c r="C1210" s="11"/>
      <c r="D1210" s="8"/>
      <c r="E1210" s="8"/>
    </row>
    <row r="1211" spans="3:5" hidden="1" x14ac:dyDescent="0.3">
      <c r="C1211" s="12"/>
      <c r="D1211" s="9"/>
      <c r="E1211" s="9"/>
    </row>
    <row r="1212" spans="3:5" hidden="1" x14ac:dyDescent="0.3">
      <c r="C1212" s="11"/>
      <c r="D1212" s="8"/>
      <c r="E1212" s="8"/>
    </row>
    <row r="1213" spans="3:5" hidden="1" x14ac:dyDescent="0.3">
      <c r="C1213" s="12"/>
      <c r="D1213" s="9"/>
      <c r="E1213" s="9"/>
    </row>
    <row r="1214" spans="3:5" hidden="1" x14ac:dyDescent="0.3">
      <c r="C1214" s="11"/>
      <c r="D1214" s="8"/>
      <c r="E1214" s="8"/>
    </row>
    <row r="1215" spans="3:5" hidden="1" x14ac:dyDescent="0.3">
      <c r="C1215" s="12"/>
      <c r="D1215" s="9"/>
      <c r="E1215" s="9"/>
    </row>
    <row r="1216" spans="3:5" hidden="1" x14ac:dyDescent="0.3">
      <c r="C1216" s="11"/>
      <c r="D1216" s="8"/>
      <c r="E1216" s="8"/>
    </row>
    <row r="1217" spans="3:8" hidden="1" x14ac:dyDescent="0.3">
      <c r="C1217" s="12"/>
      <c r="D1217" s="9"/>
      <c r="E1217" s="9"/>
    </row>
    <row r="1218" spans="3:8" hidden="1" x14ac:dyDescent="0.3">
      <c r="C1218" s="11"/>
      <c r="D1218" s="8"/>
      <c r="E1218" s="8"/>
    </row>
    <row r="1219" spans="3:8" hidden="1" x14ac:dyDescent="0.3">
      <c r="C1219" s="12"/>
      <c r="D1219" s="9"/>
      <c r="E1219" s="9"/>
    </row>
    <row r="1220" spans="3:8" hidden="1" x14ac:dyDescent="0.3">
      <c r="C1220" s="11"/>
      <c r="D1220" s="8"/>
      <c r="E1220" s="8"/>
    </row>
    <row r="1221" spans="3:8" hidden="1" x14ac:dyDescent="0.3">
      <c r="C1221" s="12"/>
      <c r="D1221" s="9"/>
      <c r="E1221" s="9"/>
    </row>
    <row r="1222" spans="3:8" hidden="1" x14ac:dyDescent="0.3">
      <c r="C1222" s="11"/>
      <c r="D1222" s="8"/>
      <c r="E1222" s="8"/>
    </row>
    <row r="1223" spans="3:8" hidden="1" x14ac:dyDescent="0.3">
      <c r="C1223" s="12"/>
      <c r="D1223" s="9"/>
      <c r="E1223" s="9"/>
    </row>
    <row r="1224" spans="3:8" hidden="1" x14ac:dyDescent="0.3">
      <c r="C1224" s="11"/>
      <c r="D1224" s="8"/>
      <c r="E1224" s="8"/>
    </row>
    <row r="1225" spans="3:8" hidden="1" x14ac:dyDescent="0.3">
      <c r="C1225" s="12"/>
      <c r="D1225" s="9"/>
      <c r="E1225" s="9"/>
    </row>
    <row r="1226" spans="3:8" hidden="1" x14ac:dyDescent="0.3">
      <c r="C1226" s="11"/>
      <c r="D1226" s="8"/>
      <c r="E1226" s="8"/>
    </row>
    <row r="1227" spans="3:8" hidden="1" x14ac:dyDescent="0.3">
      <c r="C1227" s="12"/>
      <c r="D1227" s="9"/>
      <c r="E1227" s="9"/>
    </row>
    <row r="1228" spans="3:8" hidden="1" x14ac:dyDescent="0.3">
      <c r="C1228" s="11"/>
      <c r="D1228" s="8"/>
      <c r="E1228" s="8"/>
    </row>
    <row r="1229" spans="3:8" hidden="1" x14ac:dyDescent="0.3">
      <c r="C1229" s="12"/>
      <c r="D1229" s="9"/>
      <c r="E1229" s="9"/>
    </row>
    <row r="1230" spans="3:8" hidden="1" x14ac:dyDescent="0.3">
      <c r="C1230" s="11"/>
      <c r="D1230" s="8"/>
      <c r="E1230" s="8"/>
    </row>
    <row r="1231" spans="3:8" hidden="1" x14ac:dyDescent="0.3">
      <c r="C1231" s="12" t="s">
        <v>2</v>
      </c>
      <c r="D1231" s="8"/>
      <c r="F1231">
        <f t="shared" ref="F1231:F1261" si="23">IF(IFERROR(FIND("1",C1231,1),ERROR.TYPE(#VALUE!))=ERROR.TYPE(#VALUE!),$M$2,$M$1)</f>
        <v>0</v>
      </c>
      <c r="G1231">
        <v>2.5252525252525249E-2</v>
      </c>
      <c r="H1231">
        <f>Tabelle13[[#This Row],[Variation]]</f>
        <v>2.5252525252525249E-2</v>
      </c>
    </row>
    <row r="1232" spans="3:8" hidden="1" x14ac:dyDescent="0.3">
      <c r="C1232" s="11" t="s">
        <v>2</v>
      </c>
      <c r="D1232" s="8"/>
      <c r="F1232">
        <f t="shared" si="23"/>
        <v>0</v>
      </c>
      <c r="G1232">
        <v>2.575757575757576E-2</v>
      </c>
    </row>
    <row r="1233" spans="3:7" hidden="1" x14ac:dyDescent="0.3">
      <c r="C1233" s="12" t="s">
        <v>2</v>
      </c>
      <c r="D1233" s="8"/>
      <c r="F1233">
        <f t="shared" si="23"/>
        <v>0</v>
      </c>
      <c r="G1233">
        <v>2.6262626262626258E-2</v>
      </c>
    </row>
    <row r="1234" spans="3:7" hidden="1" x14ac:dyDescent="0.3">
      <c r="C1234" s="11" t="s">
        <v>2</v>
      </c>
      <c r="D1234" s="8"/>
      <c r="F1234">
        <f t="shared" si="23"/>
        <v>0</v>
      </c>
      <c r="G1234">
        <v>2.676767676767677E-2</v>
      </c>
    </row>
    <row r="1235" spans="3:7" hidden="1" x14ac:dyDescent="0.3">
      <c r="C1235" s="12" t="s">
        <v>2</v>
      </c>
      <c r="D1235" s="8"/>
      <c r="F1235">
        <f t="shared" si="23"/>
        <v>0</v>
      </c>
      <c r="G1235">
        <v>2.7272727272727271E-2</v>
      </c>
    </row>
    <row r="1236" spans="3:7" hidden="1" x14ac:dyDescent="0.3">
      <c r="C1236" s="11" t="s">
        <v>2</v>
      </c>
      <c r="D1236" s="8"/>
      <c r="F1236">
        <f t="shared" si="23"/>
        <v>0</v>
      </c>
      <c r="G1236">
        <v>2.777777777777778E-2</v>
      </c>
    </row>
    <row r="1237" spans="3:7" hidden="1" x14ac:dyDescent="0.3">
      <c r="C1237" s="12" t="s">
        <v>2</v>
      </c>
      <c r="D1237" s="8"/>
      <c r="F1237">
        <f t="shared" si="23"/>
        <v>0</v>
      </c>
      <c r="G1237">
        <v>2.8282828282828281E-2</v>
      </c>
    </row>
    <row r="1238" spans="3:7" hidden="1" x14ac:dyDescent="0.3">
      <c r="C1238" s="11" t="s">
        <v>2</v>
      </c>
      <c r="D1238" s="8"/>
      <c r="F1238">
        <f t="shared" si="23"/>
        <v>0</v>
      </c>
      <c r="G1238">
        <v>2.8787878787878789E-2</v>
      </c>
    </row>
    <row r="1239" spans="3:7" hidden="1" x14ac:dyDescent="0.3">
      <c r="C1239" s="12" t="s">
        <v>2</v>
      </c>
      <c r="D1239" s="8"/>
      <c r="F1239">
        <f t="shared" si="23"/>
        <v>0</v>
      </c>
      <c r="G1239">
        <v>2.9292929292929291E-2</v>
      </c>
    </row>
    <row r="1240" spans="3:7" hidden="1" x14ac:dyDescent="0.3">
      <c r="C1240" s="11" t="s">
        <v>2</v>
      </c>
      <c r="D1240" s="8"/>
      <c r="F1240">
        <f t="shared" si="23"/>
        <v>0</v>
      </c>
      <c r="G1240">
        <v>2.9797979797979799E-2</v>
      </c>
    </row>
    <row r="1241" spans="3:7" hidden="1" x14ac:dyDescent="0.3">
      <c r="C1241" s="12" t="s">
        <v>2</v>
      </c>
      <c r="D1241" s="8"/>
      <c r="F1241">
        <f t="shared" si="23"/>
        <v>0</v>
      </c>
      <c r="G1241">
        <v>3.03030303030303E-2</v>
      </c>
    </row>
    <row r="1242" spans="3:7" hidden="1" x14ac:dyDescent="0.3">
      <c r="C1242" s="11" t="s">
        <v>2</v>
      </c>
      <c r="D1242" s="8"/>
      <c r="F1242">
        <f t="shared" si="23"/>
        <v>0</v>
      </c>
      <c r="G1242">
        <v>3.0808080808080809E-2</v>
      </c>
    </row>
    <row r="1243" spans="3:7" hidden="1" x14ac:dyDescent="0.3">
      <c r="C1243" s="12" t="s">
        <v>2</v>
      </c>
      <c r="D1243" s="8"/>
      <c r="F1243">
        <f t="shared" si="23"/>
        <v>0</v>
      </c>
      <c r="G1243">
        <v>3.1313131313131307E-2</v>
      </c>
    </row>
    <row r="1244" spans="3:7" hidden="1" x14ac:dyDescent="0.3">
      <c r="C1244" s="11" t="s">
        <v>2</v>
      </c>
      <c r="D1244" s="8"/>
      <c r="F1244">
        <f t="shared" si="23"/>
        <v>0</v>
      </c>
      <c r="G1244">
        <v>3.1818181818181808E-2</v>
      </c>
    </row>
    <row r="1245" spans="3:7" hidden="1" x14ac:dyDescent="0.3">
      <c r="C1245" s="12" t="s">
        <v>2</v>
      </c>
      <c r="D1245" s="8"/>
      <c r="F1245">
        <f t="shared" si="23"/>
        <v>0</v>
      </c>
      <c r="G1245">
        <v>3.2323232323232323E-2</v>
      </c>
    </row>
    <row r="1246" spans="3:7" hidden="1" x14ac:dyDescent="0.3">
      <c r="C1246" s="11" t="s">
        <v>2</v>
      </c>
      <c r="D1246" s="8"/>
      <c r="F1246">
        <f t="shared" si="23"/>
        <v>0</v>
      </c>
      <c r="G1246">
        <v>3.2828282828282832E-2</v>
      </c>
    </row>
    <row r="1247" spans="3:7" hidden="1" x14ac:dyDescent="0.3">
      <c r="C1247" s="12" t="s">
        <v>2</v>
      </c>
      <c r="D1247" s="8"/>
      <c r="F1247">
        <f t="shared" si="23"/>
        <v>0</v>
      </c>
      <c r="G1247">
        <v>3.3333333333333333E-2</v>
      </c>
    </row>
    <row r="1248" spans="3:7" hidden="1" x14ac:dyDescent="0.3">
      <c r="C1248" s="11" t="s">
        <v>2</v>
      </c>
      <c r="D1248" s="8"/>
      <c r="F1248">
        <f t="shared" si="23"/>
        <v>0</v>
      </c>
      <c r="G1248">
        <v>3.3838383838383841E-2</v>
      </c>
    </row>
    <row r="1249" spans="3:7" hidden="1" x14ac:dyDescent="0.3">
      <c r="C1249" s="12" t="s">
        <v>2</v>
      </c>
      <c r="D1249" s="8"/>
      <c r="F1249">
        <f t="shared" si="23"/>
        <v>0</v>
      </c>
      <c r="G1249">
        <v>3.4343434343434343E-2</v>
      </c>
    </row>
    <row r="1250" spans="3:7" hidden="1" x14ac:dyDescent="0.3">
      <c r="C1250" s="11" t="s">
        <v>2</v>
      </c>
      <c r="D1250" s="8"/>
      <c r="F1250">
        <f t="shared" si="23"/>
        <v>0</v>
      </c>
      <c r="G1250">
        <v>3.4848484848484851E-2</v>
      </c>
    </row>
    <row r="1251" spans="3:7" hidden="1" x14ac:dyDescent="0.3">
      <c r="C1251" s="12" t="s">
        <v>2</v>
      </c>
      <c r="D1251" s="8"/>
      <c r="F1251">
        <f t="shared" si="23"/>
        <v>0</v>
      </c>
      <c r="G1251">
        <v>3.5353535353535352E-2</v>
      </c>
    </row>
    <row r="1252" spans="3:7" hidden="1" x14ac:dyDescent="0.3">
      <c r="C1252" s="11" t="s">
        <v>2</v>
      </c>
      <c r="D1252" s="8"/>
      <c r="F1252">
        <f t="shared" si="23"/>
        <v>0</v>
      </c>
      <c r="G1252">
        <v>3.5858585858585861E-2</v>
      </c>
    </row>
    <row r="1253" spans="3:7" hidden="1" x14ac:dyDescent="0.3">
      <c r="C1253" s="12" t="s">
        <v>2</v>
      </c>
      <c r="D1253" s="8"/>
      <c r="F1253">
        <f t="shared" si="23"/>
        <v>0</v>
      </c>
      <c r="G1253">
        <v>3.6363636363636362E-2</v>
      </c>
    </row>
    <row r="1254" spans="3:7" hidden="1" x14ac:dyDescent="0.3">
      <c r="C1254" s="11" t="s">
        <v>2</v>
      </c>
      <c r="D1254" s="8"/>
      <c r="F1254">
        <f t="shared" si="23"/>
        <v>0</v>
      </c>
      <c r="G1254">
        <v>3.686868686868687E-2</v>
      </c>
    </row>
    <row r="1255" spans="3:7" hidden="1" x14ac:dyDescent="0.3">
      <c r="C1255" s="12" t="s">
        <v>2</v>
      </c>
      <c r="D1255" s="8"/>
      <c r="F1255">
        <f t="shared" si="23"/>
        <v>0</v>
      </c>
      <c r="G1255">
        <v>3.7373737373737372E-2</v>
      </c>
    </row>
    <row r="1256" spans="3:7" hidden="1" x14ac:dyDescent="0.3">
      <c r="C1256" s="11" t="s">
        <v>2</v>
      </c>
      <c r="D1256" s="8"/>
      <c r="F1256">
        <f t="shared" si="23"/>
        <v>0</v>
      </c>
      <c r="G1256">
        <v>3.787878787878788E-2</v>
      </c>
    </row>
    <row r="1257" spans="3:7" hidden="1" x14ac:dyDescent="0.3">
      <c r="C1257" s="12" t="s">
        <v>2</v>
      </c>
      <c r="D1257" s="8"/>
      <c r="F1257">
        <f t="shared" si="23"/>
        <v>0</v>
      </c>
      <c r="G1257">
        <v>3.8383838383838381E-2</v>
      </c>
    </row>
    <row r="1258" spans="3:7" hidden="1" x14ac:dyDescent="0.3">
      <c r="C1258" s="11" t="s">
        <v>2</v>
      </c>
      <c r="D1258" s="8"/>
      <c r="F1258">
        <f t="shared" si="23"/>
        <v>0</v>
      </c>
      <c r="G1258">
        <v>3.888888888888889E-2</v>
      </c>
    </row>
    <row r="1259" spans="3:7" hidden="1" x14ac:dyDescent="0.3">
      <c r="C1259" s="12" t="s">
        <v>2</v>
      </c>
      <c r="D1259" s="8"/>
      <c r="F1259">
        <f t="shared" si="23"/>
        <v>0</v>
      </c>
      <c r="G1259">
        <v>3.9393939393939391E-2</v>
      </c>
    </row>
    <row r="1260" spans="3:7" hidden="1" x14ac:dyDescent="0.3">
      <c r="C1260" s="11" t="s">
        <v>2</v>
      </c>
      <c r="D1260" s="8"/>
      <c r="F1260">
        <f t="shared" si="23"/>
        <v>0</v>
      </c>
      <c r="G1260">
        <v>3.9898989898989899E-2</v>
      </c>
    </row>
    <row r="1261" spans="3:7" hidden="1" x14ac:dyDescent="0.3">
      <c r="C1261" s="12" t="s">
        <v>2</v>
      </c>
      <c r="D1261" s="8"/>
      <c r="F1261">
        <f t="shared" si="23"/>
        <v>0</v>
      </c>
      <c r="G1261">
        <v>4.0404040404040401E-2</v>
      </c>
    </row>
    <row r="1262" spans="3:7" hidden="1" x14ac:dyDescent="0.3">
      <c r="C1262" s="11" t="s">
        <v>2</v>
      </c>
      <c r="D1262" s="8"/>
      <c r="F1262">
        <f t="shared" ref="F1262:F1280" si="24">IF(IFERROR(FIND("1",C1262,1),ERROR.TYPE(#VALUE!))=ERROR.TYPE(#VALUE!),$M$2,$M$1)</f>
        <v>0</v>
      </c>
      <c r="G1262">
        <v>4.0909090909090909E-2</v>
      </c>
    </row>
    <row r="1263" spans="3:7" hidden="1" x14ac:dyDescent="0.3">
      <c r="C1263" s="12" t="s">
        <v>2</v>
      </c>
      <c r="D1263" s="8"/>
      <c r="F1263">
        <f t="shared" si="24"/>
        <v>0</v>
      </c>
      <c r="G1263">
        <v>4.1414141414141417E-2</v>
      </c>
    </row>
    <row r="1264" spans="3:7" hidden="1" x14ac:dyDescent="0.3">
      <c r="C1264" s="11" t="s">
        <v>2</v>
      </c>
      <c r="D1264" s="8"/>
      <c r="F1264">
        <f t="shared" si="24"/>
        <v>0</v>
      </c>
      <c r="G1264">
        <v>4.1919191919191919E-2</v>
      </c>
    </row>
    <row r="1265" spans="3:7" hidden="1" x14ac:dyDescent="0.3">
      <c r="C1265" s="12" t="s">
        <v>2</v>
      </c>
      <c r="D1265" s="8"/>
      <c r="F1265">
        <f t="shared" si="24"/>
        <v>0</v>
      </c>
      <c r="G1265">
        <v>4.2424242424242427E-2</v>
      </c>
    </row>
    <row r="1266" spans="3:7" hidden="1" x14ac:dyDescent="0.3">
      <c r="C1266" s="11" t="s">
        <v>2</v>
      </c>
      <c r="D1266" s="8"/>
      <c r="F1266">
        <f t="shared" si="24"/>
        <v>0</v>
      </c>
      <c r="G1266">
        <v>4.2929292929292928E-2</v>
      </c>
    </row>
    <row r="1267" spans="3:7" hidden="1" x14ac:dyDescent="0.3">
      <c r="C1267" s="12" t="s">
        <v>2</v>
      </c>
      <c r="D1267" s="8"/>
      <c r="F1267">
        <f t="shared" si="24"/>
        <v>0</v>
      </c>
      <c r="G1267">
        <v>4.3434343434343443E-2</v>
      </c>
    </row>
    <row r="1268" spans="3:7" hidden="1" x14ac:dyDescent="0.3">
      <c r="C1268" s="11" t="s">
        <v>2</v>
      </c>
      <c r="D1268" s="8"/>
      <c r="F1268">
        <f t="shared" si="24"/>
        <v>0</v>
      </c>
      <c r="G1268">
        <v>4.3939393939393938E-2</v>
      </c>
    </row>
    <row r="1269" spans="3:7" hidden="1" x14ac:dyDescent="0.3">
      <c r="C1269" s="12" t="s">
        <v>2</v>
      </c>
      <c r="D1269" s="8"/>
      <c r="F1269">
        <f t="shared" si="24"/>
        <v>0</v>
      </c>
      <c r="G1269">
        <v>4.4444444444444453E-2</v>
      </c>
    </row>
    <row r="1270" spans="3:7" hidden="1" x14ac:dyDescent="0.3">
      <c r="C1270" s="11" t="s">
        <v>2</v>
      </c>
      <c r="D1270" s="8"/>
      <c r="F1270">
        <f t="shared" si="24"/>
        <v>0</v>
      </c>
      <c r="G1270">
        <v>4.4949494949494948E-2</v>
      </c>
    </row>
    <row r="1271" spans="3:7" hidden="1" x14ac:dyDescent="0.3">
      <c r="C1271" s="12" t="s">
        <v>2</v>
      </c>
      <c r="D1271" s="8"/>
      <c r="F1271">
        <f t="shared" si="24"/>
        <v>0</v>
      </c>
      <c r="G1271">
        <v>4.5454545454545463E-2</v>
      </c>
    </row>
    <row r="1272" spans="3:7" hidden="1" x14ac:dyDescent="0.3">
      <c r="C1272" s="11" t="s">
        <v>2</v>
      </c>
      <c r="D1272" s="8"/>
      <c r="F1272">
        <f t="shared" si="24"/>
        <v>0</v>
      </c>
      <c r="G1272">
        <v>4.5959595959595957E-2</v>
      </c>
    </row>
    <row r="1273" spans="3:7" hidden="1" x14ac:dyDescent="0.3">
      <c r="C1273" s="12" t="s">
        <v>2</v>
      </c>
      <c r="D1273" s="8"/>
      <c r="F1273">
        <f t="shared" si="24"/>
        <v>0</v>
      </c>
      <c r="G1273">
        <v>4.6464646464646472E-2</v>
      </c>
    </row>
    <row r="1274" spans="3:7" hidden="1" x14ac:dyDescent="0.3">
      <c r="C1274" s="11" t="s">
        <v>2</v>
      </c>
      <c r="D1274" s="8"/>
      <c r="F1274">
        <f t="shared" si="24"/>
        <v>0</v>
      </c>
      <c r="G1274">
        <v>4.6969696969696967E-2</v>
      </c>
    </row>
    <row r="1275" spans="3:7" hidden="1" x14ac:dyDescent="0.3">
      <c r="C1275" s="12" t="s">
        <v>2</v>
      </c>
      <c r="D1275" s="8"/>
      <c r="F1275">
        <f t="shared" si="24"/>
        <v>0</v>
      </c>
      <c r="G1275">
        <v>4.7474747474747482E-2</v>
      </c>
    </row>
    <row r="1276" spans="3:7" hidden="1" x14ac:dyDescent="0.3">
      <c r="C1276" s="11" t="s">
        <v>2</v>
      </c>
      <c r="D1276" s="8"/>
      <c r="F1276">
        <f t="shared" si="24"/>
        <v>0</v>
      </c>
      <c r="G1276">
        <v>4.7979797979797983E-2</v>
      </c>
    </row>
    <row r="1277" spans="3:7" hidden="1" x14ac:dyDescent="0.3">
      <c r="C1277" s="12" t="s">
        <v>2</v>
      </c>
      <c r="D1277" s="8"/>
      <c r="F1277">
        <f t="shared" si="24"/>
        <v>0</v>
      </c>
      <c r="G1277">
        <v>4.8484848484848478E-2</v>
      </c>
    </row>
    <row r="1278" spans="3:7" hidden="1" x14ac:dyDescent="0.3">
      <c r="C1278" s="11" t="s">
        <v>2</v>
      </c>
      <c r="D1278" s="8"/>
      <c r="F1278">
        <f t="shared" si="24"/>
        <v>0</v>
      </c>
      <c r="G1278">
        <v>4.8989898989898993E-2</v>
      </c>
    </row>
    <row r="1279" spans="3:7" hidden="1" x14ac:dyDescent="0.3">
      <c r="C1279" s="12" t="s">
        <v>2</v>
      </c>
      <c r="D1279" s="8"/>
      <c r="F1279">
        <f t="shared" si="24"/>
        <v>0</v>
      </c>
      <c r="G1279">
        <v>4.9494949494949488E-2</v>
      </c>
    </row>
    <row r="1280" spans="3:7" hidden="1" x14ac:dyDescent="0.3">
      <c r="C1280" s="11" t="s">
        <v>2</v>
      </c>
      <c r="D1280" s="8"/>
      <c r="F1280">
        <f t="shared" si="24"/>
        <v>0</v>
      </c>
      <c r="G1280">
        <v>0.05</v>
      </c>
    </row>
    <row r="1281" spans="3:5" hidden="1" x14ac:dyDescent="0.3">
      <c r="C1281" s="12"/>
      <c r="D1281" s="9"/>
      <c r="E1281" s="9"/>
    </row>
    <row r="1282" spans="3:5" hidden="1" x14ac:dyDescent="0.3">
      <c r="C1282" s="11"/>
      <c r="D1282" s="8"/>
      <c r="E1282" s="8"/>
    </row>
    <row r="1283" spans="3:5" hidden="1" x14ac:dyDescent="0.3">
      <c r="C1283" s="12"/>
      <c r="D1283" s="9"/>
      <c r="E1283" s="9"/>
    </row>
    <row r="1284" spans="3:5" hidden="1" x14ac:dyDescent="0.3">
      <c r="C1284" s="11"/>
      <c r="D1284" s="8"/>
      <c r="E1284" s="8"/>
    </row>
    <row r="1285" spans="3:5" hidden="1" x14ac:dyDescent="0.3">
      <c r="C1285" s="12"/>
      <c r="D1285" s="9"/>
      <c r="E1285" s="9"/>
    </row>
    <row r="1286" spans="3:5" hidden="1" x14ac:dyDescent="0.3">
      <c r="C1286" s="11"/>
      <c r="D1286" s="8"/>
      <c r="E1286" s="8"/>
    </row>
    <row r="1287" spans="3:5" hidden="1" x14ac:dyDescent="0.3">
      <c r="C1287" s="12"/>
      <c r="D1287" s="9"/>
      <c r="E1287" s="9"/>
    </row>
    <row r="1288" spans="3:5" hidden="1" x14ac:dyDescent="0.3">
      <c r="C1288" s="11"/>
      <c r="D1288" s="8"/>
      <c r="E1288" s="8"/>
    </row>
    <row r="1289" spans="3:5" hidden="1" x14ac:dyDescent="0.3">
      <c r="C1289" s="12"/>
      <c r="D1289" s="9"/>
      <c r="E1289" s="9"/>
    </row>
    <row r="1290" spans="3:5" hidden="1" x14ac:dyDescent="0.3">
      <c r="C1290" s="11"/>
      <c r="D1290" s="8"/>
      <c r="E1290" s="8"/>
    </row>
    <row r="1291" spans="3:5" hidden="1" x14ac:dyDescent="0.3">
      <c r="C1291" s="12"/>
      <c r="D1291" s="9"/>
      <c r="E1291" s="9"/>
    </row>
    <row r="1292" spans="3:5" hidden="1" x14ac:dyDescent="0.3">
      <c r="C1292" s="11"/>
      <c r="D1292" s="8"/>
      <c r="E1292" s="8"/>
    </row>
    <row r="1293" spans="3:5" hidden="1" x14ac:dyDescent="0.3">
      <c r="C1293" s="12"/>
      <c r="D1293" s="9"/>
      <c r="E1293" s="9"/>
    </row>
    <row r="1294" spans="3:5" hidden="1" x14ac:dyDescent="0.3">
      <c r="C1294" s="11"/>
      <c r="D1294" s="8"/>
      <c r="E1294" s="8"/>
    </row>
    <row r="1295" spans="3:5" hidden="1" x14ac:dyDescent="0.3">
      <c r="C1295" s="12"/>
      <c r="D1295" s="9"/>
      <c r="E1295" s="9"/>
    </row>
    <row r="1296" spans="3:5" hidden="1" x14ac:dyDescent="0.3">
      <c r="C1296" s="11"/>
      <c r="D1296" s="8"/>
      <c r="E1296" s="8"/>
    </row>
    <row r="1297" spans="3:5" hidden="1" x14ac:dyDescent="0.3">
      <c r="C1297" s="12"/>
      <c r="D1297" s="9"/>
      <c r="E1297" s="9"/>
    </row>
    <row r="1298" spans="3:5" hidden="1" x14ac:dyDescent="0.3">
      <c r="C1298" s="11"/>
      <c r="D1298" s="8"/>
      <c r="E1298" s="8"/>
    </row>
    <row r="1299" spans="3:5" hidden="1" x14ac:dyDescent="0.3">
      <c r="C1299" s="12"/>
      <c r="D1299" s="9"/>
      <c r="E1299" s="9"/>
    </row>
    <row r="1300" spans="3:5" hidden="1" x14ac:dyDescent="0.3">
      <c r="C1300" s="11"/>
      <c r="D1300" s="8"/>
      <c r="E1300" s="8"/>
    </row>
    <row r="1301" spans="3:5" hidden="1" x14ac:dyDescent="0.3">
      <c r="C1301" s="12"/>
      <c r="D1301" s="9"/>
      <c r="E1301" s="9"/>
    </row>
    <row r="1302" spans="3:5" hidden="1" x14ac:dyDescent="0.3">
      <c r="C1302" s="11"/>
      <c r="D1302" s="8"/>
      <c r="E1302" s="8"/>
    </row>
    <row r="1303" spans="3:5" hidden="1" x14ac:dyDescent="0.3">
      <c r="C1303" s="12"/>
      <c r="D1303" s="9"/>
      <c r="E1303" s="9"/>
    </row>
    <row r="1304" spans="3:5" hidden="1" x14ac:dyDescent="0.3">
      <c r="C1304" s="11"/>
      <c r="D1304" s="8"/>
      <c r="E1304" s="8"/>
    </row>
    <row r="1305" spans="3:5" hidden="1" x14ac:dyDescent="0.3">
      <c r="C1305" s="12"/>
      <c r="D1305" s="9"/>
      <c r="E1305" s="9"/>
    </row>
    <row r="1306" spans="3:5" hidden="1" x14ac:dyDescent="0.3">
      <c r="C1306" s="11"/>
      <c r="D1306" s="8"/>
      <c r="E1306" s="8"/>
    </row>
    <row r="1307" spans="3:5" hidden="1" x14ac:dyDescent="0.3">
      <c r="C1307" s="12"/>
      <c r="D1307" s="9"/>
      <c r="E1307" s="9"/>
    </row>
    <row r="1308" spans="3:5" hidden="1" x14ac:dyDescent="0.3">
      <c r="C1308" s="11"/>
      <c r="D1308" s="8"/>
      <c r="E1308" s="8"/>
    </row>
    <row r="1309" spans="3:5" hidden="1" x14ac:dyDescent="0.3">
      <c r="C1309" s="12"/>
      <c r="D1309" s="9"/>
      <c r="E1309" s="9"/>
    </row>
    <row r="1310" spans="3:5" hidden="1" x14ac:dyDescent="0.3">
      <c r="C1310" s="11"/>
      <c r="D1310" s="8"/>
      <c r="E1310" s="8"/>
    </row>
    <row r="1311" spans="3:5" hidden="1" x14ac:dyDescent="0.3">
      <c r="C1311" s="12"/>
      <c r="D1311" s="9"/>
      <c r="E1311" s="9"/>
    </row>
    <row r="1312" spans="3:5" hidden="1" x14ac:dyDescent="0.3">
      <c r="C1312" s="11"/>
      <c r="D1312" s="8"/>
      <c r="E1312" s="8"/>
    </row>
    <row r="1313" spans="3:5" hidden="1" x14ac:dyDescent="0.3">
      <c r="C1313" s="12"/>
      <c r="D1313" s="9"/>
      <c r="E1313" s="9"/>
    </row>
    <row r="1314" spans="3:5" hidden="1" x14ac:dyDescent="0.3">
      <c r="C1314" s="11"/>
      <c r="D1314" s="8"/>
      <c r="E1314" s="8"/>
    </row>
    <row r="1315" spans="3:5" hidden="1" x14ac:dyDescent="0.3">
      <c r="C1315" s="12"/>
      <c r="D1315" s="9"/>
      <c r="E1315" s="9"/>
    </row>
    <row r="1316" spans="3:5" hidden="1" x14ac:dyDescent="0.3">
      <c r="C1316" s="11"/>
      <c r="D1316" s="8"/>
      <c r="E1316" s="8"/>
    </row>
    <row r="1317" spans="3:5" hidden="1" x14ac:dyDescent="0.3">
      <c r="C1317" s="12"/>
      <c r="D1317" s="9"/>
      <c r="E1317" s="9"/>
    </row>
    <row r="1318" spans="3:5" hidden="1" x14ac:dyDescent="0.3">
      <c r="C1318" s="11"/>
      <c r="D1318" s="8"/>
      <c r="E1318" s="8"/>
    </row>
    <row r="1319" spans="3:5" hidden="1" x14ac:dyDescent="0.3">
      <c r="C1319" s="12"/>
      <c r="D1319" s="9"/>
      <c r="E1319" s="9"/>
    </row>
    <row r="1320" spans="3:5" hidden="1" x14ac:dyDescent="0.3">
      <c r="C1320" s="11"/>
      <c r="D1320" s="8"/>
      <c r="E1320" s="8"/>
    </row>
    <row r="1321" spans="3:5" hidden="1" x14ac:dyDescent="0.3">
      <c r="C1321" s="12"/>
      <c r="D1321" s="9"/>
      <c r="E1321" s="9"/>
    </row>
    <row r="1322" spans="3:5" hidden="1" x14ac:dyDescent="0.3">
      <c r="C1322" s="11"/>
      <c r="D1322" s="8"/>
      <c r="E1322" s="8"/>
    </row>
    <row r="1323" spans="3:5" hidden="1" x14ac:dyDescent="0.3">
      <c r="C1323" s="12"/>
      <c r="D1323" s="9"/>
      <c r="E1323" s="9"/>
    </row>
    <row r="1324" spans="3:5" hidden="1" x14ac:dyDescent="0.3">
      <c r="C1324" s="11"/>
      <c r="D1324" s="8"/>
      <c r="E1324" s="8"/>
    </row>
    <row r="1325" spans="3:5" hidden="1" x14ac:dyDescent="0.3">
      <c r="C1325" s="12"/>
      <c r="D1325" s="9"/>
      <c r="E1325" s="9"/>
    </row>
    <row r="1326" spans="3:5" hidden="1" x14ac:dyDescent="0.3">
      <c r="C1326" s="11"/>
      <c r="D1326" s="8"/>
      <c r="E1326" s="8"/>
    </row>
    <row r="1327" spans="3:5" hidden="1" x14ac:dyDescent="0.3">
      <c r="C1327" s="12"/>
      <c r="D1327" s="9"/>
      <c r="E1327" s="9"/>
    </row>
    <row r="1328" spans="3:5" hidden="1" x14ac:dyDescent="0.3">
      <c r="C1328" s="11"/>
      <c r="D1328" s="8"/>
      <c r="E1328" s="8"/>
    </row>
    <row r="1329" spans="3:7" hidden="1" x14ac:dyDescent="0.3">
      <c r="C1329" s="12"/>
      <c r="D1329" s="9"/>
      <c r="E1329" s="9"/>
    </row>
    <row r="1330" spans="3:7" hidden="1" x14ac:dyDescent="0.3">
      <c r="C1330" s="11"/>
      <c r="D1330" s="8"/>
      <c r="E1330" s="8"/>
    </row>
    <row r="1331" spans="3:7" hidden="1" x14ac:dyDescent="0.3">
      <c r="C1331" s="12" t="s">
        <v>3</v>
      </c>
      <c r="D1331" s="8"/>
      <c r="F1331">
        <f t="shared" ref="F1331:F1380" si="25">IF(IFERROR(FIND("1",C1331,1),ERROR.TYPE(#VALUE!))=ERROR.TYPE(#VALUE!),$M$2,$M$1)</f>
        <v>0</v>
      </c>
      <c r="G1331">
        <v>2.5252525252525249E-2</v>
      </c>
    </row>
    <row r="1332" spans="3:7" hidden="1" x14ac:dyDescent="0.3">
      <c r="C1332" s="11" t="s">
        <v>3</v>
      </c>
      <c r="D1332" s="8"/>
      <c r="F1332">
        <f t="shared" si="25"/>
        <v>0</v>
      </c>
      <c r="G1332">
        <v>2.575757575757576E-2</v>
      </c>
    </row>
    <row r="1333" spans="3:7" hidden="1" x14ac:dyDescent="0.3">
      <c r="C1333" s="12" t="s">
        <v>3</v>
      </c>
      <c r="D1333" s="8"/>
      <c r="F1333">
        <f t="shared" si="25"/>
        <v>0</v>
      </c>
      <c r="G1333">
        <v>2.6262626262626258E-2</v>
      </c>
    </row>
    <row r="1334" spans="3:7" hidden="1" x14ac:dyDescent="0.3">
      <c r="C1334" s="11" t="s">
        <v>3</v>
      </c>
      <c r="D1334" s="8"/>
      <c r="F1334">
        <f t="shared" si="25"/>
        <v>0</v>
      </c>
      <c r="G1334">
        <v>2.676767676767677E-2</v>
      </c>
    </row>
    <row r="1335" spans="3:7" hidden="1" x14ac:dyDescent="0.3">
      <c r="C1335" s="12" t="s">
        <v>3</v>
      </c>
      <c r="D1335" s="8"/>
      <c r="F1335">
        <f t="shared" si="25"/>
        <v>0</v>
      </c>
      <c r="G1335">
        <v>2.7272727272727271E-2</v>
      </c>
    </row>
    <row r="1336" spans="3:7" hidden="1" x14ac:dyDescent="0.3">
      <c r="C1336" s="11" t="s">
        <v>3</v>
      </c>
      <c r="D1336" s="8"/>
      <c r="F1336">
        <f t="shared" si="25"/>
        <v>0</v>
      </c>
      <c r="G1336">
        <v>2.777777777777778E-2</v>
      </c>
    </row>
    <row r="1337" spans="3:7" hidden="1" x14ac:dyDescent="0.3">
      <c r="C1337" s="12" t="s">
        <v>3</v>
      </c>
      <c r="D1337" s="8"/>
      <c r="F1337">
        <f t="shared" si="25"/>
        <v>0</v>
      </c>
      <c r="G1337">
        <v>2.8282828282828281E-2</v>
      </c>
    </row>
    <row r="1338" spans="3:7" hidden="1" x14ac:dyDescent="0.3">
      <c r="C1338" s="11" t="s">
        <v>3</v>
      </c>
      <c r="D1338" s="8"/>
      <c r="F1338">
        <f t="shared" si="25"/>
        <v>0</v>
      </c>
      <c r="G1338">
        <v>2.8787878787878789E-2</v>
      </c>
    </row>
    <row r="1339" spans="3:7" hidden="1" x14ac:dyDescent="0.3">
      <c r="C1339" s="12" t="s">
        <v>3</v>
      </c>
      <c r="D1339" s="8"/>
      <c r="F1339">
        <f t="shared" si="25"/>
        <v>0</v>
      </c>
      <c r="G1339">
        <v>2.9292929292929291E-2</v>
      </c>
    </row>
    <row r="1340" spans="3:7" hidden="1" x14ac:dyDescent="0.3">
      <c r="C1340" s="11" t="s">
        <v>3</v>
      </c>
      <c r="D1340" s="8"/>
      <c r="F1340">
        <f t="shared" si="25"/>
        <v>0</v>
      </c>
      <c r="G1340">
        <v>2.9797979797979799E-2</v>
      </c>
    </row>
    <row r="1341" spans="3:7" hidden="1" x14ac:dyDescent="0.3">
      <c r="C1341" s="12" t="s">
        <v>3</v>
      </c>
      <c r="D1341" s="8"/>
      <c r="F1341">
        <f t="shared" si="25"/>
        <v>0</v>
      </c>
      <c r="G1341">
        <v>3.03030303030303E-2</v>
      </c>
    </row>
    <row r="1342" spans="3:7" hidden="1" x14ac:dyDescent="0.3">
      <c r="C1342" s="11" t="s">
        <v>3</v>
      </c>
      <c r="D1342" s="8"/>
      <c r="F1342">
        <f t="shared" si="25"/>
        <v>0</v>
      </c>
      <c r="G1342">
        <v>3.0808080808080809E-2</v>
      </c>
    </row>
    <row r="1343" spans="3:7" hidden="1" x14ac:dyDescent="0.3">
      <c r="C1343" s="12" t="s">
        <v>3</v>
      </c>
      <c r="D1343" s="8"/>
      <c r="F1343">
        <f t="shared" si="25"/>
        <v>0</v>
      </c>
      <c r="G1343">
        <v>3.1313131313131307E-2</v>
      </c>
    </row>
    <row r="1344" spans="3:7" hidden="1" x14ac:dyDescent="0.3">
      <c r="C1344" s="11" t="s">
        <v>3</v>
      </c>
      <c r="D1344" s="8"/>
      <c r="F1344">
        <f t="shared" si="25"/>
        <v>0</v>
      </c>
      <c r="G1344">
        <v>3.1818181818181808E-2</v>
      </c>
    </row>
    <row r="1345" spans="3:7" hidden="1" x14ac:dyDescent="0.3">
      <c r="C1345" s="12" t="s">
        <v>3</v>
      </c>
      <c r="D1345" s="8"/>
      <c r="F1345">
        <f t="shared" si="25"/>
        <v>0</v>
      </c>
      <c r="G1345">
        <v>3.2323232323232323E-2</v>
      </c>
    </row>
    <row r="1346" spans="3:7" hidden="1" x14ac:dyDescent="0.3">
      <c r="C1346" s="11" t="s">
        <v>3</v>
      </c>
      <c r="D1346" s="8"/>
      <c r="F1346">
        <f t="shared" si="25"/>
        <v>0</v>
      </c>
      <c r="G1346">
        <v>3.2828282828282832E-2</v>
      </c>
    </row>
    <row r="1347" spans="3:7" hidden="1" x14ac:dyDescent="0.3">
      <c r="C1347" s="12" t="s">
        <v>3</v>
      </c>
      <c r="D1347" s="8"/>
      <c r="F1347">
        <f t="shared" si="25"/>
        <v>0</v>
      </c>
      <c r="G1347">
        <v>3.3333333333333333E-2</v>
      </c>
    </row>
    <row r="1348" spans="3:7" hidden="1" x14ac:dyDescent="0.3">
      <c r="C1348" s="11" t="s">
        <v>3</v>
      </c>
      <c r="D1348" s="8"/>
      <c r="F1348">
        <f t="shared" si="25"/>
        <v>0</v>
      </c>
      <c r="G1348">
        <v>3.3838383838383841E-2</v>
      </c>
    </row>
    <row r="1349" spans="3:7" hidden="1" x14ac:dyDescent="0.3">
      <c r="C1349" s="12" t="s">
        <v>3</v>
      </c>
      <c r="D1349" s="8"/>
      <c r="F1349">
        <f t="shared" si="25"/>
        <v>0</v>
      </c>
      <c r="G1349">
        <v>3.4343434343434343E-2</v>
      </c>
    </row>
    <row r="1350" spans="3:7" hidden="1" x14ac:dyDescent="0.3">
      <c r="C1350" s="11" t="s">
        <v>3</v>
      </c>
      <c r="D1350" s="8"/>
      <c r="F1350">
        <f t="shared" si="25"/>
        <v>0</v>
      </c>
      <c r="G1350">
        <v>3.4848484848484851E-2</v>
      </c>
    </row>
    <row r="1351" spans="3:7" hidden="1" x14ac:dyDescent="0.3">
      <c r="C1351" s="12" t="s">
        <v>3</v>
      </c>
      <c r="D1351" s="8"/>
      <c r="F1351">
        <f t="shared" si="25"/>
        <v>0</v>
      </c>
      <c r="G1351">
        <v>3.5353535353535352E-2</v>
      </c>
    </row>
    <row r="1352" spans="3:7" hidden="1" x14ac:dyDescent="0.3">
      <c r="C1352" s="11" t="s">
        <v>3</v>
      </c>
      <c r="D1352" s="8"/>
      <c r="F1352">
        <f t="shared" si="25"/>
        <v>0</v>
      </c>
      <c r="G1352">
        <v>3.5858585858585861E-2</v>
      </c>
    </row>
    <row r="1353" spans="3:7" hidden="1" x14ac:dyDescent="0.3">
      <c r="C1353" s="12" t="s">
        <v>3</v>
      </c>
      <c r="D1353" s="8"/>
      <c r="F1353">
        <f t="shared" si="25"/>
        <v>0</v>
      </c>
      <c r="G1353">
        <v>3.6363636363636362E-2</v>
      </c>
    </row>
    <row r="1354" spans="3:7" hidden="1" x14ac:dyDescent="0.3">
      <c r="C1354" s="11" t="s">
        <v>3</v>
      </c>
      <c r="D1354" s="8"/>
      <c r="F1354">
        <f t="shared" si="25"/>
        <v>0</v>
      </c>
      <c r="G1354">
        <v>3.686868686868687E-2</v>
      </c>
    </row>
    <row r="1355" spans="3:7" hidden="1" x14ac:dyDescent="0.3">
      <c r="C1355" s="12" t="s">
        <v>3</v>
      </c>
      <c r="D1355" s="8"/>
      <c r="F1355">
        <f t="shared" si="25"/>
        <v>0</v>
      </c>
      <c r="G1355">
        <v>3.7373737373737372E-2</v>
      </c>
    </row>
    <row r="1356" spans="3:7" hidden="1" x14ac:dyDescent="0.3">
      <c r="C1356" s="11" t="s">
        <v>3</v>
      </c>
      <c r="D1356" s="8"/>
      <c r="F1356">
        <f t="shared" si="25"/>
        <v>0</v>
      </c>
      <c r="G1356">
        <v>3.787878787878788E-2</v>
      </c>
    </row>
    <row r="1357" spans="3:7" hidden="1" x14ac:dyDescent="0.3">
      <c r="C1357" s="12" t="s">
        <v>3</v>
      </c>
      <c r="D1357" s="8"/>
      <c r="F1357">
        <f t="shared" si="25"/>
        <v>0</v>
      </c>
      <c r="G1357">
        <v>3.8383838383838381E-2</v>
      </c>
    </row>
    <row r="1358" spans="3:7" hidden="1" x14ac:dyDescent="0.3">
      <c r="C1358" s="11" t="s">
        <v>3</v>
      </c>
      <c r="D1358" s="8"/>
      <c r="F1358">
        <f t="shared" si="25"/>
        <v>0</v>
      </c>
      <c r="G1358">
        <v>3.888888888888889E-2</v>
      </c>
    </row>
    <row r="1359" spans="3:7" hidden="1" x14ac:dyDescent="0.3">
      <c r="C1359" s="12" t="s">
        <v>3</v>
      </c>
      <c r="D1359" s="8"/>
      <c r="F1359">
        <f t="shared" si="25"/>
        <v>0</v>
      </c>
      <c r="G1359">
        <v>3.9393939393939391E-2</v>
      </c>
    </row>
    <row r="1360" spans="3:7" hidden="1" x14ac:dyDescent="0.3">
      <c r="C1360" s="11" t="s">
        <v>3</v>
      </c>
      <c r="D1360" s="8"/>
      <c r="F1360">
        <f t="shared" si="25"/>
        <v>0</v>
      </c>
      <c r="G1360">
        <v>3.9898989898989899E-2</v>
      </c>
    </row>
    <row r="1361" spans="3:7" hidden="1" x14ac:dyDescent="0.3">
      <c r="C1361" s="12" t="s">
        <v>3</v>
      </c>
      <c r="D1361" s="8"/>
      <c r="F1361">
        <f t="shared" si="25"/>
        <v>0</v>
      </c>
      <c r="G1361">
        <v>4.0404040404040401E-2</v>
      </c>
    </row>
    <row r="1362" spans="3:7" hidden="1" x14ac:dyDescent="0.3">
      <c r="C1362" s="11" t="s">
        <v>3</v>
      </c>
      <c r="D1362" s="8"/>
      <c r="F1362">
        <f t="shared" si="25"/>
        <v>0</v>
      </c>
      <c r="G1362">
        <v>4.0909090909090909E-2</v>
      </c>
    </row>
    <row r="1363" spans="3:7" hidden="1" x14ac:dyDescent="0.3">
      <c r="C1363" s="12" t="s">
        <v>3</v>
      </c>
      <c r="D1363" s="8"/>
      <c r="F1363">
        <f t="shared" si="25"/>
        <v>0</v>
      </c>
      <c r="G1363">
        <v>4.1414141414141417E-2</v>
      </c>
    </row>
    <row r="1364" spans="3:7" hidden="1" x14ac:dyDescent="0.3">
      <c r="C1364" s="11" t="s">
        <v>3</v>
      </c>
      <c r="D1364" s="8"/>
      <c r="F1364">
        <f t="shared" si="25"/>
        <v>0</v>
      </c>
      <c r="G1364">
        <v>4.1919191919191919E-2</v>
      </c>
    </row>
    <row r="1365" spans="3:7" hidden="1" x14ac:dyDescent="0.3">
      <c r="C1365" s="12" t="s">
        <v>3</v>
      </c>
      <c r="D1365" s="8"/>
      <c r="F1365">
        <f t="shared" si="25"/>
        <v>0</v>
      </c>
      <c r="G1365">
        <v>4.2424242424242427E-2</v>
      </c>
    </row>
    <row r="1366" spans="3:7" hidden="1" x14ac:dyDescent="0.3">
      <c r="C1366" s="11" t="s">
        <v>3</v>
      </c>
      <c r="D1366" s="8"/>
      <c r="F1366">
        <f t="shared" si="25"/>
        <v>0</v>
      </c>
      <c r="G1366">
        <v>4.2929292929292928E-2</v>
      </c>
    </row>
    <row r="1367" spans="3:7" hidden="1" x14ac:dyDescent="0.3">
      <c r="C1367" s="12" t="s">
        <v>3</v>
      </c>
      <c r="D1367" s="8"/>
      <c r="F1367">
        <f t="shared" si="25"/>
        <v>0</v>
      </c>
      <c r="G1367">
        <v>4.3434343434343443E-2</v>
      </c>
    </row>
    <row r="1368" spans="3:7" hidden="1" x14ac:dyDescent="0.3">
      <c r="C1368" s="11" t="s">
        <v>3</v>
      </c>
      <c r="D1368" s="8"/>
      <c r="F1368">
        <f t="shared" si="25"/>
        <v>0</v>
      </c>
      <c r="G1368">
        <v>4.3939393939393938E-2</v>
      </c>
    </row>
    <row r="1369" spans="3:7" hidden="1" x14ac:dyDescent="0.3">
      <c r="C1369" s="12" t="s">
        <v>3</v>
      </c>
      <c r="D1369" s="8"/>
      <c r="F1369">
        <f t="shared" si="25"/>
        <v>0</v>
      </c>
      <c r="G1369">
        <v>4.4444444444444453E-2</v>
      </c>
    </row>
    <row r="1370" spans="3:7" hidden="1" x14ac:dyDescent="0.3">
      <c r="C1370" s="11" t="s">
        <v>3</v>
      </c>
      <c r="D1370" s="8"/>
      <c r="F1370">
        <f t="shared" si="25"/>
        <v>0</v>
      </c>
      <c r="G1370">
        <v>4.4949494949494948E-2</v>
      </c>
    </row>
    <row r="1371" spans="3:7" hidden="1" x14ac:dyDescent="0.3">
      <c r="C1371" s="12" t="s">
        <v>3</v>
      </c>
      <c r="D1371" s="8"/>
      <c r="F1371">
        <f t="shared" si="25"/>
        <v>0</v>
      </c>
      <c r="G1371">
        <v>4.5454545454545463E-2</v>
      </c>
    </row>
    <row r="1372" spans="3:7" hidden="1" x14ac:dyDescent="0.3">
      <c r="C1372" s="11" t="s">
        <v>3</v>
      </c>
      <c r="D1372" s="8"/>
      <c r="F1372">
        <f t="shared" si="25"/>
        <v>0</v>
      </c>
      <c r="G1372">
        <v>4.5959595959595957E-2</v>
      </c>
    </row>
    <row r="1373" spans="3:7" hidden="1" x14ac:dyDescent="0.3">
      <c r="C1373" s="12" t="s">
        <v>3</v>
      </c>
      <c r="D1373" s="8"/>
      <c r="F1373">
        <f t="shared" si="25"/>
        <v>0</v>
      </c>
      <c r="G1373">
        <v>4.6464646464646472E-2</v>
      </c>
    </row>
    <row r="1374" spans="3:7" hidden="1" x14ac:dyDescent="0.3">
      <c r="C1374" s="11" t="s">
        <v>3</v>
      </c>
      <c r="D1374" s="8"/>
      <c r="F1374">
        <f t="shared" si="25"/>
        <v>0</v>
      </c>
      <c r="G1374">
        <v>4.6969696969696967E-2</v>
      </c>
    </row>
    <row r="1375" spans="3:7" hidden="1" x14ac:dyDescent="0.3">
      <c r="C1375" s="12" t="s">
        <v>3</v>
      </c>
      <c r="D1375" s="8"/>
      <c r="F1375">
        <f t="shared" si="25"/>
        <v>0</v>
      </c>
      <c r="G1375">
        <v>4.7474747474747482E-2</v>
      </c>
    </row>
    <row r="1376" spans="3:7" hidden="1" x14ac:dyDescent="0.3">
      <c r="C1376" s="11" t="s">
        <v>3</v>
      </c>
      <c r="D1376" s="8"/>
      <c r="F1376">
        <f t="shared" si="25"/>
        <v>0</v>
      </c>
      <c r="G1376">
        <v>4.7979797979797983E-2</v>
      </c>
    </row>
    <row r="1377" spans="3:7" hidden="1" x14ac:dyDescent="0.3">
      <c r="C1377" s="12" t="s">
        <v>3</v>
      </c>
      <c r="D1377" s="8"/>
      <c r="F1377">
        <f t="shared" si="25"/>
        <v>0</v>
      </c>
      <c r="G1377">
        <v>4.8484848484848478E-2</v>
      </c>
    </row>
    <row r="1378" spans="3:7" hidden="1" x14ac:dyDescent="0.3">
      <c r="C1378" s="11" t="s">
        <v>3</v>
      </c>
      <c r="D1378" s="8"/>
      <c r="F1378">
        <f t="shared" si="25"/>
        <v>0</v>
      </c>
      <c r="G1378">
        <v>4.8989898989898993E-2</v>
      </c>
    </row>
    <row r="1379" spans="3:7" hidden="1" x14ac:dyDescent="0.3">
      <c r="C1379" s="12" t="s">
        <v>3</v>
      </c>
      <c r="D1379" s="8"/>
      <c r="F1379">
        <f t="shared" si="25"/>
        <v>0</v>
      </c>
      <c r="G1379">
        <v>4.9494949494949488E-2</v>
      </c>
    </row>
    <row r="1380" spans="3:7" hidden="1" x14ac:dyDescent="0.3">
      <c r="C1380" s="11" t="s">
        <v>3</v>
      </c>
      <c r="D1380" s="8"/>
      <c r="F1380">
        <f t="shared" si="25"/>
        <v>0</v>
      </c>
      <c r="G1380">
        <v>0.05</v>
      </c>
    </row>
    <row r="1381" spans="3:7" hidden="1" x14ac:dyDescent="0.3">
      <c r="C1381" s="12"/>
      <c r="D1381" s="9"/>
      <c r="E1381" s="9"/>
    </row>
    <row r="1382" spans="3:7" hidden="1" x14ac:dyDescent="0.3">
      <c r="C1382" s="11"/>
      <c r="D1382" s="8"/>
      <c r="E1382" s="8"/>
    </row>
    <row r="1383" spans="3:7" hidden="1" x14ac:dyDescent="0.3">
      <c r="C1383" s="12"/>
      <c r="D1383" s="9"/>
      <c r="E1383" s="9"/>
    </row>
    <row r="1384" spans="3:7" hidden="1" x14ac:dyDescent="0.3">
      <c r="C1384" s="11"/>
      <c r="D1384" s="8"/>
      <c r="E1384" s="8"/>
    </row>
    <row r="1385" spans="3:7" hidden="1" x14ac:dyDescent="0.3">
      <c r="C1385" s="12"/>
      <c r="D1385" s="9"/>
      <c r="E1385" s="9"/>
    </row>
    <row r="1386" spans="3:7" hidden="1" x14ac:dyDescent="0.3">
      <c r="C1386" s="11"/>
      <c r="D1386" s="8"/>
      <c r="E1386" s="8"/>
    </row>
    <row r="1387" spans="3:7" hidden="1" x14ac:dyDescent="0.3">
      <c r="C1387" s="12"/>
      <c r="D1387" s="9"/>
      <c r="E1387" s="9"/>
    </row>
    <row r="1388" spans="3:7" hidden="1" x14ac:dyDescent="0.3">
      <c r="C1388" s="11"/>
      <c r="D1388" s="8"/>
      <c r="E1388" s="8"/>
    </row>
    <row r="1389" spans="3:7" hidden="1" x14ac:dyDescent="0.3">
      <c r="C1389" s="12"/>
      <c r="D1389" s="9"/>
      <c r="E1389" s="9"/>
    </row>
    <row r="1390" spans="3:7" hidden="1" x14ac:dyDescent="0.3">
      <c r="C1390" s="11"/>
      <c r="D1390" s="8"/>
      <c r="E1390" s="8"/>
    </row>
    <row r="1391" spans="3:7" hidden="1" x14ac:dyDescent="0.3">
      <c r="C1391" s="12"/>
      <c r="D1391" s="9"/>
      <c r="E1391" s="9"/>
    </row>
    <row r="1392" spans="3:7" hidden="1" x14ac:dyDescent="0.3">
      <c r="C1392" s="11"/>
      <c r="D1392" s="8"/>
      <c r="E1392" s="8"/>
    </row>
    <row r="1393" spans="3:5" hidden="1" x14ac:dyDescent="0.3">
      <c r="C1393" s="12"/>
      <c r="D1393" s="9"/>
      <c r="E1393" s="9"/>
    </row>
    <row r="1394" spans="3:5" hidden="1" x14ac:dyDescent="0.3">
      <c r="C1394" s="11"/>
      <c r="D1394" s="8"/>
      <c r="E1394" s="8"/>
    </row>
    <row r="1395" spans="3:5" hidden="1" x14ac:dyDescent="0.3">
      <c r="C1395" s="12"/>
      <c r="D1395" s="9"/>
      <c r="E1395" s="9"/>
    </row>
    <row r="1396" spans="3:5" hidden="1" x14ac:dyDescent="0.3">
      <c r="C1396" s="11"/>
      <c r="D1396" s="8"/>
      <c r="E1396" s="8"/>
    </row>
    <row r="1397" spans="3:5" hidden="1" x14ac:dyDescent="0.3">
      <c r="C1397" s="12"/>
      <c r="D1397" s="9"/>
      <c r="E1397" s="9"/>
    </row>
    <row r="1398" spans="3:5" hidden="1" x14ac:dyDescent="0.3">
      <c r="C1398" s="11"/>
      <c r="D1398" s="8"/>
      <c r="E1398" s="8"/>
    </row>
    <row r="1399" spans="3:5" hidden="1" x14ac:dyDescent="0.3">
      <c r="C1399" s="12"/>
      <c r="D1399" s="9"/>
      <c r="E1399" s="9"/>
    </row>
    <row r="1400" spans="3:5" hidden="1" x14ac:dyDescent="0.3">
      <c r="C1400" s="11"/>
      <c r="D1400" s="8"/>
      <c r="E1400" s="8"/>
    </row>
    <row r="1401" spans="3:5" hidden="1" x14ac:dyDescent="0.3">
      <c r="C1401" s="12"/>
      <c r="D1401" s="9"/>
      <c r="E1401" s="9"/>
    </row>
    <row r="1402" spans="3:5" hidden="1" x14ac:dyDescent="0.3">
      <c r="C1402" s="11"/>
      <c r="D1402" s="8"/>
      <c r="E1402" s="8"/>
    </row>
    <row r="1403" spans="3:5" hidden="1" x14ac:dyDescent="0.3">
      <c r="C1403" s="12"/>
      <c r="D1403" s="9"/>
      <c r="E1403" s="9"/>
    </row>
    <row r="1404" spans="3:5" hidden="1" x14ac:dyDescent="0.3">
      <c r="C1404" s="11"/>
      <c r="D1404" s="8"/>
      <c r="E1404" s="8"/>
    </row>
    <row r="1405" spans="3:5" hidden="1" x14ac:dyDescent="0.3">
      <c r="C1405" s="12"/>
      <c r="D1405" s="9"/>
      <c r="E1405" s="9"/>
    </row>
    <row r="1406" spans="3:5" hidden="1" x14ac:dyDescent="0.3">
      <c r="C1406" s="11"/>
      <c r="D1406" s="8"/>
      <c r="E1406" s="8"/>
    </row>
    <row r="1407" spans="3:5" hidden="1" x14ac:dyDescent="0.3">
      <c r="C1407" s="12"/>
      <c r="D1407" s="9"/>
      <c r="E1407" s="9"/>
    </row>
    <row r="1408" spans="3:5" hidden="1" x14ac:dyDescent="0.3">
      <c r="C1408" s="11"/>
      <c r="D1408" s="8"/>
      <c r="E1408" s="8"/>
    </row>
    <row r="1409" spans="3:5" hidden="1" x14ac:dyDescent="0.3">
      <c r="C1409" s="12"/>
      <c r="D1409" s="9"/>
      <c r="E1409" s="9"/>
    </row>
    <row r="1410" spans="3:5" hidden="1" x14ac:dyDescent="0.3">
      <c r="C1410" s="11"/>
      <c r="D1410" s="8"/>
      <c r="E1410" s="8"/>
    </row>
    <row r="1411" spans="3:5" hidden="1" x14ac:dyDescent="0.3">
      <c r="C1411" s="12"/>
      <c r="D1411" s="9"/>
      <c r="E1411" s="9"/>
    </row>
    <row r="1412" spans="3:5" hidden="1" x14ac:dyDescent="0.3">
      <c r="C1412" s="11"/>
      <c r="D1412" s="8"/>
      <c r="E1412" s="8"/>
    </row>
    <row r="1413" spans="3:5" hidden="1" x14ac:dyDescent="0.3">
      <c r="C1413" s="12"/>
      <c r="D1413" s="9"/>
      <c r="E1413" s="9"/>
    </row>
    <row r="1414" spans="3:5" hidden="1" x14ac:dyDescent="0.3">
      <c r="C1414" s="11"/>
      <c r="D1414" s="8"/>
      <c r="E1414" s="8"/>
    </row>
    <row r="1415" spans="3:5" hidden="1" x14ac:dyDescent="0.3">
      <c r="C1415" s="12"/>
      <c r="D1415" s="9"/>
      <c r="E1415" s="9"/>
    </row>
    <row r="1416" spans="3:5" hidden="1" x14ac:dyDescent="0.3">
      <c r="C1416" s="11"/>
      <c r="D1416" s="8"/>
      <c r="E1416" s="8"/>
    </row>
    <row r="1417" spans="3:5" hidden="1" x14ac:dyDescent="0.3">
      <c r="C1417" s="12"/>
      <c r="D1417" s="9"/>
      <c r="E1417" s="9"/>
    </row>
    <row r="1418" spans="3:5" hidden="1" x14ac:dyDescent="0.3">
      <c r="C1418" s="11"/>
      <c r="D1418" s="8"/>
      <c r="E1418" s="8"/>
    </row>
    <row r="1419" spans="3:5" hidden="1" x14ac:dyDescent="0.3">
      <c r="C1419" s="12"/>
      <c r="D1419" s="9"/>
      <c r="E1419" s="9"/>
    </row>
    <row r="1420" spans="3:5" hidden="1" x14ac:dyDescent="0.3">
      <c r="C1420" s="11"/>
      <c r="D1420" s="8"/>
      <c r="E1420" s="8"/>
    </row>
    <row r="1421" spans="3:5" hidden="1" x14ac:dyDescent="0.3">
      <c r="C1421" s="12"/>
      <c r="D1421" s="9"/>
      <c r="E1421" s="9"/>
    </row>
    <row r="1422" spans="3:5" hidden="1" x14ac:dyDescent="0.3">
      <c r="C1422" s="11"/>
      <c r="D1422" s="8"/>
      <c r="E1422" s="8"/>
    </row>
    <row r="1423" spans="3:5" hidden="1" x14ac:dyDescent="0.3">
      <c r="C1423" s="12"/>
      <c r="D1423" s="9"/>
      <c r="E1423" s="9"/>
    </row>
    <row r="1424" spans="3:5" hidden="1" x14ac:dyDescent="0.3">
      <c r="C1424" s="11"/>
      <c r="D1424" s="8"/>
      <c r="E1424" s="8"/>
    </row>
    <row r="1425" spans="3:7" hidden="1" x14ac:dyDescent="0.3">
      <c r="C1425" s="12"/>
      <c r="D1425" s="9"/>
      <c r="E1425" s="9"/>
    </row>
    <row r="1426" spans="3:7" hidden="1" x14ac:dyDescent="0.3">
      <c r="C1426" s="11"/>
      <c r="D1426" s="8"/>
      <c r="E1426" s="8"/>
    </row>
    <row r="1427" spans="3:7" hidden="1" x14ac:dyDescent="0.3">
      <c r="C1427" s="12"/>
      <c r="D1427" s="9"/>
      <c r="E1427" s="9"/>
    </row>
    <row r="1428" spans="3:7" hidden="1" x14ac:dyDescent="0.3">
      <c r="C1428" s="11"/>
      <c r="D1428" s="8"/>
      <c r="E1428" s="8"/>
    </row>
    <row r="1429" spans="3:7" hidden="1" x14ac:dyDescent="0.3">
      <c r="C1429" s="12"/>
      <c r="D1429" s="9"/>
      <c r="E1429" s="9"/>
    </row>
    <row r="1430" spans="3:7" hidden="1" x14ac:dyDescent="0.3">
      <c r="C1430" s="11"/>
      <c r="D1430" s="8"/>
      <c r="E1430" s="8"/>
    </row>
    <row r="1431" spans="3:7" hidden="1" x14ac:dyDescent="0.3">
      <c r="C1431" s="12" t="s">
        <v>4</v>
      </c>
      <c r="D1431" s="8"/>
      <c r="F1431">
        <f t="shared" ref="F1431:F1453" si="26">IF(IFERROR(FIND("1",C1431,1),ERROR.TYPE(#VALUE!))=ERROR.TYPE(#VALUE!),$M$2,$M$1)</f>
        <v>0</v>
      </c>
      <c r="G1431">
        <v>5.0505050505050497E-2</v>
      </c>
    </row>
    <row r="1432" spans="3:7" hidden="1" x14ac:dyDescent="0.3">
      <c r="C1432" s="11" t="s">
        <v>4</v>
      </c>
      <c r="D1432" s="8"/>
      <c r="F1432">
        <f t="shared" si="26"/>
        <v>0</v>
      </c>
      <c r="G1432">
        <v>5.1515151515151507E-2</v>
      </c>
    </row>
    <row r="1433" spans="3:7" hidden="1" x14ac:dyDescent="0.3">
      <c r="C1433" s="12" t="s">
        <v>4</v>
      </c>
      <c r="D1433" s="8"/>
      <c r="F1433">
        <f t="shared" si="26"/>
        <v>0</v>
      </c>
      <c r="G1433">
        <v>5.2525252525252517E-2</v>
      </c>
    </row>
    <row r="1434" spans="3:7" hidden="1" x14ac:dyDescent="0.3">
      <c r="C1434" s="11" t="s">
        <v>4</v>
      </c>
      <c r="D1434" s="8"/>
      <c r="F1434">
        <f t="shared" si="26"/>
        <v>0</v>
      </c>
      <c r="G1434">
        <v>5.3535353535353533E-2</v>
      </c>
    </row>
    <row r="1435" spans="3:7" hidden="1" x14ac:dyDescent="0.3">
      <c r="C1435" s="12" t="s">
        <v>4</v>
      </c>
      <c r="D1435" s="8"/>
      <c r="F1435">
        <f t="shared" si="26"/>
        <v>0</v>
      </c>
      <c r="G1435">
        <v>5.4545454545454543E-2</v>
      </c>
    </row>
    <row r="1436" spans="3:7" hidden="1" x14ac:dyDescent="0.3">
      <c r="C1436" s="11" t="s">
        <v>4</v>
      </c>
      <c r="D1436" s="8"/>
      <c r="F1436">
        <f t="shared" si="26"/>
        <v>0</v>
      </c>
      <c r="G1436">
        <v>5.5555555555555552E-2</v>
      </c>
    </row>
    <row r="1437" spans="3:7" hidden="1" x14ac:dyDescent="0.3">
      <c r="C1437" s="12" t="s">
        <v>4</v>
      </c>
      <c r="D1437" s="8"/>
      <c r="F1437">
        <f t="shared" si="26"/>
        <v>0</v>
      </c>
      <c r="G1437">
        <v>5.6565656565656569E-2</v>
      </c>
    </row>
    <row r="1438" spans="3:7" hidden="1" x14ac:dyDescent="0.3">
      <c r="C1438" s="11" t="s">
        <v>4</v>
      </c>
      <c r="D1438" s="8"/>
      <c r="F1438">
        <f t="shared" si="26"/>
        <v>0</v>
      </c>
      <c r="G1438">
        <v>5.7575757575757579E-2</v>
      </c>
    </row>
    <row r="1439" spans="3:7" hidden="1" x14ac:dyDescent="0.3">
      <c r="C1439" s="12" t="s">
        <v>4</v>
      </c>
      <c r="D1439" s="8"/>
      <c r="F1439">
        <f t="shared" si="26"/>
        <v>0</v>
      </c>
      <c r="G1439">
        <v>5.8585858585858588E-2</v>
      </c>
    </row>
    <row r="1440" spans="3:7" hidden="1" x14ac:dyDescent="0.3">
      <c r="C1440" s="11" t="s">
        <v>4</v>
      </c>
      <c r="D1440" s="8"/>
      <c r="F1440">
        <f t="shared" si="26"/>
        <v>0</v>
      </c>
      <c r="G1440">
        <v>5.9595959595959598E-2</v>
      </c>
    </row>
    <row r="1441" spans="3:7" hidden="1" x14ac:dyDescent="0.3">
      <c r="C1441" s="12" t="s">
        <v>4</v>
      </c>
      <c r="D1441" s="8"/>
      <c r="F1441">
        <f t="shared" si="26"/>
        <v>0</v>
      </c>
      <c r="G1441">
        <v>6.0606060606060608E-2</v>
      </c>
    </row>
    <row r="1442" spans="3:7" hidden="1" x14ac:dyDescent="0.3">
      <c r="C1442" s="11" t="s">
        <v>4</v>
      </c>
      <c r="D1442" s="8"/>
      <c r="F1442">
        <f t="shared" si="26"/>
        <v>0</v>
      </c>
      <c r="G1442">
        <v>6.1616161616161617E-2</v>
      </c>
    </row>
    <row r="1443" spans="3:7" hidden="1" x14ac:dyDescent="0.3">
      <c r="C1443" s="12" t="s">
        <v>4</v>
      </c>
      <c r="D1443" s="8"/>
      <c r="F1443">
        <f t="shared" si="26"/>
        <v>0</v>
      </c>
      <c r="G1443">
        <v>6.2626262626262627E-2</v>
      </c>
    </row>
    <row r="1444" spans="3:7" hidden="1" x14ac:dyDescent="0.3">
      <c r="C1444" s="11" t="s">
        <v>4</v>
      </c>
      <c r="D1444" s="8"/>
      <c r="F1444">
        <f t="shared" si="26"/>
        <v>0</v>
      </c>
      <c r="G1444">
        <v>6.363636363636363E-2</v>
      </c>
    </row>
    <row r="1445" spans="3:7" hidden="1" x14ac:dyDescent="0.3">
      <c r="C1445" s="12" t="s">
        <v>4</v>
      </c>
      <c r="D1445" s="8"/>
      <c r="F1445">
        <f t="shared" si="26"/>
        <v>0</v>
      </c>
      <c r="G1445">
        <v>6.4646464646464646E-2</v>
      </c>
    </row>
    <row r="1446" spans="3:7" hidden="1" x14ac:dyDescent="0.3">
      <c r="C1446" s="11" t="s">
        <v>4</v>
      </c>
      <c r="D1446" s="8"/>
      <c r="F1446">
        <f t="shared" si="26"/>
        <v>0</v>
      </c>
      <c r="G1446">
        <v>6.5656565656565663E-2</v>
      </c>
    </row>
    <row r="1447" spans="3:7" hidden="1" x14ac:dyDescent="0.3">
      <c r="C1447" s="12" t="s">
        <v>4</v>
      </c>
      <c r="D1447" s="8"/>
      <c r="F1447">
        <f t="shared" si="26"/>
        <v>0</v>
      </c>
      <c r="G1447">
        <v>6.6666666666666666E-2</v>
      </c>
    </row>
    <row r="1448" spans="3:7" hidden="1" x14ac:dyDescent="0.3">
      <c r="C1448" s="11" t="s">
        <v>4</v>
      </c>
      <c r="D1448" s="8"/>
      <c r="F1448">
        <f t="shared" si="26"/>
        <v>0</v>
      </c>
      <c r="G1448">
        <v>6.7676767676767682E-2</v>
      </c>
    </row>
    <row r="1449" spans="3:7" hidden="1" x14ac:dyDescent="0.3">
      <c r="C1449" s="12" t="s">
        <v>4</v>
      </c>
      <c r="D1449" s="8"/>
      <c r="F1449">
        <f t="shared" si="26"/>
        <v>0</v>
      </c>
      <c r="G1449">
        <v>6.8686868686868685E-2</v>
      </c>
    </row>
    <row r="1450" spans="3:7" hidden="1" x14ac:dyDescent="0.3">
      <c r="C1450" s="11" t="s">
        <v>4</v>
      </c>
      <c r="D1450" s="8"/>
      <c r="F1450">
        <f t="shared" si="26"/>
        <v>0</v>
      </c>
      <c r="G1450">
        <v>6.9696969696969702E-2</v>
      </c>
    </row>
    <row r="1451" spans="3:7" hidden="1" x14ac:dyDescent="0.3">
      <c r="C1451" s="12" t="s">
        <v>4</v>
      </c>
      <c r="D1451" s="8"/>
      <c r="F1451">
        <f t="shared" si="26"/>
        <v>0</v>
      </c>
      <c r="G1451">
        <v>7.0707070707070704E-2</v>
      </c>
    </row>
    <row r="1452" spans="3:7" hidden="1" x14ac:dyDescent="0.3">
      <c r="C1452" s="11" t="s">
        <v>4</v>
      </c>
      <c r="D1452" s="8"/>
      <c r="F1452">
        <f t="shared" si="26"/>
        <v>0</v>
      </c>
      <c r="G1452">
        <v>7.1717171717171721E-2</v>
      </c>
    </row>
    <row r="1453" spans="3:7" hidden="1" x14ac:dyDescent="0.3">
      <c r="C1453" s="12" t="s">
        <v>4</v>
      </c>
      <c r="D1453" s="8"/>
      <c r="F1453">
        <f t="shared" si="26"/>
        <v>0</v>
      </c>
      <c r="G1453">
        <v>7.2727272727272724E-2</v>
      </c>
    </row>
    <row r="1454" spans="3:7" hidden="1" x14ac:dyDescent="0.3">
      <c r="C1454" s="11" t="s">
        <v>4</v>
      </c>
      <c r="D1454" s="8"/>
      <c r="F1454">
        <f t="shared" ref="F1454:F1480" si="27">IF(IFERROR(FIND("1",C1454,1),ERROR.TYPE(#VALUE!))=ERROR.TYPE(#VALUE!),$M$2,$M$1)</f>
        <v>0</v>
      </c>
      <c r="G1454">
        <v>7.373737373737374E-2</v>
      </c>
    </row>
    <row r="1455" spans="3:7" hidden="1" x14ac:dyDescent="0.3">
      <c r="C1455" s="12" t="s">
        <v>4</v>
      </c>
      <c r="D1455" s="8"/>
      <c r="F1455">
        <f t="shared" si="27"/>
        <v>0</v>
      </c>
      <c r="G1455">
        <v>7.4747474747474743E-2</v>
      </c>
    </row>
    <row r="1456" spans="3:7" hidden="1" x14ac:dyDescent="0.3">
      <c r="C1456" s="11" t="s">
        <v>4</v>
      </c>
      <c r="D1456" s="8"/>
      <c r="F1456">
        <f t="shared" si="27"/>
        <v>0</v>
      </c>
      <c r="G1456">
        <v>7.575757575757576E-2</v>
      </c>
    </row>
    <row r="1457" spans="3:7" hidden="1" x14ac:dyDescent="0.3">
      <c r="C1457" s="12" t="s">
        <v>4</v>
      </c>
      <c r="D1457" s="8"/>
      <c r="F1457">
        <f t="shared" si="27"/>
        <v>0</v>
      </c>
      <c r="G1457">
        <v>7.6767676767676762E-2</v>
      </c>
    </row>
    <row r="1458" spans="3:7" hidden="1" x14ac:dyDescent="0.3">
      <c r="C1458" s="11" t="s">
        <v>4</v>
      </c>
      <c r="D1458" s="8"/>
      <c r="F1458">
        <f t="shared" si="27"/>
        <v>0</v>
      </c>
      <c r="G1458">
        <v>7.7777777777777779E-2</v>
      </c>
    </row>
    <row r="1459" spans="3:7" hidden="1" x14ac:dyDescent="0.3">
      <c r="C1459" s="12" t="s">
        <v>4</v>
      </c>
      <c r="D1459" s="8"/>
      <c r="F1459">
        <f t="shared" si="27"/>
        <v>0</v>
      </c>
      <c r="G1459">
        <v>7.8787878787878782E-2</v>
      </c>
    </row>
    <row r="1460" spans="3:7" hidden="1" x14ac:dyDescent="0.3">
      <c r="C1460" s="11" t="s">
        <v>4</v>
      </c>
      <c r="D1460" s="8"/>
      <c r="F1460">
        <f t="shared" si="27"/>
        <v>0</v>
      </c>
      <c r="G1460">
        <v>7.9797979797979798E-2</v>
      </c>
    </row>
    <row r="1461" spans="3:7" hidden="1" x14ac:dyDescent="0.3">
      <c r="C1461" s="12" t="s">
        <v>4</v>
      </c>
      <c r="D1461" s="8"/>
      <c r="F1461">
        <f t="shared" si="27"/>
        <v>0</v>
      </c>
      <c r="G1461">
        <v>8.0808080808080801E-2</v>
      </c>
    </row>
    <row r="1462" spans="3:7" hidden="1" x14ac:dyDescent="0.3">
      <c r="C1462" s="11" t="s">
        <v>4</v>
      </c>
      <c r="D1462" s="8"/>
      <c r="F1462">
        <f t="shared" si="27"/>
        <v>0</v>
      </c>
      <c r="G1462">
        <v>8.1818181818181818E-2</v>
      </c>
    </row>
    <row r="1463" spans="3:7" hidden="1" x14ac:dyDescent="0.3">
      <c r="C1463" s="12" t="s">
        <v>4</v>
      </c>
      <c r="D1463" s="8"/>
      <c r="F1463">
        <f t="shared" si="27"/>
        <v>0</v>
      </c>
      <c r="G1463">
        <v>8.2828282828282834E-2</v>
      </c>
    </row>
    <row r="1464" spans="3:7" hidden="1" x14ac:dyDescent="0.3">
      <c r="C1464" s="11" t="s">
        <v>4</v>
      </c>
      <c r="D1464" s="8"/>
      <c r="F1464">
        <f t="shared" si="27"/>
        <v>0</v>
      </c>
      <c r="G1464">
        <v>8.3838383838383837E-2</v>
      </c>
    </row>
    <row r="1465" spans="3:7" hidden="1" x14ac:dyDescent="0.3">
      <c r="C1465" s="12" t="s">
        <v>4</v>
      </c>
      <c r="D1465" s="8"/>
      <c r="F1465">
        <f t="shared" si="27"/>
        <v>0</v>
      </c>
      <c r="G1465">
        <v>8.4848484848484854E-2</v>
      </c>
    </row>
    <row r="1466" spans="3:7" hidden="1" x14ac:dyDescent="0.3">
      <c r="C1466" s="11" t="s">
        <v>4</v>
      </c>
      <c r="D1466" s="8"/>
      <c r="F1466">
        <f t="shared" si="27"/>
        <v>0</v>
      </c>
      <c r="G1466">
        <v>8.5858585858585856E-2</v>
      </c>
    </row>
    <row r="1467" spans="3:7" hidden="1" x14ac:dyDescent="0.3">
      <c r="C1467" s="12" t="s">
        <v>4</v>
      </c>
      <c r="D1467" s="8"/>
      <c r="F1467">
        <f t="shared" si="27"/>
        <v>0</v>
      </c>
      <c r="G1467">
        <v>8.6868686868686873E-2</v>
      </c>
    </row>
    <row r="1468" spans="3:7" hidden="1" x14ac:dyDescent="0.3">
      <c r="C1468" s="11" t="s">
        <v>4</v>
      </c>
      <c r="D1468" s="8"/>
      <c r="F1468">
        <f t="shared" si="27"/>
        <v>0</v>
      </c>
      <c r="G1468">
        <v>8.7878787878787876E-2</v>
      </c>
    </row>
    <row r="1469" spans="3:7" hidden="1" x14ac:dyDescent="0.3">
      <c r="C1469" s="12" t="s">
        <v>4</v>
      </c>
      <c r="D1469" s="8"/>
      <c r="F1469">
        <f t="shared" si="27"/>
        <v>0</v>
      </c>
      <c r="G1469">
        <v>8.8888888888888892E-2</v>
      </c>
    </row>
    <row r="1470" spans="3:7" hidden="1" x14ac:dyDescent="0.3">
      <c r="C1470" s="11" t="s">
        <v>4</v>
      </c>
      <c r="D1470" s="8"/>
      <c r="F1470">
        <f t="shared" si="27"/>
        <v>0</v>
      </c>
      <c r="G1470">
        <v>8.9898989898989895E-2</v>
      </c>
    </row>
    <row r="1471" spans="3:7" hidden="1" x14ac:dyDescent="0.3">
      <c r="C1471" s="12" t="s">
        <v>4</v>
      </c>
      <c r="D1471" s="8"/>
      <c r="F1471">
        <f t="shared" si="27"/>
        <v>0</v>
      </c>
      <c r="G1471">
        <v>9.0909090909090912E-2</v>
      </c>
    </row>
    <row r="1472" spans="3:7" hidden="1" x14ac:dyDescent="0.3">
      <c r="C1472" s="11" t="s">
        <v>4</v>
      </c>
      <c r="D1472" s="8"/>
      <c r="F1472">
        <f t="shared" si="27"/>
        <v>0</v>
      </c>
      <c r="G1472">
        <v>9.1919191919191914E-2</v>
      </c>
    </row>
    <row r="1473" spans="3:7" hidden="1" x14ac:dyDescent="0.3">
      <c r="C1473" s="12" t="s">
        <v>4</v>
      </c>
      <c r="D1473" s="8"/>
      <c r="F1473">
        <f t="shared" si="27"/>
        <v>0</v>
      </c>
      <c r="G1473">
        <v>9.2929292929292931E-2</v>
      </c>
    </row>
    <row r="1474" spans="3:7" hidden="1" x14ac:dyDescent="0.3">
      <c r="C1474" s="11" t="s">
        <v>4</v>
      </c>
      <c r="D1474" s="8"/>
      <c r="F1474">
        <f t="shared" si="27"/>
        <v>0</v>
      </c>
      <c r="G1474">
        <v>9.3939393939393934E-2</v>
      </c>
    </row>
    <row r="1475" spans="3:7" hidden="1" x14ac:dyDescent="0.3">
      <c r="C1475" s="12" t="s">
        <v>4</v>
      </c>
      <c r="D1475" s="8"/>
      <c r="F1475">
        <f t="shared" si="27"/>
        <v>0</v>
      </c>
      <c r="G1475">
        <v>9.494949494949495E-2</v>
      </c>
    </row>
    <row r="1476" spans="3:7" hidden="1" x14ac:dyDescent="0.3">
      <c r="C1476" s="11" t="s">
        <v>4</v>
      </c>
      <c r="D1476" s="8"/>
      <c r="F1476">
        <f t="shared" si="27"/>
        <v>0</v>
      </c>
      <c r="G1476">
        <v>9.5959595959595953E-2</v>
      </c>
    </row>
    <row r="1477" spans="3:7" hidden="1" x14ac:dyDescent="0.3">
      <c r="C1477" s="12" t="s">
        <v>4</v>
      </c>
      <c r="D1477" s="8"/>
      <c r="F1477">
        <f t="shared" si="27"/>
        <v>0</v>
      </c>
      <c r="G1477">
        <v>9.696969696969697E-2</v>
      </c>
    </row>
    <row r="1478" spans="3:7" hidden="1" x14ac:dyDescent="0.3">
      <c r="C1478" s="11" t="s">
        <v>4</v>
      </c>
      <c r="D1478" s="8"/>
      <c r="F1478">
        <f t="shared" si="27"/>
        <v>0</v>
      </c>
      <c r="G1478">
        <v>9.7979797979797986E-2</v>
      </c>
    </row>
    <row r="1479" spans="3:7" hidden="1" x14ac:dyDescent="0.3">
      <c r="C1479" s="12" t="s">
        <v>4</v>
      </c>
      <c r="D1479" s="8"/>
      <c r="F1479">
        <f t="shared" si="27"/>
        <v>0</v>
      </c>
      <c r="G1479">
        <v>9.8989898989898989E-2</v>
      </c>
    </row>
    <row r="1480" spans="3:7" hidden="1" x14ac:dyDescent="0.3">
      <c r="C1480" s="11" t="s">
        <v>4</v>
      </c>
      <c r="D1480" s="8"/>
      <c r="F1480">
        <f t="shared" si="27"/>
        <v>0</v>
      </c>
      <c r="G1480">
        <v>0.1</v>
      </c>
    </row>
    <row r="1481" spans="3:7" hidden="1" x14ac:dyDescent="0.3">
      <c r="C1481" s="12"/>
      <c r="D1481" s="9"/>
      <c r="E1481" s="9"/>
    </row>
    <row r="1482" spans="3:7" hidden="1" x14ac:dyDescent="0.3">
      <c r="C1482" s="11"/>
      <c r="D1482" s="8"/>
      <c r="E1482" s="8"/>
    </row>
    <row r="1483" spans="3:7" hidden="1" x14ac:dyDescent="0.3">
      <c r="C1483" s="12"/>
      <c r="D1483" s="9"/>
      <c r="E1483" s="9"/>
    </row>
    <row r="1484" spans="3:7" hidden="1" x14ac:dyDescent="0.3">
      <c r="C1484" s="11"/>
      <c r="D1484" s="8"/>
      <c r="E1484" s="8"/>
    </row>
    <row r="1485" spans="3:7" hidden="1" x14ac:dyDescent="0.3">
      <c r="C1485" s="12"/>
      <c r="D1485" s="9"/>
      <c r="E1485" s="9"/>
    </row>
    <row r="1486" spans="3:7" hidden="1" x14ac:dyDescent="0.3">
      <c r="C1486" s="11"/>
      <c r="D1486" s="8"/>
      <c r="E1486" s="8"/>
    </row>
    <row r="1487" spans="3:7" hidden="1" x14ac:dyDescent="0.3">
      <c r="C1487" s="12"/>
      <c r="D1487" s="9"/>
      <c r="E1487" s="9"/>
    </row>
    <row r="1488" spans="3:7" hidden="1" x14ac:dyDescent="0.3">
      <c r="C1488" s="11"/>
      <c r="D1488" s="8"/>
      <c r="E1488" s="8"/>
    </row>
    <row r="1489" spans="3:5" hidden="1" x14ac:dyDescent="0.3">
      <c r="C1489" s="12"/>
      <c r="D1489" s="9"/>
      <c r="E1489" s="9"/>
    </row>
    <row r="1490" spans="3:5" hidden="1" x14ac:dyDescent="0.3">
      <c r="C1490" s="11"/>
      <c r="D1490" s="8"/>
      <c r="E1490" s="8"/>
    </row>
    <row r="1491" spans="3:5" hidden="1" x14ac:dyDescent="0.3">
      <c r="C1491" s="12"/>
      <c r="D1491" s="9"/>
      <c r="E1491" s="9"/>
    </row>
    <row r="1492" spans="3:5" hidden="1" x14ac:dyDescent="0.3">
      <c r="C1492" s="11"/>
      <c r="D1492" s="8"/>
      <c r="E1492" s="8"/>
    </row>
    <row r="1493" spans="3:5" hidden="1" x14ac:dyDescent="0.3">
      <c r="C1493" s="12"/>
      <c r="D1493" s="9"/>
      <c r="E1493" s="9"/>
    </row>
    <row r="1494" spans="3:5" hidden="1" x14ac:dyDescent="0.3">
      <c r="C1494" s="11"/>
      <c r="D1494" s="8"/>
      <c r="E1494" s="8"/>
    </row>
    <row r="1495" spans="3:5" hidden="1" x14ac:dyDescent="0.3">
      <c r="C1495" s="12"/>
      <c r="D1495" s="9"/>
      <c r="E1495" s="9"/>
    </row>
    <row r="1496" spans="3:5" hidden="1" x14ac:dyDescent="0.3">
      <c r="C1496" s="11"/>
      <c r="D1496" s="8"/>
      <c r="E1496" s="8"/>
    </row>
    <row r="1497" spans="3:5" hidden="1" x14ac:dyDescent="0.3">
      <c r="C1497" s="12"/>
      <c r="D1497" s="9"/>
      <c r="E1497" s="9"/>
    </row>
    <row r="1498" spans="3:5" hidden="1" x14ac:dyDescent="0.3">
      <c r="C1498" s="11"/>
      <c r="D1498" s="8"/>
      <c r="E1498" s="8"/>
    </row>
    <row r="1499" spans="3:5" hidden="1" x14ac:dyDescent="0.3">
      <c r="C1499" s="12"/>
      <c r="D1499" s="9"/>
      <c r="E1499" s="9"/>
    </row>
    <row r="1500" spans="3:5" hidden="1" x14ac:dyDescent="0.3">
      <c r="C1500" s="11"/>
      <c r="D1500" s="8"/>
      <c r="E1500" s="8"/>
    </row>
    <row r="1501" spans="3:5" hidden="1" x14ac:dyDescent="0.3">
      <c r="C1501" s="12"/>
      <c r="D1501" s="9"/>
      <c r="E1501" s="9"/>
    </row>
    <row r="1502" spans="3:5" hidden="1" x14ac:dyDescent="0.3">
      <c r="C1502" s="11"/>
      <c r="D1502" s="8"/>
      <c r="E1502" s="8"/>
    </row>
    <row r="1503" spans="3:5" hidden="1" x14ac:dyDescent="0.3">
      <c r="C1503" s="12"/>
      <c r="D1503" s="9"/>
      <c r="E1503" s="9"/>
    </row>
    <row r="1504" spans="3:5" hidden="1" x14ac:dyDescent="0.3">
      <c r="C1504" s="11"/>
      <c r="D1504" s="8"/>
      <c r="E1504" s="8"/>
    </row>
    <row r="1505" spans="3:5" hidden="1" x14ac:dyDescent="0.3">
      <c r="C1505" s="12"/>
      <c r="D1505" s="9"/>
      <c r="E1505" s="9"/>
    </row>
    <row r="1506" spans="3:5" hidden="1" x14ac:dyDescent="0.3">
      <c r="C1506" s="11"/>
      <c r="D1506" s="8"/>
      <c r="E1506" s="8"/>
    </row>
    <row r="1507" spans="3:5" hidden="1" x14ac:dyDescent="0.3">
      <c r="C1507" s="12"/>
      <c r="D1507" s="9"/>
      <c r="E1507" s="9"/>
    </row>
    <row r="1508" spans="3:5" hidden="1" x14ac:dyDescent="0.3">
      <c r="C1508" s="11"/>
      <c r="D1508" s="8"/>
      <c r="E1508" s="8"/>
    </row>
    <row r="1509" spans="3:5" hidden="1" x14ac:dyDescent="0.3">
      <c r="C1509" s="12"/>
      <c r="D1509" s="9"/>
      <c r="E1509" s="9"/>
    </row>
    <row r="1510" spans="3:5" hidden="1" x14ac:dyDescent="0.3">
      <c r="C1510" s="11"/>
      <c r="D1510" s="8"/>
      <c r="E1510" s="8"/>
    </row>
    <row r="1511" spans="3:5" hidden="1" x14ac:dyDescent="0.3">
      <c r="C1511" s="12"/>
      <c r="D1511" s="9"/>
      <c r="E1511" s="9"/>
    </row>
    <row r="1512" spans="3:5" hidden="1" x14ac:dyDescent="0.3">
      <c r="C1512" s="11"/>
      <c r="D1512" s="8"/>
      <c r="E1512" s="8"/>
    </row>
    <row r="1513" spans="3:5" hidden="1" x14ac:dyDescent="0.3">
      <c r="C1513" s="12"/>
      <c r="D1513" s="9"/>
      <c r="E1513" s="9"/>
    </row>
    <row r="1514" spans="3:5" hidden="1" x14ac:dyDescent="0.3">
      <c r="C1514" s="11"/>
      <c r="D1514" s="8"/>
      <c r="E1514" s="8"/>
    </row>
    <row r="1515" spans="3:5" hidden="1" x14ac:dyDescent="0.3">
      <c r="C1515" s="12"/>
      <c r="D1515" s="9"/>
      <c r="E1515" s="9"/>
    </row>
    <row r="1516" spans="3:5" hidden="1" x14ac:dyDescent="0.3">
      <c r="C1516" s="11"/>
      <c r="D1516" s="8"/>
      <c r="E1516" s="8"/>
    </row>
    <row r="1517" spans="3:5" hidden="1" x14ac:dyDescent="0.3">
      <c r="C1517" s="12"/>
      <c r="D1517" s="9"/>
      <c r="E1517" s="9"/>
    </row>
    <row r="1518" spans="3:5" hidden="1" x14ac:dyDescent="0.3">
      <c r="C1518" s="11"/>
      <c r="D1518" s="8"/>
      <c r="E1518" s="8"/>
    </row>
    <row r="1519" spans="3:5" hidden="1" x14ac:dyDescent="0.3">
      <c r="C1519" s="12"/>
      <c r="D1519" s="9"/>
      <c r="E1519" s="9"/>
    </row>
    <row r="1520" spans="3:5" hidden="1" x14ac:dyDescent="0.3">
      <c r="C1520" s="11"/>
      <c r="D1520" s="8"/>
      <c r="E1520" s="8"/>
    </row>
    <row r="1521" spans="3:7" hidden="1" x14ac:dyDescent="0.3">
      <c r="C1521" s="12"/>
      <c r="D1521" s="9"/>
      <c r="E1521" s="9"/>
    </row>
    <row r="1522" spans="3:7" hidden="1" x14ac:dyDescent="0.3">
      <c r="C1522" s="11"/>
      <c r="D1522" s="8"/>
      <c r="E1522" s="8"/>
    </row>
    <row r="1523" spans="3:7" hidden="1" x14ac:dyDescent="0.3">
      <c r="C1523" s="12"/>
      <c r="D1523" s="9"/>
      <c r="E1523" s="9"/>
    </row>
    <row r="1524" spans="3:7" hidden="1" x14ac:dyDescent="0.3">
      <c r="C1524" s="11"/>
      <c r="D1524" s="8"/>
      <c r="E1524" s="8"/>
    </row>
    <row r="1525" spans="3:7" hidden="1" x14ac:dyDescent="0.3">
      <c r="C1525" s="12"/>
      <c r="D1525" s="9"/>
      <c r="E1525" s="9"/>
    </row>
    <row r="1526" spans="3:7" hidden="1" x14ac:dyDescent="0.3">
      <c r="C1526" s="11"/>
      <c r="D1526" s="8"/>
      <c r="E1526" s="8"/>
    </row>
    <row r="1527" spans="3:7" hidden="1" x14ac:dyDescent="0.3">
      <c r="C1527" s="12"/>
      <c r="D1527" s="9"/>
      <c r="E1527" s="9"/>
    </row>
    <row r="1528" spans="3:7" hidden="1" x14ac:dyDescent="0.3">
      <c r="C1528" s="11"/>
      <c r="D1528" s="8"/>
      <c r="E1528" s="8"/>
    </row>
    <row r="1529" spans="3:7" hidden="1" x14ac:dyDescent="0.3">
      <c r="C1529" s="12"/>
      <c r="D1529" s="9"/>
      <c r="E1529" s="9"/>
    </row>
    <row r="1530" spans="3:7" hidden="1" x14ac:dyDescent="0.3">
      <c r="C1530" s="11"/>
      <c r="D1530" s="8"/>
      <c r="E1530" s="8"/>
    </row>
    <row r="1531" spans="3:7" hidden="1" x14ac:dyDescent="0.3">
      <c r="C1531" s="12" t="s">
        <v>5</v>
      </c>
      <c r="D1531" s="8"/>
      <c r="F1531">
        <f t="shared" ref="F1531:F1580" si="28">IF(IFERROR(FIND("1",C1531,1),ERROR.TYPE(#VALUE!))=ERROR.TYPE(#VALUE!),$M$2,$M$1)</f>
        <v>0</v>
      </c>
      <c r="G1531">
        <v>5.0505050505050497E-2</v>
      </c>
    </row>
    <row r="1532" spans="3:7" hidden="1" x14ac:dyDescent="0.3">
      <c r="C1532" s="11" t="s">
        <v>5</v>
      </c>
      <c r="D1532" s="8"/>
      <c r="F1532">
        <f t="shared" si="28"/>
        <v>0</v>
      </c>
      <c r="G1532">
        <v>5.1515151515151507E-2</v>
      </c>
    </row>
    <row r="1533" spans="3:7" hidden="1" x14ac:dyDescent="0.3">
      <c r="C1533" s="12" t="s">
        <v>5</v>
      </c>
      <c r="D1533" s="8"/>
      <c r="F1533">
        <f t="shared" si="28"/>
        <v>0</v>
      </c>
      <c r="G1533">
        <v>5.2525252525252517E-2</v>
      </c>
    </row>
    <row r="1534" spans="3:7" hidden="1" x14ac:dyDescent="0.3">
      <c r="C1534" s="11" t="s">
        <v>5</v>
      </c>
      <c r="D1534" s="8"/>
      <c r="F1534">
        <f t="shared" si="28"/>
        <v>0</v>
      </c>
      <c r="G1534">
        <v>5.3535353535353533E-2</v>
      </c>
    </row>
    <row r="1535" spans="3:7" hidden="1" x14ac:dyDescent="0.3">
      <c r="C1535" s="12" t="s">
        <v>5</v>
      </c>
      <c r="D1535" s="8"/>
      <c r="F1535">
        <f t="shared" si="28"/>
        <v>0</v>
      </c>
      <c r="G1535">
        <v>5.4545454545454543E-2</v>
      </c>
    </row>
    <row r="1536" spans="3:7" hidden="1" x14ac:dyDescent="0.3">
      <c r="C1536" s="11" t="s">
        <v>5</v>
      </c>
      <c r="D1536" s="8"/>
      <c r="F1536">
        <f t="shared" si="28"/>
        <v>0</v>
      </c>
      <c r="G1536">
        <v>5.5555555555555552E-2</v>
      </c>
    </row>
    <row r="1537" spans="3:7" hidden="1" x14ac:dyDescent="0.3">
      <c r="C1537" s="12" t="s">
        <v>5</v>
      </c>
      <c r="D1537" s="8"/>
      <c r="F1537">
        <f t="shared" si="28"/>
        <v>0</v>
      </c>
      <c r="G1537">
        <v>5.6565656565656569E-2</v>
      </c>
    </row>
    <row r="1538" spans="3:7" hidden="1" x14ac:dyDescent="0.3">
      <c r="C1538" s="11" t="s">
        <v>5</v>
      </c>
      <c r="D1538" s="8"/>
      <c r="F1538">
        <f t="shared" si="28"/>
        <v>0</v>
      </c>
      <c r="G1538">
        <v>5.7575757575757579E-2</v>
      </c>
    </row>
    <row r="1539" spans="3:7" hidden="1" x14ac:dyDescent="0.3">
      <c r="C1539" s="12" t="s">
        <v>5</v>
      </c>
      <c r="D1539" s="8"/>
      <c r="F1539">
        <f t="shared" si="28"/>
        <v>0</v>
      </c>
      <c r="G1539">
        <v>5.8585858585858588E-2</v>
      </c>
    </row>
    <row r="1540" spans="3:7" hidden="1" x14ac:dyDescent="0.3">
      <c r="C1540" s="11" t="s">
        <v>5</v>
      </c>
      <c r="D1540" s="8"/>
      <c r="F1540">
        <f t="shared" si="28"/>
        <v>0</v>
      </c>
      <c r="G1540">
        <v>5.9595959595959598E-2</v>
      </c>
    </row>
    <row r="1541" spans="3:7" hidden="1" x14ac:dyDescent="0.3">
      <c r="C1541" s="12" t="s">
        <v>5</v>
      </c>
      <c r="D1541" s="8"/>
      <c r="F1541">
        <f t="shared" si="28"/>
        <v>0</v>
      </c>
      <c r="G1541">
        <v>6.0606060606060608E-2</v>
      </c>
    </row>
    <row r="1542" spans="3:7" hidden="1" x14ac:dyDescent="0.3">
      <c r="C1542" s="11" t="s">
        <v>5</v>
      </c>
      <c r="D1542" s="8"/>
      <c r="F1542">
        <f t="shared" si="28"/>
        <v>0</v>
      </c>
      <c r="G1542">
        <v>6.1616161616161617E-2</v>
      </c>
    </row>
    <row r="1543" spans="3:7" hidden="1" x14ac:dyDescent="0.3">
      <c r="C1543" s="12" t="s">
        <v>5</v>
      </c>
      <c r="D1543" s="8"/>
      <c r="F1543">
        <f t="shared" si="28"/>
        <v>0</v>
      </c>
      <c r="G1543">
        <v>6.2626262626262627E-2</v>
      </c>
    </row>
    <row r="1544" spans="3:7" hidden="1" x14ac:dyDescent="0.3">
      <c r="C1544" s="11" t="s">
        <v>5</v>
      </c>
      <c r="D1544" s="8"/>
      <c r="F1544">
        <f t="shared" si="28"/>
        <v>0</v>
      </c>
      <c r="G1544">
        <v>6.363636363636363E-2</v>
      </c>
    </row>
    <row r="1545" spans="3:7" hidden="1" x14ac:dyDescent="0.3">
      <c r="C1545" s="12" t="s">
        <v>5</v>
      </c>
      <c r="D1545" s="8"/>
      <c r="F1545">
        <f t="shared" si="28"/>
        <v>0</v>
      </c>
      <c r="G1545">
        <v>6.4646464646464646E-2</v>
      </c>
    </row>
    <row r="1546" spans="3:7" hidden="1" x14ac:dyDescent="0.3">
      <c r="C1546" s="11" t="s">
        <v>5</v>
      </c>
      <c r="D1546" s="8"/>
      <c r="F1546">
        <f t="shared" si="28"/>
        <v>0</v>
      </c>
      <c r="G1546">
        <v>6.5656565656565663E-2</v>
      </c>
    </row>
    <row r="1547" spans="3:7" hidden="1" x14ac:dyDescent="0.3">
      <c r="C1547" s="12" t="s">
        <v>5</v>
      </c>
      <c r="D1547" s="8"/>
      <c r="F1547">
        <f t="shared" si="28"/>
        <v>0</v>
      </c>
      <c r="G1547">
        <v>6.6666666666666666E-2</v>
      </c>
    </row>
    <row r="1548" spans="3:7" hidden="1" x14ac:dyDescent="0.3">
      <c r="C1548" s="11" t="s">
        <v>5</v>
      </c>
      <c r="D1548" s="8"/>
      <c r="F1548">
        <f t="shared" si="28"/>
        <v>0</v>
      </c>
      <c r="G1548">
        <v>6.7676767676767682E-2</v>
      </c>
    </row>
    <row r="1549" spans="3:7" hidden="1" x14ac:dyDescent="0.3">
      <c r="C1549" s="12" t="s">
        <v>5</v>
      </c>
      <c r="D1549" s="8"/>
      <c r="F1549">
        <f t="shared" si="28"/>
        <v>0</v>
      </c>
      <c r="G1549">
        <v>6.8686868686868685E-2</v>
      </c>
    </row>
    <row r="1550" spans="3:7" hidden="1" x14ac:dyDescent="0.3">
      <c r="C1550" s="11" t="s">
        <v>5</v>
      </c>
      <c r="D1550" s="8"/>
      <c r="F1550">
        <f t="shared" si="28"/>
        <v>0</v>
      </c>
      <c r="G1550">
        <v>6.9696969696969702E-2</v>
      </c>
    </row>
    <row r="1551" spans="3:7" hidden="1" x14ac:dyDescent="0.3">
      <c r="C1551" s="12" t="s">
        <v>5</v>
      </c>
      <c r="D1551" s="8"/>
      <c r="F1551">
        <f t="shared" si="28"/>
        <v>0</v>
      </c>
      <c r="G1551">
        <v>7.0707070707070704E-2</v>
      </c>
    </row>
    <row r="1552" spans="3:7" hidden="1" x14ac:dyDescent="0.3">
      <c r="C1552" s="11" t="s">
        <v>5</v>
      </c>
      <c r="D1552" s="8"/>
      <c r="F1552">
        <f t="shared" si="28"/>
        <v>0</v>
      </c>
      <c r="G1552">
        <v>7.1717171717171721E-2</v>
      </c>
    </row>
    <row r="1553" spans="3:7" hidden="1" x14ac:dyDescent="0.3">
      <c r="C1553" s="12" t="s">
        <v>5</v>
      </c>
      <c r="D1553" s="8"/>
      <c r="F1553">
        <f t="shared" si="28"/>
        <v>0</v>
      </c>
      <c r="G1553">
        <v>7.2727272727272724E-2</v>
      </c>
    </row>
    <row r="1554" spans="3:7" hidden="1" x14ac:dyDescent="0.3">
      <c r="C1554" s="11" t="s">
        <v>5</v>
      </c>
      <c r="D1554" s="8"/>
      <c r="F1554">
        <f t="shared" si="28"/>
        <v>0</v>
      </c>
      <c r="G1554">
        <v>7.373737373737374E-2</v>
      </c>
    </row>
    <row r="1555" spans="3:7" hidden="1" x14ac:dyDescent="0.3">
      <c r="C1555" s="12" t="s">
        <v>5</v>
      </c>
      <c r="D1555" s="8"/>
      <c r="F1555">
        <f t="shared" si="28"/>
        <v>0</v>
      </c>
      <c r="G1555">
        <v>7.4747474747474743E-2</v>
      </c>
    </row>
    <row r="1556" spans="3:7" hidden="1" x14ac:dyDescent="0.3">
      <c r="C1556" s="11" t="s">
        <v>5</v>
      </c>
      <c r="D1556" s="8"/>
      <c r="F1556">
        <f t="shared" si="28"/>
        <v>0</v>
      </c>
      <c r="G1556">
        <v>7.575757575757576E-2</v>
      </c>
    </row>
    <row r="1557" spans="3:7" hidden="1" x14ac:dyDescent="0.3">
      <c r="C1557" s="12" t="s">
        <v>5</v>
      </c>
      <c r="D1557" s="8"/>
      <c r="F1557">
        <f t="shared" si="28"/>
        <v>0</v>
      </c>
      <c r="G1557">
        <v>7.6767676767676762E-2</v>
      </c>
    </row>
    <row r="1558" spans="3:7" hidden="1" x14ac:dyDescent="0.3">
      <c r="C1558" s="11" t="s">
        <v>5</v>
      </c>
      <c r="D1558" s="8"/>
      <c r="F1558">
        <f t="shared" si="28"/>
        <v>0</v>
      </c>
      <c r="G1558">
        <v>7.7777777777777779E-2</v>
      </c>
    </row>
    <row r="1559" spans="3:7" hidden="1" x14ac:dyDescent="0.3">
      <c r="C1559" s="12" t="s">
        <v>5</v>
      </c>
      <c r="D1559" s="8"/>
      <c r="F1559">
        <f t="shared" si="28"/>
        <v>0</v>
      </c>
      <c r="G1559">
        <v>7.8787878787878782E-2</v>
      </c>
    </row>
    <row r="1560" spans="3:7" hidden="1" x14ac:dyDescent="0.3">
      <c r="C1560" s="11" t="s">
        <v>5</v>
      </c>
      <c r="D1560" s="8"/>
      <c r="F1560">
        <f t="shared" si="28"/>
        <v>0</v>
      </c>
      <c r="G1560">
        <v>7.9797979797979798E-2</v>
      </c>
    </row>
    <row r="1561" spans="3:7" hidden="1" x14ac:dyDescent="0.3">
      <c r="C1561" s="12" t="s">
        <v>5</v>
      </c>
      <c r="D1561" s="8"/>
      <c r="F1561">
        <f t="shared" si="28"/>
        <v>0</v>
      </c>
      <c r="G1561">
        <v>8.0808080808080801E-2</v>
      </c>
    </row>
    <row r="1562" spans="3:7" hidden="1" x14ac:dyDescent="0.3">
      <c r="C1562" s="11" t="s">
        <v>5</v>
      </c>
      <c r="D1562" s="8"/>
      <c r="F1562">
        <f t="shared" si="28"/>
        <v>0</v>
      </c>
      <c r="G1562">
        <v>8.1818181818181818E-2</v>
      </c>
    </row>
    <row r="1563" spans="3:7" hidden="1" x14ac:dyDescent="0.3">
      <c r="C1563" s="12" t="s">
        <v>5</v>
      </c>
      <c r="D1563" s="8"/>
      <c r="F1563">
        <f t="shared" si="28"/>
        <v>0</v>
      </c>
      <c r="G1563">
        <v>8.2828282828282834E-2</v>
      </c>
    </row>
    <row r="1564" spans="3:7" hidden="1" x14ac:dyDescent="0.3">
      <c r="C1564" s="11" t="s">
        <v>5</v>
      </c>
      <c r="D1564" s="8"/>
      <c r="F1564">
        <f t="shared" si="28"/>
        <v>0</v>
      </c>
      <c r="G1564">
        <v>8.3838383838383837E-2</v>
      </c>
    </row>
    <row r="1565" spans="3:7" hidden="1" x14ac:dyDescent="0.3">
      <c r="C1565" s="12" t="s">
        <v>5</v>
      </c>
      <c r="D1565" s="8"/>
      <c r="F1565">
        <f t="shared" si="28"/>
        <v>0</v>
      </c>
      <c r="G1565">
        <v>8.4848484848484854E-2</v>
      </c>
    </row>
    <row r="1566" spans="3:7" hidden="1" x14ac:dyDescent="0.3">
      <c r="C1566" s="11" t="s">
        <v>5</v>
      </c>
      <c r="D1566" s="8"/>
      <c r="F1566">
        <f t="shared" si="28"/>
        <v>0</v>
      </c>
      <c r="G1566">
        <v>8.5858585858585856E-2</v>
      </c>
    </row>
    <row r="1567" spans="3:7" hidden="1" x14ac:dyDescent="0.3">
      <c r="C1567" s="12" t="s">
        <v>5</v>
      </c>
      <c r="D1567" s="8"/>
      <c r="F1567">
        <f t="shared" si="28"/>
        <v>0</v>
      </c>
      <c r="G1567">
        <v>8.6868686868686873E-2</v>
      </c>
    </row>
    <row r="1568" spans="3:7" hidden="1" x14ac:dyDescent="0.3">
      <c r="C1568" s="11" t="s">
        <v>5</v>
      </c>
      <c r="D1568" s="8"/>
      <c r="F1568">
        <f t="shared" si="28"/>
        <v>0</v>
      </c>
      <c r="G1568">
        <v>8.7878787878787876E-2</v>
      </c>
    </row>
    <row r="1569" spans="3:7" hidden="1" x14ac:dyDescent="0.3">
      <c r="C1569" s="12" t="s">
        <v>5</v>
      </c>
      <c r="D1569" s="8"/>
      <c r="F1569">
        <f t="shared" si="28"/>
        <v>0</v>
      </c>
      <c r="G1569">
        <v>8.8888888888888892E-2</v>
      </c>
    </row>
    <row r="1570" spans="3:7" hidden="1" x14ac:dyDescent="0.3">
      <c r="C1570" s="11" t="s">
        <v>5</v>
      </c>
      <c r="D1570" s="8"/>
      <c r="F1570">
        <f t="shared" si="28"/>
        <v>0</v>
      </c>
      <c r="G1570">
        <v>8.9898989898989895E-2</v>
      </c>
    </row>
    <row r="1571" spans="3:7" hidden="1" x14ac:dyDescent="0.3">
      <c r="C1571" s="12" t="s">
        <v>5</v>
      </c>
      <c r="D1571" s="8"/>
      <c r="F1571">
        <f t="shared" si="28"/>
        <v>0</v>
      </c>
      <c r="G1571">
        <v>9.0909090909090912E-2</v>
      </c>
    </row>
    <row r="1572" spans="3:7" hidden="1" x14ac:dyDescent="0.3">
      <c r="C1572" s="11" t="s">
        <v>5</v>
      </c>
      <c r="D1572" s="8"/>
      <c r="F1572">
        <f t="shared" si="28"/>
        <v>0</v>
      </c>
      <c r="G1572">
        <v>9.1919191919191914E-2</v>
      </c>
    </row>
    <row r="1573" spans="3:7" hidden="1" x14ac:dyDescent="0.3">
      <c r="C1573" s="12" t="s">
        <v>5</v>
      </c>
      <c r="D1573" s="8"/>
      <c r="F1573">
        <f t="shared" si="28"/>
        <v>0</v>
      </c>
      <c r="G1573">
        <v>9.2929292929292931E-2</v>
      </c>
    </row>
    <row r="1574" spans="3:7" hidden="1" x14ac:dyDescent="0.3">
      <c r="C1574" s="11" t="s">
        <v>5</v>
      </c>
      <c r="D1574" s="8"/>
      <c r="F1574">
        <f t="shared" si="28"/>
        <v>0</v>
      </c>
      <c r="G1574">
        <v>9.3939393939393934E-2</v>
      </c>
    </row>
    <row r="1575" spans="3:7" hidden="1" x14ac:dyDescent="0.3">
      <c r="C1575" s="12" t="s">
        <v>5</v>
      </c>
      <c r="D1575" s="8"/>
      <c r="F1575">
        <f t="shared" si="28"/>
        <v>0</v>
      </c>
      <c r="G1575">
        <v>9.494949494949495E-2</v>
      </c>
    </row>
    <row r="1576" spans="3:7" hidden="1" x14ac:dyDescent="0.3">
      <c r="C1576" s="11" t="s">
        <v>5</v>
      </c>
      <c r="D1576" s="8"/>
      <c r="F1576">
        <f t="shared" si="28"/>
        <v>0</v>
      </c>
      <c r="G1576">
        <v>9.5959595959595953E-2</v>
      </c>
    </row>
    <row r="1577" spans="3:7" hidden="1" x14ac:dyDescent="0.3">
      <c r="C1577" s="12" t="s">
        <v>5</v>
      </c>
      <c r="D1577" s="8"/>
      <c r="F1577">
        <f t="shared" si="28"/>
        <v>0</v>
      </c>
      <c r="G1577">
        <v>9.696969696969697E-2</v>
      </c>
    </row>
    <row r="1578" spans="3:7" hidden="1" x14ac:dyDescent="0.3">
      <c r="C1578" s="11" t="s">
        <v>5</v>
      </c>
      <c r="D1578" s="8"/>
      <c r="F1578">
        <f t="shared" si="28"/>
        <v>0</v>
      </c>
      <c r="G1578">
        <v>9.7979797979797986E-2</v>
      </c>
    </row>
    <row r="1579" spans="3:7" hidden="1" x14ac:dyDescent="0.3">
      <c r="C1579" s="12" t="s">
        <v>5</v>
      </c>
      <c r="D1579" s="8"/>
      <c r="F1579">
        <f t="shared" si="28"/>
        <v>0</v>
      </c>
      <c r="G1579">
        <v>9.8989898989898989E-2</v>
      </c>
    </row>
    <row r="1580" spans="3:7" hidden="1" x14ac:dyDescent="0.3">
      <c r="C1580" s="11" t="s">
        <v>5</v>
      </c>
      <c r="D1580" s="8"/>
      <c r="F1580">
        <f t="shared" si="28"/>
        <v>0</v>
      </c>
      <c r="G1580">
        <v>0.1</v>
      </c>
    </row>
    <row r="1581" spans="3:7" hidden="1" x14ac:dyDescent="0.3">
      <c r="C1581" s="12"/>
      <c r="D1581" s="9"/>
      <c r="E1581" s="9"/>
    </row>
    <row r="1582" spans="3:7" hidden="1" x14ac:dyDescent="0.3">
      <c r="C1582" s="11"/>
      <c r="D1582" s="8"/>
      <c r="E1582" s="8"/>
    </row>
    <row r="1583" spans="3:7" hidden="1" x14ac:dyDescent="0.3">
      <c r="C1583" s="12"/>
      <c r="D1583" s="9"/>
      <c r="E1583" s="9"/>
    </row>
    <row r="1584" spans="3:7" hidden="1" x14ac:dyDescent="0.3">
      <c r="C1584" s="11"/>
      <c r="D1584" s="8"/>
      <c r="E1584" s="8"/>
    </row>
    <row r="1585" spans="3:5" hidden="1" x14ac:dyDescent="0.3">
      <c r="C1585" s="12"/>
      <c r="D1585" s="9"/>
      <c r="E1585" s="9"/>
    </row>
    <row r="1586" spans="3:5" hidden="1" x14ac:dyDescent="0.3">
      <c r="C1586" s="11"/>
      <c r="D1586" s="8"/>
      <c r="E1586" s="8"/>
    </row>
    <row r="1587" spans="3:5" hidden="1" x14ac:dyDescent="0.3">
      <c r="C1587" s="12"/>
      <c r="D1587" s="9"/>
      <c r="E1587" s="9"/>
    </row>
    <row r="1588" spans="3:5" hidden="1" x14ac:dyDescent="0.3">
      <c r="C1588" s="11"/>
      <c r="D1588" s="8"/>
      <c r="E1588" s="8"/>
    </row>
    <row r="1589" spans="3:5" hidden="1" x14ac:dyDescent="0.3">
      <c r="C1589" s="12"/>
      <c r="D1589" s="9"/>
      <c r="E1589" s="9"/>
    </row>
    <row r="1590" spans="3:5" hidden="1" x14ac:dyDescent="0.3">
      <c r="C1590" s="11"/>
      <c r="D1590" s="8"/>
      <c r="E1590" s="8"/>
    </row>
    <row r="1591" spans="3:5" hidden="1" x14ac:dyDescent="0.3">
      <c r="C1591" s="12"/>
      <c r="D1591" s="9"/>
      <c r="E1591" s="9"/>
    </row>
    <row r="1592" spans="3:5" hidden="1" x14ac:dyDescent="0.3">
      <c r="C1592" s="11"/>
      <c r="D1592" s="8"/>
      <c r="E1592" s="8"/>
    </row>
    <row r="1593" spans="3:5" hidden="1" x14ac:dyDescent="0.3">
      <c r="C1593" s="12"/>
      <c r="D1593" s="9"/>
      <c r="E1593" s="9"/>
    </row>
    <row r="1594" spans="3:5" hidden="1" x14ac:dyDescent="0.3">
      <c r="C1594" s="11"/>
      <c r="D1594" s="8"/>
      <c r="E1594" s="8"/>
    </row>
    <row r="1595" spans="3:5" hidden="1" x14ac:dyDescent="0.3">
      <c r="C1595" s="12"/>
      <c r="D1595" s="9"/>
      <c r="E1595" s="9"/>
    </row>
    <row r="1596" spans="3:5" hidden="1" x14ac:dyDescent="0.3">
      <c r="C1596" s="11"/>
      <c r="D1596" s="8"/>
      <c r="E1596" s="8"/>
    </row>
    <row r="1597" spans="3:5" hidden="1" x14ac:dyDescent="0.3">
      <c r="C1597" s="12"/>
      <c r="D1597" s="9"/>
      <c r="E1597" s="9"/>
    </row>
    <row r="1598" spans="3:5" hidden="1" x14ac:dyDescent="0.3">
      <c r="C1598" s="11"/>
      <c r="D1598" s="8"/>
      <c r="E1598" s="8"/>
    </row>
    <row r="1599" spans="3:5" hidden="1" x14ac:dyDescent="0.3">
      <c r="C1599" s="12"/>
      <c r="D1599" s="9"/>
      <c r="E1599" s="9"/>
    </row>
    <row r="1600" spans="3:5" hidden="1" x14ac:dyDescent="0.3">
      <c r="C1600" s="11"/>
      <c r="D1600" s="8"/>
      <c r="E1600" s="8"/>
    </row>
    <row r="1601" spans="3:5" hidden="1" x14ac:dyDescent="0.3">
      <c r="C1601" s="12"/>
      <c r="D1601" s="9"/>
      <c r="E1601" s="9"/>
    </row>
    <row r="1602" spans="3:5" hidden="1" x14ac:dyDescent="0.3">
      <c r="C1602" s="11"/>
      <c r="D1602" s="8"/>
      <c r="E1602" s="8"/>
    </row>
    <row r="1603" spans="3:5" hidden="1" x14ac:dyDescent="0.3">
      <c r="C1603" s="12"/>
      <c r="D1603" s="9"/>
      <c r="E1603" s="9"/>
    </row>
    <row r="1604" spans="3:5" hidden="1" x14ac:dyDescent="0.3">
      <c r="C1604" s="11"/>
      <c r="D1604" s="8"/>
      <c r="E1604" s="8"/>
    </row>
    <row r="1605" spans="3:5" hidden="1" x14ac:dyDescent="0.3">
      <c r="C1605" s="12"/>
      <c r="D1605" s="9"/>
      <c r="E1605" s="9"/>
    </row>
    <row r="1606" spans="3:5" hidden="1" x14ac:dyDescent="0.3">
      <c r="C1606" s="11"/>
      <c r="D1606" s="8"/>
      <c r="E1606" s="8"/>
    </row>
    <row r="1607" spans="3:5" hidden="1" x14ac:dyDescent="0.3">
      <c r="C1607" s="12"/>
      <c r="D1607" s="9"/>
      <c r="E1607" s="9"/>
    </row>
    <row r="1608" spans="3:5" hidden="1" x14ac:dyDescent="0.3">
      <c r="C1608" s="11"/>
      <c r="D1608" s="8"/>
      <c r="E1608" s="8"/>
    </row>
    <row r="1609" spans="3:5" hidden="1" x14ac:dyDescent="0.3">
      <c r="C1609" s="12"/>
      <c r="D1609" s="9"/>
      <c r="E1609" s="9"/>
    </row>
    <row r="1610" spans="3:5" hidden="1" x14ac:dyDescent="0.3">
      <c r="C1610" s="11"/>
      <c r="D1610" s="8"/>
      <c r="E1610" s="8"/>
    </row>
    <row r="1611" spans="3:5" hidden="1" x14ac:dyDescent="0.3">
      <c r="C1611" s="12"/>
      <c r="D1611" s="9"/>
      <c r="E1611" s="9"/>
    </row>
    <row r="1612" spans="3:5" hidden="1" x14ac:dyDescent="0.3">
      <c r="C1612" s="11"/>
      <c r="D1612" s="8"/>
      <c r="E1612" s="8"/>
    </row>
    <row r="1613" spans="3:5" hidden="1" x14ac:dyDescent="0.3">
      <c r="C1613" s="12"/>
      <c r="D1613" s="9"/>
      <c r="E1613" s="9"/>
    </row>
    <row r="1614" spans="3:5" hidden="1" x14ac:dyDescent="0.3">
      <c r="C1614" s="11"/>
      <c r="D1614" s="8"/>
      <c r="E1614" s="8"/>
    </row>
    <row r="1615" spans="3:5" hidden="1" x14ac:dyDescent="0.3">
      <c r="C1615" s="12"/>
      <c r="D1615" s="9"/>
      <c r="E1615" s="9"/>
    </row>
    <row r="1616" spans="3:5" hidden="1" x14ac:dyDescent="0.3">
      <c r="C1616" s="11"/>
      <c r="D1616" s="8"/>
      <c r="E1616" s="8"/>
    </row>
    <row r="1617" spans="3:7" hidden="1" x14ac:dyDescent="0.3">
      <c r="C1617" s="12"/>
      <c r="D1617" s="9"/>
      <c r="E1617" s="9"/>
    </row>
    <row r="1618" spans="3:7" hidden="1" x14ac:dyDescent="0.3">
      <c r="C1618" s="11"/>
      <c r="D1618" s="8"/>
      <c r="E1618" s="8"/>
    </row>
    <row r="1619" spans="3:7" hidden="1" x14ac:dyDescent="0.3">
      <c r="C1619" s="12"/>
      <c r="D1619" s="9"/>
      <c r="E1619" s="9"/>
    </row>
    <row r="1620" spans="3:7" hidden="1" x14ac:dyDescent="0.3">
      <c r="C1620" s="11"/>
      <c r="D1620" s="8"/>
      <c r="E1620" s="8"/>
    </row>
    <row r="1621" spans="3:7" hidden="1" x14ac:dyDescent="0.3">
      <c r="C1621" s="12"/>
      <c r="D1621" s="9"/>
      <c r="E1621" s="9"/>
    </row>
    <row r="1622" spans="3:7" hidden="1" x14ac:dyDescent="0.3">
      <c r="C1622" s="11"/>
      <c r="D1622" s="8"/>
      <c r="E1622" s="8"/>
    </row>
    <row r="1623" spans="3:7" hidden="1" x14ac:dyDescent="0.3">
      <c r="C1623" s="12"/>
      <c r="D1623" s="9"/>
      <c r="E1623" s="9"/>
    </row>
    <row r="1624" spans="3:7" hidden="1" x14ac:dyDescent="0.3">
      <c r="C1624" s="11"/>
      <c r="D1624" s="8"/>
      <c r="E1624" s="8"/>
    </row>
    <row r="1625" spans="3:7" hidden="1" x14ac:dyDescent="0.3">
      <c r="C1625" s="12"/>
      <c r="D1625" s="9"/>
      <c r="E1625" s="9"/>
    </row>
    <row r="1626" spans="3:7" hidden="1" x14ac:dyDescent="0.3">
      <c r="C1626" s="11"/>
      <c r="D1626" s="8"/>
      <c r="E1626" s="8"/>
    </row>
    <row r="1627" spans="3:7" hidden="1" x14ac:dyDescent="0.3">
      <c r="C1627" s="12"/>
      <c r="D1627" s="9"/>
      <c r="E1627" s="9"/>
    </row>
    <row r="1628" spans="3:7" hidden="1" x14ac:dyDescent="0.3">
      <c r="C1628" s="11"/>
      <c r="D1628" s="8"/>
      <c r="E1628" s="8"/>
    </row>
    <row r="1629" spans="3:7" hidden="1" x14ac:dyDescent="0.3">
      <c r="C1629" s="12"/>
      <c r="D1629" s="9"/>
      <c r="E1629" s="9"/>
    </row>
    <row r="1630" spans="3:7" hidden="1" x14ac:dyDescent="0.3">
      <c r="C1630" s="11"/>
      <c r="D1630" s="8"/>
      <c r="E1630" s="8"/>
    </row>
    <row r="1631" spans="3:7" hidden="1" x14ac:dyDescent="0.3">
      <c r="C1631" s="12" t="s">
        <v>6</v>
      </c>
      <c r="D1631" s="8"/>
      <c r="F1631">
        <f t="shared" ref="F1631:F1645" si="29">IF(IFERROR(FIND("1",C1631,1),ERROR.TYPE(#VALUE!))=ERROR.TYPE(#VALUE!),$M$2,$M$1)</f>
        <v>0</v>
      </c>
      <c r="G1631">
        <v>8.0742424242424242</v>
      </c>
    </row>
    <row r="1632" spans="3:7" hidden="1" x14ac:dyDescent="0.3">
      <c r="C1632" s="11" t="s">
        <v>6</v>
      </c>
      <c r="D1632" s="8"/>
      <c r="F1632">
        <f t="shared" si="29"/>
        <v>0</v>
      </c>
      <c r="G1632">
        <v>8.1427272727272726</v>
      </c>
    </row>
    <row r="1633" spans="3:7" hidden="1" x14ac:dyDescent="0.3">
      <c r="C1633" s="12" t="s">
        <v>6</v>
      </c>
      <c r="D1633" s="8"/>
      <c r="F1633">
        <f t="shared" si="29"/>
        <v>0</v>
      </c>
      <c r="G1633">
        <v>8.211212121212121</v>
      </c>
    </row>
    <row r="1634" spans="3:7" hidden="1" x14ac:dyDescent="0.3">
      <c r="C1634" s="11" t="s">
        <v>6</v>
      </c>
      <c r="D1634" s="8"/>
      <c r="F1634">
        <f t="shared" si="29"/>
        <v>0</v>
      </c>
      <c r="G1634">
        <v>8.2796969696969693</v>
      </c>
    </row>
    <row r="1635" spans="3:7" hidden="1" x14ac:dyDescent="0.3">
      <c r="C1635" s="12" t="s">
        <v>6</v>
      </c>
      <c r="D1635" s="8"/>
      <c r="F1635">
        <f t="shared" si="29"/>
        <v>0</v>
      </c>
      <c r="G1635">
        <v>8.3481818181818177</v>
      </c>
    </row>
    <row r="1636" spans="3:7" hidden="1" x14ac:dyDescent="0.3">
      <c r="C1636" s="11" t="s">
        <v>6</v>
      </c>
      <c r="D1636" s="8"/>
      <c r="F1636">
        <f t="shared" si="29"/>
        <v>0</v>
      </c>
      <c r="G1636">
        <v>8.4166666666666679</v>
      </c>
    </row>
    <row r="1637" spans="3:7" hidden="1" x14ac:dyDescent="0.3">
      <c r="C1637" s="12" t="s">
        <v>6</v>
      </c>
      <c r="D1637" s="8"/>
      <c r="F1637">
        <f t="shared" si="29"/>
        <v>0</v>
      </c>
      <c r="G1637">
        <v>8.4851515151515144</v>
      </c>
    </row>
    <row r="1638" spans="3:7" hidden="1" x14ac:dyDescent="0.3">
      <c r="C1638" s="11" t="s">
        <v>6</v>
      </c>
      <c r="D1638" s="8"/>
      <c r="F1638">
        <f t="shared" si="29"/>
        <v>0</v>
      </c>
      <c r="G1638">
        <v>8.5536363636363646</v>
      </c>
    </row>
    <row r="1639" spans="3:7" hidden="1" x14ac:dyDescent="0.3">
      <c r="C1639" s="12" t="s">
        <v>6</v>
      </c>
      <c r="D1639" s="8"/>
      <c r="F1639">
        <f t="shared" si="29"/>
        <v>0</v>
      </c>
      <c r="G1639">
        <v>8.6221212121212112</v>
      </c>
    </row>
    <row r="1640" spans="3:7" hidden="1" x14ac:dyDescent="0.3">
      <c r="C1640" s="11" t="s">
        <v>6</v>
      </c>
      <c r="D1640" s="8"/>
      <c r="F1640">
        <f t="shared" si="29"/>
        <v>0</v>
      </c>
      <c r="G1640">
        <v>8.6906060606060613</v>
      </c>
    </row>
    <row r="1641" spans="3:7" hidden="1" x14ac:dyDescent="0.3">
      <c r="C1641" s="12" t="s">
        <v>6</v>
      </c>
      <c r="D1641" s="8"/>
      <c r="F1641">
        <f t="shared" si="29"/>
        <v>0</v>
      </c>
      <c r="G1641">
        <v>8.7590909090909097</v>
      </c>
    </row>
    <row r="1642" spans="3:7" hidden="1" x14ac:dyDescent="0.3">
      <c r="C1642" s="11" t="s">
        <v>6</v>
      </c>
      <c r="D1642" s="8"/>
      <c r="F1642">
        <f t="shared" si="29"/>
        <v>0</v>
      </c>
      <c r="G1642">
        <v>8.8275757575757581</v>
      </c>
    </row>
    <row r="1643" spans="3:7" hidden="1" x14ac:dyDescent="0.3">
      <c r="C1643" s="12" t="s">
        <v>6</v>
      </c>
      <c r="D1643" s="8"/>
      <c r="F1643">
        <f t="shared" si="29"/>
        <v>0</v>
      </c>
      <c r="G1643">
        <v>8.8960606060606064</v>
      </c>
    </row>
    <row r="1644" spans="3:7" hidden="1" x14ac:dyDescent="0.3">
      <c r="C1644" s="11" t="s">
        <v>6</v>
      </c>
      <c r="D1644" s="8"/>
      <c r="F1644">
        <f t="shared" si="29"/>
        <v>0</v>
      </c>
      <c r="G1644">
        <v>8.9645454545454548</v>
      </c>
    </row>
    <row r="1645" spans="3:7" hidden="1" x14ac:dyDescent="0.3">
      <c r="C1645" s="12" t="s">
        <v>6</v>
      </c>
      <c r="D1645" s="8"/>
      <c r="F1645">
        <f t="shared" si="29"/>
        <v>0</v>
      </c>
      <c r="G1645">
        <v>9.0330303030303032</v>
      </c>
    </row>
    <row r="1646" spans="3:7" hidden="1" x14ac:dyDescent="0.3">
      <c r="C1646" s="11" t="s">
        <v>6</v>
      </c>
      <c r="D1646" s="8"/>
      <c r="F1646">
        <f t="shared" ref="F1646:F1680" si="30">IF(IFERROR(FIND("1",C1646,1),ERROR.TYPE(#VALUE!))=ERROR.TYPE(#VALUE!),$M$2,$M$1)</f>
        <v>0</v>
      </c>
      <c r="G1646">
        <v>9.1015151515151516</v>
      </c>
    </row>
    <row r="1647" spans="3:7" hidden="1" x14ac:dyDescent="0.3">
      <c r="C1647" s="12" t="s">
        <v>6</v>
      </c>
      <c r="D1647" s="8"/>
      <c r="F1647">
        <f t="shared" si="30"/>
        <v>0</v>
      </c>
      <c r="G1647">
        <v>9.17</v>
      </c>
    </row>
    <row r="1648" spans="3:7" hidden="1" x14ac:dyDescent="0.3">
      <c r="C1648" s="11" t="s">
        <v>6</v>
      </c>
      <c r="D1648" s="8"/>
      <c r="F1648">
        <f t="shared" si="30"/>
        <v>0</v>
      </c>
      <c r="G1648">
        <v>9.2384848484848483</v>
      </c>
    </row>
    <row r="1649" spans="3:7" hidden="1" x14ac:dyDescent="0.3">
      <c r="C1649" s="12" t="s">
        <v>6</v>
      </c>
      <c r="D1649" s="8"/>
      <c r="F1649">
        <f t="shared" si="30"/>
        <v>0</v>
      </c>
      <c r="G1649">
        <v>9.3069696969696967</v>
      </c>
    </row>
    <row r="1650" spans="3:7" hidden="1" x14ac:dyDescent="0.3">
      <c r="C1650" s="11" t="s">
        <v>6</v>
      </c>
      <c r="D1650" s="8"/>
      <c r="F1650">
        <f t="shared" si="30"/>
        <v>0</v>
      </c>
      <c r="G1650">
        <v>9.375454545454545</v>
      </c>
    </row>
    <row r="1651" spans="3:7" hidden="1" x14ac:dyDescent="0.3">
      <c r="C1651" s="12" t="s">
        <v>6</v>
      </c>
      <c r="D1651" s="8"/>
      <c r="F1651">
        <f t="shared" si="30"/>
        <v>0</v>
      </c>
      <c r="G1651">
        <v>9.4439393939393952</v>
      </c>
    </row>
    <row r="1652" spans="3:7" hidden="1" x14ac:dyDescent="0.3">
      <c r="C1652" s="11" t="s">
        <v>6</v>
      </c>
      <c r="D1652" s="8"/>
      <c r="F1652">
        <f t="shared" si="30"/>
        <v>0</v>
      </c>
      <c r="G1652">
        <v>9.5124242424242418</v>
      </c>
    </row>
    <row r="1653" spans="3:7" hidden="1" x14ac:dyDescent="0.3">
      <c r="C1653" s="12" t="s">
        <v>6</v>
      </c>
      <c r="D1653" s="8"/>
      <c r="F1653">
        <f t="shared" si="30"/>
        <v>0</v>
      </c>
      <c r="G1653">
        <v>9.5809090909090919</v>
      </c>
    </row>
    <row r="1654" spans="3:7" hidden="1" x14ac:dyDescent="0.3">
      <c r="C1654" s="11" t="s">
        <v>6</v>
      </c>
      <c r="D1654" s="8"/>
      <c r="F1654">
        <f t="shared" si="30"/>
        <v>0</v>
      </c>
      <c r="G1654">
        <v>9.6493939393939385</v>
      </c>
    </row>
    <row r="1655" spans="3:7" hidden="1" x14ac:dyDescent="0.3">
      <c r="C1655" s="12" t="s">
        <v>6</v>
      </c>
      <c r="D1655" s="8"/>
      <c r="F1655">
        <f t="shared" si="30"/>
        <v>0</v>
      </c>
      <c r="G1655">
        <v>9.7178787878787887</v>
      </c>
    </row>
    <row r="1656" spans="3:7" hidden="1" x14ac:dyDescent="0.3">
      <c r="C1656" s="11" t="s">
        <v>6</v>
      </c>
      <c r="D1656" s="8"/>
      <c r="F1656">
        <f t="shared" si="30"/>
        <v>0</v>
      </c>
      <c r="G1656">
        <v>9.7863636363636353</v>
      </c>
    </row>
    <row r="1657" spans="3:7" hidden="1" x14ac:dyDescent="0.3">
      <c r="C1657" s="12" t="s">
        <v>6</v>
      </c>
      <c r="D1657" s="8"/>
      <c r="F1657">
        <f t="shared" si="30"/>
        <v>0</v>
      </c>
      <c r="G1657">
        <v>9.8548484848484854</v>
      </c>
    </row>
    <row r="1658" spans="3:7" hidden="1" x14ac:dyDescent="0.3">
      <c r="C1658" s="11" t="s">
        <v>6</v>
      </c>
      <c r="D1658" s="8"/>
      <c r="F1658">
        <f t="shared" si="30"/>
        <v>0</v>
      </c>
      <c r="G1658">
        <v>9.9233333333333338</v>
      </c>
    </row>
    <row r="1659" spans="3:7" hidden="1" x14ac:dyDescent="0.3">
      <c r="C1659" s="12" t="s">
        <v>6</v>
      </c>
      <c r="D1659" s="8"/>
      <c r="F1659">
        <f t="shared" si="30"/>
        <v>0</v>
      </c>
      <c r="G1659">
        <v>9.9918181818181822</v>
      </c>
    </row>
    <row r="1660" spans="3:7" hidden="1" x14ac:dyDescent="0.3">
      <c r="C1660" s="11" t="s">
        <v>6</v>
      </c>
      <c r="D1660" s="8"/>
      <c r="F1660">
        <f t="shared" si="30"/>
        <v>0</v>
      </c>
      <c r="G1660">
        <v>10.060303030303031</v>
      </c>
    </row>
    <row r="1661" spans="3:7" hidden="1" x14ac:dyDescent="0.3">
      <c r="C1661" s="12" t="s">
        <v>6</v>
      </c>
      <c r="D1661" s="8"/>
      <c r="F1661">
        <f t="shared" si="30"/>
        <v>0</v>
      </c>
      <c r="G1661">
        <v>10.128787878787881</v>
      </c>
    </row>
    <row r="1662" spans="3:7" hidden="1" x14ac:dyDescent="0.3">
      <c r="C1662" s="11" t="s">
        <v>6</v>
      </c>
      <c r="D1662" s="8"/>
      <c r="F1662">
        <f t="shared" si="30"/>
        <v>0</v>
      </c>
      <c r="G1662">
        <v>10.197272727272731</v>
      </c>
    </row>
    <row r="1663" spans="3:7" hidden="1" x14ac:dyDescent="0.3">
      <c r="C1663" s="12" t="s">
        <v>6</v>
      </c>
      <c r="D1663" s="8"/>
      <c r="F1663">
        <f t="shared" si="30"/>
        <v>0</v>
      </c>
      <c r="G1663">
        <v>10.265757575757579</v>
      </c>
    </row>
    <row r="1664" spans="3:7" hidden="1" x14ac:dyDescent="0.3">
      <c r="C1664" s="11" t="s">
        <v>6</v>
      </c>
      <c r="D1664" s="8"/>
      <c r="F1664">
        <f t="shared" si="30"/>
        <v>0</v>
      </c>
      <c r="G1664">
        <v>10.33424242424242</v>
      </c>
    </row>
    <row r="1665" spans="3:7" hidden="1" x14ac:dyDescent="0.3">
      <c r="C1665" s="12" t="s">
        <v>6</v>
      </c>
      <c r="D1665" s="8"/>
      <c r="F1665">
        <f t="shared" si="30"/>
        <v>0</v>
      </c>
      <c r="G1665">
        <v>10.402727272727271</v>
      </c>
    </row>
    <row r="1666" spans="3:7" hidden="1" x14ac:dyDescent="0.3">
      <c r="C1666" s="11" t="s">
        <v>6</v>
      </c>
      <c r="D1666" s="8"/>
      <c r="F1666">
        <f t="shared" si="30"/>
        <v>0</v>
      </c>
      <c r="G1666">
        <v>10.471212121212121</v>
      </c>
    </row>
    <row r="1667" spans="3:7" hidden="1" x14ac:dyDescent="0.3">
      <c r="C1667" s="12" t="s">
        <v>6</v>
      </c>
      <c r="D1667" s="8"/>
      <c r="F1667">
        <f t="shared" si="30"/>
        <v>0</v>
      </c>
      <c r="G1667">
        <v>10.539696969696969</v>
      </c>
    </row>
    <row r="1668" spans="3:7" hidden="1" x14ac:dyDescent="0.3">
      <c r="C1668" s="11" t="s">
        <v>6</v>
      </c>
      <c r="D1668" s="8"/>
      <c r="F1668">
        <f t="shared" si="30"/>
        <v>0</v>
      </c>
      <c r="G1668">
        <v>10.608181818181819</v>
      </c>
    </row>
    <row r="1669" spans="3:7" hidden="1" x14ac:dyDescent="0.3">
      <c r="C1669" s="12" t="s">
        <v>6</v>
      </c>
      <c r="D1669" s="8"/>
      <c r="F1669">
        <f t="shared" si="30"/>
        <v>0</v>
      </c>
      <c r="G1669">
        <v>10.676666666666669</v>
      </c>
    </row>
    <row r="1670" spans="3:7" hidden="1" x14ac:dyDescent="0.3">
      <c r="C1670" s="11" t="s">
        <v>6</v>
      </c>
      <c r="D1670" s="8"/>
      <c r="F1670">
        <f t="shared" si="30"/>
        <v>0</v>
      </c>
      <c r="G1670">
        <v>10.74515151515152</v>
      </c>
    </row>
    <row r="1671" spans="3:7" hidden="1" x14ac:dyDescent="0.3">
      <c r="C1671" s="12" t="s">
        <v>6</v>
      </c>
      <c r="D1671" s="8"/>
      <c r="F1671">
        <f t="shared" si="30"/>
        <v>0</v>
      </c>
      <c r="G1671">
        <v>10.813636363636361</v>
      </c>
    </row>
    <row r="1672" spans="3:7" hidden="1" x14ac:dyDescent="0.3">
      <c r="C1672" s="11" t="s">
        <v>6</v>
      </c>
      <c r="D1672" s="8"/>
      <c r="F1672">
        <f t="shared" si="30"/>
        <v>0</v>
      </c>
      <c r="G1672">
        <v>10.882121212121209</v>
      </c>
    </row>
    <row r="1673" spans="3:7" hidden="1" x14ac:dyDescent="0.3">
      <c r="C1673" s="12" t="s">
        <v>6</v>
      </c>
      <c r="D1673" s="8"/>
      <c r="F1673">
        <f t="shared" si="30"/>
        <v>0</v>
      </c>
      <c r="G1673">
        <v>10.950606060606059</v>
      </c>
    </row>
    <row r="1674" spans="3:7" hidden="1" x14ac:dyDescent="0.3">
      <c r="C1674" s="11" t="s">
        <v>6</v>
      </c>
      <c r="D1674" s="8"/>
      <c r="F1674">
        <f t="shared" si="30"/>
        <v>0</v>
      </c>
      <c r="G1674">
        <v>11.019090909090909</v>
      </c>
    </row>
    <row r="1675" spans="3:7" hidden="1" x14ac:dyDescent="0.3">
      <c r="C1675" s="12" t="s">
        <v>6</v>
      </c>
      <c r="D1675" s="8"/>
      <c r="F1675">
        <f t="shared" si="30"/>
        <v>0</v>
      </c>
      <c r="G1675">
        <v>11.08757575757576</v>
      </c>
    </row>
    <row r="1676" spans="3:7" hidden="1" x14ac:dyDescent="0.3">
      <c r="C1676" s="11" t="s">
        <v>6</v>
      </c>
      <c r="D1676" s="8"/>
      <c r="F1676">
        <f t="shared" si="30"/>
        <v>0</v>
      </c>
      <c r="G1676">
        <v>11.15606060606061</v>
      </c>
    </row>
    <row r="1677" spans="3:7" hidden="1" x14ac:dyDescent="0.3">
      <c r="C1677" s="12" t="s">
        <v>6</v>
      </c>
      <c r="D1677" s="8"/>
      <c r="F1677">
        <f t="shared" si="30"/>
        <v>0</v>
      </c>
      <c r="G1677">
        <v>11.224545454545449</v>
      </c>
    </row>
    <row r="1678" spans="3:7" hidden="1" x14ac:dyDescent="0.3">
      <c r="C1678" s="11" t="s">
        <v>6</v>
      </c>
      <c r="D1678" s="8"/>
      <c r="F1678">
        <f t="shared" si="30"/>
        <v>0</v>
      </c>
      <c r="G1678">
        <v>11.293030303030299</v>
      </c>
    </row>
    <row r="1679" spans="3:7" hidden="1" x14ac:dyDescent="0.3">
      <c r="C1679" s="12" t="s">
        <v>6</v>
      </c>
      <c r="D1679" s="8"/>
      <c r="F1679">
        <f t="shared" si="30"/>
        <v>0</v>
      </c>
      <c r="G1679">
        <v>11.36151515151515</v>
      </c>
    </row>
    <row r="1680" spans="3:7" hidden="1" x14ac:dyDescent="0.3">
      <c r="C1680" s="11" t="s">
        <v>6</v>
      </c>
      <c r="D1680" s="8"/>
      <c r="F1680">
        <f t="shared" si="30"/>
        <v>0</v>
      </c>
      <c r="G1680">
        <v>11.43</v>
      </c>
    </row>
    <row r="1681" spans="3:5" hidden="1" x14ac:dyDescent="0.3">
      <c r="C1681" s="12"/>
      <c r="D1681" s="9"/>
      <c r="E1681" s="9"/>
    </row>
    <row r="1682" spans="3:5" hidden="1" x14ac:dyDescent="0.3">
      <c r="C1682" s="11"/>
      <c r="D1682" s="8"/>
      <c r="E1682" s="8"/>
    </row>
    <row r="1683" spans="3:5" hidden="1" x14ac:dyDescent="0.3">
      <c r="C1683" s="12"/>
      <c r="D1683" s="9"/>
      <c r="E1683" s="9"/>
    </row>
    <row r="1684" spans="3:5" hidden="1" x14ac:dyDescent="0.3">
      <c r="C1684" s="11"/>
      <c r="D1684" s="8"/>
      <c r="E1684" s="8"/>
    </row>
    <row r="1685" spans="3:5" hidden="1" x14ac:dyDescent="0.3">
      <c r="C1685" s="12"/>
      <c r="D1685" s="9"/>
      <c r="E1685" s="9"/>
    </row>
    <row r="1686" spans="3:5" hidden="1" x14ac:dyDescent="0.3">
      <c r="C1686" s="11"/>
      <c r="D1686" s="8"/>
      <c r="E1686" s="8"/>
    </row>
    <row r="1687" spans="3:5" hidden="1" x14ac:dyDescent="0.3">
      <c r="C1687" s="12"/>
      <c r="D1687" s="9"/>
      <c r="E1687" s="9"/>
    </row>
    <row r="1688" spans="3:5" hidden="1" x14ac:dyDescent="0.3">
      <c r="C1688" s="11"/>
      <c r="D1688" s="8"/>
      <c r="E1688" s="8"/>
    </row>
    <row r="1689" spans="3:5" hidden="1" x14ac:dyDescent="0.3">
      <c r="C1689" s="12"/>
      <c r="D1689" s="9"/>
      <c r="E1689" s="9"/>
    </row>
    <row r="1690" spans="3:5" hidden="1" x14ac:dyDescent="0.3">
      <c r="C1690" s="11"/>
      <c r="D1690" s="8"/>
      <c r="E1690" s="8"/>
    </row>
    <row r="1691" spans="3:5" hidden="1" x14ac:dyDescent="0.3">
      <c r="C1691" s="12"/>
      <c r="D1691" s="9"/>
      <c r="E1691" s="9"/>
    </row>
    <row r="1692" spans="3:5" hidden="1" x14ac:dyDescent="0.3">
      <c r="C1692" s="11"/>
      <c r="D1692" s="8"/>
      <c r="E1692" s="8"/>
    </row>
    <row r="1693" spans="3:5" hidden="1" x14ac:dyDescent="0.3">
      <c r="C1693" s="12"/>
      <c r="D1693" s="9"/>
      <c r="E1693" s="9"/>
    </row>
    <row r="1694" spans="3:5" hidden="1" x14ac:dyDescent="0.3">
      <c r="C1694" s="11"/>
      <c r="D1694" s="8"/>
      <c r="E1694" s="8"/>
    </row>
    <row r="1695" spans="3:5" hidden="1" x14ac:dyDescent="0.3">
      <c r="C1695" s="12"/>
      <c r="D1695" s="9"/>
      <c r="E1695" s="9"/>
    </row>
    <row r="1696" spans="3:5" hidden="1" x14ac:dyDescent="0.3">
      <c r="C1696" s="11"/>
      <c r="D1696" s="8"/>
      <c r="E1696" s="8"/>
    </row>
    <row r="1697" spans="3:5" hidden="1" x14ac:dyDescent="0.3">
      <c r="C1697" s="12"/>
      <c r="D1697" s="9"/>
      <c r="E1697" s="9"/>
    </row>
    <row r="1698" spans="3:5" hidden="1" x14ac:dyDescent="0.3">
      <c r="C1698" s="11"/>
      <c r="D1698" s="8"/>
      <c r="E1698" s="8"/>
    </row>
    <row r="1699" spans="3:5" hidden="1" x14ac:dyDescent="0.3">
      <c r="C1699" s="12"/>
      <c r="D1699" s="9"/>
      <c r="E1699" s="9"/>
    </row>
    <row r="1700" spans="3:5" hidden="1" x14ac:dyDescent="0.3">
      <c r="C1700" s="11"/>
      <c r="D1700" s="8"/>
      <c r="E1700" s="8"/>
    </row>
    <row r="1701" spans="3:5" hidden="1" x14ac:dyDescent="0.3">
      <c r="C1701" s="12"/>
      <c r="D1701" s="9"/>
      <c r="E1701" s="9"/>
    </row>
    <row r="1702" spans="3:5" hidden="1" x14ac:dyDescent="0.3">
      <c r="C1702" s="11"/>
      <c r="D1702" s="8"/>
      <c r="E1702" s="8"/>
    </row>
    <row r="1703" spans="3:5" hidden="1" x14ac:dyDescent="0.3">
      <c r="C1703" s="12"/>
      <c r="D1703" s="9"/>
      <c r="E1703" s="9"/>
    </row>
    <row r="1704" spans="3:5" hidden="1" x14ac:dyDescent="0.3">
      <c r="C1704" s="11"/>
      <c r="D1704" s="8"/>
      <c r="E1704" s="8"/>
    </row>
    <row r="1705" spans="3:5" hidden="1" x14ac:dyDescent="0.3">
      <c r="C1705" s="12"/>
      <c r="D1705" s="9"/>
      <c r="E1705" s="9"/>
    </row>
    <row r="1706" spans="3:5" hidden="1" x14ac:dyDescent="0.3">
      <c r="C1706" s="11"/>
      <c r="D1706" s="8"/>
      <c r="E1706" s="8"/>
    </row>
    <row r="1707" spans="3:5" hidden="1" x14ac:dyDescent="0.3">
      <c r="C1707" s="12"/>
      <c r="D1707" s="9"/>
      <c r="E1707" s="9"/>
    </row>
    <row r="1708" spans="3:5" hidden="1" x14ac:dyDescent="0.3">
      <c r="C1708" s="11"/>
      <c r="D1708" s="8"/>
      <c r="E1708" s="8"/>
    </row>
    <row r="1709" spans="3:5" hidden="1" x14ac:dyDescent="0.3">
      <c r="C1709" s="12"/>
      <c r="D1709" s="9"/>
      <c r="E1709" s="9"/>
    </row>
    <row r="1710" spans="3:5" hidden="1" x14ac:dyDescent="0.3">
      <c r="C1710" s="11"/>
      <c r="D1710" s="8"/>
      <c r="E1710" s="8"/>
    </row>
    <row r="1711" spans="3:5" hidden="1" x14ac:dyDescent="0.3">
      <c r="C1711" s="12"/>
      <c r="D1711" s="9"/>
      <c r="E1711" s="9"/>
    </row>
    <row r="1712" spans="3:5" hidden="1" x14ac:dyDescent="0.3">
      <c r="C1712" s="11"/>
      <c r="D1712" s="8"/>
      <c r="E1712" s="8"/>
    </row>
    <row r="1713" spans="3:5" hidden="1" x14ac:dyDescent="0.3">
      <c r="C1713" s="12"/>
      <c r="D1713" s="9"/>
      <c r="E1713" s="9"/>
    </row>
    <row r="1714" spans="3:5" hidden="1" x14ac:dyDescent="0.3">
      <c r="C1714" s="11"/>
      <c r="D1714" s="8"/>
      <c r="E1714" s="8"/>
    </row>
    <row r="1715" spans="3:5" hidden="1" x14ac:dyDescent="0.3">
      <c r="C1715" s="12"/>
      <c r="D1715" s="9"/>
      <c r="E1715" s="9"/>
    </row>
    <row r="1716" spans="3:5" hidden="1" x14ac:dyDescent="0.3">
      <c r="C1716" s="11"/>
      <c r="D1716" s="8"/>
      <c r="E1716" s="8"/>
    </row>
    <row r="1717" spans="3:5" hidden="1" x14ac:dyDescent="0.3">
      <c r="C1717" s="12"/>
      <c r="D1717" s="9"/>
      <c r="E1717" s="9"/>
    </row>
    <row r="1718" spans="3:5" hidden="1" x14ac:dyDescent="0.3">
      <c r="C1718" s="11"/>
      <c r="D1718" s="8"/>
      <c r="E1718" s="8"/>
    </row>
    <row r="1719" spans="3:5" hidden="1" x14ac:dyDescent="0.3">
      <c r="C1719" s="12"/>
      <c r="D1719" s="9"/>
      <c r="E1719" s="9"/>
    </row>
    <row r="1720" spans="3:5" hidden="1" x14ac:dyDescent="0.3">
      <c r="C1720" s="11"/>
      <c r="D1720" s="8"/>
      <c r="E1720" s="8"/>
    </row>
    <row r="1721" spans="3:5" hidden="1" x14ac:dyDescent="0.3">
      <c r="C1721" s="12"/>
      <c r="D1721" s="9"/>
      <c r="E1721" s="9"/>
    </row>
    <row r="1722" spans="3:5" hidden="1" x14ac:dyDescent="0.3">
      <c r="C1722" s="11"/>
      <c r="D1722" s="8"/>
      <c r="E1722" s="8"/>
    </row>
    <row r="1723" spans="3:5" hidden="1" x14ac:dyDescent="0.3">
      <c r="C1723" s="12"/>
      <c r="D1723" s="9"/>
      <c r="E1723" s="9"/>
    </row>
    <row r="1724" spans="3:5" hidden="1" x14ac:dyDescent="0.3">
      <c r="C1724" s="11"/>
      <c r="D1724" s="8"/>
      <c r="E1724" s="8"/>
    </row>
    <row r="1725" spans="3:5" hidden="1" x14ac:dyDescent="0.3">
      <c r="C1725" s="12"/>
      <c r="D1725" s="9"/>
      <c r="E1725" s="9"/>
    </row>
    <row r="1726" spans="3:5" hidden="1" x14ac:dyDescent="0.3">
      <c r="C1726" s="11"/>
      <c r="D1726" s="8"/>
      <c r="E1726" s="8"/>
    </row>
    <row r="1727" spans="3:5" hidden="1" x14ac:dyDescent="0.3">
      <c r="C1727" s="12"/>
      <c r="D1727" s="9"/>
      <c r="E1727" s="9"/>
    </row>
    <row r="1728" spans="3:5" hidden="1" x14ac:dyDescent="0.3">
      <c r="C1728" s="11"/>
      <c r="D1728" s="8"/>
      <c r="E1728" s="8"/>
    </row>
    <row r="1729" spans="3:7" hidden="1" x14ac:dyDescent="0.3">
      <c r="C1729" s="12"/>
      <c r="D1729" s="9"/>
      <c r="E1729" s="9"/>
    </row>
    <row r="1730" spans="3:7" hidden="1" x14ac:dyDescent="0.3">
      <c r="C1730" s="11"/>
      <c r="D1730" s="8"/>
      <c r="E1730" s="8"/>
    </row>
    <row r="1731" spans="3:7" hidden="1" x14ac:dyDescent="0.3">
      <c r="C1731" s="12" t="s">
        <v>7</v>
      </c>
      <c r="D1731" s="8"/>
      <c r="F1731">
        <f t="shared" ref="F1731:F1773" si="31">IF(IFERROR(FIND("1",C1731,1),ERROR.TYPE(#VALUE!))=ERROR.TYPE(#VALUE!),$M$2,$M$1)</f>
        <v>0</v>
      </c>
      <c r="G1731">
        <v>8.0742424242424242</v>
      </c>
    </row>
    <row r="1732" spans="3:7" hidden="1" x14ac:dyDescent="0.3">
      <c r="C1732" s="11" t="s">
        <v>7</v>
      </c>
      <c r="D1732" s="8"/>
      <c r="F1732">
        <f t="shared" si="31"/>
        <v>0</v>
      </c>
      <c r="G1732">
        <v>8.1427272727272726</v>
      </c>
    </row>
    <row r="1733" spans="3:7" hidden="1" x14ac:dyDescent="0.3">
      <c r="C1733" s="12" t="s">
        <v>7</v>
      </c>
      <c r="D1733" s="8"/>
      <c r="F1733">
        <f t="shared" si="31"/>
        <v>0</v>
      </c>
      <c r="G1733">
        <v>8.211212121212121</v>
      </c>
    </row>
    <row r="1734" spans="3:7" hidden="1" x14ac:dyDescent="0.3">
      <c r="C1734" s="11" t="s">
        <v>7</v>
      </c>
      <c r="D1734" s="8"/>
      <c r="F1734">
        <f t="shared" si="31"/>
        <v>0</v>
      </c>
      <c r="G1734">
        <v>8.2796969696969693</v>
      </c>
    </row>
    <row r="1735" spans="3:7" hidden="1" x14ac:dyDescent="0.3">
      <c r="C1735" s="12" t="s">
        <v>7</v>
      </c>
      <c r="D1735" s="8"/>
      <c r="F1735">
        <f t="shared" si="31"/>
        <v>0</v>
      </c>
      <c r="G1735">
        <v>8.3481818181818177</v>
      </c>
    </row>
    <row r="1736" spans="3:7" hidden="1" x14ac:dyDescent="0.3">
      <c r="C1736" s="11" t="s">
        <v>7</v>
      </c>
      <c r="D1736" s="8"/>
      <c r="F1736">
        <f t="shared" si="31"/>
        <v>0</v>
      </c>
      <c r="G1736">
        <v>8.4166666666666679</v>
      </c>
    </row>
    <row r="1737" spans="3:7" hidden="1" x14ac:dyDescent="0.3">
      <c r="C1737" s="12" t="s">
        <v>7</v>
      </c>
      <c r="D1737" s="8"/>
      <c r="F1737">
        <f t="shared" si="31"/>
        <v>0</v>
      </c>
      <c r="G1737">
        <v>8.4851515151515144</v>
      </c>
    </row>
    <row r="1738" spans="3:7" hidden="1" x14ac:dyDescent="0.3">
      <c r="C1738" s="11" t="s">
        <v>7</v>
      </c>
      <c r="D1738" s="8"/>
      <c r="F1738">
        <f t="shared" si="31"/>
        <v>0</v>
      </c>
      <c r="G1738">
        <v>8.5536363636363646</v>
      </c>
    </row>
    <row r="1739" spans="3:7" hidden="1" x14ac:dyDescent="0.3">
      <c r="C1739" s="12" t="s">
        <v>7</v>
      </c>
      <c r="D1739" s="8"/>
      <c r="F1739">
        <f t="shared" si="31"/>
        <v>0</v>
      </c>
      <c r="G1739">
        <v>8.6221212121212112</v>
      </c>
    </row>
    <row r="1740" spans="3:7" hidden="1" x14ac:dyDescent="0.3">
      <c r="C1740" s="11" t="s">
        <v>7</v>
      </c>
      <c r="D1740" s="8"/>
      <c r="F1740">
        <f t="shared" si="31"/>
        <v>0</v>
      </c>
      <c r="G1740">
        <v>8.6906060606060613</v>
      </c>
    </row>
    <row r="1741" spans="3:7" hidden="1" x14ac:dyDescent="0.3">
      <c r="C1741" s="12" t="s">
        <v>7</v>
      </c>
      <c r="D1741" s="8"/>
      <c r="F1741">
        <f t="shared" si="31"/>
        <v>0</v>
      </c>
      <c r="G1741">
        <v>8.7590909090909097</v>
      </c>
    </row>
    <row r="1742" spans="3:7" hidden="1" x14ac:dyDescent="0.3">
      <c r="C1742" s="11" t="s">
        <v>7</v>
      </c>
      <c r="D1742" s="8"/>
      <c r="F1742">
        <f t="shared" si="31"/>
        <v>0</v>
      </c>
      <c r="G1742">
        <v>8.8275757575757581</v>
      </c>
    </row>
    <row r="1743" spans="3:7" hidden="1" x14ac:dyDescent="0.3">
      <c r="C1743" s="12" t="s">
        <v>7</v>
      </c>
      <c r="D1743" s="8"/>
      <c r="F1743">
        <f t="shared" si="31"/>
        <v>0</v>
      </c>
      <c r="G1743">
        <v>8.8960606060606064</v>
      </c>
    </row>
    <row r="1744" spans="3:7" hidden="1" x14ac:dyDescent="0.3">
      <c r="C1744" s="11" t="s">
        <v>7</v>
      </c>
      <c r="D1744" s="8"/>
      <c r="F1744">
        <f t="shared" si="31"/>
        <v>0</v>
      </c>
      <c r="G1744">
        <v>8.9645454545454548</v>
      </c>
    </row>
    <row r="1745" spans="3:7" hidden="1" x14ac:dyDescent="0.3">
      <c r="C1745" s="12" t="s">
        <v>7</v>
      </c>
      <c r="D1745" s="8"/>
      <c r="F1745">
        <f t="shared" si="31"/>
        <v>0</v>
      </c>
      <c r="G1745">
        <v>9.0330303030303032</v>
      </c>
    </row>
    <row r="1746" spans="3:7" hidden="1" x14ac:dyDescent="0.3">
      <c r="C1746" s="11" t="s">
        <v>7</v>
      </c>
      <c r="D1746" s="8"/>
      <c r="F1746">
        <f t="shared" si="31"/>
        <v>0</v>
      </c>
      <c r="G1746">
        <v>9.1015151515151516</v>
      </c>
    </row>
    <row r="1747" spans="3:7" hidden="1" x14ac:dyDescent="0.3">
      <c r="C1747" s="12" t="s">
        <v>7</v>
      </c>
      <c r="D1747" s="8"/>
      <c r="F1747">
        <f t="shared" si="31"/>
        <v>0</v>
      </c>
      <c r="G1747">
        <v>9.17</v>
      </c>
    </row>
    <row r="1748" spans="3:7" hidden="1" x14ac:dyDescent="0.3">
      <c r="C1748" s="11" t="s">
        <v>7</v>
      </c>
      <c r="D1748" s="8"/>
      <c r="F1748">
        <f t="shared" si="31"/>
        <v>0</v>
      </c>
      <c r="G1748">
        <v>9.2384848484848483</v>
      </c>
    </row>
    <row r="1749" spans="3:7" hidden="1" x14ac:dyDescent="0.3">
      <c r="C1749" s="12" t="s">
        <v>7</v>
      </c>
      <c r="D1749" s="8"/>
      <c r="F1749">
        <f t="shared" si="31"/>
        <v>0</v>
      </c>
      <c r="G1749">
        <v>9.3069696969696967</v>
      </c>
    </row>
    <row r="1750" spans="3:7" hidden="1" x14ac:dyDescent="0.3">
      <c r="C1750" s="11" t="s">
        <v>7</v>
      </c>
      <c r="D1750" s="8"/>
      <c r="F1750">
        <f t="shared" si="31"/>
        <v>0</v>
      </c>
      <c r="G1750">
        <v>9.375454545454545</v>
      </c>
    </row>
    <row r="1751" spans="3:7" hidden="1" x14ac:dyDescent="0.3">
      <c r="C1751" s="12" t="s">
        <v>7</v>
      </c>
      <c r="D1751" s="8"/>
      <c r="F1751">
        <f t="shared" si="31"/>
        <v>0</v>
      </c>
      <c r="G1751">
        <v>9.4439393939393952</v>
      </c>
    </row>
    <row r="1752" spans="3:7" hidden="1" x14ac:dyDescent="0.3">
      <c r="C1752" s="11" t="s">
        <v>7</v>
      </c>
      <c r="D1752" s="8"/>
      <c r="F1752">
        <f t="shared" si="31"/>
        <v>0</v>
      </c>
      <c r="G1752">
        <v>9.5124242424242418</v>
      </c>
    </row>
    <row r="1753" spans="3:7" hidden="1" x14ac:dyDescent="0.3">
      <c r="C1753" s="12" t="s">
        <v>7</v>
      </c>
      <c r="D1753" s="8"/>
      <c r="F1753">
        <f t="shared" si="31"/>
        <v>0</v>
      </c>
      <c r="G1753">
        <v>9.5809090909090919</v>
      </c>
    </row>
    <row r="1754" spans="3:7" hidden="1" x14ac:dyDescent="0.3">
      <c r="C1754" s="11" t="s">
        <v>7</v>
      </c>
      <c r="D1754" s="8"/>
      <c r="F1754">
        <f t="shared" si="31"/>
        <v>0</v>
      </c>
      <c r="G1754">
        <v>9.6493939393939385</v>
      </c>
    </row>
    <row r="1755" spans="3:7" hidden="1" x14ac:dyDescent="0.3">
      <c r="C1755" s="12" t="s">
        <v>7</v>
      </c>
      <c r="D1755" s="8"/>
      <c r="F1755">
        <f t="shared" si="31"/>
        <v>0</v>
      </c>
      <c r="G1755">
        <v>9.7178787878787887</v>
      </c>
    </row>
    <row r="1756" spans="3:7" hidden="1" x14ac:dyDescent="0.3">
      <c r="C1756" s="11" t="s">
        <v>7</v>
      </c>
      <c r="D1756" s="8"/>
      <c r="F1756">
        <f t="shared" si="31"/>
        <v>0</v>
      </c>
      <c r="G1756">
        <v>9.7863636363636353</v>
      </c>
    </row>
    <row r="1757" spans="3:7" hidden="1" x14ac:dyDescent="0.3">
      <c r="C1757" s="12" t="s">
        <v>7</v>
      </c>
      <c r="D1757" s="8"/>
      <c r="F1757">
        <f t="shared" si="31"/>
        <v>0</v>
      </c>
      <c r="G1757">
        <v>9.8548484848484854</v>
      </c>
    </row>
    <row r="1758" spans="3:7" hidden="1" x14ac:dyDescent="0.3">
      <c r="C1758" s="11" t="s">
        <v>7</v>
      </c>
      <c r="D1758" s="8"/>
      <c r="F1758">
        <f t="shared" si="31"/>
        <v>0</v>
      </c>
      <c r="G1758">
        <v>9.9233333333333338</v>
      </c>
    </row>
    <row r="1759" spans="3:7" hidden="1" x14ac:dyDescent="0.3">
      <c r="C1759" s="12" t="s">
        <v>7</v>
      </c>
      <c r="D1759" s="8"/>
      <c r="F1759">
        <f t="shared" si="31"/>
        <v>0</v>
      </c>
      <c r="G1759">
        <v>9.9918181818181822</v>
      </c>
    </row>
    <row r="1760" spans="3:7" hidden="1" x14ac:dyDescent="0.3">
      <c r="C1760" s="11" t="s">
        <v>7</v>
      </c>
      <c r="D1760" s="8"/>
      <c r="F1760">
        <f t="shared" si="31"/>
        <v>0</v>
      </c>
      <c r="G1760">
        <v>10.060303030303031</v>
      </c>
    </row>
    <row r="1761" spans="3:7" hidden="1" x14ac:dyDescent="0.3">
      <c r="C1761" s="12" t="s">
        <v>7</v>
      </c>
      <c r="D1761" s="8"/>
      <c r="F1761">
        <f t="shared" si="31"/>
        <v>0</v>
      </c>
      <c r="G1761">
        <v>10.128787878787881</v>
      </c>
    </row>
    <row r="1762" spans="3:7" hidden="1" x14ac:dyDescent="0.3">
      <c r="C1762" s="11" t="s">
        <v>7</v>
      </c>
      <c r="D1762" s="8"/>
      <c r="F1762">
        <f t="shared" si="31"/>
        <v>0</v>
      </c>
      <c r="G1762">
        <v>10.197272727272731</v>
      </c>
    </row>
    <row r="1763" spans="3:7" hidden="1" x14ac:dyDescent="0.3">
      <c r="C1763" s="12" t="s">
        <v>7</v>
      </c>
      <c r="D1763" s="8"/>
      <c r="F1763">
        <f t="shared" si="31"/>
        <v>0</v>
      </c>
      <c r="G1763">
        <v>10.265757575757579</v>
      </c>
    </row>
    <row r="1764" spans="3:7" hidden="1" x14ac:dyDescent="0.3">
      <c r="C1764" s="11" t="s">
        <v>7</v>
      </c>
      <c r="D1764" s="8"/>
      <c r="F1764">
        <f t="shared" si="31"/>
        <v>0</v>
      </c>
      <c r="G1764">
        <v>10.33424242424242</v>
      </c>
    </row>
    <row r="1765" spans="3:7" hidden="1" x14ac:dyDescent="0.3">
      <c r="C1765" s="12" t="s">
        <v>7</v>
      </c>
      <c r="D1765" s="8"/>
      <c r="F1765">
        <f t="shared" si="31"/>
        <v>0</v>
      </c>
      <c r="G1765">
        <v>10.402727272727271</v>
      </c>
    </row>
    <row r="1766" spans="3:7" hidden="1" x14ac:dyDescent="0.3">
      <c r="C1766" s="11" t="s">
        <v>7</v>
      </c>
      <c r="D1766" s="8"/>
      <c r="F1766">
        <f t="shared" si="31"/>
        <v>0</v>
      </c>
      <c r="G1766">
        <v>10.471212121212121</v>
      </c>
    </row>
    <row r="1767" spans="3:7" hidden="1" x14ac:dyDescent="0.3">
      <c r="C1767" s="12" t="s">
        <v>7</v>
      </c>
      <c r="D1767" s="8"/>
      <c r="F1767">
        <f t="shared" si="31"/>
        <v>0</v>
      </c>
      <c r="G1767">
        <v>10.539696969696969</v>
      </c>
    </row>
    <row r="1768" spans="3:7" hidden="1" x14ac:dyDescent="0.3">
      <c r="C1768" s="11" t="s">
        <v>7</v>
      </c>
      <c r="D1768" s="8"/>
      <c r="F1768">
        <f t="shared" si="31"/>
        <v>0</v>
      </c>
      <c r="G1768">
        <v>10.608181818181819</v>
      </c>
    </row>
    <row r="1769" spans="3:7" hidden="1" x14ac:dyDescent="0.3">
      <c r="C1769" s="12" t="s">
        <v>7</v>
      </c>
      <c r="D1769" s="8"/>
      <c r="F1769">
        <f t="shared" si="31"/>
        <v>0</v>
      </c>
      <c r="G1769">
        <v>10.676666666666669</v>
      </c>
    </row>
    <row r="1770" spans="3:7" hidden="1" x14ac:dyDescent="0.3">
      <c r="C1770" s="11" t="s">
        <v>7</v>
      </c>
      <c r="D1770" s="8"/>
      <c r="F1770">
        <f t="shared" si="31"/>
        <v>0</v>
      </c>
      <c r="G1770">
        <v>10.74515151515152</v>
      </c>
    </row>
    <row r="1771" spans="3:7" hidden="1" x14ac:dyDescent="0.3">
      <c r="C1771" s="12" t="s">
        <v>7</v>
      </c>
      <c r="D1771" s="8"/>
      <c r="F1771">
        <f t="shared" si="31"/>
        <v>0</v>
      </c>
      <c r="G1771">
        <v>10.813636363636361</v>
      </c>
    </row>
    <row r="1772" spans="3:7" hidden="1" x14ac:dyDescent="0.3">
      <c r="C1772" s="11" t="s">
        <v>7</v>
      </c>
      <c r="D1772" s="8"/>
      <c r="F1772">
        <f t="shared" si="31"/>
        <v>0</v>
      </c>
      <c r="G1772">
        <v>10.882121212121209</v>
      </c>
    </row>
    <row r="1773" spans="3:7" hidden="1" x14ac:dyDescent="0.3">
      <c r="C1773" s="12" t="s">
        <v>7</v>
      </c>
      <c r="D1773" s="8"/>
      <c r="F1773">
        <f t="shared" si="31"/>
        <v>0</v>
      </c>
      <c r="G1773">
        <v>10.950606060606059</v>
      </c>
    </row>
    <row r="1774" spans="3:7" hidden="1" x14ac:dyDescent="0.3">
      <c r="C1774" s="11" t="s">
        <v>7</v>
      </c>
      <c r="D1774" s="8"/>
      <c r="F1774">
        <f t="shared" ref="F1774:F1837" si="32">IF(IFERROR(FIND("1",C1774,1),ERROR.TYPE(#VALUE!))=ERROR.TYPE(#VALUE!),$M$2,$M$1)</f>
        <v>0</v>
      </c>
      <c r="G1774">
        <v>11.019090909090909</v>
      </c>
    </row>
    <row r="1775" spans="3:7" hidden="1" x14ac:dyDescent="0.3">
      <c r="C1775" s="12" t="s">
        <v>7</v>
      </c>
      <c r="D1775" s="8"/>
      <c r="F1775">
        <f t="shared" si="32"/>
        <v>0</v>
      </c>
      <c r="G1775">
        <v>11.08757575757576</v>
      </c>
    </row>
    <row r="1776" spans="3:7" hidden="1" x14ac:dyDescent="0.3">
      <c r="C1776" s="11" t="s">
        <v>7</v>
      </c>
      <c r="D1776" s="8"/>
      <c r="F1776">
        <f t="shared" si="32"/>
        <v>0</v>
      </c>
      <c r="G1776">
        <v>11.15606060606061</v>
      </c>
    </row>
    <row r="1777" spans="3:7" hidden="1" x14ac:dyDescent="0.3">
      <c r="C1777" s="12" t="s">
        <v>7</v>
      </c>
      <c r="D1777" s="8"/>
      <c r="F1777">
        <f t="shared" si="32"/>
        <v>0</v>
      </c>
      <c r="G1777">
        <v>11.224545454545449</v>
      </c>
    </row>
    <row r="1778" spans="3:7" hidden="1" x14ac:dyDescent="0.3">
      <c r="C1778" s="11" t="s">
        <v>7</v>
      </c>
      <c r="D1778" s="8"/>
      <c r="F1778">
        <f t="shared" si="32"/>
        <v>0</v>
      </c>
      <c r="G1778">
        <v>11.293030303030299</v>
      </c>
    </row>
    <row r="1779" spans="3:7" hidden="1" x14ac:dyDescent="0.3">
      <c r="C1779" s="12" t="s">
        <v>7</v>
      </c>
      <c r="D1779" s="8"/>
      <c r="F1779">
        <f t="shared" si="32"/>
        <v>0</v>
      </c>
      <c r="G1779">
        <v>11.36151515151515</v>
      </c>
    </row>
    <row r="1780" spans="3:7" hidden="1" x14ac:dyDescent="0.3">
      <c r="C1780" s="11" t="s">
        <v>7</v>
      </c>
      <c r="D1780" s="8"/>
      <c r="F1780">
        <f t="shared" si="32"/>
        <v>0</v>
      </c>
      <c r="G1780">
        <v>11.43</v>
      </c>
    </row>
    <row r="1781" spans="3:7" hidden="1" x14ac:dyDescent="0.3">
      <c r="C1781" s="12"/>
      <c r="D1781" s="9"/>
      <c r="E1781" s="9"/>
    </row>
    <row r="1782" spans="3:7" hidden="1" x14ac:dyDescent="0.3">
      <c r="C1782" s="11"/>
      <c r="D1782" s="8"/>
      <c r="E1782" s="8"/>
    </row>
    <row r="1783" spans="3:7" hidden="1" x14ac:dyDescent="0.3">
      <c r="C1783" s="12"/>
      <c r="D1783" s="9"/>
      <c r="E1783" s="9"/>
    </row>
    <row r="1784" spans="3:7" hidden="1" x14ac:dyDescent="0.3">
      <c r="C1784" s="11"/>
      <c r="D1784" s="8"/>
      <c r="E1784" s="8"/>
    </row>
    <row r="1785" spans="3:7" hidden="1" x14ac:dyDescent="0.3">
      <c r="C1785" s="12"/>
      <c r="D1785" s="9"/>
      <c r="E1785" s="9"/>
    </row>
    <row r="1786" spans="3:7" hidden="1" x14ac:dyDescent="0.3">
      <c r="C1786" s="11"/>
      <c r="D1786" s="8"/>
      <c r="E1786" s="8"/>
    </row>
    <row r="1787" spans="3:7" hidden="1" x14ac:dyDescent="0.3">
      <c r="C1787" s="12"/>
      <c r="D1787" s="9"/>
      <c r="E1787" s="9"/>
    </row>
    <row r="1788" spans="3:7" hidden="1" x14ac:dyDescent="0.3">
      <c r="C1788" s="11"/>
      <c r="D1788" s="8"/>
      <c r="E1788" s="8"/>
    </row>
    <row r="1789" spans="3:7" hidden="1" x14ac:dyDescent="0.3">
      <c r="C1789" s="12"/>
      <c r="D1789" s="9"/>
      <c r="E1789" s="9"/>
    </row>
    <row r="1790" spans="3:7" hidden="1" x14ac:dyDescent="0.3">
      <c r="C1790" s="11"/>
      <c r="D1790" s="8"/>
      <c r="E1790" s="8"/>
    </row>
    <row r="1791" spans="3:7" hidden="1" x14ac:dyDescent="0.3">
      <c r="C1791" s="12" t="s">
        <v>8</v>
      </c>
      <c r="D1791" s="8"/>
      <c r="F1791">
        <f t="shared" si="32"/>
        <v>0</v>
      </c>
      <c r="G1791">
        <v>0.13761682795655</v>
      </c>
    </row>
    <row r="1792" spans="3:7" hidden="1" x14ac:dyDescent="0.3">
      <c r="C1792" s="11" t="s">
        <v>8</v>
      </c>
      <c r="D1792" s="8"/>
      <c r="F1792">
        <f t="shared" si="32"/>
        <v>0</v>
      </c>
      <c r="G1792">
        <v>0.13234291743907589</v>
      </c>
    </row>
    <row r="1793" spans="3:7" hidden="1" x14ac:dyDescent="0.3">
      <c r="C1793" s="12" t="s">
        <v>8</v>
      </c>
      <c r="D1793" s="8"/>
      <c r="F1793">
        <f t="shared" si="32"/>
        <v>0</v>
      </c>
      <c r="G1793">
        <v>0.1285443509820528</v>
      </c>
    </row>
    <row r="1794" spans="3:7" hidden="1" x14ac:dyDescent="0.3">
      <c r="C1794" s="11" t="s">
        <v>8</v>
      </c>
      <c r="D1794" s="8"/>
      <c r="F1794">
        <f t="shared" si="32"/>
        <v>0</v>
      </c>
      <c r="G1794">
        <v>0.1248772848003874</v>
      </c>
    </row>
    <row r="1795" spans="3:7" hidden="1" x14ac:dyDescent="0.3">
      <c r="C1795" s="12" t="s">
        <v>8</v>
      </c>
      <c r="D1795" s="8"/>
      <c r="F1795">
        <f t="shared" si="32"/>
        <v>0</v>
      </c>
      <c r="G1795">
        <v>0.1208500277380572</v>
      </c>
    </row>
    <row r="1796" spans="3:7" hidden="1" x14ac:dyDescent="0.3">
      <c r="C1796" s="11" t="s">
        <v>8</v>
      </c>
      <c r="D1796" s="8"/>
      <c r="F1796">
        <f t="shared" si="32"/>
        <v>0</v>
      </c>
      <c r="G1796">
        <v>0.1169351444122791</v>
      </c>
    </row>
    <row r="1797" spans="3:7" hidden="1" x14ac:dyDescent="0.3">
      <c r="C1797" s="12" t="s">
        <v>8</v>
      </c>
      <c r="D1797" s="8"/>
      <c r="F1797">
        <f t="shared" si="32"/>
        <v>0</v>
      </c>
      <c r="G1797">
        <v>0.1138780022680716</v>
      </c>
    </row>
    <row r="1798" spans="3:7" hidden="1" x14ac:dyDescent="0.3">
      <c r="C1798" s="11" t="s">
        <v>8</v>
      </c>
      <c r="D1798" s="8"/>
      <c r="F1798">
        <f t="shared" si="32"/>
        <v>0</v>
      </c>
      <c r="G1798">
        <v>0.1099202593317036</v>
      </c>
    </row>
    <row r="1799" spans="3:7" hidden="1" x14ac:dyDescent="0.3">
      <c r="C1799" s="12" t="s">
        <v>8</v>
      </c>
      <c r="D1799" s="8"/>
      <c r="F1799">
        <f t="shared" si="32"/>
        <v>0</v>
      </c>
      <c r="G1799">
        <v>0.10722814827522439</v>
      </c>
    </row>
    <row r="1800" spans="3:7" hidden="1" x14ac:dyDescent="0.3">
      <c r="C1800" s="11" t="s">
        <v>8</v>
      </c>
      <c r="D1800" s="8"/>
      <c r="F1800">
        <f t="shared" si="32"/>
        <v>0</v>
      </c>
      <c r="G1800">
        <v>0.1031768325422337</v>
      </c>
    </row>
    <row r="1801" spans="3:7" hidden="1" x14ac:dyDescent="0.3">
      <c r="C1801" s="12"/>
      <c r="D1801" s="9"/>
      <c r="E1801" s="9"/>
    </row>
    <row r="1802" spans="3:7" hidden="1" x14ac:dyDescent="0.3">
      <c r="C1802" s="11"/>
      <c r="D1802" s="8"/>
      <c r="E1802" s="8"/>
    </row>
    <row r="1803" spans="3:7" hidden="1" x14ac:dyDescent="0.3">
      <c r="C1803" s="12"/>
      <c r="D1803" s="9"/>
      <c r="E1803" s="9"/>
    </row>
    <row r="1804" spans="3:7" hidden="1" x14ac:dyDescent="0.3">
      <c r="C1804" s="11"/>
      <c r="D1804" s="8"/>
      <c r="E1804" s="8"/>
    </row>
    <row r="1805" spans="3:7" hidden="1" x14ac:dyDescent="0.3">
      <c r="C1805" s="12"/>
      <c r="D1805" s="9"/>
      <c r="E1805" s="9"/>
    </row>
    <row r="1806" spans="3:7" hidden="1" x14ac:dyDescent="0.3">
      <c r="C1806" s="11"/>
      <c r="D1806" s="8"/>
      <c r="E1806" s="8"/>
    </row>
    <row r="1807" spans="3:7" hidden="1" x14ac:dyDescent="0.3">
      <c r="C1807" s="12"/>
      <c r="D1807" s="9"/>
      <c r="E1807" s="9"/>
    </row>
    <row r="1808" spans="3:7" hidden="1" x14ac:dyDescent="0.3">
      <c r="C1808" s="11"/>
      <c r="D1808" s="8"/>
      <c r="E1808" s="8"/>
    </row>
    <row r="1809" spans="3:7" hidden="1" x14ac:dyDescent="0.3">
      <c r="C1809" s="12"/>
      <c r="D1809" s="9"/>
      <c r="E1809" s="9"/>
    </row>
    <row r="1810" spans="3:7" hidden="1" x14ac:dyDescent="0.3">
      <c r="C1810" s="11"/>
      <c r="D1810" s="8"/>
      <c r="E1810" s="8"/>
    </row>
    <row r="1811" spans="3:7" hidden="1" x14ac:dyDescent="0.3">
      <c r="C1811" s="12" t="s">
        <v>9</v>
      </c>
      <c r="D1811" s="8"/>
      <c r="F1811">
        <f t="shared" si="32"/>
        <v>0</v>
      </c>
      <c r="G1811">
        <v>0.13761682795655</v>
      </c>
    </row>
    <row r="1812" spans="3:7" hidden="1" x14ac:dyDescent="0.3">
      <c r="C1812" s="11" t="s">
        <v>9</v>
      </c>
      <c r="D1812" s="8"/>
      <c r="F1812">
        <f t="shared" si="32"/>
        <v>0</v>
      </c>
      <c r="G1812">
        <v>0.13234291743907589</v>
      </c>
    </row>
    <row r="1813" spans="3:7" hidden="1" x14ac:dyDescent="0.3">
      <c r="C1813" s="12" t="s">
        <v>9</v>
      </c>
      <c r="D1813" s="8"/>
      <c r="F1813">
        <f t="shared" si="32"/>
        <v>0</v>
      </c>
      <c r="G1813">
        <v>0.1285443509820528</v>
      </c>
    </row>
    <row r="1814" spans="3:7" hidden="1" x14ac:dyDescent="0.3">
      <c r="C1814" s="11" t="s">
        <v>9</v>
      </c>
      <c r="D1814" s="8"/>
      <c r="F1814">
        <f t="shared" si="32"/>
        <v>0</v>
      </c>
      <c r="G1814">
        <v>0.1248772848003874</v>
      </c>
    </row>
    <row r="1815" spans="3:7" hidden="1" x14ac:dyDescent="0.3">
      <c r="C1815" s="12" t="s">
        <v>9</v>
      </c>
      <c r="D1815" s="8"/>
      <c r="F1815">
        <f t="shared" si="32"/>
        <v>0</v>
      </c>
      <c r="G1815">
        <v>0.1208500277380572</v>
      </c>
    </row>
    <row r="1816" spans="3:7" hidden="1" x14ac:dyDescent="0.3">
      <c r="C1816" s="11" t="s">
        <v>9</v>
      </c>
      <c r="D1816" s="8"/>
      <c r="F1816">
        <f t="shared" si="32"/>
        <v>0</v>
      </c>
      <c r="G1816">
        <v>0.1169351444122791</v>
      </c>
    </row>
    <row r="1817" spans="3:7" hidden="1" x14ac:dyDescent="0.3">
      <c r="C1817" s="12" t="s">
        <v>9</v>
      </c>
      <c r="D1817" s="8"/>
      <c r="F1817">
        <f t="shared" si="32"/>
        <v>0</v>
      </c>
      <c r="G1817">
        <v>0.1138780022680716</v>
      </c>
    </row>
    <row r="1818" spans="3:7" hidden="1" x14ac:dyDescent="0.3">
      <c r="C1818" s="11" t="s">
        <v>9</v>
      </c>
      <c r="D1818" s="8"/>
      <c r="F1818">
        <f t="shared" si="32"/>
        <v>0</v>
      </c>
      <c r="G1818">
        <v>0.1099202593317036</v>
      </c>
    </row>
    <row r="1819" spans="3:7" hidden="1" x14ac:dyDescent="0.3">
      <c r="C1819" s="12" t="s">
        <v>9</v>
      </c>
      <c r="D1819" s="8"/>
      <c r="F1819">
        <f t="shared" si="32"/>
        <v>0</v>
      </c>
      <c r="G1819">
        <v>0.10722814827522439</v>
      </c>
    </row>
    <row r="1820" spans="3:7" hidden="1" x14ac:dyDescent="0.3">
      <c r="C1820" s="11" t="s">
        <v>9</v>
      </c>
      <c r="D1820" s="8"/>
      <c r="F1820">
        <f t="shared" si="32"/>
        <v>0</v>
      </c>
      <c r="G1820">
        <v>0.1031768325422337</v>
      </c>
    </row>
    <row r="1821" spans="3:7" hidden="1" x14ac:dyDescent="0.3">
      <c r="C1821" s="12"/>
      <c r="D1821" s="9"/>
      <c r="E1821" s="9"/>
    </row>
    <row r="1822" spans="3:7" hidden="1" x14ac:dyDescent="0.3">
      <c r="C1822" s="11"/>
      <c r="D1822" s="8"/>
      <c r="E1822" s="8"/>
    </row>
    <row r="1823" spans="3:7" hidden="1" x14ac:dyDescent="0.3">
      <c r="C1823" s="12"/>
      <c r="D1823" s="9"/>
      <c r="E1823" s="9"/>
    </row>
    <row r="1824" spans="3:7" hidden="1" x14ac:dyDescent="0.3">
      <c r="C1824" s="11"/>
      <c r="D1824" s="8"/>
      <c r="E1824" s="8"/>
    </row>
    <row r="1825" spans="3:7" hidden="1" x14ac:dyDescent="0.3">
      <c r="C1825" s="12"/>
      <c r="D1825" s="9"/>
      <c r="E1825" s="9"/>
    </row>
    <row r="1826" spans="3:7" hidden="1" x14ac:dyDescent="0.3">
      <c r="C1826" s="11"/>
      <c r="D1826" s="8"/>
      <c r="E1826" s="8"/>
    </row>
    <row r="1827" spans="3:7" hidden="1" x14ac:dyDescent="0.3">
      <c r="C1827" s="12"/>
      <c r="D1827" s="9"/>
      <c r="E1827" s="9"/>
    </row>
    <row r="1828" spans="3:7" hidden="1" x14ac:dyDescent="0.3">
      <c r="C1828" s="11"/>
      <c r="D1828" s="8"/>
      <c r="E1828" s="8"/>
    </row>
    <row r="1829" spans="3:7" hidden="1" x14ac:dyDescent="0.3">
      <c r="C1829" s="12"/>
      <c r="D1829" s="9"/>
      <c r="E1829" s="9"/>
    </row>
    <row r="1830" spans="3:7" hidden="1" x14ac:dyDescent="0.3">
      <c r="C1830" s="11"/>
      <c r="D1830" s="8"/>
      <c r="E1830" s="8"/>
    </row>
    <row r="1831" spans="3:7" hidden="1" x14ac:dyDescent="0.3">
      <c r="C1831" s="12" t="s">
        <v>10</v>
      </c>
      <c r="D1831" s="8"/>
      <c r="F1831">
        <f t="shared" si="32"/>
        <v>0</v>
      </c>
      <c r="G1831">
        <v>1.402720394258796</v>
      </c>
    </row>
    <row r="1832" spans="3:7" hidden="1" x14ac:dyDescent="0.3">
      <c r="C1832" s="11" t="s">
        <v>10</v>
      </c>
      <c r="D1832" s="8"/>
      <c r="F1832">
        <f t="shared" si="32"/>
        <v>0</v>
      </c>
      <c r="G1832">
        <v>1.4750303203269921</v>
      </c>
    </row>
    <row r="1833" spans="3:7" hidden="1" x14ac:dyDescent="0.3">
      <c r="C1833" s="12" t="s">
        <v>10</v>
      </c>
      <c r="D1833" s="8"/>
      <c r="F1833">
        <f t="shared" si="32"/>
        <v>0</v>
      </c>
      <c r="G1833">
        <v>1.5827034177106101</v>
      </c>
    </row>
    <row r="1834" spans="3:7" hidden="1" x14ac:dyDescent="0.3">
      <c r="C1834" s="11" t="s">
        <v>10</v>
      </c>
      <c r="D1834" s="8"/>
      <c r="F1834">
        <f t="shared" si="32"/>
        <v>0</v>
      </c>
      <c r="G1834">
        <v>1.6558355995337639</v>
      </c>
    </row>
    <row r="1835" spans="3:7" hidden="1" x14ac:dyDescent="0.3">
      <c r="C1835" s="12" t="s">
        <v>10</v>
      </c>
      <c r="D1835" s="8"/>
      <c r="F1835">
        <f t="shared" si="32"/>
        <v>0</v>
      </c>
      <c r="G1835">
        <v>1.769433979140496</v>
      </c>
    </row>
    <row r="1836" spans="3:7" hidden="1" x14ac:dyDescent="0.3">
      <c r="C1836" s="11" t="s">
        <v>10</v>
      </c>
      <c r="D1836" s="8"/>
      <c r="F1836">
        <f t="shared" si="32"/>
        <v>0</v>
      </c>
      <c r="G1836">
        <v>1.8670248928457021</v>
      </c>
    </row>
    <row r="1837" spans="3:7" hidden="1" x14ac:dyDescent="0.3">
      <c r="C1837" s="12" t="s">
        <v>10</v>
      </c>
      <c r="D1837" s="8"/>
      <c r="F1837">
        <f t="shared" si="32"/>
        <v>0</v>
      </c>
      <c r="G1837">
        <v>1.959667273476529</v>
      </c>
    </row>
    <row r="1838" spans="3:7" hidden="1" x14ac:dyDescent="0.3">
      <c r="C1838" s="11" t="s">
        <v>10</v>
      </c>
      <c r="D1838" s="8"/>
      <c r="F1838">
        <f t="shared" ref="F1838:F1860" si="33">IF(IFERROR(FIND("1",C1838,1),ERROR.TYPE(#VALUE!))=ERROR.TYPE(#VALUE!),$M$2,$M$1)</f>
        <v>0</v>
      </c>
      <c r="G1838">
        <v>2.063126929572523</v>
      </c>
    </row>
    <row r="1839" spans="3:7" hidden="1" x14ac:dyDescent="0.3">
      <c r="C1839" s="12" t="s">
        <v>10</v>
      </c>
      <c r="D1839" s="8"/>
      <c r="F1839">
        <f t="shared" si="33"/>
        <v>0</v>
      </c>
      <c r="G1839">
        <v>2.2237125044528301</v>
      </c>
    </row>
    <row r="1840" spans="3:7" hidden="1" x14ac:dyDescent="0.3">
      <c r="C1840" s="11" t="s">
        <v>10</v>
      </c>
      <c r="D1840" s="8"/>
      <c r="F1840">
        <f t="shared" si="33"/>
        <v>0</v>
      </c>
      <c r="G1840">
        <v>2.306262677379324</v>
      </c>
    </row>
    <row r="1841" spans="3:7" hidden="1" x14ac:dyDescent="0.3">
      <c r="C1841" s="12"/>
      <c r="D1841" s="9"/>
      <c r="E1841" s="9"/>
    </row>
    <row r="1842" spans="3:7" hidden="1" x14ac:dyDescent="0.3">
      <c r="C1842" s="11"/>
      <c r="D1842" s="8"/>
      <c r="E1842" s="8"/>
    </row>
    <row r="1843" spans="3:7" hidden="1" x14ac:dyDescent="0.3">
      <c r="C1843" s="12"/>
      <c r="D1843" s="9"/>
      <c r="E1843" s="9"/>
    </row>
    <row r="1844" spans="3:7" hidden="1" x14ac:dyDescent="0.3">
      <c r="C1844" s="11"/>
      <c r="D1844" s="8"/>
      <c r="E1844" s="8"/>
    </row>
    <row r="1845" spans="3:7" hidden="1" x14ac:dyDescent="0.3">
      <c r="C1845" s="12"/>
      <c r="D1845" s="9"/>
      <c r="E1845" s="9"/>
    </row>
    <row r="1846" spans="3:7" hidden="1" x14ac:dyDescent="0.3">
      <c r="C1846" s="11"/>
      <c r="D1846" s="8"/>
      <c r="E1846" s="8"/>
    </row>
    <row r="1847" spans="3:7" hidden="1" x14ac:dyDescent="0.3">
      <c r="C1847" s="12"/>
      <c r="D1847" s="9"/>
      <c r="E1847" s="9"/>
    </row>
    <row r="1848" spans="3:7" hidden="1" x14ac:dyDescent="0.3">
      <c r="C1848" s="11"/>
      <c r="D1848" s="8"/>
      <c r="E1848" s="8"/>
    </row>
    <row r="1849" spans="3:7" hidden="1" x14ac:dyDescent="0.3">
      <c r="C1849" s="12"/>
      <c r="D1849" s="9"/>
      <c r="E1849" s="9"/>
    </row>
    <row r="1850" spans="3:7" hidden="1" x14ac:dyDescent="0.3">
      <c r="C1850" s="11"/>
      <c r="D1850" s="8"/>
      <c r="E1850" s="10"/>
    </row>
    <row r="1851" spans="3:7" hidden="1" x14ac:dyDescent="0.3">
      <c r="C1851" s="12" t="s">
        <v>11</v>
      </c>
      <c r="D1851" s="8"/>
      <c r="F1851">
        <f t="shared" si="33"/>
        <v>0</v>
      </c>
      <c r="G1851">
        <v>1.402720394258796</v>
      </c>
    </row>
    <row r="1852" spans="3:7" hidden="1" x14ac:dyDescent="0.3">
      <c r="C1852" s="11" t="s">
        <v>11</v>
      </c>
      <c r="D1852" s="8"/>
      <c r="F1852">
        <f t="shared" si="33"/>
        <v>0</v>
      </c>
      <c r="G1852">
        <v>1.4750303203269921</v>
      </c>
    </row>
    <row r="1853" spans="3:7" hidden="1" x14ac:dyDescent="0.3">
      <c r="C1853" s="12" t="s">
        <v>11</v>
      </c>
      <c r="D1853" s="8"/>
      <c r="F1853">
        <f t="shared" si="33"/>
        <v>0</v>
      </c>
      <c r="G1853">
        <v>1.5827034177106101</v>
      </c>
    </row>
    <row r="1854" spans="3:7" hidden="1" x14ac:dyDescent="0.3">
      <c r="C1854" s="11" t="s">
        <v>11</v>
      </c>
      <c r="D1854" s="8"/>
      <c r="F1854">
        <f t="shared" si="33"/>
        <v>0</v>
      </c>
      <c r="G1854">
        <v>1.6558355995337639</v>
      </c>
    </row>
    <row r="1855" spans="3:7" hidden="1" x14ac:dyDescent="0.3">
      <c r="C1855" s="12" t="s">
        <v>11</v>
      </c>
      <c r="D1855" s="8"/>
      <c r="F1855">
        <f t="shared" si="33"/>
        <v>0</v>
      </c>
      <c r="G1855">
        <v>1.769433979140496</v>
      </c>
    </row>
    <row r="1856" spans="3:7" hidden="1" x14ac:dyDescent="0.3">
      <c r="C1856" s="11" t="s">
        <v>11</v>
      </c>
      <c r="D1856" s="8"/>
      <c r="F1856">
        <f t="shared" si="33"/>
        <v>0</v>
      </c>
      <c r="G1856">
        <v>1.8670248928457021</v>
      </c>
    </row>
    <row r="1857" spans="3:7" hidden="1" x14ac:dyDescent="0.3">
      <c r="C1857" s="12" t="s">
        <v>11</v>
      </c>
      <c r="D1857" s="8"/>
      <c r="F1857">
        <f t="shared" si="33"/>
        <v>0</v>
      </c>
      <c r="G1857">
        <v>1.959667273476529</v>
      </c>
    </row>
    <row r="1858" spans="3:7" hidden="1" x14ac:dyDescent="0.3">
      <c r="C1858" s="11" t="s">
        <v>11</v>
      </c>
      <c r="D1858" s="8"/>
      <c r="F1858">
        <f t="shared" si="33"/>
        <v>0</v>
      </c>
      <c r="G1858">
        <v>2.063126929572523</v>
      </c>
    </row>
    <row r="1859" spans="3:7" hidden="1" x14ac:dyDescent="0.3">
      <c r="C1859" s="12" t="s">
        <v>11</v>
      </c>
      <c r="D1859" s="8"/>
      <c r="F1859">
        <f t="shared" si="33"/>
        <v>0</v>
      </c>
      <c r="G1859">
        <v>2.2237125044528301</v>
      </c>
    </row>
    <row r="1860" spans="3:7" hidden="1" x14ac:dyDescent="0.3">
      <c r="C1860" s="13" t="s">
        <v>11</v>
      </c>
      <c r="D1860" s="10"/>
      <c r="F1860">
        <f t="shared" si="33"/>
        <v>0</v>
      </c>
      <c r="G1860">
        <v>2.306262677379324</v>
      </c>
    </row>
  </sheetData>
  <mergeCells count="2">
    <mergeCell ref="O648:P648"/>
    <mergeCell ref="Q648:S648"/>
  </mergeCells>
  <conditionalFormatting sqref="O650:P651 O653:P659 P652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Q650:R651 Q653:R659 R652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8740157499999996" bottom="0.78740157499999996" header="0.3" footer="0.3"/>
  <drawing r:id="rId1"/>
  <tableParts count="4">
    <tablePart r:id="rId2"/>
    <tablePart r:id="rId3"/>
    <tablePart r:id="rId4"/>
    <tablePart r:id="rId5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819B0C6-0FFB-4BD7-B2A1-3665644DDC24}">
  <sheetPr codeName="Tabelle15"/>
  <dimension ref="A1:G18"/>
  <sheetViews>
    <sheetView workbookViewId="0">
      <selection activeCell="G4" sqref="G4"/>
    </sheetView>
  </sheetViews>
  <sheetFormatPr baseColWidth="10" defaultRowHeight="14.4" x14ac:dyDescent="0.3"/>
  <cols>
    <col min="1" max="1" width="18.88671875" customWidth="1"/>
    <col min="2" max="2" width="22.21875" customWidth="1"/>
    <col min="3" max="3" width="15.77734375" bestFit="1" customWidth="1"/>
  </cols>
  <sheetData>
    <row r="1" spans="1:5" x14ac:dyDescent="0.3">
      <c r="A1" t="s">
        <v>74</v>
      </c>
      <c r="B1" t="s">
        <v>75</v>
      </c>
      <c r="C1" t="s">
        <v>76</v>
      </c>
      <c r="D1" t="s">
        <v>77</v>
      </c>
    </row>
    <row r="2" spans="1:5" ht="69.599999999999994" thickBot="1" x14ac:dyDescent="0.35">
      <c r="A2" s="20" t="s">
        <v>65</v>
      </c>
      <c r="B2" s="21">
        <v>44621</v>
      </c>
      <c r="C2" s="22">
        <v>6.0999999999999999E-2</v>
      </c>
      <c r="D2" s="22">
        <v>3.4000000000000002E-2</v>
      </c>
    </row>
    <row r="3" spans="1:5" ht="15" thickBot="1" x14ac:dyDescent="0.35">
      <c r="A3" s="17" t="s">
        <v>60</v>
      </c>
      <c r="B3" s="18">
        <v>44652</v>
      </c>
      <c r="C3" s="19">
        <v>6.0999999999999999E-2</v>
      </c>
      <c r="D3" s="19">
        <v>2.8000000000000001E-2</v>
      </c>
    </row>
    <row r="4" spans="1:5" ht="28.2" thickBot="1" x14ac:dyDescent="0.35">
      <c r="A4" s="17" t="s">
        <v>62</v>
      </c>
      <c r="B4" s="18">
        <v>44652</v>
      </c>
      <c r="C4" s="19">
        <v>5.5E-2</v>
      </c>
      <c r="D4" s="19">
        <v>2.9000000000000001E-2</v>
      </c>
    </row>
    <row r="5" spans="1:5" ht="15" thickBot="1" x14ac:dyDescent="0.35">
      <c r="A5" s="20" t="s">
        <v>63</v>
      </c>
      <c r="B5" s="21">
        <v>44713</v>
      </c>
      <c r="C5" s="22">
        <v>7.1999999999999995E-2</v>
      </c>
      <c r="D5" s="22">
        <v>4.7E-2</v>
      </c>
    </row>
    <row r="6" spans="1:5" ht="15" thickBot="1" x14ac:dyDescent="0.35">
      <c r="A6" s="17" t="s">
        <v>64</v>
      </c>
      <c r="B6" s="18">
        <v>44713</v>
      </c>
      <c r="C6" s="19">
        <v>7.0999999999999994E-2</v>
      </c>
      <c r="D6" s="19">
        <v>4.4999999999999998E-2</v>
      </c>
    </row>
    <row r="7" spans="1:5" ht="55.8" thickBot="1" x14ac:dyDescent="0.35">
      <c r="A7" s="20" t="s">
        <v>67</v>
      </c>
      <c r="B7" s="21">
        <v>44713</v>
      </c>
      <c r="C7" s="22">
        <v>6.8000000000000005E-2</v>
      </c>
      <c r="D7" s="22">
        <v>3.3000000000000002E-2</v>
      </c>
    </row>
    <row r="8" spans="1:5" ht="15" thickBot="1" x14ac:dyDescent="0.35">
      <c r="A8" s="20" t="s">
        <v>61</v>
      </c>
      <c r="B8" s="21">
        <v>44743</v>
      </c>
      <c r="C8" s="22">
        <v>7.9000000000000001E-2</v>
      </c>
      <c r="D8" s="22">
        <v>4.8000000000000001E-2</v>
      </c>
    </row>
    <row r="9" spans="1:5" ht="69.599999999999994" thickBot="1" x14ac:dyDescent="0.35">
      <c r="A9" s="24" t="s">
        <v>66</v>
      </c>
      <c r="B9" s="25">
        <v>44805</v>
      </c>
      <c r="C9" s="26">
        <v>8.4000000000000005E-2</v>
      </c>
      <c r="D9" s="26">
        <v>8.7999999999999995E-2</v>
      </c>
    </row>
    <row r="10" spans="1:5" ht="42" thickBot="1" x14ac:dyDescent="0.35">
      <c r="A10" s="24" t="s">
        <v>68</v>
      </c>
      <c r="B10" s="25">
        <v>44805</v>
      </c>
      <c r="C10" s="26">
        <v>0.08</v>
      </c>
      <c r="D10" s="26">
        <v>8.6999999999999994E-2</v>
      </c>
    </row>
    <row r="11" spans="1:5" ht="42" thickBot="1" x14ac:dyDescent="0.35">
      <c r="A11" s="24" t="s">
        <v>69</v>
      </c>
      <c r="B11" s="25">
        <v>44805</v>
      </c>
      <c r="C11" s="26">
        <v>0.08</v>
      </c>
      <c r="D11" s="26">
        <v>0.05</v>
      </c>
    </row>
    <row r="12" spans="1:5" ht="42" thickBot="1" x14ac:dyDescent="0.35">
      <c r="A12" s="24" t="s">
        <v>70</v>
      </c>
      <c r="B12" s="25">
        <v>44805</v>
      </c>
      <c r="C12" s="26">
        <v>7.4999999999999997E-2</v>
      </c>
      <c r="D12" s="26">
        <v>4.4999999999999998E-2</v>
      </c>
    </row>
    <row r="13" spans="1:5" ht="42" thickBot="1" x14ac:dyDescent="0.35">
      <c r="A13" s="24" t="s">
        <v>71</v>
      </c>
      <c r="B13" s="25">
        <v>44805</v>
      </c>
      <c r="C13" s="26">
        <v>7.9000000000000001E-2</v>
      </c>
      <c r="D13" s="26">
        <v>9.5000000000000001E-2</v>
      </c>
    </row>
    <row r="14" spans="1:5" ht="69.599999999999994" thickBot="1" x14ac:dyDescent="0.35">
      <c r="A14" s="24" t="s">
        <v>72</v>
      </c>
      <c r="B14" s="25">
        <v>44805</v>
      </c>
      <c r="C14" s="26">
        <v>7.8E-2</v>
      </c>
      <c r="D14" s="26">
        <v>5.7000000000000002E-2</v>
      </c>
    </row>
    <row r="15" spans="1:5" ht="55.2" x14ac:dyDescent="0.3">
      <c r="A15" s="27" t="s">
        <v>73</v>
      </c>
      <c r="B15" s="28">
        <v>44805</v>
      </c>
      <c r="C15" s="29">
        <v>7.2999999999999995E-2</v>
      </c>
      <c r="D15" s="29">
        <v>3.5000000000000003E-2</v>
      </c>
    </row>
    <row r="16" spans="1:5" x14ac:dyDescent="0.3">
      <c r="C16" t="s">
        <v>82</v>
      </c>
      <c r="D16" s="23">
        <f>AVERAGE(D2:D15)</f>
        <v>5.1499999999999997E-2</v>
      </c>
      <c r="E16" s="30">
        <f>STDEVA(D2:D15)</f>
        <v>2.2555060834118124E-2</v>
      </c>
    </row>
    <row r="17" spans="3:7" x14ac:dyDescent="0.3">
      <c r="C17" t="s">
        <v>81</v>
      </c>
      <c r="D17" s="23">
        <f>AVERAGE(D9:D15)</f>
        <v>6.528571428571428E-2</v>
      </c>
      <c r="E17" s="30">
        <f>STDEVA(D9:D15)</f>
        <v>2.4157223113831384E-2</v>
      </c>
      <c r="G17" s="3" t="s">
        <v>78</v>
      </c>
    </row>
    <row r="18" spans="3:7" x14ac:dyDescent="0.3">
      <c r="D18" t="s">
        <v>79</v>
      </c>
      <c r="E18" t="s">
        <v>80</v>
      </c>
    </row>
  </sheetData>
  <pageMargins left="0.7" right="0.7" top="0.78740157499999996" bottom="0.78740157499999996" header="0.3" footer="0.3"/>
  <pageSetup paperSize="9" orientation="portrait" r:id="rId1"/>
  <tableParts count="1">
    <tablePart r:id="rId2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B3D245BD-BA7F-4763-9177-DC59BF62095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19</vt:i4>
      </vt:variant>
    </vt:vector>
  </HeadingPairs>
  <TitlesOfParts>
    <vt:vector size="35" baseType="lpstr">
      <vt:lpstr>Register</vt:lpstr>
      <vt:lpstr>Sensitivität_bzw_Monte_Carlo_be</vt:lpstr>
      <vt:lpstr>Variation_Singulär</vt:lpstr>
      <vt:lpstr>Anschaffung</vt:lpstr>
      <vt:lpstr>Laufende_Kosten</vt:lpstr>
      <vt:lpstr>Degradation</vt:lpstr>
      <vt:lpstr>Habenzins</vt:lpstr>
      <vt:lpstr>Inflation</vt:lpstr>
      <vt:lpstr>Sollzins_KfW</vt:lpstr>
      <vt:lpstr>Batteriepreissenkung</vt:lpstr>
      <vt:lpstr>Batteriepreis</vt:lpstr>
      <vt:lpstr>Strompreis</vt:lpstr>
      <vt:lpstr>Ertragsteuer</vt:lpstr>
      <vt:lpstr>FuzzyLookup_AddIn_Undo_Sheet</vt:lpstr>
      <vt:lpstr>Tornado</vt:lpstr>
      <vt:lpstr>notes</vt:lpstr>
      <vt:lpstr>Batteriepreis!Anschaffungsauszahlung_Basisszenario</vt:lpstr>
      <vt:lpstr>Batteriepreissenkung!Anschaffungsauszahlung_Basisszenario</vt:lpstr>
      <vt:lpstr>Degradation!Anschaffungsauszahlung_Basisszenario</vt:lpstr>
      <vt:lpstr>Habenzins!Anschaffungsauszahlung_Basisszenario</vt:lpstr>
      <vt:lpstr>Inflation!Anschaffungsauszahlung_Basisszenario</vt:lpstr>
      <vt:lpstr>Laufende_Kosten!Anschaffungsauszahlung_Basisszenario</vt:lpstr>
      <vt:lpstr>Sollzins_KfW!Anschaffungsauszahlung_Basisszenario</vt:lpstr>
      <vt:lpstr>Strompreis!Anschaffungsauszahlung_Basisszenario</vt:lpstr>
      <vt:lpstr>Anschaffungsauszahlung_Basisszenario</vt:lpstr>
      <vt:lpstr>Batteriepreis!Endwert_Basisszenario</vt:lpstr>
      <vt:lpstr>Batteriepreissenkung!Endwert_Basisszenario</vt:lpstr>
      <vt:lpstr>Degradation!Endwert_Basisszenario</vt:lpstr>
      <vt:lpstr>Habenzins!Endwert_Basisszenario</vt:lpstr>
      <vt:lpstr>Inflation!Endwert_Basisszenario</vt:lpstr>
      <vt:lpstr>Laufende_Kosten!Endwert_Basisszenario</vt:lpstr>
      <vt:lpstr>Sollzins_KfW!Endwert_Basisszenario</vt:lpstr>
      <vt:lpstr>Strompreis!Endwert_Basisszenario</vt:lpstr>
      <vt:lpstr>Endwert_Basisszenario</vt:lpstr>
      <vt:lpstr>Matrix_Auszahlung_BoS_Versicherung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Soner Günaydin</dc:creator>
  <cp:lastModifiedBy>Soner Günaydin</cp:lastModifiedBy>
  <dcterms:created xsi:type="dcterms:W3CDTF">2015-06-05T18:19:34Z</dcterms:created>
  <dcterms:modified xsi:type="dcterms:W3CDTF">2022-10-25T23:20:37Z</dcterms:modified>
</cp:coreProperties>
</file>